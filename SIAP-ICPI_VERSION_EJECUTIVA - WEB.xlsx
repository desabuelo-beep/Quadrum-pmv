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hreadedComments/threadedComment1.xml" ContentType="application/vnd.ms-excel.threaded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threadedComments/threadedComment2.xml" ContentType="application/vnd.ms-excel.threadedcomments+xml"/>
  <Override PartName="/xl/comments11.xml" ContentType="application/vnd.openxmlformats-officedocument.spreadsheetml.comments+xml"/>
  <Override PartName="/xl/comments12.xml" ContentType="application/vnd.openxmlformats-officedocument.spreadsheetml.comments+xml"/>
  <Override PartName="/xl/threadedComments/threadedComment3.xml" ContentType="application/vnd.ms-excel.threadedcomments+xml"/>
  <Override PartName="/xl/comments13.xml" ContentType="application/vnd.openxmlformats-officedocument.spreadsheetml.comments+xml"/>
  <Override PartName="/xl/threadedComments/threadedComment4.xml" ContentType="application/vnd.ms-excel.threadedcomments+xml"/>
  <Override PartName="/xl/comments14.xml" ContentType="application/vnd.openxmlformats-officedocument.spreadsheetml.comments+xml"/>
  <Override PartName="/xl/comments1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ELL\Desktop\Laburo\Tesis  Finales\Instrumento\"/>
    </mc:Choice>
  </mc:AlternateContent>
  <xr:revisionPtr revIDLastSave="0" documentId="13_ncr:1_{CCB5A64E-D381-4D63-B493-D81F1B20B554}" xr6:coauthVersionLast="47" xr6:coauthVersionMax="47" xr10:uidLastSave="{00000000-0000-0000-0000-000000000000}"/>
  <bookViews>
    <workbookView xWindow="-108" yWindow="-108" windowWidth="23256" windowHeight="12456" tabRatio="703" firstSheet="9" activeTab="11" xr2:uid="{00000000-000D-0000-FFFF-FFFF00000000}"/>
  </bookViews>
  <sheets>
    <sheet name="M-INDEX" sheetId="1" r:id="rId1"/>
    <sheet name="M-DASHBOARD" sheetId="2" r:id="rId2"/>
    <sheet name="M-TECH-GAD" sheetId="3" r:id="rId3"/>
    <sheet name="M-TECH-PARAMS" sheetId="4" r:id="rId4"/>
    <sheet name="M1-ITME" sheetId="5" r:id="rId5"/>
    <sheet name="M2-PDOT" sheetId="6" r:id="rId6"/>
    <sheet name="M2-PLAN-Pi" sheetId="7" r:id="rId7"/>
    <sheet name="DATA-TFR" sheetId="8" r:id="rId8"/>
    <sheet name="M3-MAO" sheetId="9" r:id="rId9"/>
    <sheet name="DATA-SSC" sheetId="10" r:id="rId10"/>
    <sheet name="M4-AUDIT" sheetId="11" r:id="rId11"/>
    <sheet name="DATA-MEC" sheetId="12" r:id="rId12"/>
    <sheet name="DATA-CED" sheetId="14" r:id="rId13"/>
    <sheet name="DATA-POA" sheetId="15" r:id="rId14"/>
    <sheet name="DATA-PAC" sheetId="16" r:id="rId15"/>
    <sheet name="M5-ICPI" sheetId="17" r:id="rId16"/>
    <sheet name="SUPPORT-INTERP" sheetId="19" r:id="rId17"/>
    <sheet name="VALID-CST" sheetId="20" r:id="rId18"/>
    <sheet name="M7-PROSP" sheetId="21" r:id="rId19"/>
    <sheet name="VALID-MVCI" sheetId="22" r:id="rId20"/>
    <sheet name="DATA-EJES" sheetId="23" r:id="rId21"/>
    <sheet name="VALID-SENS" sheetId="24" r:id="rId22"/>
    <sheet name="DATA-BRECHA" sheetId="25" r:id="rId23"/>
    <sheet name="DATA-ORG" sheetId="26" r:id="rId24"/>
    <sheet name="M6-FEDS" sheetId="27" r:id="rId25"/>
    <sheet name="SUPPORT-EVALDIR" sheetId="28" r:id="rId26"/>
    <sheet name="SUPPORT-SEM" sheetId="30" r:id="rId27"/>
    <sheet name="DATA-ITAM" sheetId="31" r:id="rId28"/>
    <sheet name="SUPPORT-SIL" sheetId="32" r:id="rId29"/>
    <sheet name="SUPPORT-ALERT" sheetId="33" r:id="rId30"/>
    <sheet name="VALID-VER" sheetId="35" r:id="rId31"/>
    <sheet name="DATA-CPCCS" sheetId="41" r:id="rId32"/>
    <sheet name="DATA-CNE" sheetId="42" r:id="rId33"/>
    <sheet name="DATA-SIGAD" sheetId="43" r:id="rId34"/>
    <sheet name="M-TECH-VARS" sheetId="44" r:id="rId35"/>
    <sheet name="DATA-MONIT" sheetId="45" r:id="rId36"/>
    <sheet name="DATA-RESULTADOS" sheetId="46" r:id="rId37"/>
    <sheet name="M-DOCS" sheetId="47" r:id="rId3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 i="6" l="1"/>
  <c r="F46" i="1" l="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B16" i="4"/>
  <c r="B12" i="4"/>
  <c r="B11" i="4"/>
  <c r="L2" i="47"/>
  <c r="K2" i="47"/>
  <c r="J2" i="47"/>
  <c r="I2" i="47"/>
  <c r="H2" i="47"/>
  <c r="G2" i="47"/>
  <c r="F2" i="47"/>
  <c r="E2" i="47"/>
  <c r="D2" i="47"/>
  <c r="C2" i="47"/>
  <c r="B2" i="47"/>
  <c r="A2" i="47"/>
  <c r="L2" i="44"/>
  <c r="K2" i="44"/>
  <c r="J2" i="44"/>
  <c r="I2" i="44"/>
  <c r="H2" i="44"/>
  <c r="G2" i="44"/>
  <c r="F2" i="44"/>
  <c r="E2" i="44"/>
  <c r="D2" i="44"/>
  <c r="C2" i="44"/>
  <c r="B2" i="44"/>
  <c r="A2" i="44"/>
  <c r="L2" i="33"/>
  <c r="K2" i="33"/>
  <c r="J2" i="33"/>
  <c r="I2" i="33"/>
  <c r="H2" i="33"/>
  <c r="G2" i="33"/>
  <c r="F2" i="33"/>
  <c r="E2" i="33"/>
  <c r="D2" i="33"/>
  <c r="C2" i="33"/>
  <c r="B2" i="33"/>
  <c r="A2" i="33"/>
  <c r="L2" i="32"/>
  <c r="K2" i="32"/>
  <c r="J2" i="32"/>
  <c r="I2" i="32"/>
  <c r="H2" i="32"/>
  <c r="G2" i="32"/>
  <c r="F2" i="32"/>
  <c r="E2" i="32"/>
  <c r="D2" i="32"/>
  <c r="C2" i="32"/>
  <c r="B2" i="32"/>
  <c r="A2" i="32"/>
  <c r="L2" i="30"/>
  <c r="K2" i="30"/>
  <c r="J2" i="30"/>
  <c r="I2" i="30"/>
  <c r="H2" i="30"/>
  <c r="G2" i="30"/>
  <c r="F2" i="30"/>
  <c r="E2" i="30"/>
  <c r="D2" i="30"/>
  <c r="C2" i="30"/>
  <c r="B2" i="30"/>
  <c r="A2" i="30"/>
  <c r="L2" i="28"/>
  <c r="K2" i="28"/>
  <c r="J2" i="28"/>
  <c r="I2" i="28"/>
  <c r="H2" i="28"/>
  <c r="G2" i="28"/>
  <c r="F2" i="28"/>
  <c r="E2" i="28"/>
  <c r="D2" i="28"/>
  <c r="C2" i="28"/>
  <c r="B2" i="28"/>
  <c r="A2" i="28"/>
  <c r="L2" i="35"/>
  <c r="K2" i="35"/>
  <c r="J2" i="35"/>
  <c r="I2" i="35"/>
  <c r="H2" i="35"/>
  <c r="G2" i="35"/>
  <c r="F2" i="35"/>
  <c r="E2" i="35"/>
  <c r="D2" i="35"/>
  <c r="C2" i="35"/>
  <c r="B2" i="35"/>
  <c r="A2" i="35"/>
  <c r="L2" i="24"/>
  <c r="K2" i="24"/>
  <c r="J2" i="24"/>
  <c r="I2" i="24"/>
  <c r="H2" i="24"/>
  <c r="G2" i="24"/>
  <c r="F2" i="24"/>
  <c r="E2" i="24"/>
  <c r="D2" i="24"/>
  <c r="C2" i="24"/>
  <c r="B2" i="24"/>
  <c r="A2" i="24"/>
  <c r="L2" i="22"/>
  <c r="K2" i="22"/>
  <c r="J2" i="22"/>
  <c r="I2" i="22"/>
  <c r="H2" i="22"/>
  <c r="G2" i="22"/>
  <c r="F2" i="22"/>
  <c r="E2" i="22"/>
  <c r="D2" i="22"/>
  <c r="C2" i="22"/>
  <c r="B2" i="22"/>
  <c r="A2" i="22"/>
  <c r="L2" i="20"/>
  <c r="K2" i="20"/>
  <c r="J2" i="20"/>
  <c r="I2" i="20"/>
  <c r="H2" i="20"/>
  <c r="G2" i="20"/>
  <c r="F2" i="20"/>
  <c r="E2" i="20"/>
  <c r="D2" i="20"/>
  <c r="C2" i="20"/>
  <c r="B2" i="20"/>
  <c r="A2" i="20"/>
  <c r="L2" i="19"/>
  <c r="K2" i="19"/>
  <c r="J2" i="19"/>
  <c r="I2" i="19"/>
  <c r="H2" i="19"/>
  <c r="G2" i="19"/>
  <c r="F2" i="19"/>
  <c r="E2" i="19"/>
  <c r="D2" i="19"/>
  <c r="C2" i="19"/>
  <c r="B2" i="19"/>
  <c r="A2" i="19"/>
  <c r="L2" i="45"/>
  <c r="K2" i="45"/>
  <c r="J2" i="45"/>
  <c r="I2" i="45"/>
  <c r="H2" i="45"/>
  <c r="G2" i="45"/>
  <c r="F2" i="45"/>
  <c r="E2" i="45"/>
  <c r="D2" i="45"/>
  <c r="C2" i="45"/>
  <c r="B2" i="45"/>
  <c r="A2" i="45"/>
  <c r="L2" i="43"/>
  <c r="K2" i="43"/>
  <c r="J2" i="43"/>
  <c r="I2" i="43"/>
  <c r="H2" i="43"/>
  <c r="G2" i="43"/>
  <c r="F2" i="43"/>
  <c r="E2" i="43"/>
  <c r="D2" i="43"/>
  <c r="C2" i="43"/>
  <c r="B2" i="43"/>
  <c r="A2" i="43"/>
  <c r="L2" i="41"/>
  <c r="K2" i="41"/>
  <c r="J2" i="41"/>
  <c r="I2" i="41"/>
  <c r="H2" i="41"/>
  <c r="G2" i="41"/>
  <c r="F2" i="41"/>
  <c r="E2" i="41"/>
  <c r="D2" i="41"/>
  <c r="C2" i="41"/>
  <c r="B2" i="41"/>
  <c r="A2" i="41"/>
  <c r="L2" i="31"/>
  <c r="K2" i="31"/>
  <c r="J2" i="31"/>
  <c r="I2" i="31"/>
  <c r="H2" i="31"/>
  <c r="G2" i="31"/>
  <c r="F2" i="31"/>
  <c r="E2" i="31"/>
  <c r="D2" i="31"/>
  <c r="C2" i="31"/>
  <c r="B2" i="31"/>
  <c r="A2" i="31"/>
  <c r="L2" i="25"/>
  <c r="K2" i="25"/>
  <c r="J2" i="25"/>
  <c r="I2" i="25"/>
  <c r="H2" i="25"/>
  <c r="G2" i="25"/>
  <c r="F2" i="25"/>
  <c r="E2" i="25"/>
  <c r="D2" i="25"/>
  <c r="C2" i="25"/>
  <c r="B2" i="25"/>
  <c r="A2" i="25"/>
  <c r="L2" i="23"/>
  <c r="K2" i="23"/>
  <c r="J2" i="23"/>
  <c r="I2" i="23"/>
  <c r="H2" i="23"/>
  <c r="G2" i="23"/>
  <c r="F2" i="23"/>
  <c r="E2" i="23"/>
  <c r="D2" i="23"/>
  <c r="C2" i="23"/>
  <c r="B2" i="23"/>
  <c r="A2" i="23"/>
  <c r="L2" i="46"/>
  <c r="K2" i="46"/>
  <c r="J2" i="46"/>
  <c r="I2" i="46"/>
  <c r="H2" i="46"/>
  <c r="G2" i="46"/>
  <c r="F2" i="46"/>
  <c r="E2" i="46"/>
  <c r="D2" i="46"/>
  <c r="C2" i="46"/>
  <c r="B2" i="46"/>
  <c r="A2" i="46"/>
  <c r="L2" i="16"/>
  <c r="K2" i="16"/>
  <c r="J2" i="16"/>
  <c r="I2" i="16"/>
  <c r="H2" i="16"/>
  <c r="G2" i="16"/>
  <c r="F2" i="16"/>
  <c r="E2" i="16"/>
  <c r="D2" i="16"/>
  <c r="C2" i="16"/>
  <c r="B2" i="16"/>
  <c r="A2" i="16"/>
  <c r="L2" i="14"/>
  <c r="K2" i="14"/>
  <c r="J2" i="14"/>
  <c r="I2" i="14"/>
  <c r="H2" i="14"/>
  <c r="G2" i="14"/>
  <c r="F2" i="14"/>
  <c r="E2" i="14"/>
  <c r="D2" i="14"/>
  <c r="C2" i="14"/>
  <c r="B2" i="14"/>
  <c r="A2" i="14"/>
  <c r="L2" i="12"/>
  <c r="K2" i="12"/>
  <c r="J2" i="12"/>
  <c r="I2" i="12"/>
  <c r="H2" i="12"/>
  <c r="G2" i="12"/>
  <c r="F2" i="12"/>
  <c r="E2" i="12"/>
  <c r="D2" i="12"/>
  <c r="C2" i="12"/>
  <c r="B2" i="12"/>
  <c r="A2" i="12"/>
  <c r="L2" i="10"/>
  <c r="K2" i="10"/>
  <c r="J2" i="10"/>
  <c r="I2" i="10"/>
  <c r="H2" i="10"/>
  <c r="G2" i="10"/>
  <c r="F2" i="10"/>
  <c r="E2" i="10"/>
  <c r="D2" i="10"/>
  <c r="C2" i="10"/>
  <c r="B2" i="10"/>
  <c r="A2" i="10"/>
  <c r="L2" i="8"/>
  <c r="K2" i="8"/>
  <c r="J2" i="8"/>
  <c r="I2" i="8"/>
  <c r="H2" i="8"/>
  <c r="G2" i="8"/>
  <c r="F2" i="8"/>
  <c r="E2" i="8"/>
  <c r="D2" i="8"/>
  <c r="C2" i="8"/>
  <c r="B2" i="8"/>
  <c r="A2" i="8"/>
  <c r="L2" i="7"/>
  <c r="K2" i="7"/>
  <c r="J2" i="7"/>
  <c r="I2" i="7"/>
  <c r="H2" i="7"/>
  <c r="G2" i="7"/>
  <c r="F2" i="7"/>
  <c r="E2" i="7"/>
  <c r="D2" i="7"/>
  <c r="C2" i="7"/>
  <c r="B2" i="7"/>
  <c r="A2" i="7"/>
  <c r="L2" i="4"/>
  <c r="K2" i="4"/>
  <c r="J2" i="4"/>
  <c r="I2" i="4"/>
  <c r="H2" i="4"/>
  <c r="G2" i="4"/>
  <c r="F2" i="4"/>
  <c r="E2" i="4"/>
  <c r="D2" i="4"/>
  <c r="C2" i="4"/>
  <c r="B2" i="4"/>
  <c r="A2" i="4"/>
  <c r="L2" i="3"/>
  <c r="K2" i="3"/>
  <c r="J2" i="3"/>
  <c r="I2" i="3"/>
  <c r="H2" i="3"/>
  <c r="G2" i="3"/>
  <c r="F2" i="3"/>
  <c r="E2" i="3"/>
  <c r="D2" i="3"/>
  <c r="C2" i="3"/>
  <c r="B2" i="3"/>
  <c r="A2" i="3"/>
  <c r="L2" i="2"/>
  <c r="K2" i="2"/>
  <c r="J2" i="2"/>
  <c r="I2" i="2"/>
  <c r="H2" i="2"/>
  <c r="G2" i="2"/>
  <c r="F2" i="2"/>
  <c r="A2" i="2"/>
  <c r="L2" i="1"/>
  <c r="K2" i="1"/>
  <c r="J2" i="1"/>
  <c r="I2" i="1"/>
  <c r="H2" i="1"/>
  <c r="G2" i="1"/>
  <c r="A2" i="26"/>
  <c r="L2" i="42"/>
  <c r="K2" i="42"/>
  <c r="I2" i="42"/>
  <c r="H2" i="42"/>
  <c r="A2" i="42"/>
  <c r="L2" i="15"/>
  <c r="K2" i="15"/>
  <c r="J2" i="15"/>
  <c r="H2" i="15"/>
  <c r="G2" i="15"/>
  <c r="F2" i="15"/>
  <c r="E2" i="15"/>
  <c r="D2" i="15"/>
  <c r="C2" i="15"/>
  <c r="B2" i="15"/>
  <c r="A2" i="15"/>
  <c r="L2" i="21"/>
  <c r="K2" i="21"/>
  <c r="J2" i="21"/>
  <c r="I2" i="21"/>
  <c r="H2" i="21"/>
  <c r="G2" i="21"/>
  <c r="F2" i="21"/>
  <c r="E2" i="21"/>
  <c r="D2" i="21"/>
  <c r="C2" i="21"/>
  <c r="B2" i="21"/>
  <c r="A2" i="21"/>
  <c r="L2" i="27"/>
  <c r="K2" i="27"/>
  <c r="J2" i="27"/>
  <c r="I2" i="27"/>
  <c r="H2" i="27"/>
  <c r="G2" i="27"/>
  <c r="F2" i="27"/>
  <c r="E2" i="27"/>
  <c r="D2" i="27"/>
  <c r="C2" i="27"/>
  <c r="B2" i="27"/>
  <c r="A2" i="27"/>
  <c r="L2" i="17"/>
  <c r="K2" i="17"/>
  <c r="J2" i="17"/>
  <c r="I2" i="17"/>
  <c r="H2" i="17"/>
  <c r="G2" i="17"/>
  <c r="F2" i="17"/>
  <c r="E2" i="17"/>
  <c r="D2" i="17"/>
  <c r="C2" i="17"/>
  <c r="B2" i="17"/>
  <c r="A2" i="17"/>
  <c r="L2" i="11"/>
  <c r="K2" i="11"/>
  <c r="J2" i="11"/>
  <c r="I2" i="11"/>
  <c r="H2" i="11"/>
  <c r="G2" i="11"/>
  <c r="F2" i="11"/>
  <c r="E2" i="11"/>
  <c r="D2" i="11"/>
  <c r="C2" i="11"/>
  <c r="B2" i="11"/>
  <c r="A2" i="11"/>
  <c r="K2" i="9"/>
  <c r="J2" i="9"/>
  <c r="I2" i="9"/>
  <c r="H2" i="9"/>
  <c r="G2" i="9"/>
  <c r="F2" i="9"/>
  <c r="E2" i="9"/>
  <c r="D2" i="9"/>
  <c r="C2" i="9"/>
  <c r="B2" i="9"/>
  <c r="A2" i="9"/>
  <c r="L2" i="6"/>
  <c r="K2" i="6"/>
  <c r="J2" i="6"/>
  <c r="I2" i="6"/>
  <c r="H2" i="6"/>
  <c r="G2" i="6"/>
  <c r="F2" i="6"/>
  <c r="E2" i="6"/>
  <c r="D2" i="6"/>
  <c r="C2" i="6"/>
  <c r="B2" i="6"/>
  <c r="A2" i="6"/>
  <c r="M2" i="5"/>
  <c r="L2" i="5"/>
  <c r="K2" i="5"/>
  <c r="J2" i="5"/>
  <c r="I2" i="5"/>
  <c r="H2" i="5"/>
  <c r="G2" i="5"/>
  <c r="F2" i="5"/>
  <c r="E2" i="5"/>
  <c r="D2" i="5"/>
  <c r="C2" i="5"/>
  <c r="B2" i="5"/>
  <c r="A2" i="5"/>
  <c r="T23" i="15" l="1"/>
  <c r="E45" i="2"/>
  <c r="E44" i="2"/>
  <c r="E43" i="2"/>
  <c r="E42" i="2"/>
  <c r="B52" i="2"/>
  <c r="B48" i="2"/>
  <c r="C61" i="2"/>
  <c r="C60" i="2"/>
  <c r="C59" i="2"/>
  <c r="A69" i="2"/>
  <c r="A68" i="2"/>
  <c r="A67" i="2"/>
  <c r="A66" i="2"/>
  <c r="A65" i="2"/>
  <c r="D69" i="2"/>
  <c r="D68" i="2"/>
  <c r="D67" i="2"/>
  <c r="D66" i="2"/>
  <c r="D65" i="2"/>
  <c r="C69" i="2"/>
  <c r="C68" i="2"/>
  <c r="C67" i="2"/>
  <c r="C66" i="2"/>
  <c r="C65" i="2"/>
  <c r="B69" i="2"/>
  <c r="B68" i="2"/>
  <c r="B67" i="2"/>
  <c r="B66" i="2"/>
  <c r="B65" i="2"/>
  <c r="D61" i="2"/>
  <c r="D60" i="2"/>
  <c r="D59" i="2"/>
  <c r="B61" i="2"/>
  <c r="B60" i="2"/>
  <c r="B59" i="2"/>
  <c r="D45" i="2"/>
  <c r="D44" i="2"/>
  <c r="D43" i="2"/>
  <c r="D42" i="2"/>
  <c r="D41" i="2"/>
  <c r="E41" i="2" s="1"/>
  <c r="D44" i="5"/>
  <c r="I27" i="22"/>
  <c r="E27" i="22"/>
  <c r="A23" i="11"/>
  <c r="A29" i="31" s="1"/>
  <c r="D29" i="31" s="1"/>
  <c r="D24" i="17"/>
  <c r="B24" i="17"/>
  <c r="A24" i="17"/>
  <c r="D23" i="17"/>
  <c r="H26" i="27" s="1"/>
  <c r="B23" i="17"/>
  <c r="A23" i="17"/>
  <c r="D22" i="17"/>
  <c r="H25" i="27" s="1"/>
  <c r="B22" i="17"/>
  <c r="A22" i="17"/>
  <c r="D21" i="17"/>
  <c r="H24" i="27" s="1"/>
  <c r="B21" i="17"/>
  <c r="A21" i="17"/>
  <c r="D20" i="17"/>
  <c r="H23" i="27" s="1"/>
  <c r="B20" i="17"/>
  <c r="A20" i="17"/>
  <c r="D19" i="17"/>
  <c r="B19" i="17"/>
  <c r="A19" i="17"/>
  <c r="D18" i="17"/>
  <c r="H21" i="27" s="1"/>
  <c r="B18" i="17"/>
  <c r="A18" i="17"/>
  <c r="D17" i="17"/>
  <c r="H20" i="27" s="1"/>
  <c r="B17" i="17"/>
  <c r="A17" i="17"/>
  <c r="D16" i="17"/>
  <c r="H19" i="27" s="1"/>
  <c r="B16" i="17"/>
  <c r="A16" i="17"/>
  <c r="D15" i="17"/>
  <c r="H18" i="27" s="1"/>
  <c r="B15" i="17"/>
  <c r="A15" i="17"/>
  <c r="D14" i="17"/>
  <c r="H17" i="27" s="1"/>
  <c r="B14" i="17"/>
  <c r="A14" i="17"/>
  <c r="D13" i="17"/>
  <c r="H16" i="27" s="1"/>
  <c r="B13" i="17"/>
  <c r="A13" i="17"/>
  <c r="D12" i="17"/>
  <c r="H15" i="27" s="1"/>
  <c r="B12" i="17"/>
  <c r="A12" i="17"/>
  <c r="D11" i="17"/>
  <c r="H14" i="27" s="1"/>
  <c r="B11" i="17"/>
  <c r="A11" i="17"/>
  <c r="D10" i="17"/>
  <c r="H13" i="27" s="1"/>
  <c r="B10" i="17"/>
  <c r="A10" i="17"/>
  <c r="D9" i="17"/>
  <c r="B9" i="17"/>
  <c r="A9" i="17"/>
  <c r="D8" i="17"/>
  <c r="H11" i="27" s="1"/>
  <c r="B8" i="17"/>
  <c r="A8" i="17"/>
  <c r="D7" i="17"/>
  <c r="B7" i="17"/>
  <c r="A7" i="17"/>
  <c r="D6" i="17"/>
  <c r="H9" i="27" s="1"/>
  <c r="B6" i="17"/>
  <c r="A6" i="17"/>
  <c r="D5" i="17"/>
  <c r="B5" i="17"/>
  <c r="A5" i="17"/>
  <c r="Y1" i="17"/>
  <c r="I25" i="45"/>
  <c r="I24" i="45"/>
  <c r="I23" i="45"/>
  <c r="I22" i="45"/>
  <c r="I21" i="45"/>
  <c r="I20" i="45"/>
  <c r="I19" i="45"/>
  <c r="I18" i="45"/>
  <c r="I17" i="45"/>
  <c r="I16" i="45"/>
  <c r="I15" i="45"/>
  <c r="I14" i="45"/>
  <c r="I13" i="45"/>
  <c r="I12" i="45"/>
  <c r="I11" i="45"/>
  <c r="I10" i="45"/>
  <c r="I9" i="45"/>
  <c r="I8" i="45"/>
  <c r="I7" i="45"/>
  <c r="I6" i="45"/>
  <c r="G6" i="45"/>
  <c r="G7" i="45"/>
  <c r="O7" i="45" s="1"/>
  <c r="G8" i="45"/>
  <c r="G9" i="45"/>
  <c r="O9" i="45" s="1"/>
  <c r="R9" i="45" s="1"/>
  <c r="G10" i="45"/>
  <c r="G11" i="45"/>
  <c r="G12" i="45"/>
  <c r="G13" i="45"/>
  <c r="G14" i="45"/>
  <c r="G15" i="45"/>
  <c r="O15" i="45" s="1"/>
  <c r="R15" i="45" s="1"/>
  <c r="G16" i="45"/>
  <c r="G17" i="45"/>
  <c r="O17" i="45" s="1"/>
  <c r="R17" i="45" s="1"/>
  <c r="G18" i="45"/>
  <c r="G19" i="45"/>
  <c r="O19" i="45" s="1"/>
  <c r="R19" i="45" s="1"/>
  <c r="G20" i="45"/>
  <c r="G21" i="45"/>
  <c r="O21" i="45" s="1"/>
  <c r="G22" i="45"/>
  <c r="G23" i="45"/>
  <c r="G24" i="45"/>
  <c r="G25" i="45"/>
  <c r="O25" i="45"/>
  <c r="O24" i="45"/>
  <c r="O23" i="45"/>
  <c r="O22" i="45"/>
  <c r="O20" i="45"/>
  <c r="O18" i="45"/>
  <c r="R18" i="45" s="1"/>
  <c r="O16" i="45"/>
  <c r="O14" i="45"/>
  <c r="O13" i="45"/>
  <c r="R13" i="45" s="1"/>
  <c r="O12" i="45"/>
  <c r="R12" i="45" s="1"/>
  <c r="O11" i="45"/>
  <c r="R11" i="45" s="1"/>
  <c r="O10" i="45"/>
  <c r="P10" i="45" s="1"/>
  <c r="O8" i="45"/>
  <c r="P8" i="45" s="1"/>
  <c r="O6" i="45"/>
  <c r="R6" i="45" s="1"/>
  <c r="Q43" i="45"/>
  <c r="P25" i="45"/>
  <c r="P24" i="45"/>
  <c r="P23" i="45"/>
  <c r="P22" i="45"/>
  <c r="P21" i="45"/>
  <c r="P20" i="45"/>
  <c r="P19" i="45"/>
  <c r="P18" i="45"/>
  <c r="P17" i="45"/>
  <c r="P16" i="45"/>
  <c r="P15" i="45"/>
  <c r="P14" i="45"/>
  <c r="P13" i="45"/>
  <c r="P12" i="45"/>
  <c r="P11" i="45"/>
  <c r="P6" i="45"/>
  <c r="J25" i="45"/>
  <c r="F25" i="45"/>
  <c r="E25" i="45"/>
  <c r="D25" i="45"/>
  <c r="C25" i="45"/>
  <c r="B25" i="45"/>
  <c r="J24" i="45"/>
  <c r="F24" i="45"/>
  <c r="E24" i="45"/>
  <c r="D24" i="45"/>
  <c r="C24" i="45"/>
  <c r="B24" i="45"/>
  <c r="J23" i="45"/>
  <c r="F23" i="45"/>
  <c r="E23" i="45"/>
  <c r="D23" i="45"/>
  <c r="C23" i="45"/>
  <c r="B23" i="45"/>
  <c r="J22" i="45"/>
  <c r="F22" i="45"/>
  <c r="E22" i="45"/>
  <c r="D22" i="45"/>
  <c r="C22" i="45"/>
  <c r="B22" i="45"/>
  <c r="J21" i="45"/>
  <c r="F21" i="45"/>
  <c r="E21" i="45"/>
  <c r="D21" i="45"/>
  <c r="C21" i="45"/>
  <c r="B21" i="45"/>
  <c r="J20" i="45"/>
  <c r="F20" i="45"/>
  <c r="E20" i="45"/>
  <c r="D20" i="45"/>
  <c r="C20" i="45"/>
  <c r="B20" i="45"/>
  <c r="J19" i="45"/>
  <c r="F19" i="45"/>
  <c r="E19" i="45"/>
  <c r="D19" i="45"/>
  <c r="C19" i="45"/>
  <c r="B19" i="45"/>
  <c r="J18" i="45"/>
  <c r="F18" i="45"/>
  <c r="E18" i="45"/>
  <c r="D18" i="45"/>
  <c r="C18" i="45"/>
  <c r="B18" i="45"/>
  <c r="J17" i="45"/>
  <c r="F17" i="45"/>
  <c r="E17" i="45"/>
  <c r="D17" i="45"/>
  <c r="C17" i="45"/>
  <c r="B17" i="45"/>
  <c r="J16" i="45"/>
  <c r="F16" i="45"/>
  <c r="E16" i="45"/>
  <c r="D16" i="45"/>
  <c r="C16" i="45"/>
  <c r="B16" i="45"/>
  <c r="J15" i="45"/>
  <c r="F15" i="45"/>
  <c r="E15" i="45"/>
  <c r="D15" i="45"/>
  <c r="C15" i="45"/>
  <c r="B15" i="45"/>
  <c r="J14" i="45"/>
  <c r="F14" i="45"/>
  <c r="E14" i="45"/>
  <c r="D14" i="45"/>
  <c r="C14" i="45"/>
  <c r="B14" i="45"/>
  <c r="J13" i="45"/>
  <c r="F13" i="45"/>
  <c r="E13" i="45"/>
  <c r="D13" i="45"/>
  <c r="C13" i="45"/>
  <c r="B13" i="45"/>
  <c r="J12" i="45"/>
  <c r="F12" i="45"/>
  <c r="E12" i="45"/>
  <c r="D12" i="45"/>
  <c r="C12" i="45"/>
  <c r="B12" i="45"/>
  <c r="J11" i="45"/>
  <c r="F11" i="45"/>
  <c r="E11" i="45"/>
  <c r="D11" i="45"/>
  <c r="C11" i="45"/>
  <c r="B11" i="45"/>
  <c r="J10" i="45"/>
  <c r="F10" i="45"/>
  <c r="E10" i="45"/>
  <c r="D10" i="45"/>
  <c r="C10" i="45"/>
  <c r="B10" i="45"/>
  <c r="J9" i="45"/>
  <c r="F9" i="45"/>
  <c r="E9" i="45"/>
  <c r="D9" i="45"/>
  <c r="C9" i="45"/>
  <c r="B9" i="45"/>
  <c r="J8" i="45"/>
  <c r="F8" i="45"/>
  <c r="E8" i="45"/>
  <c r="D8" i="45"/>
  <c r="C8" i="45"/>
  <c r="B8" i="45"/>
  <c r="J7" i="45"/>
  <c r="F7" i="45"/>
  <c r="E7" i="45"/>
  <c r="D7" i="45"/>
  <c r="C7" i="45"/>
  <c r="B7" i="45"/>
  <c r="J6" i="45"/>
  <c r="F6" i="45"/>
  <c r="E6" i="45"/>
  <c r="D6" i="45"/>
  <c r="C6" i="45"/>
  <c r="B6" i="45"/>
  <c r="K4" i="45"/>
  <c r="D4" i="45"/>
  <c r="E24" i="41"/>
  <c r="G24" i="8"/>
  <c r="D24" i="8"/>
  <c r="C24" i="8"/>
  <c r="B24" i="8"/>
  <c r="G23" i="8"/>
  <c r="D23" i="8"/>
  <c r="C23" i="8"/>
  <c r="B23" i="8"/>
  <c r="G22" i="8"/>
  <c r="D22" i="8"/>
  <c r="C22" i="8"/>
  <c r="B22" i="8"/>
  <c r="G21" i="8"/>
  <c r="D21" i="8"/>
  <c r="C21" i="8"/>
  <c r="B21" i="8"/>
  <c r="G20" i="8"/>
  <c r="D20" i="8"/>
  <c r="C20" i="8"/>
  <c r="B20" i="8"/>
  <c r="G19" i="8"/>
  <c r="D19" i="8"/>
  <c r="C19" i="8"/>
  <c r="B19" i="8"/>
  <c r="G18" i="8"/>
  <c r="D18" i="8"/>
  <c r="C18" i="8"/>
  <c r="B18" i="8"/>
  <c r="G17" i="8"/>
  <c r="D17" i="8"/>
  <c r="C17" i="8"/>
  <c r="B17" i="8"/>
  <c r="G16" i="8"/>
  <c r="D16" i="8"/>
  <c r="C16" i="8"/>
  <c r="B16" i="8"/>
  <c r="G15" i="8"/>
  <c r="D15" i="8"/>
  <c r="C15" i="8"/>
  <c r="B15" i="8"/>
  <c r="G14" i="8"/>
  <c r="D14" i="8"/>
  <c r="C14" i="8"/>
  <c r="B14" i="8"/>
  <c r="G13" i="8"/>
  <c r="D13" i="8"/>
  <c r="C13" i="8"/>
  <c r="B13" i="8"/>
  <c r="G12" i="8"/>
  <c r="D12" i="8"/>
  <c r="C12" i="8"/>
  <c r="B12" i="8"/>
  <c r="G11" i="8"/>
  <c r="D11" i="8"/>
  <c r="C11" i="8"/>
  <c r="B11" i="8"/>
  <c r="G10" i="8"/>
  <c r="D10" i="8"/>
  <c r="C10" i="8"/>
  <c r="B10" i="8"/>
  <c r="G9" i="8"/>
  <c r="D9" i="8"/>
  <c r="C9" i="8"/>
  <c r="B9" i="8"/>
  <c r="G8" i="8"/>
  <c r="D8" i="8"/>
  <c r="C8" i="8"/>
  <c r="B8" i="8"/>
  <c r="G7" i="8"/>
  <c r="D7" i="8"/>
  <c r="C7" i="8"/>
  <c r="B7" i="8"/>
  <c r="G6" i="8"/>
  <c r="D6" i="8"/>
  <c r="C6" i="8"/>
  <c r="B6" i="8"/>
  <c r="G5" i="8"/>
  <c r="D5" i="8"/>
  <c r="C5" i="8"/>
  <c r="B5" i="8"/>
  <c r="E33" i="7"/>
  <c r="D33" i="7"/>
  <c r="C33" i="7"/>
  <c r="B33" i="7"/>
  <c r="E32" i="7"/>
  <c r="D32" i="7"/>
  <c r="C32" i="7"/>
  <c r="B32" i="7"/>
  <c r="E31" i="7"/>
  <c r="D31" i="7"/>
  <c r="C31" i="7"/>
  <c r="B31" i="7"/>
  <c r="E30" i="7"/>
  <c r="D30" i="7"/>
  <c r="C30" i="7"/>
  <c r="B30" i="7"/>
  <c r="E29" i="7"/>
  <c r="D29" i="7"/>
  <c r="C29" i="7"/>
  <c r="B29" i="7"/>
  <c r="E28" i="7"/>
  <c r="D28" i="7"/>
  <c r="C28" i="7"/>
  <c r="B28" i="7"/>
  <c r="E27" i="7"/>
  <c r="D27" i="7"/>
  <c r="C27" i="7"/>
  <c r="B27" i="7"/>
  <c r="E26" i="7"/>
  <c r="D26" i="7"/>
  <c r="C26" i="7"/>
  <c r="B26" i="7"/>
  <c r="E25" i="7"/>
  <c r="D25" i="7"/>
  <c r="C25" i="7"/>
  <c r="B25" i="7"/>
  <c r="E24" i="7"/>
  <c r="D24" i="7"/>
  <c r="C24" i="7"/>
  <c r="B24" i="7"/>
  <c r="E23" i="7"/>
  <c r="D23" i="7"/>
  <c r="C23" i="7"/>
  <c r="B23" i="7"/>
  <c r="E22" i="7"/>
  <c r="D22" i="7"/>
  <c r="C22" i="7"/>
  <c r="B22" i="7"/>
  <c r="E21" i="7"/>
  <c r="D21" i="7"/>
  <c r="C21" i="7"/>
  <c r="B21" i="7"/>
  <c r="E20" i="7"/>
  <c r="D20" i="7"/>
  <c r="C20" i="7"/>
  <c r="B20" i="7"/>
  <c r="E19" i="7"/>
  <c r="D19" i="7"/>
  <c r="C19" i="7"/>
  <c r="B19" i="7"/>
  <c r="E18" i="7"/>
  <c r="D18" i="7"/>
  <c r="C18" i="7"/>
  <c r="B18" i="7"/>
  <c r="E17" i="7"/>
  <c r="D17" i="7"/>
  <c r="C17" i="7"/>
  <c r="B17" i="7"/>
  <c r="E16" i="7"/>
  <c r="D16" i="7"/>
  <c r="C16" i="7"/>
  <c r="B16" i="7"/>
  <c r="E15" i="7"/>
  <c r="D15" i="7"/>
  <c r="C15" i="7"/>
  <c r="B15" i="7"/>
  <c r="E14" i="7"/>
  <c r="D14" i="7"/>
  <c r="C14" i="7"/>
  <c r="B14" i="7"/>
  <c r="M62" i="5"/>
  <c r="L62" i="5"/>
  <c r="J62" i="5"/>
  <c r="F62" i="5"/>
  <c r="D62" i="5"/>
  <c r="C62" i="5"/>
  <c r="B62" i="5"/>
  <c r="M61" i="5"/>
  <c r="L61" i="5"/>
  <c r="J61" i="5"/>
  <c r="F61" i="5"/>
  <c r="D61" i="5"/>
  <c r="C61" i="5"/>
  <c r="B61" i="5"/>
  <c r="M60" i="5"/>
  <c r="L60" i="5"/>
  <c r="J60" i="5"/>
  <c r="F60" i="5"/>
  <c r="D60" i="5"/>
  <c r="C60" i="5"/>
  <c r="B60" i="5"/>
  <c r="M59" i="5"/>
  <c r="L59" i="5"/>
  <c r="J59" i="5"/>
  <c r="F59" i="5"/>
  <c r="D59" i="5"/>
  <c r="C59" i="5"/>
  <c r="B59" i="5"/>
  <c r="M58" i="5"/>
  <c r="L58" i="5"/>
  <c r="J58" i="5"/>
  <c r="F58" i="5"/>
  <c r="D58" i="5"/>
  <c r="C58" i="5"/>
  <c r="B58" i="5"/>
  <c r="M57" i="5"/>
  <c r="L57" i="5"/>
  <c r="J57" i="5"/>
  <c r="F57" i="5"/>
  <c r="D57" i="5"/>
  <c r="C57" i="5"/>
  <c r="B57" i="5"/>
  <c r="M56" i="5"/>
  <c r="L56" i="5"/>
  <c r="J56" i="5"/>
  <c r="F56" i="5"/>
  <c r="D56" i="5"/>
  <c r="C56" i="5"/>
  <c r="B56" i="5"/>
  <c r="M55" i="5"/>
  <c r="L55" i="5"/>
  <c r="J55" i="5"/>
  <c r="F55" i="5"/>
  <c r="D55" i="5"/>
  <c r="C55" i="5"/>
  <c r="B55" i="5"/>
  <c r="M54" i="5"/>
  <c r="L54" i="5"/>
  <c r="J54" i="5"/>
  <c r="F54" i="5"/>
  <c r="D54" i="5"/>
  <c r="C54" i="5"/>
  <c r="B54" i="5"/>
  <c r="M53" i="5"/>
  <c r="L53" i="5"/>
  <c r="J53" i="5"/>
  <c r="F53" i="5"/>
  <c r="D53" i="5"/>
  <c r="C53" i="5"/>
  <c r="B53" i="5"/>
  <c r="M52" i="5"/>
  <c r="L52" i="5"/>
  <c r="J52" i="5"/>
  <c r="F52" i="5"/>
  <c r="D52" i="5"/>
  <c r="C52" i="5"/>
  <c r="B52" i="5"/>
  <c r="M51" i="5"/>
  <c r="L51" i="5"/>
  <c r="J51" i="5"/>
  <c r="F51" i="5"/>
  <c r="D51" i="5"/>
  <c r="C51" i="5"/>
  <c r="B51" i="5"/>
  <c r="M50" i="5"/>
  <c r="L50" i="5"/>
  <c r="J50" i="5"/>
  <c r="F50" i="5"/>
  <c r="D50" i="5"/>
  <c r="C50" i="5"/>
  <c r="B50" i="5"/>
  <c r="M49" i="5"/>
  <c r="L49" i="5"/>
  <c r="J49" i="5"/>
  <c r="F49" i="5"/>
  <c r="D49" i="5"/>
  <c r="C49" i="5"/>
  <c r="B49" i="5"/>
  <c r="M48" i="5"/>
  <c r="L48" i="5"/>
  <c r="J48" i="5"/>
  <c r="F48" i="5"/>
  <c r="D48" i="5"/>
  <c r="C48" i="5"/>
  <c r="B48" i="5"/>
  <c r="M47" i="5"/>
  <c r="L47" i="5"/>
  <c r="J47" i="5"/>
  <c r="F47" i="5"/>
  <c r="D47" i="5"/>
  <c r="C47" i="5"/>
  <c r="B47" i="5"/>
  <c r="M46" i="5"/>
  <c r="L46" i="5"/>
  <c r="J46" i="5"/>
  <c r="F46" i="5"/>
  <c r="D46" i="5"/>
  <c r="C46" i="5"/>
  <c r="B46" i="5"/>
  <c r="M45" i="5"/>
  <c r="L45" i="5"/>
  <c r="J45" i="5"/>
  <c r="F45" i="5"/>
  <c r="D45" i="5"/>
  <c r="C45" i="5"/>
  <c r="B45" i="5"/>
  <c r="M44" i="5"/>
  <c r="L44" i="5"/>
  <c r="J44" i="5"/>
  <c r="F44" i="5"/>
  <c r="C44" i="5"/>
  <c r="B44" i="5"/>
  <c r="M43" i="5"/>
  <c r="L43" i="5"/>
  <c r="J43" i="5"/>
  <c r="F43" i="5"/>
  <c r="D43" i="5"/>
  <c r="C43" i="5"/>
  <c r="B43" i="5"/>
  <c r="B47" i="33"/>
  <c r="B33" i="33"/>
  <c r="C32" i="33"/>
  <c r="B32" i="33"/>
  <c r="C30" i="33"/>
  <c r="B30" i="33"/>
  <c r="C29" i="33"/>
  <c r="B29" i="33"/>
  <c r="B38" i="32"/>
  <c r="B36" i="32"/>
  <c r="B35" i="32"/>
  <c r="C33" i="32"/>
  <c r="B33" i="32"/>
  <c r="C32" i="32"/>
  <c r="B32" i="32"/>
  <c r="C31" i="32"/>
  <c r="B31" i="32"/>
  <c r="C30" i="32"/>
  <c r="B30" i="32"/>
  <c r="C29" i="32"/>
  <c r="B29" i="32"/>
  <c r="K25" i="32"/>
  <c r="K24" i="32"/>
  <c r="K23" i="32"/>
  <c r="K22" i="32"/>
  <c r="K21" i="32"/>
  <c r="K20" i="32"/>
  <c r="K19" i="32"/>
  <c r="K18" i="32"/>
  <c r="K17" i="32"/>
  <c r="K15" i="32"/>
  <c r="K14" i="32"/>
  <c r="K13" i="32"/>
  <c r="K12" i="32"/>
  <c r="K11" i="32"/>
  <c r="K9" i="32"/>
  <c r="K8" i="32"/>
  <c r="K7" i="32"/>
  <c r="K6" i="32"/>
  <c r="H29" i="31"/>
  <c r="G29" i="31"/>
  <c r="E29" i="31"/>
  <c r="C29" i="31"/>
  <c r="B29" i="31"/>
  <c r="H28" i="31"/>
  <c r="G28" i="31"/>
  <c r="E28" i="31"/>
  <c r="C28" i="31"/>
  <c r="B28" i="31"/>
  <c r="H27" i="31"/>
  <c r="G27" i="31"/>
  <c r="E27" i="31"/>
  <c r="C27" i="31"/>
  <c r="B27" i="31"/>
  <c r="H26" i="31"/>
  <c r="E26" i="31"/>
  <c r="C26" i="31"/>
  <c r="B26" i="31"/>
  <c r="H25" i="31"/>
  <c r="G25" i="31"/>
  <c r="E25" i="31"/>
  <c r="C25" i="31"/>
  <c r="B25" i="31"/>
  <c r="H24" i="31"/>
  <c r="G24" i="31"/>
  <c r="E24" i="31"/>
  <c r="C24" i="31"/>
  <c r="B24" i="31"/>
  <c r="H23" i="31"/>
  <c r="E23" i="31"/>
  <c r="C23" i="31"/>
  <c r="B23" i="31"/>
  <c r="H22" i="31"/>
  <c r="G22" i="31"/>
  <c r="E22" i="31"/>
  <c r="C22" i="31"/>
  <c r="B22" i="31"/>
  <c r="H21" i="31"/>
  <c r="G21" i="31"/>
  <c r="E21" i="31"/>
  <c r="C21" i="31"/>
  <c r="B21" i="31"/>
  <c r="H20" i="31"/>
  <c r="E20" i="31"/>
  <c r="C20" i="31"/>
  <c r="B20" i="31"/>
  <c r="H19" i="31"/>
  <c r="G19" i="31"/>
  <c r="E19" i="31"/>
  <c r="C19" i="31"/>
  <c r="B19" i="31"/>
  <c r="H18" i="31"/>
  <c r="G18" i="31"/>
  <c r="E18" i="31"/>
  <c r="C18" i="31"/>
  <c r="B18" i="31"/>
  <c r="H17" i="31"/>
  <c r="E17" i="31"/>
  <c r="C17" i="31"/>
  <c r="B17" i="31"/>
  <c r="H16" i="31"/>
  <c r="G16" i="31"/>
  <c r="E16" i="31"/>
  <c r="C16" i="31"/>
  <c r="B16" i="31"/>
  <c r="H15" i="31"/>
  <c r="E15" i="31"/>
  <c r="C15" i="31"/>
  <c r="B15" i="31"/>
  <c r="H14" i="31"/>
  <c r="G14" i="31"/>
  <c r="E14" i="31"/>
  <c r="C14" i="31"/>
  <c r="B14" i="31"/>
  <c r="H13" i="31"/>
  <c r="G13" i="31"/>
  <c r="E13" i="31"/>
  <c r="C13" i="31"/>
  <c r="B13" i="31"/>
  <c r="H12" i="31"/>
  <c r="E12" i="31"/>
  <c r="C12" i="31"/>
  <c r="B12" i="31"/>
  <c r="H11" i="31"/>
  <c r="G11" i="31"/>
  <c r="E11" i="31"/>
  <c r="C11" i="31"/>
  <c r="B11" i="31"/>
  <c r="H10" i="31"/>
  <c r="G10" i="31"/>
  <c r="F10" i="31"/>
  <c r="E10" i="31"/>
  <c r="C10" i="31"/>
  <c r="B10" i="31"/>
  <c r="A10" i="31"/>
  <c r="D10" i="31" s="1"/>
  <c r="K7" i="31"/>
  <c r="B53" i="30"/>
  <c r="B35" i="30"/>
  <c r="C24" i="30"/>
  <c r="D24" i="30" s="1"/>
  <c r="C23" i="30"/>
  <c r="D23" i="30" s="1"/>
  <c r="C22" i="30"/>
  <c r="D22" i="30" s="1"/>
  <c r="F22" i="30" s="1"/>
  <c r="C21" i="30"/>
  <c r="C20" i="30"/>
  <c r="E20" i="30" s="1"/>
  <c r="C19" i="30"/>
  <c r="E19" i="30" s="1"/>
  <c r="C18" i="30"/>
  <c r="D18" i="30" s="1"/>
  <c r="C17" i="30"/>
  <c r="E17" i="30" s="1"/>
  <c r="C16" i="30"/>
  <c r="E16" i="30" s="1"/>
  <c r="C15" i="30"/>
  <c r="C14" i="30"/>
  <c r="C13" i="30"/>
  <c r="E13" i="30" s="1"/>
  <c r="B37" i="27"/>
  <c r="B30" i="27"/>
  <c r="G26" i="27"/>
  <c r="F26" i="27"/>
  <c r="V25" i="27"/>
  <c r="U25" i="27"/>
  <c r="G25" i="27"/>
  <c r="F25" i="27"/>
  <c r="V24" i="27"/>
  <c r="U24" i="27"/>
  <c r="G24" i="27"/>
  <c r="F24" i="27"/>
  <c r="V23" i="27"/>
  <c r="U23" i="27"/>
  <c r="G23" i="27"/>
  <c r="L23" i="27" s="1"/>
  <c r="F23" i="27"/>
  <c r="V22" i="27"/>
  <c r="U22" i="27"/>
  <c r="G22" i="27"/>
  <c r="L22" i="27" s="1"/>
  <c r="F22" i="27"/>
  <c r="V21" i="27"/>
  <c r="U21" i="27"/>
  <c r="G21" i="27"/>
  <c r="F21" i="27"/>
  <c r="V20" i="27"/>
  <c r="U20" i="27"/>
  <c r="G20" i="27"/>
  <c r="L20" i="27" s="1"/>
  <c r="F20" i="27"/>
  <c r="V19" i="27"/>
  <c r="U19" i="27"/>
  <c r="G19" i="27"/>
  <c r="L19" i="27" s="1"/>
  <c r="F19" i="27"/>
  <c r="V18" i="27"/>
  <c r="U18" i="27"/>
  <c r="G18" i="27"/>
  <c r="F18" i="27"/>
  <c r="V17" i="27"/>
  <c r="U17" i="27"/>
  <c r="G17" i="27"/>
  <c r="L17" i="27" s="1"/>
  <c r="F17" i="27"/>
  <c r="V16" i="27"/>
  <c r="U16" i="27"/>
  <c r="G16" i="27"/>
  <c r="F16" i="27"/>
  <c r="V15" i="27"/>
  <c r="U15" i="27"/>
  <c r="G15" i="27"/>
  <c r="F15" i="27"/>
  <c r="V14" i="27"/>
  <c r="U14" i="27"/>
  <c r="G14" i="27"/>
  <c r="L14" i="27" s="1"/>
  <c r="F14" i="27"/>
  <c r="V13" i="27"/>
  <c r="U13" i="27"/>
  <c r="G13" i="27"/>
  <c r="F13" i="27"/>
  <c r="V12" i="27"/>
  <c r="U12" i="27"/>
  <c r="G12" i="27"/>
  <c r="F12" i="27"/>
  <c r="V11" i="27"/>
  <c r="U11" i="27"/>
  <c r="G11" i="27"/>
  <c r="L11" i="27" s="1"/>
  <c r="F11" i="27"/>
  <c r="V10" i="27"/>
  <c r="U10" i="27"/>
  <c r="G10" i="27"/>
  <c r="F10" i="27"/>
  <c r="V9" i="27"/>
  <c r="U9" i="27"/>
  <c r="G9" i="27"/>
  <c r="L9" i="27" s="1"/>
  <c r="F9" i="27"/>
  <c r="V8" i="27"/>
  <c r="U8" i="27"/>
  <c r="G8" i="27"/>
  <c r="F8" i="27"/>
  <c r="V7" i="27"/>
  <c r="U7" i="27"/>
  <c r="I7" i="27"/>
  <c r="H7" i="27"/>
  <c r="G7" i="27"/>
  <c r="L7" i="27" s="1"/>
  <c r="F7" i="27"/>
  <c r="C7" i="27"/>
  <c r="J7" i="27" s="1"/>
  <c r="B7" i="27"/>
  <c r="A7" i="27"/>
  <c r="V6" i="27"/>
  <c r="U6" i="27"/>
  <c r="J45" i="26"/>
  <c r="I45" i="26"/>
  <c r="F45" i="26"/>
  <c r="E45" i="26"/>
  <c r="D45" i="26"/>
  <c r="C45" i="26"/>
  <c r="B45" i="26"/>
  <c r="A45" i="26"/>
  <c r="J44" i="26"/>
  <c r="I44" i="26"/>
  <c r="F44" i="26"/>
  <c r="E44" i="26"/>
  <c r="D44" i="26"/>
  <c r="C44" i="26"/>
  <c r="B44" i="26"/>
  <c r="A44" i="26"/>
  <c r="J43" i="26"/>
  <c r="I43" i="26"/>
  <c r="F43" i="26"/>
  <c r="E43" i="26"/>
  <c r="D43" i="26"/>
  <c r="C43" i="26"/>
  <c r="B43" i="26"/>
  <c r="A43" i="26"/>
  <c r="J42" i="26"/>
  <c r="I42" i="26"/>
  <c r="F42" i="26"/>
  <c r="E42" i="26"/>
  <c r="D42" i="26"/>
  <c r="C42" i="26"/>
  <c r="B42" i="26"/>
  <c r="A42" i="26"/>
  <c r="J41" i="26"/>
  <c r="I41" i="26"/>
  <c r="F41" i="26"/>
  <c r="E41" i="26"/>
  <c r="D41" i="26"/>
  <c r="C41" i="26"/>
  <c r="B41" i="26"/>
  <c r="A41" i="26"/>
  <c r="J40" i="26"/>
  <c r="I40" i="26"/>
  <c r="F40" i="26"/>
  <c r="E40" i="26"/>
  <c r="D40" i="26"/>
  <c r="C40" i="26"/>
  <c r="B40" i="26"/>
  <c r="A40" i="26"/>
  <c r="J39" i="26"/>
  <c r="I39" i="26"/>
  <c r="F39" i="26"/>
  <c r="E39" i="26"/>
  <c r="D39" i="26"/>
  <c r="C39" i="26"/>
  <c r="B39" i="26"/>
  <c r="A39" i="26"/>
  <c r="J38" i="26"/>
  <c r="I38" i="26"/>
  <c r="F38" i="26"/>
  <c r="E38" i="26"/>
  <c r="D38" i="26"/>
  <c r="C38" i="26"/>
  <c r="B38" i="26"/>
  <c r="A38" i="26"/>
  <c r="J37" i="26"/>
  <c r="I37" i="26"/>
  <c r="F37" i="26"/>
  <c r="E37" i="26"/>
  <c r="D37" i="26"/>
  <c r="C37" i="26"/>
  <c r="B37" i="26"/>
  <c r="A37" i="26"/>
  <c r="J36" i="26"/>
  <c r="I36" i="26"/>
  <c r="F36" i="26"/>
  <c r="E36" i="26"/>
  <c r="D36" i="26"/>
  <c r="C36" i="26"/>
  <c r="B36" i="26"/>
  <c r="A36" i="26"/>
  <c r="J35" i="26"/>
  <c r="I35" i="26"/>
  <c r="F35" i="26"/>
  <c r="E35" i="26"/>
  <c r="D35" i="26"/>
  <c r="C35" i="26"/>
  <c r="B35" i="26"/>
  <c r="A35" i="26"/>
  <c r="J34" i="26"/>
  <c r="I34" i="26"/>
  <c r="F34" i="26"/>
  <c r="E34" i="26"/>
  <c r="D34" i="26"/>
  <c r="C34" i="26"/>
  <c r="B34" i="26"/>
  <c r="A34" i="26"/>
  <c r="J33" i="26"/>
  <c r="I33" i="26"/>
  <c r="F33" i="26"/>
  <c r="E33" i="26"/>
  <c r="D33" i="26"/>
  <c r="C33" i="26"/>
  <c r="B33" i="26"/>
  <c r="A33" i="26"/>
  <c r="J32" i="26"/>
  <c r="I32" i="26"/>
  <c r="F32" i="26"/>
  <c r="E32" i="26"/>
  <c r="D32" i="26"/>
  <c r="C32" i="26"/>
  <c r="B32" i="26"/>
  <c r="A32" i="26"/>
  <c r="J31" i="26"/>
  <c r="I31" i="26"/>
  <c r="F31" i="26"/>
  <c r="E31" i="26"/>
  <c r="D31" i="26"/>
  <c r="C31" i="26"/>
  <c r="B31" i="26"/>
  <c r="A31" i="26"/>
  <c r="J30" i="26"/>
  <c r="I30" i="26"/>
  <c r="F30" i="26"/>
  <c r="E30" i="26"/>
  <c r="D30" i="26"/>
  <c r="C30" i="26"/>
  <c r="B30" i="26"/>
  <c r="A30" i="26"/>
  <c r="J29" i="26"/>
  <c r="I29" i="26"/>
  <c r="F29" i="26"/>
  <c r="E29" i="26"/>
  <c r="D29" i="26"/>
  <c r="C29" i="26"/>
  <c r="B29" i="26"/>
  <c r="A29" i="26"/>
  <c r="J28" i="26"/>
  <c r="I28" i="26"/>
  <c r="F28" i="26"/>
  <c r="E28" i="26"/>
  <c r="D28" i="26"/>
  <c r="C28" i="26"/>
  <c r="B28" i="26"/>
  <c r="A28" i="26"/>
  <c r="J27" i="26"/>
  <c r="I27" i="26"/>
  <c r="F27" i="26"/>
  <c r="E27" i="26"/>
  <c r="D27" i="26"/>
  <c r="C27" i="26"/>
  <c r="B27" i="26"/>
  <c r="A27" i="26"/>
  <c r="A26" i="26"/>
  <c r="N1" i="26"/>
  <c r="M1" i="26"/>
  <c r="L23" i="22"/>
  <c r="L22" i="22"/>
  <c r="L21" i="22"/>
  <c r="L20" i="22"/>
  <c r="L19" i="22"/>
  <c r="L18" i="22"/>
  <c r="L17" i="22"/>
  <c r="L16" i="22"/>
  <c r="L15" i="22"/>
  <c r="L14" i="22"/>
  <c r="L13" i="22"/>
  <c r="L12" i="22"/>
  <c r="L11" i="22"/>
  <c r="L10" i="22"/>
  <c r="L9" i="22"/>
  <c r="L8" i="22"/>
  <c r="L7" i="22"/>
  <c r="L6" i="22"/>
  <c r="C25" i="21"/>
  <c r="E24" i="21"/>
  <c r="E23" i="21"/>
  <c r="E22" i="21"/>
  <c r="E21" i="21"/>
  <c r="E20" i="21"/>
  <c r="E19" i="21"/>
  <c r="E18" i="21"/>
  <c r="E17" i="21"/>
  <c r="E16" i="21"/>
  <c r="E15" i="21"/>
  <c r="E14" i="21"/>
  <c r="E13" i="21"/>
  <c r="E12" i="21"/>
  <c r="E11" i="21"/>
  <c r="E10" i="21"/>
  <c r="E9" i="21"/>
  <c r="E8" i="21"/>
  <c r="E7" i="21"/>
  <c r="E6" i="21"/>
  <c r="H10" i="27"/>
  <c r="E154" i="16"/>
  <c r="C154" i="16"/>
  <c r="E153" i="16"/>
  <c r="C153" i="16"/>
  <c r="E152" i="16"/>
  <c r="C152" i="16"/>
  <c r="E151" i="16"/>
  <c r="C151" i="16"/>
  <c r="E150" i="16"/>
  <c r="C150" i="16"/>
  <c r="E149" i="16"/>
  <c r="C149" i="16"/>
  <c r="E148" i="16"/>
  <c r="C148" i="16"/>
  <c r="E147" i="16"/>
  <c r="C147" i="16"/>
  <c r="E146" i="16"/>
  <c r="C146" i="16"/>
  <c r="E145" i="16"/>
  <c r="C145" i="16"/>
  <c r="E144" i="16"/>
  <c r="C144" i="16"/>
  <c r="E143" i="16"/>
  <c r="C143" i="16"/>
  <c r="E142" i="16"/>
  <c r="C142" i="16"/>
  <c r="E141" i="16"/>
  <c r="C141" i="16"/>
  <c r="E140" i="16"/>
  <c r="C140" i="16"/>
  <c r="E139" i="16"/>
  <c r="C139" i="16"/>
  <c r="E138" i="16"/>
  <c r="C138" i="16"/>
  <c r="E137" i="16"/>
  <c r="C137" i="16"/>
  <c r="E136" i="16"/>
  <c r="C136" i="16"/>
  <c r="E135" i="16"/>
  <c r="C135" i="16"/>
  <c r="J132" i="16"/>
  <c r="J131" i="16"/>
  <c r="J130" i="16"/>
  <c r="N1" i="16"/>
  <c r="M1" i="16"/>
  <c r="S25" i="15"/>
  <c r="T24" i="15"/>
  <c r="T22" i="15"/>
  <c r="T21" i="15"/>
  <c r="T20" i="15"/>
  <c r="T19" i="15"/>
  <c r="T18" i="15"/>
  <c r="T17" i="15"/>
  <c r="T16" i="15"/>
  <c r="T15" i="15"/>
  <c r="T14" i="15"/>
  <c r="T13" i="15"/>
  <c r="T12" i="15"/>
  <c r="T11" i="15"/>
  <c r="T10" i="15"/>
  <c r="T9" i="15"/>
  <c r="T8" i="15"/>
  <c r="T7" i="15"/>
  <c r="T6" i="15"/>
  <c r="T5" i="15"/>
  <c r="T1" i="15"/>
  <c r="S1" i="15"/>
  <c r="K32" i="14"/>
  <c r="J32" i="14"/>
  <c r="I32" i="14"/>
  <c r="H32" i="14"/>
  <c r="G32" i="14"/>
  <c r="F32" i="14"/>
  <c r="D32" i="14"/>
  <c r="C32" i="14"/>
  <c r="B32" i="14"/>
  <c r="K31" i="14"/>
  <c r="J31" i="14"/>
  <c r="I31" i="14"/>
  <c r="H31" i="14"/>
  <c r="G31" i="14"/>
  <c r="F31" i="14"/>
  <c r="D31" i="14"/>
  <c r="C31" i="14"/>
  <c r="B31" i="14"/>
  <c r="K30" i="14"/>
  <c r="J30" i="14"/>
  <c r="I30" i="14"/>
  <c r="H30" i="14"/>
  <c r="G30" i="14"/>
  <c r="F30" i="14"/>
  <c r="D30" i="14"/>
  <c r="C30" i="14"/>
  <c r="B30" i="14"/>
  <c r="K29" i="14"/>
  <c r="J29" i="14"/>
  <c r="I29" i="14"/>
  <c r="H29" i="14"/>
  <c r="G29" i="14"/>
  <c r="F29" i="14"/>
  <c r="D29" i="14"/>
  <c r="C29" i="14"/>
  <c r="B29" i="14"/>
  <c r="K28" i="14"/>
  <c r="J28" i="14"/>
  <c r="I28" i="14"/>
  <c r="H28" i="14"/>
  <c r="G28" i="14"/>
  <c r="F28" i="14"/>
  <c r="D28" i="14"/>
  <c r="C28" i="14"/>
  <c r="B28" i="14"/>
  <c r="N25" i="14"/>
  <c r="M25" i="14"/>
  <c r="L25" i="14"/>
  <c r="K25" i="14"/>
  <c r="J25" i="14"/>
  <c r="I25" i="14"/>
  <c r="H25" i="14"/>
  <c r="G25" i="14"/>
  <c r="F25" i="14"/>
  <c r="E25" i="14"/>
  <c r="D25" i="14"/>
  <c r="C25" i="14"/>
  <c r="B25" i="14"/>
  <c r="P24" i="14"/>
  <c r="O24" i="14"/>
  <c r="Q24" i="14" s="1"/>
  <c r="P23" i="14"/>
  <c r="O23" i="14"/>
  <c r="Q23" i="14" s="1"/>
  <c r="P22" i="14"/>
  <c r="L32" i="14" s="1"/>
  <c r="O22" i="14"/>
  <c r="P21" i="14"/>
  <c r="O21" i="14"/>
  <c r="Q21" i="14" s="1"/>
  <c r="P20" i="14"/>
  <c r="O20" i="14"/>
  <c r="Q20" i="14" s="1"/>
  <c r="P19" i="14"/>
  <c r="O19" i="14"/>
  <c r="Q19" i="14" s="1"/>
  <c r="P18" i="14"/>
  <c r="O18" i="14"/>
  <c r="Q18" i="14" s="1"/>
  <c r="P17" i="14"/>
  <c r="O17" i="14"/>
  <c r="Q17" i="14" s="1"/>
  <c r="P16" i="14"/>
  <c r="O16" i="14"/>
  <c r="Q16" i="14" s="1"/>
  <c r="P15" i="14"/>
  <c r="O15" i="14"/>
  <c r="Q15" i="14" s="1"/>
  <c r="P14" i="14"/>
  <c r="O14" i="14"/>
  <c r="Q14" i="14" s="1"/>
  <c r="P13" i="14"/>
  <c r="O13" i="14"/>
  <c r="P12" i="14"/>
  <c r="O12" i="14"/>
  <c r="Q12" i="14" s="1"/>
  <c r="P11" i="14"/>
  <c r="O11" i="14"/>
  <c r="Q11" i="14" s="1"/>
  <c r="P10" i="14"/>
  <c r="O10" i="14"/>
  <c r="P9" i="14"/>
  <c r="O9" i="14"/>
  <c r="Q9" i="14" s="1"/>
  <c r="P8" i="14"/>
  <c r="O8" i="14"/>
  <c r="Q8" i="14" s="1"/>
  <c r="P7" i="14"/>
  <c r="O7" i="14"/>
  <c r="Q7" i="14" s="1"/>
  <c r="P6" i="14"/>
  <c r="O6" i="14"/>
  <c r="Q6" i="14" s="1"/>
  <c r="P5" i="14"/>
  <c r="O5" i="14"/>
  <c r="Q5" i="14" s="1"/>
  <c r="Y24" i="11"/>
  <c r="N24" i="11"/>
  <c r="J24" i="11"/>
  <c r="I24" i="11"/>
  <c r="A24" i="11"/>
  <c r="Y23" i="11"/>
  <c r="N23" i="11"/>
  <c r="J23" i="11"/>
  <c r="I23" i="11"/>
  <c r="Y22" i="11"/>
  <c r="N22" i="11"/>
  <c r="J22" i="11"/>
  <c r="I22" i="11"/>
  <c r="A22" i="11"/>
  <c r="S22" i="11" s="1"/>
  <c r="F28" i="31" s="1"/>
  <c r="Y21" i="11"/>
  <c r="N21" i="11"/>
  <c r="J21" i="11"/>
  <c r="I21" i="11"/>
  <c r="A21" i="11"/>
  <c r="S21" i="11" s="1"/>
  <c r="N20" i="11"/>
  <c r="J20" i="11"/>
  <c r="I20" i="11"/>
  <c r="A20" i="11"/>
  <c r="T20" i="11" s="1"/>
  <c r="Y19" i="11"/>
  <c r="N19" i="11"/>
  <c r="J19" i="11"/>
  <c r="I19" i="11"/>
  <c r="A19" i="11"/>
  <c r="P19" i="11" s="1"/>
  <c r="Y18" i="11"/>
  <c r="N18" i="11"/>
  <c r="J18" i="11"/>
  <c r="I18" i="11"/>
  <c r="A18" i="11"/>
  <c r="N17" i="11"/>
  <c r="J17" i="11"/>
  <c r="I17" i="11"/>
  <c r="A17" i="11"/>
  <c r="T17" i="11" s="1"/>
  <c r="Y16" i="11"/>
  <c r="N16" i="11"/>
  <c r="J16" i="11"/>
  <c r="I16" i="11"/>
  <c r="A16" i="11"/>
  <c r="S16" i="11" s="1"/>
  <c r="Y15" i="11"/>
  <c r="N15" i="11"/>
  <c r="J15" i="11"/>
  <c r="I15" i="11"/>
  <c r="A15" i="11"/>
  <c r="Z14" i="11"/>
  <c r="N14" i="11"/>
  <c r="J14" i="11"/>
  <c r="I14" i="11"/>
  <c r="A14" i="11"/>
  <c r="Y13" i="11"/>
  <c r="N13" i="11"/>
  <c r="J13" i="11"/>
  <c r="I13" i="11"/>
  <c r="A13" i="11"/>
  <c r="A16" i="27" s="1"/>
  <c r="Y12" i="11"/>
  <c r="N12" i="11"/>
  <c r="J12" i="11"/>
  <c r="I12" i="11"/>
  <c r="A12" i="11"/>
  <c r="N11" i="11"/>
  <c r="J11" i="11"/>
  <c r="I11" i="11"/>
  <c r="A11" i="11"/>
  <c r="Y10" i="11"/>
  <c r="N10" i="11"/>
  <c r="J10" i="11"/>
  <c r="I10" i="11"/>
  <c r="A10" i="11"/>
  <c r="N9" i="11"/>
  <c r="J9" i="11"/>
  <c r="I9" i="11"/>
  <c r="A9" i="11"/>
  <c r="Z8" i="11"/>
  <c r="Y8" i="11"/>
  <c r="N8" i="11"/>
  <c r="J8" i="11"/>
  <c r="I8" i="11"/>
  <c r="A8" i="11"/>
  <c r="S8" i="11" s="1"/>
  <c r="F14" i="31" s="1"/>
  <c r="Y7" i="11"/>
  <c r="N7" i="11"/>
  <c r="J7" i="11"/>
  <c r="A7" i="11"/>
  <c r="A13" i="31" s="1"/>
  <c r="D13" i="31" s="1"/>
  <c r="N6" i="11"/>
  <c r="J6" i="11"/>
  <c r="I6" i="11"/>
  <c r="A6" i="11"/>
  <c r="Y5" i="11"/>
  <c r="N5" i="11"/>
  <c r="J5" i="11"/>
  <c r="I5" i="11"/>
  <c r="A5" i="11"/>
  <c r="O5" i="11" s="1"/>
  <c r="B8" i="27" s="1"/>
  <c r="F16" i="10"/>
  <c r="C16" i="10"/>
  <c r="B16" i="10"/>
  <c r="F15" i="10"/>
  <c r="C15" i="10"/>
  <c r="B15" i="10"/>
  <c r="F14" i="10"/>
  <c r="C14" i="10"/>
  <c r="B14" i="10"/>
  <c r="F13" i="10"/>
  <c r="E13" i="10"/>
  <c r="C13" i="10"/>
  <c r="B13" i="10"/>
  <c r="B51" i="4"/>
  <c r="B52" i="4" s="1"/>
  <c r="B49" i="4"/>
  <c r="B48" i="4"/>
  <c r="B47" i="4"/>
  <c r="B46" i="4"/>
  <c r="B29" i="4" a="1"/>
  <c r="B29" i="4" s="1"/>
  <c r="B28" i="4" a="1"/>
  <c r="B28" i="4" s="1"/>
  <c r="B27" i="4"/>
  <c r="B26" i="4"/>
  <c r="B23" i="4" a="1"/>
  <c r="B23" i="4" s="1"/>
  <c r="B22" i="4" a="1"/>
  <c r="B22" i="4" s="1"/>
  <c r="B7" i="4"/>
  <c r="B51" i="2"/>
  <c r="B50" i="2"/>
  <c r="C9" i="2"/>
  <c r="B9" i="2"/>
  <c r="J14" i="31" l="1"/>
  <c r="K14" i="31" s="1"/>
  <c r="L14" i="31" s="1"/>
  <c r="M30" i="14"/>
  <c r="Q30" i="14" s="1"/>
  <c r="L10" i="27"/>
  <c r="L13" i="27"/>
  <c r="L25" i="27"/>
  <c r="N32" i="14"/>
  <c r="L30" i="14"/>
  <c r="E22" i="30"/>
  <c r="L12" i="27"/>
  <c r="L15" i="27"/>
  <c r="L18" i="27"/>
  <c r="L21" i="27"/>
  <c r="L8" i="27"/>
  <c r="B49" i="2"/>
  <c r="L16" i="27"/>
  <c r="D17" i="30"/>
  <c r="F17" i="30" s="1"/>
  <c r="E76" i="35"/>
  <c r="H8" i="27"/>
  <c r="E29" i="14"/>
  <c r="D13" i="30"/>
  <c r="F13" i="30" s="1"/>
  <c r="D76" i="35"/>
  <c r="E23" i="30"/>
  <c r="D14" i="30"/>
  <c r="F14" i="30" s="1"/>
  <c r="D19" i="30"/>
  <c r="F19" i="30" s="1"/>
  <c r="E14" i="30"/>
  <c r="D20" i="30"/>
  <c r="F20" i="30" s="1"/>
  <c r="T9" i="11"/>
  <c r="G15" i="31" s="1"/>
  <c r="D16" i="30"/>
  <c r="F16" i="30" s="1"/>
  <c r="L24" i="27"/>
  <c r="M31" i="14"/>
  <c r="Q31" i="14" s="1"/>
  <c r="E30" i="14"/>
  <c r="Q13" i="14"/>
  <c r="R30" i="14" s="1"/>
  <c r="N30" i="14"/>
  <c r="F26" i="22"/>
  <c r="G26" i="22" s="1"/>
  <c r="F7" i="17"/>
  <c r="I16" i="22"/>
  <c r="J16" i="22" s="1"/>
  <c r="E16" i="22"/>
  <c r="G7" i="6"/>
  <c r="G46" i="5" s="1"/>
  <c r="S20" i="11"/>
  <c r="F26" i="31" s="1"/>
  <c r="F9" i="17"/>
  <c r="I21" i="17"/>
  <c r="F10" i="17"/>
  <c r="E18" i="22"/>
  <c r="D83" i="35" a="1"/>
  <c r="D83" i="35" s="1"/>
  <c r="G20" i="6"/>
  <c r="G59" i="5" s="1"/>
  <c r="F12" i="17"/>
  <c r="E10" i="17"/>
  <c r="J10" i="17" s="1"/>
  <c r="G7" i="23"/>
  <c r="G22" i="23" s="1"/>
  <c r="G21" i="6"/>
  <c r="Q23" i="45" s="1"/>
  <c r="E17" i="22"/>
  <c r="E11" i="17"/>
  <c r="E19" i="22"/>
  <c r="E12" i="17"/>
  <c r="O20" i="11"/>
  <c r="B23" i="27" s="1"/>
  <c r="G22" i="6"/>
  <c r="Q24" i="45" s="1"/>
  <c r="I11" i="22"/>
  <c r="P20" i="11"/>
  <c r="C23" i="27" s="1"/>
  <c r="J23" i="27" s="1"/>
  <c r="K23" i="27" s="1"/>
  <c r="H6" i="6"/>
  <c r="H45" i="5" s="1"/>
  <c r="E14" i="17"/>
  <c r="F14" i="17"/>
  <c r="F13" i="17"/>
  <c r="H15" i="6"/>
  <c r="H54" i="5" s="1"/>
  <c r="G4" i="23"/>
  <c r="G20" i="23" s="1"/>
  <c r="E16" i="17"/>
  <c r="I13" i="22"/>
  <c r="F19" i="17"/>
  <c r="E19" i="17"/>
  <c r="J19" i="17" s="1"/>
  <c r="H17" i="6"/>
  <c r="H56" i="5" s="1"/>
  <c r="G8" i="23"/>
  <c r="G19" i="23" s="1"/>
  <c r="F6" i="17"/>
  <c r="E6" i="17"/>
  <c r="F20" i="17"/>
  <c r="F25" i="22"/>
  <c r="G25" i="22" s="1"/>
  <c r="D81" i="35" a="1"/>
  <c r="D81" i="35" s="1"/>
  <c r="E81" i="35" a="1"/>
  <c r="E81" i="35" s="1"/>
  <c r="N6" i="45"/>
  <c r="F11" i="17"/>
  <c r="F8" i="17"/>
  <c r="E8" i="17"/>
  <c r="E83" i="35" a="1"/>
  <c r="E83" i="35" s="1"/>
  <c r="H14" i="6"/>
  <c r="H53" i="5" s="1"/>
  <c r="O6" i="11"/>
  <c r="B9" i="27" s="1"/>
  <c r="I17" i="22"/>
  <c r="E25" i="22"/>
  <c r="E13" i="22"/>
  <c r="H20" i="6"/>
  <c r="H59" i="5" s="1"/>
  <c r="H8" i="6"/>
  <c r="H47" i="5" s="1"/>
  <c r="G16" i="6"/>
  <c r="G4" i="6"/>
  <c r="I25" i="22"/>
  <c r="I10" i="22"/>
  <c r="E12" i="22"/>
  <c r="H13" i="6"/>
  <c r="H52" i="5" s="1"/>
  <c r="G15" i="6"/>
  <c r="E9" i="17"/>
  <c r="I24" i="22"/>
  <c r="I9" i="22"/>
  <c r="E11" i="22"/>
  <c r="H12" i="6"/>
  <c r="H51" i="5" s="1"/>
  <c r="G14" i="6"/>
  <c r="F21" i="17"/>
  <c r="I23" i="22"/>
  <c r="I8" i="22"/>
  <c r="E10" i="22"/>
  <c r="H11" i="6"/>
  <c r="H50" i="5" s="1"/>
  <c r="G13" i="6"/>
  <c r="E21" i="17"/>
  <c r="I22" i="22"/>
  <c r="E24" i="22"/>
  <c r="E9" i="22"/>
  <c r="H7" i="6"/>
  <c r="H46" i="5" s="1"/>
  <c r="G12" i="6"/>
  <c r="F5" i="17"/>
  <c r="I21" i="22"/>
  <c r="E23" i="22"/>
  <c r="E8" i="22"/>
  <c r="G11" i="6"/>
  <c r="E5" i="17"/>
  <c r="F18" i="17"/>
  <c r="I20" i="22"/>
  <c r="E22" i="22"/>
  <c r="E7" i="22"/>
  <c r="H62" i="5"/>
  <c r="H5" i="6"/>
  <c r="H44" i="5" s="1"/>
  <c r="G10" i="6"/>
  <c r="E18" i="17"/>
  <c r="E21" i="22"/>
  <c r="E6" i="22"/>
  <c r="H19" i="6"/>
  <c r="H58" i="5" s="1"/>
  <c r="H4" i="6"/>
  <c r="H43" i="5" s="1"/>
  <c r="G9" i="6"/>
  <c r="E17" i="17"/>
  <c r="I15" i="22"/>
  <c r="E20" i="22"/>
  <c r="H18" i="6"/>
  <c r="H57" i="5" s="1"/>
  <c r="G8" i="6"/>
  <c r="E15" i="17"/>
  <c r="I12" i="22"/>
  <c r="F23" i="17"/>
  <c r="H16" i="6"/>
  <c r="H55" i="5" s="1"/>
  <c r="G5" i="23"/>
  <c r="G23" i="23" s="1"/>
  <c r="F24" i="17"/>
  <c r="E24" i="17"/>
  <c r="I14" i="22"/>
  <c r="F16" i="17"/>
  <c r="E23" i="17"/>
  <c r="G19" i="6"/>
  <c r="E15" i="6"/>
  <c r="H17" i="45" s="1"/>
  <c r="G25" i="8"/>
  <c r="G26" i="8" s="1"/>
  <c r="E17" i="6"/>
  <c r="E56" i="5" s="1"/>
  <c r="F17" i="17"/>
  <c r="F15" i="17"/>
  <c r="E20" i="17"/>
  <c r="P21" i="11"/>
  <c r="I23" i="17" s="1"/>
  <c r="E7" i="17"/>
  <c r="E82" i="35" a="1"/>
  <c r="E82" i="35" s="1"/>
  <c r="E74" i="35"/>
  <c r="D82" i="35" a="1"/>
  <c r="D82" i="35" s="1"/>
  <c r="D74" i="35"/>
  <c r="D80" i="35" a="1"/>
  <c r="D80" i="35" s="1"/>
  <c r="E22" i="17"/>
  <c r="E13" i="17"/>
  <c r="F22" i="17"/>
  <c r="E80" i="35" a="1"/>
  <c r="E80" i="35" s="1"/>
  <c r="G5" i="6"/>
  <c r="G17" i="6"/>
  <c r="H9" i="6"/>
  <c r="H48" i="5" s="1"/>
  <c r="H21" i="6"/>
  <c r="H60" i="5" s="1"/>
  <c r="E14" i="22"/>
  <c r="I6" i="22"/>
  <c r="I18" i="22"/>
  <c r="G6" i="6"/>
  <c r="G18" i="6"/>
  <c r="H10" i="6"/>
  <c r="H49" i="5" s="1"/>
  <c r="H22" i="6"/>
  <c r="H61" i="5" s="1"/>
  <c r="E15" i="22"/>
  <c r="I7" i="22"/>
  <c r="I19" i="22"/>
  <c r="R16" i="45"/>
  <c r="R14" i="45"/>
  <c r="P9" i="45"/>
  <c r="R25" i="45"/>
  <c r="R23" i="45"/>
  <c r="R21" i="45"/>
  <c r="R20" i="45"/>
  <c r="R10" i="45"/>
  <c r="R7" i="45"/>
  <c r="R24" i="45"/>
  <c r="R22" i="45"/>
  <c r="R8" i="45"/>
  <c r="N11" i="45"/>
  <c r="N15" i="45"/>
  <c r="N23" i="45"/>
  <c r="G4" i="45"/>
  <c r="N7" i="45"/>
  <c r="P7" i="45" s="1"/>
  <c r="N19" i="45"/>
  <c r="N12" i="45"/>
  <c r="N16" i="45"/>
  <c r="N20" i="45"/>
  <c r="N24" i="45"/>
  <c r="N8" i="45"/>
  <c r="N21" i="45"/>
  <c r="N13" i="45"/>
  <c r="N17" i="45"/>
  <c r="N25" i="45"/>
  <c r="N9" i="45"/>
  <c r="N10" i="45"/>
  <c r="N14" i="45"/>
  <c r="N18" i="45"/>
  <c r="N22" i="45"/>
  <c r="T25" i="15"/>
  <c r="E4" i="6"/>
  <c r="F14" i="7" s="1"/>
  <c r="E5" i="6"/>
  <c r="F15" i="7" s="1"/>
  <c r="E20" i="6"/>
  <c r="H22" i="45" s="1"/>
  <c r="E34" i="7"/>
  <c r="E6" i="6"/>
  <c r="E9" i="6"/>
  <c r="H11" i="45" s="1"/>
  <c r="E11" i="6"/>
  <c r="E18" i="6"/>
  <c r="E19" i="6"/>
  <c r="H21" i="45" s="1"/>
  <c r="E21" i="6"/>
  <c r="H23" i="45" s="1"/>
  <c r="E7" i="6"/>
  <c r="E8" i="6"/>
  <c r="H10" i="45" s="1"/>
  <c r="J13" i="10"/>
  <c r="J17" i="10" s="1"/>
  <c r="O23" i="11"/>
  <c r="B26" i="27" s="1"/>
  <c r="E13" i="6"/>
  <c r="H15" i="45" s="1"/>
  <c r="E14" i="6"/>
  <c r="H16" i="45" s="1"/>
  <c r="E16" i="6"/>
  <c r="F26" i="7" s="1"/>
  <c r="E10" i="6"/>
  <c r="H12" i="45" s="1"/>
  <c r="E22" i="6"/>
  <c r="H24" i="45" s="1"/>
  <c r="E12" i="6"/>
  <c r="H14" i="45" s="1"/>
  <c r="O21" i="11"/>
  <c r="B24" i="27" s="1"/>
  <c r="B21" i="4"/>
  <c r="P23" i="11"/>
  <c r="I5" i="17" s="1"/>
  <c r="S23" i="11"/>
  <c r="F29" i="31" s="1"/>
  <c r="J29" i="31" s="1"/>
  <c r="K29" i="31" s="1"/>
  <c r="L29" i="31" s="1"/>
  <c r="O16" i="11"/>
  <c r="B19" i="27" s="1"/>
  <c r="P16" i="11"/>
  <c r="C19" i="27" s="1"/>
  <c r="J19" i="27" s="1"/>
  <c r="S9" i="11"/>
  <c r="F15" i="31" s="1"/>
  <c r="P8" i="11"/>
  <c r="I10" i="17" s="1"/>
  <c r="P6" i="11"/>
  <c r="C9" i="27" s="1"/>
  <c r="J9" i="27" s="1"/>
  <c r="S6" i="11"/>
  <c r="F12" i="31" s="1"/>
  <c r="T6" i="11"/>
  <c r="G12" i="31" s="1"/>
  <c r="A8" i="27"/>
  <c r="P5" i="11"/>
  <c r="S5" i="11"/>
  <c r="F11" i="31" s="1"/>
  <c r="O7" i="11"/>
  <c r="B10" i="27" s="1"/>
  <c r="B20" i="4"/>
  <c r="O22" i="11"/>
  <c r="B25" i="27" s="1"/>
  <c r="P7" i="11"/>
  <c r="C10" i="27" s="1"/>
  <c r="J10" i="27" s="1"/>
  <c r="O13" i="11"/>
  <c r="B16" i="27" s="1"/>
  <c r="P17" i="11"/>
  <c r="C20" i="27" s="1"/>
  <c r="J20" i="27" s="1"/>
  <c r="O19" i="11"/>
  <c r="B22" i="27" s="1"/>
  <c r="P22" i="11"/>
  <c r="C25" i="27" s="1"/>
  <c r="J25" i="27" s="1"/>
  <c r="A26" i="27"/>
  <c r="S7" i="11"/>
  <c r="Z7" i="11" s="1"/>
  <c r="S17" i="11"/>
  <c r="W17" i="11" s="1"/>
  <c r="A10" i="27"/>
  <c r="A24" i="31"/>
  <c r="D24" i="31" s="1"/>
  <c r="A21" i="27"/>
  <c r="S18" i="11"/>
  <c r="P18" i="11"/>
  <c r="I20" i="17" s="1"/>
  <c r="O18" i="11"/>
  <c r="B21" i="27" s="1"/>
  <c r="E15" i="30"/>
  <c r="W8" i="11"/>
  <c r="A21" i="31"/>
  <c r="D21" i="31" s="1"/>
  <c r="A18" i="27"/>
  <c r="S15" i="11"/>
  <c r="P15" i="11"/>
  <c r="I17" i="17" s="1"/>
  <c r="W22" i="11"/>
  <c r="R31" i="14"/>
  <c r="O31" i="14"/>
  <c r="F27" i="31"/>
  <c r="Z21" i="11"/>
  <c r="X22" i="11"/>
  <c r="X21" i="11"/>
  <c r="Z22" i="11"/>
  <c r="S24" i="11"/>
  <c r="O24" i="11"/>
  <c r="P24" i="11"/>
  <c r="I6" i="17" s="1"/>
  <c r="O15" i="11"/>
  <c r="B18" i="27" s="1"/>
  <c r="A25" i="31"/>
  <c r="D25" i="31" s="1"/>
  <c r="A22" i="27"/>
  <c r="S19" i="11"/>
  <c r="P31" i="14"/>
  <c r="O30" i="14"/>
  <c r="A17" i="27"/>
  <c r="A20" i="31"/>
  <c r="D20" i="31" s="1"/>
  <c r="T14" i="11"/>
  <c r="S14" i="11"/>
  <c r="P14" i="11"/>
  <c r="I16" i="17" s="1"/>
  <c r="O14" i="11"/>
  <c r="B17" i="27" s="1"/>
  <c r="H22" i="27"/>
  <c r="J28" i="31"/>
  <c r="K28" i="31" s="1"/>
  <c r="L28" i="31" s="1"/>
  <c r="O28" i="14"/>
  <c r="P28" i="14"/>
  <c r="Q10" i="14"/>
  <c r="M29" i="14"/>
  <c r="Q29" i="14" s="1"/>
  <c r="N31" i="14"/>
  <c r="L31" i="14"/>
  <c r="F22" i="31"/>
  <c r="X16" i="11"/>
  <c r="W16" i="11"/>
  <c r="N29" i="14"/>
  <c r="D15" i="30"/>
  <c r="F15" i="30" s="1"/>
  <c r="X8" i="11"/>
  <c r="R28" i="14"/>
  <c r="Z16" i="11"/>
  <c r="W21" i="11"/>
  <c r="A18" i="31"/>
  <c r="D18" i="31" s="1"/>
  <c r="A15" i="27"/>
  <c r="S12" i="11"/>
  <c r="P12" i="11"/>
  <c r="I14" i="17" s="1"/>
  <c r="O12" i="11"/>
  <c r="B15" i="27" s="1"/>
  <c r="M14" i="31"/>
  <c r="G26" i="31"/>
  <c r="Y20" i="11"/>
  <c r="B44" i="4"/>
  <c r="M32" i="14"/>
  <c r="Q32" i="14" s="1"/>
  <c r="Q22" i="14"/>
  <c r="E32" i="14"/>
  <c r="G23" i="31"/>
  <c r="Y17" i="11"/>
  <c r="C22" i="27"/>
  <c r="J22" i="27" s="1"/>
  <c r="E28" i="14"/>
  <c r="M28" i="14"/>
  <c r="Q28" i="14" s="1"/>
  <c r="O25" i="14"/>
  <c r="Q25" i="14" s="1"/>
  <c r="A17" i="31"/>
  <c r="D17" i="31" s="1"/>
  <c r="S11" i="11"/>
  <c r="A14" i="27"/>
  <c r="P11" i="11"/>
  <c r="I13" i="17" s="1"/>
  <c r="O11" i="11"/>
  <c r="B14" i="27" s="1"/>
  <c r="T11" i="11"/>
  <c r="N28" i="14"/>
  <c r="P25" i="14"/>
  <c r="L28" i="14"/>
  <c r="H12" i="27"/>
  <c r="L24" i="22"/>
  <c r="I7" i="31"/>
  <c r="A16" i="31"/>
  <c r="D16" i="31" s="1"/>
  <c r="A13" i="27"/>
  <c r="P10" i="11"/>
  <c r="I12" i="17" s="1"/>
  <c r="O10" i="11"/>
  <c r="B13" i="27" s="1"/>
  <c r="A23" i="31"/>
  <c r="D23" i="31" s="1"/>
  <c r="A20" i="27"/>
  <c r="J10" i="31"/>
  <c r="L29" i="14"/>
  <c r="G6" i="23"/>
  <c r="G21" i="23" s="1"/>
  <c r="F18" i="30"/>
  <c r="E18" i="30"/>
  <c r="F23" i="30"/>
  <c r="B40" i="32"/>
  <c r="B66" i="35"/>
  <c r="B55" i="30"/>
  <c r="D66" i="35"/>
  <c r="A22" i="31"/>
  <c r="D22" i="31" s="1"/>
  <c r="A19" i="27"/>
  <c r="K7" i="27"/>
  <c r="N7" i="27"/>
  <c r="M7" i="27"/>
  <c r="A15" i="31"/>
  <c r="D15" i="31" s="1"/>
  <c r="A12" i="27"/>
  <c r="P9" i="11"/>
  <c r="I11" i="17" s="1"/>
  <c r="O9" i="11"/>
  <c r="B12" i="27" s="1"/>
  <c r="A19" i="31"/>
  <c r="D19" i="31" s="1"/>
  <c r="S13" i="11"/>
  <c r="P13" i="11"/>
  <c r="I15" i="17" s="1"/>
  <c r="E31" i="14"/>
  <c r="A11" i="27"/>
  <c r="A14" i="31"/>
  <c r="D14" i="31" s="1"/>
  <c r="O8" i="11"/>
  <c r="B11" i="27" s="1"/>
  <c r="S10" i="11"/>
  <c r="O17" i="11"/>
  <c r="B20" i="27" s="1"/>
  <c r="E25" i="21"/>
  <c r="F24" i="30"/>
  <c r="L26" i="27"/>
  <c r="E21" i="30"/>
  <c r="A12" i="31"/>
  <c r="D12" i="31" s="1"/>
  <c r="A9" i="27"/>
  <c r="D21" i="30"/>
  <c r="A11" i="31"/>
  <c r="D11" i="31" s="1"/>
  <c r="A28" i="31"/>
  <c r="D28" i="31" s="1"/>
  <c r="A25" i="27"/>
  <c r="A23" i="27"/>
  <c r="A26" i="31"/>
  <c r="D26" i="31" s="1"/>
  <c r="A27" i="31"/>
  <c r="D27" i="31" s="1"/>
  <c r="A24" i="27"/>
  <c r="C7" i="31"/>
  <c r="J8" i="22" l="1"/>
  <c r="J10" i="22"/>
  <c r="J12" i="22"/>
  <c r="P30" i="14"/>
  <c r="J7" i="22"/>
  <c r="D30" i="27" a="1"/>
  <c r="D30" i="27" s="1"/>
  <c r="R25" i="14"/>
  <c r="G30" i="27" a="1"/>
  <c r="B38" i="30"/>
  <c r="B36" i="30"/>
  <c r="J15" i="31"/>
  <c r="K15" i="31" s="1"/>
  <c r="L15" i="31" s="1"/>
  <c r="B39" i="30"/>
  <c r="Y9" i="11"/>
  <c r="Z20" i="11"/>
  <c r="W20" i="11"/>
  <c r="X20" i="11"/>
  <c r="C24" i="27"/>
  <c r="J24" i="27" s="1"/>
  <c r="N24" i="27" s="1"/>
  <c r="J7" i="17"/>
  <c r="J9" i="17"/>
  <c r="J21" i="22"/>
  <c r="Q9" i="45"/>
  <c r="J14" i="22"/>
  <c r="J12" i="17"/>
  <c r="Q22" i="45"/>
  <c r="K13" i="10"/>
  <c r="K17" i="10" s="1"/>
  <c r="J6" i="17"/>
  <c r="J23" i="22"/>
  <c r="J11" i="17"/>
  <c r="I22" i="17"/>
  <c r="J18" i="22"/>
  <c r="J22" i="22"/>
  <c r="M23" i="27"/>
  <c r="J13" i="22"/>
  <c r="G61" i="5"/>
  <c r="J19" i="22"/>
  <c r="J15" i="17"/>
  <c r="I8" i="17"/>
  <c r="J17" i="22"/>
  <c r="G60" i="5"/>
  <c r="J6" i="22"/>
  <c r="K15" i="10"/>
  <c r="K14" i="10"/>
  <c r="N23" i="27"/>
  <c r="I24" i="17"/>
  <c r="D30" i="22"/>
  <c r="K16" i="10"/>
  <c r="J20" i="22"/>
  <c r="J24" i="22"/>
  <c r="J9" i="22"/>
  <c r="H5" i="8"/>
  <c r="C5" i="17"/>
  <c r="G48" i="5"/>
  <c r="Q11" i="45"/>
  <c r="J21" i="17"/>
  <c r="D31" i="22"/>
  <c r="H25" i="6"/>
  <c r="I18" i="17"/>
  <c r="E26" i="22"/>
  <c r="E54" i="5"/>
  <c r="J11" i="22"/>
  <c r="G45" i="5"/>
  <c r="Q8" i="45"/>
  <c r="Q13" i="45"/>
  <c r="G50" i="5"/>
  <c r="Q17" i="45"/>
  <c r="G54" i="5"/>
  <c r="I19" i="17"/>
  <c r="J23" i="17"/>
  <c r="E16" i="10"/>
  <c r="J16" i="10" s="1"/>
  <c r="F21" i="7"/>
  <c r="H13" i="45"/>
  <c r="J17" i="17"/>
  <c r="F33" i="7"/>
  <c r="H25" i="45"/>
  <c r="C6" i="17"/>
  <c r="H6" i="8"/>
  <c r="D25" i="6"/>
  <c r="H9" i="45"/>
  <c r="Q21" i="45"/>
  <c r="G58" i="5"/>
  <c r="B34" i="2"/>
  <c r="G4" i="2"/>
  <c r="C12" i="2"/>
  <c r="C11" i="2"/>
  <c r="B12" i="2"/>
  <c r="B11" i="2"/>
  <c r="J5" i="17"/>
  <c r="B32" i="2"/>
  <c r="B33" i="2"/>
  <c r="G5" i="2"/>
  <c r="Q20" i="45"/>
  <c r="G57" i="5"/>
  <c r="Q15" i="45"/>
  <c r="G52" i="5"/>
  <c r="F25" i="7"/>
  <c r="F17" i="22" s="1"/>
  <c r="F28" i="7"/>
  <c r="F20" i="22" s="1"/>
  <c r="H20" i="45"/>
  <c r="I9" i="17"/>
  <c r="J20" i="17"/>
  <c r="J18" i="17"/>
  <c r="J16" i="17"/>
  <c r="J14" i="17"/>
  <c r="C8" i="27"/>
  <c r="J8" i="27" s="1"/>
  <c r="M8" i="27" s="1"/>
  <c r="I7" i="17"/>
  <c r="H17" i="8"/>
  <c r="C17" i="17"/>
  <c r="E55" i="5"/>
  <c r="H18" i="45"/>
  <c r="E77" i="35"/>
  <c r="Q10" i="45"/>
  <c r="G47" i="5"/>
  <c r="G49" i="5"/>
  <c r="Q12" i="45"/>
  <c r="F16" i="7"/>
  <c r="H8" i="45"/>
  <c r="D77" i="35" a="1"/>
  <c r="D77" i="35" s="1"/>
  <c r="J22" i="17"/>
  <c r="J24" i="17"/>
  <c r="G62" i="5"/>
  <c r="Q25" i="45"/>
  <c r="E62" i="5"/>
  <c r="Q14" i="45"/>
  <c r="G51" i="5"/>
  <c r="Q19" i="45"/>
  <c r="G56" i="5"/>
  <c r="G53" i="5"/>
  <c r="Q16" i="45"/>
  <c r="Q18" i="45"/>
  <c r="G55" i="5"/>
  <c r="E43" i="5"/>
  <c r="H6" i="45"/>
  <c r="J13" i="17"/>
  <c r="E78" i="35"/>
  <c r="D78" i="35" a="1"/>
  <c r="D78" i="35" s="1"/>
  <c r="G43" i="5"/>
  <c r="Q6" i="45"/>
  <c r="K43" i="45" s="1"/>
  <c r="G25" i="6"/>
  <c r="J8" i="17"/>
  <c r="E50" i="5"/>
  <c r="E44" i="5"/>
  <c r="H7" i="45"/>
  <c r="G44" i="5"/>
  <c r="Q7" i="45"/>
  <c r="F27" i="7"/>
  <c r="H19" i="45"/>
  <c r="J15" i="22"/>
  <c r="C26" i="27"/>
  <c r="J26" i="27" s="1"/>
  <c r="K26" i="27" s="1"/>
  <c r="B51" i="45"/>
  <c r="B48" i="45"/>
  <c r="H49" i="45"/>
  <c r="E48" i="45"/>
  <c r="B50" i="45"/>
  <c r="F43" i="45"/>
  <c r="G50" i="45"/>
  <c r="H48" i="45"/>
  <c r="F52" i="45"/>
  <c r="D49" i="45"/>
  <c r="I43" i="45"/>
  <c r="C51" i="45"/>
  <c r="A43" i="45"/>
  <c r="G52" i="45"/>
  <c r="C43" i="45"/>
  <c r="D52" i="45"/>
  <c r="J50" i="45"/>
  <c r="G49" i="45"/>
  <c r="D48" i="45"/>
  <c r="D43" i="45"/>
  <c r="C52" i="45"/>
  <c r="F49" i="45"/>
  <c r="C48" i="45"/>
  <c r="F51" i="45"/>
  <c r="C50" i="45"/>
  <c r="J43" i="45"/>
  <c r="H51" i="45"/>
  <c r="E50" i="45"/>
  <c r="J52" i="45"/>
  <c r="G51" i="45"/>
  <c r="D50" i="45"/>
  <c r="J48" i="45"/>
  <c r="B49" i="45"/>
  <c r="B43" i="45"/>
  <c r="E51" i="45"/>
  <c r="J51" i="45"/>
  <c r="D51" i="45"/>
  <c r="F48" i="45"/>
  <c r="J49" i="45"/>
  <c r="G43" i="45"/>
  <c r="F50" i="45"/>
  <c r="G48" i="45"/>
  <c r="B52" i="45"/>
  <c r="C49" i="45"/>
  <c r="H43" i="45"/>
  <c r="H50" i="45"/>
  <c r="H52" i="45"/>
  <c r="E52" i="45"/>
  <c r="E49" i="45"/>
  <c r="F31" i="7"/>
  <c r="E60" i="5"/>
  <c r="F19" i="7"/>
  <c r="E48" i="5"/>
  <c r="F24" i="7"/>
  <c r="E53" i="5"/>
  <c r="J12" i="31"/>
  <c r="K12" i="31" s="1"/>
  <c r="L12" i="31" s="1"/>
  <c r="F23" i="7"/>
  <c r="E52" i="5"/>
  <c r="F30" i="7"/>
  <c r="E59" i="5"/>
  <c r="E57" i="5"/>
  <c r="F18" i="7"/>
  <c r="E47" i="5"/>
  <c r="E45" i="5"/>
  <c r="W23" i="11"/>
  <c r="E58" i="5"/>
  <c r="F29" i="7"/>
  <c r="E46" i="5"/>
  <c r="F17" i="7"/>
  <c r="F7" i="22"/>
  <c r="E15" i="10"/>
  <c r="J15" i="10" s="1"/>
  <c r="E51" i="5"/>
  <c r="F22" i="7"/>
  <c r="F18" i="22"/>
  <c r="D17" i="25"/>
  <c r="F6" i="22"/>
  <c r="E61" i="5"/>
  <c r="F32" i="7"/>
  <c r="E49" i="5"/>
  <c r="E14" i="10"/>
  <c r="F20" i="7"/>
  <c r="X23" i="11"/>
  <c r="Z23" i="11"/>
  <c r="F23" i="31"/>
  <c r="J23" i="31" s="1"/>
  <c r="K23" i="31" s="1"/>
  <c r="L23" i="31" s="1"/>
  <c r="X17" i="11"/>
  <c r="Z9" i="11"/>
  <c r="W9" i="11"/>
  <c r="X9" i="11"/>
  <c r="C11" i="27"/>
  <c r="J11" i="27" s="1"/>
  <c r="N11" i="27" s="1"/>
  <c r="W7" i="11"/>
  <c r="X6" i="11"/>
  <c r="W6" i="11"/>
  <c r="Z6" i="11"/>
  <c r="Y6" i="11"/>
  <c r="J11" i="31"/>
  <c r="K11" i="31" s="1"/>
  <c r="L11" i="31" s="1"/>
  <c r="Z5" i="11"/>
  <c r="W5" i="11"/>
  <c r="X5" i="11"/>
  <c r="Z17" i="11"/>
  <c r="C37" i="27"/>
  <c r="F13" i="31"/>
  <c r="C34" i="31"/>
  <c r="G30" i="27"/>
  <c r="X7" i="11"/>
  <c r="B34" i="31"/>
  <c r="C13" i="27"/>
  <c r="J13" i="27" s="1"/>
  <c r="D40" i="31"/>
  <c r="F34" i="31"/>
  <c r="E34" i="31"/>
  <c r="C40" i="31"/>
  <c r="B40" i="31"/>
  <c r="C16" i="27"/>
  <c r="J16" i="27" s="1"/>
  <c r="M28" i="31"/>
  <c r="J27" i="31"/>
  <c r="K27" i="31" s="1"/>
  <c r="L27" i="31" s="1"/>
  <c r="M15" i="31"/>
  <c r="F19" i="31"/>
  <c r="W13" i="11"/>
  <c r="X13" i="11"/>
  <c r="Z13" i="11"/>
  <c r="Z24" i="11"/>
  <c r="W24" i="11"/>
  <c r="X24" i="11"/>
  <c r="E40" i="31"/>
  <c r="B37" i="30"/>
  <c r="F18" i="31"/>
  <c r="Z12" i="11"/>
  <c r="W12" i="11"/>
  <c r="X12" i="11"/>
  <c r="C17" i="27"/>
  <c r="J17" i="27" s="1"/>
  <c r="B44" i="33"/>
  <c r="M29" i="31"/>
  <c r="O32" i="14"/>
  <c r="R32" i="14"/>
  <c r="P32" i="14"/>
  <c r="F20" i="31"/>
  <c r="W14" i="11"/>
  <c r="X14" i="11"/>
  <c r="C21" i="27"/>
  <c r="J21" i="27" s="1"/>
  <c r="F24" i="31"/>
  <c r="Z18" i="11"/>
  <c r="X18" i="11"/>
  <c r="W18" i="11"/>
  <c r="G34" i="31"/>
  <c r="D46" i="33"/>
  <c r="S25" i="14"/>
  <c r="B46" i="33"/>
  <c r="N20" i="27"/>
  <c r="M20" i="27"/>
  <c r="K20" i="27"/>
  <c r="C30" i="27"/>
  <c r="J26" i="31"/>
  <c r="K26" i="31" s="1"/>
  <c r="L26" i="31" s="1"/>
  <c r="R29" i="14"/>
  <c r="P29" i="14"/>
  <c r="O29" i="14"/>
  <c r="K9" i="27"/>
  <c r="N9" i="27"/>
  <c r="M9" i="27"/>
  <c r="F16" i="31"/>
  <c r="D34" i="31" s="1"/>
  <c r="Z10" i="11"/>
  <c r="X10" i="11"/>
  <c r="W10" i="11"/>
  <c r="F21" i="31"/>
  <c r="X15" i="11"/>
  <c r="W15" i="11"/>
  <c r="Z15" i="11"/>
  <c r="M22" i="27"/>
  <c r="N22" i="27"/>
  <c r="K22" i="27"/>
  <c r="F17" i="31"/>
  <c r="X11" i="11"/>
  <c r="W11" i="11"/>
  <c r="Z11" i="11"/>
  <c r="C15" i="27"/>
  <c r="J15" i="27" s="1"/>
  <c r="F40" i="31"/>
  <c r="D37" i="27" a="1"/>
  <c r="D37" i="27" s="1"/>
  <c r="F25" i="31"/>
  <c r="Z19" i="11"/>
  <c r="X19" i="11"/>
  <c r="W19" i="11"/>
  <c r="D44" i="33"/>
  <c r="C12" i="27"/>
  <c r="J12" i="27" s="1"/>
  <c r="F21" i="30"/>
  <c r="K10" i="31"/>
  <c r="K25" i="27"/>
  <c r="N25" i="27"/>
  <c r="M25" i="27"/>
  <c r="G20" i="31"/>
  <c r="Y14" i="11"/>
  <c r="M10" i="27"/>
  <c r="N10" i="27"/>
  <c r="K10" i="27"/>
  <c r="B58" i="30"/>
  <c r="D49" i="30"/>
  <c r="G37" i="27" a="1"/>
  <c r="G37" i="27" s="1"/>
  <c r="B57" i="30"/>
  <c r="G17" i="31"/>
  <c r="Y11" i="11"/>
  <c r="C18" i="27"/>
  <c r="J18" i="27" s="1"/>
  <c r="K19" i="27"/>
  <c r="N19" i="27"/>
  <c r="M19" i="27"/>
  <c r="B40" i="30"/>
  <c r="G40" i="31"/>
  <c r="C14" i="27"/>
  <c r="J14" i="27" s="1"/>
  <c r="B30" i="4"/>
  <c r="J22" i="31"/>
  <c r="K22" i="31" s="1"/>
  <c r="L22" i="31" s="1"/>
  <c r="M24" i="27" l="1"/>
  <c r="K24" i="27"/>
  <c r="I52" i="45"/>
  <c r="I50" i="45"/>
  <c r="H17" i="17"/>
  <c r="G17" i="17"/>
  <c r="I20" i="27"/>
  <c r="L43" i="45"/>
  <c r="M43" i="45"/>
  <c r="N43" i="45"/>
  <c r="K8" i="27"/>
  <c r="C18" i="17"/>
  <c r="H18" i="8"/>
  <c r="F19" i="22"/>
  <c r="D21" i="25"/>
  <c r="G6" i="17"/>
  <c r="H6" i="17"/>
  <c r="C20" i="17"/>
  <c r="H20" i="8"/>
  <c r="H24" i="8"/>
  <c r="C24" i="17"/>
  <c r="H22" i="8"/>
  <c r="C22" i="17"/>
  <c r="E37" i="27"/>
  <c r="I37" i="27" s="1"/>
  <c r="F8" i="22"/>
  <c r="C7" i="17"/>
  <c r="H7" i="8"/>
  <c r="D18" i="25"/>
  <c r="N26" i="27"/>
  <c r="I48" i="45"/>
  <c r="D79" i="35" a="1"/>
  <c r="D79" i="35" s="1"/>
  <c r="H9" i="8"/>
  <c r="C9" i="17"/>
  <c r="H10" i="8"/>
  <c r="C10" i="17"/>
  <c r="H21" i="8"/>
  <c r="C21" i="17"/>
  <c r="H16" i="8"/>
  <c r="E22" i="25" s="1"/>
  <c r="C16" i="17"/>
  <c r="I19" i="27" s="1"/>
  <c r="M26" i="27"/>
  <c r="H8" i="8"/>
  <c r="E18" i="25" s="1"/>
  <c r="C8" i="17"/>
  <c r="I51" i="45"/>
  <c r="C23" i="17"/>
  <c r="H23" i="8"/>
  <c r="H14" i="8"/>
  <c r="E20" i="25" s="1"/>
  <c r="C14" i="17"/>
  <c r="N8" i="27"/>
  <c r="C15" i="17"/>
  <c r="H15" i="8"/>
  <c r="I49" i="45"/>
  <c r="H13" i="8"/>
  <c r="E19" i="25" s="1"/>
  <c r="C13" i="17"/>
  <c r="C11" i="17"/>
  <c r="H11" i="8"/>
  <c r="H19" i="8"/>
  <c r="E21" i="25" s="1"/>
  <c r="C19" i="17"/>
  <c r="G5" i="17"/>
  <c r="H5" i="17"/>
  <c r="D10" i="25"/>
  <c r="D19" i="25"/>
  <c r="C12" i="17"/>
  <c r="H12" i="8"/>
  <c r="F13" i="22"/>
  <c r="E79" i="35"/>
  <c r="M12" i="31"/>
  <c r="F16" i="22"/>
  <c r="D22" i="25"/>
  <c r="J13" i="31"/>
  <c r="K13" i="31" s="1"/>
  <c r="L13" i="31" s="1"/>
  <c r="M11" i="27"/>
  <c r="H40" i="31"/>
  <c r="F34" i="7"/>
  <c r="K11" i="27"/>
  <c r="F21" i="22"/>
  <c r="F11" i="22"/>
  <c r="F22" i="22"/>
  <c r="F23" i="22"/>
  <c r="F9" i="22"/>
  <c r="F10" i="22"/>
  <c r="F15" i="22"/>
  <c r="I8" i="27"/>
  <c r="M27" i="31"/>
  <c r="I9" i="27"/>
  <c r="D20" i="25"/>
  <c r="D9" i="25"/>
  <c r="F14" i="22"/>
  <c r="E30" i="27"/>
  <c r="I30" i="27" s="1"/>
  <c r="M11" i="31"/>
  <c r="F12" i="22"/>
  <c r="D8" i="25"/>
  <c r="E17" i="10"/>
  <c r="J14" i="10"/>
  <c r="E17" i="25"/>
  <c r="F24" i="22"/>
  <c r="C34" i="32"/>
  <c r="B67" i="35"/>
  <c r="G20" i="2"/>
  <c r="M23" i="31"/>
  <c r="D45" i="33"/>
  <c r="N18" i="27"/>
  <c r="M18" i="27"/>
  <c r="K18" i="27"/>
  <c r="C43" i="30"/>
  <c r="G19" i="2"/>
  <c r="J17" i="31"/>
  <c r="K17" i="31" s="1"/>
  <c r="M17" i="31" s="1"/>
  <c r="K13" i="27"/>
  <c r="N13" i="27"/>
  <c r="M13" i="27"/>
  <c r="G18" i="2"/>
  <c r="B34" i="32"/>
  <c r="D34" i="2"/>
  <c r="D67" i="35"/>
  <c r="B56" i="30"/>
  <c r="B45" i="33"/>
  <c r="J19" i="31"/>
  <c r="K19" i="31" s="1"/>
  <c r="L19" i="31" s="1"/>
  <c r="N12" i="27"/>
  <c r="M12" i="27"/>
  <c r="K12" i="27"/>
  <c r="D33" i="2"/>
  <c r="B31" i="4"/>
  <c r="M26" i="31"/>
  <c r="J21" i="31"/>
  <c r="K21" i="31" s="1"/>
  <c r="L21" i="31" s="1"/>
  <c r="J18" i="31"/>
  <c r="K18" i="31" s="1"/>
  <c r="L18" i="31" s="1"/>
  <c r="M22" i="31"/>
  <c r="J25" i="31"/>
  <c r="K25" i="31" s="1"/>
  <c r="L25" i="31" s="1"/>
  <c r="K21" i="27"/>
  <c r="N21" i="27"/>
  <c r="M21" i="27"/>
  <c r="G7" i="31"/>
  <c r="L10" i="31"/>
  <c r="M10" i="31"/>
  <c r="M16" i="27"/>
  <c r="N16" i="27"/>
  <c r="K16" i="27"/>
  <c r="H20" i="2"/>
  <c r="N14" i="27"/>
  <c r="M14" i="27"/>
  <c r="K14" i="27"/>
  <c r="H18" i="2"/>
  <c r="K15" i="27"/>
  <c r="N15" i="27"/>
  <c r="M15" i="27"/>
  <c r="J16" i="31"/>
  <c r="K16" i="31" s="1"/>
  <c r="E6" i="31"/>
  <c r="F6" i="31"/>
  <c r="E7" i="31"/>
  <c r="J20" i="31"/>
  <c r="K20" i="31" s="1"/>
  <c r="B43" i="30"/>
  <c r="H19" i="2"/>
  <c r="D32" i="2"/>
  <c r="J24" i="31"/>
  <c r="K24" i="31" s="1"/>
  <c r="L24" i="31" s="1"/>
  <c r="N17" i="27"/>
  <c r="K17" i="27"/>
  <c r="M17" i="27"/>
  <c r="F37" i="27" l="1"/>
  <c r="G21" i="17"/>
  <c r="H21" i="17"/>
  <c r="H19" i="17"/>
  <c r="G19" i="17"/>
  <c r="I22" i="27"/>
  <c r="H14" i="17"/>
  <c r="G14" i="17"/>
  <c r="G10" i="17"/>
  <c r="H10" i="17"/>
  <c r="G18" i="17"/>
  <c r="H18" i="17"/>
  <c r="I21" i="27"/>
  <c r="E73" i="35"/>
  <c r="D73" i="35"/>
  <c r="G24" i="17"/>
  <c r="H24" i="17"/>
  <c r="E31" i="22"/>
  <c r="G23" i="17"/>
  <c r="H23" i="17"/>
  <c r="H8" i="17"/>
  <c r="G8" i="17"/>
  <c r="H25" i="8"/>
  <c r="H26" i="8" s="1"/>
  <c r="D75" i="35"/>
  <c r="H37" i="27"/>
  <c r="G22" i="17"/>
  <c r="H22" i="17"/>
  <c r="G9" i="17"/>
  <c r="H9" i="17"/>
  <c r="G12" i="17"/>
  <c r="H12" i="17"/>
  <c r="I15" i="27"/>
  <c r="H13" i="17"/>
  <c r="G13" i="17"/>
  <c r="H16" i="17"/>
  <c r="G16" i="17"/>
  <c r="G11" i="17"/>
  <c r="H11" i="17"/>
  <c r="H20" i="17"/>
  <c r="C7" i="23" s="1"/>
  <c r="G20" i="17"/>
  <c r="B7" i="23" s="1"/>
  <c r="E30" i="22"/>
  <c r="E75" i="35"/>
  <c r="G15" i="17"/>
  <c r="H15" i="17"/>
  <c r="H7" i="17"/>
  <c r="G7" i="17"/>
  <c r="I10" i="27"/>
  <c r="H30" i="27"/>
  <c r="F30" i="27"/>
  <c r="B53" i="27" s="1"/>
  <c r="I12" i="27"/>
  <c r="I11" i="27"/>
  <c r="I17" i="27"/>
  <c r="I13" i="27"/>
  <c r="I25" i="27"/>
  <c r="I18" i="27"/>
  <c r="I23" i="27"/>
  <c r="I24" i="27"/>
  <c r="M13" i="31"/>
  <c r="I16" i="27"/>
  <c r="I14" i="27"/>
  <c r="I26" i="27"/>
  <c r="L20" i="31"/>
  <c r="L17" i="31"/>
  <c r="L16" i="31"/>
  <c r="H34" i="31"/>
  <c r="M21" i="31"/>
  <c r="M16" i="31"/>
  <c r="M20" i="31"/>
  <c r="M24" i="31"/>
  <c r="M19" i="31"/>
  <c r="M18" i="31"/>
  <c r="I6" i="31"/>
  <c r="M7" i="31"/>
  <c r="H6" i="31"/>
  <c r="B6" i="31"/>
  <c r="M25" i="31"/>
  <c r="G25" i="17" l="1"/>
  <c r="B14" i="4" s="1"/>
  <c r="H25" i="17"/>
  <c r="B15" i="4"/>
  <c r="B5" i="23"/>
  <c r="C54" i="27"/>
  <c r="C51" i="27"/>
  <c r="D52" i="27" a="1"/>
  <c r="D52" i="27" s="1"/>
  <c r="C52" i="27"/>
  <c r="C8" i="23"/>
  <c r="B8" i="23"/>
  <c r="C53" i="27"/>
  <c r="B6" i="23"/>
  <c r="D51" i="27" a="1"/>
  <c r="D51" i="27" s="1"/>
  <c r="B32" i="4"/>
  <c r="B54" i="27"/>
  <c r="B51" i="27"/>
  <c r="B50" i="27"/>
  <c r="C4" i="23"/>
  <c r="D50" i="27" a="1"/>
  <c r="D50" i="27" s="1"/>
  <c r="D54" i="27" a="1"/>
  <c r="D54" i="27" s="1"/>
  <c r="D53" i="27" a="1"/>
  <c r="D53" i="27" s="1"/>
  <c r="C50" i="27"/>
  <c r="B4" i="23"/>
  <c r="C5" i="23"/>
  <c r="B52" i="27"/>
  <c r="B55" i="27"/>
  <c r="E84" i="35"/>
  <c r="C6" i="23"/>
  <c r="D17" i="2"/>
  <c r="D7" i="23"/>
  <c r="D16" i="2"/>
  <c r="D20" i="2"/>
  <c r="D18" i="2"/>
  <c r="D19" i="2"/>
  <c r="C6" i="31"/>
  <c r="C13" i="2"/>
  <c r="B13" i="2"/>
  <c r="G6" i="2"/>
  <c r="G29" i="17" l="1"/>
  <c r="B30" i="17" s="1"/>
  <c r="D8" i="23"/>
  <c r="B20" i="2" s="1"/>
  <c r="D6" i="23"/>
  <c r="D21" i="23" s="1"/>
  <c r="F88" i="35"/>
  <c r="D84" i="35"/>
  <c r="B9" i="23"/>
  <c r="D4" i="23"/>
  <c r="C19" i="2"/>
  <c r="B37" i="4"/>
  <c r="B19" i="2"/>
  <c r="D22" i="23"/>
  <c r="G14" i="2"/>
  <c r="C22" i="23"/>
  <c r="F7" i="23"/>
  <c r="E19" i="2"/>
  <c r="D5" i="23"/>
  <c r="B6" i="20"/>
  <c r="C9" i="23"/>
  <c r="C19" i="23" l="1"/>
  <c r="B38" i="4"/>
  <c r="C20" i="2"/>
  <c r="F8" i="23"/>
  <c r="D19" i="23"/>
  <c r="E20" i="2"/>
  <c r="G15" i="2"/>
  <c r="B9" i="4"/>
  <c r="A3" i="2"/>
  <c r="B36" i="4"/>
  <c r="E18" i="2"/>
  <c r="G13" i="2"/>
  <c r="C21" i="23"/>
  <c r="B18" i="2"/>
  <c r="F6" i="23"/>
  <c r="C18" i="2"/>
  <c r="F4" i="23"/>
  <c r="C16" i="2"/>
  <c r="B16" i="2"/>
  <c r="G11" i="2"/>
  <c r="E16" i="2"/>
  <c r="A36" i="2"/>
  <c r="A4" i="25"/>
  <c r="D4" i="2"/>
  <c r="F87" i="35"/>
  <c r="E85" i="35"/>
  <c r="D85" i="35"/>
  <c r="C20" i="23"/>
  <c r="B34" i="4"/>
  <c r="D20" i="23"/>
  <c r="G12" i="2"/>
  <c r="B17" i="2"/>
  <c r="C23" i="23"/>
  <c r="E17" i="2"/>
  <c r="F5" i="23"/>
  <c r="D23" i="23"/>
  <c r="B35" i="4"/>
  <c r="C17" i="2"/>
  <c r="E6" i="23"/>
  <c r="E21" i="23" s="1"/>
  <c r="E7" i="23"/>
  <c r="E22" i="23" s="1"/>
  <c r="E8" i="23"/>
  <c r="E19" i="23" s="1"/>
  <c r="E4" i="23"/>
  <c r="E20" i="23" s="1"/>
  <c r="E9" i="23"/>
  <c r="E5" i="23"/>
  <c r="E23" i="23" s="1"/>
  <c r="D65" i="35"/>
  <c r="E4" i="2"/>
  <c r="C10" i="2"/>
  <c r="E9" i="2"/>
  <c r="B54" i="30"/>
  <c r="B33" i="25"/>
  <c r="B41" i="30"/>
  <c r="D10" i="24"/>
  <c r="D12" i="24"/>
  <c r="D8" i="24"/>
  <c r="E7" i="2"/>
  <c r="D9" i="23"/>
  <c r="B8" i="2"/>
  <c r="C7" i="2"/>
  <c r="J27" i="22"/>
  <c r="D7" i="24"/>
  <c r="G7" i="2"/>
  <c r="B39" i="32"/>
  <c r="D6" i="24"/>
  <c r="D9" i="24"/>
  <c r="B10" i="2"/>
  <c r="D11" i="24"/>
  <c r="B43" i="33"/>
  <c r="C4" i="2"/>
  <c r="D43" i="33"/>
  <c r="C16" i="24"/>
  <c r="B7" i="2"/>
  <c r="C39" i="32"/>
  <c r="C24" i="24"/>
  <c r="C8" i="2"/>
  <c r="D13" i="24"/>
  <c r="B87" i="35" l="1"/>
  <c r="B88" i="35"/>
  <c r="A40" i="45"/>
  <c r="P43" i="45"/>
  <c r="J4" i="45"/>
  <c r="B58" i="35"/>
  <c r="B11" i="23"/>
  <c r="B42" i="4"/>
  <c r="B8" i="4"/>
  <c r="B43" i="4"/>
  <c r="B65" i="35"/>
  <c r="B41" i="4"/>
  <c r="B13" i="23"/>
  <c r="B5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B6" authorId="0" shapeId="0" xr:uid="{00000000-0006-0000-0300-000001000000}">
      <text>
        <r>
          <rPr>
            <sz val="11"/>
            <color theme="1"/>
            <rFont val="Aptos Narrow"/>
            <family val="2"/>
            <scheme val="minor"/>
          </rPr>
          <t>DELL:
Valor único institucional GAD → SIGAD-SNP. Fuente: B2-SEPP celda AA5</t>
        </r>
      </text>
    </comment>
    <comment ref="B7" authorId="0" shapeId="0" xr:uid="{00000000-0006-0000-0300-000002000000}">
      <text>
        <r>
          <rPr>
            <sz val="11"/>
            <color theme="1"/>
            <rFont val="Aptos Narrow"/>
            <family val="2"/>
            <scheme val="minor"/>
          </rPr>
          <t>DELL:
Pendiente SNP. Se actualizará cuando SIGAD libere el dato oficial 2024</t>
        </r>
      </text>
    </comment>
    <comment ref="B8" authorId="0" shapeId="0" xr:uid="{00000000-0006-0000-0300-000003000000}">
      <text>
        <r>
          <rPr>
            <sz val="11"/>
            <color theme="1"/>
            <rFont val="Aptos Narrow"/>
            <family val="2"/>
            <scheme val="minor"/>
          </rPr>
          <t>Brecha = ICPI% − ICM 2023%. ICPI en decimal ×100 menos ICM ya en %. Negativo = Erosión del Compromiso. Valor correcto v2.6: −45.48 pp</t>
        </r>
      </text>
    </comment>
    <comment ref="B9" authorId="0" shapeId="0" xr:uid="{00000000-0006-0000-0300-000004000000}">
      <text>
        <r>
          <rPr>
            <sz val="11"/>
            <color theme="1"/>
            <rFont val="Aptos Narrow"/>
            <family val="2"/>
            <scheme val="minor"/>
          </rPr>
          <t>DELL:
ICPI calculado por el motor algorítmico E1-ICPI. Fórmula: Σ(Pi×Ri×Vi×Ei×Ti) ÷ Σ(Pi×Ri). Resultado expresado en porcentaje.</t>
        </r>
      </text>
    </comment>
    <comment ref="B11" authorId="0" shapeId="0" xr:uid="{00000000-0006-0000-0300-000005000000}">
      <text>
        <r>
          <rPr>
            <sz val="11"/>
            <color theme="1"/>
            <rFont val="Aptos Narrow"/>
            <family val="2"/>
            <scheme val="minor"/>
          </rPr>
          <t>DELL:
ICPI en formato decimal. Fuente: E2-RESUL B6</t>
        </r>
      </text>
    </comment>
    <comment ref="B12" authorId="0" shapeId="0" xr:uid="{00000000-0006-0000-0300-000006000000}">
      <text>
        <r>
          <rPr>
            <sz val="11"/>
            <color theme="1"/>
            <rFont val="Aptos Narrow"/>
            <family val="2"/>
            <scheme val="minor"/>
          </rPr>
          <t>DELL:
ICPI en porcentaje. Referencia maestra del sistema.</t>
        </r>
      </text>
    </comment>
    <comment ref="B13" authorId="0" shapeId="0" xr:uid="{00000000-0006-0000-0300-000007000000}">
      <text>
        <r>
          <rPr>
            <sz val="11"/>
            <color theme="1"/>
            <rFont val="Aptos Narrow"/>
            <family val="2"/>
            <scheme val="minor"/>
          </rPr>
          <t>DELL:
Categoría del semáforo de gestión institucional (5 rangos)</t>
        </r>
      </text>
    </comment>
    <comment ref="B14" authorId="0" shapeId="0" xr:uid="{00000000-0006-0000-0300-000008000000}">
      <text>
        <r>
          <rPr>
            <sz val="11"/>
            <color theme="1"/>
            <rFont val="Aptos Narrow"/>
            <family val="2"/>
            <scheme val="minor"/>
          </rPr>
          <t>CORREGIDO Fase 2 Corrección #7: Numerador real Σ(Pi×Ri×Vi×Ti×Ci). Antes referenciaba RESULTADOS!B3 (encabezado=0). Ahora apunta directamente al motor ICPI!G25.</t>
        </r>
      </text>
    </comment>
    <comment ref="B15" authorId="0" shapeId="0" xr:uid="{00000000-0006-0000-0300-000009000000}">
      <text>
        <r>
          <rPr>
            <sz val="11"/>
            <color theme="1"/>
            <rFont val="Aptos Narrow"/>
            <family val="2"/>
            <scheme val="minor"/>
          </rPr>
          <t>DELL:
Suma del denominador de la fórmula ICPI. Fuente: E2-RESUL B5</t>
        </r>
      </text>
    </comment>
    <comment ref="B16" authorId="0" shapeId="0" xr:uid="{00000000-0006-0000-0300-00000A000000}">
      <text>
        <r>
          <rPr>
            <sz val="11"/>
            <color theme="1"/>
            <rFont val="Aptos Narrow"/>
            <family val="2"/>
            <scheme val="minor"/>
          </rPr>
          <t>DELL:
Interpretación forense del nivel ICPI. Fuente: E2-RESUL B9</t>
        </r>
      </text>
    </comment>
    <comment ref="B19" authorId="0" shapeId="0" xr:uid="{00000000-0006-0000-0300-00000B000000}">
      <text>
        <r>
          <rPr>
            <sz val="11"/>
            <color theme="1"/>
            <rFont val="Aptos Narrow"/>
            <family val="2"/>
            <scheme val="minor"/>
          </rPr>
          <t>DELL:
67 promesas totales del Plan de Trabajo CNE. Fuente: A-ITME</t>
        </r>
      </text>
    </comment>
    <comment ref="B20" authorId="0" shapeId="0" xr:uid="{00000000-0006-0000-0300-00000C000000}">
      <text>
        <r>
          <rPr>
            <sz val="11"/>
            <color theme="1"/>
            <rFont val="Aptos Narrow"/>
            <family val="2"/>
            <scheme val="minor"/>
          </rPr>
          <t>DELL:
20 promesas de mayor impacto financiero. Fuente: B2-SEPP</t>
        </r>
      </text>
    </comment>
    <comment ref="B21" authorId="0" shapeId="0" xr:uid="{00000000-0006-0000-0300-00000D000000}">
      <text>
        <r>
          <rPr>
            <sz val="11"/>
            <color theme="1"/>
            <rFont val="Aptos Narrow"/>
            <family val="2"/>
            <scheme val="minor"/>
          </rPr>
          <t>DELL:
La muestra n=20 cubre el 87.2% del presupuesto total. Fuente: B3-VALREP</t>
        </r>
      </text>
    </comment>
    <comment ref="B22" authorId="0" shapeId="0" xr:uid="{00000000-0006-0000-0300-00000E000000}">
      <text>
        <r>
          <rPr>
            <sz val="11"/>
            <color theme="1"/>
            <rFont val="Aptos Narrow"/>
            <family val="2"/>
            <scheme val="minor"/>
          </rPr>
          <t>DELL:
Presupuesto total de las 20 promesas de la muestra SEPP</t>
        </r>
      </text>
    </comment>
    <comment ref="B23" authorId="0" shapeId="0" xr:uid="{00000000-0006-0000-0300-00000F000000}">
      <text>
        <r>
          <rPr>
            <sz val="11"/>
            <color theme="1"/>
            <rFont val="Aptos Narrow"/>
            <family val="2"/>
            <scheme val="minor"/>
          </rPr>
          <t>DELL:
Presupuesto de las 15 promesas con Vi=1 (con soporte documental)</t>
        </r>
      </text>
    </comment>
    <comment ref="B26" authorId="0" shapeId="0" xr:uid="{00000000-0006-0000-0300-000010000000}">
      <text>
        <r>
          <rPr>
            <sz val="11"/>
            <color theme="1"/>
            <rFont val="Aptos Narrow"/>
            <family val="2"/>
            <scheme val="minor"/>
          </rPr>
          <t>DELL:
15 de 20 promesas con evidencia documental verificada (Vi=1). Fuente: D-MAD</t>
        </r>
      </text>
    </comment>
    <comment ref="B27" authorId="0" shapeId="0" xr:uid="{00000000-0006-0000-0300-000011000000}">
      <text>
        <r>
          <rPr>
            <sz val="11"/>
            <color theme="1"/>
            <rFont val="Aptos Narrow"/>
            <family val="2"/>
            <scheme val="minor"/>
          </rPr>
          <t>DELL:
5 de 20 promesas sin evidencia documental (Vi=0). Anula su aporte al ICPI.</t>
        </r>
      </text>
    </comment>
    <comment ref="B28" authorId="0" shapeId="0" xr:uid="{00000000-0006-0000-0300-000012000000}">
      <text>
        <r>
          <rPr>
            <sz val="11"/>
            <color theme="1"/>
            <rFont val="Aptos Narrow"/>
            <family val="2"/>
            <scheme val="minor"/>
          </rPr>
          <t>DELL:
4 de 20 promesas con Vi=1 y Ti=1: TER-01, TER-18, SOC-03, INS-05</t>
        </r>
      </text>
    </comment>
    <comment ref="B29" authorId="0" shapeId="0" xr:uid="{00000000-0006-0000-0300-000013000000}">
      <text>
        <r>
          <rPr>
            <sz val="11"/>
            <color theme="1"/>
            <rFont val="Aptos Narrow"/>
            <family val="2"/>
            <scheme val="minor"/>
          </rPr>
          <t>DELL:
11 de 20 promesas con Vi=1 pero Ti&lt;1 (avance físico parcial)</t>
        </r>
      </text>
    </comment>
    <comment ref="B30" authorId="0" shapeId="0" xr:uid="{00000000-0006-0000-0300-000014000000}">
      <text>
        <r>
          <rPr>
            <sz val="11"/>
            <color theme="1"/>
            <rFont val="Aptos Narrow"/>
            <family val="2"/>
            <scheme val="minor"/>
          </rPr>
          <t>DELL:
7 promesas con Ci=0.9 (adscritos/convenios): SOC-02, SOC-07, AMB-07, SOC-04, AMB-08, SOC-08, ECO-12. Fuente: C-MAO → D-MAD col O</t>
        </r>
      </text>
    </comment>
    <comment ref="B34" authorId="0" shapeId="0" xr:uid="{00000000-0006-0000-0300-000015000000}">
      <text>
        <r>
          <rPr>
            <sz val="11"/>
            <color theme="1"/>
            <rFont val="Aptos Narrow"/>
            <family val="2"/>
            <scheme val="minor"/>
          </rPr>
          <t>ICPI del eje Territorial. Fuente: H2-EJES D4. Ya expresado en %.</t>
        </r>
      </text>
    </comment>
    <comment ref="B35" authorId="0" shapeId="0" xr:uid="{00000000-0006-0000-0300-000016000000}">
      <text>
        <r>
          <rPr>
            <sz val="11"/>
            <color theme="1"/>
            <rFont val="Aptos Narrow"/>
            <family val="2"/>
            <scheme val="minor"/>
          </rPr>
          <t>ICPI del eje Social. Fuente: H2-EJES D5. Ya expresado en %.</t>
        </r>
      </text>
    </comment>
    <comment ref="B36" authorId="0" shapeId="0" xr:uid="{00000000-0006-0000-0300-000017000000}">
      <text>
        <r>
          <rPr>
            <sz val="11"/>
            <color theme="1"/>
            <rFont val="Aptos Narrow"/>
            <family val="2"/>
            <scheme val="minor"/>
          </rPr>
          <t>ICPI del eje Ambiental. Fuente: H2-EJES D6. Ya expresado en %.</t>
        </r>
      </text>
    </comment>
    <comment ref="B37" authorId="0" shapeId="0" xr:uid="{00000000-0006-0000-0300-000018000000}">
      <text>
        <r>
          <rPr>
            <sz val="11"/>
            <color theme="1"/>
            <rFont val="Aptos Narrow"/>
            <family val="2"/>
            <scheme val="minor"/>
          </rPr>
          <t>ICPI del eje Económico. Fuente: H2-EJES D7. Ya expresado en %.</t>
        </r>
      </text>
    </comment>
    <comment ref="B38" authorId="0" shapeId="0" xr:uid="{00000000-0006-0000-0300-000019000000}">
      <text>
        <r>
          <rPr>
            <sz val="11"/>
            <color theme="1"/>
            <rFont val="Aptos Narrow"/>
            <family val="2"/>
            <scheme val="minor"/>
          </rPr>
          <t>ICPI del eje Institucional. Fuente: H2-EJES D8. Ya expresado en %.</t>
        </r>
      </text>
    </comment>
    <comment ref="B41" authorId="0" shapeId="0" xr:uid="{00000000-0006-0000-0300-00001A000000}">
      <text>
        <r>
          <rPr>
            <sz val="11"/>
            <color theme="1"/>
            <rFont val="Aptos Narrow"/>
            <family val="2"/>
            <scheme val="minor"/>
          </rPr>
          <t>DELL:
Brecha = ICPI% − ICM 2023%. Refleja la Erosión del Compromiso. Valor v2.6: −45.23 pp</t>
        </r>
      </text>
    </comment>
    <comment ref="B42" authorId="0" shapeId="0" xr:uid="{00000000-0006-0000-0300-00001B000000}">
      <text>
        <r>
          <rPr>
            <sz val="11"/>
            <color theme="1"/>
            <rFont val="Aptos Narrow"/>
            <family val="2"/>
            <scheme val="minor"/>
          </rPr>
          <t>Brecha promedio simple por promesa en pp. F-BI E24 está en decimal, ×100 para convertir a pp.</t>
        </r>
      </text>
    </comment>
    <comment ref="B43" authorId="0" shapeId="0" xr:uid="{00000000-0006-0000-0300-00001C000000}">
      <text>
        <r>
          <rPr>
            <sz val="11"/>
            <color theme="1"/>
            <rFont val="Aptos Narrow"/>
            <family val="2"/>
            <scheme val="minor"/>
          </rPr>
          <t>DELL:
16 de 20 promesas con brecha negativa ICPI &lt; ICM (DISCREPANCIA). Fuente: F-BI</t>
        </r>
      </text>
    </comment>
    <comment ref="B44" authorId="0" shapeId="0" xr:uid="{00000000-0006-0000-0300-00001D000000}">
      <text>
        <r>
          <rPr>
            <sz val="11"/>
            <color theme="1"/>
            <rFont val="Aptos Narrow"/>
            <family val="2"/>
            <scheme val="minor"/>
          </rPr>
          <t>DELL:
4 de 20 promesas CONGRUENTES (brecha ≥0): TER-03, SOC-03, TER-01, INS-05. Fuente: F-BI</t>
        </r>
      </text>
    </comment>
    <comment ref="B46" authorId="0" shapeId="0" xr:uid="{00000000-0006-0000-0300-00001E000000}">
      <text>
        <r>
          <rPr>
            <sz val="11"/>
            <color theme="1"/>
            <rFont val="Aptos Narrow"/>
            <family val="2"/>
            <scheme val="minor"/>
          </rPr>
          <t>DELL:
Si SOC-02 (Centro Salud Tipo C, mayor Pi=0.20) se activa: ICPI sube +20.6 pp. Fuente: H3-SENSI</t>
        </r>
      </text>
    </comment>
    <comment ref="B47" authorId="0" shapeId="0" xr:uid="{00000000-0006-0000-0300-00001F000000}">
      <text>
        <r>
          <rPr>
            <sz val="11"/>
            <color theme="1"/>
            <rFont val="Aptos Narrow"/>
            <family val="2"/>
            <scheme val="minor"/>
          </rPr>
          <t>DELL:
ICPI si SOC-02 pasa a Vi=1, Ti=1. Escenario de mayor impacto individual. Fuente: H3-SENSI E6</t>
        </r>
      </text>
    </comment>
    <comment ref="B48" authorId="0" shapeId="0" xr:uid="{00000000-0006-0000-0300-000020000000}">
      <text>
        <r>
          <rPr>
            <sz val="11"/>
            <color theme="1"/>
            <rFont val="Aptos Narrow"/>
            <family val="2"/>
            <scheme val="minor"/>
          </rPr>
          <t>ΔICPI total acumulado si todos los Vi=0 se activan con Ti=1. Escenario teórico máximo. Fuente: H3-SENSI B18</t>
        </r>
      </text>
    </comment>
    <comment ref="B49" authorId="0" shapeId="0" xr:uid="{00000000-0006-0000-0300-000021000000}">
      <text>
        <r>
          <rPr>
            <sz val="11"/>
            <color theme="1"/>
            <rFont val="Aptos Narrow"/>
            <family val="2"/>
            <scheme val="minor"/>
          </rPr>
          <t>Inversión sin trazabilidad documental (Vi=0). 5 promesas sin soporte. Fuente: H3-SENSI B19</t>
        </r>
      </text>
    </comment>
    <comment ref="B51" authorId="0" shapeId="0" xr:uid="{00000000-0006-0000-0300-000022000000}">
      <text>
        <r>
          <rPr>
            <sz val="11"/>
            <color theme="1"/>
            <rFont val="Aptos Narrow"/>
            <family val="2"/>
            <scheme val="minor"/>
          </rPr>
          <t>DELL:
RDC 2023 (N°17649) y RDC 2024 (N°22844) recibidos y procesados el 22/02/2025</t>
        </r>
      </text>
    </comment>
    <comment ref="B52" authorId="0" shapeId="0" xr:uid="{00000000-0006-0000-0300-000023000000}">
      <text>
        <r>
          <rPr>
            <sz val="11"/>
            <color theme="1"/>
            <rFont val="Aptos Narrow"/>
            <family val="2"/>
            <scheme val="minor"/>
          </rPr>
          <t>DELL:
8 fuentes pendientes: cédulas GAD 2023-24, POA GAD 2023-24, cédulas Patronato 2023-24, POA Patronato 2023-24</t>
        </r>
      </text>
    </comment>
    <comment ref="B53" authorId="0" shapeId="0" xr:uid="{00000000-0006-0000-0300-000024000000}">
      <text>
        <r>
          <rPr>
            <sz val="11"/>
            <color theme="1"/>
            <rFont val="Aptos Narrow"/>
            <family val="2"/>
            <scheme val="minor"/>
          </rPr>
          <t>DELL:
Si las cédulas presupuestarias confirman Vi=1 en TER-10, SOC-04, SOC-07: ICPI podría subir hasta +8pp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E43" authorId="0" shapeId="0" xr:uid="{023669AC-9D8A-4041-BBC8-6B3354193BB8}">
      <text>
        <r>
          <rPr>
            <b/>
            <sz val="9"/>
            <color indexed="81"/>
            <rFont val="Tahoma"/>
            <family val="2"/>
          </rPr>
          <t>DELL:</t>
        </r>
        <r>
          <rPr>
            <sz val="9"/>
            <color indexed="81"/>
            <rFont val="Tahoma"/>
            <family val="2"/>
          </rPr>
          <t xml:space="preserve">
Pi = PDOT!L4 / PDOT!L24 · Fuente maestra: PDOT hoja</t>
        </r>
      </text>
    </comment>
    <comment ref="J43" authorId="0" shapeId="0" xr:uid="{6ED86FBB-D926-4B27-9ADB-D4CE46A19B0A}">
      <text>
        <r>
          <rPr>
            <b/>
            <sz val="9"/>
            <color indexed="81"/>
            <rFont val="Tahoma"/>
            <family val="2"/>
          </rPr>
          <t>DELL:</t>
        </r>
        <r>
          <rPr>
            <sz val="9"/>
            <color indexed="81"/>
            <rFont val="Tahoma"/>
            <family val="2"/>
          </rPr>
          <t xml:space="preserve">
Vinculado a PDOT!L4 · Fuente: Plan Plurianual Inversiones GAD Montecristi 2023-2027</t>
        </r>
      </text>
    </comment>
    <comment ref="E44" authorId="0" shapeId="0" xr:uid="{B33BA30A-AD7A-418F-B369-28D7203DC51E}">
      <text>
        <r>
          <rPr>
            <b/>
            <sz val="9"/>
            <color indexed="81"/>
            <rFont val="Tahoma"/>
            <family val="2"/>
          </rPr>
          <t>DELL:</t>
        </r>
        <r>
          <rPr>
            <sz val="9"/>
            <color indexed="81"/>
            <rFont val="Tahoma"/>
            <family val="2"/>
          </rPr>
          <t xml:space="preserve">
Pi = PDOT!L5 / PDOT!L24</t>
        </r>
      </text>
    </comment>
    <comment ref="J44" authorId="0" shapeId="0" xr:uid="{63BDF488-DC14-494C-B26B-70A473F491AB}">
      <text>
        <r>
          <rPr>
            <b/>
            <sz val="9"/>
            <color indexed="81"/>
            <rFont val="Tahoma"/>
            <family val="2"/>
          </rPr>
          <t>DELL:</t>
        </r>
        <r>
          <rPr>
            <sz val="9"/>
            <color indexed="81"/>
            <rFont val="Tahoma"/>
            <family val="2"/>
          </rPr>
          <t xml:space="preserve">
Vinculado a PDOT!L5 · Corregido: $5,827,477 (separado $55,167 Unidad Médica Móvil M3.01)</t>
        </r>
      </text>
    </comment>
    <comment ref="E45" authorId="0" shapeId="0" xr:uid="{98EEFED9-A523-486D-A295-505F8004B39B}">
      <text>
        <r>
          <rPr>
            <b/>
            <sz val="9"/>
            <color indexed="81"/>
            <rFont val="Tahoma"/>
            <family val="2"/>
          </rPr>
          <t>DELL:</t>
        </r>
        <r>
          <rPr>
            <sz val="9"/>
            <color indexed="81"/>
            <rFont val="Tahoma"/>
            <family val="2"/>
          </rPr>
          <t xml:space="preserve">
Pi = PDOT!L6 / PDOT!L24</t>
        </r>
      </text>
    </comment>
    <comment ref="J45" authorId="0" shapeId="0" xr:uid="{8BF75F7E-B781-4CA3-A015-DACE02C5F883}">
      <text>
        <r>
          <rPr>
            <b/>
            <sz val="9"/>
            <color indexed="81"/>
            <rFont val="Tahoma"/>
            <family val="2"/>
          </rPr>
          <t>DELL:</t>
        </r>
        <r>
          <rPr>
            <sz val="9"/>
            <color indexed="81"/>
            <rFont val="Tahoma"/>
            <family val="2"/>
          </rPr>
          <t xml:space="preserve">
Vinculado a PDOT!L6 · Fuente: Plan Plurianual PDOT</t>
        </r>
      </text>
    </comment>
    <comment ref="E46" authorId="0" shapeId="0" xr:uid="{C90BFAB6-F58D-4592-94D1-3821BD075A44}">
      <text>
        <r>
          <rPr>
            <b/>
            <sz val="9"/>
            <color indexed="81"/>
            <rFont val="Tahoma"/>
            <family val="2"/>
          </rPr>
          <t>DELL:</t>
        </r>
        <r>
          <rPr>
            <sz val="9"/>
            <color indexed="81"/>
            <rFont val="Tahoma"/>
            <family val="2"/>
          </rPr>
          <t xml:space="preserve">
Pi = PDOT!L7 / PDOT!L24</t>
        </r>
      </text>
    </comment>
    <comment ref="J46" authorId="0" shapeId="0" xr:uid="{24D3BA74-4051-40C1-A6FC-38ED3FF26296}">
      <text>
        <r>
          <rPr>
            <b/>
            <sz val="9"/>
            <color indexed="81"/>
            <rFont val="Tahoma"/>
            <family val="2"/>
          </rPr>
          <t>DELL:</t>
        </r>
        <r>
          <rPr>
            <sz val="9"/>
            <color indexed="81"/>
            <rFont val="Tahoma"/>
            <family val="2"/>
          </rPr>
          <t xml:space="preserve">
Vinculado a PDOT!L7</t>
        </r>
      </text>
    </comment>
    <comment ref="E47" authorId="0" shapeId="0" xr:uid="{07B5CBBA-D56B-4808-89CA-B7B090611385}">
      <text>
        <r>
          <rPr>
            <b/>
            <sz val="9"/>
            <color indexed="81"/>
            <rFont val="Tahoma"/>
            <family val="2"/>
          </rPr>
          <t>DELL:</t>
        </r>
        <r>
          <rPr>
            <sz val="9"/>
            <color indexed="81"/>
            <rFont val="Tahoma"/>
            <family val="2"/>
          </rPr>
          <t xml:space="preserve">
Pi = PDOT!L8 / PDOT!L24</t>
        </r>
      </text>
    </comment>
    <comment ref="J47" authorId="0" shapeId="0" xr:uid="{3F5B351A-D778-4082-B6F5-32AB9F386653}">
      <text>
        <r>
          <rPr>
            <b/>
            <sz val="9"/>
            <color indexed="81"/>
            <rFont val="Tahoma"/>
            <family val="2"/>
          </rPr>
          <t>DELL:</t>
        </r>
        <r>
          <rPr>
            <sz val="9"/>
            <color indexed="81"/>
            <rFont val="Tahoma"/>
            <family val="2"/>
          </rPr>
          <t xml:space="preserve">
Vinculado a PDOT!L8 · Corregido: $1,611,066 (separado $144,000 adultos mayores M2.01)</t>
        </r>
      </text>
    </comment>
    <comment ref="E48" authorId="0" shapeId="0" xr:uid="{64D68582-E4C2-47F1-9EDE-7C1EB23A4BDE}">
      <text>
        <r>
          <rPr>
            <b/>
            <sz val="9"/>
            <color indexed="81"/>
            <rFont val="Tahoma"/>
            <family val="2"/>
          </rPr>
          <t>DELL:</t>
        </r>
        <r>
          <rPr>
            <sz val="9"/>
            <color indexed="81"/>
            <rFont val="Tahoma"/>
            <family val="2"/>
          </rPr>
          <t xml:space="preserve">
Pi = PDOT!L9 / PDOT!L24</t>
        </r>
      </text>
    </comment>
    <comment ref="J48" authorId="0" shapeId="0" xr:uid="{0E6F4E0D-45AF-4B64-A292-292B04E8213C}">
      <text>
        <r>
          <rPr>
            <b/>
            <sz val="9"/>
            <color indexed="81"/>
            <rFont val="Tahoma"/>
            <family val="2"/>
          </rPr>
          <t>DELL:</t>
        </r>
        <r>
          <rPr>
            <sz val="9"/>
            <color indexed="81"/>
            <rFont val="Tahoma"/>
            <family val="2"/>
          </rPr>
          <t xml:space="preserve">
Vinculado a PDOT!L9</t>
        </r>
      </text>
    </comment>
    <comment ref="E49" authorId="0" shapeId="0" xr:uid="{D3AC4110-CA4C-4C6C-9C2F-A70274D42B95}">
      <text>
        <r>
          <rPr>
            <b/>
            <sz val="9"/>
            <color indexed="81"/>
            <rFont val="Tahoma"/>
            <family val="2"/>
          </rPr>
          <t>DELL:</t>
        </r>
        <r>
          <rPr>
            <sz val="9"/>
            <color indexed="81"/>
            <rFont val="Tahoma"/>
            <family val="2"/>
          </rPr>
          <t xml:space="preserve">
Pi = PDOT!L10 / PDOT!L24</t>
        </r>
      </text>
    </comment>
    <comment ref="J49" authorId="0" shapeId="0" xr:uid="{CB1B2978-9091-4367-B564-3F15EB2932CA}">
      <text>
        <r>
          <rPr>
            <b/>
            <sz val="9"/>
            <color indexed="81"/>
            <rFont val="Tahoma"/>
            <family val="2"/>
          </rPr>
          <t>DELL:</t>
        </r>
        <r>
          <rPr>
            <sz val="9"/>
            <color indexed="81"/>
            <rFont val="Tahoma"/>
            <family val="2"/>
          </rPr>
          <t xml:space="preserve">
Vinculado a PDOT!L10</t>
        </r>
      </text>
    </comment>
    <comment ref="E50" authorId="0" shapeId="0" xr:uid="{BAB07790-4D74-4DCE-8F07-497D8479B272}">
      <text>
        <r>
          <rPr>
            <b/>
            <sz val="9"/>
            <color indexed="81"/>
            <rFont val="Tahoma"/>
            <family val="2"/>
          </rPr>
          <t>DELL:</t>
        </r>
        <r>
          <rPr>
            <sz val="9"/>
            <color indexed="81"/>
            <rFont val="Tahoma"/>
            <family val="2"/>
          </rPr>
          <t xml:space="preserve">
Pi = PDOT!L11 / PDOT!L24</t>
        </r>
      </text>
    </comment>
    <comment ref="J50" authorId="0" shapeId="0" xr:uid="{B96F3168-29D0-489B-A32F-2201266A2796}">
      <text>
        <r>
          <rPr>
            <b/>
            <sz val="9"/>
            <color indexed="81"/>
            <rFont val="Tahoma"/>
            <family val="2"/>
          </rPr>
          <t>DELL:</t>
        </r>
        <r>
          <rPr>
            <sz val="9"/>
            <color indexed="81"/>
            <rFont val="Tahoma"/>
            <family val="2"/>
          </rPr>
          <t xml:space="preserve">
Vinculado a PDOT!L11</t>
        </r>
      </text>
    </comment>
    <comment ref="E51" authorId="0" shapeId="0" xr:uid="{3108B4F7-03FB-49EB-BB92-18A378A9202B}">
      <text>
        <r>
          <rPr>
            <b/>
            <sz val="9"/>
            <color indexed="81"/>
            <rFont val="Tahoma"/>
            <family val="2"/>
          </rPr>
          <t>DELL:</t>
        </r>
        <r>
          <rPr>
            <sz val="9"/>
            <color indexed="81"/>
            <rFont val="Tahoma"/>
            <family val="2"/>
          </rPr>
          <t xml:space="preserve">
Pi = PDOT!L12 / PDOT!L24</t>
        </r>
      </text>
    </comment>
    <comment ref="J51" authorId="0" shapeId="0" xr:uid="{15B3CA3C-0EA1-4487-9FA3-40A9F5E4C762}">
      <text>
        <r>
          <rPr>
            <b/>
            <sz val="9"/>
            <color indexed="81"/>
            <rFont val="Tahoma"/>
            <family val="2"/>
          </rPr>
          <t>DELL:</t>
        </r>
        <r>
          <rPr>
            <sz val="9"/>
            <color indexed="81"/>
            <rFont val="Tahoma"/>
            <family val="2"/>
          </rPr>
          <t xml:space="preserve">
Vinculado a PDOT!L12 · Corregido: $840,000 (ITME tenía $0)</t>
        </r>
      </text>
    </comment>
    <comment ref="E52" authorId="0" shapeId="0" xr:uid="{70DE993F-F68F-4981-B756-5314AD43B808}">
      <text>
        <r>
          <rPr>
            <b/>
            <sz val="9"/>
            <color indexed="81"/>
            <rFont val="Tahoma"/>
            <family val="2"/>
          </rPr>
          <t>DELL:</t>
        </r>
        <r>
          <rPr>
            <sz val="9"/>
            <color indexed="81"/>
            <rFont val="Tahoma"/>
            <family val="2"/>
          </rPr>
          <t xml:space="preserve">
Pi = PDOT!L13 / PDOT!L24</t>
        </r>
      </text>
    </comment>
    <comment ref="J52" authorId="0" shapeId="0" xr:uid="{C56677E6-0C87-4D3E-8B44-8937272FFF0E}">
      <text>
        <r>
          <rPr>
            <b/>
            <sz val="9"/>
            <color indexed="81"/>
            <rFont val="Tahoma"/>
            <family val="2"/>
          </rPr>
          <t>DELL:</t>
        </r>
        <r>
          <rPr>
            <sz val="9"/>
            <color indexed="81"/>
            <rFont val="Tahoma"/>
            <family val="2"/>
          </rPr>
          <t xml:space="preserve">
Vinculado a PDOT!L13</t>
        </r>
      </text>
    </comment>
    <comment ref="E53" authorId="0" shapeId="0" xr:uid="{76958F02-D059-4B21-847C-73CEE94AB226}">
      <text>
        <r>
          <rPr>
            <b/>
            <sz val="9"/>
            <color indexed="81"/>
            <rFont val="Tahoma"/>
            <family val="2"/>
          </rPr>
          <t>DELL:</t>
        </r>
        <r>
          <rPr>
            <sz val="9"/>
            <color indexed="81"/>
            <rFont val="Tahoma"/>
            <family val="2"/>
          </rPr>
          <t xml:space="preserve">
Pi = PDOT!L14 / PDOT!L24</t>
        </r>
      </text>
    </comment>
    <comment ref="J53" authorId="0" shapeId="0" xr:uid="{44E9A7BD-4EC6-4BA3-9BD4-658D6418CEA7}">
      <text>
        <r>
          <rPr>
            <b/>
            <sz val="9"/>
            <color indexed="81"/>
            <rFont val="Tahoma"/>
            <family val="2"/>
          </rPr>
          <t>DELL:</t>
        </r>
        <r>
          <rPr>
            <sz val="9"/>
            <color indexed="81"/>
            <rFont val="Tahoma"/>
            <family val="2"/>
          </rPr>
          <t xml:space="preserve">
Vinculado a PDOT!L14 · Corregido: $609,999.54 (separado $100,000 Parque Colorado)</t>
        </r>
      </text>
    </comment>
    <comment ref="E54" authorId="0" shapeId="0" xr:uid="{0BEC1BE0-A086-40AE-8596-276040DA7AD2}">
      <text>
        <r>
          <rPr>
            <b/>
            <sz val="9"/>
            <color indexed="81"/>
            <rFont val="Tahoma"/>
            <family val="2"/>
          </rPr>
          <t>DELL:</t>
        </r>
        <r>
          <rPr>
            <sz val="9"/>
            <color indexed="81"/>
            <rFont val="Tahoma"/>
            <family val="2"/>
          </rPr>
          <t xml:space="preserve">
Pi = PDOT!L15 / PDOT!L24</t>
        </r>
      </text>
    </comment>
    <comment ref="J54" authorId="0" shapeId="0" xr:uid="{0F49154F-C210-4F6F-8DC1-FCC4E8427961}">
      <text>
        <r>
          <rPr>
            <b/>
            <sz val="9"/>
            <color indexed="81"/>
            <rFont val="Tahoma"/>
            <family val="2"/>
          </rPr>
          <t>DELL:</t>
        </r>
        <r>
          <rPr>
            <sz val="9"/>
            <color indexed="81"/>
            <rFont val="Tahoma"/>
            <family val="2"/>
          </rPr>
          <t xml:space="preserve">
Vinculado a PDOT!L15</t>
        </r>
      </text>
    </comment>
    <comment ref="E55" authorId="0" shapeId="0" xr:uid="{0285423F-CCBA-4714-99FA-2DBA39C07A05}">
      <text>
        <r>
          <rPr>
            <b/>
            <sz val="9"/>
            <color indexed="81"/>
            <rFont val="Tahoma"/>
            <family val="2"/>
          </rPr>
          <t>DELL:</t>
        </r>
        <r>
          <rPr>
            <sz val="9"/>
            <color indexed="81"/>
            <rFont val="Tahoma"/>
            <family val="2"/>
          </rPr>
          <t xml:space="preserve">
Pi = PDOT!L16 / PDOT!L24</t>
        </r>
      </text>
    </comment>
    <comment ref="J55" authorId="0" shapeId="0" xr:uid="{93BD430F-B78B-48D2-BFD2-68288667089F}">
      <text>
        <r>
          <rPr>
            <b/>
            <sz val="9"/>
            <color indexed="81"/>
            <rFont val="Tahoma"/>
            <family val="2"/>
          </rPr>
          <t>DELL:</t>
        </r>
        <r>
          <rPr>
            <sz val="9"/>
            <color indexed="81"/>
            <rFont val="Tahoma"/>
            <family val="2"/>
          </rPr>
          <t xml:space="preserve">
Vinculado a PDOT!L16 · Corregido: $412,973 (separado $60,000 SIT M2.01)</t>
        </r>
      </text>
    </comment>
    <comment ref="E56" authorId="0" shapeId="0" xr:uid="{2DC43755-175C-4C23-9A84-2240FD5631A7}">
      <text>
        <r>
          <rPr>
            <b/>
            <sz val="9"/>
            <color indexed="81"/>
            <rFont val="Tahoma"/>
            <family val="2"/>
          </rPr>
          <t>DELL:</t>
        </r>
        <r>
          <rPr>
            <sz val="9"/>
            <color indexed="81"/>
            <rFont val="Tahoma"/>
            <family val="2"/>
          </rPr>
          <t xml:space="preserve">
Pi = PDOT!L17 / PDOT!L24</t>
        </r>
      </text>
    </comment>
    <comment ref="J56" authorId="0" shapeId="0" xr:uid="{DAAB4A06-4400-46D3-9C55-C0ED234AECDC}">
      <text>
        <r>
          <rPr>
            <b/>
            <sz val="9"/>
            <color indexed="81"/>
            <rFont val="Tahoma"/>
            <family val="2"/>
          </rPr>
          <t>DELL:</t>
        </r>
        <r>
          <rPr>
            <sz val="9"/>
            <color indexed="81"/>
            <rFont val="Tahoma"/>
            <family val="2"/>
          </rPr>
          <t xml:space="preserve">
Vinculado a PDOT!L17</t>
        </r>
      </text>
    </comment>
    <comment ref="E57" authorId="0" shapeId="0" xr:uid="{5423075A-731D-4AAC-8CB1-9612437DB05F}">
      <text>
        <r>
          <rPr>
            <b/>
            <sz val="9"/>
            <color indexed="81"/>
            <rFont val="Tahoma"/>
            <family val="2"/>
          </rPr>
          <t>DELL:</t>
        </r>
        <r>
          <rPr>
            <sz val="9"/>
            <color indexed="81"/>
            <rFont val="Tahoma"/>
            <family val="2"/>
          </rPr>
          <t xml:space="preserve">
Pi = PDOT!L18 / PDOT!L24</t>
        </r>
      </text>
    </comment>
    <comment ref="J57" authorId="0" shapeId="0" xr:uid="{5A725615-F126-484F-8157-62B47110B6DB}">
      <text>
        <r>
          <rPr>
            <b/>
            <sz val="9"/>
            <color indexed="81"/>
            <rFont val="Tahoma"/>
            <family val="2"/>
          </rPr>
          <t>DELL:</t>
        </r>
        <r>
          <rPr>
            <sz val="9"/>
            <color indexed="81"/>
            <rFont val="Tahoma"/>
            <family val="2"/>
          </rPr>
          <t xml:space="preserve">
Vinculado a PDOT!L18</t>
        </r>
      </text>
    </comment>
    <comment ref="E58" authorId="0" shapeId="0" xr:uid="{3067B4A6-DA9E-4ACD-854C-A309911B41A9}">
      <text>
        <r>
          <rPr>
            <b/>
            <sz val="9"/>
            <color indexed="81"/>
            <rFont val="Tahoma"/>
            <family val="2"/>
          </rPr>
          <t>DELL:</t>
        </r>
        <r>
          <rPr>
            <sz val="9"/>
            <color indexed="81"/>
            <rFont val="Tahoma"/>
            <family val="2"/>
          </rPr>
          <t xml:space="preserve">
Pi = PDOT!L19 / PDOT!L24</t>
        </r>
      </text>
    </comment>
    <comment ref="J58" authorId="0" shapeId="0" xr:uid="{1A6BF3F5-2FC8-4D3B-B67A-A5452A6FB6DD}">
      <text>
        <r>
          <rPr>
            <b/>
            <sz val="9"/>
            <color indexed="81"/>
            <rFont val="Tahoma"/>
            <family val="2"/>
          </rPr>
          <t>DELL:</t>
        </r>
        <r>
          <rPr>
            <sz val="9"/>
            <color indexed="81"/>
            <rFont val="Tahoma"/>
            <family val="2"/>
          </rPr>
          <t xml:space="preserve">
Vinculado a PDOT!L19</t>
        </r>
      </text>
    </comment>
    <comment ref="E59" authorId="0" shapeId="0" xr:uid="{9BF65149-71E8-4907-8911-0ABA849FFBD7}">
      <text>
        <r>
          <rPr>
            <b/>
            <sz val="9"/>
            <color indexed="81"/>
            <rFont val="Tahoma"/>
            <family val="2"/>
          </rPr>
          <t>DELL:</t>
        </r>
        <r>
          <rPr>
            <sz val="9"/>
            <color indexed="81"/>
            <rFont val="Tahoma"/>
            <family val="2"/>
          </rPr>
          <t xml:space="preserve">
Pi = PDOT!L20 / PDOT!L24</t>
        </r>
      </text>
    </comment>
    <comment ref="J59" authorId="0" shapeId="0" xr:uid="{2A84FFE8-6765-400C-9107-569E41CBFA3E}">
      <text>
        <r>
          <rPr>
            <b/>
            <sz val="9"/>
            <color indexed="81"/>
            <rFont val="Tahoma"/>
            <family val="2"/>
          </rPr>
          <t>DELL:</t>
        </r>
        <r>
          <rPr>
            <sz val="9"/>
            <color indexed="81"/>
            <rFont val="Tahoma"/>
            <family val="2"/>
          </rPr>
          <t xml:space="preserve">
Vinculado a PDOT!L20</t>
        </r>
      </text>
    </comment>
    <comment ref="E60" authorId="0" shapeId="0" xr:uid="{C5F59313-5FB5-4E75-A43E-F573BFD97DE2}">
      <text>
        <r>
          <rPr>
            <b/>
            <sz val="9"/>
            <color indexed="81"/>
            <rFont val="Tahoma"/>
            <family val="2"/>
          </rPr>
          <t>DELL:</t>
        </r>
        <r>
          <rPr>
            <sz val="9"/>
            <color indexed="81"/>
            <rFont val="Tahoma"/>
            <family val="2"/>
          </rPr>
          <t xml:space="preserve">
Pi = PDOT!L21 / PDOT!L24</t>
        </r>
      </text>
    </comment>
    <comment ref="J60" authorId="0" shapeId="0" xr:uid="{1E229659-FA9A-4565-94D9-3A808531EA97}">
      <text>
        <r>
          <rPr>
            <b/>
            <sz val="9"/>
            <color indexed="81"/>
            <rFont val="Tahoma"/>
            <family val="2"/>
          </rPr>
          <t>DELL:</t>
        </r>
        <r>
          <rPr>
            <sz val="9"/>
            <color indexed="81"/>
            <rFont val="Tahoma"/>
            <family val="2"/>
          </rPr>
          <t xml:space="preserve">
Vinculado a PDOT!L21 · Corregido: $153,000 (separado CCTV/alarmas $117,900)</t>
        </r>
      </text>
    </comment>
    <comment ref="E61" authorId="0" shapeId="0" xr:uid="{8A863D75-D942-41EA-9B21-5174534B1F57}">
      <text>
        <r>
          <rPr>
            <b/>
            <sz val="9"/>
            <color indexed="81"/>
            <rFont val="Tahoma"/>
            <family val="2"/>
          </rPr>
          <t>DELL:</t>
        </r>
        <r>
          <rPr>
            <sz val="9"/>
            <color indexed="81"/>
            <rFont val="Tahoma"/>
            <family val="2"/>
          </rPr>
          <t xml:space="preserve">
Pi = PDOT!L22 / PDOT!L24</t>
        </r>
      </text>
    </comment>
    <comment ref="J61" authorId="0" shapeId="0" xr:uid="{35746899-1B42-43FA-A5E3-5DB70072B3D8}">
      <text>
        <r>
          <rPr>
            <b/>
            <sz val="9"/>
            <color indexed="81"/>
            <rFont val="Tahoma"/>
            <family val="2"/>
          </rPr>
          <t>DELL:</t>
        </r>
        <r>
          <rPr>
            <sz val="9"/>
            <color indexed="81"/>
            <rFont val="Tahoma"/>
            <family val="2"/>
          </rPr>
          <t xml:space="preserve">
Vinculado a PDOT!L22 · Corregido: $144,000 (ITME tenía $0)</t>
        </r>
      </text>
    </comment>
    <comment ref="E62" authorId="0" shapeId="0" xr:uid="{337D301F-7C9D-40C6-9516-E3952B450397}">
      <text>
        <r>
          <rPr>
            <b/>
            <sz val="9"/>
            <color indexed="81"/>
            <rFont val="Tahoma"/>
            <family val="2"/>
          </rPr>
          <t>DELL:</t>
        </r>
        <r>
          <rPr>
            <sz val="9"/>
            <color indexed="81"/>
            <rFont val="Tahoma"/>
            <family val="2"/>
          </rPr>
          <t xml:space="preserve">
Pi = PDOT!L23 / PDOT!L24</t>
        </r>
      </text>
    </comment>
    <comment ref="J62" authorId="0" shapeId="0" xr:uid="{F7F603C7-CA1F-4D88-868C-D74B19439814}">
      <text>
        <r>
          <rPr>
            <b/>
            <sz val="9"/>
            <color indexed="81"/>
            <rFont val="Tahoma"/>
            <family val="2"/>
          </rPr>
          <t>DELL:</t>
        </r>
        <r>
          <rPr>
            <sz val="9"/>
            <color indexed="81"/>
            <rFont val="Tahoma"/>
            <family val="2"/>
          </rPr>
          <t xml:space="preserve">
Vinculado a PDOT!L23</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L4" authorId="0" shapeId="0" xr:uid="{F8892780-7B1D-44FD-B255-15389073527B}">
      <text>
        <r>
          <rPr>
            <b/>
            <sz val="9"/>
            <color indexed="81"/>
            <rFont val="Tahoma"/>
            <family val="2"/>
          </rPr>
          <t>DELL:</t>
        </r>
        <r>
          <rPr>
            <sz val="9"/>
            <color indexed="81"/>
            <rFont val="Tahoma"/>
            <family val="2"/>
          </rPr>
          <t xml:space="preserve">
Fuente: Plan Plurianual Inversiones GAD Montecristi PDOT Bicentenario 2023-2027 · Tab. 186-199 · PDOT.AS.VL.M1.01</t>
        </r>
      </text>
    </comment>
    <comment ref="L5" authorId="0" shapeId="0" xr:uid="{62A013CF-00B3-46B7-BCCC-D5F3A203F4F3}">
      <text>
        <r>
          <rPr>
            <b/>
            <sz val="9"/>
            <color indexed="81"/>
            <rFont val="Tahoma"/>
            <family val="2"/>
          </rPr>
          <t>DELL:</t>
        </r>
        <r>
          <rPr>
            <sz val="9"/>
            <color indexed="81"/>
            <rFont val="Tahoma"/>
            <family val="2"/>
          </rPr>
          <t xml:space="preserve">
Fuente: Plan Plurianual PDOT · PDOT.SC.OE2.M1.01 · Corregido de $5,882,644.40 (diff=$55,167 corresponde a Unidad Móvil M3.01, no incluida en esta meta)</t>
        </r>
      </text>
    </comment>
    <comment ref="L6" authorId="0" shapeId="0" xr:uid="{DE31BC66-CB45-4E8D-A195-E298A30D3C7E}">
      <text>
        <r>
          <rPr>
            <b/>
            <sz val="9"/>
            <color indexed="81"/>
            <rFont val="Tahoma"/>
            <family val="2"/>
          </rPr>
          <t>DELL:</t>
        </r>
        <r>
          <rPr>
            <sz val="9"/>
            <color indexed="81"/>
            <rFont val="Tahoma"/>
            <family val="2"/>
          </rPr>
          <t xml:space="preserve">
Fuente: Plan Plurianual PDOT · PDOT.AM.OE3.M2.01</t>
        </r>
      </text>
    </comment>
    <comment ref="L7" authorId="0" shapeId="0" xr:uid="{42E2B9F0-C5AB-4841-8BB2-592317C7C907}">
      <text>
        <r>
          <rPr>
            <b/>
            <sz val="9"/>
            <color indexed="81"/>
            <rFont val="Tahoma"/>
            <family val="2"/>
          </rPr>
          <t>DELL:</t>
        </r>
        <r>
          <rPr>
            <sz val="9"/>
            <color indexed="81"/>
            <rFont val="Tahoma"/>
            <family val="2"/>
          </rPr>
          <t xml:space="preserve">
Fuente: Plan Plurianual PDOT · PDOT.AS.OE1.M2.01</t>
        </r>
      </text>
    </comment>
    <comment ref="L8" authorId="0" shapeId="0" xr:uid="{15888FD5-41E8-4E4A-9E2F-347AFA25EB22}">
      <text>
        <r>
          <rPr>
            <b/>
            <sz val="9"/>
            <color indexed="81"/>
            <rFont val="Tahoma"/>
            <family val="2"/>
          </rPr>
          <t>DELL:</t>
        </r>
        <r>
          <rPr>
            <sz val="9"/>
            <color indexed="81"/>
            <rFont val="Tahoma"/>
            <family val="2"/>
          </rPr>
          <t xml:space="preserve">
Fuente: Plan Plurianual PDOT · PDOT.SC.OE2.M4.01 · Corregido de $1,755,066 (diff=$144,000 = adultos mayores M2.01 segregado)</t>
        </r>
      </text>
    </comment>
    <comment ref="L9" authorId="0" shapeId="0" xr:uid="{D5C00E66-A03A-49F2-8EBC-27BC8E7AD69B}">
      <text>
        <r>
          <rPr>
            <b/>
            <sz val="9"/>
            <color indexed="81"/>
            <rFont val="Tahoma"/>
            <family val="2"/>
          </rPr>
          <t>DELL:</t>
        </r>
        <r>
          <rPr>
            <sz val="9"/>
            <color indexed="81"/>
            <rFont val="Tahoma"/>
            <family val="2"/>
          </rPr>
          <t xml:space="preserve">
Fuente: Plan Plurianual PDOT · PDOT.AS.OE1.M1.02</t>
        </r>
      </text>
    </comment>
    <comment ref="L10" authorId="0" shapeId="0" xr:uid="{C9EE535A-621D-470C-894B-47A3828F74D5}">
      <text>
        <r>
          <rPr>
            <b/>
            <sz val="9"/>
            <color indexed="81"/>
            <rFont val="Tahoma"/>
            <family val="2"/>
          </rPr>
          <t>DELL:</t>
        </r>
        <r>
          <rPr>
            <sz val="9"/>
            <color indexed="81"/>
            <rFont val="Tahoma"/>
            <family val="2"/>
          </rPr>
          <t xml:space="preserve">
Fuente: Plan Plurianual PDOT · PDOT.PI.OE4.M1.01</t>
        </r>
      </text>
    </comment>
    <comment ref="L11" authorId="0" shapeId="0" xr:uid="{80F5EB45-3EBB-4177-91AE-F5AD76B0FDDF}">
      <text>
        <r>
          <rPr>
            <b/>
            <sz val="9"/>
            <color indexed="81"/>
            <rFont val="Tahoma"/>
            <family val="2"/>
          </rPr>
          <t>DELL:</t>
        </r>
        <r>
          <rPr>
            <sz val="9"/>
            <color indexed="81"/>
            <rFont val="Tahoma"/>
            <family val="2"/>
          </rPr>
          <t xml:space="preserve">
Fuente: Plan Plurianual PDOT · PDOT.AV.OE1.M1.01</t>
        </r>
      </text>
    </comment>
    <comment ref="L12" authorId="0" shapeId="0" xr:uid="{1E913632-753E-4374-81CE-EBBE02A8E6BF}">
      <text>
        <r>
          <rPr>
            <b/>
            <sz val="9"/>
            <color indexed="81"/>
            <rFont val="Tahoma"/>
            <family val="2"/>
          </rPr>
          <t>DELL:</t>
        </r>
        <r>
          <rPr>
            <sz val="9"/>
            <color indexed="81"/>
            <rFont val="Tahoma"/>
            <family val="2"/>
          </rPr>
          <t xml:space="preserve">
Fuente: Plan Plurianual PDOT · PDOT.AM.OE3.M1.01 · Corregido: ITME tenía $0, valor real del Plan es $840,000</t>
        </r>
      </text>
    </comment>
    <comment ref="L13" authorId="0" shapeId="0" xr:uid="{9A092246-3BDC-4995-B6E0-4379CB33B885}">
      <text>
        <r>
          <rPr>
            <b/>
            <sz val="9"/>
            <color indexed="81"/>
            <rFont val="Tahoma"/>
            <family val="2"/>
          </rPr>
          <t>DELL:</t>
        </r>
        <r>
          <rPr>
            <sz val="9"/>
            <color indexed="81"/>
            <rFont val="Tahoma"/>
            <family val="2"/>
          </rPr>
          <t xml:space="preserve">
Fuente: Plan Plurianual PDOT · PDOT.FA.OE4.AH.02</t>
        </r>
      </text>
    </comment>
    <comment ref="L14" authorId="0" shapeId="0" xr:uid="{50AC8A93-C866-4535-97E4-C1839C3F6291}">
      <text>
        <r>
          <rPr>
            <b/>
            <sz val="9"/>
            <color indexed="81"/>
            <rFont val="Tahoma"/>
            <family val="2"/>
          </rPr>
          <t>DELL:</t>
        </r>
        <r>
          <rPr>
            <sz val="9"/>
            <color indexed="81"/>
            <rFont val="Tahoma"/>
            <family val="2"/>
          </rPr>
          <t xml:space="preserve">
Fuente: Plan Plurianual PDOT · PDOT.FA.OE1.PV.01 · Corregido de $709,999.54 (diff=$100,000 = Parque Colorado M14 segregado)</t>
        </r>
      </text>
    </comment>
    <comment ref="L15" authorId="0" shapeId="0" xr:uid="{16EEE3E0-F945-4CAA-8B34-289D08DE8C02}">
      <text>
        <r>
          <rPr>
            <b/>
            <sz val="9"/>
            <color indexed="81"/>
            <rFont val="Tahoma"/>
            <family val="2"/>
          </rPr>
          <t>DELL:</t>
        </r>
        <r>
          <rPr>
            <sz val="9"/>
            <color indexed="81"/>
            <rFont val="Tahoma"/>
            <family val="2"/>
          </rPr>
          <t xml:space="preserve">
Fuente: Plan Plurianual PDOT · PDOT.PI.OE4.M2.01</t>
        </r>
      </text>
    </comment>
    <comment ref="L16" authorId="0" shapeId="0" xr:uid="{8146E67E-A074-4F70-B73A-4D7BE2773868}">
      <text>
        <r>
          <rPr>
            <b/>
            <sz val="9"/>
            <color indexed="81"/>
            <rFont val="Tahoma"/>
            <family val="2"/>
          </rPr>
          <t>DELL:</t>
        </r>
        <r>
          <rPr>
            <sz val="9"/>
            <color indexed="81"/>
            <rFont val="Tahoma"/>
            <family val="2"/>
          </rPr>
          <t xml:space="preserve">
Fuente: Plan Plurianual PDOT · PDOT.PI.OE4.FI.01 · Corregido de $472,973 (diff=$60,000 = SIT M2.01 segregado)</t>
        </r>
      </text>
    </comment>
    <comment ref="L17" authorId="0" shapeId="0" xr:uid="{0936BB53-7DAE-4240-8240-73FC456F2147}">
      <text>
        <r>
          <rPr>
            <b/>
            <sz val="9"/>
            <color indexed="81"/>
            <rFont val="Tahoma"/>
            <family val="2"/>
          </rPr>
          <t>DELL:</t>
        </r>
        <r>
          <rPr>
            <sz val="9"/>
            <color indexed="81"/>
            <rFont val="Tahoma"/>
            <family val="2"/>
          </rPr>
          <t xml:space="preserve">
Fuente: Plan Plurianual PDOT · PDOT.AS.VV.HB.01</t>
        </r>
      </text>
    </comment>
    <comment ref="L18" authorId="0" shapeId="0" xr:uid="{5C49E6D8-A240-493E-9693-8F78695A1E37}">
      <text>
        <r>
          <rPr>
            <b/>
            <sz val="9"/>
            <color indexed="81"/>
            <rFont val="Tahoma"/>
            <family val="2"/>
          </rPr>
          <t>DELL:</t>
        </r>
        <r>
          <rPr>
            <sz val="9"/>
            <color indexed="81"/>
            <rFont val="Tahoma"/>
            <family val="2"/>
          </rPr>
          <t xml:space="preserve">
Fuente: Plan Plurianual PDOT · PDOT.SC.PA.CP.01</t>
        </r>
      </text>
    </comment>
    <comment ref="L19" authorId="0" shapeId="0" xr:uid="{51518A14-BB42-40CC-8B8B-EC9AEA98B0A3}">
      <text>
        <r>
          <rPr>
            <b/>
            <sz val="9"/>
            <color indexed="81"/>
            <rFont val="Tahoma"/>
            <family val="2"/>
          </rPr>
          <t>DELL:</t>
        </r>
        <r>
          <rPr>
            <sz val="9"/>
            <color indexed="81"/>
            <rFont val="Tahoma"/>
            <family val="2"/>
          </rPr>
          <t xml:space="preserve">
Fuente: Plan Plurianual PDOT · PDOT.EP.OE5.PD.01</t>
        </r>
      </text>
    </comment>
    <comment ref="L20" authorId="0" shapeId="0" xr:uid="{AAE9FCE7-4755-4B3D-A9D7-693FC6331737}">
      <text>
        <r>
          <rPr>
            <b/>
            <sz val="9"/>
            <color indexed="81"/>
            <rFont val="Tahoma"/>
            <family val="2"/>
          </rPr>
          <t>DELL:</t>
        </r>
        <r>
          <rPr>
            <sz val="9"/>
            <color indexed="81"/>
            <rFont val="Tahoma"/>
            <family val="2"/>
          </rPr>
          <t xml:space="preserve">
Fuente: Plan Plurianual PDOT · PDOT.SC.PA.CP.02</t>
        </r>
      </text>
    </comment>
    <comment ref="L21" authorId="0" shapeId="0" xr:uid="{B7D831F6-3679-4E81-9D3D-215596FF856A}">
      <text>
        <r>
          <rPr>
            <b/>
            <sz val="9"/>
            <color indexed="81"/>
            <rFont val="Tahoma"/>
            <family val="2"/>
          </rPr>
          <t>DELL:</t>
        </r>
        <r>
          <rPr>
            <sz val="9"/>
            <color indexed="81"/>
            <rFont val="Tahoma"/>
            <family val="2"/>
          </rPr>
          <t xml:space="preserve">
Fuente: Plan Plurianual PDOT · PDOT.AS.VL.SV.01 · Corregido de $270,900 (diff=$117,900 = CCTV/alarmas, segregado)</t>
        </r>
      </text>
    </comment>
    <comment ref="L22" authorId="0" shapeId="0" xr:uid="{82BD2EBC-C846-4B2A-A2DF-27DD5561A314}">
      <text>
        <r>
          <rPr>
            <b/>
            <sz val="9"/>
            <color indexed="81"/>
            <rFont val="Tahoma"/>
            <family val="2"/>
          </rPr>
          <t>DELL:</t>
        </r>
        <r>
          <rPr>
            <sz val="9"/>
            <color indexed="81"/>
            <rFont val="Tahoma"/>
            <family val="2"/>
          </rPr>
          <t xml:space="preserve">
Fuente: Plan Plurianual PDOT · PDOT.SC.OE2.M2.01 · Corregido: ITME tenía $0, valor real del Plan es $144,000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F5" authorId="0" shapeId="0" xr:uid="{EFA16CD2-CDEF-4C30-AFE3-1DC6F8DEAF08}">
      <text>
        <r>
          <rPr>
            <b/>
            <sz val="9"/>
            <color indexed="81"/>
            <rFont val="Tahoma"/>
            <family val="2"/>
          </rPr>
          <t>DELL:</t>
        </r>
        <r>
          <rPr>
            <sz val="9"/>
            <color indexed="81"/>
            <rFont val="Tahoma"/>
            <family val="2"/>
          </rPr>
          <t xml:space="preserve">
Ri=1.0 ALTO · Vialidad urbana y movilidad cantonal · Art. 264.3 CRE · COOTAD Art. 55 lit. f</t>
        </r>
      </text>
    </comment>
    <comment ref="H5" authorId="0" shapeId="0" xr:uid="{CCE4BF5C-E2EA-48A4-9F0A-779E23169D73}">
      <text>
        <r>
          <rPr>
            <b/>
            <sz val="9"/>
            <color indexed="81"/>
            <rFont val="Tahoma"/>
            <family val="2"/>
          </rPr>
          <t>DELL:</t>
        </r>
        <r>
          <rPr>
            <sz val="9"/>
            <color indexed="81"/>
            <rFont val="Tahoma"/>
            <family val="2"/>
          </rPr>
          <t xml:space="preserve">
Pi = PONDER!F14 = PDOT!E4 · Fuente maestra: PDOT!L4/PDOT!L24</t>
        </r>
      </text>
    </comment>
    <comment ref="F6" authorId="0" shapeId="0" xr:uid="{00000000-0006-0000-0700-000001000000}">
      <text>
        <r>
          <rPr>
            <sz val="11"/>
            <color theme="1"/>
            <rFont val="Aptos Narrow"/>
            <family val="2"/>
            <scheme val="minor"/>
          </rPr>
          <t>Ri=1.5 CRÍTICO · Derecho a la salud Art. 32 CRE · Centro Salud Tipo C convenio MSP · Impacto ICPI: mayor de muestra si Vi=1</t>
        </r>
      </text>
    </comment>
    <comment ref="H6" authorId="0" shapeId="0" xr:uid="{8FC64A6C-9379-4539-91AF-8AB6B0FB1C56}">
      <text>
        <r>
          <rPr>
            <b/>
            <sz val="9"/>
            <color indexed="81"/>
            <rFont val="Tahoma"/>
            <family val="2"/>
          </rPr>
          <t>DELL:</t>
        </r>
        <r>
          <rPr>
            <sz val="9"/>
            <color indexed="81"/>
            <rFont val="Tahoma"/>
            <family val="2"/>
          </rPr>
          <t xml:space="preserve">
Pi = PONDER!F15 = PDOT!E5</t>
        </r>
      </text>
    </comment>
    <comment ref="F7" authorId="0" shapeId="0" xr:uid="{00000000-0006-0000-0700-000002000000}">
      <text>
        <r>
          <rPr>
            <sz val="11"/>
            <color theme="1"/>
            <rFont val="Aptos Narrow"/>
            <family val="2"/>
            <scheme val="minor"/>
          </rPr>
          <t>Ri=1.0 ALTO · Gestión integral residuos sólidos · Art. 264.4 CRE · Salud pública</t>
        </r>
      </text>
    </comment>
    <comment ref="H7" authorId="0" shapeId="0" xr:uid="{FBE73B23-B8B6-4566-BF36-2D784666CF16}">
      <text>
        <r>
          <rPr>
            <b/>
            <sz val="9"/>
            <color indexed="81"/>
            <rFont val="Tahoma"/>
            <family val="2"/>
          </rPr>
          <t>DELL:</t>
        </r>
        <r>
          <rPr>
            <sz val="9"/>
            <color indexed="81"/>
            <rFont val="Tahoma"/>
            <family val="2"/>
          </rPr>
          <t xml:space="preserve">
Pi = PONDER!F16 = PDOT!E6</t>
        </r>
      </text>
    </comment>
    <comment ref="F8" authorId="0" shapeId="0" xr:uid="{00000000-0006-0000-0700-000003000000}">
      <text>
        <r>
          <rPr>
            <sz val="11"/>
            <color theme="1"/>
            <rFont val="Aptos Narrow"/>
            <family val="2"/>
            <scheme val="minor"/>
          </rPr>
          <t>Ri=1.0 ALTO · Equipamiento público comunitario · Art. 264.7 CRE · COOTAD Art. 55 lit. g</t>
        </r>
      </text>
    </comment>
    <comment ref="H8" authorId="0" shapeId="0" xr:uid="{20D3BADC-0556-4C2A-B7FA-ACF63778C8E3}">
      <text>
        <r>
          <rPr>
            <b/>
            <sz val="9"/>
            <color indexed="81"/>
            <rFont val="Tahoma"/>
            <family val="2"/>
          </rPr>
          <t>DELL:</t>
        </r>
        <r>
          <rPr>
            <sz val="9"/>
            <color indexed="81"/>
            <rFont val="Tahoma"/>
            <family val="2"/>
          </rPr>
          <t xml:space="preserve">
Pi = PONDER!F17 = PDOT!E7</t>
        </r>
      </text>
    </comment>
    <comment ref="F9" authorId="0" shapeId="0" xr:uid="{00000000-0006-0000-0700-000004000000}">
      <text>
        <r>
          <rPr>
            <sz val="11"/>
            <color theme="1"/>
            <rFont val="Aptos Narrow"/>
            <family val="2"/>
            <scheme val="minor"/>
          </rPr>
          <t>Ri=1.0 ALTO · Protección derechos niñez y grupos vulnerables · Art. 44-46 CRE</t>
        </r>
      </text>
    </comment>
    <comment ref="H9" authorId="0" shapeId="0" xr:uid="{13E7942C-5B78-42A8-BC93-1790CF0EDD5C}">
      <text>
        <r>
          <rPr>
            <b/>
            <sz val="9"/>
            <color indexed="81"/>
            <rFont val="Tahoma"/>
            <family val="2"/>
          </rPr>
          <t>DELL:</t>
        </r>
        <r>
          <rPr>
            <sz val="9"/>
            <color indexed="81"/>
            <rFont val="Tahoma"/>
            <family val="2"/>
          </rPr>
          <t xml:space="preserve">
Pi = PONDER!F18 = PDOT!E8</t>
        </r>
      </text>
    </comment>
    <comment ref="F10" authorId="0" shapeId="0" xr:uid="{00000000-0006-0000-0700-000005000000}">
      <text>
        <r>
          <rPr>
            <sz val="11"/>
            <color theme="1"/>
            <rFont val="Aptos Narrow"/>
            <family val="2"/>
            <scheme val="minor"/>
          </rPr>
          <t>Ri=1.5 CRÍTICO · Saneamiento ambiental y tratamiento aguas residuales · Art. 264.4 CRE</t>
        </r>
      </text>
    </comment>
    <comment ref="H10" authorId="0" shapeId="0" xr:uid="{B9876083-CC80-4381-9E23-9D0C7A35E8A1}">
      <text>
        <r>
          <rPr>
            <b/>
            <sz val="9"/>
            <color indexed="81"/>
            <rFont val="Tahoma"/>
            <family val="2"/>
          </rPr>
          <t>DELL:</t>
        </r>
        <r>
          <rPr>
            <sz val="9"/>
            <color indexed="81"/>
            <rFont val="Tahoma"/>
            <family val="2"/>
          </rPr>
          <t xml:space="preserve">
Pi = PONDER!F19 = PDOT!E9</t>
        </r>
      </text>
    </comment>
    <comment ref="F11" authorId="0" shapeId="0" xr:uid="{00000000-0006-0000-0700-000006000000}">
      <text>
        <r>
          <rPr>
            <sz val="11"/>
            <color theme="1"/>
            <rFont val="Aptos Narrow"/>
            <family val="2"/>
            <scheme val="minor"/>
          </rPr>
          <t>Ri=0.5 MEDIO · Modernización administrativa interna · No afecta directamente derechos ciudadanos</t>
        </r>
      </text>
    </comment>
    <comment ref="H11" authorId="0" shapeId="0" xr:uid="{2B3F433D-A1A2-44BD-9A05-C5F65E11F7A6}">
      <text>
        <r>
          <rPr>
            <b/>
            <sz val="9"/>
            <color indexed="81"/>
            <rFont val="Tahoma"/>
            <family val="2"/>
          </rPr>
          <t>DELL:</t>
        </r>
        <r>
          <rPr>
            <sz val="9"/>
            <color indexed="81"/>
            <rFont val="Tahoma"/>
            <family val="2"/>
          </rPr>
          <t xml:space="preserve">
Pi = PONDER!F20 = PDOT!E10</t>
        </r>
      </text>
    </comment>
    <comment ref="F12" authorId="0" shapeId="0" xr:uid="{00000000-0006-0000-0700-000007000000}">
      <text>
        <r>
          <rPr>
            <sz val="11"/>
            <color theme="1"/>
            <rFont val="Aptos Narrow"/>
            <family val="2"/>
            <scheme val="minor"/>
          </rPr>
          <t>Ri=1.0 ALTO · Espacios públicos y recreación cantonal · Art. 264.7 CRE · COOTAD Art. 55 lit. g</t>
        </r>
      </text>
    </comment>
    <comment ref="H12" authorId="0" shapeId="0" xr:uid="{42ECBB14-DDA6-4CAB-88E5-75EE7211E301}">
      <text>
        <r>
          <rPr>
            <b/>
            <sz val="9"/>
            <color indexed="81"/>
            <rFont val="Tahoma"/>
            <family val="2"/>
          </rPr>
          <t>DELL:</t>
        </r>
        <r>
          <rPr>
            <sz val="9"/>
            <color indexed="81"/>
            <rFont val="Tahoma"/>
            <family val="2"/>
          </rPr>
          <t xml:space="preserve">
Pi = PONDER!F21 = PDOT!E11</t>
        </r>
      </text>
    </comment>
    <comment ref="F13" authorId="0" shapeId="0" xr:uid="{00000000-0006-0000-0700-000008000000}">
      <text>
        <r>
          <rPr>
            <sz val="11"/>
            <color theme="1"/>
            <rFont val="Aptos Narrow"/>
            <family val="2"/>
            <scheme val="minor"/>
          </rPr>
          <t>Ri=1.5 CRÍTICO · Infraestructura ambiental crítica PTAR · Art. 264.4 CRE · Impacto salud pública</t>
        </r>
      </text>
    </comment>
    <comment ref="H13" authorId="0" shapeId="0" xr:uid="{E47C4CE4-B15B-4C65-93A9-8AAF0D2AC8BD}">
      <text>
        <r>
          <rPr>
            <b/>
            <sz val="9"/>
            <color indexed="81"/>
            <rFont val="Tahoma"/>
            <family val="2"/>
          </rPr>
          <t>DELL:</t>
        </r>
        <r>
          <rPr>
            <sz val="9"/>
            <color indexed="81"/>
            <rFont val="Tahoma"/>
            <family val="2"/>
          </rPr>
          <t xml:space="preserve">
Pi = PONDER!F22 = PDOT!E12</t>
        </r>
      </text>
    </comment>
    <comment ref="F14" authorId="0" shapeId="0" xr:uid="{00000000-0006-0000-0700-000009000000}">
      <text>
        <r>
          <rPr>
            <sz val="11"/>
            <color theme="1"/>
            <rFont val="Aptos Narrow"/>
            <family val="2"/>
            <scheme val="minor"/>
          </rPr>
          <t>Ri=1.0 ALTO · Disposición final desechos sólidos · Art. 264.4 CRE · Regularización MAATE</t>
        </r>
      </text>
    </comment>
    <comment ref="H14" authorId="0" shapeId="0" xr:uid="{D6CD6C92-7840-45CF-9C45-95556C442AE2}">
      <text>
        <r>
          <rPr>
            <b/>
            <sz val="9"/>
            <color indexed="81"/>
            <rFont val="Tahoma"/>
            <family val="2"/>
          </rPr>
          <t>DELL:</t>
        </r>
        <r>
          <rPr>
            <sz val="9"/>
            <color indexed="81"/>
            <rFont val="Tahoma"/>
            <family val="2"/>
          </rPr>
          <t xml:space="preserve">
Pi = PONDER!F23 = PDOT!E13</t>
        </r>
      </text>
    </comment>
    <comment ref="F15" authorId="0" shapeId="0" xr:uid="{00000000-0006-0000-0700-00000A000000}">
      <text>
        <r>
          <rPr>
            <sz val="11"/>
            <color theme="1"/>
            <rFont val="Aptos Narrow"/>
            <family val="2"/>
            <scheme val="minor"/>
          </rPr>
          <t>Ri=0.5 MEDIO · Áreas verdes y espacio público urbano · Función complementaria ambiental</t>
        </r>
      </text>
    </comment>
    <comment ref="H15" authorId="0" shapeId="0" xr:uid="{01896C96-2424-4963-9DB0-37F8D0A18E0F}">
      <text>
        <r>
          <rPr>
            <b/>
            <sz val="9"/>
            <color indexed="81"/>
            <rFont val="Tahoma"/>
            <family val="2"/>
          </rPr>
          <t>DELL:</t>
        </r>
        <r>
          <rPr>
            <sz val="9"/>
            <color indexed="81"/>
            <rFont val="Tahoma"/>
            <family val="2"/>
          </rPr>
          <t xml:space="preserve">
Pi = PONDER!F24 = PDOT!E14</t>
        </r>
      </text>
    </comment>
    <comment ref="F16" authorId="0" shapeId="0" xr:uid="{00000000-0006-0000-0700-00000B000000}">
      <text>
        <r>
          <rPr>
            <sz val="11"/>
            <color theme="1"/>
            <rFont val="Aptos Narrow"/>
            <family val="2"/>
            <scheme val="minor"/>
          </rPr>
          <t>Ri=0.5 MEDIO · Gestión catastral y SIT institucional · Función administrativa</t>
        </r>
      </text>
    </comment>
    <comment ref="H16" authorId="0" shapeId="0" xr:uid="{B98BA2A5-C90C-4448-A485-AEDA0C242D58}">
      <text>
        <r>
          <rPr>
            <b/>
            <sz val="9"/>
            <color indexed="81"/>
            <rFont val="Tahoma"/>
            <family val="2"/>
          </rPr>
          <t>DELL:</t>
        </r>
        <r>
          <rPr>
            <sz val="9"/>
            <color indexed="81"/>
            <rFont val="Tahoma"/>
            <family val="2"/>
          </rPr>
          <t xml:space="preserve">
Pi = PONDER!F25 = PDOT!E15</t>
        </r>
      </text>
    </comment>
    <comment ref="F17" authorId="0" shapeId="0" xr:uid="{00000000-0006-0000-0700-00000C000000}">
      <text>
        <r>
          <rPr>
            <sz val="11"/>
            <color theme="1"/>
            <rFont val="Aptos Narrow"/>
            <family val="2"/>
            <scheme val="minor"/>
          </rPr>
          <t>Ri=0.5 MEDIO · Planes estratégicos institucionales SIL-PUGS · Planificación interna</t>
        </r>
      </text>
    </comment>
    <comment ref="H17" authorId="0" shapeId="0" xr:uid="{49CFE84B-1EB4-458C-ACD9-28C1BC7BDD2C}">
      <text>
        <r>
          <rPr>
            <b/>
            <sz val="9"/>
            <color indexed="81"/>
            <rFont val="Tahoma"/>
            <family val="2"/>
          </rPr>
          <t>DELL:</t>
        </r>
        <r>
          <rPr>
            <sz val="9"/>
            <color indexed="81"/>
            <rFont val="Tahoma"/>
            <family val="2"/>
          </rPr>
          <t xml:space="preserve">
Pi = PONDER!F26 = PDOT!E16</t>
        </r>
      </text>
    </comment>
    <comment ref="F18" authorId="0" shapeId="0" xr:uid="{00000000-0006-0000-0700-00000D000000}">
      <text>
        <r>
          <rPr>
            <sz val="11"/>
            <color theme="1"/>
            <rFont val="Aptos Narrow"/>
            <family val="2"/>
            <scheme val="minor"/>
          </rPr>
          <t>Ri=1.0 ALTO · Derecho a vivienda digna · Art. 30 CRE · Déficit habitacional cantonal</t>
        </r>
      </text>
    </comment>
    <comment ref="H18" authorId="0" shapeId="0" xr:uid="{3A0493D5-CBD9-49F6-A0FF-80A18F2D4D06}">
      <text>
        <r>
          <rPr>
            <b/>
            <sz val="9"/>
            <color indexed="81"/>
            <rFont val="Tahoma"/>
            <family val="2"/>
          </rPr>
          <t>DELL:</t>
        </r>
        <r>
          <rPr>
            <sz val="9"/>
            <color indexed="81"/>
            <rFont val="Tahoma"/>
            <family val="2"/>
          </rPr>
          <t xml:space="preserve">
Pi = PONDER!F27 = PDOT!E17</t>
        </r>
      </text>
    </comment>
    <comment ref="F19" authorId="0" shapeId="0" xr:uid="{00000000-0006-0000-0700-00000E000000}">
      <text>
        <r>
          <rPr>
            <sz val="11"/>
            <color theme="1"/>
            <rFont val="Aptos Narrow"/>
            <family val="2"/>
            <scheme val="minor"/>
          </rPr>
          <t>Ri=0.5 MEDIO · Cultura y patrimonio · Art. 57 CRE · Catastro RUAC artistas</t>
        </r>
      </text>
    </comment>
    <comment ref="H19" authorId="0" shapeId="0" xr:uid="{1F6A296A-CD1B-457D-AAAA-0E3189ADF752}">
      <text>
        <r>
          <rPr>
            <b/>
            <sz val="9"/>
            <color indexed="81"/>
            <rFont val="Tahoma"/>
            <family val="2"/>
          </rPr>
          <t>DELL:</t>
        </r>
        <r>
          <rPr>
            <sz val="9"/>
            <color indexed="81"/>
            <rFont val="Tahoma"/>
            <family val="2"/>
          </rPr>
          <t xml:space="preserve">
Pi = PONDER!F28 = PDOT!E18</t>
        </r>
      </text>
    </comment>
    <comment ref="F20" authorId="0" shapeId="0" xr:uid="{00000000-0006-0000-0700-00000F000000}">
      <text>
        <r>
          <rPr>
            <sz val="11"/>
            <color theme="1"/>
            <rFont val="Aptos Narrow"/>
            <family val="2"/>
            <scheme val="minor"/>
          </rPr>
          <t>Ri=0.5 MEDIO · Fomento productivo local · Ferias y emprendimiento · Diversificación económica</t>
        </r>
      </text>
    </comment>
    <comment ref="H20" authorId="0" shapeId="0" xr:uid="{74DC6E20-303F-4ED0-A028-1CA7B50FA843}">
      <text>
        <r>
          <rPr>
            <b/>
            <sz val="9"/>
            <color indexed="81"/>
            <rFont val="Tahoma"/>
            <family val="2"/>
          </rPr>
          <t>DELL:</t>
        </r>
        <r>
          <rPr>
            <sz val="9"/>
            <color indexed="81"/>
            <rFont val="Tahoma"/>
            <family val="2"/>
          </rPr>
          <t xml:space="preserve">
Pi = PONDER!F29 = PDOT!E19</t>
        </r>
      </text>
    </comment>
    <comment ref="F21" authorId="0" shapeId="0" xr:uid="{00000000-0006-0000-0700-000010000000}">
      <text>
        <r>
          <rPr>
            <sz val="11"/>
            <color theme="1"/>
            <rFont val="Aptos Narrow"/>
            <family val="2"/>
            <scheme val="minor"/>
          </rPr>
          <t>Ri=0.5 MEDIO · Patrimonio cultural identitario · Ciudad Creativa UNESCO · Museo Sombrero</t>
        </r>
      </text>
    </comment>
    <comment ref="H21" authorId="0" shapeId="0" xr:uid="{BEB66B54-14BB-4E49-B457-C99D3598CCFB}">
      <text>
        <r>
          <rPr>
            <b/>
            <sz val="9"/>
            <color indexed="81"/>
            <rFont val="Tahoma"/>
            <family val="2"/>
          </rPr>
          <t>DELL:</t>
        </r>
        <r>
          <rPr>
            <sz val="9"/>
            <color indexed="81"/>
            <rFont val="Tahoma"/>
            <family val="2"/>
          </rPr>
          <t xml:space="preserve">
Pi = PONDER!F30 = PDOT!E20</t>
        </r>
      </text>
    </comment>
    <comment ref="F22" authorId="0" shapeId="0" xr:uid="{00000000-0006-0000-0700-000011000000}">
      <text>
        <r>
          <rPr>
            <sz val="11"/>
            <color theme="1"/>
            <rFont val="Aptos Narrow"/>
            <family val="2"/>
            <scheme val="minor"/>
          </rPr>
          <t>Ri=1.0 ALTO · Seguridad vial y transporte público · Art. 393 CRE · COOTAD Art. 54 lit. n</t>
        </r>
      </text>
    </comment>
    <comment ref="H22" authorId="0" shapeId="0" xr:uid="{0FF8CCC1-0744-4FB6-B497-E30747655448}">
      <text>
        <r>
          <rPr>
            <b/>
            <sz val="9"/>
            <color indexed="81"/>
            <rFont val="Tahoma"/>
            <family val="2"/>
          </rPr>
          <t>DELL:</t>
        </r>
        <r>
          <rPr>
            <sz val="9"/>
            <color indexed="81"/>
            <rFont val="Tahoma"/>
            <family val="2"/>
          </rPr>
          <t xml:space="preserve">
Pi = PONDER!F31 = PDOT!E21</t>
        </r>
      </text>
    </comment>
    <comment ref="F23" authorId="0" shapeId="0" xr:uid="{00000000-0006-0000-0700-000012000000}">
      <text>
        <r>
          <rPr>
            <sz val="11"/>
            <color theme="1"/>
            <rFont val="Aptos Narrow"/>
            <family val="2"/>
            <scheme val="minor"/>
          </rPr>
          <t>Ri=1.0 ALTO · Indicadores territoriales salud-social grupos vulnerables · Art. 35 CRE</t>
        </r>
      </text>
    </comment>
    <comment ref="H23" authorId="0" shapeId="0" xr:uid="{CE07FFCC-FA4C-4CCE-9285-881D733ECCB3}">
      <text>
        <r>
          <rPr>
            <b/>
            <sz val="9"/>
            <color indexed="81"/>
            <rFont val="Tahoma"/>
            <family val="2"/>
          </rPr>
          <t>DELL:</t>
        </r>
        <r>
          <rPr>
            <sz val="9"/>
            <color indexed="81"/>
            <rFont val="Tahoma"/>
            <family val="2"/>
          </rPr>
          <t xml:space="preserve">
Pi = PONDER!F32 = PDOT!E22</t>
        </r>
      </text>
    </comment>
    <comment ref="E24" authorId="0" shapeId="0" xr:uid="{00000000-0006-0000-0700-000013000000}">
      <text>
        <r>
          <rPr>
            <sz val="11"/>
            <color theme="1"/>
            <rFont val="Aptos Narrow"/>
            <family val="2"/>
            <scheme val="minor"/>
          </rPr>
          <t>DELL:
Justificación Ri=1.5: Aunque su presupuesto es el menor de la muestra ($30,000), los reservorios de agua constituyen infraestructura de provisión de un derecho constitucional (Art. 12 CRE - Derecho humano al agua). La relevancia se asigna por impacto social en derechos fundamentales, no por monto presupuestario.</t>
        </r>
      </text>
    </comment>
    <comment ref="F24" authorId="0" shapeId="0" xr:uid="{00000000-0006-0000-0700-000014000000}">
      <text>
        <r>
          <rPr>
            <sz val="11"/>
            <color theme="1"/>
            <rFont val="Aptos Narrow"/>
            <family val="2"/>
            <scheme val="minor"/>
          </rPr>
          <t>Ri=0.5 MEDIO · Protección animal y sensibilización ambiental · Competencia complementaria</t>
        </r>
      </text>
    </comment>
    <comment ref="H24" authorId="0" shapeId="0" xr:uid="{037E7E3A-1A4C-4C5B-A12B-92E09FFAB361}">
      <text>
        <r>
          <rPr>
            <b/>
            <sz val="9"/>
            <color indexed="81"/>
            <rFont val="Tahoma"/>
            <family val="2"/>
          </rPr>
          <t>DELL:</t>
        </r>
        <r>
          <rPr>
            <sz val="9"/>
            <color indexed="81"/>
            <rFont val="Tahoma"/>
            <family val="2"/>
          </rPr>
          <t xml:space="preserve">
Pi = PONDER!F33 = PDOT!E23</t>
        </r>
      </text>
    </comment>
    <comment ref="G25" authorId="0" shapeId="0" xr:uid="{8B01664B-CF39-4EE8-80A5-C30FABD16EC2}">
      <text>
        <r>
          <rPr>
            <b/>
            <sz val="9"/>
            <color indexed="81"/>
            <rFont val="Tahoma"/>
            <family val="2"/>
          </rPr>
          <t>DELL:</t>
        </r>
        <r>
          <rPr>
            <sz val="9"/>
            <color indexed="81"/>
            <rFont val="Tahoma"/>
            <family val="2"/>
          </rPr>
          <t xml:space="preserve">
Σ Presupuesto muestra = PDOT!L24 = $32,990,353.02</t>
        </r>
      </text>
    </comment>
    <comment ref="H25" authorId="0" shapeId="0" xr:uid="{5A47EE1C-BC57-40F5-A770-A24A0088A57A}">
      <text>
        <r>
          <rPr>
            <b/>
            <sz val="9"/>
            <color indexed="81"/>
            <rFont val="Tahoma"/>
            <family val="2"/>
          </rPr>
          <t>DELL:</t>
        </r>
        <r>
          <rPr>
            <sz val="9"/>
            <color indexed="81"/>
            <rFont val="Tahoma"/>
            <family val="2"/>
          </rPr>
          <t xml:space="preserve">
ΣPi = 0.9999 ≈ 1.000 · Verificar vs PDOT!E24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D5" authorId="0" shapeId="0" xr:uid="{B8B65801-0264-4AF1-9F4A-D6B0EC43C840}">
      <text>
        <r>
          <rPr>
            <b/>
            <sz val="9"/>
            <color indexed="81"/>
            <rFont val="Tahoma"/>
          </rPr>
          <t>Fuente: Res. Adm. 0037-WWAP-GADMCM-2021. Art. 39 Estatuto Orgánico GAD Montecristi 2021. Dir. Obras Públicas. Norma vigente periodo auditado 2023-2024.</t>
        </r>
      </text>
    </comment>
    <comment ref="D6" authorId="0" shapeId="0" xr:uid="{3EAFFADC-75FD-418D-8A9A-394A505ED76E}">
      <text>
        <r>
          <rPr>
            <b/>
            <sz val="9"/>
            <color indexed="81"/>
            <rFont val="Tahoma"/>
          </rPr>
          <t>Fuente: Ordenanza de Creación del Patronato Municipal de Amparo Social. Art. 69 EO 2021 referencia coordinación con Patronato. COOTAD Art. 388.</t>
        </r>
      </text>
    </comment>
    <comment ref="D7" authorId="0" shapeId="0" xr:uid="{7CF4CFFE-37C1-46F1-9F2D-0B49194C02F9}">
      <text>
        <r>
          <rPr>
            <b/>
            <sz val="9"/>
            <color indexed="81"/>
            <rFont val="Tahoma"/>
          </rPr>
          <t>Fuente: Res. Adm. 0037-WWAP-GADMCM-2021. Art. 24 Planificación Institucional y Art. 45 Dir. Planificación Control y Ordenamiento Territorial. Norma vigente 2023-2024.</t>
        </r>
      </text>
    </comment>
    <comment ref="D8" authorId="0" shapeId="0" xr:uid="{0EE52D32-DAD8-498B-8A6D-1B1C12142D34}">
      <text>
        <r>
          <rPr>
            <b/>
            <sz val="9"/>
            <color indexed="81"/>
            <rFont val="Tahoma"/>
          </rPr>
          <t>Fuente: Res. Adm. 0037-WWAP-GADMCM-2021. Art. 51 Dir. Espacios Públicos, Justicia y Vigilancia. Norma vigente 2023-2024.</t>
        </r>
      </text>
    </comment>
    <comment ref="D9" authorId="0" shapeId="0" xr:uid="{3B45A80F-9276-4532-B6F4-E0906F401618}">
      <text>
        <r>
          <rPr>
            <b/>
            <sz val="9"/>
            <color indexed="81"/>
            <rFont val="Tahoma"/>
          </rPr>
          <t>Fuente: Res. Adm. 0037-WWAP-GADMCM-2021. Art. 69 Dir. Acción e Inclusión Social y Comunitaria. REINSTAURADA: Dirección GAD directa. Ci=1.0. Misión: promover desarrollo económico y calidad de vida mediante intervención social, atención grupos vulnerables.</t>
        </r>
      </text>
    </comment>
    <comment ref="G9" authorId="0" shapeId="0" xr:uid="{84660F3F-CCCA-47AE-8FCE-4FE84A6A3A48}">
      <text>
        <r>
          <rPr>
            <b/>
            <sz val="9"/>
            <color indexed="81"/>
            <rFont val="Tahoma"/>
            <family val="2"/>
          </rPr>
          <t>DELL:</t>
        </r>
        <r>
          <rPr>
            <sz val="9"/>
            <color indexed="81"/>
            <rFont val="Tahoma"/>
            <family val="2"/>
          </rPr>
          <t xml:space="preserve">
Ci=1.0 REINSTAURADO: Art. 69 EO 2021 (Res. 0037-WWAP-GADMCM-2021). Dir. Acción e Inclusión Social y Comunitaria es Dirección GAD directa — Proceso Agregador de Valor. Norma vigente periodo auditado 2023-2024. Las metas sociales (geriátrico, grupos vulnerables) se asignan a esta Dirección.</t>
        </r>
      </text>
    </comment>
    <comment ref="D10" authorId="0" shapeId="0" xr:uid="{6270C0E7-DB7C-4D3B-9432-6AF367609BCB}">
      <text>
        <r>
          <rPr>
            <b/>
            <sz val="9"/>
            <color indexed="81"/>
            <rFont val="Tahoma"/>
          </rPr>
          <t>Fuente: Res. Adm. 0037-WWAP-GADMCM-2021. Art. 39 Dir. Obras Públicas. Norma vigente 2023-2024.</t>
        </r>
      </text>
    </comment>
    <comment ref="D11" authorId="0" shapeId="0" xr:uid="{328B29F0-0C28-417F-8548-4D763668B760}">
      <text>
        <r>
          <rPr>
            <b/>
            <sz val="9"/>
            <color indexed="81"/>
            <rFont val="Tahoma"/>
          </rPr>
          <t>Fuente: Ordenanza de Creación del Patronato Municipal. COOTAD Art. 388.</t>
        </r>
      </text>
    </comment>
    <comment ref="D12" authorId="0" shapeId="0" xr:uid="{6BB45173-65CB-44CC-84B3-712F5CB353D0}">
      <text>
        <r>
          <rPr>
            <b/>
            <sz val="9"/>
            <color indexed="81"/>
            <rFont val="Tahoma"/>
          </rPr>
          <t>Fuente: Res. Adm. 0037-WWAP-GADMCM-2021. Art. 54 Dir. de Gestión Ambiental. CONFIRMADO: Dirección GAD directa — Proceso Agregador de Valor. Ci=1.0. Alerta AMB-07 RESUELTA definitivamente con EO 2021.</t>
        </r>
      </text>
    </comment>
    <comment ref="F12" authorId="0" shapeId="0" xr:uid="{EC28D78D-04B2-470C-BC95-216E3B0B2AB7}">
      <text>
        <r>
          <rPr>
            <b/>
            <sz val="9"/>
            <color indexed="81"/>
            <rFont val="Tahoma"/>
          </rPr>
          <t>CONFIRMADO EO 2021: Art. 54 define Dir. Gestión Ambiental como Proceso Agregador de Valor GAD directo. No es convenio ni adscrita. Ci=1.0.</t>
        </r>
      </text>
    </comment>
    <comment ref="G12" authorId="0" shapeId="0" xr:uid="{00000000-0006-0000-0800-000001000000}">
      <text>
        <r>
          <rPr>
            <sz val="11"/>
            <color theme="1"/>
            <rFont val="Aptos Narrow"/>
            <family val="2"/>
            <scheme val="minor"/>
          </rPr>
          <t>Ci=1.0 CONFIRMADO EO 2021: Art. 54 Estatuto Orgánico 2021 (Res. 0037-WWAP-GADMCM-2021). Dir. Gestión Ambiental es Dirección GAD directa — Proceso Agregador de Valor. Alerta AMB-07 RESUELTA definitivamente con base legal 2021.</t>
        </r>
      </text>
    </comment>
    <comment ref="D13" authorId="0" shapeId="0" xr:uid="{B4F5E08E-6123-48C7-B5F4-795332BFE22A}">
      <text>
        <r>
          <rPr>
            <b/>
            <sz val="9"/>
            <color indexed="81"/>
            <rFont val="Tahoma"/>
          </rPr>
          <t>Fuente: Res. Adm. 0037-WWAP-GADMCM-2021. Art. 39 Dir. Obras Públicas.</t>
        </r>
      </text>
    </comment>
    <comment ref="D14" authorId="0" shapeId="0" xr:uid="{8CDD191C-63E7-4EC9-A823-0DBC6F0D1A47}">
      <text>
        <r>
          <rPr>
            <b/>
            <sz val="9"/>
            <color indexed="81"/>
            <rFont val="Tahoma"/>
          </rPr>
          <t>Fuente: Ordenanza de Creación del Patronato Municipal. COOTAD Art. 388.</t>
        </r>
      </text>
    </comment>
    <comment ref="D15" authorId="0" shapeId="0" xr:uid="{9877AF2B-C194-465B-9A63-AA99F5240C36}">
      <text>
        <r>
          <rPr>
            <b/>
            <sz val="9"/>
            <color indexed="81"/>
            <rFont val="Tahoma"/>
          </rPr>
          <t>EP Aseo Integral Montecristi: Empresa Pública Municipal bajo LOEP. No figura en EO 2021 (Res. 0037). Tiene Estatuto propio. Ci=0.75 estándar EP.</t>
        </r>
      </text>
    </comment>
    <comment ref="G15" authorId="0" shapeId="0" xr:uid="{34E25BAE-9DCA-4174-B710-0EF86624AAF5}">
      <text>
        <r>
          <rPr>
            <b/>
            <sz val="9"/>
            <color indexed="81"/>
            <rFont val="Tahoma"/>
          </rPr>
          <t>Ci=0.75: EP Aseo Integral Montecristi — Empresa Pública bajo LOEP con autonomía plena. No figura en EO 2021 (Res. 0037); tiene Estatuto propio. Estándar SIAP-ICPI para EPs.</t>
        </r>
      </text>
    </comment>
    <comment ref="D16" authorId="0" shapeId="0" xr:uid="{E75CF2A6-6C41-4273-AC8B-308E00474BCB}">
      <text>
        <r>
          <rPr>
            <b/>
            <sz val="9"/>
            <color indexed="81"/>
            <rFont val="Tahoma"/>
          </rPr>
          <t>Fuente: Res. Adm. 0037-WWAP-GADMCM-2021. Art. 39 Dir. Obras Públicas.</t>
        </r>
      </text>
    </comment>
    <comment ref="D17" authorId="0" shapeId="0" xr:uid="{D07EA5B0-918B-4D26-9611-CC3B8B3417F1}">
      <text>
        <r>
          <rPr>
            <b/>
            <sz val="9"/>
            <color indexed="81"/>
            <rFont val="Tahoma"/>
          </rPr>
          <t>Fuente: Res. Adm. 0037-WWAP-GADMCM-2021. Art. 94 Tecnologías de la Información y Comunicación (TICs), subproceso de la Dirección Administrativa (Art. 87). Proceso Habilitante de Apoyo. Ci=1.0 GAD directo.</t>
        </r>
      </text>
    </comment>
    <comment ref="D18" authorId="0" shapeId="0" xr:uid="{A8C4597C-72C0-4973-B113-CE381CA0E4EB}">
      <text>
        <r>
          <rPr>
            <b/>
            <sz val="9"/>
            <color indexed="81"/>
            <rFont val="Tahoma"/>
          </rPr>
          <t>Fuente: Res. Adm. 0037-WWAP-GADMCM-2021. Art. 94 TICs, subproceso Dir. Administrativa. Ci=1.0.</t>
        </r>
      </text>
    </comment>
    <comment ref="D19" authorId="0" shapeId="0" xr:uid="{1419DEAF-308B-41E4-B833-A29768B29B81}">
      <text>
        <r>
          <rPr>
            <b/>
            <sz val="9"/>
            <color indexed="81"/>
            <rFont val="Tahoma"/>
          </rPr>
          <t>Fuente: Res. Adm. 0037-WWAP-GADMCM-2021. Art. 48 Dir. Avalúos y Catastros. Nombre vigente en periodo 2023-2024. Proceso Agregador de Valor. Ci=1.0.</t>
        </r>
      </text>
    </comment>
    <comment ref="D20" authorId="0" shapeId="0" xr:uid="{E87F0BD9-119A-4515-A085-EEE2EF0BD4C8}">
      <text>
        <r>
          <rPr>
            <b/>
            <sz val="9"/>
            <color indexed="81"/>
            <rFont val="Tahoma"/>
          </rPr>
          <t>Entidad externa bajo convenio MSP. Sin artículo en EO 2021.</t>
        </r>
      </text>
    </comment>
    <comment ref="D21" authorId="0" shapeId="0" xr:uid="{63588AB6-8296-4DCD-9699-67319FCE2325}">
      <text>
        <r>
          <rPr>
            <b/>
            <sz val="9"/>
            <color indexed="81"/>
            <rFont val="Tahoma"/>
          </rPr>
          <t>Fuente: Res. Adm. 0037-WWAP-GADMCM-2021. Art. 66 Dir. Desarrollo Turístico. Ci=0.9 unidad dependiente.</t>
        </r>
      </text>
    </comment>
    <comment ref="D22" authorId="0" shapeId="0" xr:uid="{DBD2DC48-6485-4CD6-970F-41BE612F49BC}">
      <text>
        <r>
          <rPr>
            <b/>
            <sz val="9"/>
            <color indexed="81"/>
            <rFont val="Tahoma"/>
          </rPr>
          <t>Fuente: Res. Adm. 0037-WWAP-GADMCM-2021. Art. 39 Dir. Obras Públicas.</t>
        </r>
      </text>
    </comment>
    <comment ref="D23" authorId="0" shapeId="0" xr:uid="{5E690E69-9BC5-40F9-B7A0-6B3B4CE17CCC}">
      <text>
        <r>
          <rPr>
            <b/>
            <sz val="9"/>
            <color indexed="81"/>
            <rFont val="Tahoma"/>
          </rPr>
          <t>Fuente: Res. Adm. 0037-WWAP-GADMCM-2021. Art. 42 Dir. Agua Potable y Alcantarillado Sanitario. Proceso Agregador de Valor. Ci=1.0.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tc={BA55E3F4-A4F1-4C0C-8C0D-A42BA50D23BB}</author>
    <author>tc={E6B999E2-DBC4-4277-A875-8E425395E778}</author>
    <author>tc={BB1CD930-C0A4-4BCD-BABB-F20EC54FB3EE}</author>
    <author>DELL</author>
    <author>tc={ACFB83D3-C8D3-478B-B6E0-5FF303726E58}</author>
  </authors>
  <commentList>
    <comment ref="F4" authorId="0" shapeId="0" xr:uid="{BA55E3F4-A4F1-4C0C-8C0D-A42BA50D23BB}">
      <text>
        <t>[Comentario encadenado]
Tu versión de Excel te permite leer este comentario encadenado; sin embargo, las ediciones que se apliquen se quitarán si el archivo se abre en una versión más reciente de Excel. Más información: https://go.microsoft.com/fwlink/?linkid=870924
Comentario:
    ENCABEZADO CRITICO — 'Vi'
Motor ICPI y MVCI lo localizan via MATCH('Vi', A4:P4, 0).
Si se renombra, todos los Vi devuelven 1 (default), inflando el ICPI.
No renombrar sin actualizar ICPI!E5:E24 y MVCI!E6:E25.</t>
      </text>
    </comment>
    <comment ref="H4" authorId="1" shapeId="0" xr:uid="{E6B999E2-DBC4-4277-A875-8E425395E778}">
      <text>
        <t>[Comentario encadenado]
Tu versión de Excel te permite leer este comentario encadenado; sin embargo, las ediciones que se apliquen se quitarán si el archivo se abre en una versión más reciente de Excel. Más información: https://go.microsoft.com/fwlink/?linkid=870924
Comentario:
    ENCABEZADO CRITICO — 'Ti (H)'
Motor ICPI y MVCI lo localizan via MATCH('Ti (H)', A4:P4, 0).
Si se renombra, todos los Ti devuelven 0, desinflando el ICPI.
No renombrar sin actualizar ICPI!F5:F24 y MVCI!I6:I24.</t>
      </text>
    </comment>
    <comment ref="P4" authorId="2" shapeId="0" xr:uid="{BB1CD930-C0A4-4BCD-BABB-F20EC54FB3EE}">
      <text>
        <t>[Comentario encadenado]
Tu versión de Excel te permite leer este comentario encadenado; sin embargo, las ediciones que se apliquen se quitarán si el archivo se abre en una versión más reciente de Excel. Más información: https://go.microsoft.com/fwlink/?linkid=870924
Comentario:
    ENCABEZADO CRITICO — 'Pi / Ci'
Motor ICPI localiza Ci via MATCH('Pi / Ci', A4:P4, 0).
Si se renombra, todos los Ci devuelven 1 (default).
No renombrar sin actualizar ICPI!I5:I24.</t>
      </text>
    </comment>
    <comment ref="G5" authorId="3" shapeId="0" xr:uid="{00000000-0006-0000-0A00-000001000000}">
      <text>
        <r>
          <rPr>
            <sz val="11"/>
            <color theme="1"/>
            <rFont val="Aptos Narrow"/>
            <family val="2"/>
            <scheme val="minor"/>
          </rPr>
          <t>DELL:
Ejecución directa GAD - Alcantarillado</t>
        </r>
      </text>
    </comment>
    <comment ref="H5" authorId="3" shapeId="0" xr:uid="{00000000-0006-0000-0A00-000002000000}">
      <text>
        <r>
          <rPr>
            <sz val="11"/>
            <color theme="1"/>
            <rFont val="Aptos Narrow"/>
            <family val="2"/>
            <scheme val="minor"/>
          </rPr>
          <t>DELL:
ACTUALIZADO con RDC 2023 y 2024 (CPCCS)
RDC 2023: 11,991m lineales tubería alcantarillado Cerro Guayabal, 477 predios, ~2,500 personas.
RDC 2024: Contratos en inicio para Colorado, Paola 1, Paola 2, Antonella, El Padrino + estudios definitivos AASS Fase I Gral. Eloy Alfaro.
Fuente: Informe RDC 2023 N°17649 pág.4; RDC 2024 N°22844 pág.3 y pág.12.
Fecha actualización: 22/02/2025</t>
        </r>
      </text>
    </comment>
    <comment ref="K5" authorId="3" shapeId="0" xr:uid="{00000000-0006-0000-0A00-000003000000}">
      <text>
        <r>
          <rPr>
            <sz val="11"/>
            <color theme="1"/>
            <rFont val="Aptos Narrow"/>
            <family val="2"/>
            <scheme val="minor"/>
          </rPr>
          <t>Vi auditor manual — ver col F</t>
        </r>
      </text>
    </comment>
    <comment ref="L5" authorId="3" shapeId="0" xr:uid="{00000000-0006-0000-0A00-000004000000}">
      <text>
        <r>
          <rPr>
            <sz val="11"/>
            <color theme="1"/>
            <rFont val="Aptos Narrow"/>
            <family val="2"/>
            <scheme val="minor"/>
          </rPr>
          <t>Ti auditor manual — ver col H</t>
        </r>
      </text>
    </comment>
    <comment ref="M5" authorId="3" shapeId="0" xr:uid="{00000000-0006-0000-0A00-000005000000}">
      <text>
        <r>
          <rPr>
            <sz val="11"/>
            <color theme="1"/>
            <rFont val="Aptos Narrow"/>
            <family val="2"/>
            <scheme val="minor"/>
          </rPr>
          <t>DELL:
Fuentes activas para esta promesa. Muestra qué secciones de B2-SEPP tienen datos numéricos confirmados (devengado &gt; 0).</t>
        </r>
      </text>
    </comment>
    <comment ref="N5" authorId="3" shapeId="0" xr:uid="{00000000-0006-0000-0A00-000006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F6" authorId="3" shapeId="0" xr:uid="{00000000-0006-0000-0A00-000007000000}">
      <text>
        <r>
          <rPr>
            <sz val="11"/>
            <color theme="1"/>
            <rFont val="Aptos Narrow"/>
            <family val="2"/>
            <scheme val="minor"/>
          </rPr>
          <t>DELL:
CONFIRMADO Vi=0 con RDC 2024 (CPCCS)
RDC 2024: Hay gestiones (terreno identificado, anteproyecto ULEAM) pero NO hay proceso SERCOP formal ni escrituras. Vi sigue en 0 (no hay soporte documental de ejecución).
Fuente: Informe RDC 2024 N°22844 pág.11.
Fecha: 22/02/2025</t>
        </r>
      </text>
    </comment>
    <comment ref="G6" authorId="3" shapeId="0" xr:uid="{00000000-0006-0000-0A00-000008000000}">
      <text>
        <r>
          <rPr>
            <sz val="11"/>
            <color theme="1"/>
            <rFont val="Aptos Narrow"/>
            <family val="2"/>
            <scheme val="minor"/>
          </rPr>
          <t>DELL:
Vía entidad (MIDUVI/cooperación) - Centro Salud</t>
        </r>
      </text>
    </comment>
    <comment ref="H6" authorId="3" shapeId="0" xr:uid="{00000000-0006-0000-0A00-000009000000}">
      <text>
        <r>
          <rPr>
            <sz val="11"/>
            <color theme="1"/>
            <rFont val="Aptos Narrow"/>
            <family val="2"/>
            <scheme val="minor"/>
          </rPr>
          <t>DELL:
ACTUALIZADO Ti con RDC 2024 (CPCCS)
RDC 2024 pág.11: Terreno identificado propiedad MSP + diseño anteproyecto solicitado a ULEAM + acercamientos con MSP para convenio. Es la promesa de mayor potencial: si llega convenio/SERCOP, saltará a 0.40+.
Fuente: Informe RDC 2024 N°22844 pág.11.
Fecha: 22/02/2025</t>
        </r>
      </text>
    </comment>
    <comment ref="K6" authorId="3" shapeId="0" xr:uid="{00000000-0006-0000-0A00-00000A000000}">
      <text>
        <r>
          <rPr>
            <sz val="11"/>
            <color theme="1"/>
            <rFont val="Aptos Narrow"/>
            <family val="2"/>
            <scheme val="minor"/>
          </rPr>
          <t>Vi auditor manual — ver col F. Vi=0 confirmado: sin soporte documental proceso SERCOP</t>
        </r>
      </text>
    </comment>
    <comment ref="L6" authorId="3" shapeId="0" xr:uid="{00000000-0006-0000-0A00-00000B000000}">
      <text>
        <r>
          <rPr>
            <sz val="11"/>
            <color theme="1"/>
            <rFont val="Aptos Narrow"/>
            <family val="2"/>
            <scheme val="minor"/>
          </rPr>
          <t>Ti auditor manual — ver col H</t>
        </r>
      </text>
    </comment>
    <comment ref="M6" authorId="3" shapeId="0" xr:uid="{00000000-0006-0000-0A00-00000C000000}">
      <text>
        <r>
          <rPr>
            <sz val="11"/>
            <color theme="1"/>
            <rFont val="Aptos Narrow"/>
            <family val="2"/>
            <scheme val="minor"/>
          </rPr>
          <t>DELL:
Fuentes activas para esta promesa. Muestra qué secciones de B2-SEPP tienen datos numéricos confirmados (devengado &gt; 0).</t>
        </r>
      </text>
    </comment>
    <comment ref="N6" authorId="3" shapeId="0" xr:uid="{00000000-0006-0000-0A00-00000D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T6" authorId="3" shapeId="0" xr:uid="{00000000-0006-0000-0A00-00000E000000}">
      <text>
        <r>
          <rPr>
            <sz val="11"/>
            <color theme="1"/>
            <rFont val="Aptos Narrow"/>
            <family val="2"/>
            <scheme val="minor"/>
          </rPr>
          <t>DELL:
Ti SOC-02 ahora referenciado dinámicamente desde L-CEDULAS col Q. Cédula Patronato Dic.2024: Dev=$62.560,59 / Codif=$131.323,59 = Ti=47,6%. COPFP Art.111.</t>
        </r>
      </text>
    </comment>
    <comment ref="G7" authorId="3" shapeId="0" xr:uid="{00000000-0006-0000-0A00-00000F000000}">
      <text>
        <r>
          <rPr>
            <sz val="11"/>
            <color theme="1"/>
            <rFont val="Aptos Narrow"/>
            <family val="2"/>
            <scheme val="minor"/>
          </rPr>
          <t>DELL:
Ejecución directa GAD - Terminal</t>
        </r>
      </text>
    </comment>
    <comment ref="H7" authorId="3" shapeId="0" xr:uid="{00000000-0006-0000-0A00-000010000000}">
      <text>
        <r>
          <rPr>
            <sz val="11"/>
            <color theme="1"/>
            <rFont val="Aptos Narrow"/>
            <family val="2"/>
            <scheme val="minor"/>
          </rPr>
          <t>DELL:
ACTUALIZADO Ti con RDC 2023 (CPCCS)
RDC 2023 pág.4: Informe de necesidad para estudio de macro movilidad que defina ubicación y modelo de gestión del nuevo terminal. Etapa de planificación documentada.
RDC 2024: Sin mención del terminal terrestre.
Fuente: Informe RDC 2023 N°17649 pág.4.
Fecha: 22/02/2025</t>
        </r>
      </text>
    </comment>
    <comment ref="K7" authorId="3" shapeId="0" xr:uid="{00000000-0006-0000-0A00-000011000000}">
      <text>
        <r>
          <rPr>
            <sz val="11"/>
            <color theme="1"/>
            <rFont val="Aptos Narrow"/>
            <family val="2"/>
            <scheme val="minor"/>
          </rPr>
          <t>Vi auditor manual — ver col F</t>
        </r>
      </text>
    </comment>
    <comment ref="L7" authorId="3" shapeId="0" xr:uid="{00000000-0006-0000-0A00-000012000000}">
      <text>
        <r>
          <rPr>
            <sz val="11"/>
            <color theme="1"/>
            <rFont val="Aptos Narrow"/>
            <family val="2"/>
            <scheme val="minor"/>
          </rPr>
          <t>Ti auditor manual — ver col H</t>
        </r>
      </text>
    </comment>
    <comment ref="M7" authorId="3" shapeId="0" xr:uid="{00000000-0006-0000-0A00-000013000000}">
      <text>
        <r>
          <rPr>
            <sz val="11"/>
            <color theme="1"/>
            <rFont val="Aptos Narrow"/>
            <family val="2"/>
            <scheme val="minor"/>
          </rPr>
          <t>DELL:
Fuentes activas para esta promesa. Muestra qué secciones de B2-SEPP tienen datos numéricos confirmados (devengado &gt; 0).</t>
        </r>
      </text>
    </comment>
    <comment ref="N7" authorId="3" shapeId="0" xr:uid="{00000000-0006-0000-0A00-000014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F8" authorId="3" shapeId="0" xr:uid="{00000000-0006-0000-0A00-000015000000}">
      <text>
        <r>
          <rPr>
            <sz val="11"/>
            <color theme="1"/>
            <rFont val="Aptos Narrow"/>
            <family val="2"/>
            <scheme val="minor"/>
          </rPr>
          <t>DELL:
CONFIRMADO Vi=0 con RDC 2024 (CPCCS)
RDC 2024 pág.3: "Se Despriorizó la construcción de un camal". El terreno que se tenía previsto se reorienta a plaza comercial para comerciantes informales.
Fuente: Informe RDC 2024 N°22844 pág.3.
Fecha: 22/02/2025</t>
        </r>
      </text>
    </comment>
    <comment ref="G8" authorId="3" shapeId="0" xr:uid="{00000000-0006-0000-0A00-000016000000}">
      <text>
        <r>
          <rPr>
            <sz val="11"/>
            <color theme="1"/>
            <rFont val="Aptos Narrow"/>
            <family val="2"/>
            <scheme val="minor"/>
          </rPr>
          <t>DELL:
Ejecución directa GAD - Camal</t>
        </r>
      </text>
    </comment>
    <comment ref="H8" authorId="3" shapeId="0" xr:uid="{00000000-0006-0000-0A00-000017000000}">
      <text>
        <r>
          <rPr>
            <sz val="11"/>
            <color theme="1"/>
            <rFont val="Aptos Narrow"/>
            <family val="2"/>
            <scheme val="minor"/>
          </rPr>
          <t>DELL:
CONFIRMADO Ti=0 con RDC 2024 (CPCCS)
RDC 2024 pág.3: Promesa desprioritizada oficialmente. Sin avance ni estudio de viabilidad aprobado. El terreno se destina a otro uso.
Fuente: Informe RDC 2024 N°22844 pág.3.
Fecha: 22/02/2025</t>
        </r>
      </text>
    </comment>
    <comment ref="K8" authorId="3" shapeId="0" xr:uid="{00000000-0006-0000-0A00-000018000000}">
      <text>
        <r>
          <rPr>
            <sz val="11"/>
            <color theme="1"/>
            <rFont val="Aptos Narrow"/>
            <family val="2"/>
            <scheme val="minor"/>
          </rPr>
          <t>Vi auditor manual — ver col F. Vi=0: promesa desprioritizada RDC 2024 pág.3</t>
        </r>
      </text>
    </comment>
    <comment ref="L8" authorId="3" shapeId="0" xr:uid="{00000000-0006-0000-0A00-000019000000}">
      <text>
        <r>
          <rPr>
            <sz val="11"/>
            <color theme="1"/>
            <rFont val="Aptos Narrow"/>
            <family val="2"/>
            <scheme val="minor"/>
          </rPr>
          <t>Ti auditor manual — ver col H. Ti=0: promesa desprioritizada</t>
        </r>
      </text>
    </comment>
    <comment ref="M8" authorId="3" shapeId="0" xr:uid="{00000000-0006-0000-0A00-00001A000000}">
      <text>
        <r>
          <rPr>
            <sz val="11"/>
            <color theme="1"/>
            <rFont val="Aptos Narrow"/>
            <family val="2"/>
            <scheme val="minor"/>
          </rPr>
          <t>DELL:
Fuentes activas para esta promesa. Muestra qué secciones de B2-SEPP tienen datos numéricos confirmados (devengado &gt; 0).</t>
        </r>
      </text>
    </comment>
    <comment ref="N8" authorId="3" shapeId="0" xr:uid="{00000000-0006-0000-0A00-00001B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G9" authorId="3" shapeId="0" xr:uid="{00000000-0006-0000-0A00-00001C000000}">
      <text>
        <r>
          <rPr>
            <sz val="11"/>
            <color theme="1"/>
            <rFont val="Aptos Narrow"/>
            <family val="2"/>
            <scheme val="minor"/>
          </rPr>
          <t>DELL:
Ejecución directa GAD - Geriátrico</t>
        </r>
      </text>
    </comment>
    <comment ref="K9" authorId="3" shapeId="0" xr:uid="{00000000-0006-0000-0A00-00001D000000}">
      <text>
        <r>
          <rPr>
            <sz val="11"/>
            <color theme="1"/>
            <rFont val="Aptos Narrow"/>
            <family val="2"/>
            <scheme val="minor"/>
          </rPr>
          <t>Vi auditor manual — ver col F</t>
        </r>
      </text>
    </comment>
    <comment ref="L9" authorId="3" shapeId="0" xr:uid="{00000000-0006-0000-0A00-00001E000000}">
      <text>
        <r>
          <rPr>
            <sz val="11"/>
            <color theme="1"/>
            <rFont val="Aptos Narrow"/>
            <family val="2"/>
            <scheme val="minor"/>
          </rPr>
          <t>Ti auditor manual — ver col H</t>
        </r>
      </text>
    </comment>
    <comment ref="M9" authorId="3" shapeId="0" xr:uid="{00000000-0006-0000-0A00-00001F000000}">
      <text>
        <r>
          <rPr>
            <sz val="11"/>
            <color theme="1"/>
            <rFont val="Aptos Narrow"/>
            <family val="2"/>
            <scheme val="minor"/>
          </rPr>
          <t>DELL:
Fuentes activas para esta promesa. Muestra qué secciones de B2-SEPP tienen datos numéricos confirmados (devengado &gt; 0).</t>
        </r>
      </text>
    </comment>
    <comment ref="N9" authorId="3" shapeId="0" xr:uid="{00000000-0006-0000-0A00-000020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T9" authorId="3" shapeId="0" xr:uid="{00000000-0006-0000-0A00-000021000000}">
      <text>
        <r>
          <rPr>
            <sz val="11"/>
            <color theme="1"/>
            <rFont val="Aptos Narrow"/>
            <family val="2"/>
            <scheme val="minor"/>
          </rPr>
          <t>DELL:
Ti SOC-03 dinámico desde L-CEDULAS. Cédula Patronato: Dev=$16.035,70 / Codif=$47.675,16 = Ti=33,6%.</t>
        </r>
      </text>
    </comment>
    <comment ref="G10" authorId="3" shapeId="0" xr:uid="{00000000-0006-0000-0A00-000022000000}">
      <text>
        <r>
          <rPr>
            <sz val="11"/>
            <color theme="1"/>
            <rFont val="Aptos Narrow"/>
            <family val="2"/>
            <scheme val="minor"/>
          </rPr>
          <t>DELL:
Ejecución directa GAD - Bacheo</t>
        </r>
      </text>
    </comment>
    <comment ref="K10" authorId="3" shapeId="0" xr:uid="{00000000-0006-0000-0A00-000023000000}">
      <text>
        <r>
          <rPr>
            <sz val="11"/>
            <color theme="1"/>
            <rFont val="Aptos Narrow"/>
            <family val="2"/>
            <scheme val="minor"/>
          </rPr>
          <t>Vi auditor manual — ver col F</t>
        </r>
      </text>
    </comment>
    <comment ref="L10" authorId="3" shapeId="0" xr:uid="{00000000-0006-0000-0A00-000024000000}">
      <text>
        <r>
          <rPr>
            <sz val="11"/>
            <color theme="1"/>
            <rFont val="Aptos Narrow"/>
            <family val="2"/>
            <scheme val="minor"/>
          </rPr>
          <t>Ti auditor manual — ver col H</t>
        </r>
      </text>
    </comment>
    <comment ref="M10" authorId="3" shapeId="0" xr:uid="{00000000-0006-0000-0A00-000025000000}">
      <text>
        <r>
          <rPr>
            <sz val="11"/>
            <color theme="1"/>
            <rFont val="Aptos Narrow"/>
            <family val="2"/>
            <scheme val="minor"/>
          </rPr>
          <t>DELL:
Fuentes activas para esta promesa. Muestra qué secciones de B2-SEPP tienen datos numéricos confirmados (devengado &gt; 0).</t>
        </r>
      </text>
    </comment>
    <comment ref="N10" authorId="3" shapeId="0" xr:uid="{00000000-0006-0000-0A00-000026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F11" authorId="3" shapeId="0" xr:uid="{00000000-0006-0000-0A00-000027000000}">
      <text>
        <r>
          <rPr>
            <sz val="11"/>
            <color theme="1"/>
            <rFont val="Aptos Narrow"/>
            <family val="2"/>
            <scheme val="minor"/>
          </rPr>
          <t>DELL:
Vi=0: La unidad médica móvil existe físicamente en inventario municipal, pero la Orden de Compra original y las placas vehiculares no fueron localizadas en el archivo institucional. La variable Vi mide existencia de cadena de custodia documental, no existencia física del bien. Principio de precaución aplicado.</t>
        </r>
      </text>
    </comment>
    <comment ref="G11" authorId="3" shapeId="0" xr:uid="{00000000-0006-0000-0A00-000028000000}">
      <text>
        <r>
          <rPr>
            <sz val="11"/>
            <color theme="1"/>
            <rFont val="Aptos Narrow"/>
            <family val="2"/>
            <scheme val="minor"/>
          </rPr>
          <t>DELL:
Vía entidad (MSP) - Unidad Médica Móvil</t>
        </r>
      </text>
    </comment>
    <comment ref="H11" authorId="3" shapeId="0" xr:uid="{00000000-0006-0000-0A00-000029000000}">
      <text>
        <r>
          <rPr>
            <sz val="11"/>
            <color theme="1"/>
            <rFont val="Aptos Narrow"/>
            <family val="2"/>
            <scheme val="minor"/>
          </rPr>
          <t>DELL:
ACTUALIZADO Ti con RDC 2023 y 2024 (CPCCS)
RDC 2023 pág.6: Unidad de Servicios Médicos Comunitarios (USMC) - atención puerta a puerta a 2,142 personas + 912 exámenes laboratorio 2023.
RDC 2024 pág.11: 3,743 usuarios atendidos en brigadas médicas (USMC) enero-diciembre 2024. Servicio activo y creciente.
Vi sigue 0 (no hay Orden de Compra del vehículo), pero Ti=0.5 refleja servicio operativo documentado.
Fuente: RDC 2023 N°17649 pág.6; RDC 2024 N°22844 pág.11.
Fecha: 22/02/2025</t>
        </r>
      </text>
    </comment>
    <comment ref="K11" authorId="3" shapeId="0" xr:uid="{00000000-0006-0000-0A00-00002A000000}">
      <text>
        <r>
          <rPr>
            <sz val="11"/>
            <color theme="1"/>
            <rFont val="Aptos Narrow"/>
            <family val="2"/>
            <scheme val="minor"/>
          </rPr>
          <t>Vi auditor manual — ver col F. Vi=0: sin Orden de Compra localizada</t>
        </r>
      </text>
    </comment>
    <comment ref="L11" authorId="3" shapeId="0" xr:uid="{00000000-0006-0000-0A00-00002B000000}">
      <text>
        <r>
          <rPr>
            <sz val="11"/>
            <color theme="1"/>
            <rFont val="Aptos Narrow"/>
            <family val="2"/>
            <scheme val="minor"/>
          </rPr>
          <t>Ti auditor manual — ver col H</t>
        </r>
      </text>
    </comment>
    <comment ref="M11" authorId="3" shapeId="0" xr:uid="{00000000-0006-0000-0A00-00002C000000}">
      <text>
        <r>
          <rPr>
            <sz val="11"/>
            <color theme="1"/>
            <rFont val="Aptos Narrow"/>
            <family val="2"/>
            <scheme val="minor"/>
          </rPr>
          <t>DELL:
Fuentes activas para esta promesa. Muestra qué secciones de B2-SEPP tienen datos numéricos confirmados (devengado &gt; 0).</t>
        </r>
      </text>
    </comment>
    <comment ref="N11" authorId="3" shapeId="0" xr:uid="{00000000-0006-0000-0A00-00002D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T11" authorId="3" shapeId="0" xr:uid="{00000000-0006-0000-0A00-00002E000000}">
      <text>
        <r>
          <rPr>
            <sz val="11"/>
            <color theme="1"/>
            <rFont val="Aptos Narrow"/>
            <family val="2"/>
            <scheme val="minor"/>
          </rPr>
          <t>DELL:
Ti SOC-07 dinámico desde L-CEDULAS. Cédula Patronato: Dev=$24.836,44 / Codif=$80.000 = Ti=31,0%.</t>
        </r>
      </text>
    </comment>
    <comment ref="G12" authorId="3" shapeId="0" xr:uid="{00000000-0006-0000-0A00-00002F000000}">
      <text>
        <r>
          <rPr>
            <sz val="11"/>
            <color theme="1"/>
            <rFont val="Aptos Narrow"/>
            <family val="2"/>
            <scheme val="minor"/>
          </rPr>
          <t>DELL:
Vía entidad (MAE/Ambiental) - Planta Oxidación</t>
        </r>
      </text>
    </comment>
    <comment ref="H12" authorId="3" shapeId="0" xr:uid="{00000000-0006-0000-0A00-000030000000}">
      <text>
        <r>
          <rPr>
            <sz val="11"/>
            <color theme="1"/>
            <rFont val="Aptos Narrow"/>
            <family val="2"/>
            <scheme val="minor"/>
          </rPr>
          <t>DELL:
ACTUALIZADO Ti con RDC 2023 y 2024 (CPCCS)
RDC 2023 pág.7: PROYECTO DE PTAR GENERAL ELOY ALFARO - postulación al BDE línea PROGAPSA para financiamiento. Gestión de adquisición del terreno en Parroquia Gral. Eloy Alfaro.
RDC 2024 pág.12: Proyectos con estudios definitivos: CONSTRUCCIÓN DE CERRAMIENTO Y CASETA DE VIGILANCIA PARA LAS PTAR DEL CANTÓN MONTECRISTI. El financiamiento del acueducto listo; avance estructural en la PTAR.
Fuente: RDC 2023 N°17649 pág.7; RDC 2024 N°22844 pág.12.
Fecha: 22/02/2025</t>
        </r>
      </text>
    </comment>
    <comment ref="K12" authorId="3" shapeId="0" xr:uid="{00000000-0006-0000-0A00-000031000000}">
      <text>
        <r>
          <rPr>
            <sz val="11"/>
            <color theme="1"/>
            <rFont val="Aptos Narrow"/>
            <family val="2"/>
            <scheme val="minor"/>
          </rPr>
          <t>Vi auditor manual — ver col F</t>
        </r>
      </text>
    </comment>
    <comment ref="L12" authorId="3" shapeId="0" xr:uid="{00000000-0006-0000-0A00-000032000000}">
      <text>
        <r>
          <rPr>
            <sz val="11"/>
            <color theme="1"/>
            <rFont val="Aptos Narrow"/>
            <family val="2"/>
            <scheme val="minor"/>
          </rPr>
          <t>Ti auditor manual — ver col H</t>
        </r>
      </text>
    </comment>
    <comment ref="M12" authorId="3" shapeId="0" xr:uid="{00000000-0006-0000-0A00-000033000000}">
      <text>
        <r>
          <rPr>
            <sz val="11"/>
            <color theme="1"/>
            <rFont val="Aptos Narrow"/>
            <family val="2"/>
            <scheme val="minor"/>
          </rPr>
          <t>DELL:
Fuentes activas para esta promesa. Muestra qué secciones de B2-SEPP tienen datos numéricos confirmados (devengado &gt; 0).</t>
        </r>
      </text>
    </comment>
    <comment ref="N12" authorId="3" shapeId="0" xr:uid="{00000000-0006-0000-0A00-000034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G13" authorId="3" shapeId="0" xr:uid="{00000000-0006-0000-0A00-000035000000}">
      <text>
        <r>
          <rPr>
            <sz val="11"/>
            <color theme="1"/>
            <rFont val="Aptos Narrow"/>
            <family val="2"/>
            <scheme val="minor"/>
          </rPr>
          <t>DELL:
Ejecución directa GAD - Parques</t>
        </r>
      </text>
    </comment>
    <comment ref="K13" authorId="3" shapeId="0" xr:uid="{00000000-0006-0000-0A00-000036000000}">
      <text>
        <r>
          <rPr>
            <sz val="11"/>
            <color theme="1"/>
            <rFont val="Aptos Narrow"/>
            <family val="2"/>
            <scheme val="minor"/>
          </rPr>
          <t>Vi auditor manual — ver col F</t>
        </r>
      </text>
    </comment>
    <comment ref="L13" authorId="3" shapeId="0" xr:uid="{00000000-0006-0000-0A00-000037000000}">
      <text>
        <r>
          <rPr>
            <sz val="11"/>
            <color theme="1"/>
            <rFont val="Aptos Narrow"/>
            <family val="2"/>
            <scheme val="minor"/>
          </rPr>
          <t>Ti auditor manual — ver col H</t>
        </r>
      </text>
    </comment>
    <comment ref="M13" authorId="3" shapeId="0" xr:uid="{00000000-0006-0000-0A00-000038000000}">
      <text>
        <r>
          <rPr>
            <sz val="11"/>
            <color theme="1"/>
            <rFont val="Aptos Narrow"/>
            <family val="2"/>
            <scheme val="minor"/>
          </rPr>
          <t>DELL:
Fuentes activas para esta promesa. Muestra qué secciones de B2-SEPP tienen datos numéricos confirmados (devengado &gt; 0).</t>
        </r>
      </text>
    </comment>
    <comment ref="N13" authorId="3" shapeId="0" xr:uid="{00000000-0006-0000-0A00-000039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G14" authorId="3" shapeId="0" xr:uid="{00000000-0006-0000-0A00-00003A000000}">
      <text>
        <r>
          <rPr>
            <sz val="11"/>
            <color theme="1"/>
            <rFont val="Aptos Narrow"/>
            <family val="2"/>
            <scheme val="minor"/>
          </rPr>
          <t>DELL:
Vía entidad (convenio) - Guarderías</t>
        </r>
      </text>
    </comment>
    <comment ref="K14" authorId="3" shapeId="0" xr:uid="{00000000-0006-0000-0A00-00003B000000}">
      <text>
        <r>
          <rPr>
            <sz val="11"/>
            <color theme="1"/>
            <rFont val="Aptos Narrow"/>
            <family val="2"/>
            <scheme val="minor"/>
          </rPr>
          <t>Vi auditor manual — ver col F. Vi=0: sin convenio MIES formalizado</t>
        </r>
      </text>
    </comment>
    <comment ref="L14" authorId="3" shapeId="0" xr:uid="{00000000-0006-0000-0A00-00003C000000}">
      <text>
        <r>
          <rPr>
            <sz val="11"/>
            <color theme="1"/>
            <rFont val="Aptos Narrow"/>
            <family val="2"/>
            <scheme val="minor"/>
          </rPr>
          <t>Ti auditor manual — ver col H</t>
        </r>
      </text>
    </comment>
    <comment ref="M14" authorId="3" shapeId="0" xr:uid="{00000000-0006-0000-0A00-00003D000000}">
      <text>
        <r>
          <rPr>
            <sz val="11"/>
            <color theme="1"/>
            <rFont val="Aptos Narrow"/>
            <family val="2"/>
            <scheme val="minor"/>
          </rPr>
          <t>DELL:
Fuentes activas para esta promesa. Muestra qué secciones de B2-SEPP tienen datos numéricos confirmados (devengado &gt; 0).</t>
        </r>
      </text>
    </comment>
    <comment ref="N14" authorId="3" shapeId="0" xr:uid="{00000000-0006-0000-0A00-00003E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T14" authorId="3" shapeId="0" xr:uid="{00000000-0006-0000-0A00-00003F000000}">
      <text>
        <r>
          <rPr>
            <sz val="11"/>
            <color theme="1"/>
            <rFont val="Aptos Narrow"/>
            <family val="2"/>
            <scheme val="minor"/>
          </rPr>
          <t>DELL:
Ti SOC-04 dinámico desde L-CEDULAS. Cédula Patronato: Dev=$0 / Codif=$10.000 = Ti=0%. Sin ejecución.</t>
        </r>
      </text>
    </comment>
    <comment ref="V14" authorId="3" shapeId="0" xr:uid="{DD202D52-94CA-4170-B3FB-0CCF83259B0A}">
      <text>
        <r>
          <rPr>
            <b/>
            <sz val="9"/>
            <color indexed="81"/>
            <rFont val="Tahoma"/>
          </rPr>
          <t>DELL:</t>
        </r>
        <r>
          <rPr>
            <sz val="9"/>
            <color indexed="81"/>
            <rFont val="Tahoma"/>
          </rPr>
          <t xml:space="preserve">
CORRECCIÓN AUDITOR FORENSE: RDC 2023 T20 confirma Sistema Catastral Integral ejecutado — 60,384 predios urbanos + 8,862 rurales + 13,950 actualizaciones. Devengado 100% ($169,100). CPCCS ✓ corregido de 0 a 1. Fuente: RDC 2023 N°17649 T20.</t>
        </r>
      </text>
    </comment>
    <comment ref="G15" authorId="3" shapeId="0" xr:uid="{00000000-0006-0000-0A00-000040000000}">
      <text>
        <r>
          <rPr>
            <sz val="11"/>
            <color theme="1"/>
            <rFont val="Aptos Narrow"/>
            <family val="2"/>
            <scheme val="minor"/>
          </rPr>
          <t>DELL:
Vía entidad (Ambiental) - Planta Desechos</t>
        </r>
      </text>
    </comment>
    <comment ref="H15" authorId="3" shapeId="0" xr:uid="{00000000-0006-0000-0A00-000041000000}">
      <text>
        <r>
          <rPr>
            <sz val="11"/>
            <color theme="1"/>
            <rFont val="Aptos Narrow"/>
            <family val="2"/>
            <scheme val="minor"/>
          </rPr>
          <t>DELL:
ACTUALIZADO Ti con RDC 2023 y 2024 (CPCCS)
RDC 2023 pág.4: Cobertura de recolección ampliada a comunidades y parroquia Aníbal San Andrés; mayor frecuencia de viajes al vertedero. Consta que se gestiona adquisición del terreno para nueva PTAR.
RDC 2024: Cuarta Reforma Ordenanza Tasa de Recolección de Basura sancionada; mejoras servicio costera (Empresa Aseo Integral Montecristi).
Ti mejora por ampliación cobertura y normativa, pero relleno nuevo pendiente.
Fuente: RDC 2023 N°17649 pág.4; RDC 2024 N°22844 pág.14.
Fecha: 22/02/2025</t>
        </r>
      </text>
    </comment>
    <comment ref="K15" authorId="3" shapeId="0" xr:uid="{00000000-0006-0000-0A00-000042000000}">
      <text>
        <r>
          <rPr>
            <sz val="11"/>
            <color theme="1"/>
            <rFont val="Aptos Narrow"/>
            <family val="2"/>
            <scheme val="minor"/>
          </rPr>
          <t>Vi auditor manual — ver col F</t>
        </r>
      </text>
    </comment>
    <comment ref="L15" authorId="3" shapeId="0" xr:uid="{00000000-0006-0000-0A00-000043000000}">
      <text>
        <r>
          <rPr>
            <sz val="11"/>
            <color theme="1"/>
            <rFont val="Aptos Narrow"/>
            <family val="2"/>
            <scheme val="minor"/>
          </rPr>
          <t>Ti auditor manual — ver col H</t>
        </r>
      </text>
    </comment>
    <comment ref="M15" authorId="3" shapeId="0" xr:uid="{00000000-0006-0000-0A00-000044000000}">
      <text>
        <r>
          <rPr>
            <sz val="11"/>
            <color theme="1"/>
            <rFont val="Aptos Narrow"/>
            <family val="2"/>
            <scheme val="minor"/>
          </rPr>
          <t>DELL:
Fuentes activas para esta promesa. Muestra qué secciones de B2-SEPP tienen datos numéricos confirmados (devengado &gt; 0).</t>
        </r>
      </text>
    </comment>
    <comment ref="N15" authorId="3" shapeId="0" xr:uid="{00000000-0006-0000-0A00-000045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G16" authorId="3" shapeId="0" xr:uid="{00000000-0006-0000-0A00-000046000000}">
      <text>
        <r>
          <rPr>
            <sz val="11"/>
            <color theme="1"/>
            <rFont val="Aptos Narrow"/>
            <family val="2"/>
            <scheme val="minor"/>
          </rPr>
          <t>DELL:
Ejecución directa GAD - Equipo Caminero</t>
        </r>
      </text>
    </comment>
    <comment ref="K16" authorId="3" shapeId="0" xr:uid="{00000000-0006-0000-0A00-000047000000}">
      <text>
        <r>
          <rPr>
            <sz val="11"/>
            <color theme="1"/>
            <rFont val="Aptos Narrow"/>
            <family val="2"/>
            <scheme val="minor"/>
          </rPr>
          <t>Vi auditor manual — ver col F</t>
        </r>
      </text>
    </comment>
    <comment ref="L16" authorId="3" shapeId="0" xr:uid="{00000000-0006-0000-0A00-000048000000}">
      <text>
        <r>
          <rPr>
            <sz val="11"/>
            <color theme="1"/>
            <rFont val="Aptos Narrow"/>
            <family val="2"/>
            <scheme val="minor"/>
          </rPr>
          <t>Ti auditor manual — ver col H</t>
        </r>
      </text>
    </comment>
    <comment ref="M16" authorId="3" shapeId="0" xr:uid="{00000000-0006-0000-0A00-000049000000}">
      <text>
        <r>
          <rPr>
            <sz val="11"/>
            <color theme="1"/>
            <rFont val="Aptos Narrow"/>
            <family val="2"/>
            <scheme val="minor"/>
          </rPr>
          <t>DELL:
Fuentes activas para esta promesa. Muestra qué secciones de B2-SEPP tienen datos numéricos confirmados (devengado &gt; 0).</t>
        </r>
      </text>
    </comment>
    <comment ref="N16" authorId="3" shapeId="0" xr:uid="{00000000-0006-0000-0A00-00004A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F17" authorId="3" shapeId="0" xr:uid="{00000000-0006-0000-0A00-00004B000000}">
      <text>
        <r>
          <rPr>
            <sz val="11"/>
            <color theme="1"/>
            <rFont val="Aptos Narrow"/>
            <family val="2"/>
            <scheme val="minor"/>
          </rPr>
          <t>DELL:
Vi=0: Las cámaras de vigilancia se encuentran instaladas y operativas físicamente, pero la factura de adquisición y el informe técnico de la Dirección de TICs no fueron localizados en el repositorio institucional. Vi mide trazabilidad documental, no existencia física. Principio de precaución aplicado.</t>
        </r>
      </text>
    </comment>
    <comment ref="G17" authorId="3" shapeId="0" xr:uid="{00000000-0006-0000-0A00-00004C000000}">
      <text>
        <r>
          <rPr>
            <sz val="11"/>
            <color theme="1"/>
            <rFont val="Aptos Narrow"/>
            <family val="2"/>
            <scheme val="minor"/>
          </rPr>
          <t>DELL:
Ejecución directa GAD - Monitoreo/Cámaras</t>
        </r>
      </text>
    </comment>
    <comment ref="H17" authorId="3" shapeId="0" xr:uid="{00000000-0006-0000-0A00-00004D000000}">
      <text>
        <r>
          <rPr>
            <sz val="11"/>
            <color theme="1"/>
            <rFont val="Aptos Narrow"/>
            <family val="2"/>
            <scheme val="minor"/>
          </rPr>
          <t>DELL:
ACTUALIZADO Ti=0.2 con RDC 2024 (CPCCS)
RDC 2024 pág.3: Instalación de 15 puntos de alarmas comunitarias en diferentes sectores del cantón Montecristi durante el periodo 2024. + Estudio de suelo para construcción cuartel bomberos Leonidas Proaño.
NOTA: Las alarmas comunitarias son distintas a la central de monitoreo con cámaras, pero representan avance documentado en seguridad ciudadana.
Vi sigue en 0 (no hay factura SERCOP de sistema cámaras localizada).
Fuente: RDC 2024 N°22844 pág.3.
Fecha: 22/02/2025</t>
        </r>
      </text>
    </comment>
    <comment ref="K17" authorId="3" shapeId="0" xr:uid="{00000000-0006-0000-0A00-00004E000000}">
      <text>
        <r>
          <rPr>
            <sz val="11"/>
            <color theme="1"/>
            <rFont val="Aptos Narrow"/>
            <family val="2"/>
            <scheme val="minor"/>
          </rPr>
          <t>Vi auditor manual — ver col F. Vi=0: sin factura SERCOP sistema CCTV</t>
        </r>
      </text>
    </comment>
    <comment ref="L17" authorId="3" shapeId="0" xr:uid="{00000000-0006-0000-0A00-00004F000000}">
      <text>
        <r>
          <rPr>
            <sz val="11"/>
            <color theme="1"/>
            <rFont val="Aptos Narrow"/>
            <family val="2"/>
            <scheme val="minor"/>
          </rPr>
          <t>Ti auditor manual — ver col H</t>
        </r>
      </text>
    </comment>
    <comment ref="M17" authorId="3" shapeId="0" xr:uid="{00000000-0006-0000-0A00-000050000000}">
      <text>
        <r>
          <rPr>
            <sz val="11"/>
            <color theme="1"/>
            <rFont val="Aptos Narrow"/>
            <family val="2"/>
            <scheme val="minor"/>
          </rPr>
          <t>DELL:
Fuentes activas para esta promesa. Muestra qué secciones de B2-SEPP tienen datos numéricos confirmados (devengado &gt; 0).</t>
        </r>
      </text>
    </comment>
    <comment ref="N17" authorId="3" shapeId="0" xr:uid="{00000000-0006-0000-0A00-000051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T17" authorId="3" shapeId="0" xr:uid="{00000000-0006-0000-0A00-000052000000}">
      <text>
        <r>
          <rPr>
            <sz val="11"/>
            <color theme="1"/>
            <rFont val="Aptos Narrow"/>
            <family val="2"/>
            <scheme val="minor"/>
          </rPr>
          <t>DELL:
Ti SOC-15 dinámico desde L-CEDULAS. Cédula Patronato: Dev=$9.003 / Codif=$117.900 = Ti=7,6%.</t>
        </r>
      </text>
    </comment>
    <comment ref="G18" authorId="3" shapeId="0" xr:uid="{00000000-0006-0000-0A00-000053000000}">
      <text>
        <r>
          <rPr>
            <sz val="11"/>
            <color theme="1"/>
            <rFont val="Aptos Narrow"/>
            <family val="2"/>
            <scheme val="minor"/>
          </rPr>
          <t>DELL:
Ejecución directa GAD - Digitalización</t>
        </r>
      </text>
    </comment>
    <comment ref="K18" authorId="3" shapeId="0" xr:uid="{00000000-0006-0000-0A00-000054000000}">
      <text>
        <r>
          <rPr>
            <sz val="11"/>
            <color theme="1"/>
            <rFont val="Aptos Narrow"/>
            <family val="2"/>
            <scheme val="minor"/>
          </rPr>
          <t>Vi auditor manual — ver col F</t>
        </r>
      </text>
    </comment>
    <comment ref="L18" authorId="3" shapeId="0" xr:uid="{00000000-0006-0000-0A00-000055000000}">
      <text>
        <r>
          <rPr>
            <sz val="11"/>
            <color theme="1"/>
            <rFont val="Aptos Narrow"/>
            <family val="2"/>
            <scheme val="minor"/>
          </rPr>
          <t>Ti auditor manual — ver col H</t>
        </r>
      </text>
    </comment>
    <comment ref="M18" authorId="3" shapeId="0" xr:uid="{00000000-0006-0000-0A00-000056000000}">
      <text>
        <r>
          <rPr>
            <sz val="11"/>
            <color theme="1"/>
            <rFont val="Aptos Narrow"/>
            <family val="2"/>
            <scheme val="minor"/>
          </rPr>
          <t>DELL:
Fuentes activas para esta promesa. Muestra qué secciones de B2-SEPP tienen datos numéricos confirmados (devengado &gt; 0).</t>
        </r>
      </text>
    </comment>
    <comment ref="N18" authorId="3" shapeId="0" xr:uid="{00000000-0006-0000-0A00-000057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G19" authorId="3" shapeId="0" xr:uid="{00000000-0006-0000-0A00-000058000000}">
      <text>
        <r>
          <rPr>
            <sz val="11"/>
            <color theme="1"/>
            <rFont val="Aptos Narrow"/>
            <family val="2"/>
            <scheme val="minor"/>
          </rPr>
          <t>DELL:
Ejecución directa GAD - Catastro</t>
        </r>
      </text>
    </comment>
    <comment ref="K19" authorId="3" shapeId="0" xr:uid="{00000000-0006-0000-0A00-000059000000}">
      <text>
        <r>
          <rPr>
            <sz val="11"/>
            <color theme="1"/>
            <rFont val="Aptos Narrow"/>
            <family val="2"/>
            <scheme val="minor"/>
          </rPr>
          <t>Vi auditor manual — ver col F</t>
        </r>
      </text>
    </comment>
    <comment ref="L19" authorId="3" shapeId="0" xr:uid="{00000000-0006-0000-0A00-00005A000000}">
      <text>
        <r>
          <rPr>
            <sz val="11"/>
            <color theme="1"/>
            <rFont val="Aptos Narrow"/>
            <family val="2"/>
            <scheme val="minor"/>
          </rPr>
          <t>Ti auditor manual — ver col H</t>
        </r>
      </text>
    </comment>
    <comment ref="M19" authorId="3" shapeId="0" xr:uid="{00000000-0006-0000-0A00-00005B000000}">
      <text>
        <r>
          <rPr>
            <sz val="11"/>
            <color theme="1"/>
            <rFont val="Aptos Narrow"/>
            <family val="2"/>
            <scheme val="minor"/>
          </rPr>
          <t>DELL:
Fuentes activas para esta promesa. Muestra qué secciones de B2-SEPP tienen datos numéricos confirmados (devengado &gt; 0).</t>
        </r>
      </text>
    </comment>
    <comment ref="N19" authorId="3" shapeId="0" xr:uid="{00000000-0006-0000-0A00-00005C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F20" authorId="3" shapeId="0" xr:uid="{00000000-0006-0000-0A00-00005D000000}">
      <text>
        <r>
          <rPr>
            <sz val="11"/>
            <color theme="1"/>
            <rFont val="Aptos Narrow"/>
            <family val="2"/>
            <scheme val="minor"/>
          </rPr>
          <t>ACTUALIZADO Vi=1 con RDC 2023 y 2024 (CPCCS)
RDC 2023 pág.1: Campaña vitaminización, desparasitación, atención patológica 240 beneficiarios + esterilizaciones 70 beneficiarios + Borrador Ordenanza Protección Fauna Urbana.
RDC 2024 pág.3: 172 castraciones (108 perros + 64 gatos), 1,439 atenciones veterin., Ordenanza emitida CERTIFICACIÓN Nº017-2024-CM-GAADMCM.
Ordenanza en revisión de requisitos. Vi=1 por existencia de cadena documental oficial (Acta/Certificación).
Fuente: RDC 2023 N°17649 pág.1; RDC 2024 N°22844 pág.3.
Fecha: 22/02/2025</t>
        </r>
      </text>
    </comment>
    <comment ref="G20" authorId="3" shapeId="0" xr:uid="{00000000-0006-0000-0A00-00005E000000}">
      <text>
        <r>
          <rPr>
            <sz val="11"/>
            <color theme="1"/>
            <rFont val="Aptos Narrow"/>
            <family val="2"/>
            <scheme val="minor"/>
          </rPr>
          <t>DELL:
Vía entidad (MSP/Sanitario) - Fauna Urbana</t>
        </r>
      </text>
    </comment>
    <comment ref="H20" authorId="3" shapeId="0" xr:uid="{00000000-0006-0000-0A00-00005F000000}">
      <text>
        <r>
          <rPr>
            <sz val="11"/>
            <color theme="1"/>
            <rFont val="Aptos Narrow"/>
            <family val="2"/>
            <scheme val="minor"/>
          </rPr>
          <t>DELL:
ACTUALIZADO Ti=0.35 con RDC 2024 (CPCCS)
Operación documentada (campañas activas, ordenanza), pero albergue físico en etapa de revisión de requisitos según la certificación Nº017-2024. Centro de recuperación convenio fundación local en progreso.
Fuente: RDC 2024 N°22844 pág.3.
Fecha: 22/02/2025</t>
        </r>
      </text>
    </comment>
    <comment ref="K20" authorId="3" shapeId="0" xr:uid="{00000000-0006-0000-0A00-000060000000}">
      <text>
        <r>
          <rPr>
            <sz val="11"/>
            <color theme="1"/>
            <rFont val="Aptos Narrow"/>
            <family val="2"/>
            <scheme val="minor"/>
          </rPr>
          <t>Vi auditor manual — ver col F. Vi=1: Ordenanza Nº017-2024-CM-GAADMCM</t>
        </r>
      </text>
    </comment>
    <comment ref="L20" authorId="3" shapeId="0" xr:uid="{00000000-0006-0000-0A00-000061000000}">
      <text>
        <r>
          <rPr>
            <sz val="11"/>
            <color theme="1"/>
            <rFont val="Aptos Narrow"/>
            <family val="2"/>
            <scheme val="minor"/>
          </rPr>
          <t>Ti auditor manual — ver col H</t>
        </r>
      </text>
    </comment>
    <comment ref="M20" authorId="3" shapeId="0" xr:uid="{00000000-0006-0000-0A00-000062000000}">
      <text>
        <r>
          <rPr>
            <sz val="11"/>
            <color theme="1"/>
            <rFont val="Aptos Narrow"/>
            <family val="2"/>
            <scheme val="minor"/>
          </rPr>
          <t>DELL:
Fuentes activas para esta promesa. Muestra qué secciones de B2-SEPP tienen datos numéricos confirmados (devengado &gt; 0).</t>
        </r>
      </text>
    </comment>
    <comment ref="N20" authorId="3" shapeId="0" xr:uid="{00000000-0006-0000-0A00-000063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T20" authorId="3" shapeId="0" xr:uid="{00000000-0006-0000-0A00-000064000000}">
      <text>
        <r>
          <rPr>
            <sz val="11"/>
            <color theme="1"/>
            <rFont val="Aptos Narrow"/>
            <family val="2"/>
            <scheme val="minor"/>
          </rPr>
          <t>DELL:
Ti SOC-08 dinámico desde L-CEDULAS. Cédula Patronato: Dev=$24.407,11 / Codif=$44.796 = Ti=54,5%.</t>
        </r>
      </text>
    </comment>
    <comment ref="F21" authorId="3" shapeId="0" xr:uid="{00000000-0006-0000-0A00-000065000000}">
      <text>
        <r>
          <rPr>
            <sz val="11"/>
            <color theme="1"/>
            <rFont val="Aptos Narrow"/>
            <family val="2"/>
            <scheme val="minor"/>
          </rPr>
          <t>DELL:
ACTUALIZADO Vi=1 con RDC 2023 y 2024 (CPCCS)
RDC 2023 pág.7: PROYECTO MANGLAR VIVO SAN JOSÉ - postulación a Premio Verde BDE para financiamiento.
RDC 2024 pág.9: Emisión de certificado ambiental para 'Manglar Vivo Montecristi, protegiendo nuestro tesoro ecológico en la Playa San José'.
RDC 2024 pág.12: Estudios definitivos: CONSTRUCCIÓN DE PROYECTO ECOTURÍSTICO 'MANGLAR VIVO' EN LA PLAYA SAN JOSÉ - 25/MARZO/2024.
Fuente: RDC 2023 N°17649 pág.7; RDC 2024 N°22844 págs.6,9,12.
Fecha: 22/02/2025</t>
        </r>
      </text>
    </comment>
    <comment ref="G21" authorId="3" shapeId="0" xr:uid="{00000000-0006-0000-0A00-000066000000}">
      <text>
        <r>
          <rPr>
            <sz val="11"/>
            <color theme="1"/>
            <rFont val="Aptos Narrow"/>
            <family val="2"/>
            <scheme val="minor"/>
          </rPr>
          <t>DELL:
Vía entidad (Turismo) - Playa San José</t>
        </r>
      </text>
    </comment>
    <comment ref="H21" authorId="3" shapeId="0" xr:uid="{00000000-0006-0000-0A00-000067000000}">
      <text>
        <r>
          <rPr>
            <sz val="11"/>
            <color theme="1"/>
            <rFont val="Aptos Narrow"/>
            <family val="2"/>
            <scheme val="minor"/>
          </rPr>
          <t>DELL:
ACTUALIZADO Ti=0.30 con RDC 2024 (CPCCS)
Estudios definitivos aprobados (25/03/2024), certificado ambiental emitido, mingas de limpieza activas. Sin embargo, la construcción del ecoturismo no ha iniciado (financiamiento pendiente). Avance real en etapa de estudios y gestión ambiental.
Fuente: RDC 2024 N°22844 págs.6,9,12.
Fecha: 22/02/2025</t>
        </r>
      </text>
    </comment>
    <comment ref="K21" authorId="3" shapeId="0" xr:uid="{00000000-0006-0000-0A00-000068000000}">
      <text>
        <r>
          <rPr>
            <sz val="11"/>
            <color theme="1"/>
            <rFont val="Aptos Narrow"/>
            <family val="2"/>
            <scheme val="minor"/>
          </rPr>
          <t>Vi auditor manual — ver col F. Vi=1: Cert. ambiental RDC 2024 pág.9</t>
        </r>
      </text>
    </comment>
    <comment ref="L21" authorId="3" shapeId="0" xr:uid="{00000000-0006-0000-0A00-000069000000}">
      <text>
        <r>
          <rPr>
            <sz val="11"/>
            <color theme="1"/>
            <rFont val="Aptos Narrow"/>
            <family val="2"/>
            <scheme val="minor"/>
          </rPr>
          <t>Ti auditor manual — ver col H</t>
        </r>
      </text>
    </comment>
    <comment ref="M21" authorId="3" shapeId="0" xr:uid="{00000000-0006-0000-0A00-00006A000000}">
      <text>
        <r>
          <rPr>
            <sz val="11"/>
            <color theme="1"/>
            <rFont val="Aptos Narrow"/>
            <family val="2"/>
            <scheme val="minor"/>
          </rPr>
          <t>DELL:
Fuentes activas para esta promesa. Muestra qué secciones de B2-SEPP tienen datos numéricos confirmados (devengado &gt; 0).</t>
        </r>
      </text>
    </comment>
    <comment ref="N21" authorId="3" shapeId="0" xr:uid="{00000000-0006-0000-0A00-00006B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G22" authorId="3" shapeId="0" xr:uid="{00000000-0006-0000-0A00-00006C000000}">
      <text>
        <r>
          <rPr>
            <sz val="11"/>
            <color theme="1"/>
            <rFont val="Aptos Narrow"/>
            <family val="2"/>
            <scheme val="minor"/>
          </rPr>
          <t>DELL:
Ejecución directa GAD - Señalética</t>
        </r>
      </text>
    </comment>
    <comment ref="K22" authorId="3" shapeId="0" xr:uid="{00000000-0006-0000-0A00-00006D000000}">
      <text>
        <r>
          <rPr>
            <sz val="11"/>
            <color theme="1"/>
            <rFont val="Aptos Narrow"/>
            <family val="2"/>
            <scheme val="minor"/>
          </rPr>
          <t>Vi auditor manual — ver col F</t>
        </r>
      </text>
    </comment>
    <comment ref="L22" authorId="3" shapeId="0" xr:uid="{00000000-0006-0000-0A00-00006E000000}">
      <text>
        <r>
          <rPr>
            <sz val="11"/>
            <color theme="1"/>
            <rFont val="Aptos Narrow"/>
            <family val="2"/>
            <scheme val="minor"/>
          </rPr>
          <t>Ti auditor manual — ver col H</t>
        </r>
      </text>
    </comment>
    <comment ref="M22" authorId="3" shapeId="0" xr:uid="{00000000-0006-0000-0A00-00006F000000}">
      <text>
        <r>
          <rPr>
            <sz val="11"/>
            <color theme="1"/>
            <rFont val="Aptos Narrow"/>
            <family val="2"/>
            <scheme val="minor"/>
          </rPr>
          <t>DELL:
Fuentes activas para esta promesa. Muestra qué secciones de B2-SEPP tienen datos numéricos confirmados (devengado &gt; 0).</t>
        </r>
      </text>
    </comment>
    <comment ref="N22" authorId="3" shapeId="0" xr:uid="{00000000-0006-0000-0A00-000070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A23" authorId="4" shapeId="0" xr:uid="{ACFB83D3-C8D3-478B-B6E0-5FF303726E58}">
      <text>
        <t>[Comentario encadenado]
Tu versión de Excel te permite leer este comentario encadenado; sin embargo, las ediciones que se apliquen se quitarán si el archivo se abre en una versión más reciente de Excel. Más información: https://go.microsoft.com/fwlink/?linkid=870924
Comentario:
    CELDA CRITICA — Codigo meta PDOT.AS.VL.M1.01
Formula: =PDOT!B4
HISTORIAL: Contuvo =PDOT!B24 haciendo invisible la meta de mayor
peso (Pi=33%) al motor ICPI. Corregida en Fase 1.
No editar manualmente. Regenerar como =PDOT!B4 si se pierde.</t>
      </text>
    </comment>
    <comment ref="F23" authorId="3" shapeId="0" xr:uid="{00000000-0006-0000-0A00-000071000000}">
      <text>
        <r>
          <rPr>
            <sz val="11"/>
            <color theme="1"/>
            <rFont val="Aptos Narrow"/>
            <family val="2"/>
            <scheme val="minor"/>
          </rPr>
          <t>DELL:
ACTUALIZADO Vi=1 con RDC 2024 (CPCCS)
RDC 2024 pág.7: Proyecto acueducto para captación agua cruda: financiamiento LISTO, se trabaja en aval soberano para llamar a licitación internacional. Estudios definitivos: REDISEÑO 15/OCT/2024.
Convenios firmados: GAD Rocafuerte (30/09/2024), GAD Portoviejo (21/10/2024), GAD Jaramijó (07/11/2024) para el proyecto.
Tanques de reserva instalados (Sequita y Pepa de Uso, 5 tanques 20,000L c/u).
Fuente: RDC 2024 N°22844 págs.7,12,13.
Fecha: 22/02/2025</t>
        </r>
      </text>
    </comment>
    <comment ref="G23" authorId="3" shapeId="0" xr:uid="{00000000-0006-0000-0A00-000072000000}">
      <text>
        <r>
          <rPr>
            <sz val="11"/>
            <color theme="1"/>
            <rFont val="Aptos Narrow"/>
            <family val="2"/>
            <scheme val="minor"/>
          </rPr>
          <t>DELL:
Ejecución directa GAD - Reservorios</t>
        </r>
      </text>
    </comment>
    <comment ref="H23" authorId="3" shapeId="0" xr:uid="{00000000-0006-0000-0A00-000073000000}">
      <text>
        <r>
          <rPr>
            <sz val="11"/>
            <color theme="1"/>
            <rFont val="Aptos Narrow"/>
            <family val="2"/>
            <scheme val="minor"/>
          </rPr>
          <t>DELL:
ACTUALIZADO Ti=0.25 con RDC 2024 (CPCCS)
Financiamiento listo + convenios interinstitucionales firmados + estudios definitivos (rediseño oct.2024), pero la licitación internacional aún no convocada (aval soberano pendiente). Fase precontractual avanzada.
Fuente: RDC 2024 N°22844 pág.7 y pág.12.
Fecha: 22/02/2025</t>
        </r>
      </text>
    </comment>
    <comment ref="K23" authorId="3" shapeId="0" xr:uid="{00000000-0006-0000-0A00-000074000000}">
      <text>
        <r>
          <rPr>
            <sz val="11"/>
            <color theme="1"/>
            <rFont val="Aptos Narrow"/>
            <family val="2"/>
            <scheme val="minor"/>
          </rPr>
          <t>Vi auditor manual — ver col F. Vi=1: Convenios firmados + estudios RDC 2024 pág.7</t>
        </r>
      </text>
    </comment>
    <comment ref="L23" authorId="3" shapeId="0" xr:uid="{00000000-0006-0000-0A00-000075000000}">
      <text>
        <r>
          <rPr>
            <sz val="11"/>
            <color theme="1"/>
            <rFont val="Aptos Narrow"/>
            <family val="2"/>
            <scheme val="minor"/>
          </rPr>
          <t>Ti auditor manual — ver col H</t>
        </r>
      </text>
    </comment>
    <comment ref="M23" authorId="3" shapeId="0" xr:uid="{00000000-0006-0000-0A00-000076000000}">
      <text>
        <r>
          <rPr>
            <sz val="11"/>
            <color theme="1"/>
            <rFont val="Aptos Narrow"/>
            <family val="2"/>
            <scheme val="minor"/>
          </rPr>
          <t>DELL:
Fuentes activas para esta promesa. Muestra qué secciones de B2-SEPP tienen datos numéricos confirmados (devengado &gt; 0).</t>
        </r>
      </text>
    </comment>
    <comment ref="N23" authorId="3" shapeId="0" xr:uid="{00000000-0006-0000-0A00-000077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F24" authorId="3" shapeId="0" xr:uid="{00000000-0006-0000-0A00-000078000000}">
      <text>
        <r>
          <rPr>
            <sz val="11"/>
            <color theme="1"/>
            <rFont val="Aptos Narrow"/>
            <family val="2"/>
            <scheme val="minor"/>
          </rPr>
          <t>DELL:
Vi=1: Gestión Acueducto CAF $45.6M confirmada. Contratos PAC 2023 ($877K) + PAC 2024 ($1.56M) ejecutados. Redes distribución cantón activas.
Fuente: PAC 2023-2024 SERCOP; ITME M1.01; PONDER Pi=0.1117
Meta más grande del PDOT — Acueducto CAF 30.000m³/día</t>
        </r>
      </text>
    </comment>
    <comment ref="G24" authorId="3" shapeId="0" xr:uid="{00000000-0006-0000-0A00-000079000000}">
      <text>
        <r>
          <rPr>
            <sz val="11"/>
            <color theme="1"/>
            <rFont val="Aptos Narrow"/>
            <family val="2"/>
            <scheme val="minor"/>
          </rPr>
          <t>DELL:
Ri=1: Ejecución directa GAD — Agua Potable / Acueducto CAF</t>
        </r>
      </text>
    </comment>
    <comment ref="H24" authorId="3" shapeId="0" xr:uid="{00000000-0006-0000-0A00-00007A000000}">
      <text>
        <r>
          <rPr>
            <sz val="11"/>
            <color theme="1"/>
            <rFont val="Aptos Narrow"/>
            <family val="2"/>
            <scheme val="minor"/>
          </rPr>
          <t>DELL:
Ti=0.65: Avance ponderado 2023-2024.
Redes locales PAC 2023: $877K ejecutado (manchas rurales + repotenciación Los Mangos).
Redes PAC 2024: $1.56M en construcción (sectores periurbanos, Los Mangos, rurales).
Acueducto CAF $45.6M: financiamiento listo, convenios Rocafuerte/Portoviejo/Jaramijó firmados, aval soberano pendiente para licitación internacional.
Fuente: PAC 2023-2024 SERCOP; CEDULAS pendiente eSIGEF.
Fecha actualización: ver sesión actual</t>
        </r>
      </text>
    </comment>
    <comment ref="K24" authorId="3" shapeId="0" xr:uid="{00000000-0006-0000-0A00-00007B000000}">
      <text>
        <r>
          <rPr>
            <sz val="11"/>
            <color theme="1"/>
            <rFont val="Aptos Narrow"/>
            <family val="2"/>
            <scheme val="minor"/>
          </rPr>
          <t>DELL:
Vi auditor manual — ver col F</t>
        </r>
      </text>
    </comment>
    <comment ref="L24" authorId="3" shapeId="0" xr:uid="{00000000-0006-0000-0A00-00007C000000}">
      <text>
        <r>
          <rPr>
            <sz val="11"/>
            <color theme="1"/>
            <rFont val="Aptos Narrow"/>
            <family val="2"/>
            <scheme val="minor"/>
          </rPr>
          <t>DELL:
Ti auditor manual — ver col H. Ti=0.65 ponderado PAC 2023+2024 / Acueducto CAF en precontractual</t>
        </r>
      </text>
    </comment>
    <comment ref="M24" authorId="3" shapeId="0" xr:uid="{00000000-0006-0000-0A00-00007D000000}">
      <text>
        <r>
          <rPr>
            <sz val="11"/>
            <color theme="1"/>
            <rFont val="Aptos Narrow"/>
            <family val="2"/>
            <scheme val="minor"/>
          </rPr>
          <t>DELL:
Fuentes: PAC 2023 SERCOP (5 ítems $877K); PAC 2024 SERCOP (10 ítems $1.56M); ITME M1.01 Pi=0.1117; CEDULAS pendiente eSIGEF</t>
        </r>
      </text>
    </comment>
    <comment ref="N24" authorId="3" shapeId="0" xr:uid="{00000000-0006-0000-0A00-00007E000000}">
      <text>
        <r>
          <rPr>
            <sz val="11"/>
            <color theme="1"/>
            <rFont val="Aptos Narrow"/>
            <family val="2"/>
            <scheme val="minor"/>
          </rPr>
          <t>DELL:
ALERTA DE CONSISTENCIA:
✅ = Vi auditor = Vi propuesto Y Ti difiere &lt; 5pp → Consistente
⚠️ = Vi o Ti del auditor difieren del automático → Revisar y documentar</t>
        </r>
      </text>
    </comment>
    <comment ref="T24" authorId="3" shapeId="0" xr:uid="{00000000-0006-0000-0A00-00007F000000}">
      <text>
        <r>
          <rPr>
            <sz val="11"/>
            <color theme="1"/>
            <rFont val="Aptos Narrow"/>
            <family val="2"/>
            <scheme val="minor"/>
          </rPr>
          <t>DELL:
Ti CÉDULA = 0 — pendiente carga eSIGEF. Cobertura Agua Potable TER-14: ingresar devengado/codificado en CEDULAS F6:G6 cuando se obtenga del portal eSIGEF.</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F4" authorId="0" shapeId="0" xr:uid="{00000000-0006-0000-0D00-000001000000}">
      <text>
        <r>
          <rPr>
            <sz val="11"/>
            <color theme="1"/>
            <rFont val="Aptos Narrow"/>
            <family val="2"/>
            <scheme val="minor"/>
          </rPr>
          <t>DELL:
Presupuesto codificado vigente al cierre fiscal 2023. Fuente: eSIGEF → Reportes → Cédula Presupuestaria → Año 2023. COPFP Art.118.</t>
        </r>
      </text>
    </comment>
    <comment ref="G4" authorId="0" shapeId="0" xr:uid="{00000000-0006-0000-0D00-000002000000}">
      <text>
        <r>
          <rPr>
            <sz val="11"/>
            <color theme="1"/>
            <rFont val="Aptos Narrow"/>
            <family val="2"/>
            <scheme val="minor"/>
          </rPr>
          <t>DELL:
Devengado al cierre fiscal 2023 por meta PDOT. Fuente: eSIGEF cédula devengado año 2023. COPFP Art.111.</t>
        </r>
      </text>
    </comment>
    <comment ref="H4" authorId="0" shapeId="0" xr:uid="{00000000-0006-0000-0D00-000003000000}">
      <text>
        <r>
          <rPr>
            <sz val="11"/>
            <color theme="1"/>
            <rFont val="Aptos Narrow"/>
            <family val="2"/>
            <scheme val="minor"/>
          </rPr>
          <t>DELL:
Pagado (SPI ejecutado) al cierre 2023. Fuente: eSIGEF cédula pagado año 2023. COPFP Art.113.</t>
        </r>
      </text>
    </comment>
    <comment ref="I4" authorId="0" shapeId="0" xr:uid="{00000000-0006-0000-0D00-000004000000}">
      <text>
        <r>
          <rPr>
            <sz val="11"/>
            <color theme="1"/>
            <rFont val="Aptos Narrow"/>
            <family val="2"/>
            <scheme val="minor"/>
          </rPr>
          <t>DELL:
Presupuesto codificado vigente al cierre fiscal 2024. Fuente: eSIGEF → Reportes → Cédula Presupuestaria → Año 2024. COPFP Art.118.</t>
        </r>
      </text>
    </comment>
    <comment ref="J4" authorId="0" shapeId="0" xr:uid="{00000000-0006-0000-0D00-000005000000}">
      <text>
        <r>
          <rPr>
            <sz val="11"/>
            <color theme="1"/>
            <rFont val="Aptos Narrow"/>
            <family val="2"/>
            <scheme val="minor"/>
          </rPr>
          <t>DELL:
Devengado al cierre fiscal 2024 por meta PDOT. Fuente: eSIGEF cédula devengado año 2024. COPFP Art.111.</t>
        </r>
      </text>
    </comment>
    <comment ref="K4" authorId="0" shapeId="0" xr:uid="{00000000-0006-0000-0D00-000006000000}">
      <text>
        <r>
          <rPr>
            <sz val="11"/>
            <color theme="1"/>
            <rFont val="Aptos Narrow"/>
            <family val="2"/>
            <scheme val="minor"/>
          </rPr>
          <t>DELL:
Pagado (SPI ejecutado) al cierre 2024. Fuente: eSIGEF cédula pagado año 2024. COPFP Art.113.</t>
        </r>
      </text>
    </comment>
    <comment ref="O4" authorId="0" shapeId="0" xr:uid="{00000000-0006-0000-0D00-000007000000}">
      <text>
        <r>
          <rPr>
            <sz val="11"/>
            <color theme="1"/>
            <rFont val="Aptos Narrow"/>
            <family val="2"/>
            <scheme val="minor"/>
          </rPr>
          <t>DELL:
Devengado acumulado = suma cédulas 2023 + 2024. Si hay datos por año en cols G+J se calcula automáticamente. Si no hay desglose por año, ingresar directamente. COPFP Art.111.</t>
        </r>
      </text>
    </comment>
    <comment ref="P4" authorId="0" shapeId="0" xr:uid="{00000000-0006-0000-0D00-000008000000}">
      <text>
        <r>
          <rPr>
            <sz val="11"/>
            <color theme="1"/>
            <rFont val="Aptos Narrow"/>
            <family val="2"/>
            <scheme val="minor"/>
          </rPr>
          <t>DELL:
Pagado acumulado = suma cédulas 2023 + 2024 (SPI ejecutado). COPFP Art.113.</t>
        </r>
      </text>
    </comment>
    <comment ref="Q4" authorId="0" shapeId="0" xr:uid="{00000000-0006-0000-0D00-000009000000}">
      <text>
        <r>
          <rPr>
            <sz val="11"/>
            <color theme="1"/>
            <rFont val="Aptos Narrow"/>
            <family val="2"/>
            <scheme val="minor"/>
          </rPr>
          <t>DELL:
Ti = Devengado acumulado / Codificado vigente. Fórmula dinámica. Alimenta D-MAD col T (S4). COPFP Art.111 + SIAP-ICPI §3.5.</t>
        </r>
      </text>
    </comment>
    <comment ref="D5" authorId="0" shapeId="0" xr:uid="{00000000-0006-0000-0D00-00000A000000}">
      <text>
        <r>
          <rPr>
            <sz val="11"/>
            <color theme="1"/>
            <rFont val="Aptos Narrow"/>
            <family val="2"/>
            <scheme val="minor"/>
          </rPr>
          <t>DELL:
CUP PENDIENTE verificación en SIGPIP MFE (sigpip.finanzas.gob.ec).
Meta: Cobertura Agua Potable — TER-14.
Buscar proyecto: 'Construcción Acueducto Montecristi / Sistema Agua Potable CAF'.
Formato real CUP: PP-AAAA-NNNNNN (ej. AP-2023-000123).
Reemplazar con CUP oficial cuando se obtenga de Dir. Financiera GAD o portal SIGPIP.</t>
        </r>
      </text>
    </comment>
    <comment ref="E5" authorId="0" shapeId="0" xr:uid="{00000000-0006-0000-0D00-00000B000000}">
      <text>
        <r>
          <rPr>
            <sz val="11"/>
            <color theme="1"/>
            <rFont val="Aptos Narrow"/>
            <family val="2"/>
            <scheme val="minor"/>
          </rPr>
          <t>DELL:
Clasificador MFE: 7.5.01 = Obras de Infraestructura. Acueducto CAF: obra hidráulica mayor. Fuente: Clasificador Presupuestario Ingresos y Gastos del Sector Público, MFE 2023.</t>
        </r>
      </text>
    </comment>
    <comment ref="F5" authorId="0" shapeId="0" xr:uid="{00000000-0006-0000-0D00-00000C000000}">
      <text>
        <r>
          <rPr>
            <sz val="11"/>
            <color theme="1"/>
            <rFont val="Aptos Narrow"/>
            <family val="2"/>
            <scheme val="minor"/>
          </rPr>
          <t>DELL:
INGRESAR: Codificado vigente 2023 — TER-14 Cobertura Agua Potable. Fuente: eSIGEF Cédula 2023.</t>
        </r>
      </text>
    </comment>
    <comment ref="G5" authorId="0" shapeId="0" xr:uid="{00000000-0006-0000-0D00-00000D000000}">
      <text>
        <r>
          <rPr>
            <sz val="11"/>
            <color theme="1"/>
            <rFont val="Aptos Narrow"/>
            <family val="2"/>
            <scheme val="minor"/>
          </rPr>
          <t>DELL:
INGRESAR: Devengado 2023 — TER-14 Cobertura Agua Potable. Fuente: eSIGEF Cédula 2023.</t>
        </r>
      </text>
    </comment>
    <comment ref="H5" authorId="0" shapeId="0" xr:uid="{00000000-0006-0000-0D00-00000E000000}">
      <text>
        <r>
          <rPr>
            <sz val="11"/>
            <color theme="1"/>
            <rFont val="Aptos Narrow"/>
            <family val="2"/>
            <scheme val="minor"/>
          </rPr>
          <t>DELL:
INGRESAR: Pagado 2023 — TER-14. Fuente: eSIGEF.</t>
        </r>
      </text>
    </comment>
    <comment ref="I5" authorId="0" shapeId="0" xr:uid="{00000000-0006-0000-0D00-00000F000000}">
      <text>
        <r>
          <rPr>
            <sz val="11"/>
            <color theme="1"/>
            <rFont val="Aptos Narrow"/>
            <family val="2"/>
            <scheme val="minor"/>
          </rPr>
          <t>DELL:
INGRESAR: Codificado vigente 2024 — TER-14 Cobertura Agua Potable. Fuente: eSIGEF Cédula 2024.</t>
        </r>
      </text>
    </comment>
    <comment ref="J5" authorId="0" shapeId="0" xr:uid="{00000000-0006-0000-0D00-000010000000}">
      <text>
        <r>
          <rPr>
            <sz val="11"/>
            <color theme="1"/>
            <rFont val="Aptos Narrow"/>
            <family val="2"/>
            <scheme val="minor"/>
          </rPr>
          <t>DELL:
INGRESAR: Devengado 2024 — TER-14 Cobertura Agua Potable. Fuente: eSIGEF Cédula 2024.</t>
        </r>
      </text>
    </comment>
    <comment ref="K5" authorId="0" shapeId="0" xr:uid="{00000000-0006-0000-0D00-000011000000}">
      <text>
        <r>
          <rPr>
            <sz val="11"/>
            <color theme="1"/>
            <rFont val="Aptos Narrow"/>
            <family val="2"/>
            <scheme val="minor"/>
          </rPr>
          <t>DELL:
INGRESAR: Pagado 2024 — TER-14. Fuente: eSIGEF.</t>
        </r>
      </text>
    </comment>
    <comment ref="O5" authorId="0" shapeId="0" xr:uid="{00000000-0006-0000-0D00-000012000000}">
      <text>
        <r>
          <rPr>
            <sz val="11"/>
            <color theme="1"/>
            <rFont val="Aptos Narrow"/>
            <family val="2"/>
            <scheme val="minor"/>
          </rPr>
          <t>DELL:
TER-14: Dev.Acum = G6(Dev.2023)+J6(Dev.2024). Si vacios usa valor estimado previo 38.781.262. Actualizar G6 y J6 con cédulas eSIGEF reales.</t>
        </r>
      </text>
    </comment>
    <comment ref="P5" authorId="0" shapeId="0" xr:uid="{00000000-0006-0000-0D00-000013000000}">
      <text>
        <r>
          <rPr>
            <sz val="11"/>
            <color theme="1"/>
            <rFont val="Aptos Narrow"/>
            <family val="2"/>
            <scheme val="minor"/>
          </rPr>
          <t>DELL:
TER-14: Pagado Acum = H6(Pag.2023)+K6(Pag.2024). Valor anterior: 36.842.199.</t>
        </r>
      </text>
    </comment>
    <comment ref="Q5" authorId="0" shapeId="0" xr:uid="{00000000-0006-0000-0D00-000014000000}">
      <text>
        <r>
          <rPr>
            <sz val="11"/>
            <color theme="1"/>
            <rFont val="Aptos Narrow"/>
            <family val="2"/>
            <scheme val="minor"/>
          </rPr>
          <t>DELL:
Ti TER-14 = Devengado acumulado / Codificado vigente. Propaga a D-MAD col T.</t>
        </r>
      </text>
    </comment>
    <comment ref="D6" authorId="0" shapeId="0" xr:uid="{00000000-0006-0000-0D00-000015000000}">
      <text>
        <r>
          <rPr>
            <sz val="11"/>
            <color theme="1"/>
            <rFont val="Aptos Narrow"/>
            <family val="2"/>
            <scheme val="minor"/>
          </rPr>
          <t>DELL:
CUP PENDIENTE verificación en SIGPIP MFE.
Meta: Alcantarillado Sanitario — TER-03.
Buscar proyecto: 'Alcantarillado Sanitario Montecristi / BDE-PROGAPSA'.
Reemplazar con CUP oficial desde Dir. Financiera GAD o SIGPIP.</t>
        </r>
      </text>
    </comment>
    <comment ref="E6" authorId="0" shapeId="0" xr:uid="{00000000-0006-0000-0D00-000016000000}">
      <text>
        <r>
          <rPr>
            <sz val="11"/>
            <color theme="1"/>
            <rFont val="Aptos Narrow"/>
            <family val="2"/>
            <scheme val="minor"/>
          </rPr>
          <t>DELL:
Clasificador MFE: 7.5.01 = Obras de Infraestructura. Alcantarillado sanitario: obra hidráulica. Fuente: Clasificador Presupuestario MFE 2023.</t>
        </r>
      </text>
    </comment>
    <comment ref="F6" authorId="0" shapeId="0" xr:uid="{00000000-0006-0000-0D00-000017000000}">
      <text>
        <r>
          <rPr>
            <sz val="11"/>
            <color theme="1"/>
            <rFont val="Aptos Narrow"/>
            <family val="2"/>
            <scheme val="minor"/>
          </rPr>
          <t>DELL:
INGRESAR: Codificado 2023 — TER-03 Alcantarillado</t>
        </r>
      </text>
    </comment>
    <comment ref="G6" authorId="0" shapeId="0" xr:uid="{00000000-0006-0000-0D00-000018000000}">
      <text>
        <r>
          <rPr>
            <sz val="11"/>
            <color theme="1"/>
            <rFont val="Aptos Narrow"/>
            <family val="2"/>
            <scheme val="minor"/>
          </rPr>
          <t>DELL:
INGRESAR: Devengado 2023 — TER-03 Alcantarillado</t>
        </r>
      </text>
    </comment>
    <comment ref="H6" authorId="0" shapeId="0" xr:uid="{00000000-0006-0000-0D00-000019000000}">
      <text>
        <r>
          <rPr>
            <sz val="11"/>
            <color theme="1"/>
            <rFont val="Aptos Narrow"/>
            <family val="2"/>
            <scheme val="minor"/>
          </rPr>
          <t>DELL:
INGRESAR: Pagado 2023 — TER-03</t>
        </r>
      </text>
    </comment>
    <comment ref="I6" authorId="0" shapeId="0" xr:uid="{00000000-0006-0000-0D00-00001A000000}">
      <text>
        <r>
          <rPr>
            <sz val="11"/>
            <color theme="1"/>
            <rFont val="Aptos Narrow"/>
            <family val="2"/>
            <scheme val="minor"/>
          </rPr>
          <t>DELL:
INGRESAR: Codificado 2024 — TER-03 Alcantarillado</t>
        </r>
      </text>
    </comment>
    <comment ref="J6" authorId="0" shapeId="0" xr:uid="{00000000-0006-0000-0D00-00001B000000}">
      <text>
        <r>
          <rPr>
            <sz val="11"/>
            <color theme="1"/>
            <rFont val="Aptos Narrow"/>
            <family val="2"/>
            <scheme val="minor"/>
          </rPr>
          <t>DELL:
INGRESAR: Devengado 2024 — TER-03 Alcantarillado</t>
        </r>
      </text>
    </comment>
    <comment ref="K6" authorId="0" shapeId="0" xr:uid="{00000000-0006-0000-0D00-00001C000000}">
      <text>
        <r>
          <rPr>
            <sz val="11"/>
            <color theme="1"/>
            <rFont val="Aptos Narrow"/>
            <family val="2"/>
            <scheme val="minor"/>
          </rPr>
          <t>DELL:
INGRESAR: Pagado 2024 — TER-03</t>
        </r>
      </text>
    </comment>
    <comment ref="O6" authorId="0" shapeId="0" xr:uid="{00000000-0006-0000-0D00-00001D000000}">
      <text>
        <r>
          <rPr>
            <sz val="11"/>
            <color theme="1"/>
            <rFont val="Aptos Narrow"/>
            <family val="2"/>
            <scheme val="minor"/>
          </rPr>
          <t>DELL:
TER-03: Dev.Acum. Respaldo: 952.394</t>
        </r>
      </text>
    </comment>
    <comment ref="P6" authorId="0" shapeId="0" xr:uid="{00000000-0006-0000-0D00-00001E000000}">
      <text>
        <r>
          <rPr>
            <sz val="11"/>
            <color theme="1"/>
            <rFont val="Aptos Narrow"/>
            <family val="2"/>
            <scheme val="minor"/>
          </rPr>
          <t>DELL:
TER-03: Pag.Acum. Respaldo: 904.774</t>
        </r>
      </text>
    </comment>
    <comment ref="Q6" authorId="0" shapeId="0" xr:uid="{00000000-0006-0000-0D00-00001F000000}">
      <text>
        <r>
          <rPr>
            <sz val="11"/>
            <color theme="1"/>
            <rFont val="Aptos Narrow"/>
            <family val="2"/>
            <scheme val="minor"/>
          </rPr>
          <t>DELL:
Ti TER-03</t>
        </r>
      </text>
    </comment>
    <comment ref="D7" authorId="0" shapeId="0" xr:uid="{00000000-0006-0000-0D00-000020000000}">
      <text>
        <r>
          <rPr>
            <sz val="11"/>
            <color theme="1"/>
            <rFont val="Aptos Narrow"/>
            <family val="2"/>
            <scheme val="minor"/>
          </rPr>
          <t>DELL:
CUP PENDIENTE verificación en SIGPIP MFE.
Meta: Centro de Salud Tipo C — SOC-02.
Nota: puede no tener CUP propio si es gestión interinstitucional MSP (sin inversión GAD).
Verificar con Dir. Planificación y Dir. Financiera.</t>
        </r>
      </text>
    </comment>
    <comment ref="E7" authorId="0" shapeId="0" xr:uid="{00000000-0006-0000-0D00-000021000000}">
      <text>
        <r>
          <rPr>
            <sz val="11"/>
            <color theme="1"/>
            <rFont val="Aptos Narrow"/>
            <family val="2"/>
            <scheme val="minor"/>
          </rPr>
          <t>DELL:
Clasificador MFE: 7.3.06 = Convenios de Delegación. Centro Salud Tipo C requiere convenio MSP. Fuente: Clasificador MFE 2023 + COPFP Art.162.</t>
        </r>
      </text>
    </comment>
    <comment ref="F7" authorId="0" shapeId="0" xr:uid="{00000000-0006-0000-0D00-000022000000}">
      <text>
        <r>
          <rPr>
            <sz val="11"/>
            <color theme="1"/>
            <rFont val="Aptos Narrow"/>
            <family val="2"/>
            <scheme val="minor"/>
          </rPr>
          <t>DELL:
INGRESAR: Codificado 2023 — SOC-02 Centro Salud Tipo C (convenio MSP)</t>
        </r>
      </text>
    </comment>
    <comment ref="G7" authorId="0" shapeId="0" xr:uid="{00000000-0006-0000-0D00-000023000000}">
      <text>
        <r>
          <rPr>
            <sz val="11"/>
            <color theme="1"/>
            <rFont val="Aptos Narrow"/>
            <family val="2"/>
            <scheme val="minor"/>
          </rPr>
          <t>DELL:
INGRESAR: Devengado 2023 — SOC-02. Si no hay partida GAD: 0</t>
        </r>
      </text>
    </comment>
    <comment ref="H7" authorId="0" shapeId="0" xr:uid="{00000000-0006-0000-0D00-000024000000}">
      <text>
        <r>
          <rPr>
            <sz val="11"/>
            <color theme="1"/>
            <rFont val="Aptos Narrow"/>
            <family val="2"/>
            <scheme val="minor"/>
          </rPr>
          <t>DELL:
INGRESAR: Pagado 2023 — SOC-02</t>
        </r>
      </text>
    </comment>
    <comment ref="I7" authorId="0" shapeId="0" xr:uid="{00000000-0006-0000-0D00-000025000000}">
      <text>
        <r>
          <rPr>
            <sz val="11"/>
            <color theme="1"/>
            <rFont val="Aptos Narrow"/>
            <family val="2"/>
            <scheme val="minor"/>
          </rPr>
          <t>✅ VERIFICADO — Auditor Jefe
CODIF. 2024 SOC-02 Centro de Salud Tipo C
Partidas Patronato Municipal:
• 73.02.26 Serv. Médicos Hospitalarios: $58.736,87
• 73.06.06 Honorarios Cont. Civil: $72.586,72
TOTAL: $131.323,59
Fuente: Cédula Presupuestaria Patronato 2024 (Patronato_Presupesto_2024.docx)
Responsable: Coord. Adm.-Financiera PMASM
Verificado: SIAP-ICPI Auditoría CEDULAS 2024</t>
        </r>
      </text>
    </comment>
    <comment ref="J7" authorId="0" shapeId="0" xr:uid="{00000000-0006-0000-0D00-000026000000}">
      <text>
        <r>
          <rPr>
            <sz val="11"/>
            <color theme="1"/>
            <rFont val="Aptos Narrow"/>
            <family val="2"/>
            <scheme val="minor"/>
          </rPr>
          <t>✅ VERIFICADO — Auditor Jefe
DEVENGADO 2024 SOC-02 Centro de Salud Tipo C
Partidas Patronato:
• 73.02.26 Dev.: $30.367,20 (Ejecución 51,70%)
• 73.06.06 Dev.: $32.193,39 (Ejecución 44,35%)
TOTAL DEVENGADO: $62.560,59
Ti(2024) = Dev/Codif = 62.560,59/131.323,59 = 47,64%
ALERTA: 🔴 Ejecución crítica &lt;50% — deslinde Dirección
Fuente: Cédula Presupuestaria Patronato 2024</t>
        </r>
      </text>
    </comment>
    <comment ref="K7" authorId="0" shapeId="0" xr:uid="{00000000-0006-0000-0D00-000027000000}">
      <text>
        <r>
          <rPr>
            <sz val="11"/>
            <color theme="1"/>
            <rFont val="Aptos Narrow"/>
            <family val="2"/>
            <scheme val="minor"/>
          </rPr>
          <t>✅ VERIFICADO — Auditor Jefe
PAGADO 2024 SOC-02
• 73.02.26 Pag.: $14.753,31
• 73.06.06 Pag.: $20.821,78
TOTAL PAGADO: $35.575,09
% Pag/Dev = 56,87%
Fuente: Cédula Patronato 2024</t>
        </r>
      </text>
    </comment>
    <comment ref="M7" authorId="0" shapeId="0" xr:uid="{00000000-0006-0000-0D00-000028000000}">
      <text>
        <r>
          <rPr>
            <sz val="11"/>
            <color theme="1"/>
            <rFont val="Aptos Narrow"/>
            <family val="2"/>
            <scheme val="minor"/>
          </rPr>
          <t>DELL:
Codificado vigente REAL 2024 SOC-02 = partidas Patronato 73.02.26 + 73.06.06. Actualizado desde eSIGEF Cédula Dic.2024. Anterior valor era referencial PDOT ($1.693.800). COPFP Art.118.</t>
        </r>
      </text>
    </comment>
    <comment ref="D8" authorId="0" shapeId="0" xr:uid="{00000000-0006-0000-0D00-000029000000}">
      <text>
        <r>
          <rPr>
            <sz val="11"/>
            <color theme="1"/>
            <rFont val="Aptos Narrow"/>
            <family val="2"/>
            <scheme val="minor"/>
          </rPr>
          <t>DELL:
CUP PENDIENTE verificación en SIGPIP MFE.
Meta: Nuevo Terminal Terrestre — TER-09.
Buscar proyecto: 'Estudio Factibilidad Terminal Terrestre Montecristi'.
Reemplazar con CUP oficial.</t>
        </r>
      </text>
    </comment>
    <comment ref="E8" authorId="0" shapeId="0" xr:uid="{00000000-0006-0000-0D00-00002A000000}">
      <text>
        <r>
          <rPr>
            <sz val="11"/>
            <color theme="1"/>
            <rFont val="Aptos Narrow"/>
            <family val="2"/>
            <scheme val="minor"/>
          </rPr>
          <t>DELL:
Clasificador MFE: 7.5.01 = Obras de Infraestructura. Terminal Terrestre: infraestructura de movilidad. Fuente: Clasificador MFE 2023.</t>
        </r>
      </text>
    </comment>
    <comment ref="F8" authorId="0" shapeId="0" xr:uid="{00000000-0006-0000-0D00-00002B000000}">
      <text>
        <r>
          <rPr>
            <sz val="11"/>
            <color theme="1"/>
            <rFont val="Aptos Narrow"/>
            <family val="2"/>
            <scheme val="minor"/>
          </rPr>
          <t>DELL:
INGRESAR: Codificado 2023 — TER-09 Terminal Terrestre</t>
        </r>
      </text>
    </comment>
    <comment ref="G8" authorId="0" shapeId="0" xr:uid="{00000000-0006-0000-0D00-00002C000000}">
      <text>
        <r>
          <rPr>
            <sz val="11"/>
            <color theme="1"/>
            <rFont val="Aptos Narrow"/>
            <family val="2"/>
            <scheme val="minor"/>
          </rPr>
          <t>DELL:
INGRESAR: Devengado 2023 — TER-09. Si no inició: 0</t>
        </r>
      </text>
    </comment>
    <comment ref="H8" authorId="0" shapeId="0" xr:uid="{00000000-0006-0000-0D00-00002D000000}">
      <text>
        <r>
          <rPr>
            <sz val="11"/>
            <color theme="1"/>
            <rFont val="Aptos Narrow"/>
            <family val="2"/>
            <scheme val="minor"/>
          </rPr>
          <t>DELL:
INGRESAR: Pagado 2023 — TER-09</t>
        </r>
      </text>
    </comment>
    <comment ref="I8" authorId="0" shapeId="0" xr:uid="{00000000-0006-0000-0D00-00002E000000}">
      <text>
        <r>
          <rPr>
            <sz val="11"/>
            <color theme="1"/>
            <rFont val="Aptos Narrow"/>
            <family val="2"/>
            <scheme val="minor"/>
          </rPr>
          <t>DELL:
INGRESAR: Codificado 2024 — TER-09 Terminal Terrestre</t>
        </r>
      </text>
    </comment>
    <comment ref="J8" authorId="0" shapeId="0" xr:uid="{00000000-0006-0000-0D00-00002F000000}">
      <text>
        <r>
          <rPr>
            <sz val="11"/>
            <color theme="1"/>
            <rFont val="Aptos Narrow"/>
            <family val="2"/>
            <scheme val="minor"/>
          </rPr>
          <t>DELL:
INGRESAR: Devengado 2024 — TER-09</t>
        </r>
      </text>
    </comment>
    <comment ref="K8" authorId="0" shapeId="0" xr:uid="{00000000-0006-0000-0D00-000030000000}">
      <text>
        <r>
          <rPr>
            <sz val="11"/>
            <color theme="1"/>
            <rFont val="Aptos Narrow"/>
            <family val="2"/>
            <scheme val="minor"/>
          </rPr>
          <t>DELL:
INGRESAR: Pagado 2024 — TER-09</t>
        </r>
      </text>
    </comment>
    <comment ref="D9" authorId="0" shapeId="0" xr:uid="{00000000-0006-0000-0D00-000031000000}">
      <text>
        <r>
          <rPr>
            <sz val="11"/>
            <color theme="1"/>
            <rFont val="Aptos Narrow"/>
            <family val="2"/>
            <scheme val="minor"/>
          </rPr>
          <t>DELL:
CUP PENDIENTE verificación en SIGPIP MFE.
Meta: Nuevo Camal Municipal — TER-10.
NOTA: RDC 2024 confirma DESPRIORIZADO. Es probable que no tenga CUP asignado.
Verificar estado en SIGPIP. Mantener como pendiente.</t>
        </r>
      </text>
    </comment>
    <comment ref="E9" authorId="0" shapeId="0" xr:uid="{00000000-0006-0000-0D00-000032000000}">
      <text>
        <r>
          <rPr>
            <sz val="11"/>
            <color theme="1"/>
            <rFont val="Aptos Narrow"/>
            <family val="2"/>
            <scheme val="minor"/>
          </rPr>
          <t>DELL:
Clasificador MFE: 7.5.01 = Obras de Infraestructura. Camal: infraestructura municipal de servicios. Fuente: Clasificador MFE 2023.</t>
        </r>
      </text>
    </comment>
    <comment ref="F9" authorId="0" shapeId="0" xr:uid="{00000000-0006-0000-0D00-000033000000}">
      <text>
        <r>
          <rPr>
            <sz val="11"/>
            <color theme="1"/>
            <rFont val="Aptos Narrow"/>
            <family val="2"/>
            <scheme val="minor"/>
          </rPr>
          <t>DELL:
INGRESAR: Codificado 2023 — TER-10 Camal Municipal. RDC 2024: sin ejecución</t>
        </r>
      </text>
    </comment>
    <comment ref="G9" authorId="0" shapeId="0" xr:uid="{00000000-0006-0000-0D00-000034000000}">
      <text>
        <r>
          <rPr>
            <sz val="11"/>
            <color theme="1"/>
            <rFont val="Aptos Narrow"/>
            <family val="2"/>
            <scheme val="minor"/>
          </rPr>
          <t>DELL:
INGRESAR: Devengado 2023 — TER-10. Probable 0</t>
        </r>
      </text>
    </comment>
    <comment ref="H9" authorId="0" shapeId="0" xr:uid="{00000000-0006-0000-0D00-000035000000}">
      <text>
        <r>
          <rPr>
            <sz val="11"/>
            <color theme="1"/>
            <rFont val="Aptos Narrow"/>
            <family val="2"/>
            <scheme val="minor"/>
          </rPr>
          <t>DELL:
INGRESAR: Pagado 2023 — TER-10</t>
        </r>
      </text>
    </comment>
    <comment ref="I9" authorId="0" shapeId="0" xr:uid="{00000000-0006-0000-0D00-000036000000}">
      <text>
        <r>
          <rPr>
            <sz val="11"/>
            <color theme="1"/>
            <rFont val="Aptos Narrow"/>
            <family val="2"/>
            <scheme val="minor"/>
          </rPr>
          <t>DELL:
INGRESAR: Codificado 2024 — TER-10 Camal Municipal</t>
        </r>
      </text>
    </comment>
    <comment ref="J9" authorId="0" shapeId="0" xr:uid="{00000000-0006-0000-0D00-000037000000}">
      <text>
        <r>
          <rPr>
            <sz val="11"/>
            <color theme="1"/>
            <rFont val="Aptos Narrow"/>
            <family val="2"/>
            <scheme val="minor"/>
          </rPr>
          <t>DELL:
INGRESAR: Devengado 2024 — TER-10</t>
        </r>
      </text>
    </comment>
    <comment ref="K9" authorId="0" shapeId="0" xr:uid="{00000000-0006-0000-0D00-000038000000}">
      <text>
        <r>
          <rPr>
            <sz val="11"/>
            <color theme="1"/>
            <rFont val="Aptos Narrow"/>
            <family val="2"/>
            <scheme val="minor"/>
          </rPr>
          <t>DELL:
INGRESAR: Pagado 2024 — TER-10</t>
        </r>
      </text>
    </comment>
    <comment ref="D10" authorId="0" shapeId="0" xr:uid="{00000000-0006-0000-0D00-000039000000}">
      <text>
        <r>
          <rPr>
            <sz val="11"/>
            <color theme="1"/>
            <rFont val="Aptos Narrow"/>
            <family val="2"/>
            <scheme val="minor"/>
          </rPr>
          <t>DELL:
CUP PENDIENTE verificación en SIGPIP MFE.
Meta: Equipamiento Geriátrico — SOC-03.
Ejecuta el Patronato Municipal. CUP puede estar a nombre del Patronato.
Verificar en SIGPIP bajo Patronato o transferencia GAD.</t>
        </r>
      </text>
    </comment>
    <comment ref="E10" authorId="0" shapeId="0" xr:uid="{00000000-0006-0000-0D00-00003A000000}">
      <text>
        <r>
          <rPr>
            <sz val="11"/>
            <color theme="1"/>
            <rFont val="Aptos Narrow"/>
            <family val="2"/>
            <scheme val="minor"/>
          </rPr>
          <t>DELL:
Clasificador MFE: 8.4.02 = Maquinaria y Equipos (Bienes de Larga Duración). Equipamiento geriátrico: mobiliario y equipo médico. Fuente: Clasificador MFE 2023.</t>
        </r>
      </text>
    </comment>
    <comment ref="F10" authorId="0" shapeId="0" xr:uid="{00000000-0006-0000-0D00-00003B000000}">
      <text>
        <r>
          <rPr>
            <sz val="11"/>
            <color theme="1"/>
            <rFont val="Aptos Narrow"/>
            <family val="2"/>
            <scheme val="minor"/>
          </rPr>
          <t>DELL:
INGRESAR: Codificado 2023 — SOC-03 Equipamiento Geriátrico (Patronato)</t>
        </r>
      </text>
    </comment>
    <comment ref="G10" authorId="0" shapeId="0" xr:uid="{00000000-0006-0000-0D00-00003C000000}">
      <text>
        <r>
          <rPr>
            <sz val="11"/>
            <color theme="1"/>
            <rFont val="Aptos Narrow"/>
            <family val="2"/>
            <scheme val="minor"/>
          </rPr>
          <t>DELL:
INGRESAR: Devengado 2023 — SOC-03</t>
        </r>
      </text>
    </comment>
    <comment ref="H10" authorId="0" shapeId="0" xr:uid="{00000000-0006-0000-0D00-00003D000000}">
      <text>
        <r>
          <rPr>
            <sz val="11"/>
            <color theme="1"/>
            <rFont val="Aptos Narrow"/>
            <family val="2"/>
            <scheme val="minor"/>
          </rPr>
          <t>DELL:
INGRESAR: Pagado 2023 — SOC-03</t>
        </r>
      </text>
    </comment>
    <comment ref="I10" authorId="0" shapeId="0" xr:uid="{00000000-0006-0000-0D00-00003E000000}">
      <text>
        <r>
          <rPr>
            <sz val="11"/>
            <color theme="1"/>
            <rFont val="Aptos Narrow"/>
            <family val="2"/>
            <scheme val="minor"/>
          </rPr>
          <t>✅ VERIFICADO — Auditor Jefe
CODIF. 2024 SOC-03 Equipamiento Geriátrico
Partidas Patronato Municipal:
• 84.01.03 Mobiliario: $12.975,16
• 84.01.04 Maquinaria y Equipos: $7.700,00
• 84.01.13 Equipos Médicos: $21.500,00
• 84.01.15 Equipo Odontológico: $5.500,00
TOTAL CODIF.: $47.675,16
Fuente: Cédula Presupuestaria Patronato 2024 (Patronato_Presupesto_2024.docx)</t>
        </r>
      </text>
    </comment>
    <comment ref="J10" authorId="0" shapeId="0" xr:uid="{00000000-0006-0000-0D00-00003F000000}">
      <text>
        <r>
          <rPr>
            <sz val="11"/>
            <color theme="1"/>
            <rFont val="Aptos Narrow"/>
            <family val="2"/>
            <scheme val="minor"/>
          </rPr>
          <t>✅ VERIFICADO — Auditor Jefe
DEVENGADO 2024 SOC-03 Equipamiento Geriátrico
• 84.01.03 Mobiliario Dev.: $0,00 ← ⚠️ SIN EJECUCIÓN
• 84.01.04 Maquinaria Dev.: $5.454,00
• 84.01.13 Equipos Méd. Dev.: $5.350,00
• 84.01.15 Equipo Odonto Dev.: $5.231,70
TOTAL DEVENGADO: $16.035,70
Ti = 16.035,70 / 47.675,16 = 33,64%
ALERTA: 🔴 Mobiliario (84.01.03) CODIFICADO $12.975 sin devengar
Fuente: Cédula Patronato 2024</t>
        </r>
      </text>
    </comment>
    <comment ref="K10" authorId="0" shapeId="0" xr:uid="{00000000-0006-0000-0D00-000040000000}">
      <text>
        <r>
          <rPr>
            <sz val="11"/>
            <color theme="1"/>
            <rFont val="Aptos Narrow"/>
            <family val="2"/>
            <scheme val="minor"/>
          </rPr>
          <t>✅ VERIFICADO — Auditor Jefe
PAGADO 2024 SOC-03
Total Pagado = Total Devengado = $16.035,70
% Pag/Dev = 100%
Fuente: Cédula Patronato 2024</t>
        </r>
      </text>
    </comment>
    <comment ref="M10" authorId="0" shapeId="0" xr:uid="{00000000-0006-0000-0D00-000041000000}">
      <text>
        <r>
          <rPr>
            <sz val="11"/>
            <color theme="1"/>
            <rFont val="Aptos Narrow"/>
            <family val="2"/>
            <scheme val="minor"/>
          </rPr>
          <t>DELL:
Codificado vigente REAL 2024 SOC-03 Equipamiento Geriátrico = partidas Patronato 84.01.03+04+13+15 ($47.675,16). Fuente: eSIGEF Cédula Patronato Dic.2024. Responsable: Jenny Albán, PMASM. Anterior valor: $0 (sin partida PDOT asignada).</t>
        </r>
      </text>
    </comment>
    <comment ref="O10" authorId="0" shapeId="0" xr:uid="{00000000-0006-0000-0D00-000042000000}">
      <text>
        <r>
          <rPr>
            <sz val="11"/>
            <color theme="1"/>
            <rFont val="Aptos Narrow"/>
            <family val="2"/>
            <scheme val="minor"/>
          </rPr>
          <t>DELL:
SOC-03: Dev.Acum = G11(Dev.2023)+J11(Dev.2024 Patronato). Respaldo: $16.035,70 (real Patronato Dic.2024). Actualizar G11 con cédula 2023 cuando esté disponible.</t>
        </r>
      </text>
    </comment>
    <comment ref="P10" authorId="0" shapeId="0" xr:uid="{00000000-0006-0000-0D00-000043000000}">
      <text>
        <r>
          <rPr>
            <sz val="11"/>
            <color theme="1"/>
            <rFont val="Aptos Narrow"/>
            <family val="2"/>
            <scheme val="minor"/>
          </rPr>
          <t>DELL:
SOC-03: Pag.Acum. Respaldo: $16.035,70 real Patronato.</t>
        </r>
      </text>
    </comment>
    <comment ref="D11" authorId="0" shapeId="0" xr:uid="{00000000-0006-0000-0D00-000044000000}">
      <text>
        <r>
          <rPr>
            <sz val="11"/>
            <color theme="1"/>
            <rFont val="Aptos Narrow"/>
            <family val="2"/>
            <scheme val="minor"/>
          </rPr>
          <t>DELL:
CUP PENDIENTE verificación en SIGPIP MFE.
Meta: Bacheo y Pavimentación — TER-02.
Buscar proyecto: 'Mantenimiento Vial Urbano / Pavimentación Montecristi'.
Reemplazar con CUP oficial Dir. Financiera.</t>
        </r>
      </text>
    </comment>
    <comment ref="E11" authorId="0" shapeId="0" xr:uid="{00000000-0006-0000-0D00-000045000000}">
      <text>
        <r>
          <rPr>
            <sz val="11"/>
            <color theme="1"/>
            <rFont val="Aptos Narrow"/>
            <family val="2"/>
            <scheme val="minor"/>
          </rPr>
          <t>DELL:
Clasificador MFE: 7.3.06 para contratos obra; 7.5.04 para mantenimiento vial. Bacheo/pavimentación: mantenimiento + obra nueva según partida. Fuente: Clasificador MFE 2023.</t>
        </r>
      </text>
    </comment>
    <comment ref="F11" authorId="0" shapeId="0" xr:uid="{00000000-0006-0000-0D00-000046000000}">
      <text>
        <r>
          <rPr>
            <sz val="11"/>
            <color theme="1"/>
            <rFont val="Aptos Narrow"/>
            <family val="2"/>
            <scheme val="minor"/>
          </rPr>
          <t>DELL:
INGRESAR: Codificado 2023 — TER-02 Bacheo y Pavimentación</t>
        </r>
      </text>
    </comment>
    <comment ref="G11" authorId="0" shapeId="0" xr:uid="{00000000-0006-0000-0D00-000047000000}">
      <text>
        <r>
          <rPr>
            <sz val="11"/>
            <color theme="1"/>
            <rFont val="Aptos Narrow"/>
            <family val="2"/>
            <scheme val="minor"/>
          </rPr>
          <t>DELL:
INGRESAR: Devengado 2023 — TER-02</t>
        </r>
      </text>
    </comment>
    <comment ref="H11" authorId="0" shapeId="0" xr:uid="{00000000-0006-0000-0D00-000048000000}">
      <text>
        <r>
          <rPr>
            <sz val="11"/>
            <color theme="1"/>
            <rFont val="Aptos Narrow"/>
            <family val="2"/>
            <scheme val="minor"/>
          </rPr>
          <t>DELL:
INGRESAR: Pagado 2023 — TER-02</t>
        </r>
      </text>
    </comment>
    <comment ref="I11" authorId="0" shapeId="0" xr:uid="{00000000-0006-0000-0D00-000049000000}">
      <text>
        <r>
          <rPr>
            <sz val="11"/>
            <color theme="1"/>
            <rFont val="Aptos Narrow"/>
            <family val="2"/>
            <scheme val="minor"/>
          </rPr>
          <t>DELL:
INGRESAR: Codificado 2024 — TER-02 Bacheo y Pavimentación</t>
        </r>
      </text>
    </comment>
    <comment ref="J11" authorId="0" shapeId="0" xr:uid="{00000000-0006-0000-0D00-00004A000000}">
      <text>
        <r>
          <rPr>
            <sz val="11"/>
            <color theme="1"/>
            <rFont val="Aptos Narrow"/>
            <family val="2"/>
            <scheme val="minor"/>
          </rPr>
          <t>DELL:
INGRESAR: Devengado 2024 — TER-02</t>
        </r>
      </text>
    </comment>
    <comment ref="K11" authorId="0" shapeId="0" xr:uid="{00000000-0006-0000-0D00-00004B000000}">
      <text>
        <r>
          <rPr>
            <sz val="11"/>
            <color theme="1"/>
            <rFont val="Aptos Narrow"/>
            <family val="2"/>
            <scheme val="minor"/>
          </rPr>
          <t>DELL:
INGRESAR: Pagado 2024 — TER-02</t>
        </r>
      </text>
    </comment>
    <comment ref="D12" authorId="0" shapeId="0" xr:uid="{00000000-0006-0000-0D00-00004C000000}">
      <text>
        <r>
          <rPr>
            <sz val="11"/>
            <color theme="1"/>
            <rFont val="Aptos Narrow"/>
            <family val="2"/>
            <scheme val="minor"/>
          </rPr>
          <t>DELL:
CUP PENDIENTE verificación en SIGPIP MFE.
Meta: Unidad Médica Móvil — SOC-07.
Ejecuta el Patronato. CUP posiblemente como adquisición de bien (vehículo).
Verificar en SIGPIP o SERCOP bajo cod. Patronato.</t>
        </r>
      </text>
    </comment>
    <comment ref="E12" authorId="0" shapeId="0" xr:uid="{00000000-0006-0000-0D00-00004D000000}">
      <text>
        <r>
          <rPr>
            <sz val="11"/>
            <color theme="1"/>
            <rFont val="Aptos Narrow"/>
            <family val="2"/>
            <scheme val="minor"/>
          </rPr>
          <t>DELL:
Clasificador MFE: 8.4.02 = Vehículos (Bienes de Larga Duración). Unidad médica móvil: vehículo equipado. Fuente: Clasificador MFE 2023.</t>
        </r>
      </text>
    </comment>
    <comment ref="F12" authorId="0" shapeId="0" xr:uid="{00000000-0006-0000-0D00-00004E000000}">
      <text>
        <r>
          <rPr>
            <sz val="11"/>
            <color theme="1"/>
            <rFont val="Aptos Narrow"/>
            <family val="2"/>
            <scheme val="minor"/>
          </rPr>
          <t>DELL:
INGRESAR: Codificado 2023 — SOC-07 Unidad Médica Móvil (Patronato)</t>
        </r>
      </text>
    </comment>
    <comment ref="G12" authorId="0" shapeId="0" xr:uid="{00000000-0006-0000-0D00-00004F000000}">
      <text>
        <r>
          <rPr>
            <sz val="11"/>
            <color theme="1"/>
            <rFont val="Aptos Narrow"/>
            <family val="2"/>
            <scheme val="minor"/>
          </rPr>
          <t>DELL:
INGRESAR: Devengado 2023 — SOC-07</t>
        </r>
      </text>
    </comment>
    <comment ref="H12" authorId="0" shapeId="0" xr:uid="{00000000-0006-0000-0D00-000050000000}">
      <text>
        <r>
          <rPr>
            <sz val="11"/>
            <color theme="1"/>
            <rFont val="Aptos Narrow"/>
            <family val="2"/>
            <scheme val="minor"/>
          </rPr>
          <t>DELL:
INGRESAR: Pagado 2023 — SOC-07</t>
        </r>
      </text>
    </comment>
    <comment ref="I12" authorId="0" shapeId="0" xr:uid="{00000000-0006-0000-0D00-000051000000}">
      <text>
        <r>
          <rPr>
            <sz val="11"/>
            <color theme="1"/>
            <rFont val="Aptos Narrow"/>
            <family val="2"/>
            <scheme val="minor"/>
          </rPr>
          <t>✅ VERIFICADO — Auditor Jefe
CODIF. 2024 SOC-07 Unidad Médica Móvil
Partida Patronato:
• 84.01.05 Vehículos: Asignado $60.000 + Reforma $20.000 = $80.000
Fuente: Cédula Presupuestaria Patronato 2024 (Patronato_Presupesto_2024.docx)</t>
        </r>
      </text>
    </comment>
    <comment ref="J12" authorId="0" shapeId="0" xr:uid="{00000000-0006-0000-0D00-000052000000}">
      <text>
        <r>
          <rPr>
            <sz val="11"/>
            <color theme="1"/>
            <rFont val="Aptos Narrow"/>
            <family val="2"/>
            <scheme val="minor"/>
          </rPr>
          <t>✅ VERIFICADO — Auditor Jefe
DEVENGADO 2024 SOC-07 Unidad Médica Móvil
• 84.01.05 Dev.: $24.836,44 (Ejecución 31,05%)
Ti = 24.836,44 / 80.000 = 31,05%
ALERTA: 🟡 Ejecución &lt;60% — acelerar POA 2025
⚠️ Vehículo certificado pero 68,9% sin devengar al cierre 2024
Fuente: Cédula Patronato 2024</t>
        </r>
      </text>
    </comment>
    <comment ref="K12" authorId="0" shapeId="0" xr:uid="{00000000-0006-0000-0D00-000053000000}">
      <text>
        <r>
          <rPr>
            <sz val="11"/>
            <color theme="1"/>
            <rFont val="Aptos Narrow"/>
            <family val="2"/>
            <scheme val="minor"/>
          </rPr>
          <t>✅ VERIFICADO — Auditor Jefe
PAGADO 2024 SOC-07
Pagado = Devengado = $24.836,44
% Pag/Dev = 100%
Fuente: Cédula Patronato 2024</t>
        </r>
      </text>
    </comment>
    <comment ref="M12" authorId="0" shapeId="0" xr:uid="{00000000-0006-0000-0D00-000054000000}">
      <text>
        <r>
          <rPr>
            <sz val="11"/>
            <color theme="1"/>
            <rFont val="Aptos Narrow"/>
            <family val="2"/>
            <scheme val="minor"/>
          </rPr>
          <t>DELL:
Codificado vigente REAL 2024 SOC-07 Unidad Médica Móvil = partida 84.01.05 Vehículos Patronato ($80.000). Asignado $60.000 + reforma $20.000. Fuente: eSIGEF Cédula Patronato Dic.2024.</t>
        </r>
      </text>
    </comment>
    <comment ref="D13" authorId="0" shapeId="0" xr:uid="{00000000-0006-0000-0D00-000055000000}">
      <text>
        <r>
          <rPr>
            <sz val="11"/>
            <color theme="1"/>
            <rFont val="Aptos Narrow"/>
            <family val="2"/>
            <scheme val="minor"/>
          </rPr>
          <t>DELL:
CUP PENDIENTE verificación en SIGPIP MFE.
Meta: Planta Oxidación/PTAR — AMB-07.
Buscar proyecto: 'PTAR Montecristi / PTAR Eloy Alfaro BDE-PROGAPSA'.
RDC 2024: estudios definitivos en curso. Puede tener CUP para estudios.</t>
        </r>
      </text>
    </comment>
    <comment ref="E13" authorId="0" shapeId="0" xr:uid="{00000000-0006-0000-0D00-000056000000}">
      <text>
        <r>
          <rPr>
            <sz val="11"/>
            <color theme="1"/>
            <rFont val="Aptos Narrow"/>
            <family val="2"/>
            <scheme val="minor"/>
          </rPr>
          <t>DELL:
Clasificador MFE: 7.5.01 = Obras de Infraestructura. PTAR/Planta oxidación: obra de saneamiento ambiental. Fuente: Clasificador MFE 2023.</t>
        </r>
      </text>
    </comment>
    <comment ref="F13" authorId="0" shapeId="0" xr:uid="{00000000-0006-0000-0D00-000057000000}">
      <text>
        <r>
          <rPr>
            <sz val="11"/>
            <color theme="1"/>
            <rFont val="Aptos Narrow"/>
            <family val="2"/>
            <scheme val="minor"/>
          </rPr>
          <t>DELL:
INGRESAR: Codificado 2023 — AMB-07 Planta Oxidación/PTAR</t>
        </r>
      </text>
    </comment>
    <comment ref="G13" authorId="0" shapeId="0" xr:uid="{00000000-0006-0000-0D00-000058000000}">
      <text>
        <r>
          <rPr>
            <sz val="11"/>
            <color theme="1"/>
            <rFont val="Aptos Narrow"/>
            <family val="2"/>
            <scheme val="minor"/>
          </rPr>
          <t>DELL:
INGRESAR: Devengado 2023 — AMB-07</t>
        </r>
      </text>
    </comment>
    <comment ref="H13" authorId="0" shapeId="0" xr:uid="{00000000-0006-0000-0D00-000059000000}">
      <text>
        <r>
          <rPr>
            <sz val="11"/>
            <color theme="1"/>
            <rFont val="Aptos Narrow"/>
            <family val="2"/>
            <scheme val="minor"/>
          </rPr>
          <t>DELL:
INGRESAR: Pagado 2023 — AMB-07</t>
        </r>
      </text>
    </comment>
    <comment ref="I13" authorId="0" shapeId="0" xr:uid="{00000000-0006-0000-0D00-00005A000000}">
      <text>
        <r>
          <rPr>
            <sz val="11"/>
            <color theme="1"/>
            <rFont val="Aptos Narrow"/>
            <family val="2"/>
            <scheme val="minor"/>
          </rPr>
          <t>DELL:
INGRESAR: Codificado 2024 — AMB-07 PTAR</t>
        </r>
      </text>
    </comment>
    <comment ref="J13" authorId="0" shapeId="0" xr:uid="{00000000-0006-0000-0D00-00005B000000}">
      <text>
        <r>
          <rPr>
            <sz val="11"/>
            <color theme="1"/>
            <rFont val="Aptos Narrow"/>
            <family val="2"/>
            <scheme val="minor"/>
          </rPr>
          <t>DELL:
INGRESAR: Devengado 2024 — AMB-07</t>
        </r>
      </text>
    </comment>
    <comment ref="K13" authorId="0" shapeId="0" xr:uid="{00000000-0006-0000-0D00-00005C000000}">
      <text>
        <r>
          <rPr>
            <sz val="11"/>
            <color theme="1"/>
            <rFont val="Aptos Narrow"/>
            <family val="2"/>
            <scheme val="minor"/>
          </rPr>
          <t>DELL:
INGRESAR: Pagado 2024 — AMB-07</t>
        </r>
      </text>
    </comment>
    <comment ref="D14" authorId="0" shapeId="0" xr:uid="{00000000-0006-0000-0D00-00005D000000}">
      <text>
        <r>
          <rPr>
            <sz val="11"/>
            <color theme="1"/>
            <rFont val="Aptos Narrow"/>
            <family val="2"/>
            <scheme val="minor"/>
          </rPr>
          <t>DELL:
CUP PENDIENTE verificación en SIGPIP MFE.
Meta: Parques y Áreas Verdes — TER-05.
Buscar proyecto: 'Parque Las Pampas / Red Verde Montecristi'.
Reemplazar con CUP oficial.</t>
        </r>
      </text>
    </comment>
    <comment ref="E14" authorId="0" shapeId="0" xr:uid="{00000000-0006-0000-0D00-00005E000000}">
      <text>
        <r>
          <rPr>
            <sz val="11"/>
            <color theme="1"/>
            <rFont val="Aptos Narrow"/>
            <family val="2"/>
            <scheme val="minor"/>
          </rPr>
          <t>DELL:
Clasificador MFE: 7.5.01 = Obras de Infraestructura. Parques y áreas verdes: espacio público urbano. Fuente: Clasificador MFE 2023.</t>
        </r>
      </text>
    </comment>
    <comment ref="F14" authorId="0" shapeId="0" xr:uid="{00000000-0006-0000-0D00-00005F000000}">
      <text>
        <r>
          <rPr>
            <sz val="11"/>
            <color theme="1"/>
            <rFont val="Aptos Narrow"/>
            <family val="2"/>
            <scheme val="minor"/>
          </rPr>
          <t>DELL:
INGRESAR: Codificado 2023 — TER-05 Parques y Áreas Verdes</t>
        </r>
      </text>
    </comment>
    <comment ref="G14" authorId="0" shapeId="0" xr:uid="{00000000-0006-0000-0D00-000060000000}">
      <text>
        <r>
          <rPr>
            <sz val="11"/>
            <color theme="1"/>
            <rFont val="Aptos Narrow"/>
            <family val="2"/>
            <scheme val="minor"/>
          </rPr>
          <t>DELL:
INGRESAR: Devengado 2023 — TER-05</t>
        </r>
      </text>
    </comment>
    <comment ref="H14" authorId="0" shapeId="0" xr:uid="{00000000-0006-0000-0D00-000061000000}">
      <text>
        <r>
          <rPr>
            <sz val="11"/>
            <color theme="1"/>
            <rFont val="Aptos Narrow"/>
            <family val="2"/>
            <scheme val="minor"/>
          </rPr>
          <t>DELL:
INGRESAR: Pagado 2023 — TER-05</t>
        </r>
      </text>
    </comment>
    <comment ref="I14" authorId="0" shapeId="0" xr:uid="{00000000-0006-0000-0D00-000062000000}">
      <text>
        <r>
          <rPr>
            <sz val="11"/>
            <color theme="1"/>
            <rFont val="Aptos Narrow"/>
            <family val="2"/>
            <scheme val="minor"/>
          </rPr>
          <t>DELL:
INGRESAR: Codificado 2024 — TER-05 Parques y Áreas Verdes</t>
        </r>
      </text>
    </comment>
    <comment ref="J14" authorId="0" shapeId="0" xr:uid="{00000000-0006-0000-0D00-000063000000}">
      <text>
        <r>
          <rPr>
            <sz val="11"/>
            <color theme="1"/>
            <rFont val="Aptos Narrow"/>
            <family val="2"/>
            <scheme val="minor"/>
          </rPr>
          <t>DELL:
INGRESAR: Devengado 2024 — TER-05</t>
        </r>
      </text>
    </comment>
    <comment ref="K14" authorId="0" shapeId="0" xr:uid="{00000000-0006-0000-0D00-000064000000}">
      <text>
        <r>
          <rPr>
            <sz val="11"/>
            <color theme="1"/>
            <rFont val="Aptos Narrow"/>
            <family val="2"/>
            <scheme val="minor"/>
          </rPr>
          <t>DELL:
INGRESAR: Pagado 2024 — TER-05</t>
        </r>
      </text>
    </comment>
    <comment ref="D15" authorId="0" shapeId="0" xr:uid="{00000000-0006-0000-0D00-000065000000}">
      <text>
        <r>
          <rPr>
            <sz val="11"/>
            <color theme="1"/>
            <rFont val="Aptos Narrow"/>
            <family val="2"/>
            <scheme val="minor"/>
          </rPr>
          <t>DELL:
CUP PENDIENTE verificación en SIGPIP MFE.
Meta: Guarderías Nocturnas — SOC-04.
NOTA: sin ejecución confirmada (Vi=0, Ti=0). Probable que no tenga CUP.
Verificar con Patronato y MIES.</t>
        </r>
      </text>
    </comment>
    <comment ref="E15" authorId="0" shapeId="0" xr:uid="{00000000-0006-0000-0D00-000066000000}">
      <text>
        <r>
          <rPr>
            <sz val="11"/>
            <color theme="1"/>
            <rFont val="Aptos Narrow"/>
            <family val="2"/>
            <scheme val="minor"/>
          </rPr>
          <t>DELL:
Clasificador MFE: 7.3.06 si es convenio MIES, 7.3.01 si es gasto directo. Guarderías nocturnas: servicio social. Fuente: Clasificador MFE 2023.</t>
        </r>
      </text>
    </comment>
    <comment ref="F15" authorId="0" shapeId="0" xr:uid="{00000000-0006-0000-0D00-000067000000}">
      <text>
        <r>
          <rPr>
            <sz val="11"/>
            <color theme="1"/>
            <rFont val="Aptos Narrow"/>
            <family val="2"/>
            <scheme val="minor"/>
          </rPr>
          <t>DELL:
INGRESAR: Codificado 2023 — SOC-04 Guarderías Nocturnas</t>
        </r>
      </text>
    </comment>
    <comment ref="G15" authorId="0" shapeId="0" xr:uid="{00000000-0006-0000-0D00-000068000000}">
      <text>
        <r>
          <rPr>
            <sz val="11"/>
            <color theme="1"/>
            <rFont val="Aptos Narrow"/>
            <family val="2"/>
            <scheme val="minor"/>
          </rPr>
          <t>DELL:
INGRESAR: Devengado 2023 — SOC-04. Sin ejecución: 0</t>
        </r>
      </text>
    </comment>
    <comment ref="H15" authorId="0" shapeId="0" xr:uid="{00000000-0006-0000-0D00-000069000000}">
      <text>
        <r>
          <rPr>
            <sz val="11"/>
            <color theme="1"/>
            <rFont val="Aptos Narrow"/>
            <family val="2"/>
            <scheme val="minor"/>
          </rPr>
          <t>DELL:
INGRESAR: Pagado 2023 — SOC-04</t>
        </r>
      </text>
    </comment>
    <comment ref="I15" authorId="0" shapeId="0" xr:uid="{00000000-0006-0000-0D00-00006A000000}">
      <text>
        <r>
          <rPr>
            <sz val="11"/>
            <color theme="1"/>
            <rFont val="Aptos Narrow"/>
            <family val="2"/>
            <scheme val="minor"/>
          </rPr>
          <t>✅ VERIFICADO — Auditor Jefe
CODIF. 2024 SOC-04 Guaderías Nocturnas
Partidas Patronato:
• 73.06.13 Capacitación Ciudadanía: $7.000,00
• 73.02.49 Eventos Públicos Promocionales: $3.000,00
TOTAL CODIF.: $10.000,00
⚠️ ALERTA EJECUCIÓN: Presupuesto asignado y codificado pero NO devengado
Fuente: Cédula Presupuestaria Patronato 2024 (Patronato_Presupesto_2024.docx)</t>
        </r>
      </text>
    </comment>
    <comment ref="J15" authorId="0" shapeId="0" xr:uid="{00000000-0006-0000-0D00-00006B000000}">
      <text>
        <r>
          <rPr>
            <sz val="11"/>
            <color theme="1"/>
            <rFont val="Aptos Narrow"/>
            <family val="2"/>
            <scheme val="minor"/>
          </rPr>
          <t>🔴 ALERTA EJECUTIVA — Auditor Jefe
DEVENGADO 2024 SOC-04 Guaderías Nocturnas = $0
• 73.06.13 Capacitación: Dev $0 (Ejecución 0%)
• 73.02.49 Eventos: Dev $0 (Ejecución 0%)
Ti = 0 / 10.000 = 0,00%
⚠️ PRESUPUESTO CODIFICADO SIN EJECUCIóN:
   $10.000 codificados en Patronato 2024
   DEVENGADO = $0 al cierre diciembre 2024
ACCIÓN REQUERIDA: Revisar SERCOP + reformular POA 2025
Fuente: Cédula Patronato 2024</t>
        </r>
      </text>
    </comment>
    <comment ref="K15" authorId="0" shapeId="0" xr:uid="{00000000-0006-0000-0D00-00006C000000}">
      <text>
        <r>
          <rPr>
            <sz val="11"/>
            <color theme="1"/>
            <rFont val="Aptos Narrow"/>
            <family val="2"/>
            <scheme val="minor"/>
          </rPr>
          <t>🔴 PAGADO 2024 SOC-04 = $0
Consistente con devengado $0
Fuente: Cédula Patronato 2024</t>
        </r>
      </text>
    </comment>
    <comment ref="M15" authorId="0" shapeId="0" xr:uid="{00000000-0006-0000-0D00-00006D000000}">
      <text>
        <r>
          <rPr>
            <sz val="11"/>
            <color theme="1"/>
            <rFont val="Aptos Narrow"/>
            <family val="2"/>
            <scheme val="minor"/>
          </rPr>
          <t>DELL:
Codificado vigente REAL 2024 SOC-04 Guarderías Nocturnas = partidas Patronato 73.06.13 ($7.000) + 73.02.49 ($3.000). Ti=0%: sin ejecución. Fuente: eSIGEF Cédula Patronato Dic.2024.</t>
        </r>
      </text>
    </comment>
    <comment ref="D16" authorId="0" shapeId="0" xr:uid="{00000000-0006-0000-0D00-00006E000000}">
      <text>
        <r>
          <rPr>
            <sz val="11"/>
            <color theme="1"/>
            <rFont val="Aptos Narrow"/>
            <family val="2"/>
            <scheme val="minor"/>
          </rPr>
          <t>DELL:
CUP PENDIENTE verificación en SIGPIP MFE.
Meta: Planta Tratamiento Desechos — AMB-08.
Ejecuta EP Aseo Integral. CUP puede estar bajo EP Aseo.
Buscar: 'Relleno Sanitario Montecristi / EP Aseo'.</t>
        </r>
      </text>
    </comment>
    <comment ref="E16" authorId="0" shapeId="0" xr:uid="{00000000-0006-0000-0D00-00006F000000}">
      <text>
        <r>
          <rPr>
            <sz val="11"/>
            <color theme="1"/>
            <rFont val="Aptos Narrow"/>
            <family val="2"/>
            <scheme val="minor"/>
          </rPr>
          <t>DELL:
Clasificador MFE: 7.5.01 = Obras de Infraestructura. Planta tratamiento desechos/relleno sanitario: obra de saneamiento. Fuente: Clasificador MFE 2023.</t>
        </r>
      </text>
    </comment>
    <comment ref="F16" authorId="0" shapeId="0" xr:uid="{00000000-0006-0000-0D00-000070000000}">
      <text>
        <r>
          <rPr>
            <sz val="11"/>
            <color theme="1"/>
            <rFont val="Aptos Narrow"/>
            <family val="2"/>
            <scheme val="minor"/>
          </rPr>
          <t>DELL:
INGRESAR: Codificado 2023 — AMB-08 Planta Tratamiento Desechos (EP Aseo)</t>
        </r>
      </text>
    </comment>
    <comment ref="G16" authorId="0" shapeId="0" xr:uid="{00000000-0006-0000-0D00-000071000000}">
      <text>
        <r>
          <rPr>
            <sz val="11"/>
            <color theme="1"/>
            <rFont val="Aptos Narrow"/>
            <family val="2"/>
            <scheme val="minor"/>
          </rPr>
          <t>DELL:
INGRESAR: Devengado 2023 — AMB-08</t>
        </r>
      </text>
    </comment>
    <comment ref="H16" authorId="0" shapeId="0" xr:uid="{00000000-0006-0000-0D00-000072000000}">
      <text>
        <r>
          <rPr>
            <sz val="11"/>
            <color theme="1"/>
            <rFont val="Aptos Narrow"/>
            <family val="2"/>
            <scheme val="minor"/>
          </rPr>
          <t>DELL:
INGRESAR: Pagado 2023 — AMB-08</t>
        </r>
      </text>
    </comment>
    <comment ref="I16" authorId="0" shapeId="0" xr:uid="{00000000-0006-0000-0D00-000073000000}">
      <text>
        <r>
          <rPr>
            <sz val="11"/>
            <color theme="1"/>
            <rFont val="Aptos Narrow"/>
            <family val="2"/>
            <scheme val="minor"/>
          </rPr>
          <t>DELL:
INGRESAR: Codificado 2024 — AMB-08 Planta Tratamiento</t>
        </r>
      </text>
    </comment>
    <comment ref="J16" authorId="0" shapeId="0" xr:uid="{00000000-0006-0000-0D00-000074000000}">
      <text>
        <r>
          <rPr>
            <sz val="11"/>
            <color theme="1"/>
            <rFont val="Aptos Narrow"/>
            <family val="2"/>
            <scheme val="minor"/>
          </rPr>
          <t>DELL:
INGRESAR: Devengado 2024 — AMB-08</t>
        </r>
      </text>
    </comment>
    <comment ref="K16" authorId="0" shapeId="0" xr:uid="{00000000-0006-0000-0D00-000075000000}">
      <text>
        <r>
          <rPr>
            <sz val="11"/>
            <color theme="1"/>
            <rFont val="Aptos Narrow"/>
            <family val="2"/>
            <scheme val="minor"/>
          </rPr>
          <t>DELL:
INGRESAR: Pagado 2024 — AMB-08</t>
        </r>
      </text>
    </comment>
    <comment ref="D17" authorId="0" shapeId="0" xr:uid="{00000000-0006-0000-0D00-000076000000}">
      <text>
        <r>
          <rPr>
            <sz val="11"/>
            <color theme="1"/>
            <rFont val="Aptos Narrow"/>
            <family val="2"/>
            <scheme val="minor"/>
          </rPr>
          <t>DELL:
CUP PENDIENTE verificación en SIGPIP MFE.
Meta: Equipo Caminero/Maquinaria — TER-01.
Adquisición de bien: buscar en SERCOP proceso licitación maquinaria.
Puede tener CUP de bien de larga duración.</t>
        </r>
      </text>
    </comment>
    <comment ref="E17" authorId="0" shapeId="0" xr:uid="{00000000-0006-0000-0D00-000077000000}">
      <text>
        <r>
          <rPr>
            <sz val="11"/>
            <color theme="1"/>
            <rFont val="Aptos Narrow"/>
            <family val="2"/>
            <scheme val="minor"/>
          </rPr>
          <t>DELL:
Clasificador MFE: 8.4.02 = Maquinaria y Equipos. Equipo caminero: maquinaria de construcción. Fuente: Clasificador MFE 2023.</t>
        </r>
      </text>
    </comment>
    <comment ref="F17" authorId="0" shapeId="0" xr:uid="{00000000-0006-0000-0D00-000078000000}">
      <text>
        <r>
          <rPr>
            <sz val="11"/>
            <color theme="1"/>
            <rFont val="Aptos Narrow"/>
            <family val="2"/>
            <scheme val="minor"/>
          </rPr>
          <t>DELL:
INGRESAR: Codificado 2023 — TER-01 Equipo Caminero/Maquinaria</t>
        </r>
      </text>
    </comment>
    <comment ref="G17" authorId="0" shapeId="0" xr:uid="{00000000-0006-0000-0D00-000079000000}">
      <text>
        <r>
          <rPr>
            <sz val="11"/>
            <color theme="1"/>
            <rFont val="Aptos Narrow"/>
            <family val="2"/>
            <scheme val="minor"/>
          </rPr>
          <t>DELL:
INGRESAR: Devengado 2023 — TER-01</t>
        </r>
      </text>
    </comment>
    <comment ref="H17" authorId="0" shapeId="0" xr:uid="{00000000-0006-0000-0D00-00007A000000}">
      <text>
        <r>
          <rPr>
            <sz val="11"/>
            <color theme="1"/>
            <rFont val="Aptos Narrow"/>
            <family val="2"/>
            <scheme val="minor"/>
          </rPr>
          <t>DELL:
INGRESAR: Pagado 2023 — TER-01</t>
        </r>
      </text>
    </comment>
    <comment ref="I17" authorId="0" shapeId="0" xr:uid="{00000000-0006-0000-0D00-00007B000000}">
      <text>
        <r>
          <rPr>
            <sz val="11"/>
            <color theme="1"/>
            <rFont val="Aptos Narrow"/>
            <family val="2"/>
            <scheme val="minor"/>
          </rPr>
          <t>DELL:
INGRESAR: Codificado 2024 — TER-01 Maquinaria</t>
        </r>
      </text>
    </comment>
    <comment ref="J17" authorId="0" shapeId="0" xr:uid="{00000000-0006-0000-0D00-00007C000000}">
      <text>
        <r>
          <rPr>
            <sz val="11"/>
            <color theme="1"/>
            <rFont val="Aptos Narrow"/>
            <family val="2"/>
            <scheme val="minor"/>
          </rPr>
          <t>DELL:
INGRESAR: Devengado 2024 — TER-01</t>
        </r>
      </text>
    </comment>
    <comment ref="K17" authorId="0" shapeId="0" xr:uid="{00000000-0006-0000-0D00-00007D000000}">
      <text>
        <r>
          <rPr>
            <sz val="11"/>
            <color theme="1"/>
            <rFont val="Aptos Narrow"/>
            <family val="2"/>
            <scheme val="minor"/>
          </rPr>
          <t>DELL:
INGRESAR: Pagado 2024 — TER-01</t>
        </r>
      </text>
    </comment>
    <comment ref="D18" authorId="0" shapeId="0" xr:uid="{00000000-0006-0000-0D00-00007E000000}">
      <text>
        <r>
          <rPr>
            <sz val="11"/>
            <color theme="1"/>
            <rFont val="Aptos Narrow"/>
            <family val="2"/>
            <scheme val="minor"/>
          </rPr>
          <t>DELL:
CUP PENDIENTE verificación en SIGPIP MFE.
Meta: Central Monitoreo/Cámaras — SOC-15.
Buscar: 'Sistema Videovigilancia CCTV Montecristi' en SERCOP o SIGPIP.
Factura pendiente de localización en Dir. TICS.</t>
        </r>
      </text>
    </comment>
    <comment ref="E18" authorId="0" shapeId="0" xr:uid="{00000000-0006-0000-0D00-00007F000000}">
      <text>
        <r>
          <rPr>
            <sz val="11"/>
            <color theme="1"/>
            <rFont val="Aptos Narrow"/>
            <family val="2"/>
            <scheme val="minor"/>
          </rPr>
          <t>DELL:
Clasificador MFE: 8.4.02 = Equipos Informáticos y Telecomunicaciones. CCTV/cámaras: equipo TIC. Fuente: Clasificador MFE 2023.</t>
        </r>
      </text>
    </comment>
    <comment ref="F18" authorId="0" shapeId="0" xr:uid="{00000000-0006-0000-0D00-000080000000}">
      <text>
        <r>
          <rPr>
            <sz val="11"/>
            <color theme="1"/>
            <rFont val="Aptos Narrow"/>
            <family val="2"/>
            <scheme val="minor"/>
          </rPr>
          <t>DELL:
INGRESAR: Codificado 2023 — SOC-15 Central Monitoreo/Cámaras CCTV</t>
        </r>
      </text>
    </comment>
    <comment ref="G18" authorId="0" shapeId="0" xr:uid="{00000000-0006-0000-0D00-000081000000}">
      <text>
        <r>
          <rPr>
            <sz val="11"/>
            <color theme="1"/>
            <rFont val="Aptos Narrow"/>
            <family val="2"/>
            <scheme val="minor"/>
          </rPr>
          <t>DELL:
INGRESAR: Devengado 2023 — SOC-15</t>
        </r>
      </text>
    </comment>
    <comment ref="H18" authorId="0" shapeId="0" xr:uid="{00000000-0006-0000-0D00-000082000000}">
      <text>
        <r>
          <rPr>
            <sz val="11"/>
            <color theme="1"/>
            <rFont val="Aptos Narrow"/>
            <family val="2"/>
            <scheme val="minor"/>
          </rPr>
          <t>DELL:
INGRESAR: Pagado 2023 — SOC-15</t>
        </r>
      </text>
    </comment>
    <comment ref="I18" authorId="0" shapeId="0" xr:uid="{00000000-0006-0000-0D00-000083000000}">
      <text>
        <r>
          <rPr>
            <sz val="11"/>
            <color theme="1"/>
            <rFont val="Aptos Narrow"/>
            <family val="2"/>
            <scheme val="minor"/>
          </rPr>
          <t>✅ VERIFICADO — Auditor Jefe
CODIF. 2024 SOC-15 Central Monitoreo / Cámaras CCTV
Partida Patronato:
• 84.01.07 Equipos, Sist. y Paquetes Informáticos:
  Asignado $22.000 + Reforma $1.000 = $23.000
Fuente: Cédula Presupuestaria Patronato 2024 (Patronato_Presupesto_2024.docx)</t>
        </r>
      </text>
    </comment>
    <comment ref="J18" authorId="0" shapeId="0" xr:uid="{00000000-0006-0000-0D00-000084000000}">
      <text>
        <r>
          <rPr>
            <sz val="11"/>
            <color theme="1"/>
            <rFont val="Aptos Narrow"/>
            <family val="2"/>
            <scheme val="minor"/>
          </rPr>
          <t>⚠️ ALERTA CRITICA — Auditor Jefe
DEVENGADO 2024 SOC-15 Central Monitoreo
• 84.01.07 Dev.: $9.003,00
• 84.01.07 Pag.: $2.572,69 (Brecha $6.430,31 sin pagar)
Ti = 9.003 / 23.000 = 39,14%
⚠️ Ejecución baja: 39,14% del presupuesto codificado
⚠️ Brecha Dev-Pag: $6.430,31 pendiente SPI al cierre 2024
⚠️ Verificar registro SERCOP: Vi=0 en D-MAD (inconsistencia)
ACCIÓN: Deslinde Dirección TICS + verificar proceso licitación
Fuente: Cédula Patronato 2024</t>
        </r>
      </text>
    </comment>
    <comment ref="K18" authorId="0" shapeId="0" xr:uid="{00000000-0006-0000-0D00-000085000000}">
      <text>
        <r>
          <rPr>
            <sz val="11"/>
            <color theme="1"/>
            <rFont val="Aptos Narrow"/>
            <family val="2"/>
            <scheme val="minor"/>
          </rPr>
          <t>⚠️ PAGADO 2024 SOC-15 = $2.572,69
Brecha Dev-Pag: $9.003 - $2.572,69 = $6.430,31 pendiente SPI
Fuente: Cédula Patronato 2024</t>
        </r>
      </text>
    </comment>
    <comment ref="D19" authorId="0" shapeId="0" xr:uid="{00000000-0006-0000-0D00-000086000000}">
      <text>
        <r>
          <rPr>
            <sz val="11"/>
            <color theme="1"/>
            <rFont val="Aptos Narrow"/>
            <family val="2"/>
            <scheme val="minor"/>
          </rPr>
          <t>DELL:
CUP PENDIENTE verificación en SIGPIP MFE.
Meta: Digitalización Trámites — INS-03.
Buscar: 'Plataforma Digital GAD Montecristi / Sistema ERP'.
Dir. TICS tiene informes SIGAD. Verificar CUP en Dir. Financiera.</t>
        </r>
      </text>
    </comment>
    <comment ref="E19" authorId="0" shapeId="0" xr:uid="{00000000-0006-0000-0D00-000087000000}">
      <text>
        <r>
          <rPr>
            <sz val="11"/>
            <color theme="1"/>
            <rFont val="Aptos Narrow"/>
            <family val="2"/>
            <scheme val="minor"/>
          </rPr>
          <t>DELL:
Clasificador MFE: 7.3.04 para servicios de digitalización/consultoría TI; 8.4.02 para equipos. Digitalización trámites GAD. Fuente: Clasificador MFE 2023.</t>
        </r>
      </text>
    </comment>
    <comment ref="F19" authorId="0" shapeId="0" xr:uid="{00000000-0006-0000-0D00-000088000000}">
      <text>
        <r>
          <rPr>
            <sz val="11"/>
            <color theme="1"/>
            <rFont val="Aptos Narrow"/>
            <family val="2"/>
            <scheme val="minor"/>
          </rPr>
          <t>DELL:
INGRESAR: Codificado 2023 — INS-03 Digitalización Trámites</t>
        </r>
      </text>
    </comment>
    <comment ref="G19" authorId="0" shapeId="0" xr:uid="{00000000-0006-0000-0D00-000089000000}">
      <text>
        <r>
          <rPr>
            <sz val="11"/>
            <color theme="1"/>
            <rFont val="Aptos Narrow"/>
            <family val="2"/>
            <scheme val="minor"/>
          </rPr>
          <t>DELL:
INGRESAR: Devengado 2023 — INS-03</t>
        </r>
      </text>
    </comment>
    <comment ref="H19" authorId="0" shapeId="0" xr:uid="{00000000-0006-0000-0D00-00008A000000}">
      <text>
        <r>
          <rPr>
            <sz val="11"/>
            <color theme="1"/>
            <rFont val="Aptos Narrow"/>
            <family val="2"/>
            <scheme val="minor"/>
          </rPr>
          <t>DELL:
INGRESAR: Pagado 2023 — INS-03</t>
        </r>
      </text>
    </comment>
    <comment ref="I19" authorId="0" shapeId="0" xr:uid="{00000000-0006-0000-0D00-00008B000000}">
      <text>
        <r>
          <rPr>
            <sz val="11"/>
            <color theme="1"/>
            <rFont val="Aptos Narrow"/>
            <family val="2"/>
            <scheme val="minor"/>
          </rPr>
          <t>DELL:
INGRESAR: Codificado 2024 — INS-03 Digitalización</t>
        </r>
      </text>
    </comment>
    <comment ref="J19" authorId="0" shapeId="0" xr:uid="{00000000-0006-0000-0D00-00008C000000}">
      <text>
        <r>
          <rPr>
            <sz val="11"/>
            <color theme="1"/>
            <rFont val="Aptos Narrow"/>
            <family val="2"/>
            <scheme val="minor"/>
          </rPr>
          <t>DELL:
INGRESAR: Devengado 2024 — INS-03</t>
        </r>
      </text>
    </comment>
    <comment ref="K19" authorId="0" shapeId="0" xr:uid="{00000000-0006-0000-0D00-00008D000000}">
      <text>
        <r>
          <rPr>
            <sz val="11"/>
            <color theme="1"/>
            <rFont val="Aptos Narrow"/>
            <family val="2"/>
            <scheme val="minor"/>
          </rPr>
          <t>DELL:
INGRESAR: Pagado 2024 — INS-03</t>
        </r>
      </text>
    </comment>
    <comment ref="L19" authorId="0" shapeId="0" xr:uid="{00000000-0006-0000-0D00-00008E000000}">
      <text>
        <r>
          <rPr>
            <sz val="11"/>
            <color theme="1"/>
            <rFont val="Aptos Narrow"/>
            <family val="2"/>
            <scheme val="minor"/>
          </rPr>
          <t>DELL:
Presupuesto referencial estimado INS-03. Fuente: M-POA col E PAC Ejecutado. Presupuesto inicial no asignado como inversión separada — ejecutado a través de partidas TICs genéricas. Reemplazar con cédula real de Dir. Financiera.</t>
        </r>
      </text>
    </comment>
    <comment ref="M19" authorId="0" shapeId="0" xr:uid="{00000000-0006-0000-0D00-00008F000000}">
      <text>
        <r>
          <rPr>
            <sz val="11"/>
            <color theme="1"/>
            <rFont val="Aptos Narrow"/>
            <family val="2"/>
            <scheme val="minor"/>
          </rPr>
          <t>DELL:
Codificado vigente referencial INS-03 = mismo que inicial (sin reformas registradas).</t>
        </r>
      </text>
    </comment>
    <comment ref="O19" authorId="0" shapeId="0" xr:uid="{00000000-0006-0000-0D00-000090000000}">
      <text>
        <r>
          <rPr>
            <sz val="11"/>
            <color theme="1"/>
            <rFont val="Aptos Narrow"/>
            <family val="2"/>
            <scheme val="minor"/>
          </rPr>
          <t>DELL:
Devengado estimado INS-03 = Ti(0.70) x Codificado(636284). Valor referencial hasta recibir cédula real de eSIGEF.</t>
        </r>
      </text>
    </comment>
    <comment ref="P19" authorId="0" shapeId="0" xr:uid="{00000000-0006-0000-0D00-000091000000}">
      <text>
        <r>
          <rPr>
            <sz val="11"/>
            <color theme="1"/>
            <rFont val="Aptos Narrow"/>
            <family val="2"/>
            <scheme val="minor"/>
          </rPr>
          <t>DELL:
Pagado estimado INS-03 = Devengado x 0.95 (ratio pagado estándar). Valor referencial.</t>
        </r>
      </text>
    </comment>
    <comment ref="D20" authorId="0" shapeId="0" xr:uid="{00000000-0006-0000-0D00-000092000000}">
      <text>
        <r>
          <rPr>
            <sz val="11"/>
            <color theme="1"/>
            <rFont val="Aptos Narrow"/>
            <family val="2"/>
            <scheme val="minor"/>
          </rPr>
          <t>DELL:
CUP PENDIENTE verificación en SIGPIP MFE.
Meta: Actualización Catastro — INS-05.
Buscar: 'Actualización Sistema Catastral / LIDAR Montecristi'.
Dir. Avalúos puede proveer el código de contrato.</t>
        </r>
      </text>
    </comment>
    <comment ref="E20" authorId="0" shapeId="0" xr:uid="{00000000-0006-0000-0D00-000093000000}">
      <text>
        <r>
          <rPr>
            <sz val="11"/>
            <color theme="1"/>
            <rFont val="Aptos Narrow"/>
            <family val="2"/>
            <scheme val="minor"/>
          </rPr>
          <t>DELL:
Clasificador MFE: 8.7.01 = Activos Intangibles (software, licencias). Catastro: actualización sistema SIG. Fuente: Clasificador MFE 2023.</t>
        </r>
      </text>
    </comment>
    <comment ref="F20" authorId="0" shapeId="0" xr:uid="{00000000-0006-0000-0D00-000094000000}">
      <text>
        <r>
          <rPr>
            <sz val="11"/>
            <color theme="1"/>
            <rFont val="Aptos Narrow"/>
            <family val="2"/>
            <scheme val="minor"/>
          </rPr>
          <t>DELL:
INGRESAR: Codificado 2023 — INS-05 Actualización Catastro</t>
        </r>
      </text>
    </comment>
    <comment ref="G20" authorId="0" shapeId="0" xr:uid="{00000000-0006-0000-0D00-000095000000}">
      <text>
        <r>
          <rPr>
            <sz val="11"/>
            <color theme="1"/>
            <rFont val="Aptos Narrow"/>
            <family val="2"/>
            <scheme val="minor"/>
          </rPr>
          <t>DELL:
INGRESAR: Devengado 2023 — INS-05</t>
        </r>
      </text>
    </comment>
    <comment ref="H20" authorId="0" shapeId="0" xr:uid="{00000000-0006-0000-0D00-000096000000}">
      <text>
        <r>
          <rPr>
            <sz val="11"/>
            <color theme="1"/>
            <rFont val="Aptos Narrow"/>
            <family val="2"/>
            <scheme val="minor"/>
          </rPr>
          <t>DELL:
INGRESAR: Pagado 2023 — INS-05</t>
        </r>
      </text>
    </comment>
    <comment ref="I20" authorId="0" shapeId="0" xr:uid="{00000000-0006-0000-0D00-000097000000}">
      <text>
        <r>
          <rPr>
            <sz val="11"/>
            <color theme="1"/>
            <rFont val="Aptos Narrow"/>
            <family val="2"/>
            <scheme val="minor"/>
          </rPr>
          <t>DELL:
INGRESAR: Codificado 2024 — INS-05 Catastro</t>
        </r>
      </text>
    </comment>
    <comment ref="J20" authorId="0" shapeId="0" xr:uid="{00000000-0006-0000-0D00-000098000000}">
      <text>
        <r>
          <rPr>
            <sz val="11"/>
            <color theme="1"/>
            <rFont val="Aptos Narrow"/>
            <family val="2"/>
            <scheme val="minor"/>
          </rPr>
          <t>DELL:
INGRESAR: Devengado 2024 — INS-05</t>
        </r>
      </text>
    </comment>
    <comment ref="K20" authorId="0" shapeId="0" xr:uid="{00000000-0006-0000-0D00-000099000000}">
      <text>
        <r>
          <rPr>
            <sz val="11"/>
            <color theme="1"/>
            <rFont val="Aptos Narrow"/>
            <family val="2"/>
            <scheme val="minor"/>
          </rPr>
          <t>DELL:
INGRESAR: Pagado 2024 — INS-05</t>
        </r>
      </text>
    </comment>
    <comment ref="L20" authorId="0" shapeId="0" xr:uid="{00000000-0006-0000-0D00-00009A000000}">
      <text>
        <r>
          <rPr>
            <sz val="11"/>
            <color theme="1"/>
            <rFont val="Aptos Narrow"/>
            <family val="2"/>
            <scheme val="minor"/>
          </rPr>
          <t>DELL:
Presupuesto referencial estimado INS-05. Fuente: M-POA col E PAC Ejecutado. Actualizado a través de partidas catastro genéricas. Reemplazar con cédula real.</t>
        </r>
      </text>
    </comment>
    <comment ref="M20" authorId="0" shapeId="0" xr:uid="{00000000-0006-0000-0D00-00009B000000}">
      <text>
        <r>
          <rPr>
            <sz val="11"/>
            <color theme="1"/>
            <rFont val="Aptos Narrow"/>
            <family val="2"/>
            <scheme val="minor"/>
          </rPr>
          <t>DELL:
Codificado vigente referencial INS-05 = mismo que inicial.</t>
        </r>
      </text>
    </comment>
    <comment ref="O20" authorId="0" shapeId="0" xr:uid="{00000000-0006-0000-0D00-00009C000000}">
      <text>
        <r>
          <rPr>
            <sz val="11"/>
            <color theme="1"/>
            <rFont val="Aptos Narrow"/>
            <family val="2"/>
            <scheme val="minor"/>
          </rPr>
          <t>DELL:
Devengado estimado INS-05 = Ti(1.0) x Codificado(169100) = 100% ejecutado. Valor referencial hasta recibir cédula real.</t>
        </r>
      </text>
    </comment>
    <comment ref="P20" authorId="0" shapeId="0" xr:uid="{00000000-0006-0000-0D00-00009D000000}">
      <text>
        <r>
          <rPr>
            <sz val="11"/>
            <color theme="1"/>
            <rFont val="Aptos Narrow"/>
            <family val="2"/>
            <scheme val="minor"/>
          </rPr>
          <t>DELL:
Pagado estimado INS-05 = Devengado x 0.95. Valor referencial.</t>
        </r>
      </text>
    </comment>
    <comment ref="D21" authorId="0" shapeId="0" xr:uid="{00000000-0006-0000-0D00-00009E000000}">
      <text>
        <r>
          <rPr>
            <sz val="11"/>
            <color theme="1"/>
            <rFont val="Aptos Narrow"/>
            <family val="2"/>
            <scheme val="minor"/>
          </rPr>
          <t>DELL:
CUP PENDIENTE verificación en SIGPIP MFE.
Meta: Albergue Fauna Urbana — SOC-08.
Ejecuta Patronato/Participación Ciudadana. Puede no tener CUP propio.
Verificar bajo Ordenanza N°017-2024-CM-GAADMCM.</t>
        </r>
      </text>
    </comment>
    <comment ref="E21" authorId="0" shapeId="0" xr:uid="{00000000-0006-0000-0D00-00009F000000}">
      <text>
        <r>
          <rPr>
            <sz val="11"/>
            <color theme="1"/>
            <rFont val="Aptos Narrow"/>
            <family val="2"/>
            <scheme val="minor"/>
          </rPr>
          <t>DELL:
Clasificador MFE: 7.3.02 = Servicios Generales. Albergue fauna urbana: servicio municipal de control animal. Fuente: Clasificador MFE 2023.</t>
        </r>
      </text>
    </comment>
    <comment ref="F21" authorId="0" shapeId="0" xr:uid="{00000000-0006-0000-0D00-0000A0000000}">
      <text>
        <r>
          <rPr>
            <sz val="11"/>
            <color theme="1"/>
            <rFont val="Aptos Narrow"/>
            <family val="2"/>
            <scheme val="minor"/>
          </rPr>
          <t>DELL:
INGRESAR: Codificado 2023 — SOC-08 Albergue Fauna Urbana (Patronato)</t>
        </r>
      </text>
    </comment>
    <comment ref="G21" authorId="0" shapeId="0" xr:uid="{00000000-0006-0000-0D00-0000A1000000}">
      <text>
        <r>
          <rPr>
            <sz val="11"/>
            <color theme="1"/>
            <rFont val="Aptos Narrow"/>
            <family val="2"/>
            <scheme val="minor"/>
          </rPr>
          <t>DELL:
INGRESAR: Devengado 2023 — SOC-08</t>
        </r>
      </text>
    </comment>
    <comment ref="H21" authorId="0" shapeId="0" xr:uid="{00000000-0006-0000-0D00-0000A2000000}">
      <text>
        <r>
          <rPr>
            <sz val="11"/>
            <color theme="1"/>
            <rFont val="Aptos Narrow"/>
            <family val="2"/>
            <scheme val="minor"/>
          </rPr>
          <t>DELL:
INGRESAR: Pagado 2023 — SOC-08</t>
        </r>
      </text>
    </comment>
    <comment ref="I21" authorId="0" shapeId="0" xr:uid="{00000000-0006-0000-0D00-0000A3000000}">
      <text>
        <r>
          <rPr>
            <sz val="11"/>
            <color theme="1"/>
            <rFont val="Aptos Narrow"/>
            <family val="2"/>
            <scheme val="minor"/>
          </rPr>
          <t>✅ VERIFICADO — Auditor Jefe
CODIF. 2024 SOC-08 Albergue Fauna Urbana
Partidas Patronato:
• 77.01.02 Tasas/Permisos/Licencias: $21.900,00
• 73.02.05 Espectáculos Culturales/Sociales: $22.896,00
TOTAL CODIF.: $44.796,00
Ordenanza de referencia: N°017-2024-CM-GAADMCM
Fuente: Cédula Presupuestaria Patronato 2024 (Patronato_Presupesto_2024.docx)</t>
        </r>
      </text>
    </comment>
    <comment ref="J21" authorId="0" shapeId="0" xr:uid="{00000000-0006-0000-0D00-0000A4000000}">
      <text>
        <r>
          <rPr>
            <sz val="11"/>
            <color theme="1"/>
            <rFont val="Aptos Narrow"/>
            <family val="2"/>
            <scheme val="minor"/>
          </rPr>
          <t>✅ VERIFICADO — Auditor Jefe
DEVENGADO 2024 SOC-08 Albergue Fauna Urbana
• 77.01.02 Dev.: $7.582,61 (Ejecución 34,62%)
• 73.02.05 Dev.: $16.824,50 (Ejecución 73,48%)
TOTAL DEVENGADO: $24.407,11
Ti = 24.407,11 / 44.796,00 = 54,49%
ALERTA: 🟡 Ejecución &lt;60% — acelerar POA 2025
Fuente: Cédula Patronato 2024</t>
        </r>
      </text>
    </comment>
    <comment ref="K21" authorId="0" shapeId="0" xr:uid="{00000000-0006-0000-0D00-0000A5000000}">
      <text>
        <r>
          <rPr>
            <sz val="11"/>
            <color theme="1"/>
            <rFont val="Aptos Narrow"/>
            <family val="2"/>
            <scheme val="minor"/>
          </rPr>
          <t>✅ VERIFICADO — Auditor Jefe
PAGADO 2024 SOC-08
• 77.01.02 Pag.: $7.582,61
• 73.02.05 Pag.: $9.538,00
TOTAL PAGADO: $17.120,61
% Pag/Dev = 70,15%
Fuente: Cédula Patronato 2024</t>
        </r>
      </text>
    </comment>
    <comment ref="M21" authorId="0" shapeId="0" xr:uid="{00000000-0006-0000-0D00-0000A6000000}">
      <text>
        <r>
          <rPr>
            <sz val="11"/>
            <color theme="1"/>
            <rFont val="Aptos Narrow"/>
            <family val="2"/>
            <scheme val="minor"/>
          </rPr>
          <t>DELL:
Codificado vigente REAL 2024 SOC-08 Albergue Fauna Urbana = partidas Patronato 77.01.02 ($21.900) + 73.02.05 ($22.896). Fuente: eSIGEF Cédula Patronato Dic.2024.</t>
        </r>
      </text>
    </comment>
    <comment ref="D22" authorId="0" shapeId="0" xr:uid="{00000000-0006-0000-0D00-0000A7000000}">
      <text>
        <r>
          <rPr>
            <sz val="11"/>
            <color theme="1"/>
            <rFont val="Aptos Narrow"/>
            <family val="2"/>
            <scheme val="minor"/>
          </rPr>
          <t>DELL:
CUP PENDIENTE verificación en SIGPIP MFE.
Meta: Proyecto Playa San José — ECO-12.
Buscar: 'Proyecto Ecoturístico Manglar Vivo Montecristi' en SIGPIP.
RDC 2024: certificado ambiental + estudios definitivos (25/03/2024).</t>
        </r>
      </text>
    </comment>
    <comment ref="E22" authorId="0" shapeId="0" xr:uid="{00000000-0006-0000-0D00-0000A8000000}">
      <text>
        <r>
          <rPr>
            <sz val="11"/>
            <color theme="1"/>
            <rFont val="Aptos Narrow"/>
            <family val="2"/>
            <scheme val="minor"/>
          </rPr>
          <t>DELL:
Clasificador MFE: 7.5.01 = Obras de Infraestructura. Proyecto Manglar Vivo/Playa San José: obra ecoturística. Fuente: Clasificador MFE 2023.</t>
        </r>
      </text>
    </comment>
    <comment ref="F22" authorId="0" shapeId="0" xr:uid="{00000000-0006-0000-0D00-0000A9000000}">
      <text>
        <r>
          <rPr>
            <sz val="11"/>
            <color theme="1"/>
            <rFont val="Aptos Narrow"/>
            <family val="2"/>
            <scheme val="minor"/>
          </rPr>
          <t>DELL:
INGRESAR: Codificado 2023 — ECO-12 Proyecto Playa San José/Manglar Vivo</t>
        </r>
      </text>
    </comment>
    <comment ref="G22" authorId="0" shapeId="0" xr:uid="{00000000-0006-0000-0D00-0000AA000000}">
      <text>
        <r>
          <rPr>
            <sz val="11"/>
            <color theme="1"/>
            <rFont val="Aptos Narrow"/>
            <family val="2"/>
            <scheme val="minor"/>
          </rPr>
          <t>DELL:
INGRESAR: Devengado 2023 — ECO-12</t>
        </r>
      </text>
    </comment>
    <comment ref="H22" authorId="0" shapeId="0" xr:uid="{00000000-0006-0000-0D00-0000AB000000}">
      <text>
        <r>
          <rPr>
            <sz val="11"/>
            <color theme="1"/>
            <rFont val="Aptos Narrow"/>
            <family val="2"/>
            <scheme val="minor"/>
          </rPr>
          <t>DELL:
INGRESAR: Pagado 2023 — ECO-12</t>
        </r>
      </text>
    </comment>
    <comment ref="I22" authorId="0" shapeId="0" xr:uid="{00000000-0006-0000-0D00-0000AC000000}">
      <text>
        <r>
          <rPr>
            <sz val="11"/>
            <color theme="1"/>
            <rFont val="Aptos Narrow"/>
            <family val="2"/>
            <scheme val="minor"/>
          </rPr>
          <t>DELL:
INGRESAR: Codificado 2024 — ECO-12 Manglar Vivo</t>
        </r>
      </text>
    </comment>
    <comment ref="J22" authorId="0" shapeId="0" xr:uid="{00000000-0006-0000-0D00-0000AD000000}">
      <text>
        <r>
          <rPr>
            <sz val="11"/>
            <color theme="1"/>
            <rFont val="Aptos Narrow"/>
            <family val="2"/>
            <scheme val="minor"/>
          </rPr>
          <t>DELL:
INGRESAR: Devengado 2024 — ECO-12</t>
        </r>
      </text>
    </comment>
    <comment ref="K22" authorId="0" shapeId="0" xr:uid="{00000000-0006-0000-0D00-0000AE000000}">
      <text>
        <r>
          <rPr>
            <sz val="11"/>
            <color theme="1"/>
            <rFont val="Aptos Narrow"/>
            <family val="2"/>
            <scheme val="minor"/>
          </rPr>
          <t>DELL:
INGRESAR: Pagado 2024 — ECO-12</t>
        </r>
      </text>
    </comment>
    <comment ref="D23" authorId="0" shapeId="0" xr:uid="{00000000-0006-0000-0D00-0000AF000000}">
      <text>
        <r>
          <rPr>
            <sz val="11"/>
            <color theme="1"/>
            <rFont val="Aptos Narrow"/>
            <family val="2"/>
            <scheme val="minor"/>
          </rPr>
          <t>DELL:
CUP PENDIENTE verificación en SIGPIP MFE.
Meta: Embellecimiento y Señalética — TER-18.
Buscar: 'Señalización Vial Montecristi / Embellecimiento Urbano'.
Dir. Obras Públicas puede proveer el CUP.</t>
        </r>
      </text>
    </comment>
    <comment ref="E23" authorId="0" shapeId="0" xr:uid="{00000000-0006-0000-0D00-0000B0000000}">
      <text>
        <r>
          <rPr>
            <sz val="11"/>
            <color theme="1"/>
            <rFont val="Aptos Narrow"/>
            <family val="2"/>
            <scheme val="minor"/>
          </rPr>
          <t>DELL:
Clasificador MFE: 7.3.02 = Servicios Generales para señalética y embellecimiento. Fuente: Clasificador MFE 2023.</t>
        </r>
      </text>
    </comment>
    <comment ref="F23" authorId="0" shapeId="0" xr:uid="{00000000-0006-0000-0D00-0000B1000000}">
      <text>
        <r>
          <rPr>
            <sz val="11"/>
            <color theme="1"/>
            <rFont val="Aptos Narrow"/>
            <family val="2"/>
            <scheme val="minor"/>
          </rPr>
          <t>DELL:
INGRESAR: Codificado 2023 — TER-18 Embellecimiento y Señalética Urbana</t>
        </r>
      </text>
    </comment>
    <comment ref="G23" authorId="0" shapeId="0" xr:uid="{00000000-0006-0000-0D00-0000B2000000}">
      <text>
        <r>
          <rPr>
            <sz val="11"/>
            <color theme="1"/>
            <rFont val="Aptos Narrow"/>
            <family val="2"/>
            <scheme val="minor"/>
          </rPr>
          <t>DELL:
INGRESAR: Devengado 2023 — TER-18</t>
        </r>
      </text>
    </comment>
    <comment ref="H23" authorId="0" shapeId="0" xr:uid="{00000000-0006-0000-0D00-0000B3000000}">
      <text>
        <r>
          <rPr>
            <sz val="11"/>
            <color theme="1"/>
            <rFont val="Aptos Narrow"/>
            <family val="2"/>
            <scheme val="minor"/>
          </rPr>
          <t>DELL:
INGRESAR: Pagado 2023 — TER-18</t>
        </r>
      </text>
    </comment>
    <comment ref="I23" authorId="0" shapeId="0" xr:uid="{00000000-0006-0000-0D00-0000B4000000}">
      <text>
        <r>
          <rPr>
            <sz val="11"/>
            <color theme="1"/>
            <rFont val="Aptos Narrow"/>
            <family val="2"/>
            <scheme val="minor"/>
          </rPr>
          <t>DELL:
INGRESAR: Codificado 2024 — TER-18 Señalética</t>
        </r>
      </text>
    </comment>
    <comment ref="J23" authorId="0" shapeId="0" xr:uid="{00000000-0006-0000-0D00-0000B5000000}">
      <text>
        <r>
          <rPr>
            <sz val="11"/>
            <color theme="1"/>
            <rFont val="Aptos Narrow"/>
            <family val="2"/>
            <scheme val="minor"/>
          </rPr>
          <t>DELL:
INGRESAR: Devengado 2024 — TER-18</t>
        </r>
      </text>
    </comment>
    <comment ref="K23" authorId="0" shapeId="0" xr:uid="{00000000-0006-0000-0D00-0000B6000000}">
      <text>
        <r>
          <rPr>
            <sz val="11"/>
            <color theme="1"/>
            <rFont val="Aptos Narrow"/>
            <family val="2"/>
            <scheme val="minor"/>
          </rPr>
          <t>DELL:
INGRESAR: Pagado 2024 — TER-18</t>
        </r>
      </text>
    </comment>
    <comment ref="D24" authorId="0" shapeId="0" xr:uid="{00000000-0006-0000-0D00-0000B7000000}">
      <text>
        <r>
          <rPr>
            <sz val="11"/>
            <color theme="1"/>
            <rFont val="Aptos Narrow"/>
            <family val="2"/>
            <scheme val="minor"/>
          </rPr>
          <t>DELL:
CUP PENDIENTE verificación en SIGPIP MFE.
Meta: Reservorios de Agua — TER-15.
Buscar: 'Reservorios Agua Rural Montecristi / Acueducto CAF'.
RDC 2024: estudios definitivos listos + 3 convenios firmados.</t>
        </r>
      </text>
    </comment>
    <comment ref="E24" authorId="0" shapeId="0" xr:uid="{00000000-0006-0000-0D00-0000B8000000}">
      <text>
        <r>
          <rPr>
            <sz val="11"/>
            <color theme="1"/>
            <rFont val="Aptos Narrow"/>
            <family val="2"/>
            <scheme val="minor"/>
          </rPr>
          <t>DELL:
Clasificador MFE: 7.5.01 = Obras de Infraestructura. Reservorios de agua rural. Fuente: Clasificador MFE 2023.</t>
        </r>
      </text>
    </comment>
    <comment ref="F24" authorId="0" shapeId="0" xr:uid="{00000000-0006-0000-0D00-0000B9000000}">
      <text>
        <r>
          <rPr>
            <sz val="11"/>
            <color theme="1"/>
            <rFont val="Aptos Narrow"/>
            <family val="2"/>
            <scheme val="minor"/>
          </rPr>
          <t>DELL:
INGRESAR: Codificado 2023 — TER-15 Reservorios de Agua Rural</t>
        </r>
      </text>
    </comment>
    <comment ref="G24" authorId="0" shapeId="0" xr:uid="{00000000-0006-0000-0D00-0000BA000000}">
      <text>
        <r>
          <rPr>
            <sz val="11"/>
            <color theme="1"/>
            <rFont val="Aptos Narrow"/>
            <family val="2"/>
            <scheme val="minor"/>
          </rPr>
          <t>DELL:
INGRESAR: Devengado 2023 — TER-15</t>
        </r>
      </text>
    </comment>
    <comment ref="H24" authorId="0" shapeId="0" xr:uid="{00000000-0006-0000-0D00-0000BB000000}">
      <text>
        <r>
          <rPr>
            <sz val="11"/>
            <color theme="1"/>
            <rFont val="Aptos Narrow"/>
            <family val="2"/>
            <scheme val="minor"/>
          </rPr>
          <t>DELL:
INGRESAR: Pagado 2023 — TER-15</t>
        </r>
      </text>
    </comment>
    <comment ref="I24" authorId="0" shapeId="0" xr:uid="{00000000-0006-0000-0D00-0000BC000000}">
      <text>
        <r>
          <rPr>
            <sz val="11"/>
            <color theme="1"/>
            <rFont val="Aptos Narrow"/>
            <family val="2"/>
            <scheme val="minor"/>
          </rPr>
          <t>DELL:
INGRESAR: Codificado 2024 — TER-15 Reservorios</t>
        </r>
      </text>
    </comment>
    <comment ref="J24" authorId="0" shapeId="0" xr:uid="{00000000-0006-0000-0D00-0000BD000000}">
      <text>
        <r>
          <rPr>
            <sz val="11"/>
            <color theme="1"/>
            <rFont val="Aptos Narrow"/>
            <family val="2"/>
            <scheme val="minor"/>
          </rPr>
          <t>DELL:
INGRESAR: Devengado 2024 — TER-15</t>
        </r>
      </text>
    </comment>
    <comment ref="K24" authorId="0" shapeId="0" xr:uid="{00000000-0006-0000-0D00-0000BE000000}">
      <text>
        <r>
          <rPr>
            <sz val="11"/>
            <color theme="1"/>
            <rFont val="Aptos Narrow"/>
            <family val="2"/>
            <scheme val="minor"/>
          </rPr>
          <t>DELL:
INGRESAR: Pagado 2024 — TER-15</t>
        </r>
      </text>
    </comment>
    <comment ref="F25" authorId="0" shapeId="0" xr:uid="{00000000-0006-0000-0D00-0000BF000000}">
      <text>
        <r>
          <rPr>
            <sz val="11"/>
            <color theme="1"/>
            <rFont val="Aptos Narrow"/>
            <family val="2"/>
            <scheme val="minor"/>
          </rPr>
          <t>DELL:
Suma codificado 2023 de las 20 metas</t>
        </r>
      </text>
    </comment>
    <comment ref="G25" authorId="0" shapeId="0" xr:uid="{00000000-0006-0000-0D00-0000C0000000}">
      <text>
        <r>
          <rPr>
            <sz val="11"/>
            <color theme="1"/>
            <rFont val="Aptos Narrow"/>
            <family val="2"/>
            <scheme val="minor"/>
          </rPr>
          <t>DELL:
Suma devengado 2023 de las 20 metas</t>
        </r>
      </text>
    </comment>
    <comment ref="H25" authorId="0" shapeId="0" xr:uid="{00000000-0006-0000-0D00-0000C1000000}">
      <text>
        <r>
          <rPr>
            <sz val="11"/>
            <color theme="1"/>
            <rFont val="Aptos Narrow"/>
            <family val="2"/>
            <scheme val="minor"/>
          </rPr>
          <t>DELL:
Suma pagado 2023 de las 20 metas</t>
        </r>
      </text>
    </comment>
    <comment ref="I25" authorId="0" shapeId="0" xr:uid="{00000000-0006-0000-0D00-0000C2000000}">
      <text>
        <r>
          <rPr>
            <sz val="11"/>
            <color theme="1"/>
            <rFont val="Aptos Narrow"/>
            <family val="2"/>
            <scheme val="minor"/>
          </rPr>
          <t>DELL:
Suma codificado 2024 de las 20 metas</t>
        </r>
      </text>
    </comment>
    <comment ref="J25" authorId="0" shapeId="0" xr:uid="{00000000-0006-0000-0D00-0000C3000000}">
      <text>
        <r>
          <rPr>
            <sz val="11"/>
            <color theme="1"/>
            <rFont val="Aptos Narrow"/>
            <family val="2"/>
            <scheme val="minor"/>
          </rPr>
          <t>DELL:
Suma devengado 2024 de las 20 metas</t>
        </r>
      </text>
    </comment>
    <comment ref="K25" authorId="0" shapeId="0" xr:uid="{00000000-0006-0000-0D00-0000C4000000}">
      <text>
        <r>
          <rPr>
            <sz val="11"/>
            <color theme="1"/>
            <rFont val="Aptos Narrow"/>
            <family val="2"/>
            <scheme val="minor"/>
          </rPr>
          <t>DELL:
Suma pagado 2024 de las 20 metas</t>
        </r>
      </text>
    </comment>
    <comment ref="L25" authorId="0" shapeId="0" xr:uid="{00000000-0006-0000-0D00-0000C5000000}">
      <text>
        <r>
          <rPr>
            <sz val="11"/>
            <color theme="1"/>
            <rFont val="Aptos Narrow"/>
            <family val="2"/>
            <scheme val="minor"/>
          </rPr>
          <t>DELL:
Total Presupuesto Inicial PDOT n=20 metas</t>
        </r>
      </text>
    </comment>
    <comment ref="M25" authorId="0" shapeId="0" xr:uid="{00000000-0006-0000-0D00-0000C6000000}">
      <text>
        <r>
          <rPr>
            <sz val="11"/>
            <color theme="1"/>
            <rFont val="Aptos Narrow"/>
            <family val="2"/>
            <scheme val="minor"/>
          </rPr>
          <t>DELL:
Total Codificado Vigente n=20 metas</t>
        </r>
      </text>
    </comment>
    <comment ref="N25" authorId="0" shapeId="0" xr:uid="{00000000-0006-0000-0D00-0000C7000000}">
      <text>
        <r>
          <rPr>
            <sz val="11"/>
            <color theme="1"/>
            <rFont val="Aptos Narrow"/>
            <family val="2"/>
            <scheme val="minor"/>
          </rPr>
          <t>DELL:
Total Reformas presupuestarias n=20 metas</t>
        </r>
      </text>
    </comment>
    <comment ref="O25" authorId="0" shapeId="0" xr:uid="{00000000-0006-0000-0D00-0000C8000000}">
      <text>
        <r>
          <rPr>
            <sz val="11"/>
            <color theme="1"/>
            <rFont val="Aptos Narrow"/>
            <family val="2"/>
            <scheme val="minor"/>
          </rPr>
          <t>DELL:
Devengado acumulado total n=20 metas</t>
        </r>
      </text>
    </comment>
    <comment ref="P25" authorId="0" shapeId="0" xr:uid="{00000000-0006-0000-0D00-0000C9000000}">
      <text>
        <r>
          <rPr>
            <sz val="11"/>
            <color theme="1"/>
            <rFont val="Aptos Narrow"/>
            <family val="2"/>
            <scheme val="minor"/>
          </rPr>
          <t>DELL:
Pagado acumulado total n=20 metas</t>
        </r>
      </text>
    </comment>
    <comment ref="Q25" authorId="0" shapeId="0" xr:uid="{00000000-0006-0000-0D00-0000CA000000}">
      <text>
        <r>
          <rPr>
            <sz val="11"/>
            <color theme="1"/>
            <rFont val="Aptos Narrow"/>
            <family val="2"/>
            <scheme val="minor"/>
          </rPr>
          <t>Ti global = Devengado Acum total / Codificado Vigente total. Base: COPFP Art.111. Propagado a ICPI via D-MAD.</t>
        </r>
      </text>
    </comment>
    <comment ref="R25" authorId="0" shapeId="0" xr:uid="{00000000-0006-0000-0D00-0000CB000000}">
      <text>
        <r>
          <rPr>
            <sz val="11"/>
            <color theme="1"/>
            <rFont val="Aptos Narrow"/>
            <family val="2"/>
            <scheme val="minor"/>
          </rPr>
          <t>DELL:
% Pagado global = Pagado acumulado total / Devengado acumulado total n=20 metas</t>
        </r>
      </text>
    </comment>
    <comment ref="S25" authorId="0" shapeId="0" xr:uid="{00000000-0006-0000-0D00-0000CC000000}">
      <text>
        <r>
          <rPr>
            <sz val="11"/>
            <color theme="1"/>
            <rFont val="Aptos Narrow"/>
            <family val="2"/>
            <scheme val="minor"/>
          </rPr>
          <t>DELL:
Etiqueta Ti global acumulado 2023+2024. Referencia Q26.</t>
        </r>
      </text>
    </comment>
    <comment ref="F27" authorId="0" shapeId="0" xr:uid="{00000000-0006-0000-0D00-0000CD000000}">
      <text>
        <r>
          <rPr>
            <sz val="11"/>
            <color theme="1"/>
            <rFont val="Aptos Narrow"/>
            <family val="2"/>
            <scheme val="minor"/>
          </rPr>
          <t>DELL:
Devengado 2023 por eje (Secc. A cols 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A3" authorId="0" shapeId="0" xr:uid="{00000000-0006-0000-0E00-000001000000}">
      <text>
        <r>
          <rPr>
            <sz val="11"/>
            <color theme="1"/>
            <rFont val="Aptos Narrow"/>
            <family val="2"/>
            <scheme val="minor"/>
          </rPr>
          <t>Estimación POA 2027 cierre PDOT — actualizar cuando sea aprobado</t>
        </r>
      </text>
    </comment>
    <comment ref="O5" authorId="0" shapeId="0" xr:uid="{00000000-0006-0000-0E00-000002000000}">
      <text>
        <r>
          <rPr>
            <sz val="11"/>
            <color theme="1"/>
            <rFont val="Aptos Narrow"/>
            <family val="2"/>
            <scheme val="minor"/>
          </rPr>
          <t>FUENTE: POA 2023 REFORMADO GAD Municipal Montecristi
CRUCE FORENSE INTEGRAL — Cantón completo
PARTIDAS VINCULADAS:
• Construcción Colectores Hormigón Armado redes terciarias: $109,000.00
• Suministros Tuberías, Tapas, Accesorios alcantarillado: $107,638.39
• Crédito BDE Fiscalización Sistema Alcantarillado La Pila: $140,000.00
• Crédito BDE Agua Potable y Alcantarillado Sitio Colón: $63,720.69
• Contraparte Municipal Alcantarillado La Pila: $80,000.00
• Crédito BDE Construcción Sistema Alcantarillado La Pila: $2,080,802.20
• Red primaria alcantarillado sectores Poa/Roca/Eloy Alfaro: $109,000.00
• Crédito BDE Agua Potable y Alcantarillado Sitio Colón II: $1,342,532.62
Dir. Agua Potable y Alcantarillado Sanitario
FASE 2 SIAP-ICPI · Ingesta POA 2023</t>
        </r>
      </text>
    </comment>
    <comment ref="P5" authorId="0" shapeId="0" xr:uid="{00000000-0006-0000-0E00-000003000000}">
      <text>
        <r>
          <rPr>
            <sz val="11"/>
            <color theme="1"/>
            <rFont val="Aptos Narrow"/>
            <family val="2"/>
            <scheme val="minor"/>
          </rPr>
          <t>POA 2024 INGESTA FORENSE · PDOT.AS.OE1.M1.02
FUENTE: POA 2024 GAD Municipal Montecristi
PARTIDAS VINCULADAS:
• Act.3-5: Hidrosuccionador (mant/repuestos/lubric): $17,000
• Act.102: Suministros Tuberías/Tapas alcantarillado: $120,000
• Act.109: Contrato Complementario Alcantarillado Cerro Guayabal: $200,000
TOTAL GAD 2024: $337,000
Ingresado por homología de objeto de gasto.
FASE 2 SIAP-ICPI · Ingesta POA 2024</t>
        </r>
      </text>
    </comment>
    <comment ref="Q5" authorId="0" shapeId="0" xr:uid="{00000000-0006-0000-0E00-000004000000}">
      <text>
        <r>
          <rPr>
            <sz val="11"/>
            <color theme="1"/>
            <rFont val="Aptos Narrow"/>
            <family val="2"/>
            <scheme val="minor"/>
          </rPr>
          <t>DELL:
Ingresar monto POA 2025 aprobado cuando esté disponible</t>
        </r>
      </text>
    </comment>
    <comment ref="O6" authorId="0" shapeId="0" xr:uid="{00000000-0006-0000-0E00-000005000000}">
      <text>
        <r>
          <rPr>
            <sz val="11"/>
            <color theme="1"/>
            <rFont val="Aptos Narrow"/>
            <family val="2"/>
            <scheme val="minor"/>
          </rPr>
          <t>FUENTE: POA 2023 REFORMADO GAD Municipal Montecristi
CRUCE FORENSE INTEGRAL — Cantón completo
PARTIDA VINCULADA:
• Equipamiento del Centro de Salud Municipal: $5,000.00
Dir. Acción e Inclusión Social y Comunitaria
NOTA: No existe partida específica para Centro Salud Tipo C MSP — solo equipamiento menor. Meta depende de gestión interinstitucional MSP.
FASE 2 SIAP-ICPI · Ingesta POA 2023</t>
        </r>
      </text>
    </comment>
    <comment ref="P6" authorId="0" shapeId="0" xr:uid="{7070CC99-4064-49B0-9D6B-143B2D6F75AB}">
      <text>
        <r>
          <rPr>
            <b/>
            <sz val="9"/>
            <color indexed="81"/>
            <rFont val="Tahoma"/>
          </rPr>
          <t>DELL:</t>
        </r>
        <r>
          <rPr>
            <sz val="9"/>
            <color indexed="81"/>
            <rFont val="Tahoma"/>
          </rPr>
          <t xml:space="preserve">
POA 2024 INGESTA FORENSE · PDOT.SC.OE2.M1.01
FUENTE: POA 2024 GAD Municipal Montecristi
RESULTADO: SIN PARTIDA ASIGNADA
No existe asignación presupuestaria para Centro de Salud Tipo C en POA 2024.
Meta depende de gestión interinstitucional MSP — sin partida GAD.
🔴 OPACIDAD PROGRAMÁTICA: Meta sin financiamiento 2do año consecutivo.
FASE 2 SIAP-ICPI · Ingesta POA 2024</t>
        </r>
      </text>
    </comment>
    <comment ref="O7" authorId="0" shapeId="0" xr:uid="{00000000-0006-0000-0E00-000006000000}">
      <text>
        <r>
          <rPr>
            <sz val="11"/>
            <color theme="1"/>
            <rFont val="Aptos Narrow"/>
            <family val="2"/>
            <scheme val="minor"/>
          </rPr>
          <t>FUENTE: POA 2023 REFORMADO GAD Municipal Montecristi
CRUCE FORENSE INTEGRAL — Cantón completo
RESULTADO: SIN PARTIDA ASIGNADA
Ninguna partida de Terminal Terrestre identificada en el POA 2023 Reformado.
Meta no activada en ejercicio fiscal 2023.
FASE 2 SIAP-ICPI · Ingesta POA 2023</t>
        </r>
      </text>
    </comment>
    <comment ref="P7" authorId="0" shapeId="0" xr:uid="{313C993C-B25E-479A-B761-D83C1FA47C9D}">
      <text>
        <r>
          <rPr>
            <b/>
            <sz val="9"/>
            <color indexed="81"/>
            <rFont val="Tahoma"/>
          </rPr>
          <t>DELL:</t>
        </r>
        <r>
          <rPr>
            <sz val="9"/>
            <color indexed="81"/>
            <rFont val="Tahoma"/>
          </rPr>
          <t xml:space="preserve">
POA 2024 INGESTA FORENSE · PDOT.AS.OE1.M2.01
FUENTE: POA 2024 GAD Municipal Montecristi
PARTIDAS VINCULADAS:
• Act.51: Consultoría Construcción de Centro Comercial: $50,000
  (Coordinación Gral. Proyectos Estratégicos e Inversión)
Ingresado por homología de objeto de gasto — equipamiento comercial/administrativo vinculable a Terminal Terrestre/equipamiento público.
FASE 2 SIAP-ICPI · Ingesta POA 2024</t>
        </r>
      </text>
    </comment>
    <comment ref="O8" authorId="0" shapeId="0" xr:uid="{00000000-0006-0000-0E00-000007000000}">
      <text>
        <r>
          <rPr>
            <sz val="11"/>
            <color theme="1"/>
            <rFont val="Aptos Narrow"/>
            <family val="2"/>
            <scheme val="minor"/>
          </rPr>
          <t>FUENTE: POA 2023 REFORMADO GAD Municipal Montecristi
CRUCE FORENSE INTEGRAL — Cantón completo
RESULTADO: SIN PARTIDA ASIGNADA
Ninguna partida de Camal Municipal identificada en el POA 2023 Reformado.
Meta no activada en ejercicio fiscal 2023.
FASE 2 SIAP-ICPI · Ingesta POA 2023</t>
        </r>
      </text>
    </comment>
    <comment ref="P8" authorId="0" shapeId="0" xr:uid="{E08E41CB-2B37-4045-8386-B069FB560044}">
      <text>
        <r>
          <rPr>
            <b/>
            <sz val="9"/>
            <color indexed="81"/>
            <rFont val="Tahoma"/>
          </rPr>
          <t>DELL:</t>
        </r>
        <r>
          <rPr>
            <sz val="9"/>
            <color indexed="81"/>
            <rFont val="Tahoma"/>
          </rPr>
          <t xml:space="preserve">
POA 2024 INGESTA FORENSE · PDOT.AS.OE1.M2.02
FUENTE: POA 2024 GAD Municipal Montecristi
RESULTADO: SIN PARTIDA ASIGNADA
No existe asignación para Camal Municipal en POA 2024.
Meta no activada en ejercicio fiscal 2024.
🔴 ABANDONO PROGRAMÁTICO: 2do año consecutivo sin asignación.
FASE 2 SIAP-ICPI · Ingesta POA 2024</t>
        </r>
      </text>
    </comment>
    <comment ref="O9" authorId="0" shapeId="0" xr:uid="{00000000-0006-0000-0E00-000008000000}">
      <text>
        <r>
          <rPr>
            <sz val="11"/>
            <color theme="1"/>
            <rFont val="Aptos Narrow"/>
            <family val="2"/>
            <scheme val="minor"/>
          </rPr>
          <t>FUENTE CONSOLIDADA: GAD + PATRONATO MUNICIPAL (PMAS)
CRUCE FORENSE INTEGRAL — Cantón Montecristi
[GAD] POA 2023 Reformado: $0.00
  → SIN PARTIDA diferenciada para Equipamiento Geriátrico (GAD central)
[PMAS] POA 2023 Patronato Municipal de Amparo Social: $1,673.18
  PARTIDAS VINCULADAS — Convenio Adulto Mayor:
  • Eventos sociales y culturales Convenio Adulto Mayor: $583.50
  • Material didáctico proyecto Adulto Mayor: $1,013.64
  • Mantenimiento centro Convenio Adulto Mayor: $76.04
  Dir. Acción Social / PMAS
FASE 3 SIAP-ICPI · Ingesta POA 2023 Patronato Montecristi</t>
        </r>
      </text>
    </comment>
    <comment ref="P9" authorId="0" shapeId="0" xr:uid="{07C8F96E-8065-47C1-9322-F5D3A1B555E9}">
      <text>
        <r>
          <rPr>
            <b/>
            <sz val="9"/>
            <color indexed="81"/>
            <rFont val="Tahoma"/>
          </rPr>
          <t>POA 2024 INGESTA FORENSE CONSOLIDADA · PDOT.SC.OE2.M2.01
FUENTE: POA 2024 GAD + PATRONATO MUNICIPAL (PMAS)
[GAD] Dir. Desarrollo Acción e Inclusión Social / Concejo Protección Derechos:
• Act.86: Capacitaciones protección derechos: $12,000
• Act.87: Eventos fortalecimiento reducción indicadores: $10,000
• Act.88: Alimentación beneficiarios programas: $1,500
Subtotal GAD: $23,500
[PMAS] Convenio Adulto Mayor (ya ingresado Patronato):
• Alimentación, eventos, materiales, mantenimiento: $67,236.75
TOTAL CONSOLIDADO 2024: $90,736.75
Ingresado por homología de objeto de gasto.
FASE 2 SIAP-ICPI · Ingesta POA 2024</t>
        </r>
      </text>
    </comment>
    <comment ref="O10" authorId="0" shapeId="0" xr:uid="{00000000-0006-0000-0E00-000009000000}">
      <text>
        <r>
          <rPr>
            <sz val="11"/>
            <color theme="1"/>
            <rFont val="Aptos Narrow"/>
            <family val="2"/>
            <scheme val="minor"/>
          </rPr>
          <t>FUENTE: POA 2023 REFORMADO GAD Municipal Montecristi
CRUCE FORENSE INTEGRAL — Cantón completo (urbano + parroquias rurales)
PARTIDAS VINCULADAS:
• Pavimentación/Repavimentación/mejoramiento carpeta asfáltica y bacheo vías: $689,503.02
• Reconstrucción Anillo Vial Tierra Santa y Santa Isabel: $242,500.00
• Mejoramiento Tipo MTO Calles Sectores Urbanos del Cantón: $371,234.24
• Construcción Aceras-Bordillos/Adoquinamiento/Repavimentación/Pavimentación: $629,000.00
Dir. Obras Públicas
FASE 2 SIAP-ICPI · Ingesta POA 2023</t>
        </r>
      </text>
    </comment>
    <comment ref="P10" authorId="0" shapeId="0" xr:uid="{F408E13D-75D6-4D36-B2BC-E8DFF88B7C7E}">
      <text>
        <r>
          <rPr>
            <b/>
            <sz val="9"/>
            <color indexed="81"/>
            <rFont val="Tahoma"/>
          </rPr>
          <t>DELL:</t>
        </r>
        <r>
          <rPr>
            <sz val="9"/>
            <color indexed="81"/>
            <rFont val="Tahoma"/>
          </rPr>
          <t xml:space="preserve">
POA 2024 INGESTA FORENSE · PDOT.AS.VL.M1.01
FUENTE: POA 2024 GAD Municipal Montecristi
PARTIDAS VINCULADAS (Dir. Obras Públicas):
• Act.147: Mantenimiento de Terrazas: $50,000
• Act.148: Construcción Cerramiento, Parqueo, Protección quebrada: $50,000
• Act.161: Adecuación 3er y 4to piso Municipio: $85,000
• Act.50: Estudios Geotécnicos proyectos estratégicos: $4,000
• Obras viales urbanas generales Dir.Obras: $96,000
TOTAL GAD 2024: $285,000
NOTA: Sin partida explícita de bacheo/pavimentación en 2024. Ingresado por homología de objeto de gasto.
FASE 2 SIAP-ICPI · Ingesta POA 2024</t>
        </r>
      </text>
    </comment>
    <comment ref="O11" authorId="0" shapeId="0" xr:uid="{00000000-0006-0000-0E00-00000A000000}">
      <text>
        <r>
          <rPr>
            <sz val="11"/>
            <color theme="1"/>
            <rFont val="Aptos Narrow"/>
            <family val="2"/>
            <scheme val="minor"/>
          </rPr>
          <t>FUENTE CONSOLIDADA: GAD + PATRONATO MUNICIPAL (PMAS)
CRUCE FORENSE INTEGRAL — Cantón Montecristi
[GAD] POA 2023 Reformado: $3,340.00
  → Adquisición de Accesorios e Insumos Químicos y Orgánicos
[PMAS] POA 2023 Patronato Municipal de Amparo Social: $379,149.32
  PARTIDAS VINCULADAS — Atención Médica CMD / CDBV / UMSC:
  • Medicamentos para pacientes (principal): $120,000.00
  • Insumos Hemoдиálisis: $47,000.00
  • Insumos médicos generales: $78,257.45
  • Servicios médicos hospitalarios y laboratorio: $25,000.00
  • Equipos médicos proyectos: $6,461.30
  • Equipos terapia física CDBV: $9,374.78
  • Equipos odontológicos UMSC: $5,663.00
  • Ayudas técnicas e insumos médicos: $7,000.00
  • Cirujano vascular pacientes CMD: $5,000.00
  • Materiales aseo proyectos: $6,300.00
  • Servicios recarga oxígeno/extintores: $600.00
  • + 12 partidas operativas vinculadas
  Dir. Acción Social / PMAS — Proyectos CMD, CDBV, UMSC
FASE 3 SIAP-ICPI · Ingesta POA 2023 Patronato Montecristi</t>
        </r>
      </text>
    </comment>
    <comment ref="P11" authorId="0" shapeId="0" xr:uid="{A99C973F-DFAA-4CC4-9EAC-A3590099579A}">
      <text>
        <r>
          <rPr>
            <b/>
            <sz val="9"/>
            <color indexed="81"/>
            <rFont val="Tahoma"/>
          </rPr>
          <t>POA 2024 INGESTA FORENSE CONSOLIDADA · PDOT.SC.OE2.M3.01
FUENTE: POA 2024 GAD + PATRONATO MUNICIPAL (PMAS)
[GAD] Dir. Desarrollo Social:
• Act.176: Instrumental Médico Quirúrgico Clubes de Salud: $10,000
Subtotal GAD: $10,000
[PMAS] Atención Médica CMD/CDBV/UMSC (ya ingresado Patronato):
• Insumos Hemodiálisis, laboratorio, equipos médicos, etc.: $336,673.39
TOTAL CONSOLIDADO 2024: $346,673.39
Ingresado por homología de objeto de gasto.
FASE 2 SIAP-ICPI · Ingesta POA 2024</t>
        </r>
      </text>
    </comment>
    <comment ref="O12" authorId="0" shapeId="0" xr:uid="{00000000-0006-0000-0E00-00000B000000}">
      <text>
        <r>
          <rPr>
            <sz val="11"/>
            <color theme="1"/>
            <rFont val="Aptos Narrow"/>
            <family val="2"/>
            <scheme val="minor"/>
          </rPr>
          <t>FUENTE: POA 2023 REFORMADO GAD Municipal Montecristi
CRUCE FORENSE INTEGRAL — Cantón completo
PARTIDA VINCULADA:
• Mantenimiento, operación y tratamientos de las Plantas de Tratamiento de Aguas Residuales: $35,920.00
Dir. Gestión Ambiental
NOTA: Es operación/mantenimiento de PTAR existentes (Bajo Pechiche, Bajo Palma, Bajo Afuera, Reactor Colorado). No incluye obra nueva PTAR.
FASE 2 SIAP-ICPI · Ingesta POA 2023</t>
        </r>
      </text>
    </comment>
    <comment ref="P12" authorId="0" shapeId="0" xr:uid="{C1E39D7B-59ED-4174-A6B5-28BB4C700A73}">
      <text>
        <r>
          <rPr>
            <b/>
            <sz val="9"/>
            <color indexed="81"/>
            <rFont val="Tahoma"/>
          </rPr>
          <t>DELL:</t>
        </r>
        <r>
          <rPr>
            <sz val="9"/>
            <color indexed="81"/>
            <rFont val="Tahoma"/>
          </rPr>
          <t xml:space="preserve">
POA 2024 INGESTA FORENSE · PDOT.AM.OE3.M1.01
FUENTE: POA 2024 GAD Municipal Montecristi
PARTIDAS VINCULADAS:
• Act.119: Adquisición kit de respuesta humanitaria (Dir. Planificación/Gestión Riesgos): $52,000
NOTA: Sin partida de obra nueva PTAR en 2024. La gestión de riesgos es componente vinculado a infraestructura de mitigación ambiental.
Ingresado por homología de objeto de gasto.
FASE 2 SIAP-ICPI · Ingesta POA 2024</t>
        </r>
      </text>
    </comment>
    <comment ref="O13" authorId="0" shapeId="0" xr:uid="{00000000-0006-0000-0E00-00000C000000}">
      <text>
        <r>
          <rPr>
            <sz val="11"/>
            <color theme="1"/>
            <rFont val="Aptos Narrow"/>
            <family val="2"/>
            <scheme val="minor"/>
          </rPr>
          <t>FUENTE: POA 2023 REFORMADO GAD Municipal Montecristi
CRUCE FORENSE INTEGRAL — Cantón completo (urbano + rural)
PARTIDAS VINCULADAS:
• Adquisición y plantación árboles forestales varios sectores: $6,000.00
• Mejoramiento espacios de encuentro en comunidades: $10,000.00
• Mantenimiento y Recuperación Espacios Públicos Urbanos y Rurales: $188,765.76
• Adquisición moto guarañas, motosierra, carretillas (x2): $6,000.00
• Fertilizantes/fungicidas/herbicidas espacios verdes: $7,000.00
• Prevenir y mitigar daños en espacios públicos: $40,000.00
Dir. Gestión Ambiental / Espacios Públicos / Obras Públicas
FASE 2 SIAP-ICPI · Ingesta POA 2023</t>
        </r>
      </text>
    </comment>
    <comment ref="P13" authorId="0" shapeId="0" xr:uid="{FD824F68-CAB0-41F2-BDE0-5AFED05AFD82}">
      <text>
        <r>
          <rPr>
            <b/>
            <sz val="9"/>
            <color indexed="81"/>
            <rFont val="Tahoma"/>
          </rPr>
          <t>DELL:</t>
        </r>
        <r>
          <rPr>
            <sz val="9"/>
            <color indexed="81"/>
            <rFont val="Tahoma"/>
          </rPr>
          <t xml:space="preserve">
POA 2024 INGESTA FORENSE · PDOT.AV.OE1.M1.01
FUENTE: POA 2024 GAD Municipal Montecristi
PARTIDAS VINCULADAS (Dir. Espacios Públicos + Dir. Ambiental):
• Act.133: Moto guarañas y herramientas: $6,000
• Act.135: Fertilizantes/fungicidas/herbicidas: $7,000
• Act.136: Mant. motoguadañas/bombas: $2,000
• Act.137a: Materiales operatividad EP: $10,000
• Act.137b: Insumos construcción EP: $10,000
• Act.138: Herramientas y equipos menores: $20,000
• Act.140: Prevenir/mitigar daños espacios públicos: $60,000
• Act.141: Mejoramiento infraestructura cementerios: $57,000
• Act.142: Islas de juegos parques: $70,000
• Act.143: Transformadores/fuentes parques: $6,500
• Act.160: Construcción Parque Las Pampas: $37,960
• Act.114-115: Educación ambiental + plantas árboles: $10,000
• Act.118: Informes ambientales: $5,000
• Materiales urbanización embellecimiento adicionales: $69,000
TOTAL GAD 2024: $370,460
FASE 2 SIAP-ICPI · Ingesta POA 2024</t>
        </r>
      </text>
    </comment>
    <comment ref="O14" authorId="0" shapeId="0" xr:uid="{00000000-0006-0000-0E00-00000D000000}">
      <text>
        <r>
          <rPr>
            <sz val="11"/>
            <color theme="1"/>
            <rFont val="Aptos Narrow"/>
            <family val="2"/>
            <scheme val="minor"/>
          </rPr>
          <t>FUENTE CONSOLIDADA: GAD + PATRONATO MUNICIPAL (PMAS)
CRUCE FORENSE INTEGRAL — Cantón Montecristi
[GAD] POA 2023 Reformado: $10,000.00
  → Talleres zona libre de embarazo en adolescentes
[PMAS] POA 2023 Patronato Municipal de Amparo Social: $61,074.68
  PARTIDAS VINCULADAS — Convenio CDI (MIES):
  • Alimentación Convenio CDI: $40,000.32
  • Materiales de aseo CDI: $4,953.52
  • Mantenimiento centro CDI: $4,268.24
  • Arriendo local Convenio CDI: $1,735.80
  • Energía eléctrica CDI: $1,189.12
  • Material didáctico CDI: $1,713.60
  • Material fungible CDI: $2,296.64
  • Materiales de oficina CDI: $735.36
  • Servicio de agua CDI: $1,232.64
  • Telecomunicación CDI: $568.64
  • Limpieza CDI: $380.80
  • + Partidas de niñez vinculadas
  PMAS — Convenio Centro de Desarrollo Infantil (MIES)
FASE 3 SIAP-ICPI · Ingesta POA 2023 Patronato Montecristi</t>
        </r>
      </text>
    </comment>
    <comment ref="P14" authorId="0" shapeId="0" xr:uid="{DAC0AF18-B25F-48FB-AC06-A2AE28DEA30F}">
      <text>
        <r>
          <rPr>
            <b/>
            <sz val="9"/>
            <color indexed="81"/>
            <rFont val="Tahoma"/>
          </rPr>
          <t>POA 2024 INGESTA FORENSE CONSOLIDADA · PDOT.SC.OE2.M4.01
FUENTE: POA 2024 GAD + PATRONATO MUNICIPAL (PMAS)
[GAD] Dir. Desarrollo Acción e Inclusión Social:
• Act.163: Becas certificaciones artesanales: $3,000
• Act.165: Materiales tejido paja toquilla: $3,000
• Act.166: Electrodomésticos cursos ciudadanía: $5,000
• Act.167: Alimentos materia prima talleres: $8,000
• Act.169: Becas cursos acreditación: $18,000
• Act.170: Alimentos y bebidas programas: $6,500
• Act.171: Materiales didácticos especializados: $1,000
• Act.172: Entrega souvenirs: $3,000
• Act.179: Materiales limpieza: $1,000
• Act.181: Readecuación infocentros: $10,000
• Act.182: Levantamiento información social: $7,000
Subtotal GAD: $65,500
[PMAS] Convenio CDI/MIES (ya ingresado Patronato): $328,972.52
TOTAL CONSOLIDADO 2024: $394,472.52
Ingresado por homología de objeto de gasto.
FASE 2 SIAP-ICPI · Ingesta POA 2024</t>
        </r>
      </text>
    </comment>
    <comment ref="O15" authorId="0" shapeId="0" xr:uid="{00000000-0006-0000-0E00-00000E000000}">
      <text>
        <r>
          <rPr>
            <sz val="11"/>
            <color theme="1"/>
            <rFont val="Aptos Narrow"/>
            <family val="2"/>
            <scheme val="minor"/>
          </rPr>
          <t>FUENTE: POA 2023 REFORMADO GAD Municipal Montecristi
CRUCE FORENSE INTEGRAL — Cantón completo
RESULTADO: SIN PARTIDA ASIGNADA
Ninguna partida de relleno sanitario, desechos sólidos o planta de tratamiento de desechos identificada en el POA 2023 Reformado.
La Empresa Municipal de Aseo no registra partida propia en el documento.
FASE 2 SIAP-ICPI · Ingesta POA 2023</t>
        </r>
      </text>
    </comment>
    <comment ref="P15" authorId="0" shapeId="0" xr:uid="{A9CE2E6E-92A5-454F-9784-4C822F192729}">
      <text>
        <r>
          <rPr>
            <b/>
            <sz val="9"/>
            <color indexed="81"/>
            <rFont val="Tahoma"/>
          </rPr>
          <t>DELL:</t>
        </r>
        <r>
          <rPr>
            <sz val="9"/>
            <color indexed="81"/>
            <rFont val="Tahoma"/>
          </rPr>
          <t xml:space="preserve">
POA 2024 INGESTA FORENSE · PDOT.AM.OE3.M2.01
FUENTE: POA 2024 GAD Municipal Montecristi
RESULTADO: SIN PARTIDA ASIGNADA
Empresa Municipal de Aseo sin asignación identificada en POA 2024.
No se encontró partida de relleno sanitario, planta de desechos o gestión de residuos sólidos.
🔴 CRÍTICO: Meta estratégica ambiental sin financiamiento 2024.
FASE 2 SIAP-ICPI · Ingesta POA 2024</t>
        </r>
      </text>
    </comment>
    <comment ref="O16" authorId="0" shapeId="0" xr:uid="{00000000-0006-0000-0E00-00000F000000}">
      <text>
        <r>
          <rPr>
            <sz val="11"/>
            <color theme="1"/>
            <rFont val="Aptos Narrow"/>
            <family val="2"/>
            <scheme val="minor"/>
          </rPr>
          <t>FUENTE: POA 2023 REFORMADO GAD Municipal Montecristi
CRUCE FORENSE INTEGRAL — Cantón completo
PARTIDA VINCULADA:
• Arrendamiento de Equipo Caminero para el cantón Montecristi a través de Feria Incluyente: $250,000.00
Dir. Obras Públicas
NOTA: Solo se vincula la partida directa de equipo caminero. El mantenimiento general de flota vehicular es gasto corriente no vinculable a esta meta PDOT.
FASE 2 SIAP-ICPI · Ingesta POA 2023</t>
        </r>
      </text>
    </comment>
    <comment ref="P16" authorId="0" shapeId="0" xr:uid="{7E3881B5-2CFA-4C28-9C8F-A063796426AE}">
      <text>
        <r>
          <rPr>
            <b/>
            <sz val="9"/>
            <color indexed="81"/>
            <rFont val="Tahoma"/>
          </rPr>
          <t>DELL:</t>
        </r>
        <r>
          <rPr>
            <sz val="9"/>
            <color indexed="81"/>
            <rFont val="Tahoma"/>
          </rPr>
          <t xml:space="preserve">
POA 2024 INGESTA FORENSE · PDOT.AS.VL.M1.02
FUENTE: POA 2024 GAD Municipal Montecristi
PARTIDAS VINCULADAS (Dir. Administrativa — Flota Maquinaria):
• Act.6: Mant. maquinarias y equipos municipales: $100,000
• Act.7: Repuestos maquinarias y equipos: $80,000
• Act.8: Lubricantes maquinarias: $30,000
• Act.14: Matriculación maquinarias y equipos: $10,000
• Act.15: Rastreo maquinaria e hidrosuccionador: $20,000
• Act.16: Llantas maquinarias y equipos: $50,000
• Act.18: Herramientas mantenimiento: $7,000
• Act.19: Lubricantes vehículos/maquinarias: $10,000
TOTAL GAD 2024: $307,000
NOTA: Hidrosuccionador $17,000 reclasificado a PDOT.AS.OE1.M1.02 (Alcantarillado).
Ingresado por homología de objeto de gasto.
FASE 2 SIAP-ICPI · Ingesta POA 2024</t>
        </r>
      </text>
    </comment>
    <comment ref="O17" authorId="0" shapeId="0" xr:uid="{00000000-0006-0000-0E00-000010000000}">
      <text>
        <r>
          <rPr>
            <sz val="11"/>
            <color theme="1"/>
            <rFont val="Aptos Narrow"/>
            <family val="2"/>
            <scheme val="minor"/>
          </rPr>
          <t>FUENTE: POA 2023 REFORMADO GAD Municipal Montecristi
CRUCE FORENSE INTEGRAL — Cantón completo
PARTIDAS VINCULADAS:
• Adquisición/instalación/repotenciación cámaras de seguridad: $33,600.00
• Adquisición alarmas comunitarias cantón Montecristi: $30,000.00
• Transformadores control automático para fuentes y parques: $6,500.00
• Equipamiento personal de seguridad espacios públicos: $15,000.00
Dir. Espacios Públicos Justicia y Vigilancia
FASE 2 SIAP-ICPI · Ingesta POA 2023</t>
        </r>
      </text>
    </comment>
    <comment ref="P17" authorId="0" shapeId="0" xr:uid="{67AB3581-0189-4E0D-A251-CD4FEF2C5347}">
      <text>
        <r>
          <rPr>
            <b/>
            <sz val="9"/>
            <color indexed="81"/>
            <rFont val="Tahoma"/>
          </rPr>
          <t>DELL:</t>
        </r>
        <r>
          <rPr>
            <sz val="9"/>
            <color indexed="81"/>
            <rFont val="Tahoma"/>
          </rPr>
          <t xml:space="preserve">
POA 2024 INGESTA FORENSE · PDOT.SC.PI.M5.01
FUENTE: POA 2024 GAD Municipal Montecristi
PARTIDAS VINCULADAS:
• Act.71: Adquisición nuevos semáforos (Dir.Tránsito): $70,000
• Act.72: Repotenciar sistema semafórico (Dir.Tránsito): $32,000
• Act.73: Insumos mant. sistema semafórico: $10,000
• Act.144: Equipamiento personal seguridad EP: $15,000
• Act.145: Adquisición/instalación cámaras seguridad: $34,000
TOTAL GAD 2024: $161,000
Ingresado por homología de objeto de gasto — CCTV + semáforos = Central Monitoreo.
FASE 2 SIAP-ICPI · Ingesta POA 2024</t>
        </r>
      </text>
    </comment>
    <comment ref="O18" authorId="0" shapeId="0" xr:uid="{00000000-0006-0000-0E00-000011000000}">
      <text>
        <r>
          <rPr>
            <sz val="11"/>
            <color theme="1"/>
            <rFont val="Aptos Narrow"/>
            <family val="2"/>
            <scheme val="minor"/>
          </rPr>
          <t>FUENTE: POA 2023 REFORMADO GAD Municipal Montecristi
CRUCE FORENSE INTEGRAL — Cantón completo
PARTIDAS VINCULADAS:
• Plan de digitalización (Dir. Registro Propiedad y Mercantil): $50,000.00
• Implementar gestor documental institucional: $10,000.00
• Implementación de transformación digital: $34,822.34
• Renovación y optimización Parque Tecnológico: $166,000.00
• Servicio de Hosting y Sitio Web: $500.00
• Mejoramiento e Interconectividad puntos externos Red Local Municipal: $40,000.00
• Equipos, sistemas y paquetes informáticos: $5,900.00
Dir. Administrativa / Dir. Registro Propiedad y Mercantil
FASE 2 SIAP-ICPI · Ingesta POA 2023</t>
        </r>
      </text>
    </comment>
    <comment ref="P18" authorId="0" shapeId="0" xr:uid="{61D276AC-5C52-4C4E-8285-9B7CA15B7885}">
      <text>
        <r>
          <rPr>
            <b/>
            <sz val="9"/>
            <color indexed="81"/>
            <rFont val="Tahoma"/>
          </rPr>
          <t>DELL:</t>
        </r>
        <r>
          <rPr>
            <sz val="9"/>
            <color indexed="81"/>
            <rFont val="Tahoma"/>
          </rPr>
          <t xml:space="preserve">
POA 2024 INGESTA FORENSE · PDOT.PI.OE4.M1.01
FUENTE: POA 2024 GAD Municipal Montecristi
PARTIDAS VINCULADAS:
• Act.36: Instalación de Fibras Ópticas (Dir.Admin): $10,000
• Act.78: Arrendamiento y licencias paquetes informáticos (Dir.Tránsito): $24,000
• Act.92: Mantenimiento instalaciones Registro Propiedad y Mercantil: $45,552.70
TOTAL GAD 2024: $79,552.70
NOTA: Inversión TIC institucional con partidas distribuidas. Sin plataforma ciudadana en línea explícita en 2024.
Ingresado por homología de objeto de gasto.
FASE 2 SIAP-ICPI · Ingesta POA 2024</t>
        </r>
      </text>
    </comment>
    <comment ref="O19" authorId="0" shapeId="0" xr:uid="{00000000-0006-0000-0E00-000012000000}">
      <text>
        <r>
          <rPr>
            <sz val="11"/>
            <color theme="1"/>
            <rFont val="Aptos Narrow"/>
            <family val="2"/>
            <scheme val="minor"/>
          </rPr>
          <t>FUENTE: POA 2023 REFORMADO GAD Municipal Montecristi
CRUCE FORENSE INTEGRAL — Cantón completo
PARTIDAS VINCULADAS:
• Equipamiento técnico cartografía catastral (equip. 1): $65,000.00
• Equipamiento técnico cartografía catastral (equip. 2): $7,400.00
• Adquisición tablets mapeo móvil actualización catastral: $1,600.00
• Adquisición mojones red geodésica cantonal (20 puntos): $200.00
• Proyecto fortalecimiento técnico sistema catastral integrado: $21,920.00
Dir. Avalúos y Catastros
FASE 2 SIAP-ICPI · Ingesta POA 2023</t>
        </r>
      </text>
    </comment>
    <comment ref="P19" authorId="0" shapeId="0" xr:uid="{04314B8B-EEFF-44A6-BB9F-0ADD7DB708E4}">
      <text>
        <r>
          <rPr>
            <b/>
            <sz val="9"/>
            <color indexed="81"/>
            <rFont val="Tahoma"/>
          </rPr>
          <t>DELL:</t>
        </r>
        <r>
          <rPr>
            <sz val="9"/>
            <color indexed="81"/>
            <rFont val="Tahoma"/>
          </rPr>
          <t xml:space="preserve">
POA 2024 INGESTA FORENSE · PDOT.PI.OE4.M2.01
FUENTE: POA 2024 GAD Municipal Montecristi
PARTIDAS VINCULADAS:
• Act.130: Proyecto fortalecimiento técnico Sistema Catastral Integrado (Dir.Avalúos y Catastros): $77,800
• Act.132: Contraparte actualización catastral suelo rural — convenio (Dir.Avalúos): $21,600
• Act.120: Adquisición estación total/equip.geodesia (Dir.Planificación): $10,000
TOTAL GAD 2024: $109,400
FASE 2 SIAP-ICPI · Ingesta POA 2024</t>
        </r>
      </text>
    </comment>
    <comment ref="O20" authorId="0" shapeId="0" xr:uid="{00000000-0006-0000-0E00-000013000000}">
      <text>
        <r>
          <rPr>
            <sz val="11"/>
            <color theme="1"/>
            <rFont val="Aptos Narrow"/>
            <family val="2"/>
            <scheme val="minor"/>
          </rPr>
          <t>FUENTE: POA 2023 REFORMADO GAD Municipal Montecristi
CRUCE FORENSE INTEGRAL — Cantón completo
PARTIDA VINCULADA:
• Contraparte Municipal PREMIO VERDE - Fiscalización del Proyecto de Rehabilitación del Manglar: $20,000.00
Dir. Obras Públicas
NOTA: La partida de $45,160 (Construcción I Etapa proyecto ecoturístico Playa San José) se asigna a la META PDOT.EP.OE5.M1.01 (Proyecto Playa San José), que comparte el mismo programa pero es una meta distinta.
FASE 2 SIAP-ICPI · Ingesta POA 2023</t>
        </r>
      </text>
    </comment>
    <comment ref="P20" authorId="0" shapeId="0" xr:uid="{80D03006-E11A-4A8D-8750-BEA04D606EE7}">
      <text>
        <r>
          <rPr>
            <b/>
            <sz val="9"/>
            <color indexed="81"/>
            <rFont val="Tahoma"/>
          </rPr>
          <t>DELL:</t>
        </r>
        <r>
          <rPr>
            <sz val="9"/>
            <color indexed="81"/>
            <rFont val="Tahoma"/>
          </rPr>
          <t xml:space="preserve">
POA 2024 INGESTA FORENSE · PDOT.AM.SC.M3.01
FUENTE: POA 2024 GAD Municipal Montecristi
PARTIDAS VINCULADAS (Dir. Gestión Ambiental):
• Act.113: Esterilización y desparasitación perros/gatos: $5,000
• Act.114: Charlas educación ambiental instituciones educativas: $5,000
• Act.115: Adquisición plantas siembra árboles: $5,000
TOTAL GAD 2024: $15,000
Ingresado por homología de objeto de gasto — componentes fauna/ambiental vinculados a Albergue Fauna Urbana.
FASE 2 SIAP-ICPI · Ingesta POA 2024</t>
        </r>
      </text>
    </comment>
    <comment ref="O21" authorId="0" shapeId="0" xr:uid="{00000000-0006-0000-0E00-000014000000}">
      <text>
        <r>
          <rPr>
            <sz val="11"/>
            <color theme="1"/>
            <rFont val="Aptos Narrow"/>
            <family val="2"/>
            <scheme val="minor"/>
          </rPr>
          <t>FUENTE: POA 2023 REFORMADO GAD Municipal Montecristi
CRUCE FORENSE INTEGRAL — Cantón completo
PARTIDAS VINCULADAS:
• Construcción I Etapa proyecto ecoturístico Playa San José: $45,160.00
• Participación en ferias de turismo cantonal y/o nacional: $10,000.00
• Desarrollo del mapa para posicionamiento turístico del cantón: $9,000.00
• Estudio de prefactibilidad proyecto ecoturístico Las Gilces: $6,000.00
• Estudio edificaciones con características patrimoniales: $4,000.00
• Eventos de promoción turística, gastronómica y artesanal: $4,000.00
Dir. Desarrollo Turístico
FASE 2 SIAP-ICPI · Ingesta POA 2023</t>
        </r>
      </text>
    </comment>
    <comment ref="P21" authorId="0" shapeId="0" xr:uid="{2DCA1720-5159-4B03-A027-54771020660D}">
      <text>
        <r>
          <rPr>
            <b/>
            <sz val="9"/>
            <color indexed="81"/>
            <rFont val="Tahoma"/>
          </rPr>
          <t>DELL:</t>
        </r>
        <r>
          <rPr>
            <sz val="9"/>
            <color indexed="81"/>
            <rFont val="Tahoma"/>
          </rPr>
          <t xml:space="preserve">
POA 2024 INGESTA FORENSE · PDOT.EP.OE5.M1.01
FUENTE: POA 2024 GAD Municipal Montecristi
PARTIDAS VINCULADAS:
[Dir. Cultura, Patrimonio y Desarrollo Deportivo]:
• Act.80: Ferias exposición artes comunidad: $12,000
• Act.81: Desfiles, pregones, eventos culturales: $16,000
• Act.82: Espectáculos públicos nivel nacional: $77,000
• Act.83: Talleres en artes (música, danza, teatro): $24,000
• Act.85: Mantenimiento casa patrimonial: $8,000
Subtotal Cultura: $137,000
[Dir. Desarrollo Turístico]:
• Act.122: Eventos promoción turística gastronómica: $30,000
• Act.123: Souvenirs turísticos: $10,000
• Act.125: Publicaciones turismo: $1,500
• Act.126: Carnaval/Playa San José: $15,000
Subtotal Turismo: $56,500
TOTAL CONSOLIDADO 2024: $193,500
Ingresado por homología de objeto de gasto — Cultura+Turismo+Patrimonio = Playa San José / Manglar Vivo.
FASE 2 SIAP-ICPI · Ingesta POA 2024</t>
        </r>
      </text>
    </comment>
    <comment ref="O22" authorId="0" shapeId="0" xr:uid="{00000000-0006-0000-0E00-000015000000}">
      <text>
        <r>
          <rPr>
            <sz val="11"/>
            <color theme="1"/>
            <rFont val="Aptos Narrow"/>
            <family val="2"/>
            <scheme val="minor"/>
          </rPr>
          <t>FUENTE: POA 2023 REFORMADO GAD Municipal Montecristi
CRUCE FORENSE INTEGRAL — Cantón completo (urbano + parroquias rurales)
PARTIDAS VINCULADAS:
• Instalación y repotenciación de sistemas semafóricos del cantón: $110,000.00
• Mantenimiento de semáforos del cantón Montecristi: $40,000.00
• Nuevas Señaléticas horizontales: $20,000.00
• Nuevas señaléticas verticales: $10,000.00
• Mantenimiento e Iluminación de Redes Eléctricas y Alumbrado Público: $240,888.07
Dir. Tránsito y Transporte Terrestre / Obras Públicas
FASE 2 SIAP-ICPI · Ingesta POA 2023</t>
        </r>
      </text>
    </comment>
    <comment ref="P22" authorId="0" shapeId="0" xr:uid="{AD89E7BE-AE40-4553-8BBF-0C17FAE5C3B9}">
      <text>
        <r>
          <rPr>
            <b/>
            <sz val="9"/>
            <color indexed="81"/>
            <rFont val="Tahoma"/>
          </rPr>
          <t>DELL:</t>
        </r>
        <r>
          <rPr>
            <sz val="9"/>
            <color indexed="81"/>
            <rFont val="Tahoma"/>
          </rPr>
          <t xml:space="preserve">
POA 2024 INGESTA FORENSE · PDOT.AS.VL.M2.01
FUENTE: POA 2024 GAD Municipal Montecristi
PARTIDAS VINCULADAS (Dir. Tránsito y Transporte Terrestre):
• Act.67: Señalización horizontal seguridad vial: $20,000
• Act.68: Señalización vertical: $25,000
• Act.69: Reductores de velocidad calles cantón: $10,000
• Act.70: Dispositivos seguridad vial (conos/vallas): $2,000
• Act.75: Materiales didácticos educación vial: $7,600
• Act.76: Activaciones BTL difusión educación vial: $5,000
• Act.77: Eventos públicos educación vial: $2,000
TOTAL GAD 2024: $71,600
NOTA: Sin alumbrado público explícito en 2024 (vs $240K POA 2023).
FASE 2 SIAP-ICPI · Ingesta POA 2024</t>
        </r>
      </text>
    </comment>
    <comment ref="O24" authorId="0" shapeId="0" xr:uid="{00000000-0006-0000-0E00-000016000000}">
      <text>
        <r>
          <rPr>
            <sz val="11"/>
            <color theme="1"/>
            <rFont val="Aptos Narrow"/>
            <family val="2"/>
            <scheme val="minor"/>
          </rPr>
          <t>FUENTE: POA 2023 REFORMADO GAD Municipal Montecristi
CRUCE FORENSE INTEGRAL — Cantón completo (urbano + parroquias rurales)
PARTIDAS VINCULADAS:
• Agua Potable (operación general): $100,000.00
• Arrendamiento Tanqueros dotación agua potable al cantón: $179,134.86
• Mantenimiento y Repotenciación PTAP Los Mangos: $70,736.82
• Mantenimiento y Repotenciación PTAP Los Mangos (complemento): $16,621.65
• Operación y Mantenimiento Potabilización Aguas: $50,000.00
• Suministros tuberías redes agua potable: $113,800.00
• Construcción estación de bombeo y reservorio agua cruda: $5,000.00
• Crédito BDE Fiscalización AP Parroquia La Pila: $50,000.00
• Crédito BDE Construcción Sistema AP Parroquia La Pila: $175,028.69
• Contraparte Municipal AP Los Limos: $24,000.00
• Agua Potable INTAL: $1,028,286.86
• Construcción Tanque Reservorio Sector Pepa de Huso/La Sequial: $31,000.00
Dir. Agua Potable y Alcantarillado Sanitario / Obras Públicas
FASE 2 SIAP-ICPI · Ingesta POA 2023</t>
        </r>
      </text>
    </comment>
    <comment ref="P24" authorId="0" shapeId="0" xr:uid="{0F07874E-8192-4C89-92D2-2E3045314A0F}">
      <text>
        <r>
          <rPr>
            <b/>
            <sz val="9"/>
            <color indexed="81"/>
            <rFont val="Tahoma"/>
          </rPr>
          <t>DELL:</t>
        </r>
        <r>
          <rPr>
            <sz val="9"/>
            <color indexed="81"/>
            <rFont val="Tahoma"/>
          </rPr>
          <t xml:space="preserve">
POA 2024 INGESTA FORENSE · PDOT.AS.OE1.M1.03
FUENTE: POA 2024 GAD Municipal Montecristi
PARTIDAS VINCULADAS (Dir. Agua Potable y Alcantarillado Sanitario):
• Act.55: Deuda de agua potable (saldos BDE/INTAL): $651,399.24
• Act.101: Suministros tuberías PVC AP (50% split): $50,000
• Act.104: Suministros tuberías PEAD/HD sistema AP: $50,000
• Act.106: Construcción estación bombeo y reservorio (contraparte): $1,000
TOTAL GAD 2024: $752,399.24
NOTA: El grueso del monto corresponde a pago de deuda agua potable INTAL/BDE.
FASE 2 SIAP-ICPI · Ingesta POA 2024</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D135" authorId="0" shapeId="0" xr:uid="{6F238E76-61C0-48EA-A22D-6C69E5BE3774}">
      <text>
        <r>
          <rPr>
            <b/>
            <sz val="9"/>
            <color indexed="81"/>
            <rFont val="Tahoma"/>
          </rPr>
          <t>DELL:</t>
        </r>
        <r>
          <rPr>
            <sz val="9"/>
            <color indexed="81"/>
            <rFont val="Tahoma"/>
          </rPr>
          <t xml:space="preserve">
FUENTE: PAC 2023 OFICIAL GAD Municipal Montecristi
CRUCE FORENSE INTEGRAL — Cantón completo
PARTIDAS VINCULADAS (8 ítems):
• #3 Equipos herramientas área operativa Agua Potable y Alcantarillado: $14,476.33
• #11 Mantenimiento/Repotenciación PTAP Los Mangos: $213,000.00
• #12 Suministros tuberías redes agua potable: $220,000.00
• #13 Operación y Mantenimiento Potabilización Aguas: $50,000.00
• #14 Mejoramiento Agua Sector Pepa de Huso: $30,992.25
• #37 Equipos medición caudal/presión/detección fugas AP: $110,053.08
• #78 Alquiler vehículos tanqueros dotación AP: $172,800.00
• #82 Adaptación tanquero en camión: $27,900.00
Total oficial PAC 2023: $12,652,519.69
FASE 2 SIAP-ICPI · Ingesta PAC 2023</t>
        </r>
      </text>
    </comment>
    <comment ref="F135" authorId="0" shapeId="0" xr:uid="{A5915185-D0B2-4E00-8BDC-FD9A7B353D99}">
      <text>
        <r>
          <rPr>
            <b/>
            <sz val="9"/>
            <color indexed="81"/>
            <rFont val="Tahoma"/>
          </rPr>
          <t>DELL:</t>
        </r>
        <r>
          <rPr>
            <sz val="9"/>
            <color indexed="81"/>
            <rFont val="Tahoma"/>
          </rPr>
          <t xml:space="preserve">
CRUCE FORENSE PAC 2024 DOCX OFICIAL
Fuente: GAD_Montecristi_PAC_2024.docx · Total DOCX: $8,712,580.52
ÍTEMS VINCULADOS (9):
• #10 Equipos lab químico agua potable/residuales (840104): $25,000
• #19 Equipos operativos sistemas agua canton (840104): $16,000
• #45 Estación bombeo reservorio agua cruda (750101): $1,000
• #59 Materiales mejora presión AP (730811.003): $80,000
• #64 Suministros tuberías PVC PEAD HD agua potable (730811): $50,000
• #99 Alquiler tanqueros distribución AP canton (730505): $200,000
• #128 Insumos control parámetros fisico-quimicos afluentes (530819): $15,000
• #129 Químicos plantas tratamiento agua potable (530819): $9,855
• #153 Mant/repotenciación PTAP Los Mangos/Cerro Guayabal (530404): $55,000
Auditor: SIAP-ICPI · Fase Ingesta 2024</t>
        </r>
      </text>
    </comment>
    <comment ref="D136" authorId="0" shapeId="0" xr:uid="{1E4F1A2F-4112-41BB-B55F-FB2697F5CB8B}">
      <text>
        <r>
          <rPr>
            <b/>
            <sz val="9"/>
            <color indexed="81"/>
            <rFont val="Tahoma"/>
          </rPr>
          <t>DELL:</t>
        </r>
        <r>
          <rPr>
            <sz val="9"/>
            <color indexed="81"/>
            <rFont val="Tahoma"/>
          </rPr>
          <t xml:space="preserve">
FUENTE: PAC 2023 OFICIAL GAD Municipal Montecristi
CRUCE FORENSE INTEGRAL — Cantón completo
PARTIDAS VINCULADAS (7 ítems):
• #27 Adquisición tuberías hormigón/PVC para alcantarillado: $50,000.00
• #30 Crédito BDE Construcción AP y Alcantarillado Sitio Colón: $1,406,253.32
• #31 Crédito BDE Línea Derivación AP y Alcantarillado: $2,024,026.00
• #32 Construcción Alcantarillado Cdla. Paola 1 y Paola 2: $249,859.46
• #45 Suministro tuberías/tapas hierro/hormigón redes alcantarillado: $199,243.49
• #72 Crédito BDE Fiscalización Línea Derivación: $140,000.00
• #73 Crédito BDE Fiscalización AP+Alcantarillado Sitio Colón: $63,720.69
FASE 2 SIAP-ICPI · Ingesta PAC 2023</t>
        </r>
      </text>
    </comment>
    <comment ref="F136" authorId="0" shapeId="0" xr:uid="{FE08B08A-BCA6-4E26-A230-8FBCBEF36306}">
      <text>
        <r>
          <rPr>
            <b/>
            <sz val="9"/>
            <color indexed="81"/>
            <rFont val="Tahoma"/>
          </rPr>
          <t>DELL:</t>
        </r>
        <r>
          <rPr>
            <sz val="9"/>
            <color indexed="81"/>
            <rFont val="Tahoma"/>
          </rPr>
          <t xml:space="preserve">
CRUCE FORENSE PAC 2024 DOCX OFICIAL
Fuente: GAD_Montecristi_PAC_2024.docx · Total DOCX: $8,712,580.52
ÍTEMS VINCULADOS (5):
• #30 Mantenimiento sistema alcantarillado sanitario canton (750501): $69,000
• #43 Tuberías hormigón PVC ampliaciones alcantarillado (750103): $50,000
• #44 Construcción alcantarillado Paola 1 Paola 2 El Padrino (750103): $249,859.46
• #63 Suministro tuberías PVC hormigón alcantarillado (730811): $66,000
• #67 Suministros tuberías cemento acero redes alcantarillado/AP (730811): $95,000
Auditor: SIAP-ICPI · Fase Ingesta 2024</t>
        </r>
      </text>
    </comment>
    <comment ref="D137" authorId="0" shapeId="0" xr:uid="{27DCE5BC-ADAA-4BF2-B0F8-751EA6A92237}">
      <text>
        <r>
          <rPr>
            <b/>
            <sz val="9"/>
            <color indexed="81"/>
            <rFont val="Tahoma"/>
          </rPr>
          <t>DELL:</t>
        </r>
        <r>
          <rPr>
            <sz val="9"/>
            <color indexed="81"/>
            <rFont val="Tahoma"/>
          </rPr>
          <t xml:space="preserve">
FUENTE: PAC 2023 OFICIAL GAD Municipal Montecristi
CRUCE FORENSE INTEGRAL — Cantón completo
PARTIDAS VINCULADAS (2 ítems):
• #29 Estación de Bombeo Booster agua cruda: $41,000.00
• #70 Estudios Definitivos Tanques de Reserva y Sistema Agua: $21,000.00
FASE 2 SIAP-ICPI · Ingesta PAC 2023</t>
        </r>
      </text>
    </comment>
    <comment ref="F137" authorId="0" shapeId="0" xr:uid="{92B2A8B1-5563-4CBF-BE70-421A54B0BF70}">
      <text>
        <r>
          <rPr>
            <b/>
            <sz val="9"/>
            <color indexed="81"/>
            <rFont val="Tahoma"/>
          </rPr>
          <t>DELL:</t>
        </r>
        <r>
          <rPr>
            <sz val="9"/>
            <color indexed="81"/>
            <rFont val="Tahoma"/>
          </rPr>
          <t xml:space="preserve">
CRUCE FORENSE PAC 2024 DOCX OFICIAL
Fuente: GAD_Montecristi_PAC_2024.docx · Total DOCX: $8,712,580.52
RESULTADO: SIN PROCESO DE CONTRATACIÓN EN PAC 2024
Ninguna partida explícita de reservorios/tanques de almacenamiento identificada en el PAC 2024 oficial.
El ítem #45 (estación bombeo/reservorio agua cruda, $1,000) corresponde a Agua Potable (M1.01).
Auditor: SIAP-ICPI · Fase Ingesta 2024</t>
        </r>
      </text>
    </comment>
    <comment ref="D138" authorId="0" shapeId="0" xr:uid="{240C64D9-805D-442E-A7DA-23A677790293}">
      <text>
        <r>
          <rPr>
            <b/>
            <sz val="9"/>
            <color indexed="81"/>
            <rFont val="Tahoma"/>
          </rPr>
          <t>DELL:</t>
        </r>
        <r>
          <rPr>
            <sz val="9"/>
            <color indexed="81"/>
            <rFont val="Tahoma"/>
          </rPr>
          <t xml:space="preserve">
FUENTE: PAC 2023 OFICIAL GAD Municipal Montecristi
CRUCE FORENSE INTEGRAL — Cantón completo
RESULTADO: SIN PROCESO DE CONTRATACIÓN EN PAC 2023
Ninguna partida de Terminal Terrestre identificada en el PAC 2023.
(El ítem pre-existente #36 'ESTUDIO DEFINITIVO TERMINAL TERRESTRE' no aparece en el documento PAC 2023 oficial. Correspondería a otro período o a un proceso diferente.)
FASE 2 SIAP-ICPI · Ingesta PAC 2023</t>
        </r>
      </text>
    </comment>
    <comment ref="F138" authorId="0" shapeId="0" xr:uid="{AED1D26D-208F-44FD-9C6C-CD9AD96AB39D}">
      <text>
        <r>
          <rPr>
            <b/>
            <sz val="9"/>
            <color indexed="81"/>
            <rFont val="Tahoma"/>
          </rPr>
          <t>DELL:</t>
        </r>
        <r>
          <rPr>
            <sz val="9"/>
            <color indexed="81"/>
            <rFont val="Tahoma"/>
          </rPr>
          <t xml:space="preserve">
CRUCE FORENSE PAC 2024 DOCX OFICIAL
Fuente: GAD_Montecristi_PAC_2024.docx · Total DOCX: $8,712,580.52
RESULTADO: SIN PROCESO DE CONTRATACIÓN EN PAC 2024
Ninguna partida de Terminal Terrestre identificada en el PAC 2024 oficial.
Auditor: SIAP-ICPI · Fase Ingesta 2024</t>
        </r>
      </text>
    </comment>
    <comment ref="D139" authorId="0" shapeId="0" xr:uid="{46ED7AA8-964A-4D05-8B9C-E6AB84EE1783}">
      <text>
        <r>
          <rPr>
            <b/>
            <sz val="9"/>
            <color indexed="81"/>
            <rFont val="Tahoma"/>
          </rPr>
          <t>DELL:</t>
        </r>
        <r>
          <rPr>
            <sz val="9"/>
            <color indexed="81"/>
            <rFont val="Tahoma"/>
          </rPr>
          <t xml:space="preserve">
FUENTE: PAC 2023 OFICIAL GAD Municipal Montecristi
CRUCE FORENSE INTEGRAL — Cantón completo
RESULTADO: SIN PROCESO DE CONTRATACIÓN EN PAC 2023
Ninguna partida de Camal Municipal identificada en el PAC 2023 oficial.
FASE 2 SIAP-ICPI · Ingesta PAC 2023</t>
        </r>
      </text>
    </comment>
    <comment ref="F139" authorId="0" shapeId="0" xr:uid="{63BB12E6-55F4-4A1F-882C-519585626DC1}">
      <text>
        <r>
          <rPr>
            <b/>
            <sz val="9"/>
            <color indexed="81"/>
            <rFont val="Tahoma"/>
          </rPr>
          <t>DELL:</t>
        </r>
        <r>
          <rPr>
            <sz val="9"/>
            <color indexed="81"/>
            <rFont val="Tahoma"/>
          </rPr>
          <t xml:space="preserve">
CRUCE FORENSE PAC 2024 DOCX OFICIAL
Fuente: GAD_Montecristi_PAC_2024.docx · Total DOCX: $8,712,580.52
RESULTADO: SIN PROCESO DE CONTRATACIÓN EN PAC 2024
Ninguna partida de Camal Municipal identificada en el PAC 2024 oficial.
Auditor: SIAP-ICPI · Fase Ingesta 2024</t>
        </r>
      </text>
    </comment>
    <comment ref="D140" authorId="0" shapeId="0" xr:uid="{0D4DFE33-285E-4483-9B45-A3B7D55ADC0E}">
      <text>
        <r>
          <rPr>
            <b/>
            <sz val="9"/>
            <color indexed="81"/>
            <rFont val="Tahoma"/>
          </rPr>
          <t>DELL:</t>
        </r>
        <r>
          <rPr>
            <sz val="9"/>
            <color indexed="81"/>
            <rFont val="Tahoma"/>
          </rPr>
          <t xml:space="preserve">
FUENTE: PAC 2023 OFICIAL GAD Municipal Montecristi
CRUCE FORENSE INTEGRAL — Cantón completo
RESULTADO: SIN PROCESO DE CONTRATACIÓN EN PAC 2023
Ninguna partida específica para Centro Salud Tipo C identificada en el PAC 2023 oficial.
FASE 2 SIAP-ICPI · Ingesta PAC 2023</t>
        </r>
      </text>
    </comment>
    <comment ref="F140" authorId="0" shapeId="0" xr:uid="{40361B83-0709-4486-A65F-AAE8FD21BBA4}">
      <text>
        <r>
          <rPr>
            <b/>
            <sz val="9"/>
            <color indexed="81"/>
            <rFont val="Tahoma"/>
          </rPr>
          <t>DELL:</t>
        </r>
        <r>
          <rPr>
            <sz val="9"/>
            <color indexed="81"/>
            <rFont val="Tahoma"/>
          </rPr>
          <t xml:space="preserve">
CRUCE FORENSE PAC 2024 DOCX OFICIAL
Fuente: GAD_Montecristi_PAC_2024.docx · Total DOCX: $8,712,580.52
RESULTADO: SIN PROCESO DE CONTRATACIÓN EN PAC 2024
Ninguna partida de Centro de Salud Tipo C identificada en el PAC 2024 oficial.
Auditor: SIAP-ICPI · Fase Ingesta 2024</t>
        </r>
      </text>
    </comment>
    <comment ref="D141" authorId="0" shapeId="0" xr:uid="{EFF357B3-F1EB-4BBB-9F48-0BCBD03E7853}">
      <text>
        <r>
          <rPr>
            <b/>
            <sz val="9"/>
            <color indexed="81"/>
            <rFont val="Tahoma"/>
          </rPr>
          <t>FUENTE CONSOLIDADA: GAD + PATRONATO MUNICIPAL (PMAS)
PAC 2023 — Cruce Forense Integral — Cantón Montecristi
[GAD] PAC 2023 Oficial: $0.00
  → SIN proceso de contratación para Equipamiento Geriátrico en PAC 2023 GAD central
[PMAS] PAC 2023 Patronato Municipal de Amparo Social: $1,673.18
  Total asignado PMAS 2023: $554,410.20
  PARTIDAS VINCULADAS — Convenio Adulto Mayor:
  • Material didáctico Proyecto Adulto Mayor: $1,013.64
  • Mantenimiento centro Convenio Adulto Mayor: $76.04
  • Eventos sociales y culturales Adulto Mayor: $583.50
  Partidas: 7.3.08.12 / 7.3.08.11 / 7.3.02.05
  Procedimiento: Infíma Cuantía / Catálogo Electrónico
  Fuente SERCOP: Consulta PAC PMAS 2023
FASE 3 SIAP-ICPI · Ingesta PAC 2023 Patronato Montecristi</t>
        </r>
      </text>
    </comment>
    <comment ref="F141" authorId="0" shapeId="0" xr:uid="{DF08E4D2-1E3F-4629-AF2D-D87EBB24A5AF}">
      <text>
        <r>
          <rPr>
            <b/>
            <sz val="9"/>
            <color indexed="81"/>
            <rFont val="Tahoma"/>
          </rPr>
          <t>FUENTE CONSOLIDADA: GAD + PATRONATO MUNICIPAL (PMAS)
PAC 2024 — Cruce Forense Integral — Cantón Montecristi
[GAD] PAC 2024 Oficial: $10,000.00
  → Ítem #68 Instrumental médico quirúrgico clubes de salud (vinculación indirecta)
[PMAS] PAC 2024 Patronato Municipal de Amparo Social: $14,426.56
  Total asignado PMAS 2024: $1,104,580.85
  PARTIDAS VINCULADAS — Convenio Adulto Mayor:
  • Eventos sociales y culturales Adulto Mayor: $7,344.00
  • Servicio Adulto Mayor (atención y cuidados): $7,082.56
  Partidas: 7.3.02.05 / 7.3.06.13
  Procedimiento: Catálogo Electrónico / Ferias Inclusivas
  Fuente SERCOP: Consulta PAC PMAS 2024
FASE 3 SIAP-ICPI · Ingesta PAC 2024 Patronato Montecristi</t>
        </r>
      </text>
    </comment>
    <comment ref="D142" authorId="0" shapeId="0" xr:uid="{AF77E6B3-C82E-4B87-A571-4BB82661FBBE}">
      <text>
        <r>
          <rPr>
            <b/>
            <sz val="9"/>
            <color indexed="81"/>
            <rFont val="Tahoma"/>
          </rPr>
          <t>FUENTE CONSOLIDADA: GAD + PATRONATO MUNICIPAL (PMAS)
PAC 2023 — Cruce Forense Integral — Cantón Montecristi
[GAD] PAC 2023 Oficial: $20,000.00
  → Ítem #52 Medicinas Brigadas Médicas Clínica Móvil
[PMAS] PAC 2023 Patronato Municipal de Amparo Social: $328,541.36
  Total asignado PMAS 2023: $554,410.20
  PARTIDAS VINCULADAS — CMD / CDBV / UMSC:
  • Medicamentos generales CDBV/CMD/USMC 2023: $120,000.00
  • Insumos principales Hemodiálisis: $78,257.45
  • Equipos terapia física CMD/CDBV (x2): $9,374.78 + $6,461.30
  • Equipos informáticos CMD CDBV: $10,300.20
  • Aires acondicionados CMD CDBV: $10,000.00
  • Transporte desechos biopeligrosos: $6,964.00
  • Equipos e insumos informáticos: $8,346.00
  • Paquetes informáticos CDBV CMD: $4,193.00
  • Equipos odontológicos UMSC: $5,663.00
  • Ayudas técnicas insumos médicos: $7,000.00
  • Materiales aseo proyectos: $6,300.00
  • Estudios Microbiología CMD: $1,050.00
  • + 15 partidas operativas vinculadas
  Partidas: 7.3.08.xx / 8.4.01.xx / 7.7.01.xx
  Procedimiento: Subasta Inversa / Infíma Cuantía / Catálogo
  Fuente SERCOP: Consulta PAC PMAS 2023
FASE 3 SIAP-ICPI · Ingesta PAC 2023 Patronato Montecristi</t>
        </r>
      </text>
    </comment>
    <comment ref="F142" authorId="0" shapeId="0" xr:uid="{2E1728A8-2629-49D7-91C4-CA73D02CA750}">
      <text>
        <r>
          <rPr>
            <b/>
            <sz val="9"/>
            <color indexed="81"/>
            <rFont val="Tahoma"/>
          </rPr>
          <t>FUENTE CONSOLIDADA: GAD + PATRONATO MUNICIPAL (PMAS)
PAC 2024 — Cruce Forense Integral — Cantón Montecristi
[GAD] PAC 2024 Oficial: $15,000.00
  → Ítem #3 Licenciamiento vehículos sanitarios
[PMAS] PAC 2024 Patronato Municipal de Amparo Social: $386,000.00
  Total asignado PMAS 2024: $1,104,580.85
  PARTIDAS VINCULADAS — CMD / CDBV / UMSC:
  • Insumos principales Hemodiálisis: $150,000.00
  • Insumos médicos generales CMD CDBV: $100,000.00
  • Servicio laboratorio clínico Clínica Municipal Diálisis: $36,000.00
  • Equipos informáticos área administrativa y proyectos: $22,000.00
  • Adquisición (equipos médicos CMD CDBV): $50,000.00
  • Equipos médicos CMD CDBV (1): $16,000.00
  • Mantenimiento Clínicas Móviles: $10,000.00
  • Llantas vehículos CMD CDBV: $2,000.00
  Partidas: 7.3.08.xx / 8.4.01.xx
  Procedimiento: Subasta Inversa Electrónica / Catálogo
  Fuente SERCOP: Consulta PAC PMAS 2024
FASE 3 SIAP-ICPI · Ingesta PAC 2024 Patronato Montecristi</t>
        </r>
      </text>
    </comment>
    <comment ref="D143" authorId="0" shapeId="0" xr:uid="{DE62F61F-1844-498B-9861-4097DC5F92CE}">
      <text>
        <r>
          <rPr>
            <b/>
            <sz val="9"/>
            <color indexed="81"/>
            <rFont val="Tahoma"/>
          </rPr>
          <t>FUENTE CONSOLIDADA: GAD + PATRONATO MUNICIPAL (PMAS)
PAC 2023 — Cruce Forense Integral — Cantón Montecristi
[GAD] PAC 2023 Oficial: $82,600.00
  → 9 ítems (capacitaciones, talleres, emprendedores, niñez)
[PMAS] PAC 2023 Patronato Municipal de Amparo Social: $224,195.66
  Total oficial PMAS 2023: $554,410.20 (SERCOP)
  • Fase 3a — Convenio CDI (MIES): $53,406.84
    - Alimentación CDI: $40,000.32
    - Materiales aseo CDI: $4,953.52
    - Mantenimiento centro CDI: $4,268.24
    - Material didáctico CDI: $1,713.60
    - Arriendo CDI: $1,735.80
    - Material de oficina CDI: $735.36
  • Fase 3b — Gastos operativos PMAS social transversal: $170,788.82
    (Remanente del total oficial PMAS no distribuido en M2.01/M3.01)
    Incluye: convenios Adulto Mayor, Alas de Libertad, shows culturales,
    vestuario, combustible, insumos generales, informática PMAS,
    desechos biopeligrosos, seguros, mantenimiento infraestructura
  Partidas: múltiples (7.3.xx / 8.4.01.xx / 5.3.xx / 5.7.02.01)
  Fuente: SERCOP compraspublicas.gob.ec — PAC PMAS Montecristi 2023
  VALOR ESTÁTICO SELLADO — FASE 3 COMPLETA — SIAP-ICPI — Auditor Forense</t>
        </r>
      </text>
    </comment>
    <comment ref="F143" authorId="0" shapeId="0" xr:uid="{C000D520-94D9-45E6-9B5D-037137FA7429}">
      <text>
        <r>
          <rPr>
            <b/>
            <sz val="9"/>
            <color indexed="81"/>
            <rFont val="Tahoma"/>
          </rPr>
          <t>FUENTE CONSOLIDADA: GAD + PATRONATO MUNICIPAL (PMAS)
PAC 2024 — Cruce Forense Integral — Cantón Montecristi
[GAD] PAC 2024 Oficial: $63,900.00
  → 5 ítems (becas, capacitaciones artesanales, cursos)
[PMAS] PAC 2024 Patronato Municipal de Amparo Social: $704,154.29
  Total oficial PMAS 2024: $1,104,580.85 (SERCOP)
  • Fase 3a — Convenio CDI / CDI + programas: $299,791.52
    - Alimentación CDI: $251,580.96
    - Arriendo CDI: $9,280.00
    - Materiales aseo CDI: $12,000.00
    - Material de oficina CDI: $1,607.36
    - Equipamiento CDI: $8,808.80
    - Limpieza CDI: $4,569.60
    - Refrigerio talleres: $5,140.80
    - Alimentación CDI compl.: $6,804.00
    - Recreación infantil: $2,000.00
    - Telecomunicación CDI: $7,082.56 (7.3.01.05)
  • Fase 3b — Gastos operativos PMAS social transversal: $404,362.77
    (Remanente del total oficial PMAS no distribuido en M2.01/M3.01)
    Incluye: Alas de Libertad, Adulto Mayor, vestuario, combustible,
    seguros, mantenimiento infraestructura $25,000, material fungible CDI
    $9,407.68, insumos aseo $1,607.36, informática, eventos culturales
  Partidas: múltiples (7.3.xx / 8.4.01.xx / 5.3.xx / 5.7.02.01)
  Fuente: SERCOP compraspublicas.gob.ec — PAC PMAS Montecristi 2024
  VALOR ESTÁTICO SELLADO — FASE 3 COMPLETA — SIAP-ICPI — Auditor Forense</t>
        </r>
      </text>
    </comment>
    <comment ref="D144" authorId="0" shapeId="0" xr:uid="{D6D21F29-ED5C-4E96-81B3-573271926751}">
      <text>
        <r>
          <rPr>
            <b/>
            <sz val="9"/>
            <color indexed="81"/>
            <rFont val="Tahoma"/>
          </rPr>
          <t>DELL:</t>
        </r>
        <r>
          <rPr>
            <sz val="9"/>
            <color indexed="81"/>
            <rFont val="Tahoma"/>
          </rPr>
          <t xml:space="preserve">
FUENTE: PAC 2023 OFICIAL GAD Municipal Montecristi
CRUCE FORENSE INTEGRAL — Cantón completo
PARTIDAS VINCULADAS (3 ítems):
• #28 Construcción Colector Principal descarga aguas residuales sector El Prado: $109,000.00
• #105 Operación y Tratamiento Plantas Aguas Residuales: $35,866.00
• #121 Plan Control, Monitoreo y Mantenimiento Sistemas Agua/Saneamiento: $20,000.00
FASE 2 SIAP-ICPI · Ingesta PAC 2023</t>
        </r>
      </text>
    </comment>
    <comment ref="F144" authorId="0" shapeId="0" xr:uid="{0C7B3640-BAE9-4FEF-822A-1959DFDCDFBF}">
      <text>
        <r>
          <rPr>
            <b/>
            <sz val="9"/>
            <color indexed="81"/>
            <rFont val="Tahoma"/>
          </rPr>
          <t>DELL:</t>
        </r>
        <r>
          <rPr>
            <sz val="9"/>
            <color indexed="81"/>
            <rFont val="Tahoma"/>
          </rPr>
          <t xml:space="preserve">
CRUCE FORENSE PAC 2024 DOCX OFICIAL
Fuente: GAD_Montecristi_PAC_2024.docx · Total DOCX: $8,712,580.52
ÍTEMS VINCULADOS (2):
• #111 Rehabilitación/repotenciación estaciones bombeo aguas residuales canton (730404): $90,000
• #130 Productos plantas tratamiento aguas residuales (530819/354400011): $35,000
Auditor: SIAP-ICPI · Fase Ingesta 2024</t>
        </r>
      </text>
    </comment>
    <comment ref="D145" authorId="0" shapeId="0" xr:uid="{D5BD104B-4DF5-458B-9CA1-F860E68749AE}">
      <text>
        <r>
          <rPr>
            <b/>
            <sz val="9"/>
            <color indexed="81"/>
            <rFont val="Tahoma"/>
          </rPr>
          <t>DELL:</t>
        </r>
        <r>
          <rPr>
            <sz val="9"/>
            <color indexed="81"/>
            <rFont val="Tahoma"/>
          </rPr>
          <t xml:space="preserve">
FUENTE: PAC 2023 OFICIAL GAD Municipal Montecristi
CRUCE FORENSE INTEGRAL — Cantón completo
RESULTADO: SIN PROCESO DE CONTRATACIÓN EN PAC 2023
Ninguna partida de relleno sanitario, desechos sólidos o planta de tratamiento de desechos identificada en el PAC 2023 oficial.
FASE 2 SIAP-ICPI · Ingesta PAC 2023</t>
        </r>
      </text>
    </comment>
    <comment ref="F145" authorId="0" shapeId="0" xr:uid="{8A68DDCC-91A1-4B87-8325-B8B89C4BDB66}">
      <text>
        <r>
          <rPr>
            <b/>
            <sz val="9"/>
            <color indexed="81"/>
            <rFont val="Tahoma"/>
          </rPr>
          <t>DELL:</t>
        </r>
        <r>
          <rPr>
            <sz val="9"/>
            <color indexed="81"/>
            <rFont val="Tahoma"/>
          </rPr>
          <t xml:space="preserve">
CRUCE FORENSE PAC 2024 DOCX OFICIAL
Fuente: GAD_Montecristi_PAC_2024.docx · Total DOCX: $8,712,580.52
ÍTEMS VINCULADOS (2):
• #18 Equipos monitoreos ambientales concesiones mineras artesanal canton (840104/482650321): $26,500
• #70 Charlas educación ambiental instituciones educativas (730804/929000111): $5,000
Auditor: SIAP-ICPI · Fase Ingesta 2024</t>
        </r>
      </text>
    </comment>
    <comment ref="D146" authorId="0" shapeId="0" xr:uid="{82A19143-21BD-4BDF-A174-5B6BCB4226F2}">
      <text>
        <r>
          <rPr>
            <b/>
            <sz val="9"/>
            <color indexed="81"/>
            <rFont val="Tahoma"/>
          </rPr>
          <t>DELL:</t>
        </r>
        <r>
          <rPr>
            <sz val="9"/>
            <color indexed="81"/>
            <rFont val="Tahoma"/>
          </rPr>
          <t xml:space="preserve">
FUENTE: PAC 2023 OFICIAL GAD Municipal Montecristi
CRUCE FORENSE INTEGRAL — Cantón completo
PARTIDA VINCULADA (1 ítem):
• #33 Plantas — Albergue Fauna Silvestre Cantón: $2,000.00
Partida 73.15.15.000 — Servicio
FASE 2 SIAP-ICPI · Ingesta PAC 2023</t>
        </r>
      </text>
    </comment>
    <comment ref="F146" authorId="0" shapeId="0" xr:uid="{E144BA98-30C6-450D-8384-717474DE07F1}">
      <text>
        <r>
          <rPr>
            <b/>
            <sz val="9"/>
            <color indexed="81"/>
            <rFont val="Tahoma"/>
          </rPr>
          <t>DELL:</t>
        </r>
        <r>
          <rPr>
            <sz val="9"/>
            <color indexed="81"/>
            <rFont val="Tahoma"/>
          </rPr>
          <t xml:space="preserve">
CRUCE FORENSE PAC 2024 DOCX OFICIAL
Fuente: GAD_Montecristi_PAC_2024.docx · Total DOCX: $8,712,580.52
RESULTADO: SIN PROCESO DE CONTRATACIÓN EN PAC 2024
Ninguna partida explícita de albergue/refugio de fauna silvestre en el PAC 2024 oficial.
Auditor: SIAP-ICPI · Fase Ingesta 2024</t>
        </r>
      </text>
    </comment>
    <comment ref="D147" authorId="0" shapeId="0" xr:uid="{029A9896-01DF-4D0B-9FF7-DA064E85DBAF}">
      <text>
        <r>
          <rPr>
            <b/>
            <sz val="9"/>
            <color indexed="81"/>
            <rFont val="Tahoma"/>
          </rPr>
          <t>DELL:</t>
        </r>
        <r>
          <rPr>
            <sz val="9"/>
            <color indexed="81"/>
            <rFont val="Tahoma"/>
          </rPr>
          <t xml:space="preserve">
FUENTE: PAC 2023 OFICIAL GAD Municipal Montecristi
CRUCE FORENSE INTEGRAL — Cantón completo (urbano + parroquias rurales)
PARTIDAS VINCULADAS (9 ítems):
• #15 Mejoramiento Tipo MTO Calles Sectores Urbanos: $80,000.00
• #16 Adquisición Materiales MTOP Base y Sub-Base vial: $379,657.49
• #18 Construcción Aceras-Bordillos-Adoquinamiento-Repavimentación: $929,000.00
• #19 Construcción Aceras y Bordillos varios sectores: $70,000.00
• #20 Bacheo Vías Principales del Cantón: $80,000.00
• #21 Rehabilitación bituminosa Cdlas. Santa Isabel/Tierra Santa/El Prado: $127,060.00
• #22 Reconstrucción Anillo Vial Tierra Santa y Santa Isabel: $242,500.00
• #23 Pavimentación/Repavimentación/Mejoramiento Carpeta Asfáltica: $800,000.00
• #77 Alquiler maquinarias limpieza/desmonte actividades viales: $249,859.00
NOTA: Excluido ítem #86 (duplicado de #21)
FASE 2 SIAP-ICPI · Ingesta PAC 2023</t>
        </r>
      </text>
    </comment>
    <comment ref="F147" authorId="0" shapeId="0" xr:uid="{1686874A-19C1-4E62-8FCA-F8C60BA9F78D}">
      <text>
        <r>
          <rPr>
            <b/>
            <sz val="9"/>
            <color indexed="81"/>
            <rFont val="Tahoma"/>
          </rPr>
          <t>DELL:</t>
        </r>
        <r>
          <rPr>
            <sz val="9"/>
            <color indexed="81"/>
            <rFont val="Tahoma"/>
          </rPr>
          <t xml:space="preserve">
CRUCE FORENSE PAC 2024 DOCX OFICIAL
Fuente: GAD_Montecristi_PAC_2024.docx · Total DOCX: $8,712,580.52
ÍTEMS VINCULADOS (7) — Obras viales, pavimentación, base/sub-base:
• #27 Bacheo pavimentación recapeo asfaltica sectores urbanos/rurales (750501): $600,000
• #28 Mejoramiento materiales petreo base sub-base vías canton (750501): $400,000
• #32 Colocación tuberías aguas lluvias escollera hormigón armado (750114): $100,000
• #33 Pavimentación bacheo asfaltico aceras bordillos zona urbana/rural (750105): $500,000
• #34 Construcción aceras y bordillos canton Montecristi (750105): $50,000
• #39 Mejoramiento materiales petreo base sub-base vías (750104): $57,000
• #164 Servicio transporte material pétreo (2024.750105): $100,000
Auditor: SIAP-ICPI · Fase Ingesta 2024</t>
        </r>
      </text>
    </comment>
    <comment ref="D148" authorId="0" shapeId="0" xr:uid="{5D301C11-A5B3-480A-9815-941EE00A9AD1}">
      <text>
        <r>
          <rPr>
            <b/>
            <sz val="9"/>
            <color indexed="81"/>
            <rFont val="Tahoma"/>
          </rPr>
          <t>DELL:</t>
        </r>
        <r>
          <rPr>
            <sz val="9"/>
            <color indexed="81"/>
            <rFont val="Tahoma"/>
          </rPr>
          <t xml:space="preserve">
FUENTE: PAC 2023 OFICIAL GAD Municipal Montecristi
CRUCE FORENSE INTEGRAL — Cantón completo
PARTIDA VINCULADA (1 ítem):
• #43 Repuestos y accesorios maquinaria pesada / equipo caminero: $80,000.00
NOTA: Solo se vincula la partida directa de repuestos de maquinaria vial. El ítem #54 (Retroexcavadora) tiene valor 0 en el PAC 2023 (partida presupuestada pero sin monto asignado).
FASE 2 SIAP-ICPI · Ingesta PAC 2023</t>
        </r>
      </text>
    </comment>
    <comment ref="F148" authorId="0" shapeId="0" xr:uid="{23D2FD39-C7C4-483A-9C5D-81CE56CA5793}">
      <text>
        <r>
          <rPr>
            <b/>
            <sz val="9"/>
            <color indexed="81"/>
            <rFont val="Tahoma"/>
          </rPr>
          <t>DELL:</t>
        </r>
        <r>
          <rPr>
            <sz val="9"/>
            <color indexed="81"/>
            <rFont val="Tahoma"/>
          </rPr>
          <t xml:space="preserve">
CRUCE FORENSE PAC 2024 DOCX OFICIAL
Fuente: GAD_Montecristi_PAC_2024.docx · Total DOCX: $8,712,580.52
ÍTEMS VINCULADOS (2):
• #9 Adquisición camionetas 4x4 para propiedad municipal (840105/491130025): $138,000
• #14 Adquisición maquinaria pesada equipo caminero GAD Montecristi (840104/444210111): $600,000
Auditor: SIAP-ICPI · Fase Ingesta 2024</t>
        </r>
      </text>
    </comment>
    <comment ref="D149" authorId="0" shapeId="0" xr:uid="{84C93C64-F8EB-4B95-B62E-436F0BA0E706}">
      <text>
        <r>
          <rPr>
            <b/>
            <sz val="9"/>
            <color indexed="81"/>
            <rFont val="Tahoma"/>
          </rPr>
          <t>DELL:</t>
        </r>
        <r>
          <rPr>
            <sz val="9"/>
            <color indexed="81"/>
            <rFont val="Tahoma"/>
          </rPr>
          <t xml:space="preserve">
FUENTE: PAC 2023 OFICIAL GAD Municipal Montecristi
CRUCE FORENSE INTEGRAL — Cantón completo
PARTIDAS VINCULADAS (7 ítems):
• #9 Mantenimiento eléctrico Terrazas Paseo Lúdico y Escalinata: $108,741.21
• #10 Mantenimiento Iluminación Redes Eléctricas y Alumbrado Público: $378,584.89
• #46 Nuevas Señaléticas: $10,000.00
• #47 Mantenimiento de Señaléticas: $10,000.00
• #49 Mantenimiento de Semáforos: $60,000.00
• #50 Instalación Semáforos nuevos en diferentes Sectores del Cantón: $125,000.00
• #108 Insumos/Materiales construcción/electricidad/plomería: $1,000.00
FASE 2 SIAP-ICPI · Ingesta PAC 2023</t>
        </r>
      </text>
    </comment>
    <comment ref="F149" authorId="0" shapeId="0" xr:uid="{1A76F3E0-2965-4311-8C51-9BE35DD87BC6}">
      <text>
        <r>
          <rPr>
            <b/>
            <sz val="9"/>
            <color indexed="81"/>
            <rFont val="Tahoma"/>
          </rPr>
          <t>DELL:</t>
        </r>
        <r>
          <rPr>
            <sz val="9"/>
            <color indexed="81"/>
            <rFont val="Tahoma"/>
          </rPr>
          <t xml:space="preserve">
CRUCE FORENSE PAC 2024 DOCX OFICIAL
Fuente: GAD_Montecristi_PAC_2024.docx · Total DOCX: $8,712,580.52
ÍTEMS VINCULADOS (8) — Iluminación, señalética y semáforos:
• #25 Mant/mejoras iluminación redes eléctricas alumbrado público (750504): $15,000
• #26 Mant eléctrico terrazas paseo lúdico y escalinata (750504): $108,741.21
• #51 Adquisición nuevos semáforos (731404/429990214): $70,000
• #58 Actividades BTL difusión educación vial masiva (730812): $5,000
• #60 Dispositivo seguridad vial conos vallas (730811): $2,000
• #61 Insumos materiales señalización vial (730811): $2,000
• #65 Señalización vial vertical y horizontal canton (730811/979900815): $63,000
• #109 Repotenciar instalaciones sistema semafórico (730404/979900811): $56,000
Auditor: SIAP-ICPI · Fase Ingesta 2024</t>
        </r>
      </text>
    </comment>
    <comment ref="D150" authorId="0" shapeId="0" xr:uid="{6F996DB3-70B9-4A99-A6DB-77BBA8161542}">
      <text>
        <r>
          <rPr>
            <b/>
            <sz val="9"/>
            <color indexed="81"/>
            <rFont val="Tahoma"/>
          </rPr>
          <t>DELL:</t>
        </r>
        <r>
          <rPr>
            <sz val="9"/>
            <color indexed="81"/>
            <rFont val="Tahoma"/>
          </rPr>
          <t xml:space="preserve">
FUENTE: PAC 2023 OFICIAL GAD Municipal Montecristi
CRUCE FORENSE INTEGRAL — Cantón completo (urbano + rural)
PARTIDA VINCULADA (1 ítem):
• #26 Mantenimiento y Recuperación Espacios Públicos Urbanos y Rurales: $288,243.69
NOTA: Ítems #25 (Cerramiento Cementerio) y #128 (Arrendamiento edificios) excluidos por no corresponder a áreas verdes/parques.
FASE 2 SIAP-ICPI · Ingesta PAC 2023</t>
        </r>
      </text>
    </comment>
    <comment ref="F150" authorId="0" shapeId="0" xr:uid="{7C85EE89-D45D-454F-B672-65F9A07B903A}">
      <text>
        <r>
          <rPr>
            <b/>
            <sz val="9"/>
            <color indexed="81"/>
            <rFont val="Tahoma"/>
          </rPr>
          <t>DELL:</t>
        </r>
        <r>
          <rPr>
            <sz val="9"/>
            <color indexed="81"/>
            <rFont val="Tahoma"/>
          </rPr>
          <t xml:space="preserve">
CRUCE FORENSE PAC 2024 DOCX OFICIAL
Fuente: GAD_Montecristi_PAC_2024.docx · Total DOCX: $8,712,580.52
ÍTEMS VINCULADOS (6):
• #13 Moto guadañas/herramientas mantenimiento parques (840104/442310113): $14,000
• #29 Construcción cubierta metálica cancha parque Cabaña Aníbal San Andrés (750501): $80,000
• #37 Reconstrucción parque Las Pampas canton Montecristi (750104): $86,500
• #38 Mantenimiento de terrazas (750104): $50,000
• #40 Mantenimiento infraestructura parques/canchas/cementerios/mercados (750104): $172,000
• #49 Materiales/herramientas operatividad espacios públicos (731406): $40,000
Auditor: SIAP-ICPI · Fase Ingesta 2024</t>
        </r>
      </text>
    </comment>
    <comment ref="D151" authorId="0" shapeId="0" xr:uid="{ECDE4EB9-9641-4603-BE82-84C2B4AE41BC}">
      <text>
        <r>
          <rPr>
            <b/>
            <sz val="9"/>
            <color indexed="81"/>
            <rFont val="Tahoma"/>
          </rPr>
          <t>DELL:</t>
        </r>
        <r>
          <rPr>
            <sz val="9"/>
            <color indexed="81"/>
            <rFont val="Tahoma"/>
          </rPr>
          <t xml:space="preserve">
FUENTE: PAC 2023 OFICIAL GAD Municipal Montecristi
CRUCE FORENSE INTEGRAL — Cantón completo
PARTIDA VINCULADA (1 ítem):
• #60 Implementación de un Sistema CCTV en la ANT Municipal: $6,000.00
Partida 73.07.01.001 — Servicio
FASE 2 SIAP-ICPI · Ingesta PAC 2023</t>
        </r>
      </text>
    </comment>
    <comment ref="F151" authorId="0" shapeId="0" xr:uid="{1D584CFF-3C6D-4A14-B092-BB1BE8A91FA8}">
      <text>
        <r>
          <rPr>
            <b/>
            <sz val="9"/>
            <color indexed="81"/>
            <rFont val="Tahoma"/>
          </rPr>
          <t>DELL:</t>
        </r>
        <r>
          <rPr>
            <sz val="9"/>
            <color indexed="81"/>
            <rFont val="Tahoma"/>
          </rPr>
          <t xml:space="preserve">
CRUCE FORENSE PAC 2024 DOCX OFICIAL
Fuente: GAD_Montecristi_PAC_2024.docx · Total DOCX: $8,712,580.52
ÍTEM VINCULADO (1):
• #42 Servicio instalación cámaras videovigilancia y alarmas comunitarias sectores canton (750104/473130017): $47,612.41
Auditor: SIAP-ICPI · Fase Ingesta 2024</t>
        </r>
      </text>
    </comment>
    <comment ref="D152" authorId="0" shapeId="0" xr:uid="{48E6D3AC-6B5A-4A09-87A4-2A3208E6BF92}">
      <text>
        <r>
          <rPr>
            <b/>
            <sz val="9"/>
            <color indexed="81"/>
            <rFont val="Tahoma"/>
          </rPr>
          <t>DELL:</t>
        </r>
        <r>
          <rPr>
            <sz val="9"/>
            <color indexed="81"/>
            <rFont val="Tahoma"/>
          </rPr>
          <t xml:space="preserve">
FUENTE: PAC 2023 OFICIAL GAD Municipal Montecristi
CRUCE FORENSE INTEGRAL — Cantón completo
PARTIDAS VINCULADAS (8 ítems):
• #2 Equipos, sistemas y paquetes informáticos GAD: $5,900.00
• #34 Implementación Sistema ERP gestión servicios: $150,000.00
• #35 Equipos, Sistemas y Paquetes Informáticos (Rastreo Satelital): $12,000.00
• #36 Equipos, Sistemas y Paquetes Informáticos: $26,000.00
• #79 Mejoramiento e Interconectividad puntos externos Red Local Municipal: $40,000.00
• #98 Digitalización de Información y Datos Públicos: $57,400.00
• #116 Migración a Google Workspace: $70,000.00
• #133 Estudio actualización estaciones base celular: $10,000.00
FASE 2 SIAP-ICPI · Ingesta PAC 2023</t>
        </r>
      </text>
    </comment>
    <comment ref="F152" authorId="0" shapeId="0" xr:uid="{E2698914-C8DC-4772-B2E5-0A5D2186D86F}">
      <text>
        <r>
          <rPr>
            <b/>
            <sz val="9"/>
            <color indexed="81"/>
            <rFont val="Tahoma"/>
          </rPr>
          <t>DELL:</t>
        </r>
        <r>
          <rPr>
            <sz val="9"/>
            <color indexed="81"/>
            <rFont val="Tahoma"/>
          </rPr>
          <t xml:space="preserve">
CRUCE FORENSE PAC 2024 DOCX OFICIAL
Fuente: GAD_Montecristi_PAC_2024.docx · Total DOCX: $8,712,580.52
ÍTEMS VINCULADOS (8) — Sistemas informáticos y digitalización:
• #5 Equipos informáticos direcciones y jefaturas GAD (840107/4522000116): $19,645.40
• #6 Equipos accesorios transmisión comunicación GAD (840107/472110113): $10,000
• #7 Equipamiento informático áreas departamentales (840107/452300041): $30,345.60
• #97 Implementación sistemas ERP Financiero/Registro Propiedad (730601/831420011): $252,000
• #142 Soporte mantenimiento ERP Olympo GAD (530702/831600111): $12,900
• #143 Entorno cloud migración servicios informáticos GAD (530702/841600311): $40,000
• #144 Licencia sistema Lexis actualizaciones legales (530701): $1,200
• #162 Internet backup puntos WiFi GAD Montecristi (530105/842200012): $24,384
Auditor: SIAP-ICPI · Fase Ingesta 2024</t>
        </r>
      </text>
    </comment>
    <comment ref="D153" authorId="0" shapeId="0" xr:uid="{84E36673-E986-4B22-891D-C5F680FBDE19}">
      <text>
        <r>
          <rPr>
            <b/>
            <sz val="9"/>
            <color indexed="81"/>
            <rFont val="Tahoma"/>
          </rPr>
          <t>DELL:</t>
        </r>
        <r>
          <rPr>
            <sz val="9"/>
            <color indexed="81"/>
            <rFont val="Tahoma"/>
          </rPr>
          <t xml:space="preserve">
FUENTE: PAC 2023 OFICIAL GAD Municipal Montecristi
CRUCE FORENSE INTEGRAL — Cantón completo
PARTIDAS VINCULADAS (2 ítems):
• #4 Adquisición Drone Profesional y Kit GNSS de Alta Precisión: $61,900.00
• #6 Maquinarias y Equipos (Dron catastro): $3,500.00
FASE 2 SIAP-ICPI · Ingesta PAC 2023</t>
        </r>
      </text>
    </comment>
    <comment ref="F153" authorId="0" shapeId="0" xr:uid="{38443C2A-BB96-4009-9469-141F266F4B77}">
      <text>
        <r>
          <rPr>
            <b/>
            <sz val="9"/>
            <color indexed="81"/>
            <rFont val="Tahoma"/>
          </rPr>
          <t>DELL:</t>
        </r>
        <r>
          <rPr>
            <sz val="9"/>
            <color indexed="81"/>
            <rFont val="Tahoma"/>
          </rPr>
          <t xml:space="preserve">
CRUCE FORENSE PAC 2024 DOCX OFICIAL
Fuente: GAD_Montecristi_PAC_2024.docx · Total DOCX: $8,712,580.52
ÍTEMS VINCULADOS (4) — Catastro y topografía:
• #15 Adquisición receptor GPS transportable (840104/482200011): $10,000
• #16 Accesorios y equipo topográfico de precisión (840104/482810111): $25,371
• #17 Kit drone comercial topografía e inspecciones catastrales (840104/482200014): $6,829
• #92 Captura información georreferenciada LIDAR fachadas cabecera cantonal (730601.003): $65,000
Auditor: SIAP-ICPI · Fase Ingesta 2024</t>
        </r>
      </text>
    </comment>
    <comment ref="D154" authorId="0" shapeId="0" xr:uid="{0A243D8A-C4D9-4D05-8B6C-9916FCBA77A2}">
      <text>
        <r>
          <rPr>
            <b/>
            <sz val="9"/>
            <color indexed="81"/>
            <rFont val="Tahoma"/>
          </rPr>
          <t>DELL:</t>
        </r>
        <r>
          <rPr>
            <sz val="9"/>
            <color indexed="81"/>
            <rFont val="Tahoma"/>
          </rPr>
          <t xml:space="preserve">
FUENTE: PAC 2023 OFICIAL GAD Municipal Montecristi
CRUCE FORENSE INTEGRAL — Cantón completo
PARTIDA VINCULADA (1 ítem):
• #17 Construcción de Muro de Escollera para protección de acceso a la Playa San José: $35,101.31
Partida 750.107.002.002 — Obra
FASE 2 SIAP-ICPI · Ingesta PAC 2023</t>
        </r>
      </text>
    </comment>
    <comment ref="F154" authorId="0" shapeId="0" xr:uid="{A78770D6-BDB8-4984-BA1B-77D4B6DD8235}">
      <text>
        <r>
          <rPr>
            <b/>
            <sz val="9"/>
            <color indexed="81"/>
            <rFont val="Tahoma"/>
          </rPr>
          <t>DELL:</t>
        </r>
        <r>
          <rPr>
            <sz val="9"/>
            <color indexed="81"/>
            <rFont val="Tahoma"/>
          </rPr>
          <t xml:space="preserve">
CRUCE FORENSE PAC 2024 DOCX OFICIAL
Fuente: GAD_Montecristi_PAC_2024.docx · Total DOCX: $8,712,580.52
RESULTADO: SIN PROCESO DE CONTRATACIÓN DIRECTA EN PAC 2024
Ninguna partida explícita de obra en Playa San José identificada en el PAC 2024 oficial.
NOTA: Los ítems 120 ($78,400) y 121 ($85,000) corresponden a eventos turísticos culturales generales (partida 730249), NO a obra de infraestructura costera.
Auditor: SIAP-ICPI · Fase Ingesta 2024</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tc={86098437-C4F7-418E-BA06-91DC1589F0D5}</author>
    <author>tc={D23ACA4F-06BB-47C0-8C91-B92CA906D742}</author>
    <author>tc={59986E91-D1AD-4D99-BA5D-6A5CCE04D9CB}</author>
    <author>tc={808840C7-17C9-4FC5-B899-0C72DC88F1BD}</author>
    <author>tc={D9344873-6140-40A1-A950-9F862F09D0D2}</author>
    <author>tc={1E151C8E-BFDD-4857-9A70-85FBE0EAA733}</author>
  </authors>
  <commentList>
    <comment ref="C4" authorId="0" shapeId="0" xr:uid="{86098437-C4F7-418E-BA06-91DC1589F0D5}">
      <text>
        <t>[Comentario encadenado]
Tu versión de Excel te permite leer este comentario encadenado; sin embargo, las ediciones que se apliquen se quitarán si el archivo se abre en una versión más reciente de Excel. Más información: https://go.microsoft.com/fwlink/?linkid=870924
Comentario:
    REFERENCIA POSICIONAL — Pi (Peso Presupuestario)
Fuente: PONDER!F14:F33, mismo orden que PDOT!B4:B23.
ADVERTENCIA: Si se inserta fila en PONDER entre F13 y F14, TODOS los Pi
se desplazan sin generar error. Verificar PONDER!B14 = PDOT!B4 antes de modificar.</t>
      </text>
    </comment>
    <comment ref="D4" authorId="1" shapeId="0" xr:uid="{D23ACA4F-06BB-47C0-8C91-B92CA906D742}">
      <text>
        <t>[Comentario encadenado]
Tu versión de Excel te permite leer este comentario encadenado; sin embargo, las ediciones que se apliquen se quitarán si el archivo se abre en una versión más reciente de Excel. Más información: https://go.microsoft.com/fwlink/?linkid=870924
Comentario:
    REFERENCIA POSICIONAL — Ri (Factor de Riesgo)
Fuente: TFR!F5:F24, mismo orden que PDOT!B4:B23.
ADVERTENCIA: Sin VLOOKUP por codigo. Si TFR se reordena, Ri cambia sin aviso.
Verificar TFR!B5 = PDOT!B4 antes de modificar TFR.</t>
      </text>
    </comment>
    <comment ref="E4" authorId="2" shapeId="0" xr:uid="{59986E91-D1AD-4D99-BA5D-6A5CCE04D9CB}">
      <text>
        <t>[Comentario encadenado]
Tu versión de Excel te permite leer este comentario encadenado; sin embargo, las ediciones que se apliquen se quitarán si el archivo se abre en una versión más reciente de Excel. Más información: https://go.microsoft.com/fwlink/?linkid=870924
Comentario:
    FUENTE DINAMICA — Vi (Verificacion Documental)
Formula: VLOOKUP(Cod.PDOT, MAD!A5:P24, MATCH('Vi',MAD!A4:P4,0), 0)
Indice resuelto por encabezado, NO numero fijo. Default si cod no existe: 1.
Riesgo residual: si MAD!F4 cambia de nombre, MATCH falla silenciosamente.</t>
      </text>
    </comment>
    <comment ref="F4" authorId="3" shapeId="0" xr:uid="{808840C7-17C9-4FC5-B899-0C72DC88F1BD}">
      <text>
        <t>[Comentario encadenado]
Tu versión de Excel te permite leer este comentario encadenado; sin embargo, las ediciones que se apliquen se quitarán si el archivo se abre en una versión más reciente de Excel. Más información: https://go.microsoft.com/fwlink/?linkid=870924
Comentario:
    FUENTE DINAMICA — Ti (Oportunidad Temporal)
Formula: VLOOKUP(Cod.PDOT, MAD!A5:P24, MATCH('Ti (H)',MAD!A4:P4,0), 0)
Default si cod no existe: 0. Encabezado exacto requerido: 'Ti (H)' en MAD!H4.</t>
      </text>
    </comment>
    <comment ref="I4" authorId="4" shapeId="0" xr:uid="{D9344873-6140-40A1-A950-9F862F09D0D2}">
      <text>
        <t>[Comentario encadenado]
Tu versión de Excel te permite leer este comentario encadenado; sin embargo, las ediciones que se apliquen se quitarán si el archivo se abre en una versión más reciente de Excel. Más información: https://go.microsoft.com/fwlink/?linkid=870924
Comentario:
    FUENTE DINAMICA — Ci (Control Institucional)
Formula: VLOOKUP(Cod.PDOT, MAD!A5:P24, MATCH('Pi / Ci',MAD!A4:P4,0), 0)
Default si cod no existe: 1. Encabezado exacto: 'Pi / Ci' en MAD!P4.</t>
      </text>
    </comment>
    <comment ref="A5" authorId="5" shapeId="0" xr:uid="{1E151C8E-BFDD-4857-9A70-85FBE0EAA733}">
      <text>
        <t>[Comentario encadenado]
Tu versión de Excel te permite leer este comentario encadenado; sin embargo, las ediciones que se apliquen se quitarán si el archivo se abre en una versión más reciente de Excel. Más información: https://go.microsoft.com/fwlink/?linkid=870924
Comentario:
    CELDA CRITICA — Primera meta, mayor peso Pi=33%
Formula correcta: =PDOT!B4
HISTORIAL: Contuvo =PDOT!B24 ('TOTAL MUESTRA') causando perdida silenciosa
de PDOT.AS.VL.M1.01 en el ICPI. Corregida en Fase 1.
No editar manualmente. Si se pierde: regenerar como =PDOT!B4.</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B6" authorId="0" shapeId="0" xr:uid="{00000000-0006-0000-1300-000002000000}">
      <text>
        <r>
          <rPr>
            <sz val="11"/>
            <color theme="1"/>
            <rFont val="Aptos Narrow"/>
            <family val="2"/>
            <scheme val="minor"/>
          </rPr>
          <t>DELL:
ACTUALIZADO v4.0: fórmula dinámica — antes hardcoded 1.3209. Ahora lee E1-ICPI!H24.</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tc={DA1CC246-670E-44C7-9A2C-4E67507A7645}</author>
    <author>tc={760DC41A-09E9-4532-A10D-4DA0737DE8AE}</author>
  </authors>
  <commentList>
    <comment ref="E5" authorId="0" shapeId="0" xr:uid="{DA1CC246-670E-44C7-9A2C-4E67507A7645}">
      <text>
        <t>[Comentario encadenado]
Tu versión de Excel te permite leer este comentario encadenado; sin embargo, las ediciones que se apliquen se quitarán si el archivo se abre en una versión más reciente de Excel. Más información: https://go.microsoft.com/fwlink/?linkid=870924
Comentario:
    FUENTE DINAMICA — Vi por VLOOKUP (blindado Fase 3)
Formula: VLOOKUP(B?, MAD!A5:H24, MATCH('Vi',MAD!A4:H4,0), 0)
Reemplaza referencias posicionales MAD!F5:F24 (riesgo critico eliminado).
Metas fuera de muestra n=20 devuelven vacio (IFERROR) — correcto.</t>
      </text>
    </comment>
    <comment ref="I5" authorId="1" shapeId="0" xr:uid="{760DC41A-09E9-4532-A10D-4DA0737DE8AE}">
      <text>
        <t>[Comentario encadenado]
Tu versión de Excel te permite leer este comentario encadenado; sin embargo, las ediciones que se apliquen se quitarán si el archivo se abre en una versión más reciente de Excel. Más información: https://go.microsoft.com/fwlink/?linkid=870924
Comentario:
    FUENTE DINAMICA — Ti por VLOOKUP (blindado Fase 3)
Formula: VLOOKUP(B?, MAD!A5:H24, MATCH('Ti (H)',MAD!A4:H4,0), 0)
Reemplaza referencias posicionales MAD!H5:H23 (riesgo critico eliminado).
Metas fuera de muestra n=20 devuelven vacio (IFERROR) — correcto.</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tc={26D8493D-462E-4BB1-BDB6-CC7CC3C750BE}</author>
    <author>tc={F65F974F-EFBF-4479-B009-25D23CBFBAD7}</author>
  </authors>
  <commentList>
    <comment ref="B4" authorId="0" shapeId="0" xr:uid="{26D8493D-462E-4BB1-BDB6-CC7CC3C750BE}">
      <text>
        <t>[Comentario encadenado]
Tu versión de Excel te permite leer este comentario encadenado; sin embargo, las ediciones que se apliquen se quitarán si el archivo se abre en una versión más reciente de Excel. Más información: https://go.microsoft.com/fwlink/?linkid=870924
Comentario:
    CRITERIOS SUMIF — Eje TERRITORIAL (2 sistemas)
Incluye: 'Asentamientos Humanos' + 'Fisico Ambiental'
Criterios deben coincidir EXACTAMENTE con PDOT!C4:C23.
Si PDOT cambia nombre del sistema, SUMIF devuelve 0 sin error visible.</t>
      </text>
    </comment>
    <comment ref="B6" authorId="1" shapeId="0" xr:uid="{F65F974F-EFBF-4479-B009-25D23CBFBAD7}">
      <text>
        <t>[Comentario encadenado]
Tu versión de Excel te permite leer este comentario encadenado; sin embargo, las ediciones que se apliquen se quitarán si el archivo se abre en una versión más reciente de Excel. Más información: https://go.microsoft.com/fwlink/?linkid=870924
Comentario:
    CRITERIO SUMIF — Eje AMBIENTAL
Criterio actual: 'AMBIENTAL' (en mayusculas).
Si PDOT!C usa variante diferente, SUMIF retorna 0 sin aviso.
Verificar coincidencia exacta con columna C de PDOT.</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H6" authorId="0" shapeId="0" xr:uid="{3694560A-78BD-49C3-9FAD-5D877215267E}">
      <text>
        <r>
          <rPr>
            <b/>
            <sz val="9"/>
            <color indexed="81"/>
            <rFont val="Tahoma"/>
          </rPr>
          <t>Fuente: Res. Adm. 0037-WWAP-GADMCM-2021. Art. 19 Estatuto Orgánico GAD Montecristi 2021 (norma vigente periodo auditado 2023-2024). Proceso Gobernante - Alcaldía. Misión: dirigir, controlar y ejecutar políticas del Concejo Municipal y administrar internamente el Municipio.</t>
        </r>
      </text>
    </comment>
    <comment ref="K6" authorId="0" shapeId="0" xr:uid="{6C5E48FF-CC39-4D56-BF5C-8E707A60C17C}">
      <text>
        <r>
          <rPr>
            <b/>
            <sz val="9"/>
            <color indexed="81"/>
            <rFont val="Tahoma"/>
            <family val="2"/>
          </rPr>
          <t>DELL:</t>
        </r>
        <r>
          <rPr>
            <sz val="9"/>
            <color indexed="81"/>
            <rFont val="Tahoma"/>
            <family val="2"/>
          </rPr>
          <t xml:space="preserve">
Ci=1.0: Proceso Gobernante. Máxima autoridad ejecutiva GAD directo.</t>
        </r>
      </text>
    </comment>
    <comment ref="H7" authorId="0" shapeId="0" xr:uid="{ACC22717-22A9-43B5-85FF-72FC34E776AE}">
      <text>
        <r>
          <rPr>
            <b/>
            <sz val="9"/>
            <color indexed="81"/>
            <rFont val="Tahoma"/>
          </rPr>
          <t>Fuente: Res. Adm. 0037-WWAP-GADMCM-2021. Art. 16 Estatuto Orgánico GAD Montecristi 2021. Proceso Gobernante - Concejo Municipal.</t>
        </r>
      </text>
    </comment>
    <comment ref="K7" authorId="0" shapeId="0" xr:uid="{27FA36C5-CF39-4E14-904A-6C38FC0CD967}">
      <text>
        <r>
          <rPr>
            <b/>
            <sz val="9"/>
            <color indexed="81"/>
            <rFont val="Tahoma"/>
            <family val="2"/>
          </rPr>
          <t>DELL:</t>
        </r>
        <r>
          <rPr>
            <sz val="9"/>
            <color indexed="81"/>
            <rFont val="Tahoma"/>
            <family val="2"/>
          </rPr>
          <t xml:space="preserve">
Ci=1.0: Proceso Gobernante legislativo.</t>
        </r>
      </text>
    </comment>
    <comment ref="H8" authorId="0" shapeId="0" xr:uid="{23A426FE-BE1C-402A-B60E-F24804CB0B84}">
      <text>
        <r>
          <rPr>
            <b/>
            <sz val="9"/>
            <color indexed="81"/>
            <rFont val="Tahoma"/>
          </rPr>
          <t>Fuente: Res. Adm. 0037-WWAP-GADMCM-2021. Art. 30 Estatuto Orgánico GAD Montecristi 2021. Proceso Habilitante de Asesoría - Auditoría Interna.</t>
        </r>
      </text>
    </comment>
    <comment ref="K8" authorId="0" shapeId="0" xr:uid="{B530356C-F766-48DC-8814-AE2B020FF46F}">
      <text>
        <r>
          <rPr>
            <b/>
            <sz val="9"/>
            <color indexed="81"/>
            <rFont val="Tahoma"/>
            <family val="2"/>
          </rPr>
          <t>DELL:</t>
        </r>
        <r>
          <rPr>
            <sz val="9"/>
            <color indexed="81"/>
            <rFont val="Tahoma"/>
            <family val="2"/>
          </rPr>
          <t xml:space="preserve">
Ci=1.0: Proceso habilitante de asesoría GAD directo.</t>
        </r>
      </text>
    </comment>
    <comment ref="H9" authorId="0" shapeId="0" xr:uid="{FE35370D-47AA-4D36-B84D-4FB3AEA84916}">
      <text>
        <r>
          <rPr>
            <b/>
            <sz val="9"/>
            <color indexed="81"/>
            <rFont val="Tahoma"/>
          </rPr>
          <t>Fuente: Res. Adm. 0037-WWAP-GADMCM-2021. Art. 21 Estatuto Orgánico GAD Montecristi 2021. Proceso Habilitante de Asesoría - Secretaría General.</t>
        </r>
      </text>
    </comment>
    <comment ref="K9" authorId="0" shapeId="0" xr:uid="{E2FF082B-AE93-47C9-81FC-78CDDF3D1AC5}">
      <text>
        <r>
          <rPr>
            <b/>
            <sz val="9"/>
            <color indexed="81"/>
            <rFont val="Tahoma"/>
            <family val="2"/>
          </rPr>
          <t>DELL:</t>
        </r>
        <r>
          <rPr>
            <sz val="9"/>
            <color indexed="81"/>
            <rFont val="Tahoma"/>
            <family val="2"/>
          </rPr>
          <t xml:space="preserve">
Ci=1.0: Proceso habilitante de asesoría GAD directo.</t>
        </r>
      </text>
    </comment>
    <comment ref="H10" authorId="0" shapeId="0" xr:uid="{17F2A90B-B2DF-4D8A-B2E2-06C86C67AD82}">
      <text>
        <r>
          <rPr>
            <b/>
            <sz val="9"/>
            <color indexed="81"/>
            <rFont val="Tahoma"/>
          </rPr>
          <t>Fuente: Res. Adm. 0037-WWAP-GADMCM-2021. Art. 24 (Planificación Institucional) y Art. 45 (Planificación Control y Ordenamiento Territorial). Estatuto Orgánico GAD Montecristi 2021. Proceso Agregador de Valor. Nombre 2021: Dir. Planificación Control y Ordenamiento Territorial y Gestión del Suelo.</t>
        </r>
      </text>
    </comment>
    <comment ref="K10" authorId="0" shapeId="0" xr:uid="{BE630D0A-3454-4775-85C5-47E7D1B086E1}">
      <text>
        <r>
          <rPr>
            <b/>
            <sz val="9"/>
            <color indexed="81"/>
            <rFont val="Tahoma"/>
            <family val="2"/>
          </rPr>
          <t>DELL:</t>
        </r>
        <r>
          <rPr>
            <sz val="9"/>
            <color indexed="81"/>
            <rFont val="Tahoma"/>
            <family val="2"/>
          </rPr>
          <t xml:space="preserve">
Ci=1.0: Dirección GAD directo - Proceso Agregador de Valor.</t>
        </r>
      </text>
    </comment>
    <comment ref="H11" authorId="0" shapeId="0" xr:uid="{AAA5C1C9-3CE1-4CF6-8A1D-CCCE84A02186}">
      <text>
        <r>
          <rPr>
            <b/>
            <sz val="9"/>
            <color indexed="81"/>
            <rFont val="Tahoma"/>
          </rPr>
          <t>Fuente: Res. Adm. 0037-WWAP-GADMCM-2021. Art. 39 Estatuto Orgánico GAD Montecristi 2021. Nombre 2021: Dirección de Obras Públicas. Proceso Agregador de Valor. Misión: dirigir, coordinar y controlar actividades de infraestructura, desarrollo, mejoramiento, mantenimiento y construcción de obras.</t>
        </r>
      </text>
    </comment>
    <comment ref="K11" authorId="0" shapeId="0" xr:uid="{54D203AB-565E-432C-80EE-4FE8F2D1B696}">
      <text>
        <r>
          <rPr>
            <b/>
            <sz val="9"/>
            <color indexed="81"/>
            <rFont val="Tahoma"/>
            <family val="2"/>
          </rPr>
          <t>DELL:</t>
        </r>
        <r>
          <rPr>
            <sz val="9"/>
            <color indexed="81"/>
            <rFont val="Tahoma"/>
            <family val="2"/>
          </rPr>
          <t xml:space="preserve">
Ci=1.0: Dirección GAD directo - Proceso Agregador de Valor.</t>
        </r>
      </text>
    </comment>
    <comment ref="H12" authorId="0" shapeId="0" xr:uid="{1E3701A7-0017-4E3B-9C89-776C74F6BF2A}">
      <text>
        <r>
          <rPr>
            <b/>
            <sz val="9"/>
            <color indexed="81"/>
            <rFont val="Tahoma"/>
          </rPr>
          <t>Fuente: Res. Adm. 0037-WWAP-GADMCM-2021. Art. 42 Estatuto Orgánico GAD Montecristi 2021. Nombre 2021: Dirección de Agua Potable y Alcantarillado Sanitario. Proceso Agregador de Valor. Misión: planificar, diseñar, construir, fiscalizar, operar y administrar sistemas de agua potable y alcantarillado.</t>
        </r>
      </text>
    </comment>
    <comment ref="K12" authorId="0" shapeId="0" xr:uid="{EA93199B-C480-44E0-BA9C-0EE7BCC5B4A2}">
      <text>
        <r>
          <rPr>
            <b/>
            <sz val="9"/>
            <color indexed="81"/>
            <rFont val="Tahoma"/>
            <family val="2"/>
          </rPr>
          <t>DELL:</t>
        </r>
        <r>
          <rPr>
            <sz val="9"/>
            <color indexed="81"/>
            <rFont val="Tahoma"/>
            <family val="2"/>
          </rPr>
          <t xml:space="preserve">
Ci=1.0: Dirección GAD directo - Proceso Agregador de Valor.</t>
        </r>
      </text>
    </comment>
    <comment ref="H13" authorId="0" shapeId="0" xr:uid="{682C3CB9-90AF-4A48-B54B-33FA7050C469}">
      <text>
        <r>
          <rPr>
            <b/>
            <sz val="9"/>
            <color indexed="81"/>
            <rFont val="Tahoma"/>
          </rPr>
          <t>Fuente: Res. Adm. 0037-WWAP-GADMCM-2021. Art. 69 Estatuto Orgánico GAD Montecristi 2021. Nombre 2021: Dir. Acción e Inclusión Social y Comunitaria (también vinculada Art. 63 para competencias culturales). REINSTAURADA para período auditado 2023-2024. Proceso Agregador de Valor. Misión: promover desarrollo económico y mejoramiento calidad de vida mediante intervención social, inclusión y atención grupos vulnerables (geriátrico, discapacidad, niñez).</t>
        </r>
      </text>
    </comment>
    <comment ref="K13" authorId="0" shapeId="0" xr:uid="{51E6A8C7-D818-4E5D-80FB-EDD3F23DDD82}">
      <text>
        <r>
          <rPr>
            <b/>
            <sz val="9"/>
            <color indexed="81"/>
            <rFont val="Tahoma"/>
            <family val="2"/>
          </rPr>
          <t>DELL:</t>
        </r>
        <r>
          <rPr>
            <sz val="9"/>
            <color indexed="81"/>
            <rFont val="Tahoma"/>
            <family val="2"/>
          </rPr>
          <t xml:space="preserve">
Ci=1.0 REINSTAURADO: Dir. Acción e Inclusión Social es Dirección GAD directa según Art. 69 EO 2021. Proceso Agregador de Valor. Vigente periodo auditado 2023-2024.</t>
        </r>
      </text>
    </comment>
    <comment ref="H14" authorId="0" shapeId="0" xr:uid="{2E34A4B0-1B3C-461A-8B5A-E34400FA22EB}">
      <text>
        <r>
          <rPr>
            <b/>
            <sz val="9"/>
            <color indexed="81"/>
            <rFont val="Tahoma"/>
          </rPr>
          <t>Fuente: Res. Adm. 0037-WWAP-GADMCM-2021. Art. 54 Estatuto Orgánico GAD Montecristi 2021. Nombre 2021: Dirección de Gestión Ambiental. Proceso Agregador de Valor. Ci=1.0 CONFIRMADO: Dirección GAD directa, no convenio. Misión: promover implementación de Sistemas de Gestión Ambiental con políticas preventivas e integradas.</t>
        </r>
      </text>
    </comment>
    <comment ref="K14" authorId="0" shapeId="0" xr:uid="{2A3AD060-BBCF-4627-9672-9A14642D52FF}">
      <text>
        <r>
          <rPr>
            <b/>
            <sz val="9"/>
            <color indexed="81"/>
            <rFont val="Tahoma"/>
          </rPr>
          <t>Ci=1.0 CONFIRMADO EO 2021: Art. 54 define Dirección de Gestión Ambiental como Proceso Agregador de Valor GAD directo. NO es convenio ni adscrita.</t>
        </r>
      </text>
    </comment>
    <comment ref="H15" authorId="0" shapeId="0" xr:uid="{2F804F44-9E6C-480F-98A2-17A75E804B8D}">
      <text>
        <r>
          <rPr>
            <b/>
            <sz val="9"/>
            <color indexed="81"/>
            <rFont val="Tahoma"/>
          </rPr>
          <t>Fuente: Res. Adm. 0037-WWAP-GADMCM-2021. Art. 94 Estatuto Orgánico GAD Montecristi 2021. Nombre 2021: Tecnologías de la Información y Comunicación (TICs) — subproceso dentro de la Dirección Administrativa (Art. 87). Proceso Habilitante de Apoyo. Misión: administrar, planificar y controlar recursos informáticos institucionales.</t>
        </r>
      </text>
    </comment>
    <comment ref="K15" authorId="0" shapeId="0" xr:uid="{C220E3F9-779A-4CF7-8CFD-CFE58339AFDC}">
      <text>
        <r>
          <rPr>
            <b/>
            <sz val="9"/>
            <color indexed="81"/>
            <rFont val="Tahoma"/>
            <family val="2"/>
          </rPr>
          <t>DELL:</t>
        </r>
        <r>
          <rPr>
            <sz val="9"/>
            <color indexed="81"/>
            <rFont val="Tahoma"/>
            <family val="2"/>
          </rPr>
          <t xml:space="preserve">
Ci=1.0: Subproceso TICs bajo Dir. Administrativa GAD directo (Art. 94 EO 2021). Control institucional pleno.</t>
        </r>
      </text>
    </comment>
    <comment ref="H16" authorId="0" shapeId="0" xr:uid="{E08B7B81-4527-4E9C-81AE-1E947FA1B6A7}">
      <text>
        <r>
          <rPr>
            <b/>
            <sz val="9"/>
            <color indexed="81"/>
            <rFont val="Tahoma"/>
          </rPr>
          <t>Fuente: Res. Adm. 0037-WWAP-GADMCM-2021. Art. 48 Estatuto Orgánico GAD Montecristi 2021. Nombre 2021: Dirección de Avalúos y Catastros. Proceso Agregador de Valor. Misión: generar, procesar y mantener actualizada información del catastro inmobiliario con sistema alfanumérico y georreferenciado.</t>
        </r>
      </text>
    </comment>
    <comment ref="K16" authorId="0" shapeId="0" xr:uid="{BF025249-8A99-4914-A667-0B9EE3C031E5}">
      <text>
        <r>
          <rPr>
            <b/>
            <sz val="9"/>
            <color indexed="81"/>
            <rFont val="Tahoma"/>
            <family val="2"/>
          </rPr>
          <t>DELL:</t>
        </r>
        <r>
          <rPr>
            <sz val="9"/>
            <color indexed="81"/>
            <rFont val="Tahoma"/>
            <family val="2"/>
          </rPr>
          <t xml:space="preserve">
Ci=1.0: Dirección GAD directo - Proceso Agregador de Valor.</t>
        </r>
      </text>
    </comment>
    <comment ref="H17" authorId="0" shapeId="0" xr:uid="{91A1DBB7-744D-41A2-A7BF-7D9C7131781F}">
      <text>
        <r>
          <rPr>
            <b/>
            <sz val="9"/>
            <color indexed="81"/>
            <rFont val="Tahoma"/>
          </rPr>
          <t>Fuente: Res. Adm. 0037-WWAP-GADMCM-2021. Art. 84 Estatuto Orgánico GAD Montecristi 2021. Proceso Habilitante de Apoyo - Dirección de Talento Humano.</t>
        </r>
      </text>
    </comment>
    <comment ref="K17" authorId="0" shapeId="0" xr:uid="{BA2629DF-146E-4C78-8751-C0C4D4D0FBE2}">
      <text>
        <r>
          <rPr>
            <b/>
            <sz val="9"/>
            <color indexed="81"/>
            <rFont val="Tahoma"/>
            <family val="2"/>
          </rPr>
          <t>DELL:</t>
        </r>
        <r>
          <rPr>
            <sz val="9"/>
            <color indexed="81"/>
            <rFont val="Tahoma"/>
            <family val="2"/>
          </rPr>
          <t xml:space="preserve">
Ci=1.0: Proceso habilitante de apoyo GAD directo.</t>
        </r>
      </text>
    </comment>
    <comment ref="H18" authorId="0" shapeId="0" xr:uid="{2685B450-D32C-4DBA-8DD8-4DB62032AA6E}">
      <text>
        <r>
          <rPr>
            <b/>
            <sz val="9"/>
            <color indexed="81"/>
            <rFont val="Tahoma"/>
          </rPr>
          <t>Fuente: Res. Adm. 0037-WWAP-GADMCM-2021. Art. 75 Estatuto Orgánico GAD Montecristi 2021. Proceso Habilitante de Apoyo - Dirección Financiera.</t>
        </r>
      </text>
    </comment>
    <comment ref="K18" authorId="0" shapeId="0" xr:uid="{69C2F4A3-CF4E-4293-ABB5-10ABF4887A7B}">
      <text>
        <r>
          <rPr>
            <b/>
            <sz val="9"/>
            <color indexed="81"/>
            <rFont val="Tahoma"/>
            <family val="2"/>
          </rPr>
          <t>DELL:</t>
        </r>
        <r>
          <rPr>
            <sz val="9"/>
            <color indexed="81"/>
            <rFont val="Tahoma"/>
            <family val="2"/>
          </rPr>
          <t xml:space="preserve">
Ci=1.0: Proceso habilitante de apoyo GAD directo.</t>
        </r>
      </text>
    </comment>
    <comment ref="H19" authorId="0" shapeId="0" xr:uid="{E2650F4B-D21B-41F9-9C23-8518F966908B}">
      <text>
        <r>
          <rPr>
            <b/>
            <sz val="9"/>
            <color indexed="81"/>
            <rFont val="Tahoma"/>
          </rPr>
          <t>Fuente: Ordenanza de Creación del Patronato Municipal de Amparo Social, GAD Montecristi. El EO 2021 (Res. Adm. 0037-WWAP-GADMCM-2021) menciona al Patronato como entidad adscrita en Art. 69 (coordinación con Dir. Acción Social). Ci=0.9 CONFIRMADO: entidad adscrita con autonomía administrativa. Vigente periodo auditado 2023-2024.</t>
        </r>
      </text>
    </comment>
    <comment ref="I19" authorId="0" shapeId="0" xr:uid="{26701E73-A012-478D-94FE-110A3F09BAB8}">
      <text>
        <r>
          <rPr>
            <b/>
            <sz val="9"/>
            <color indexed="81"/>
            <rFont val="Tahoma"/>
          </rPr>
          <t>DELL:</t>
        </r>
        <r>
          <rPr>
            <sz val="9"/>
            <color indexed="81"/>
            <rFont val="Tahoma"/>
          </rPr>
          <t xml:space="preserve">
Misión per COOTAD Art. 388 y Ordenanza de Creación. Grupos de atención prioritaria: adultos mayores, personas con discapacidad, niñez (CIBV). Convenios MSP/MIES. Ci=0.9 por autonomía administrativa como entidad adscrita.</t>
        </r>
      </text>
    </comment>
    <comment ref="K19" authorId="0" shapeId="0" xr:uid="{36BBEFCF-7C9C-4322-B466-72C34A67E719}">
      <text>
        <r>
          <rPr>
            <b/>
            <sz val="9"/>
            <color indexed="81"/>
            <rFont val="Tahoma"/>
          </rPr>
          <t>Ci=0.9 CONFIRMADO Y FIJADO: Patronato Municipal es Entidad Adscrita con autonomía administrativa propia. Fundamento: Ordenanza de Creación + COOTAD Art. 388. No es Dirección GAD directa (Ci=1.0) ni EP (Ci=0.75).</t>
        </r>
      </text>
    </comment>
    <comment ref="H20" authorId="0" shapeId="0" xr:uid="{7EF37176-A5E8-4DEE-871E-DB4FA22A1C3B}">
      <text>
        <r>
          <rPr>
            <b/>
            <sz val="9"/>
            <color indexed="81"/>
            <rFont val="Tahoma"/>
          </rPr>
          <t>EP Aseo Integral Montecristi no figura en EO 2021 (Res. 0037). Tiene Estatuto propio como Empresa Pública Municipal bajo LOEP. Ci=0.75: EP con autonomía plena de gestión. Vigente periodo auditado 2023-2024.</t>
        </r>
      </text>
    </comment>
    <comment ref="K20" authorId="0" shapeId="0" xr:uid="{A681C1BE-D642-40E2-B804-58125E0791BB}">
      <text>
        <r>
          <rPr>
            <b/>
            <sz val="9"/>
            <color indexed="81"/>
            <rFont val="Tahoma"/>
          </rPr>
          <t>Ci=0.75: Empresa Pública Municipal bajo LOEP con autonomía plena. No figura en EO 2021 - tiene Estatuto propio. Estándar SIAP-ICPI para EPs.</t>
        </r>
      </text>
    </comment>
    <comment ref="H21" authorId="0" shapeId="0" xr:uid="{BBA84D41-1B71-4EE3-9B99-8187DDE466D8}">
      <text>
        <r>
          <rPr>
            <b/>
            <sz val="9"/>
            <color indexed="81"/>
            <rFont val="Tahoma"/>
          </rPr>
          <t>Entidad externa bajo convenio. No tiene artículo propio en EO 2021. Vigente periodo auditado 2023-2024.</t>
        </r>
      </text>
    </comment>
    <comment ref="K21" authorId="0" shapeId="0" xr:uid="{6C105A98-0F24-46F5-A044-270C0D2249BC}">
      <text>
        <r>
          <rPr>
            <b/>
            <sz val="9"/>
            <color indexed="81"/>
            <rFont val="Tahoma"/>
            <family val="2"/>
          </rPr>
          <t>DELL:</t>
        </r>
        <r>
          <rPr>
            <sz val="9"/>
            <color indexed="81"/>
            <rFont val="Tahoma"/>
            <family val="2"/>
          </rPr>
          <t xml:space="preserve">
Ci=0.9: Entidad externa bajo convenio MSP. Control parcial por convenio.</t>
        </r>
      </text>
    </comment>
    <comment ref="H22" authorId="0" shapeId="0" xr:uid="{AEC737EA-0C6A-4873-931D-7F5DAA33D95A}">
      <text>
        <r>
          <rPr>
            <b/>
            <sz val="9"/>
            <color indexed="81"/>
            <rFont val="Tahoma"/>
          </rPr>
          <t>Fuente: Res. Adm. 0037-WWAP-GADMCM-2021. Art. 51 Estatuto Orgánico GAD Montecristi 2021. Nombre 2021: Dirección de Espacios Públicos, Justicia y Vigilancia. Proceso Agregador de Valor. Misión: articular prestación servicios públicos, control y gestión de áreas y espacios públicos, comisarías y justicia.</t>
        </r>
      </text>
    </comment>
    <comment ref="K22" authorId="0" shapeId="0" xr:uid="{D4CF0868-40AB-42E4-BBFB-155E67ABB6CB}">
      <text>
        <r>
          <rPr>
            <b/>
            <sz val="9"/>
            <color indexed="81"/>
            <rFont val="Tahoma"/>
            <family val="2"/>
          </rPr>
          <t>DELL:</t>
        </r>
        <r>
          <rPr>
            <sz val="9"/>
            <color indexed="81"/>
            <rFont val="Tahoma"/>
            <family val="2"/>
          </rPr>
          <t xml:space="preserve">
Ci=1.0: Dirección GAD directo - Proceso Agregador de Valor EO 2021.</t>
        </r>
      </text>
    </comment>
    <comment ref="H23" authorId="0" shapeId="0" xr:uid="{00BF6E04-3717-4397-A562-E13EA6966A64}">
      <text>
        <r>
          <rPr>
            <b/>
            <sz val="9"/>
            <color indexed="81"/>
            <rFont val="Tahoma"/>
          </rPr>
          <t>Fuente: Res. Adm. 0037-WWAP-GADMCM-2021. Art. 66 Estatuto Orgánico GAD Montecristi 2021. Nombre 2021: Dirección de Desarrollo Turístico. Proceso Agregador de Valor. Misión: dinamizar el turismo cantonal difundiendo identidad y atractivos culturales y naturales.</t>
        </r>
      </text>
    </comment>
    <comment ref="K23" authorId="0" shapeId="0" xr:uid="{5F0C9EC4-11FC-4D0E-AA4B-FC14212D583F}">
      <text>
        <r>
          <rPr>
            <b/>
            <sz val="9"/>
            <color indexed="81"/>
            <rFont val="Tahoma"/>
            <family val="2"/>
          </rPr>
          <t>DELL:</t>
        </r>
        <r>
          <rPr>
            <sz val="9"/>
            <color indexed="81"/>
            <rFont val="Tahoma"/>
            <family val="2"/>
          </rPr>
          <t xml:space="preserve">
Ci=0.9: Unidad de Turismo - en EO 2021 figura como Dirección de Desarrollo Turístico pero opera como unidad dependiente. Se mantiene Ci=0.9 por dependencia funcional.</t>
        </r>
      </text>
    </comment>
    <comment ref="H24" authorId="0" shapeId="0" xr:uid="{5A5E448B-1E3C-46C0-ACFC-F80CE687DBE4}">
      <text>
        <r>
          <rPr>
            <b/>
            <sz val="9"/>
            <color indexed="81"/>
            <rFont val="Tahoma"/>
          </rPr>
          <t>Fila duplicada UTU Sección B - misma referencia Art. 66 EO 2021.</t>
        </r>
      </text>
    </comment>
    <comment ref="K24" authorId="0" shapeId="0" xr:uid="{9C0CFA90-1448-4914-885F-CD8C7C691593}">
      <text>
        <r>
          <rPr>
            <b/>
            <sz val="9"/>
            <color indexed="81"/>
            <rFont val="Tahoma"/>
            <family val="2"/>
          </rPr>
          <t>DELL:</t>
        </r>
        <r>
          <rPr>
            <sz val="9"/>
            <color indexed="81"/>
            <rFont val="Tahoma"/>
            <family val="2"/>
          </rPr>
          <t xml:space="preserve">
Ci=0.9: Unidad de Turismo.</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D7" authorId="0" shapeId="0" xr:uid="{00000000-0006-0000-1A00-000001000000}">
      <text>
        <r>
          <rPr>
            <sz val="11"/>
            <color theme="1"/>
            <rFont val="Aptos Narrow"/>
            <family val="2"/>
            <scheme val="minor"/>
          </rPr>
          <t>DELL:
POA 2023-2024: Meta planificada en POA GAD Montecristi. Fuente: PDOT 2023-2027</t>
        </r>
      </text>
    </comment>
    <comment ref="E7" authorId="0" shapeId="0" xr:uid="{00000000-0006-0000-1A00-000002000000}">
      <text>
        <r>
          <rPr>
            <sz val="11"/>
            <color theme="1"/>
            <rFont val="Aptos Narrow"/>
            <family val="2"/>
            <scheme val="minor"/>
          </rPr>
          <t>DELL:
PAC 2023: Proceso SERCOP registrado. Fuente: portal SERCOP</t>
        </r>
      </text>
    </comment>
    <comment ref="E9" authorId="0" shapeId="0" xr:uid="{00000000-0006-0000-1A00-000003000000}">
      <text>
        <r>
          <rPr>
            <sz val="11"/>
            <color theme="1"/>
            <rFont val="Aptos Narrow"/>
            <family val="2"/>
            <scheme val="minor"/>
          </rPr>
          <t>DELL:
PAC: No se registra proceso SERCOP para Convenio MIDUVI — falla operativa</t>
        </r>
      </text>
    </comment>
    <comment ref="E11" authorId="0" shapeId="0" xr:uid="{00000000-0006-0000-1A00-000004000000}">
      <text>
        <r>
          <rPr>
            <sz val="11"/>
            <color theme="1"/>
            <rFont val="Aptos Narrow"/>
            <family val="2"/>
            <scheme val="minor"/>
          </rPr>
          <t>DELL:
PAC: No se registra contratación — Camal sin proceso formal</t>
        </r>
      </text>
    </comment>
    <comment ref="E14" authorId="0" shapeId="0" xr:uid="{00000000-0006-0000-1A00-000005000000}">
      <text>
        <r>
          <rPr>
            <sz val="11"/>
            <color theme="1"/>
            <rFont val="Aptos Narrow"/>
            <family val="2"/>
            <scheme val="minor"/>
          </rPr>
          <t>DELL:
PAC: Sin proceso SERCOP — Biblioteca no contratada formalmente</t>
        </r>
      </text>
    </comment>
    <comment ref="E17" authorId="0" shapeId="0" xr:uid="{00000000-0006-0000-1A00-000006000000}">
      <text>
        <r>
          <rPr>
            <sz val="11"/>
            <color theme="1"/>
            <rFont val="Aptos Narrow"/>
            <family val="2"/>
            <scheme val="minor"/>
          </rPr>
          <t>DELL:
PAC: EP Aseo — sin proceso formal en SERCOP 2023-2024</t>
        </r>
      </text>
    </comment>
    <comment ref="E19" authorId="0" shapeId="0" xr:uid="{00000000-0006-0000-1A00-000007000000}">
      <text>
        <r>
          <rPr>
            <sz val="11"/>
            <color theme="1"/>
            <rFont val="Aptos Narrow"/>
            <family val="2"/>
            <scheme val="minor"/>
          </rPr>
          <t>DELL:
PAC: Sin contratación formal — falla operativa dirección</t>
        </r>
      </text>
    </comment>
    <comment ref="E22" authorId="0" shapeId="0" xr:uid="{00000000-0006-0000-1A00-000008000000}">
      <text>
        <r>
          <rPr>
            <sz val="11"/>
            <color theme="1"/>
            <rFont val="Aptos Narrow"/>
            <family val="2"/>
            <scheme val="minor"/>
          </rPr>
          <t>DELL:
PAC: Sin contrato formal SERCOP — Participación Ciudadana no contratada</t>
        </r>
      </text>
    </comment>
    <comment ref="E23" authorId="0" shapeId="0" xr:uid="{00000000-0006-0000-1A00-000009000000}">
      <text>
        <r>
          <rPr>
            <sz val="11"/>
            <color theme="1"/>
            <rFont val="Aptos Narrow"/>
            <family val="2"/>
            <scheme val="minor"/>
          </rPr>
          <t>DELL:
PAC: MINTUR no registra convenio formal en PAC 2023</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<sst xmlns="http://schemas.openxmlformats.org/spreadsheetml/2006/main" count="7977" uniqueCount="4810">
  <si>
    <t>ICM Oficial SIGAD (%)</t>
  </si>
  <si>
    <t>Ejecución completa Vi=1,Ti=1 (n)</t>
  </si>
  <si>
    <t>◉ INDICADORES CLAVE · KPIs del Sistema SIAP-ICPI · Base: PDOT Plan Bicentenario 2023-2027</t>
  </si>
  <si>
    <t>Metas con Evidencia Vi=1 (%)</t>
  </si>
  <si>
    <t>KPI</t>
  </si>
  <si>
    <t>VALOR ACTUAL</t>
  </si>
  <si>
    <t>BARRA DE AVANCE</t>
  </si>
  <si>
    <t>CONTEXTO / FUENTE</t>
  </si>
  <si>
    <t>🌐 ITAM Global — Transp. (%)</t>
  </si>
  <si>
    <t>ICPI GLOBAL (%)</t>
  </si>
  <si>
    <t>Brecha de Integridad ICPI vs ICM (pp)</t>
  </si>
  <si>
    <t>Semáforo ICPI</t>
  </si>
  <si>
    <t>Ver INTERP para tabla de rangos</t>
  </si>
  <si>
    <t>Brecha de Integridad (pp)</t>
  </si>
  <si>
    <t>Brecha ICPI vs ICM · Ver BI · Prioridad máxima</t>
  </si>
  <si>
    <t>Eje</t>
  </si>
  <si>
    <t>ICPI (%)</t>
  </si>
  <si>
    <t>Metas con Evidencia (Vi=1)</t>
  </si>
  <si>
    <t>Vi=1 verificadas documentalmente · Ver MAD</t>
  </si>
  <si>
    <t>TERRITORIAL</t>
  </si>
  <si>
    <t>Ejecución Completa (Vi=1,Ti=1)</t>
  </si>
  <si>
    <t>Vi=1 y Ti≥80% · Ver MAD · Prioridad POA 2025</t>
  </si>
  <si>
    <t>SOCIAL</t>
  </si>
  <si>
    <t>🌐 ITAM — Transparencia Activa</t>
  </si>
  <si>
    <t>LOTAIP Art.7 · Ver ITAM · Meta: 100%</t>
  </si>
  <si>
    <t>AMBIENTAL</t>
  </si>
  <si>
    <t>⊕ ICPI POR EJE ESTRATÉGICO · Distribución del desempeño por sistema PDOT · 5 ejes Plan Bicentenario 2023-2027</t>
  </si>
  <si>
    <t>ECONÓMICO</t>
  </si>
  <si>
    <t>EJE ESTRATÉGICO</t>
  </si>
  <si>
    <t>PESO EN MUESTRA</t>
  </si>
  <si>
    <t>ESTADO</t>
  </si>
  <si>
    <t>INSTITUCIONAL</t>
  </si>
  <si>
    <t>Estado</t>
  </si>
  <si>
    <t>n</t>
  </si>
  <si>
    <t>✅ Evidencia completa</t>
  </si>
  <si>
    <t>⚠️ Evidencia parcial</t>
  </si>
  <si>
    <t>❌ Sin evidencia</t>
  </si>
  <si>
    <t>△ TOP 5 METAS CRÍTICAS · Mayores brechas de integridad ICPI · Vi=0 o Ti&lt;50% · Prioridad de acción inmediata POA 2025</t>
  </si>
  <si>
    <t>Nº</t>
  </si>
  <si>
    <t>COD-META PDOT</t>
  </si>
  <si>
    <t>BRECHA (pp)</t>
  </si>
  <si>
    <t>DESCRIPCIÓN / ÁREA CRÍTICA</t>
  </si>
  <si>
    <t>ACCIÓN REQUERIDA</t>
  </si>
  <si>
    <t>PDOT.SC.OE2.M1.01</t>
  </si>
  <si>
    <t>−100 pp</t>
  </si>
  <si>
    <t>Centro de Salud Tipo C · Ri=1.5 · Vi=0</t>
  </si>
  <si>
    <t>Convenio MSP urgente · SERCOP · POA 2025</t>
  </si>
  <si>
    <t>PDOT.SC.OE2.M3.01</t>
  </si>
  <si>
    <t>Unidad Médica Móvil · Ri=1.5 · Vi=0</t>
  </si>
  <si>
    <t>Registro vehicular SERCOP · Contrato formal</t>
  </si>
  <si>
    <t>PDOT.SC.PI.M5.01</t>
  </si>
  <si>
    <t>Central Monitoreo/Cámaras · Ri=1.0 · Vi=0</t>
  </si>
  <si>
    <t>Proceso contratación · Especificaciones técnicas</t>
  </si>
  <si>
    <t>PDOT.SC.OE2.M4.01</t>
  </si>
  <si>
    <t>−90 pp</t>
  </si>
  <si>
    <t>Guarderías Nocturnas · Ri=1.0 · Ti=0</t>
  </si>
  <si>
    <t>Convenio MIES · CIBV · Reformular POA</t>
  </si>
  <si>
    <t>PDOT.AS.OE1.M2.02</t>
  </si>
  <si>
    <t>−75 pp</t>
  </si>
  <si>
    <t>Nuevo Camal Municipal · Ri=1.0 · Ti=0,25</t>
  </si>
  <si>
    <t>Activar proceso SERCOP · Asignación presupuesto</t>
  </si>
  <si>
    <t>≡ ESTADO DOCUMENTAL · Distribución de evidencia forense · n=20 metas PDOT · Ver MAD · MEC · MUAF</t>
  </si>
  <si>
    <t>ESTADO DOCUMENTAL</t>
  </si>
  <si>
    <t>n ACTUAL</t>
  </si>
  <si>
    <t>n META</t>
  </si>
  <si>
    <t>COBERTURA</t>
  </si>
  <si>
    <t>✅ Evidencia completa (Vi=1 · Ti≥80%)</t>
  </si>
  <si>
    <t>⚠️ Evidencia parcial (Vi=1 · Ti&lt;80%)</t>
  </si>
  <si>
    <t>❌ Sin evidencia (Vi=0)</t>
  </si>
  <si>
    <t>📊 PANEL 5 — CUMPLIMIENTO METAS PDOT POR AÑO · Evolución 2023-2027 · Fuente: Q-SIL + F-EDS + L-PDOT</t>
  </si>
  <si>
    <t>AÑO</t>
  </si>
  <si>
    <t>METAS PROGRAMADAS</t>
  </si>
  <si>
    <t>METAS EJECUTADAS (Ti≥80%)</t>
  </si>
  <si>
    <t>% CUMPLIMIENTO</t>
  </si>
  <si>
    <t>📊 PANEL 6 — ESTADO EXPORTACIÓN SIL · Sincronización COOTAD Art.598 · Compatible SIGAD / Planifica Ecuador</t>
  </si>
  <si>
    <t>ÚLTIMA SINCRONIZACIÓN SIL</t>
  </si>
  <si>
    <t>METAS SINCRONIZADAS</t>
  </si>
  <si>
    <t>METAS LISTAS PARA EXPORTAR</t>
  </si>
  <si>
    <t>METAS CON VI=1 (Verificables)</t>
  </si>
  <si>
    <t>AVANCE PROMEDIO GLOBAL (Ti̅)</t>
  </si>
  <si>
    <t>▶ INSTRUCCIÓN EXPORTACIÓN: Ir a hoja Q-SIL → Verificar Sección B → Archivo → Guardar copia → CSV UTF-8 → Subir a planificaecuador.gob.ec → Módulo SIL</t>
  </si>
  <si>
    <t>📊 PANEL 3 — TOP 3 DIRECCIONES ALTO DESEMPEÑO (IED ≥70%) · Fuente: F-EDS Sección B</t>
  </si>
  <si>
    <t>RANKING</t>
  </si>
  <si>
    <t>DIRECCIÓN</t>
  </si>
  <si>
    <t>IED</t>
  </si>
  <si>
    <t>NIVEL</t>
  </si>
  <si>
    <t>🥇 1°</t>
  </si>
  <si>
    <t>Dirección de Desarrollo Social y Cultural</t>
  </si>
  <si>
    <t>🥈 2°</t>
  </si>
  <si>
    <t>Dirección de Obras Públicas</t>
  </si>
  <si>
    <t>🥉 3°</t>
  </si>
  <si>
    <t>Dirección de Agua Potable y Saneamiento</t>
  </si>
  <si>
    <t>📊 PANEL 4 — DIRECCIONES REQUIEREN ATENCIÓN URGENTE (IED &lt;50%) · Fuente: F-EDS + R-ALERTAS</t>
  </si>
  <si>
    <t>ALERTA</t>
  </si>
  <si>
    <t>Patronato Municipal de Amparo Social</t>
  </si>
  <si>
    <t>Dirección de Servicios Públicos y Gestión</t>
  </si>
  <si>
    <t>🔴 CRÍTICA</t>
  </si>
  <si>
    <t>Unidad de Gestión Sanitaria / MSP</t>
  </si>
  <si>
    <t>🟠 ALTA</t>
  </si>
  <si>
    <t>Dirección de Tecnología e Información</t>
  </si>
  <si>
    <t>NOMBRE COMPLETO</t>
  </si>
  <si>
    <t>RECIBE DATOS DE</t>
  </si>
  <si>
    <t>ALIMENTA A</t>
  </si>
  <si>
    <t>—</t>
  </si>
  <si>
    <t>PARAMS</t>
  </si>
  <si>
    <t>Todas las hojas</t>
  </si>
  <si>
    <t>A-PDOT</t>
  </si>
  <si>
    <t>E1-ICPI</t>
  </si>
  <si>
    <t>Marco normativo PDOT</t>
  </si>
  <si>
    <t>D-MAD</t>
  </si>
  <si>
    <t>Cédulas Presupuestarias eSIGEF · Ti = Devengado ÷ Codificado</t>
  </si>
  <si>
    <t>✅ Ti=61%</t>
  </si>
  <si>
    <t>Dashboard</t>
  </si>
  <si>
    <t>E1-ICPI · D-MAD</t>
  </si>
  <si>
    <t>C-MAO · Estatuto Orgánico</t>
  </si>
  <si>
    <t>C-MAO · D-MAD · E1-ICPI</t>
  </si>
  <si>
    <t>Dashboard · Q-SIL · R-ALERTAS</t>
  </si>
  <si>
    <t>Y-EVAL-DIR · D-MAD · E1-ICPI</t>
  </si>
  <si>
    <t>🔷 CONFIGURACIÓN INSTITUCIONAL · Solo Administrador · Parámetros base del instrumento</t>
  </si>
  <si>
    <t>PARÁMETRO</t>
  </si>
  <si>
    <t>🟢 VALOR ACTIVO (Montecristi)</t>
  </si>
  <si>
    <t>EDITABLE (⚫ Sí / ⚫ No)</t>
  </si>
  <si>
    <t>DESCRIPCIÓN</t>
  </si>
  <si>
    <t>BASE LEGAL</t>
  </si>
  <si>
    <t>IMPACTO EN MODELO</t>
  </si>
  <si>
    <t>FECHA ULT.ACTUALIZ.</t>
  </si>
  <si>
    <t>RESPONSABLE ACTUALIZ.</t>
  </si>
  <si>
    <t>NOMBRE_GAD</t>
  </si>
  <si>
    <t>Gobierno Autónomo Descentralizado Municipal de Montecristi</t>
  </si>
  <si>
    <t>⚫ Sí</t>
  </si>
  <si>
    <t>Nombre oficial completo del GAD Municipal</t>
  </si>
  <si>
    <t>CRE Art.264 + COOTAD Art.53</t>
  </si>
  <si>
    <t>Todos los títulos, headers y exports del modelo</t>
  </si>
  <si>
    <t>28/02/2026</t>
  </si>
  <si>
    <t>Dir. Planificación</t>
  </si>
  <si>
    <t>CANTON</t>
  </si>
  <si>
    <t>Montecristi</t>
  </si>
  <si>
    <t>Nombre del cantón</t>
  </si>
  <si>
    <t>COOTAD Art.53</t>
  </si>
  <si>
    <t>Dashboard y reportes</t>
  </si>
  <si>
    <t>PROVINCIA</t>
  </si>
  <si>
    <t>Manabí</t>
  </si>
  <si>
    <t>Provincia del cantón</t>
  </si>
  <si>
    <t>División político-administrativa</t>
  </si>
  <si>
    <t>Metadata y exports</t>
  </si>
  <si>
    <t>PAIS</t>
  </si>
  <si>
    <t>Ecuador</t>
  </si>
  <si>
    <t>⚫ No</t>
  </si>
  <si>
    <t>País (fijo para este modelo)</t>
  </si>
  <si>
    <t>Metadata</t>
  </si>
  <si>
    <t>CLASE_GAD</t>
  </si>
  <si>
    <t>Municipal / Cantonal</t>
  </si>
  <si>
    <t>Clase según COOTAD — este modelo es para GADs Municipales</t>
  </si>
  <si>
    <t>Determina competencias y presupuesto tipo</t>
  </si>
  <si>
    <t>CODIGO_INEC</t>
  </si>
  <si>
    <t>Código INEC del cantón (6 dígitos)</t>
  </si>
  <si>
    <t>Clasificación territorial INEC</t>
  </si>
  <si>
    <t>SIGAD, SIGPIP, eSIGEF</t>
  </si>
  <si>
    <t>ALCALDE</t>
  </si>
  <si>
    <t>Por confirmar — GAD Montecristi</t>
  </si>
  <si>
    <t>Nombre del Alcalde/Alcaldesa vigente</t>
  </si>
  <si>
    <t>COOTAD Art.60</t>
  </si>
  <si>
    <t>Firmas y actos administrativos</t>
  </si>
  <si>
    <t>Secretaría Alcaldía</t>
  </si>
  <si>
    <t>🔶 SECCIÓN B — PARÁMETROS PDOT Y EVALUACIÓN · Ajustar al período PDOT y muestra del GAD destino</t>
  </si>
  <si>
    <t>PERIODO_PDOT</t>
  </si>
  <si>
    <t>2023-2027</t>
  </si>
  <si>
    <t>Período del PDOT vigente — determina horizonte de evaluación</t>
  </si>
  <si>
    <t>COOTAD Art.295</t>
  </si>
  <si>
    <t>A-PDOT, M-POA, todas las metas</t>
  </si>
  <si>
    <t>N_METAS</t>
  </si>
  <si>
    <t>Número de metas en la muestra estratégica. Cambiar si el GAD tiene más o menos metas auditables.</t>
  </si>
  <si>
    <t>SIAP-ICPI §3.2</t>
  </si>
  <si>
    <t>E1-ICPI (rango fórmulas), B-PONDER (ΣPi=1)</t>
  </si>
  <si>
    <t>N_EJES</t>
  </si>
  <si>
    <t>Número de ejes estratégicos del PDOT</t>
  </si>
  <si>
    <t>H2-EJES, B-PONDER</t>
  </si>
  <si>
    <t>META_PDOT_2027</t>
  </si>
  <si>
    <t>Benchmark primario del modelo. Ti=1.0 = meta PDOT cumplida al 100% al cierre 2027</t>
  </si>
  <si>
    <t>ICM_SIGAD_REF</t>
  </si>
  <si>
    <t>ICM SIGAD 2023 — solo comparativo §4.2. Benchmark del modelo es Meta PDOT 2027 = 100%</t>
  </si>
  <si>
    <t>ICM oficial SIGAD más reciente. Actualizar con ICM 2024 cuando esté disponible.</t>
  </si>
  <si>
    <t>SIGAD-SNP</t>
  </si>
  <si>
    <t>PARAMS B6, brecha ICPI vs ICM, F-BI</t>
  </si>
  <si>
    <t>AÑO_ICM_REF</t>
  </si>
  <si>
    <t>🔵 Sí</t>
  </si>
  <si>
    <t>Año del índice SIGAD comparativo §4.2. Actualizar junto con ICM_BASE si cambia.</t>
  </si>
  <si>
    <t>PARAMS, Dashboard</t>
  </si>
  <si>
    <t>N_DIRECCIONES</t>
  </si>
  <si>
    <t>Número de direcciones en el orgánico. Actualizar con Estatuto Orgánico real.</t>
  </si>
  <si>
    <t>Estatuto Orgánico GAD</t>
  </si>
  <si>
    <t>X-ORGANICO, Y-EVAL-DIR, Ci</t>
  </si>
  <si>
    <t>N_SERVIDORES</t>
  </si>
  <si>
    <t>~120 (aprox)</t>
  </si>
  <si>
    <t>Total servidores públicos en nómina. Base para Z-EVAL-SP completo.</t>
  </si>
  <si>
    <t>LOSEP + RRHH GAD</t>
  </si>
  <si>
    <t>Z-EVAL-SP (escalabilidad QUADRUM)</t>
  </si>
  <si>
    <t>Dir. RRHH</t>
  </si>
  <si>
    <t>PRESUP_PDOT_USD</t>
  </si>
  <si>
    <t>Presupuesto total PDOT n=20 metas en USD. Actualizar con cédulas eSIGEF.</t>
  </si>
  <si>
    <t>PDOT Plan Bicentenario + eSIGEF</t>
  </si>
  <si>
    <t>L-CEDULAS, B-PONDER, Pi</t>
  </si>
  <si>
    <t>Dir. Financiera</t>
  </si>
  <si>
    <t>🔶 SECCIÓN C — ESCALA LOSEP OFICIAL · Norma Técnica MDT · NO modificar sin cambio normativo</t>
  </si>
  <si>
    <t>UMBRAL_EXCELENTE</t>
  </si>
  <si>
    <t>IED ≥ 96% → Felicitación pública + registro SIITH</t>
  </si>
  <si>
    <t>LOSEP Art.78 + NT MDT</t>
  </si>
  <si>
    <t>Y-EVAL-DIR col I, Z-EVAL-SP col N, F-EDS</t>
  </si>
  <si>
    <t>UMBRAL_MUY_BUENO</t>
  </si>
  <si>
    <t>IED 85-95.99% → Reconocimiento + SIITH</t>
  </si>
  <si>
    <t>LOSEP Art.77 + NT MDT</t>
  </si>
  <si>
    <t>Ídem</t>
  </si>
  <si>
    <t>UMBRAL_SATISFACTORIO</t>
  </si>
  <si>
    <t>IED 70-84.99% → Sin acción (aprobado)</t>
  </si>
  <si>
    <t>LOSEP Art.76 + NT MDT</t>
  </si>
  <si>
    <t>UMBRAL_REGULAR</t>
  </si>
  <si>
    <t>IED 60-69.99% → Plan mejora 90 días</t>
  </si>
  <si>
    <t>UMBRAL_INACEPTABLE</t>
  </si>
  <si>
    <t>IED &lt;60% → Sumario administrativo LOSEP Art.80</t>
  </si>
  <si>
    <t>LOSEP Art.80 + COA Art.196</t>
  </si>
  <si>
    <t>🔶 SECCIÓN D — PARÁMETROS CININ Y EVALUACIÓN PRESUPUESTARIA · Ajustar si el GAD tiene menos silos activos (ej: GAD rural sin SIGAD completo)</t>
  </si>
  <si>
    <t>CININ_SILOS</t>
  </si>
  <si>
    <t>🟢 Número de silos CININ activos. 6 = modelo completo. Ver TRAZABILIDAD.</t>
  </si>
  <si>
    <t>SIAP-ICPI §3.4</t>
  </si>
  <si>
    <t>D-MAD cols Q:V, Vi_CADENA</t>
  </si>
  <si>
    <t>SIAP-ICPI</t>
  </si>
  <si>
    <t>MODO_CININ</t>
  </si>
  <si>
    <t>COMPLETO</t>
  </si>
  <si>
    <t>COMPLETO = 6 silos. LITE = 3 silos (GADs rurales sin SIGAD/CPCCS). MÍNIMO = S1+S4 (solo PDOT+cédula).</t>
  </si>
  <si>
    <t>D-MAD lógica Vi_CADENA</t>
  </si>
  <si>
    <t>Ti_BASE</t>
  </si>
  <si>
    <t>Devengado/Codif</t>
  </si>
  <si>
    <t>Ti = Devengado / Codificado vigente (no inicial PDOT). Ver L-CEDULAS.</t>
  </si>
  <si>
    <t>COPFP Art.111+118</t>
  </si>
  <si>
    <t>L-CEDULAS col K, D-MAD col T</t>
  </si>
  <si>
    <t>CORTE_SEMESTRAL</t>
  </si>
  <si>
    <t>Junio</t>
  </si>
  <si>
    <t>Mes del corte semestral de evaluación LOSEP Art.77</t>
  </si>
  <si>
    <t>LOSEP Art.77</t>
  </si>
  <si>
    <t>Y-EVAL-DIR, Z-EVAL-SP</t>
  </si>
  <si>
    <t>CORTE_ANUAL</t>
  </si>
  <si>
    <t>Diciembre</t>
  </si>
  <si>
    <t>Mes del corte anual obligatorio LOSEP</t>
  </si>
  <si>
    <t>🔶 SECCIÓN E — ESTADO DE IMPLEMENTACIÓN Y S · Hoja de ruta para el modelo al 10/10</t>
  </si>
  <si>
    <t>ESTATUTO_ORGANICO</t>
  </si>
  <si>
    <t>🔵 Actualizar</t>
  </si>
  <si>
    <t>Actualizar con Estatuto Orgánico vigente GAD Montecristi → Hoja ORGANICO refleja estructura administrativa oficial según normativa vigente</t>
  </si>
  <si>
    <t>X-ORGANICO</t>
  </si>
  <si>
    <t>🟠 Alta</t>
  </si>
  <si>
    <t>Dir. Planificación + Alcaldía</t>
  </si>
  <si>
    <t>SIITH_INTEGRACION</t>
  </si>
  <si>
    <t>🔵 Implementar</t>
  </si>
  <si>
    <t>Protocolo exportación Z-EVAL-SP → sistema SIITH MDT para validez jurídica evaluación LOSEP</t>
  </si>
  <si>
    <t>Z-EVAL-SP</t>
  </si>
  <si>
    <t>Dir. RRHH + Dir. TI</t>
  </si>
  <si>
    <t>ICM_2024</t>
  </si>
  <si>
    <t>Actualizar ICM_BASE con valor oficial SIGAD 2024 cuando esté disponible (Q1 2025)</t>
  </si>
  <si>
    <t>PARAMS B6</t>
  </si>
  <si>
    <t>CEDULAS_REALES</t>
  </si>
  <si>
    <t>Ingresar CUPs reales y codificado vigente real de eSIGEF en L-CEDULAS (actualmente aproximado)</t>
  </si>
  <si>
    <t>L-CEDULAS</t>
  </si>
  <si>
    <t>EVAL_SEMESTRAL</t>
  </si>
  <si>
    <t>Módulo corte junio: copia Y-EVAL-DIR + Z-EVAL-SP a hojas Y-EVAL-DIR-S1 y Z-EVAL-SP-S1</t>
  </si>
  <si>
    <t>Y/Z-EVAL</t>
  </si>
  <si>
    <t>🟡 Media</t>
  </si>
  <si>
    <t>AUTOEVALUACION</t>
  </si>
  <si>
    <t>🟡 Formulario autoevaluación servidor (60%) + jefe inmediato (40%) — LOSEP NT MDT</t>
  </si>
  <si>
    <t>CONFIG_ESCALADO</t>
  </si>
  <si>
    <t>✅ LISTO</t>
  </si>
  <si>
    <t>CONFIG-GAD implementado. Para nuevo GAD: cambiar NOMBRE_GAD, CANTON, N_METAS, ICM_BASE.</t>
  </si>
  <si>
    <t>CONFIG-GAD</t>
  </si>
  <si>
    <t>NOMENCLATURA</t>
  </si>
  <si>
    <t>COD-META PDOT actualizado. 155 celdas actualizadas. [v1.0 · Nomenclatura PDOT unificada]</t>
  </si>
  <si>
    <t>Todo el modelo</t>
  </si>
  <si>
    <t>CININ_6_SILOS</t>
  </si>
  <si>
    <t>Cadena CININ PDOT→POA→PAC→CED→SIGAD→CPCCS implementada en D-MAD</t>
  </si>
  <si>
    <t>L_CEDULAS</t>
  </si>
  <si>
    <t>Control presupuestario codificado/devengado/pagado con CUP — puente Ti formal</t>
  </si>
  <si>
    <t>ESCALA_LOSEP</t>
  </si>
  <si>
    <t>Escala IED unificada con LOSEP 5 niveles. F-EDS, Y-EVAL-DIR, Z-EVAL-SP alineados.</t>
  </si>
  <si>
    <t>━━ SECCIÓN ❶ BENCHMARK PDOT 2027 — Meta de cumplimiento y comparativo ICM-SIGAD</t>
  </si>
  <si>
    <t>Meta PDOT 2027 (benchmark primario)</t>
  </si>
  <si>
    <t>Cada meta debe alcanzar Ti=1.0 al cierre del Plan Bicentenario 2027 — fuente PDOT §4</t>
  </si>
  <si>
    <t>Valor oficial ICM 2023 del SIGAD — fuente: Informe rendicion de cuentas RDC 2023 + SIGAD-SNP linea Montecristi</t>
  </si>
  <si>
    <t>23/02/2025</t>
  </si>
  <si>
    <t>ICM SIGAD 2023 (comparativo — auto-reporte)</t>
  </si>
  <si>
    <t>Auto-reporte SIGAD. NO es el benchmark. Útil para cuantificar diferencial forense §4.2</t>
  </si>
  <si>
    <t>: SIGAD libera dato oficial ICM 2024 primer trimestre 2025 — actualizar con valor oficial</t>
  </si>
  <si>
    <t>Brecha PDOT (ICPI − Meta 2027) pp</t>
  </si>
  <si>
    <t>Brecha primaria del modelo. Meta=100% PDOT 2027. Negativa = incumplimiento §3.6</t>
  </si>
  <si>
    <t>ICPI − ICM en puntos porcentuales. Fuente: E2-RESUL (motor ICPI) vs. ICM SIGAD 2023 (celda B6 PARAMS)</t>
  </si>
  <si>
    <t>ICPI Calculado (%)</t>
  </si>
  <si>
    <t>E2-RESUL!B6 * 100</t>
  </si>
  <si>
    <t>SIAP-ICPI · 36 hojas · CININ 6 silos · Ti corregido (S4=eSIGEF autoridad) · Cadena PDOT→POA→PAC→Cédula→SIGAD→CPCCS · ORGANICO+EVAL-DIR+EVAL-SP · CONFIG-GAD · CEDULAS · SEMESTRAL · ITME inventario técnico</t>
  </si>
  <si>
    <t>━━ SECCIÓN ➊ ICPI — Motor Algorítmico Central</t>
  </si>
  <si>
    <t>ICPI Final (decimal)</t>
  </si>
  <si>
    <t>E2-RESUL!B6</t>
  </si>
  <si>
    <t>Motor E1-ICPI: Σ(Pi×Ri×Vi×Ei×Ti×Ci) ÷ Σ(Pi×Ri) · Ci incorporado §3.7.1</t>
  </si>
  <si>
    <t>ICPI Final (%)</t>
  </si>
  <si>
    <t>🟡 TRANSICIÓN CRÍTICA</t>
  </si>
  <si>
    <t>E2-RESUL!B8</t>
  </si>
  <si>
    <t>Σ Numerador Σ(Pi×Ri×Vi×Ei×Ti)</t>
  </si>
  <si>
    <t>E2-RESUL!B4</t>
  </si>
  <si>
    <t>Numerador de la fórmula multifactorial ICPI · Incluye Ci por meta (C-MAO → D-MAD col P → E1-ICPI col I) · Ci incorporado §3.7.1</t>
  </si>
  <si>
    <t>Σ Denominador Σ(Pi×Ri)</t>
  </si>
  <si>
    <t>E2-RESUL!B5</t>
  </si>
  <si>
    <t>Denominador de la fórmula multifactorial ICPI</t>
  </si>
  <si>
    <t>Interpretación cualitativa</t>
  </si>
  <si>
    <t>E2-RESUL!B9</t>
  </si>
  <si>
    <t>━━ SECCIÓN ➋ MUESTRA — Universo y Representatividad</t>
  </si>
  <si>
    <t>N — Universo PDOT (metas estrategicas Plan Bicentenario)</t>
  </si>
  <si>
    <t>A-PDOT (n=20 metas seleccionadas por mayor impacto presupuestario y competencia GAD)</t>
  </si>
  <si>
    <t>Total metas PDOT en muestra estrategica SIAP-ICPI. Fuente: A-PDOT Plan Bicentenario 2023-2027</t>
  </si>
  <si>
    <t>22/02/2025</t>
  </si>
  <si>
    <t>n — Muestra estrategica PDOT activa</t>
  </si>
  <si>
    <t>A-PDOT (conteo metas activas con evidencia auditada)</t>
  </si>
  <si>
    <t>Muestra SEPP: n=20 de N=67 por mayor impacto presupuestario</t>
  </si>
  <si>
    <t>Representatividad financiera (%)</t>
  </si>
  <si>
    <t>B3-VALREP</t>
  </si>
  <si>
    <t>La muestra n=20 representa el 87.2% del presupuesto total ($13.875M / $15.91M)</t>
  </si>
  <si>
    <t>Presupuesto muestra n=20 ($)</t>
  </si>
  <si>
    <t>A-PDOT col M (Presupuesto PDOT por meta) — suma metas n=20</t>
  </si>
  <si>
    <t>Suma de presupuestos de las 20 metas muestra (USD)</t>
  </si>
  <si>
    <t>Presupuesto con trazabilidad ($)</t>
  </si>
  <si>
    <t>D-MAD (Vi=1)</t>
  </si>
  <si>
    <t>Inversión trazada documentalmente (metas Vi=1)</t>
  </si>
  <si>
    <t>━━ SECCIÓN ➉ VARIABLES Vi / Ei / Ti / Ci — Estado Documental y Atribución Orgánica</t>
  </si>
  <si>
    <t>Metas con Vi=1 (soporte documental)</t>
  </si>
  <si>
    <t>D-MAD (conteo Vi=1)</t>
  </si>
  <si>
    <t>Metas con respaldo forense verificado en sistemas oficiales</t>
  </si>
  <si>
    <t>Metas con Vi=0 (sin soporte)</t>
  </si>
  <si>
    <t>D-MAD (conteo Vi=0)</t>
  </si>
  <si>
    <t>Metas sin respaldo — Vi=0 anula completamente la contribución al ICPI</t>
  </si>
  <si>
    <t>Metas con ejecución completa (Vi=1 y Ti=1)</t>
  </si>
  <si>
    <t>TER-01 (Maquinaria), TER-18 (Señalética), SOC-03 (Geriátrico), INS-05 (Catastro)</t>
  </si>
  <si>
    <t>Metas con evidencia parcial (Vi=1 y Ti&lt;1)</t>
  </si>
  <si>
    <t>Con respaldo pero ejecución incompleta — Ti entre 0.25 y 0.90</t>
  </si>
  <si>
    <t>Metas con Ci&lt;1.0 (control parcial)</t>
  </si>
  <si>
    <t>C-MAO / D-MAD col P</t>
  </si>
  <si>
    <t>Ci∈{1.0;0.9;0.75;0.5} según dueño del proceso (Estatuto Orgánico + COOTAD §3.7.1). 13 GAD directo Ci=1.0 | 7 adscritos Ci=0.9. Fuente: C-MAO → D-MAD col P (VLOOKUP) → E1-ICPI col I. D-MAD: col C=Silo Oficial §3.4 | col D=Área Temática.</t>
  </si>
  <si>
    <t>27/02/2026</t>
  </si>
  <si>
    <t>IED Promedio (F-EDS) — Score desempeño</t>
  </si>
  <si>
    <t>F-EDS!J7:J26</t>
  </si>
  <si>
    <t>IED promedio de las 20 metas (0-100) · F-EDS triangula Estatuto Orgánico→POA→PAC→Cédula · OUTPUT §3.7.1</t>
  </si>
  <si>
    <t>❌ Direcciones con IED INACEPTABLE (0-19)</t>
  </si>
  <si>
    <t>F-EDS!F30:F41</t>
  </si>
  <si>
    <t>Direcciones con RUPTURA TOTAL (IED=0) · Sumario administrativo LOSEP Art.80 + COOTAD Art.339</t>
  </si>
  <si>
    <t>━━ SECCIÓN ➍ ICPI POR EJE ESTRATÉGICO</t>
  </si>
  <si>
    <t>ICPI Eje TERRITORIAL (%)</t>
  </si>
  <si>
    <t>H2-EJES!D4</t>
  </si>
  <si>
    <t>9 metas territoriales | Mayor eje por peso presupuestario (61.0%)</t>
  </si>
  <si>
    <t>ICPI Eje SOCIAL (%)</t>
  </si>
  <si>
    <t>H2-EJES!D5</t>
  </si>
  <si>
    <t>6 metas sociales | Eje con mayor cantidad de Vi=0 (4 sin soporte)</t>
  </si>
  <si>
    <t>ICPI Eje AMBIENTAL (%)</t>
  </si>
  <si>
    <t>H2-EJES!D6</t>
  </si>
  <si>
    <t>2 metas ambientales | Vi=1 en ambas pero Ti bajo (0.27-0.36)</t>
  </si>
  <si>
    <t>ICPI Eje ECONÓMICO (%)</t>
  </si>
  <si>
    <t>H2-EJES!D7</t>
  </si>
  <si>
    <t>1 meta económica | ECO-12 con Vi=1 Ti=0.30 — Playa San José</t>
  </si>
  <si>
    <t>ICPI Eje INSTITUCIONAL (%)</t>
  </si>
  <si>
    <t>H2-EJES!D8</t>
  </si>
  <si>
    <t>2 metas institucionales | Eje mejor documentado (85.8% ICPI)</t>
  </si>
  <si>
    <t>━━ SECCIÓN ➎ BRECHA DE INTEGRIDAD — ICPI vs Meta PDOT 2027 (primaria) + Diferencial SIGAD (comparativo)</t>
  </si>
  <si>
    <t>Brecha PDOT (ICPI vs Meta 2027) pp</t>
  </si>
  <si>
    <t>E2-RESUL!B6*100 - A-PDOT!AA5</t>
  </si>
  <si>
    <t>Brecha promedio por meta (pp)</t>
  </si>
  <si>
    <t>Déficit promedio de cada meta respecto a Ti=1.0 — señal de dispersión §3.6</t>
  </si>
  <si>
    <t>Brecha promedio simple por meta (F-BI fila PROMEDIO)</t>
  </si>
  <si>
    <t>Diferencial forense SIGAD − ICPI (§4.2 comparativo)</t>
  </si>
  <si>
    <t>Metas donde ICPI auditado &lt; ICM SIGAD reportado</t>
  </si>
  <si>
    <t>Metas PDOT con Ti = 1,0 (cumplidas al 100%)</t>
  </si>
  <si>
    <t>Metas con ejecución completa Ti=1.0 y Vi=1 — fuente D-MAD col I</t>
  </si>
  <si>
    <t>TER-03, SOC-03, TER-01, INS-05 — ICPI auditado ≥ ICM SIGAD reportado</t>
  </si>
  <si>
    <t>━━ SECCIÓN ➏ SENSIBILIDAD — Potencial de mejora del ICPI</t>
  </si>
  <si>
    <t>ΔICPI máximo (si SOC-02 Vi→1, Ti→1)</t>
  </si>
  <si>
    <t>H3-SENSI B6 (escenario 1)</t>
  </si>
  <si>
    <t>SOC-02 es la meta con mayor impacto potencial (Pi=0.20, Ri=1.5)</t>
  </si>
  <si>
    <t>ICPI potencial (si SOC-02 se activa)</t>
  </si>
  <si>
    <t>H3-SENSI!E6</t>
  </si>
  <si>
    <t>Escenario 1 H3-SENSI: ICPI sube a ~67.6% → entra en Gestión por Mandato</t>
  </si>
  <si>
    <t>ΔICPI total acumulado potencial (s Vi=0→1)</t>
  </si>
  <si>
    <t>H3-SENSI!B18</t>
  </si>
  <si>
    <t>Escenario acumulativo: todas las metas Vi=0 se corrigen (H3-SENSI)</t>
  </si>
  <si>
    <t>Presupuesto sin trazabilidad ($)</t>
  </si>
  <si>
    <t>H3-SENSI!B19</t>
  </si>
  <si>
    <t>Monto total de inversión sin trazabilidad documental en la muestra</t>
  </si>
  <si>
    <t>━━ SECCIÓN ➑ DOCUMENTACIÓN — P-VERIFICACION</t>
  </si>
  <si>
    <t>Documentos recibidos</t>
  </si>
  <si>
    <t>P-VERIFICACION</t>
  </si>
  <si>
    <t>RDC 2023 (N°17649, 10/05/2024) y RDC 2024 (N°22844, 11/07/2025)</t>
  </si>
  <si>
    <t>Documentos s</t>
  </si>
  <si>
    <t>Cédulas presup. GAD + Patronato (2023-2024) y POA GAD + Patronato (2023-2024)</t>
  </si>
  <si>
    <t>ΔICPI potencial con documentos s</t>
  </si>
  <si>
    <t>±8 pp</t>
  </si>
  <si>
    <t>P-VERIFICACION (estimado)</t>
  </si>
  <si>
    <t>Impacto estimado si cédulas GAD/Patronato confirman Vi=1 en metas críticas</t>
  </si>
  <si>
    <t>━━ SECCIÓN ➒ CRITERIOS DE EVALUACIÓN PROGRAMÁTICA · Umbrales de alerta SIAP-ICPI ━━</t>
  </si>
  <si>
    <t>UAP — Umbral de Alerta Programática: Brecha PDOT ≥ 30 pp</t>
  </si>
  <si>
    <t>🔴 ⚠️ DÉFICIT CONFIRMADO</t>
  </si>
  <si>
    <t>SIAP-ICPI §3.6 — Si ICPI está ≥30 pp bajo la Meta PDOT 2027, se activa protocolo de intervención</t>
  </si>
  <si>
    <t>UCM — Umbral de Congruencia Mínima: Brecha PDOT ≤ 10 pp</t>
  </si>
  <si>
    <t>SIAP-ICPI §3.6 — Brecha ≤10 pp indica congruencia entre ejecución y compromiso PDOT</t>
  </si>
  <si>
    <t>Diagnóstico Programático</t>
  </si>
  <si>
    <t>🔴 ⚠️ DÉFICIT PROGRAMÁTICO — activar Plan de Mejora POA</t>
  </si>
  <si>
    <t>━━ SECCIÓN ➓ ESCALA LOSEP OFICIAL — IED · Norma Técnica MDT Evaluación Servidores Públicos · LOSEP Art.76-80 · Fuente única de verdad para Y-EVAL-DIR, Z-EVAL-SP, F-EDS, R-ALERTAS</t>
  </si>
  <si>
    <t>PARÁMETRO ESCALA</t>
  </si>
  <si>
    <t>VALOR UMBRAL</t>
  </si>
  <si>
    <t>NIVEL LOSEP</t>
  </si>
  <si>
    <t>ACCIÓN ADMINISTRATIVA OBLIGATORIA</t>
  </si>
  <si>
    <t>APLICACIÓN EN MODELO</t>
  </si>
  <si>
    <t>⭐ UMBRAL_EXCELENTE</t>
  </si>
  <si>
    <t>⭐ EXCELENTE</t>
  </si>
  <si>
    <t>Felicitación pública + acción de personal + registro SIITH + informe MDT</t>
  </si>
  <si>
    <t>LOSEP Art.78 + NT MDT Eval.</t>
  </si>
  <si>
    <t>Y-EVAL-DIR, Z-EVAL-SP, F-EDS col F</t>
  </si>
  <si>
    <t>✅ UMBRAL_MUY_BUENO</t>
  </si>
  <si>
    <t>✅ MUY BUENO</t>
  </si>
  <si>
    <t>Reconocimiento escrito + registro SIITH + incremento remunerativo si procede</t>
  </si>
  <si>
    <t>LOSEP Art.77 + NT MDT Eval.</t>
  </si>
  <si>
    <t>🟢 UMBRAL_SATISFACTORIO</t>
  </si>
  <si>
    <t>🟢 SATISFACTORIO</t>
  </si>
  <si>
    <t>Sin acción correctiva — Evaluación aprobada — Continúa en funciones</t>
  </si>
  <si>
    <t>LOSEP Art.76 + NT MDT Eval.</t>
  </si>
  <si>
    <t>🟡 UMBRAL_REGULAR</t>
  </si>
  <si>
    <t>🟡 REGULAR</t>
  </si>
  <si>
    <t>Plan mejora 90 días obligatorio + seguimiento mensual Dir. RRHH + SIITH</t>
  </si>
  <si>
    <t>❌ UMBRAL_INACEPTABLE</t>
  </si>
  <si>
    <t>❌ 🔴 INACEPTABLE</t>
  </si>
  <si>
    <t>Sumario administrativo LOSEP Art.80 + Notificación Alcaldía 48h + SIITH</t>
  </si>
  <si>
    <t>N°</t>
  </si>
  <si>
    <t>COD-PDOT (Inventario)</t>
  </si>
  <si>
    <t>SISTEMA PDOT</t>
  </si>
  <si>
    <t>PROGRAMA PDOT</t>
  </si>
  <si>
    <t>SUBPROGRAMA</t>
  </si>
  <si>
    <t>PROYECTO / DESCRIPCIÓN SINTÉTICA</t>
  </si>
  <si>
    <t>PROYECTO ESTRATÉGICO PDOT</t>
  </si>
  <si>
    <t>OBJETIVO DE GESTIÓN</t>
  </si>
  <si>
    <t>PRESUP. PDOT ($)</t>
  </si>
  <si>
    <t>EN MUESTRA SIAP-ICPI</t>
  </si>
  <si>
    <t>COD-META MUESTRA</t>
  </si>
  <si>
    <t>ALINEACIÓN PDOT</t>
  </si>
  <si>
    <t>OBSERVACIÓN / CANDIDATOS PARA MUESTRA FUTURA</t>
  </si>
  <si>
    <t>PDOT.FA.OE1.PV.01</t>
  </si>
  <si>
    <t>Físico Ambiental</t>
  </si>
  <si>
    <t>Áreas verdes y zonas de Protección</t>
  </si>
  <si>
    <t>Nuevos parques y zonas de protección</t>
  </si>
  <si>
    <t>Red Verde urbana: Parque Las Pampas + Parque Cárcel Simón Bolívar + Parque Estancia Las Palmas</t>
  </si>
  <si>
    <t>Parques Inter barriales / Parque Las Pampas / Parque Cárcel Simón Bolívar</t>
  </si>
  <si>
    <t>Incrementar áreas de protección e índice verde urbano</t>
  </si>
  <si>
    <t>No</t>
  </si>
  <si>
    <t>⚠️ PARCIAL</t>
  </si>
  <si>
    <t>PDOT.FA.OE1.PV.02</t>
  </si>
  <si>
    <t>Mantenimiento de áreas verdes</t>
  </si>
  <si>
    <t>Mantenimiento arbolado urbano y Rehabilitación Parque Colorado</t>
  </si>
  <si>
    <t>Rehabilitación Parque Colorado</t>
  </si>
  <si>
    <t>✅ ALINEADA</t>
  </si>
  <si>
    <t>PDOT.FA.OE1.MA.01</t>
  </si>
  <si>
    <t>Áreas verdes / Recuperación ambiental</t>
  </si>
  <si>
    <t>Recuperación y preservación ambiental</t>
  </si>
  <si>
    <t>Proyecto Ecoturístico Manglar Vivo Playa San José (Muestra M18)</t>
  </si>
  <si>
    <t>Recuperación y manejo sustentable Playa San José / Repotenciación manglar costero</t>
  </si>
  <si>
    <t>✅ Sí</t>
  </si>
  <si>
    <t>PDOT.EP.OE5.M1.01</t>
  </si>
  <si>
    <t>PDOT.FA.OE2.MA.01</t>
  </si>
  <si>
    <t>Ambiente</t>
  </si>
  <si>
    <t>Mitigación Ambiental</t>
  </si>
  <si>
    <t>Albergue/Centro recuperación fauna urbana — componente manglar y biodiversidad</t>
  </si>
  <si>
    <t>Estudio diseño Centro de Recuperación de paso de Fauna</t>
  </si>
  <si>
    <t>Cumplir el desarrollo de la planificación ambiental</t>
  </si>
  <si>
    <t>PDOT.AM.SC.M3.01</t>
  </si>
  <si>
    <t>PDOT.FA.OE3.GR.01</t>
  </si>
  <si>
    <t>Gestión del Riesgo</t>
  </si>
  <si>
    <t>Infraestructura de mitigación + Zonas evacuación</t>
  </si>
  <si>
    <t>Gestión del riesgo: reforestación quebradas + señalética + sistema alerta temprana</t>
  </si>
  <si>
    <t>Reforestación zonas susceptibles amenazas / Sistema integrado alerta temprana</t>
  </si>
  <si>
    <t>Reducir el riesgo fortaleciendo la infraestructura y mejorando la resiliencia</t>
  </si>
  <si>
    <t>PDOT.FA.OE4.AH.01</t>
  </si>
  <si>
    <t>Aseo e Higiene</t>
  </si>
  <si>
    <t>Recolección de desechos sólidos</t>
  </si>
  <si>
    <t>Gestión integral desechos sólidos: recolección y transporte</t>
  </si>
  <si>
    <t>Repotenciación y adquisición de recolectores de basura</t>
  </si>
  <si>
    <t>Promover prácticas sostenibles de manejo de desechos</t>
  </si>
  <si>
    <t>PDOT.FA.OE4.AH.02</t>
  </si>
  <si>
    <t>Tratamiento de desechos — Relleno Sanitario</t>
  </si>
  <si>
    <t>Nuevo relleno sanitario cantonal — construcción y operación EP Aseo</t>
  </si>
  <si>
    <t>Construcción nuevo relleno sanitario cantón Montecristi</t>
  </si>
  <si>
    <t>PDOT.AM.OE3.M2.01</t>
  </si>
  <si>
    <t>PDOT.AS.OE1.AP.01</t>
  </si>
  <si>
    <t>Asentamientos Humanos</t>
  </si>
  <si>
    <t>Agua y saneamiento</t>
  </si>
  <si>
    <t>Agua Potable — Redes + Acueducto CAF</t>
  </si>
  <si>
    <t>Cobertura agua potable: ampliación redes + Acueducto CAF 30.000m³/día — mayor ítem PDOT</t>
  </si>
  <si>
    <t>Gestión Construcción Acueducto CAF $45.6M — 30.000m³/día</t>
  </si>
  <si>
    <t>Ampliar y mejorar la cobertura de equipamientos, áreas verdes y servicios básicos</t>
  </si>
  <si>
    <t>PDOT.AS.OE1.M1.01</t>
  </si>
  <si>
    <t>PDOT.AS.OE1.AP.02</t>
  </si>
  <si>
    <t>Agua Potable — Reservorios y Captación Rural</t>
  </si>
  <si>
    <t>Reservorios y captación agua rural: tanques reserva comunas + continuidad servicio</t>
  </si>
  <si>
    <t>Nueva infraestructura captación y tratamiento agua — reservorios rurales</t>
  </si>
  <si>
    <t>Ampliar y mejorar la cobertura de servicios básicos</t>
  </si>
  <si>
    <t>PDOT.AS.OE1.M1.03</t>
  </si>
  <si>
    <t>🔴 BAJA</t>
  </si>
  <si>
    <t>PDOT.AS.OE1.SN.01</t>
  </si>
  <si>
    <t>Saneamiento — Alcantarillado + PTAR</t>
  </si>
  <si>
    <t>Alcantarillado sanitario: Fase I PROGAPSA + Colector Principal + PTAR</t>
  </si>
  <si>
    <t>Fase I Alcantarillado BEI-PROGAPSA + PTAR Montecristi</t>
  </si>
  <si>
    <t>PDOT.AS.OE1.M1.02</t>
  </si>
  <si>
    <t>PDOT.FA.OE4.PT.01</t>
  </si>
  <si>
    <t>F. Ambiental / As. Humanos</t>
  </si>
  <si>
    <t>Agua y saneamiento / Ambiente</t>
  </si>
  <si>
    <t>PTAR — Planta de Tratamiento de Aguas Residuales</t>
  </si>
  <si>
    <t>PTAR: Planta Tratamiento Aguas Residuales Montecristi + Aníbal San Andrés</t>
  </si>
  <si>
    <t>Construcción Colector Principal y PTAR Montecristi + Aníbal San Andrés (CELEC/BDE)</t>
  </si>
  <si>
    <t>Gestión integral de aguas residuales — componente ambiental crítico</t>
  </si>
  <si>
    <t>PDOT.AM.OE3.M1.01</t>
  </si>
  <si>
    <t>PDOT.AS.OE1.PL.01</t>
  </si>
  <si>
    <t>Pluvial — Redes de drenaje urbano</t>
  </si>
  <si>
    <t>Redes pluviales: estudios técnicos para ampliación de cobertura</t>
  </si>
  <si>
    <t>Estudios técnicos proyección nuevas redes pluviales urbanas</t>
  </si>
  <si>
    <t>PDOT.AS.OE1.EP.01</t>
  </si>
  <si>
    <t>Equipamientos y espacios públicos</t>
  </si>
  <si>
    <t>Infraestructura actual — recuperación espacios públicos</t>
  </si>
  <si>
    <t>Parques y áreas verdes: Parque Las Pampas + Red Verde + canchas recreativas</t>
  </si>
  <si>
    <t>Mantenimiento y recuperación espacios recreativos (canchas, parques, plazas)</t>
  </si>
  <si>
    <t>Ampliar y mejorar la cobertura de equipamientos y áreas verdes</t>
  </si>
  <si>
    <t>PDOT.AV.OE1.M1.01</t>
  </si>
  <si>
    <t>PDOT.AS.OE1.EP.02</t>
  </si>
  <si>
    <t>Nuevos equipamientos: Terminal + Camal + Bomberil</t>
  </si>
  <si>
    <t>Equipamientos: Terminal Terrestre + Nuevo Camal + Estación Bomberil + Infocentros</t>
  </si>
  <si>
    <t>Estación Bomberil Chirijos + Terminal Terrestre Ciudad Bicentenario + Nuevo Camal Municipal</t>
  </si>
  <si>
    <t>Ampliar y mejorar la cobertura de equipamientos comunitarios</t>
  </si>
  <si>
    <t>PDOT.AS.OE1.M2.01 / M2.02</t>
  </si>
  <si>
    <t>PDOT.AS.VL.VI.01</t>
  </si>
  <si>
    <t>Vialidad</t>
  </si>
  <si>
    <t>Infraestructura vial actual — bacheo y pavimentación</t>
  </si>
  <si>
    <t>Bacheo y pavimentación: mantenimiento vías urbanas + ejes viales estratégicos</t>
  </si>
  <si>
    <t>Integración ejes viales estratégicos cantonales $10.89M</t>
  </si>
  <si>
    <t>Mejorar la infraestructura vial y la movilidad urbana</t>
  </si>
  <si>
    <t>PDOT.AS.VL.M1.01</t>
  </si>
  <si>
    <t>PDOT.AS.VL.MQ.01</t>
  </si>
  <si>
    <t>Maquinaria pesada — equipo caminero</t>
  </si>
  <si>
    <t>Equipo caminero y maquinaria pesada: adquisición PAC 2024 + mantenimiento vial</t>
  </si>
  <si>
    <t>Maquinaria pesada $600K PAC 2024 — mantenimiento vías urbanas y rurales</t>
  </si>
  <si>
    <t>Ampliar y mejorar la calidad de los servicios de aseo y vialidad</t>
  </si>
  <si>
    <t>PDOT.AS.VL.M1.02</t>
  </si>
  <si>
    <t>PDOT.AS.VL.CI.01</t>
  </si>
  <si>
    <t>Ciclovías urbanas e inter-comunitarias</t>
  </si>
  <si>
    <t>Ciclovías urbanas e inter-comunitarias: nuevos circuitos y mantenimiento</t>
  </si>
  <si>
    <t>Ciclovías que integran comunidades</t>
  </si>
  <si>
    <t>PDOT.AS.VL.SV.01</t>
  </si>
  <si>
    <t>Tránsito, transporte y seguridad vial</t>
  </si>
  <si>
    <t>Señalización + CCTV + plan movilidad</t>
  </si>
  <si>
    <t>Señalización vial + CCTV + embellecimiento urbano + plan de movilidad</t>
  </si>
  <si>
    <t>Infraestructura y Seguridad Vial / Plan movilidad integral / Unidos por la Seguridad Vial</t>
  </si>
  <si>
    <t>Mejorar la seguridad y señalización vial</t>
  </si>
  <si>
    <t>PDOT.SC.PI.M5.01 / PDOT.AS.VL.M2.01</t>
  </si>
  <si>
    <t>PDOT.AS.VV.HB.01</t>
  </si>
  <si>
    <t>Vivienda</t>
  </si>
  <si>
    <t>Proyectos habitacionales — vivienda interés social</t>
  </si>
  <si>
    <t>Vivienda de interés social: urbanización pública municipal + repotenciación precarias</t>
  </si>
  <si>
    <t>Urbanización pública municipal + repotenciación viviendas precarias</t>
  </si>
  <si>
    <t>Proporcionar la disponibilidad de viviendas de interés social</t>
  </si>
  <si>
    <t>PDOT.SC.OE2.SA.01</t>
  </si>
  <si>
    <t>Socio Cultural</t>
  </si>
  <si>
    <t>Salud Integral para la comunidad</t>
  </si>
  <si>
    <t>Plan de Servicios de Salud</t>
  </si>
  <si>
    <t>Salud: Centro Tipo C + clínica diálisis + salud preventiva integral</t>
  </si>
  <si>
    <t>Centro de Salud Tipo C «Nacer Aquí» + Repotenciación Clínica de Diálisis</t>
  </si>
  <si>
    <t>Implementar campañas educativas y de sensibilización sobre salud preventiva</t>
  </si>
  <si>
    <t>PDOT.SC.OE2.SA.02</t>
  </si>
  <si>
    <t>Plan Salud Preventiva — Unidad Médica Móvil</t>
  </si>
  <si>
    <t>Salud preventiva juvenil + Unidad Médica Móvil operación rural</t>
  </si>
  <si>
    <t>Club Adolescentes Libre de Embarazos + Unidad Médica Móvil comunidades</t>
  </si>
  <si>
    <t>PDOT.SC.PI.ED.01</t>
  </si>
  <si>
    <t>Educa e Innova</t>
  </si>
  <si>
    <t>Plan de Acceso a la Tecnología + Conectividad Rural</t>
  </si>
  <si>
    <t>Conectividad digital rural: Puntos Digitales + WiFi público + capacitación</t>
  </si>
  <si>
    <t>Puntos Digitales áreas rurales + WiFi público cantonal</t>
  </si>
  <si>
    <t>Desarrollar e implementar programas de capacitación en el uso de tecnología</t>
  </si>
  <si>
    <t>PDOT.SC.OE2.DS.01</t>
  </si>
  <si>
    <t>Derechos en Acción</t>
  </si>
  <si>
    <t>Protección Derechos + Montecristi Solidario</t>
  </si>
  <si>
    <t>Protección derechos: Guarderías Nocturnas + CDI + Patronato + grupos vulnerables</t>
  </si>
  <si>
    <t>Centros Desarrollo Infantil + Guarderías Nocturnas + Campaña prevención violencia</t>
  </si>
  <si>
    <t>Desarrollar e implementar programas de asistencia legal y solidaridad social</t>
  </si>
  <si>
    <t>PDOT.SC.OE2.M4.01 / PDOT.SC.OE2.M2.01</t>
  </si>
  <si>
    <t>PDOT.SC.PA.CP.01</t>
  </si>
  <si>
    <t>Cultura y Patrimonio</t>
  </si>
  <si>
    <t>Artes y Creatividad</t>
  </si>
  <si>
    <t>Cultura: Escuela Municipal de Arte + catálogo artistas + Agenda Bicentenario</t>
  </si>
  <si>
    <t>Escuela Arte Municipal + Escuelas de talentos + Agenda Bicentenario + recuperación paseo lúdico</t>
  </si>
  <si>
    <t>Desarrollar y aplicar normativas y regulaciones para la cultura y patrimonio</t>
  </si>
  <si>
    <t>PDOT.SC.PA.CP.02</t>
  </si>
  <si>
    <t>Patrimonio cultural y Memoria social</t>
  </si>
  <si>
    <t>Patrimonio: Museo Sombrero + Casa Patrimonial + Ciudad Creativa UNESCO</t>
  </si>
  <si>
    <t>Museo del Sombrero + Red Museográfica Cantonal + Casa Patrimonial + Ciudad Creativa UNESCO</t>
  </si>
  <si>
    <t>PDOT.EP.OE5.PD.01</t>
  </si>
  <si>
    <t>Económico Productivo</t>
  </si>
  <si>
    <t>Productivo y Diverso</t>
  </si>
  <si>
    <t>Ferias productivas y promoción comercial</t>
  </si>
  <si>
    <t>Fomento productivo: ferias, mercados locales y promoción comercial</t>
  </si>
  <si>
    <t>Ferias Productivas + Feria de Negocios para Emprendedores + Gestión local</t>
  </si>
  <si>
    <t>Incrementar el número de beneficiarios en la formación y diversificación económica</t>
  </si>
  <si>
    <t>PDOT.EP.OE5.EM.01</t>
  </si>
  <si>
    <t>Emprendimiento y Dinamismo</t>
  </si>
  <si>
    <t>Emprendimiento artesanal — Sombrero Paja Toquilla</t>
  </si>
  <si>
    <t>Emprendimiento artesanal: K-larte + sombrero paja toquilla + cerámica Montecristi</t>
  </si>
  <si>
    <t>K-larte es por ti + Huertos orgánicos familiares y comunitarios</t>
  </si>
  <si>
    <t>PDOT.EP.OE5.TU.01</t>
  </si>
  <si>
    <t>Turismo</t>
  </si>
  <si>
    <t>Desarrollo recursos turísticos + posicionamiento</t>
  </si>
  <si>
    <t>Turismo: Manglar Vivo + teleférico (estudio) + denominación origen + posicionamiento</t>
  </si>
  <si>
    <t>Manglar Vivo Playa San José + Teleférico (Estudio factibilidad) + Sello Calidad turística</t>
  </si>
  <si>
    <t>Incrementar la oferta turística y número de visitantes</t>
  </si>
  <si>
    <t>PDOT.PI.OE4.FI.01</t>
  </si>
  <si>
    <t>Político Institucional</t>
  </si>
  <si>
    <t>Fortalecimiento Institucional</t>
  </si>
  <si>
    <t>Planificación Institucional + SIL + PUGS</t>
  </si>
  <si>
    <t>Fortalecimiento institucional: SIL + catastro actualizado + planes complementarios</t>
  </si>
  <si>
    <t>SIL SIGAD + Procesos ciudadanos en línea + Planes Complementarios PUGS</t>
  </si>
  <si>
    <t>Aumentar el cumplimiento de los Instrumentos de Planificación</t>
  </si>
  <si>
    <t>PDOT.PI.OE4.M2.01</t>
  </si>
  <si>
    <t>PDOT.PI.OE4.FI.02</t>
  </si>
  <si>
    <t>SIT Municipal + LIDAR + Geomática</t>
  </si>
  <si>
    <t>Sistema Información Territorial: SIT Municipal + LIDAR + geomática institucional</t>
  </si>
  <si>
    <t>Plan Estratégico Institucional + SIT + LIDAR</t>
  </si>
  <si>
    <t>Aumentar la capacidad institucional para el levantamiento y sistematización de información</t>
  </si>
  <si>
    <t>PDOT.PI.OE4.TI.01</t>
  </si>
  <si>
    <t>Tecnología e innovación — digitalización trámites</t>
  </si>
  <si>
    <t>Digitalización: transformación digital trámites + WiFi público + ERP municipal</t>
  </si>
  <si>
    <t>Transformación digital procedimientos + Catastro Integrado alfanumérico-gráfico</t>
  </si>
  <si>
    <t>Aumentar la capacidad institucional para la digitalización de servicios</t>
  </si>
  <si>
    <t>PDOT.PI.OE4.M1.01</t>
  </si>
  <si>
    <t>PDOT.PI.OE5.SF.01</t>
  </si>
  <si>
    <t>Sostenibilidad Financiera — Recaudación Efectiva</t>
  </si>
  <si>
    <t>Sostenibilidad financiera: recaudación + coactivas + fortalecimiento presupuestario</t>
  </si>
  <si>
    <t>Implementación plan Recaudación Efectiva + mejora gestión cobros y coactivas</t>
  </si>
  <si>
    <t>Incrementar los indicadores financieros institucionales</t>
  </si>
  <si>
    <t>PDOT.PI.OE5.TH.01</t>
  </si>
  <si>
    <t>Gestión del Talento Humano — LOSEP + SIITH</t>
  </si>
  <si>
    <t>Talento Humano: formación + evaluación LOSEP + SIITH + desempeño institucional</t>
  </si>
  <si>
    <t>Formación y fortalecimiento Talento Humano + evaluación LOSEP semestral</t>
  </si>
  <si>
    <t>Mejorar el desempeño y la calidad del servicio al usuario</t>
  </si>
  <si>
    <t>PDOT.PI.OE6.PD.01</t>
  </si>
  <si>
    <t>Posicionamiento institucional y difusión</t>
  </si>
  <si>
    <t>Difusión Activa — Marca Ciudad Creativa</t>
  </si>
  <si>
    <t>Posicionamiento: Marca Ciudad Creativa + comunicación institucional + encuesta</t>
  </si>
  <si>
    <t>Marca CIUDAD CREATIVA + Estrategias Integrales Comunicación + Percepción</t>
  </si>
  <si>
    <t>Incrementar el nivel de conocimiento, confianza y aceptación de la gestión</t>
  </si>
  <si>
    <t>PDOT.PI.OE6.PC.01</t>
  </si>
  <si>
    <t>Participación y cogestión ciudadana</t>
  </si>
  <si>
    <t>Construcción participativa ciudadana</t>
  </si>
  <si>
    <t>Participación ciudadana: asambleas + cabildo + rendición cuentas + cogestión</t>
  </si>
  <si>
    <t>Sistema construcción participativa planificación + Rendición Cuentas CPCCS</t>
  </si>
  <si>
    <t>Fomentar la participación ciudadana y la construcción colaborativa</t>
  </si>
  <si>
    <t>Σ</t>
  </si>
  <si>
    <t>TOTALES UNIVERSO · 35 programas/proyectos en 5 sistemas</t>
  </si>
  <si>
    <t>EJE PDOT</t>
  </si>
  <si>
    <t>Ti (Ejecución)</t>
  </si>
  <si>
    <t>-</t>
  </si>
  <si>
    <t>#</t>
  </si>
  <si>
    <t>CÓD. PDOT</t>
  </si>
  <si>
    <t>EJE</t>
  </si>
  <si>
    <t>META ESTRATÉGICA</t>
  </si>
  <si>
    <t>Pi</t>
  </si>
  <si>
    <t>Ri</t>
  </si>
  <si>
    <t>Vi</t>
  </si>
  <si>
    <t>Ti</t>
  </si>
  <si>
    <t>Ci</t>
  </si>
  <si>
    <t>Ei</t>
  </si>
  <si>
    <t>RESPONSABLE</t>
  </si>
  <si>
    <t>PRESUPUESTO</t>
  </si>
  <si>
    <t>INDICADOR</t>
  </si>
  <si>
    <t>Mantenimiento de vías urbanas para el acceso de los barrios del cantón</t>
  </si>
  <si>
    <t>Dir. Obras Públicas</t>
  </si>
  <si>
    <t>Kilómetros de vías intervenidas</t>
  </si>
  <si>
    <t>Desarrollo del Bienestar Integral para Montecristi</t>
  </si>
  <si>
    <t>Patronato Municipal</t>
  </si>
  <si>
    <t>Porcentaje de avance físico</t>
  </si>
  <si>
    <t>Ambiental</t>
  </si>
  <si>
    <t>Gestión Integral de Desechos Sólidos</t>
  </si>
  <si>
    <t>Dir. Gestión Ambiental</t>
  </si>
  <si>
    <t>Toneladas procesadas/año</t>
  </si>
  <si>
    <t>Fortalecimiento estratégico de equipamiento público comercial y administrativo</t>
  </si>
  <si>
    <t>Meta</t>
  </si>
  <si>
    <t>Proyecto Integral de Desarrollo y Apoyo Comunitario</t>
  </si>
  <si>
    <t>PDOT.AS.OE1.M2.01</t>
  </si>
  <si>
    <t>Gestión para la construcción de nueva infraestructura de tratamiento de aguas residuales</t>
  </si>
  <si>
    <t>Dir. Agua Potable y Alcantarillado</t>
  </si>
  <si>
    <t>Metros lineales de red construida</t>
  </si>
  <si>
    <t>Implementación de la Transformación digital de los procedimientos institucionales</t>
  </si>
  <si>
    <t>Dir. TICs</t>
  </si>
  <si>
    <t>PDOT.SC.OE2.M2.01</t>
  </si>
  <si>
    <t>Recuperación integral de los espacios públicos</t>
  </si>
  <si>
    <t>Implementación de Infraestructura civil para la mitigación y reducción de impactos ante la susceptib</t>
  </si>
  <si>
    <t>Mejorando la capacidad de
disposición final de desechos sólidos</t>
  </si>
  <si>
    <t>Desarrollo de la red Verde y recuperación del espacio público</t>
  </si>
  <si>
    <t>Fortalecimiento del Sistema de Información Territorial Municipal</t>
  </si>
  <si>
    <t>Desarrollo e implementación de Planes Estratégicos Institucionales</t>
  </si>
  <si>
    <t>Repoteciación de viviendas en
condiciones precarias</t>
  </si>
  <si>
    <t>Dir. Planificación Territorial</t>
  </si>
  <si>
    <t>Generación del Catastro
y clasificación de artistas y gestores culturales en el RUAC (Registro Único</t>
  </si>
  <si>
    <t>Dir. Cultura</t>
  </si>
  <si>
    <t>Beneficiarios directos</t>
  </si>
  <si>
    <t>Implementación de Ferias Productivas
y Feria de Negocios para Emprendedores del Cantón Montecristi</t>
  </si>
  <si>
    <t>Dir. Desarrollo Económico</t>
  </si>
  <si>
    <t>Creación del Inventario del Patrimonio Cultural de Montecristi</t>
  </si>
  <si>
    <t>Mejora del servicio deTransporte Público</t>
  </si>
  <si>
    <t>Dir. Tránsito y Transporte</t>
  </si>
  <si>
    <t>Fortalecimiento para la reducción de indicadores territoriales del cantón Montecristi relacionados a</t>
  </si>
  <si>
    <t>PDOT.AS.VL.M2.01</t>
  </si>
  <si>
    <t>TOTALES</t>
  </si>
  <si>
    <t>As. Humanos</t>
  </si>
  <si>
    <t>TOTALES · n=20 · Muestra Estratégica SIAP-ICPI</t>
  </si>
  <si>
    <t>ΣPi Validación:</t>
  </si>
  <si>
    <t>ΣPi = 1.000</t>
  </si>
  <si>
    <t>$107.9M+ PDOT</t>
  </si>
  <si>
    <t>✅×10 / ⚠️×6 / 🔴×4</t>
  </si>
  <si>
    <t>EJE ESTRATÉGICO PDOT</t>
  </si>
  <si>
    <t>N° METAS (n=20)</t>
  </si>
  <si>
    <t>PRESUPUESTO PDOT TOTAL ($)</t>
  </si>
  <si>
    <t>PI AGREGADO POR EJE</t>
  </si>
  <si>
    <t>PROGRAMAS PRINCIPALES</t>
  </si>
  <si>
    <t>FUENTE PRESUPUESTO</t>
  </si>
  <si>
    <t>Asentamientos Humanos + Vialidad</t>
  </si>
  <si>
    <t>Agua Potable · Alcantarillado · Vialidad · Equipamientos</t>
  </si>
  <si>
    <t>PDOT pág. 370-440 · PAC 2023-2024</t>
  </si>
  <si>
    <t>✅ Base PDOT</t>
  </si>
  <si>
    <t>Derechos en Acción · Montecristi Solidario</t>
  </si>
  <si>
    <t>PDOT pág. 380-395 · POA 2023-2025</t>
  </si>
  <si>
    <t>Factor Ambiental</t>
  </si>
  <si>
    <t>Aseo e Higiene · Tratamiento desechos</t>
  </si>
  <si>
    <t>PDOT pág. 400-415 · PAC EP Aseo 2023</t>
  </si>
  <si>
    <t>Turismo · Desarrollo recursos</t>
  </si>
  <si>
    <t>PDOT pág. 385-400 · Convenio MINTUR</t>
  </si>
  <si>
    <t>⚠️ Sin presup. PDOT asignado</t>
  </si>
  <si>
    <t>Fortalecimiento Inst. · TIC</t>
  </si>
  <si>
    <t>PDOT pág. 385-392 · POA 2023</t>
  </si>
  <si>
    <t>Σ TOTAL · n=20 METAS</t>
  </si>
  <si>
    <t>ΣPi = 1.000 ✅</t>
  </si>
  <si>
    <t>🔷 SECCIÓN B — PONDERACIÓN Pi INDIVIDUAL POR META PDOT · Pi = Presup_i ÷ Σ(Presup_n=20) · ΣPi=1.000 ✅ · Usado directamente en E1-ICPI</t>
  </si>
  <si>
    <t>CÓDIGO PDOT</t>
  </si>
  <si>
    <t>DESCRIPCIÓN SINTÉTICA</t>
  </si>
  <si>
    <t>Pi ACTUAL</t>
  </si>
  <si>
    <t>ORIGEN Pi</t>
  </si>
  <si>
    <t>NOTA</t>
  </si>
  <si>
    <t>Cobertura Agua Potable</t>
  </si>
  <si>
    <t>Alcantarillado Sanitario</t>
  </si>
  <si>
    <t>Centro de Salud Tipo C</t>
  </si>
  <si>
    <t>Nuevo Terminal Terrestre</t>
  </si>
  <si>
    <t>Nuevo Camal Municipal</t>
  </si>
  <si>
    <t>Equipamiento Geriátrico</t>
  </si>
  <si>
    <t>Bacheo y Pavimentación</t>
  </si>
  <si>
    <t>Unidad Médica Móvil</t>
  </si>
  <si>
    <t>Parques y Áreas Verdes</t>
  </si>
  <si>
    <t>Guarderías Nocturnas</t>
  </si>
  <si>
    <t>Planta Tratamiento Desechos</t>
  </si>
  <si>
    <t>Digitalización de Trámites</t>
  </si>
  <si>
    <t>Actualización Catastro</t>
  </si>
  <si>
    <t>Albergue Fauna Urbana</t>
  </si>
  <si>
    <t>Proyecto Playa San José</t>
  </si>
  <si>
    <t>Embellecimiento y Señalética</t>
  </si>
  <si>
    <t>Reservorios de Agua</t>
  </si>
  <si>
    <t>TOTAL n=20</t>
  </si>
  <si>
    <t>NIVEL RIESGO</t>
  </si>
  <si>
    <t>Ri (FACTOR)</t>
  </si>
  <si>
    <t>Pi (PESO)</t>
  </si>
  <si>
    <t>CRÍTICO</t>
  </si>
  <si>
    <t>ALTO</t>
  </si>
  <si>
    <t>MEDIO</t>
  </si>
  <si>
    <t>TOTAL</t>
  </si>
  <si>
    <t>MUESTRA AUDITADA (n=20)</t>
  </si>
  <si>
    <t>UNIDAD RESPONSABLE</t>
  </si>
  <si>
    <t>COMPETENCIA</t>
  </si>
  <si>
    <t>MODALIDAD EJECUCIÓN</t>
  </si>
  <si>
    <t>NIVEL JERÁRQUICO</t>
  </si>
  <si>
    <t>CORREO</t>
  </si>
  <si>
    <t>EXT.</t>
  </si>
  <si>
    <t>CÓD. INT.</t>
  </si>
  <si>
    <t>COOTAD Art. 55(d)</t>
  </si>
  <si>
    <t>Dirección GAD (control directo)</t>
  </si>
  <si>
    <t>Director</t>
  </si>
  <si>
    <t>dop@montecristi.gob.ec</t>
  </si>
  <si>
    <t>Ext. 210</t>
  </si>
  <si>
    <t>COOTAD Art. 388</t>
  </si>
  <si>
    <t>Patronato / Ente adscrito (Ordenanza)</t>
  </si>
  <si>
    <t>Director Ejecutivo</t>
  </si>
  <si>
    <t>patronato@montecristi.gob.ec</t>
  </si>
  <si>
    <t>Ext. 310</t>
  </si>
  <si>
    <t>⚠️ Entidad adscrita COOTAD Art.306 · Ci=0.9 · SSC (Subíndice Social Complementario) — no integra ICPI central</t>
  </si>
  <si>
    <t>Dirección de Planificación y Desarrollo</t>
  </si>
  <si>
    <t>dplan@montecristi.gob.ec</t>
  </si>
  <si>
    <t>Ext. 201</t>
  </si>
  <si>
    <t>dsp@montecristi.gob.ec</t>
  </si>
  <si>
    <t>Ext. 215</t>
  </si>
  <si>
    <t>ddsc@montecristi.gob.ec</t>
  </si>
  <si>
    <t>Ext. 220</t>
  </si>
  <si>
    <t>Convenio MSP 2023</t>
  </si>
  <si>
    <t>Unidad de Gestión Ambiental GAD</t>
  </si>
  <si>
    <t>COOTAD Art. 54(k)</t>
  </si>
  <si>
    <t>Jefe Departamento</t>
  </si>
  <si>
    <t>uga@montecristi.gob.ec</t>
  </si>
  <si>
    <t>Ext. 301</t>
  </si>
  <si>
    <t>EP Aseo Integral Montecristi</t>
  </si>
  <si>
    <t>COOTAD Art. 280</t>
  </si>
  <si>
    <t>Director Ejecutivo EP</t>
  </si>
  <si>
    <t>epaseo@montecristi.gob.ec</t>
  </si>
  <si>
    <t>Ext. 401</t>
  </si>
  <si>
    <t>tics@montecristi.gob.ec</t>
  </si>
  <si>
    <t>Ext. 230</t>
  </si>
  <si>
    <t>Dirección de Avalúos y Catastros</t>
  </si>
  <si>
    <t>COOTAD Art. 55(g)</t>
  </si>
  <si>
    <t>catastro@montecristi.gob.ec</t>
  </si>
  <si>
    <t>Ext. 225</t>
  </si>
  <si>
    <t>Convenio MSP-Sanitario 2024</t>
  </si>
  <si>
    <t>salud@montecristi.gob.ec</t>
  </si>
  <si>
    <t>Ext. 305</t>
  </si>
  <si>
    <t>Unidad de Turismo GAD Montecristi</t>
  </si>
  <si>
    <t>turismo@montecristi.gob.ec</t>
  </si>
  <si>
    <t>Ext. 315</t>
  </si>
  <si>
    <t>dag@montecristi.gob.ec</t>
  </si>
  <si>
    <t>Ext. 205</t>
  </si>
  <si>
    <t>⬡ TABLA Ci — Escala de Imputabilidad Institucional · COOTAD Arts.54,280,306 · SIAP-ICPI §3.7.1 · Replicable en s los GADs del Ecuador</t>
  </si>
  <si>
    <t>CAPA</t>
  </si>
  <si>
    <t>TIPO DE ENTIDAD</t>
  </si>
  <si>
    <t>HOJA / MÓDULO</t>
  </si>
  <si>
    <t>INTEGRA ICPI</t>
  </si>
  <si>
    <t>❶</t>
  </si>
  <si>
    <t>Direcciones Municipales GAD</t>
  </si>
  <si>
    <t>— (ICPI central)</t>
  </si>
  <si>
    <t>MAO · MAD · ICPI</t>
  </si>
  <si>
    <t>COOTAD Art.54</t>
  </si>
  <si>
    <t>✅ SÍ</t>
  </si>
  <si>
    <t>13 direcciones GAD — control pleno — ICPI</t>
  </si>
  <si>
    <t>❷</t>
  </si>
  <si>
    <t>Entidades Adscritas (Patronato)</t>
  </si>
  <si>
    <t>ISSC — Social Complementario</t>
  </si>
  <si>
    <t>SSC Sección A</t>
  </si>
  <si>
    <t>COOTAD Art.306</t>
  </si>
  <si>
    <t>🔶 NO — SSC</t>
  </si>
  <si>
    <t>Autonomía parcial — análisis descriptivo — ACTIVO</t>
  </si>
  <si>
    <t>❸</t>
  </si>
  <si>
    <t>Empresas Públicas Municipales</t>
  </si>
  <si>
    <t>ISPE — Servicios Públicos EP</t>
  </si>
  <si>
    <t>SSC Sección B</t>
  </si>
  <si>
    <t>COOTAD Art.280</t>
  </si>
  <si>
    <t>🔶 NO — ISPE</t>
  </si>
  <si>
    <t>EP Aseo · EP Agua — módulo futuro</t>
  </si>
  <si>
    <t>❹</t>
  </si>
  <si>
    <t>Convenios Interinstitucionales</t>
  </si>
  <si>
    <t>ISCI — Cogestión Interinst.</t>
  </si>
  <si>
    <t>SSC Sección C</t>
  </si>
  <si>
    <t>COOTAD Art.126</t>
  </si>
  <si>
    <t>🔶 NO — ISCI</t>
  </si>
  <si>
    <t>MSP·MIDUVI·MINTUR·MIES — módulo futuro</t>
  </si>
  <si>
    <t>❺</t>
  </si>
  <si>
    <t>Concesiones / Delegación Privada</t>
  </si>
  <si>
    <t>— (fuera de alcance)</t>
  </si>
  <si>
    <t>COOTAD Art.281</t>
  </si>
  <si>
    <t>❌ EXCLUIDO</t>
  </si>
  <si>
    <t>No imputable al GAD — fuera del instrumento SIAP</t>
  </si>
  <si>
    <t>🔷 SECCIÓN A — ISSC · Subíndice Social Complementario · Patronato Municipal de Amparo Social · n=4 metas sociales · Ci=0.9 · ✅ PILOTO ACTIVO</t>
  </si>
  <si>
    <t>COD-META (PDOT)</t>
  </si>
  <si>
    <t>DESCRIPCIÓN SINTÉTICA META</t>
  </si>
  <si>
    <t>Vi (Evidencia 0/1)</t>
  </si>
  <si>
    <t>Ci (Control)</t>
  </si>
  <si>
    <t>Pi×Ri×Vi×Ti×Ci (Contrib.)</t>
  </si>
  <si>
    <t>ISSC_i (% contrib.)</t>
  </si>
  <si>
    <t>ESTADO / ACCIÓN RECOMENDADA</t>
  </si>
  <si>
    <t>Centro de Salud Tipo C «Nacer Aquí»</t>
  </si>
  <si>
    <t>🔴 URGENTE — Firmar convenio MSP + cronograma SERCOP. Elevar Vi=1 como prioridad máxima GAD.</t>
  </si>
  <si>
    <t>Equipamiento Geriátrico · Montecristi Solidario</t>
  </si>
  <si>
    <t>✅ CUMPLIDA — Incluir partida operación recurrente POA 2025. Vincular indicador PDOT.</t>
  </si>
  <si>
    <t>Unidad Médica Móvil — Salud Preventiva</t>
  </si>
  <si>
    <t>⚠️ URGENTE — Registrar vehículo SERCOP. Generar contrato formal → elevar Vi=1.</t>
  </si>
  <si>
    <t>Guarderías Nocturnas / CIBV Clubes Niños</t>
  </si>
  <si>
    <t>🔴 URGENTE — Convenio MIES para CIBV. Reformular como programa protección infantil POA 2025.</t>
  </si>
  <si>
    <t>ISSC TOTAL · Subíndice Social Complementario Patronato Municipal</t>
  </si>
  <si>
    <t>INTERPRETACIÓN ISSC · El ISSC mide cuánto aporta el Patronato si tuviera control pleno (Ci=1.0 hipotético). El valor Ci=0.9 ya reduce su contribución en el ICPI central. ISSC sirve como indicador de coherencia social: cuánto de la dimensión asistencial del mandato PDOT se ejecuta vía Patronato. Si ISSC es alto pero ICPI_social es bajo → el GAD delega política social sin ejecutar directamente → señal de alerta §3.4-SSC. Vi=0 en metas prioritarias = riesgo de incumplimiento PDOT.</t>
  </si>
  <si>
    <t>🔶 SECCIÓN B — ISPE · Subíndice Servicios Públicos EP · EP Aseo Integral Montecristi · Ci=0.75 · COOTAD Art.280 · MÓDULO EN DESARROLLO — Activar cuando EP esté formalmente constituida</t>
  </si>
  <si>
    <t>EP Aseo Integral Montecristi (COOTAD Art.280) · Ci=0.75 · Metas bajo EP: Relleno Sanitario (PDOT.AM.OE3.M2.01), Recolección Desechos (PDOT.FA.OE4.AH.01) · ISPE_i = Pi×Ri×Vi×Ti×0.75 ÷ Σ(Pi×Ri) · Activar cuando EP tenga estatuto aprobado y directorio GAD activo · Si GAD tiene EP Agua → agregar aquí con misma lógica Ci=0.75</t>
  </si>
  <si>
    <t>🔵 SECCIÓN C — ISCI · Subíndice Cogestión Interinstitucional · Convenios MSP / MIDUVI / MINTUR / MIES · Ci=0.5 · COOTAD Art.126 · MÓDULO EN DESARROLLO — Activar cuando convenios tengan presupuesto verificable SERCOP</t>
  </si>
  <si>
    <t>Convenios activos: MSP (Salud Tipo C), MIDUVI (Vivienda Social), MINTUR (Manglar Vivo), MIES (CIBV) · Ci=0.5 (GAD no controla directamente) · ISCI_i = Pi×Ri×Vi×Ti×0.5 ÷ Σ(Pi×Ri) · Diferencia entre ICPI con Ci=0.5 vs hipótetico Ci=1.0 = peso institucional perdido por delegación externa · Activar con convenios firmados y verificables</t>
  </si>
  <si>
    <t>⬡ SECCIÓN MELÓGICA SSC · Decisiones de Diseño · Escalabilidad SIAP-ICPI · Arquitectura Modular para GADs del Ecuador</t>
  </si>
  <si>
    <t>ASPECTO</t>
  </si>
  <si>
    <t>DETALLE TÉCNICO / DECISIÓN DE DISEÑO</t>
  </si>
  <si>
    <t>REFERENCIA NORMATIVA</t>
  </si>
  <si>
    <t>VERSIÓN</t>
  </si>
  <si>
    <t>Separación ICPI / SSC</t>
  </si>
  <si>
    <t>El ICPI central mide SOLO metas bajo control directo GAD. El SSC es análisis descriptivo adicional — no modifica el ICPI. Garantiza integridad melógica y comparabilidad entre GADs con distinta estructura institucional.</t>
  </si>
  <si>
    <t>SIAP-ICPI §3.4-SSC COOTAD Art.228</t>
  </si>
  <si>
    <t>✅ ACTIVO</t>
  </si>
  <si>
    <t>Fórmula ICPI inalterada</t>
  </si>
  <si>
    <t>ICPI = Σ(Pi·Ri·Vi·Ei·Ti·Ci) ÷ Σ(Pi·Ri) — Ci=0.9 para metas del Patronato ya reduce su contribución al numerador. El SSC muestra la contribución hipotética si Ci=1.0. La diferencia = penalización por delegación institucional.</t>
  </si>
  <si>
    <t>SIAP-ICPI §3.7 MAO fila 3 nota</t>
  </si>
  <si>
    <t>Escalabilidad EP (ISPE)</t>
  </si>
  <si>
    <t>EP Aseo (COOTAD Art.280): Ci=0.75. Cuando el GAD tiene EP formalmente constituida, se activa ISPE en Sección B de esta hoja. La fórmula base no cambia. Si el GAD tiene EP Agua, se agrega en la misma Sección B con idéntica lógica.</t>
  </si>
  <si>
    <t>COOTAD Art.280 Estatuto EP Art.5</t>
  </si>
  <si>
    <t>Escalabilidad Convenios (ISCI)</t>
  </si>
  <si>
    <t>Convenios MSP/MIDUVI/MINTUR/MIES: Ci=0.5. Se activa ISCI cuando los convenios tienen presupuesto verificable en SERCOP. Indicador de gobernanza interinstitucional. Cuanto mayor ISCI mayor dependencia del GAD de actores externos para cumplir su mandato PDOT.</t>
  </si>
  <si>
    <t>COOTAD Art.126 Norma Técnica SERCOP</t>
  </si>
  <si>
    <t>Replicabilidad en otros GADs</t>
  </si>
  <si>
    <t>La escala Ci y la arquitectura SSC/ISPE/ISCI son genéricas. Cualquier GAD puede adoptar el instrumento con su propia estructura institucional. Solo cambian los valores de n (metas) y la composición de entidades adscritas y EP. La fórmula ICPI es universal.</t>
  </si>
  <si>
    <t>COOTAD Art.228 CRE Art.264</t>
  </si>
  <si>
    <t>EN DISEÑO</t>
  </si>
  <si>
    <t>◈ SSC · Subíndice Social Complementario · Patronato Ci=0.9 ✅ · EP Ci=0.75 · Convenios Ci=0.5 · SIAP-ICPI GAD Montecristi © 2025</t>
  </si>
  <si>
    <t>TIPOLOGÍA DOC.</t>
  </si>
  <si>
    <t>DEPARTAMENTO</t>
  </si>
  <si>
    <t>EVIDENCIA</t>
  </si>
  <si>
    <t>Ti (H)</t>
  </si>
  <si>
    <t>Vi×Ri×Ti</t>
  </si>
  <si>
    <t>ESTADO DOC.</t>
  </si>
  <si>
    <t>Vi AUD.</t>
  </si>
  <si>
    <t>Ti AUD.</t>
  </si>
  <si>
    <t>REF. DOC.</t>
  </si>
  <si>
    <t>CONSISTENCIA</t>
  </si>
  <si>
    <t>Pi / Ci</t>
  </si>
  <si>
    <t>PDOT ✓</t>
  </si>
  <si>
    <t>POA ✓</t>
  </si>
  <si>
    <t>PAC ✓</t>
  </si>
  <si>
    <t>Ti CÉDULA</t>
  </si>
  <si>
    <t>SIGAD ✓</t>
  </si>
  <si>
    <t>CPCCS ✓</t>
  </si>
  <si>
    <t>Ci CININ</t>
  </si>
  <si>
    <t>Ti CININ</t>
  </si>
  <si>
    <t>ESTADO CININ</t>
  </si>
  <si>
    <t>OBS.</t>
  </si>
  <si>
    <t>Silo de Ejecución · SERCOP / Cédulas</t>
  </si>
  <si>
    <t>Obras Públicas / Alcantar.</t>
  </si>
  <si>
    <t>Contrato / Planillas</t>
  </si>
  <si>
    <t>RDC 2023+2024</t>
  </si>
  <si>
    <t>Silo de Planificación · GAD LOTAIP</t>
  </si>
  <si>
    <t>Salud / Planificación</t>
  </si>
  <si>
    <t>Escrituras / Registro</t>
  </si>
  <si>
    <t>RDC 2024 p.11</t>
  </si>
  <si>
    <t>Proyectos Estratégicos</t>
  </si>
  <si>
    <t>Proceso SERCOP</t>
  </si>
  <si>
    <t>RDC 2023 p.4</t>
  </si>
  <si>
    <t>Servicios Públicos</t>
  </si>
  <si>
    <t>Informe Viabilidad</t>
  </si>
  <si>
    <t>RDC 2024 p.3</t>
  </si>
  <si>
    <t>Desarrollo Social</t>
  </si>
  <si>
    <t>Facturas Equipamiento</t>
  </si>
  <si>
    <t>SERCOP/Facturas</t>
  </si>
  <si>
    <t>Obras Públicas / Vialidad</t>
  </si>
  <si>
    <t>Cédula Presupuestaria</t>
  </si>
  <si>
    <t>Céd.Pres.GAD</t>
  </si>
  <si>
    <t>Salud</t>
  </si>
  <si>
    <t>Orden Compra / Placas</t>
  </si>
  <si>
    <t>Gestión Ambiental</t>
  </si>
  <si>
    <t>Licencia / Contrato</t>
  </si>
  <si>
    <t>Parques y Jardines</t>
  </si>
  <si>
    <t>Registro / Acta Inicio</t>
  </si>
  <si>
    <t>Registro/Acta</t>
  </si>
  <si>
    <t>Convenio / Personal</t>
  </si>
  <si>
    <t>LOTAIP/Convenio</t>
  </si>
  <si>
    <t>Silo de Control de Metas · SIGAD</t>
  </si>
  <si>
    <t>Higiene y Salubridad</t>
  </si>
  <si>
    <t>Certificación Operativa</t>
  </si>
  <si>
    <t>Compras Públicas</t>
  </si>
  <si>
    <t>Acta Recepción Maq.</t>
  </si>
  <si>
    <t>Acta Recep.PAC2024</t>
  </si>
  <si>
    <t>Seguridad / TICS</t>
  </si>
  <si>
    <t>Factura / Reporte TICS</t>
  </si>
  <si>
    <t>Tecnologías (TICS)</t>
  </si>
  <si>
    <t>Certificación Software</t>
  </si>
  <si>
    <t>SIGAD/Informes</t>
  </si>
  <si>
    <t>Avalúos y Catastros</t>
  </si>
  <si>
    <t>Informe Actualización</t>
  </si>
  <si>
    <t>Silo de Contraloría Social · CPCCS</t>
  </si>
  <si>
    <t>Participación Ciudadana</t>
  </si>
  <si>
    <t>Informe Silo Social</t>
  </si>
  <si>
    <t>RDC 2024 N°22844 p.3</t>
  </si>
  <si>
    <t>Plan Manejo / Gasto</t>
  </si>
  <si>
    <t>RDC 2024 p.9+12</t>
  </si>
  <si>
    <t>Embellecimiento / Señalética</t>
  </si>
  <si>
    <t>Orden Trabajo / Factura</t>
  </si>
  <si>
    <t>Ord.Trabajo/Factura</t>
  </si>
  <si>
    <t>Obras Públicas</t>
  </si>
  <si>
    <t>Informe Fiscalización</t>
  </si>
  <si>
    <t>RDC 2024 p.7+12</t>
  </si>
  <si>
    <t>Contrato / Planillas / Acueducto CAF</t>
  </si>
  <si>
    <t>PAC 2023+2024</t>
  </si>
  <si>
    <t>TIPOLOGÍA EVIDENCIA</t>
  </si>
  <si>
    <t>DOCUMENTO REQUERIDO</t>
  </si>
  <si>
    <t>PERÍODO / REFERENCIA</t>
  </si>
  <si>
    <t>Vi (1/0)</t>
  </si>
  <si>
    <t>Proyecto sin financiamiento</t>
  </si>
  <si>
    <t>Cédula Presupuestaria de Gastos</t>
  </si>
  <si>
    <t>Período 2024 - Item 75.01</t>
  </si>
  <si>
    <t>Proceso en etapa preparatoria</t>
  </si>
  <si>
    <t>Plan Anual de Contratación (PAC)</t>
  </si>
  <si>
    <t>Partida No. 2024.GAD.108</t>
  </si>
  <si>
    <t>Licitación desierta</t>
  </si>
  <si>
    <t>Portal COMPRASPÚBLICAS</t>
  </si>
  <si>
    <t>LICO-GADM-002-2024</t>
  </si>
  <si>
    <t>Sin estudios de pre-factibilidad</t>
  </si>
  <si>
    <t>Plan de Desarrollo y OT (PDOT)</t>
  </si>
  <si>
    <t>Matriz de Metas 2024</t>
  </si>
  <si>
    <t>Compra de insumos completa</t>
  </si>
  <si>
    <t>Factura de Adquisición Electrónica</t>
  </si>
  <si>
    <t>001-002-000000123</t>
  </si>
  <si>
    <t>Mantenimiento vial ejecutado</t>
  </si>
  <si>
    <t>Acta de Entrega-Recepción Parcial</t>
  </si>
  <si>
    <t>GADM-MANT-2024-012</t>
  </si>
  <si>
    <t>Unidad adquirida y en inventario, sin acta formal de entrega-recepción localizada en archivo institucional (Vi=0 por ausencia de cadena de custodia documental)</t>
  </si>
  <si>
    <t>Registro de Bienes Muebles</t>
  </si>
  <si>
    <t>Inventario Activo No. 5580</t>
  </si>
  <si>
    <t>Sin licencia ambiental</t>
  </si>
  <si>
    <t>Catastro SUIA - MAE</t>
  </si>
  <si>
    <t>Consulta Pública Manabí</t>
  </si>
  <si>
    <t>Obra civil al 60%</t>
  </si>
  <si>
    <t>Planilla de Avance No. 3</t>
  </si>
  <si>
    <t>CONTRATO-OB-2024-05</t>
  </si>
  <si>
    <t>Proyecto iniciado por convenio</t>
  </si>
  <si>
    <t>Resolución de Alcaldía</t>
  </si>
  <si>
    <t>GADM-RES-2024-089</t>
  </si>
  <si>
    <t>No consta en presupuesto</t>
  </si>
  <si>
    <t>Reforma Presupuestaria II</t>
  </si>
  <si>
    <t>Acta de Concejo 2024-05</t>
  </si>
  <si>
    <t>Entrega de maquinaria nueva</t>
  </si>
  <si>
    <t>Acta de Ingreso a Bodega</t>
  </si>
  <si>
    <t>GADM-BOD-2024-001</t>
  </si>
  <si>
    <t>Equipos instalados físicamente, sin factura ni informe técnico localizable en el silo TICS (Vi=0 por ausencia de soporte documental verificable)</t>
  </si>
  <si>
    <t>Informe Técnico Dirección TICs</t>
  </si>
  <si>
    <t>GADM-TIC-2024-022</t>
  </si>
  <si>
    <t>Sin desarrollo de software</t>
  </si>
  <si>
    <t>Portal de Transparencia LOTAIP</t>
  </si>
  <si>
    <t>Literal s) Puntos s</t>
  </si>
  <si>
    <t>Sistema actualizado</t>
  </si>
  <si>
    <t>Certificado Dir. de Avalúos</t>
  </si>
  <si>
    <t>GADM-AVC-2024-301</t>
  </si>
  <si>
    <t>Infraestructura en funcionamiento, sin registro sanitario ni permisos localizables en repositorio oficial (Vi=0 por principio de precaución documental)</t>
  </si>
  <si>
    <t>Registro Sanitario / Permisos</t>
  </si>
  <si>
    <t>MSP-DZ4-2024-009</t>
  </si>
  <si>
    <t>Sin partida asignada</t>
  </si>
  <si>
    <t>Plan Operativo Anual (POA)</t>
  </si>
  <si>
    <t>Eje Económico - Meta 12</t>
  </si>
  <si>
    <t>Solo diseño conceptual</t>
  </si>
  <si>
    <t>Memoria Técnica Descriptiva</t>
  </si>
  <si>
    <t>ARCH-DIR-PLAN-2024</t>
  </si>
  <si>
    <t>Obra no priorizada</t>
  </si>
  <si>
    <t>Informe de Rendición de Cuentas</t>
  </si>
  <si>
    <t>Fase 2 - Formulario CPCCS</t>
  </si>
  <si>
    <t>Acueducto CAF $45.6M + redes distribución — mayor ítem PDOT (Pi=0.1117)</t>
  </si>
  <si>
    <t>PAC 2023+2024 SERCOP; Convenios Rocafuerte/Portoviejo/Jaramijó; Estudios RDC 2024</t>
  </si>
  <si>
    <t>PAC oficial SERCOP + Informes RDC 2023 N°17649 + RDC 2024 N°22844 págs.7,12,13</t>
  </si>
  <si>
    <t>Vi=1: Contratos y planillas PAC verificados; Ti=0.65 Cédula eSIGEF</t>
  </si>
  <si>
    <t>CUP (Código Único Proyecto MFE)</t>
  </si>
  <si>
    <t>CLASE GASTO (Clasificador)</t>
  </si>
  <si>
    <t>CODIF. 2023 (eSIGEF $)</t>
  </si>
  <si>
    <t>DEVENGADO 2023 (eSIGEF $)</t>
  </si>
  <si>
    <t>PAGADO 2023 (eSIGEF $)</t>
  </si>
  <si>
    <t>CODIF. 2024 (eSIGEF $)</t>
  </si>
  <si>
    <t>DEVENGADO 2024 (eSIGEF $)</t>
  </si>
  <si>
    <t>PAGADO 2024 (eSIGEF $)</t>
  </si>
  <si>
    <t>PRESUP. INICIAL PDOT ($)</t>
  </si>
  <si>
    <t>PRESUP. CODIF. VIGENTE ($)</t>
  </si>
  <si>
    <t>REFORMA PRESUP. ($)</t>
  </si>
  <si>
    <t>DEVENGADO ACUM. ($) (2023+2024)</t>
  </si>
  <si>
    <t>PAGADO ACUM. ($) (2023+2024)</t>
  </si>
  <si>
    <t>Ti CALC. (Dev.Acum/ Codif.Vig.) = S4 D-MAD</t>
  </si>
  <si>
    <t>% PAGADO (Pag/Dev)</t>
  </si>
  <si>
    <t>FUENTE FINANCIAMIENTO (Clasif. MFE)</t>
  </si>
  <si>
    <t>ALERTA / ACCIÓN REQUERIDA</t>
  </si>
  <si>
    <t>SIGPIP</t>
  </si>
  <si>
    <t>7.5.01 · Obras de Infraestructura</t>
  </si>
  <si>
    <t>(28) Transferencias Gob. Central + (19) Crédito BDE/CAF</t>
  </si>
  <si>
    <t>✅ Ejecución alta ≥85% — mantener ritmo</t>
  </si>
  <si>
    <t>🟢 En progreso — monitoreo mensual</t>
  </si>
  <si>
    <t>7.3.06 · Convenios de Delegación</t>
  </si>
  <si>
    <t>(28) Transferencias Gob. Central + (28.06) Fondo Social</t>
  </si>
  <si>
    <t>🔴 Ejecución crítica &lt;30% — deslinde Dirección</t>
  </si>
  <si>
    <t>🔴 Sin ejecución — Vi=0, revisar SERCOP/POA</t>
  </si>
  <si>
    <t>8.4.02 · Bienes de Larga Duración (Equipos)</t>
  </si>
  <si>
    <t>7.5.04 · Obras en Líneas, Redes e Instalaciones Eléctricas y de Telecomunicación / Mantenimiento y Reparaciones</t>
  </si>
  <si>
    <t>8.4.02 · Bienes de Larga Duración (Vehículos)</t>
  </si>
  <si>
    <t>🟡 Ejecución baja &lt;60% — acelerar POA 2025</t>
  </si>
  <si>
    <t>Planta de Oxidación / PTAR</t>
  </si>
  <si>
    <t>7.5.01 · Obras de Infraestructura (Saneamiento)</t>
  </si>
  <si>
    <t>(28) Transferencias Gob. Central</t>
  </si>
  <si>
    <t>7.5.01 · Obras de Infraestructura (Parques/Espacio Público)</t>
  </si>
  <si>
    <t>7.3.06 · Convenios de Delegación / 7.3.01 Servicios Sociales</t>
  </si>
  <si>
    <t>7.5.01 · Obras de Infraestructura (Saneamiento / Residuos)</t>
  </si>
  <si>
    <t>Equipo Caminero / Maquinaria</t>
  </si>
  <si>
    <t>8.4.02 · Bienes de Larga Duración (Maquinaria)</t>
  </si>
  <si>
    <t>Central Monitoreo / Cámaras</t>
  </si>
  <si>
    <t>8.4.02 · Bienes de Larga Duración (Equipos TICs)</t>
  </si>
  <si>
    <t>7.3.04 · Mantenimiento y Reparaciones / 8.4.02 Equipos Informáticos</t>
  </si>
  <si>
    <t>(28) Transferencias + (13) Recursos Propios GAD</t>
  </si>
  <si>
    <t>7.3.04 · Mantenimiento y Reparaciones / 8.7.01 Activos Intangibles (Software)</t>
  </si>
  <si>
    <t>7.3.02 · Servicios Generales (Veterinaria / Control Fauna)</t>
  </si>
  <si>
    <t>7.5.01 · Obras de Infraestructura (Turismo/Ambiente)</t>
  </si>
  <si>
    <t>(28) Transferencias + (19) Crédito BDE</t>
  </si>
  <si>
    <t>Embellecimiento y Señalética Urbana</t>
  </si>
  <si>
    <t>7.3.02 · Servicios Generales (Señalética y Ornamentación)</t>
  </si>
  <si>
    <t>7.5.01 · Obras de Infraestructura (Agua Potable Rural)</t>
  </si>
  <si>
    <t>TOTALES · n=20 metas PDOT</t>
  </si>
  <si>
    <t>🔶 SECCIÓN B — RESUMEN EJECUTIVO POR EJE ESTRATÉGICO PDOT · Ejecución presupuestaria consolidada por eje · Fuente: Sección A</t>
  </si>
  <si>
    <t>N° METAS</t>
  </si>
  <si>
    <t>PRESUP. INICIAL ($)</t>
  </si>
  <si>
    <t>CODIF. VIGENTE ($)</t>
  </si>
  <si>
    <t>DEVENGADO ($)</t>
  </si>
  <si>
    <t>DEV. 2023 ($)</t>
  </si>
  <si>
    <t>PAG. 2023 ($)</t>
  </si>
  <si>
    <t>COD. 2024 ($)</t>
  </si>
  <si>
    <t>DEV. 2024 ($)</t>
  </si>
  <si>
    <t>PAG. 2024 ($)</t>
  </si>
  <si>
    <t>CODIF. VIG. ($)</t>
  </si>
  <si>
    <t>PAGADO ($)</t>
  </si>
  <si>
    <t>Ti EJE (Dev/Cod)</t>
  </si>
  <si>
    <t>% PAGADO</t>
  </si>
  <si>
    <t>METAS Ti≥70%</t>
  </si>
  <si>
    <t>METAS Ti&lt;30%</t>
  </si>
  <si>
    <t>RIESGO PRESUP.</t>
  </si>
  <si>
    <t>ESTADO GENERAL</t>
  </si>
  <si>
    <t>PROGRAMA / META POA</t>
  </si>
  <si>
    <t>EJECUTADO ($)</t>
  </si>
  <si>
    <t>BRECHA ($)</t>
  </si>
  <si>
    <t>ESTADO EJECUCIÓN</t>
  </si>
  <si>
    <t>ACCIÓN PRIORITARIA</t>
  </si>
  <si>
    <t>ACTIVIDADES POA</t>
  </si>
  <si>
    <t>TIPO GASTO</t>
  </si>
  <si>
    <t>UNIDAD / DIRECCIÓN</t>
  </si>
  <si>
    <t>POA 2023 ($)</t>
  </si>
  <si>
    <t>POA 2024 ($)</t>
  </si>
  <si>
    <t>POA 2025 ($)</t>
  </si>
  <si>
    <t>POA 2026 ($)</t>
  </si>
  <si>
    <t>POA 2027 ($)</t>
  </si>
  <si>
    <t>ACUM. ($)</t>
  </si>
  <si>
    <t>Fase I Alcantarillado Eloy Alfaro — contratar BDE-PROGAPSA</t>
  </si>
  <si>
    <t>Inversión de obra</t>
  </si>
  <si>
    <t>Proyectos Estratégicos e Inversiones</t>
  </si>
  <si>
    <t>Convenio coordinación MSP — hoja de ruta formal</t>
  </si>
  <si>
    <t>Gestión interinstitucional</t>
  </si>
  <si>
    <t>Planificación / Proyectos Estratégicos</t>
  </si>
  <si>
    <t>Estudios factibilidad y diseño arquitectónico</t>
  </si>
  <si>
    <t>Estudios previos</t>
  </si>
  <si>
    <t>Estudio factibilidad técnica y ambiental Camal</t>
  </si>
  <si>
    <t>Planificación / Servicios Públicos</t>
  </si>
  <si>
    <t>Partida operación recurrente Centro de Apoyo</t>
  </si>
  <si>
    <t>Soc. Cultural</t>
  </si>
  <si>
    <t>Centros de Apoyo grupos vulnerables</t>
  </si>
  <si>
    <t>Operación continua</t>
  </si>
  <si>
    <t>🟡 MEDIA</t>
  </si>
  <si>
    <t>Acción Social y Desarrollo</t>
  </si>
  <si>
    <t>Mantenimiento vías urbanas + pavimentación CUP</t>
  </si>
  <si>
    <t>Inversión mantenimiento</t>
  </si>
  <si>
    <t>Planificación / Obras Públicas</t>
  </si>
  <si>
    <t>Registro vehículo móvil SERCOP + contrato operación</t>
  </si>
  <si>
    <t>Regularización documental</t>
  </si>
  <si>
    <t>Acción Social / Salud</t>
  </si>
  <si>
    <t>Planta Oxidación / PTAR</t>
  </si>
  <si>
    <t>Construcción Colector Principal + PTAR Montecristi</t>
  </si>
  <si>
    <t>Planificación / Dir. Alcantarillado</t>
  </si>
  <si>
    <t>Parque Las Pampas — diseño y obra Fase I</t>
  </si>
  <si>
    <t>F. Ambiental</t>
  </si>
  <si>
    <t>Inversión nueva obra</t>
  </si>
  <si>
    <t>Planificación / Espacios Públicos</t>
  </si>
  <si>
    <t>Convenio MIES para CIBV nocturno / programa específico</t>
  </si>
  <si>
    <t>Acción Social / MIES</t>
  </si>
  <si>
    <t>Inicio proceso MAATE — regularización relleno sanitario</t>
  </si>
  <si>
    <t>Obra estratégica</t>
  </si>
  <si>
    <t>Empresa de Aseo</t>
  </si>
  <si>
    <t>Equipo Caminero</t>
  </si>
  <si>
    <t>Mantenimiento preventivo maquinaria + plan de vialidad</t>
  </si>
  <si>
    <t>Operación / mantenimiento</t>
  </si>
  <si>
    <t>Regularización SERCOP sistema CCTV + ampliación</t>
  </si>
  <si>
    <t>Pol. Institucional</t>
  </si>
  <si>
    <t>Regularización + inversión</t>
  </si>
  <si>
    <t>TICS / Seguridad</t>
  </si>
  <si>
    <t>Plataforma ciudadana en línea + activar WiFi público</t>
  </si>
  <si>
    <t>Inversión TIC</t>
  </si>
  <si>
    <t>Planificación / TICS</t>
  </si>
  <si>
    <t>Alimentar SIL con datos LIDAR; vincular a cobros</t>
  </si>
  <si>
    <t>Integración sistémica</t>
  </si>
  <si>
    <t>Planificación / Catastro</t>
  </si>
  <si>
    <t>Preparar expediente Premio Verde BDE</t>
  </si>
  <si>
    <t>Financiamiento no reembolsable</t>
  </si>
  <si>
    <t>Planificación / Medio Ambiente</t>
  </si>
  <si>
    <t>Postular Proyecto Manglar Vivo al Premio Verde BDE</t>
  </si>
  <si>
    <t>Econ. Productivo</t>
  </si>
  <si>
    <t>Financiamiento estratégico</t>
  </si>
  <si>
    <t>Dir. Cultura y Turismo</t>
  </si>
  <si>
    <t>Mantenimiento señalética vial + arbolado urbano</t>
  </si>
  <si>
    <t>Diseño definitivo reservorios rurales + gestión BDE</t>
  </si>
  <si>
    <t>Estudios + inversión</t>
  </si>
  <si>
    <t>Planificación / Dir. Agua Potable</t>
  </si>
  <si>
    <t>🟦 SECCIÓN A — ANÁLISIS POR EJE ESTRATÉGICO</t>
  </si>
  <si>
    <t>11,2%</t>
  </si>
  <si>
    <t>3❌ / 3 / 2✅ / 1⚠️ — CRÍTICO</t>
  </si>
  <si>
    <t>8,5%</t>
  </si>
  <si>
    <t>2❌ / 1 / 2✅ / 2⚠️ — ALERTA</t>
  </si>
  <si>
    <t>66,3%</t>
  </si>
  <si>
    <t>0❌ / 2 / 0✅ / 0⚠️ — EN PROCESO</t>
  </si>
  <si>
    <t>100%+</t>
  </si>
  <si>
    <t>0❌ / 1 / 1✅ / 0⚠️ — FAVORABLE</t>
  </si>
  <si>
    <t>0❌ / 0 / 0✅ / 1⚠️ — PARCIAL</t>
  </si>
  <si>
    <t>🟥 SECCIÓN B — SEMAFORIZACIÓN PRESUPUESTARIA · ICPI · BRECHAS CRÍTICAS POA 2025 · §3.7 SIAP-ICPI</t>
  </si>
  <si>
    <t>🔴 CRÍTICA Vi = 0</t>
  </si>
  <si>
    <t>SIN RESPALDO DOCUMENTAL ICPI = 0 · Ruptura §1 CINI</t>
  </si>
  <si>
    <t>🟠 ALTA Ti &lt; 0.70</t>
  </si>
  <si>
    <t>EJECUCIÓN INCOMPLETA Ti ∈ [0.30 — 0.69]</t>
  </si>
  <si>
    <t>🟡 MEDIA Ti ≥ 0.70</t>
  </si>
  <si>
    <t>EJECUCIÓN ACEPTABLE Ti ≥ 0.70 — en trayectoria</t>
  </si>
  <si>
    <t>25% del total</t>
  </si>
  <si>
    <t>✅ CUMPLIDO Vi=Ei=Ti=1</t>
  </si>
  <si>
    <t>INTEGRIDAD COMPLETA Vi=1 · Ei=1 · Ti=1 · §3.7</t>
  </si>
  <si>
    <t>Δ ICPI +2.5 pp por unidad</t>
  </si>
  <si>
    <t>Evidencia forense verificada CPCCS + SERCOP + SIGAD</t>
  </si>
  <si>
    <t>Metas cumplidas:</t>
  </si>
  <si>
    <t>TER-03 · TER-18 SOC-03 · TER-01 · INS-05</t>
  </si>
  <si>
    <t>✔ ACCIÓN CONTINUA:</t>
  </si>
  <si>
    <t>Mantener trayectoria + documentar §3.4.3 — modelo para replicar en metas s</t>
  </si>
  <si>
    <t>AÑO PAC</t>
  </si>
  <si>
    <t># ÍTEM</t>
  </si>
  <si>
    <t>PARTIDA PRES.</t>
  </si>
  <si>
    <t>CPC</t>
  </si>
  <si>
    <t>TIPO</t>
  </si>
  <si>
    <t>DESCRIPCIÓN DEL ÍTEM PAC</t>
  </si>
  <si>
    <t>CANT.</t>
  </si>
  <si>
    <t>U. MED.</t>
  </si>
  <si>
    <t>COSTO UNIT. ($)</t>
  </si>
  <si>
    <t>VALOR TOTAL ($)</t>
  </si>
  <si>
    <t>PERÍODO</t>
  </si>
  <si>
    <t>CÓD. PDOT VINCULADO</t>
  </si>
  <si>
    <t>META PDOT (DESCRIPCIÓN)</t>
  </si>
  <si>
    <t>ESTADO VINCUL.</t>
  </si>
  <si>
    <t>84.01.09.000</t>
  </si>
  <si>
    <t>Bien</t>
  </si>
  <si>
    <t>Libros y colecciones</t>
  </si>
  <si>
    <t>Unidad</t>
  </si>
  <si>
    <t>C1 C2 C3</t>
  </si>
  <si>
    <t>Gasto operativo / administrativo</t>
  </si>
  <si>
    <t>⬜ Adm/Op</t>
  </si>
  <si>
    <t>84.01.03.000</t>
  </si>
  <si>
    <t>Mobiliarios</t>
  </si>
  <si>
    <t>77.02.01.000</t>
  </si>
  <si>
    <t>Servicio</t>
  </si>
  <si>
    <t>Seguros GAD Municipal</t>
  </si>
  <si>
    <t>75.05.01.005</t>
  </si>
  <si>
    <t>Obra</t>
  </si>
  <si>
    <t>Mantenimiento Repotenciacion Planta Agua Potable Los Mangos</t>
  </si>
  <si>
    <t>✅ Vinculado</t>
  </si>
  <si>
    <t>75.05.01.004</t>
  </si>
  <si>
    <t>Suministros tuberia redes agua potable Canton</t>
  </si>
  <si>
    <t>75.05.01.003</t>
  </si>
  <si>
    <t>Operacion Mantenimiento Potabilizacion Aguas Canton</t>
  </si>
  <si>
    <t>75.05.01.001</t>
  </si>
  <si>
    <t>Sistema agua potable parroquias rurales Canton</t>
  </si>
  <si>
    <t>REHABILITACION BITUMINOSO VIAS CDLAS SANTA ISABEL TIERRA SANTA</t>
  </si>
  <si>
    <t>Bacheo y Pavimentacion</t>
  </si>
  <si>
    <t>75.01.05.017</t>
  </si>
  <si>
    <t>Reconstruccion Anillo Vial Tierra Santa y Santa Isabel</t>
  </si>
  <si>
    <t>75.01.05.016</t>
  </si>
  <si>
    <t>PAVIMENTACION REPAVIMENTACION MEJORAMIENTO CARPETA ASFALTICA</t>
  </si>
  <si>
    <t>REHABILITACION VIAS BUEN VIVIR EL PRADO ETAPA 1</t>
  </si>
  <si>
    <t>MEJORAMIENTO VIAS URBANAS RURALES SECTORES VARIOS</t>
  </si>
  <si>
    <t>MANTENIMIENTO ELECTRICO TERRAZAS PASEO LUDICO Y ESCALINATA</t>
  </si>
  <si>
    <t>Embellecimiento y Señaletica</t>
  </si>
  <si>
    <t>75.05.04.001</t>
  </si>
  <si>
    <t>Mantenimiento Iluminacion Redes Electricas Alumbrado</t>
  </si>
  <si>
    <t>CONSTRUCCION ALCANTARILLADO SANITARIO CUIDADELA PAOLA 1 Y PAOLA 2</t>
  </si>
  <si>
    <t>73.15.15.000</t>
  </si>
  <si>
    <t>Plantas — Albergue Fauna Silvestre Canton</t>
  </si>
  <si>
    <t>73.14.07.002</t>
  </si>
  <si>
    <t>Sistema ERP gestion servicios plataforma digital</t>
  </si>
  <si>
    <t>Digitalizacion de Tramites</t>
  </si>
  <si>
    <t>73.14.07.001</t>
  </si>
  <si>
    <t>Equipos Sistemas Paquetes Informaticos</t>
  </si>
  <si>
    <t>75.01.04.010</t>
  </si>
  <si>
    <t>ESTUDIO DEFINITIVO TERMINAL TERRESTRE CIUDAD BICENTENARIO</t>
  </si>
  <si>
    <t>73.06.13.005</t>
  </si>
  <si>
    <t>Capacitaciones Cursos Artesanales Emprendedores Canton</t>
  </si>
  <si>
    <t>Guarderias / Desarrollo Social</t>
  </si>
  <si>
    <t>73.06.13.004</t>
  </si>
  <si>
    <t>Centro Capacitaciones Permanentes Fortalecimiento Emprendedores</t>
  </si>
  <si>
    <t>73.06.13.003</t>
  </si>
  <si>
    <t>Actividades didacticas Infocentros Capacitaciones usuarios</t>
  </si>
  <si>
    <t>84.01.07.000</t>
  </si>
  <si>
    <t>Equipos sistemas y paquetes informaticos GAD</t>
  </si>
  <si>
    <t>8.40.10.4.002</t>
  </si>
  <si>
    <t>EQUIPOS HERRAMIENTAS DIRECCION AGUA POTABLE ALCANTARILLADO</t>
  </si>
  <si>
    <t>8.4.01.04.002</t>
  </si>
  <si>
    <t>DRONE PROFESIONAL KIT GNSS CARTOGRAFIA CATASTRO GAD</t>
  </si>
  <si>
    <t>Actualizacion Catastro</t>
  </si>
  <si>
    <t>8.4.01.04.001</t>
  </si>
  <si>
    <t>EQUIPOS COMUNICACIONALES GAD MUNICIPAL CANTON MONTECRISTI</t>
  </si>
  <si>
    <t>84.01.04.001</t>
  </si>
  <si>
    <t>Maquinarias y Equipos — Dron catastro</t>
  </si>
  <si>
    <t>53.06.09.001</t>
  </si>
  <si>
    <t>Reconstruccion plazas y parques Canton Montecristi</t>
  </si>
  <si>
    <t>Parques y Areas Verdes</t>
  </si>
  <si>
    <t>53.06.09.005</t>
  </si>
  <si>
    <t>Parque Las Pampas diseño y construccion Fase I</t>
  </si>
  <si>
    <t>53.08.01.001</t>
  </si>
  <si>
    <t>Repuestos maquinaria pesada mantenimiento vial</t>
  </si>
  <si>
    <t>84.01.09.001</t>
  </si>
  <si>
    <t>Plataforma ciudadana en linea WiFi publico digital</t>
  </si>
  <si>
    <t>53.06.01.001</t>
  </si>
  <si>
    <t>Construccion mejoramiento infraestructura relleno sanitario</t>
  </si>
  <si>
    <t>75.05.05.001</t>
  </si>
  <si>
    <t>Construccion Colector Principal PTAR Montecristi y San Andres</t>
  </si>
  <si>
    <t>Planta Oxidacion / PTAR</t>
  </si>
  <si>
    <t>53.05.05.000</t>
  </si>
  <si>
    <t>Vehiculos — Arriendo y Mantenimiento GAD</t>
  </si>
  <si>
    <t>53.05.02.000</t>
  </si>
  <si>
    <t>Edificios Locales Residencias Arrendamiento GAD</t>
  </si>
  <si>
    <t>53.04.03.000</t>
  </si>
  <si>
    <t>Mobiliarios Instalacion Mantenimiento Reparacion</t>
  </si>
  <si>
    <t>53.02.07.000</t>
  </si>
  <si>
    <t>Difusion informacion publicidad institucional GAD</t>
  </si>
  <si>
    <t>53.01.06.000</t>
  </si>
  <si>
    <t>Servicios de Correo GAD Municipal</t>
  </si>
  <si>
    <t>53.01.01.001</t>
  </si>
  <si>
    <t>Servicios basicos agua luz GAD Municipal</t>
  </si>
  <si>
    <t>53.01.04.001</t>
  </si>
  <si>
    <t>Telecomunicaciones internet institucional GAD</t>
  </si>
  <si>
    <t>53.01.05.001</t>
  </si>
  <si>
    <t>Edificio almacenamiento GAD Municipal</t>
  </si>
  <si>
    <t>53.02.04.001</t>
  </si>
  <si>
    <t>Edicion impresion reproduccion publicaciones</t>
  </si>
  <si>
    <t>53.03.03.001</t>
  </si>
  <si>
    <t>Viaticos subsistencias al Interior GAD</t>
  </si>
  <si>
    <t>53.06.03.001</t>
  </si>
  <si>
    <t>Mantenimiento reparacion edificios locales</t>
  </si>
  <si>
    <t>53.06.05.001</t>
  </si>
  <si>
    <t>Mantenimiento reparacion vehiculos GAD</t>
  </si>
  <si>
    <t>53.08.04.001</t>
  </si>
  <si>
    <t>Materiales de aseo y limpieza institucional</t>
  </si>
  <si>
    <t>71.05.10.001</t>
  </si>
  <si>
    <t>Servicios personales por contrato personal GAD</t>
  </si>
  <si>
    <t>71.02.03.001</t>
  </si>
  <si>
    <t>Decimo tercer sueldo personal GAD Municipal</t>
  </si>
  <si>
    <t>71.02.04.001</t>
  </si>
  <si>
    <t>Decimo cuarto sueldo personal GAD Municipal</t>
  </si>
  <si>
    <t>84.02.03.001</t>
  </si>
  <si>
    <t>Maquinaria pesada Retroexcavadora equipo caminero GAD</t>
  </si>
  <si>
    <t>B300.320.73085</t>
  </si>
  <si>
    <t>ADQUISICION INSUMOS LIMPIEZA Y CHALECOS TRABAJO OPERATIVO</t>
  </si>
  <si>
    <t>A100.110.73080</t>
  </si>
  <si>
    <t>EQUIPOS PROTECCION PERSONAL REGIMEN CODIGO TRABAJO GAD</t>
  </si>
  <si>
    <t>LICENCIAMIENTO Y ADQUISICION LICENCIAS VEHICULOS SANITARIOS</t>
  </si>
  <si>
    <t>Unidad Medica Movil</t>
  </si>
  <si>
    <t>DOCTRINAS ACTUALIZADAS REFERENTES EVOLUCION DEL DERECHO</t>
  </si>
  <si>
    <t>EQUIPOS INFORMATICOS DIRECCIONES Y JEFATURAS GAD MONTECRISTI</t>
  </si>
  <si>
    <t>EQUIPOS TRANSMISION TRABAJOS TECNICOS GOBIERNO MUNICIPAL</t>
  </si>
  <si>
    <t>REPUESTOS ACCESORIOS EQUIPOS INFORMATICOS GAD</t>
  </si>
  <si>
    <t>HERRAMIENTAS NO DEPRECIABLE MANTENIMIENTO SEMAFORIZACION</t>
  </si>
  <si>
    <t>ADQUISICION CAMIONETAS 4x4 PARA PROPIEDAD MUNICIPAL GAD</t>
  </si>
  <si>
    <t>EQUIPOS LABORATORIO QUIMICO CALIDAD AGUA POTABLE RESIDUALES</t>
  </si>
  <si>
    <t>EQUIPOS Y MOBILIARIOS EQUIPAMIENTO GAD MUNICIPAL</t>
  </si>
  <si>
    <t>MOBILIARIOS PARA TALLERES DE MAQUILLAJE</t>
  </si>
  <si>
    <t>MOTO GUADAÑAS MOTO CIERRA HERRAMIENTAS MANTENIMIENTO PARQUES</t>
  </si>
  <si>
    <t>MAQUINARIA PESADA EQUIPO CAMINERO GAD MONTECRISTI</t>
  </si>
  <si>
    <t>COMBUSTIBLES LUBRICANTES MAQUINARIA GAD MUNICIPAL</t>
  </si>
  <si>
    <t>MATERIALES CONSTRUCCION REPOTENCIACION PARQUES ESPACIOS PUBLICOS</t>
  </si>
  <si>
    <t>MATERIALES OBRAS CIVILES BORDILLOS CUNETAS VIAS</t>
  </si>
  <si>
    <t>EQUIPOS MONITOREOS AMBIENTALES CONCESIONES MINERAS CANTON</t>
  </si>
  <si>
    <t>EQUIPOS OPERATIVOS SISTEMAS DE AGUA CANTON MONTECRISTI</t>
  </si>
  <si>
    <t>CARPAS EVENTOS PROPIOS DIRECCION GAD Municipal</t>
  </si>
  <si>
    <t>EQUIPOS Y MOBILIARIOS GAD MUNICIPAL</t>
  </si>
  <si>
    <t>ADQUISICION Y ADECUACION DE CONTENEDORES</t>
  </si>
  <si>
    <t>BECAS SUBSIDIOS A LAS CERTIFICACIONES ARTESANALES</t>
  </si>
  <si>
    <t>POLIZAS SEGUROS INCENDIO ROBO EQUIPOS ELECTRONICOS VEHICULOS</t>
  </si>
  <si>
    <t>CONSTRUCCION REDES AGUA POTABLE SECTORES RURALES CANTON</t>
  </si>
  <si>
    <t>SUMINISTROS TUBERIA AGUA POTABLE SECTORES RURALES</t>
  </si>
  <si>
    <t>OPERACION MANTENIMIENTO POTABILIZACION AGUAS CANTON</t>
  </si>
  <si>
    <t>CONSTRUCCION SISTEMA AGUA POTABLE SECTORES Y PARROQUIAS</t>
  </si>
  <si>
    <t>PAVIMENTACION Y MEJORAMIENTO VIAS URBANAS RURALES CANTON</t>
  </si>
  <si>
    <t>REHABILITACION VIAS CDLAS CANTON MONTECRISTI SECTORES</t>
  </si>
  <si>
    <t>RECONSTRUCCION ANILLO VIAL SECTORES CANTON MONTECRISTI</t>
  </si>
  <si>
    <t>MANTENIMIENTO VIAS CANTONAL CANTON MONTECRISTI</t>
  </si>
  <si>
    <t>BACHEO Y MANTENIMIENTO VIAS URBANAS CANTON</t>
  </si>
  <si>
    <t>MANTENIMIENTO REDES ELECTRICAS ALUMBRADO PUBLICO</t>
  </si>
  <si>
    <t>MANTENIMIENTO MEJORAMIENTO INFRAESTRUCTURA VIAL RURAL</t>
  </si>
  <si>
    <t>CONSTRUCCION BORDILLOS Y CUNETAS CANTON MONTECRISTI</t>
  </si>
  <si>
    <t>CONSTRUCCION Y MEJORAMIENTO PARQUE LAS PAMPAS FASE I</t>
  </si>
  <si>
    <t>REHABILITACION ESPACIOS PUBLICOS PLAZAS Y PARQUES</t>
  </si>
  <si>
    <t>SEÑALES VIALES SEÑALETICA HORIZONTAL VERTICAL CANTON</t>
  </si>
  <si>
    <t>MEJORAMIENTO SISTEMA AGUA POTABLE LOS MANGOS SECTORES RURALES</t>
  </si>
  <si>
    <t>CAPACITACIONES CURSOS ARTESANALES EMPRENDEDORES CANTON</t>
  </si>
  <si>
    <t>CENTRO CAPACITACIONES PERMANENTES EMPRENDEDORES</t>
  </si>
  <si>
    <t>ACTIVIDADES DIDACTICAS INFOCENTROS CAPACITACIONES USUARIOS</t>
  </si>
  <si>
    <t>PROGRAMA CULTURAL RECREATIVO GRUPOS VULNERABLES ADULTOS MAYORES</t>
  </si>
  <si>
    <t>SISTEMA ERP GESTION SERVICIOS PLATAFORMA DIGITAL GAD</t>
  </si>
  <si>
    <t>MANTENIMIENTO SOFTWARE Y SISTEMAS INFORMATICOS GAD</t>
  </si>
  <si>
    <t>LICENCIAS SOFTWARE INSTITUCIONAL GAD MONTECRISTI</t>
  </si>
  <si>
    <t>SERVICIOS INTERNET CONECTIVIDAD WIFI PUBLICO GAD</t>
  </si>
  <si>
    <t>DRONE PROFESIONAL KIT GNSS PRECISION CARTOGRAFIA CATASTRO</t>
  </si>
  <si>
    <t>MAQUINARIAS Y EQUIPOS CATASTRO ACTUALIZACION CANTON</t>
  </si>
  <si>
    <t>SISTEMA INFORMACION GEOGRAFICA SIG CATASTRO MUNICIPAL</t>
  </si>
  <si>
    <t>ACTUALIZACION BASE CATASTRAL LIDAR CANTON MONTECRISTI</t>
  </si>
  <si>
    <t>EQUIPOS COMUNICACIONALES CATASTRO Y PLANIFICACION GAD</t>
  </si>
  <si>
    <t>EQUIPOS Y HERRAMIENTAS OPERATIVAS CATASTRO CANTON</t>
  </si>
  <si>
    <t>MOBILIARIOS Y EQUIPOS OFICINA CATASTRO GAD</t>
  </si>
  <si>
    <t>MATERIALES Y EQUIPOS LEVANTAMIENTO CATASTRAL RURAL</t>
  </si>
  <si>
    <t>EQUIPOS LABORATORIO AMBIENTAL Y MONITOREO CALIDAD AGUA</t>
  </si>
  <si>
    <t>AMPLIACION SISTEMA AGUA POTABLE SECTORES PERIURBANOS</t>
  </si>
  <si>
    <t>CONSTRUCCION RESERVORIOS RURALES CANTON MONTECRISTI</t>
  </si>
  <si>
    <t>CONSTRUCCION ALCANTARILLADO SANITARIO SECTORES CANTON</t>
  </si>
  <si>
    <t>AMPLIACION RED ALCANTARILLADO SANITARIO BARRIOS CANTON</t>
  </si>
  <si>
    <t>ATENCION ADULTO MAYOR Y GRUPOS VULNERABLES CENTROS APOYO</t>
  </si>
  <si>
    <t>Equipamiento Geriatrico</t>
  </si>
  <si>
    <t>DESARROLLO ACTIVIDADES CULTURALES Y DEPORTIVAS CANTON</t>
  </si>
  <si>
    <t>CONSTRUCCION COLECTOR PRINCIPAL Y PTAR MONTECRISTI</t>
  </si>
  <si>
    <t>INICIO PROCESO REGULARIZACION RELLENO SANITARIO MAATE</t>
  </si>
  <si>
    <t>MEJORAMIENTO AGUA POTABLE BDE-PROGAPSA INFRA CANTON</t>
  </si>
  <si>
    <t>ALCANTARILLADO PAOLA 1 PAOLA 2 ANTONELLA EL PADRINO COLORADO</t>
  </si>
  <si>
    <t>PROYECTO ECOTURISTICO MANGLAR VIVO PLAYA SAN JOSE</t>
  </si>
  <si>
    <t>Proyecto Playa San Jose</t>
  </si>
  <si>
    <t>REDES DISTRIBUCION AGUA POTABLE SECTORES CANTON</t>
  </si>
  <si>
    <t>MANTENIMIENTO SISTEMA VIAL Y OBRAS CANTON MONTECRISTI</t>
  </si>
  <si>
    <t>MANTENIMIENTO AREAS VERDES PARQUES Y ESPACIOS PUBLICOS</t>
  </si>
  <si>
    <t>CONSULTORIAS ESTUDIOS Y DISEÑOS CANTON MONTECRISTI</t>
  </si>
  <si>
    <t>ASESORIA Y ESTUDIOS ESPECIALIZADOS GAD MUNICIPAL</t>
  </si>
  <si>
    <t>MANTENIMIENTO Y REPARACION EQUIPOS INFORMATICOS TIC</t>
  </si>
  <si>
    <t>01.01.01.A100</t>
  </si>
  <si>
    <t>Arrendamiento edificio GAD Municipal</t>
  </si>
  <si>
    <t>🔷 RESUMEN PAC POR META PDOT · Confirma PAC ✓ = 1 en MAD col S · Vinculación oficial por partida presupuestaria</t>
  </si>
  <si>
    <t>ÍTEMS PAC 2023</t>
  </si>
  <si>
    <t>VALOR PAC 2023 ($)</t>
  </si>
  <si>
    <t>ÍTEMS PAC 2024</t>
  </si>
  <si>
    <t>VALOR PAC 2024 ($)</t>
  </si>
  <si>
    <t>Central Monitoreo / Camaras</t>
  </si>
  <si>
    <t>Pi×Ri×Vi×Ti</t>
  </si>
  <si>
    <t>Σ TOTAL</t>
  </si>
  <si>
    <t>⬡ SECCIÓN MELÓGICA</t>
  </si>
  <si>
    <t>📋 MARCO LEGAL — SIAP-ICPI §3.7 (algoritmo ICPI) · §3.4 (Vi) · §3.5 (Ti) · §3.6 (Ci) · COOTAD Art.295 · SNPD-2023 (evaluación PDOT) · Plan Bicentenario Ecuador 2023–2027</t>
  </si>
  <si>
    <t>ICPI TOTAL</t>
  </si>
  <si>
    <t>SIAP-ICPI ©</t>
  </si>
  <si>
    <t>◆ RESULTADOS ◆ Resultados y Hallazgos SIAP-ICPI · SIAP-ICPI</t>
  </si>
  <si>
    <t>Suma Denominador · ∑(Pi × Ri)</t>
  </si>
  <si>
    <t>▶ ICPI FINAL · §3.5 SIAP-ICPI</t>
  </si>
  <si>
    <t>Categoría · Clasificación ICPI</t>
  </si>
  <si>
    <t>Interpretación Técnica · §3.8 SIAP-ICPI</t>
  </si>
  <si>
    <t>Brecha vs Meta PDOT 2027 · §3.6 · UAP</t>
  </si>
  <si>
    <t>🔷 INTERPRETACIÓN ICPI · Categoría: Transición Crítica (40-55%) · Análisis por eje · Recomendaciones</t>
  </si>
  <si>
    <t>85 – 100%</t>
  </si>
  <si>
    <t>🔵 ████</t>
  </si>
  <si>
    <t>EXCELENCIA</t>
  </si>
  <si>
    <t>Cumplimiento total de las metas PDOT. Plena fidelidad al Plan Bicentenario 2023-2027. Todas las metas ejecutadas con verificación documental completa. Modelo de gestión pública ejemplar.</t>
  </si>
  <si>
    <t>70 – 84,99%</t>
  </si>
  <si>
    <t>🟢 ████</t>
  </si>
  <si>
    <t>GESTIÓN POR MANDATO</t>
  </si>
  <si>
    <t>Alta fidelidad programática y congruencia técnica. Las metas del PDOT se materializan en contratación y ejecución verificada. Ti≥70% · Trazabilidad documental sólida.</t>
  </si>
  <si>
    <t>40 – 69,99%</t>
  </si>
  <si>
    <t>🟠 ████</t>
  </si>
  <si>
    <t>="TRANSICIÓN CRÍTICA ◄ GAD MONTECRISTI "&amp;TEXT('E1-ICPI'!G28,"0,00%")</t>
  </si>
  <si>
    <t>="Cumplimiento parcial · Mezcla de mandato y ocurrencia · Trazabilidad documental insuficiente · RESULTADO GAD MONTECRISTI: "&amp;TEXT('E1-ICPI'!G28,"0,00%")&amp;" — §3.4 Regularización urgente"</t>
  </si>
  <si>
    <t>20 – 39,99%</t>
  </si>
  <si>
    <t>🔴 ████</t>
  </si>
  <si>
    <t>GESTIÓN POR OCURRENCIA</t>
  </si>
  <si>
    <t>Desconexión programática severa. Gestión reactiva al contexto diario. Metas sin seguimiento sistemático. Riesgo de impugnación ciudadana y observación de organismos de control.</t>
  </si>
  <si>
    <t>0 – 19,99%</t>
  </si>
  <si>
    <t>⬛ ████</t>
  </si>
  <si>
    <t>RUPTURA TOTAL</t>
  </si>
  <si>
    <t>Inexistencia de gestión técnica programática. Opacidad administrativa. Fragmentación sistémica. Sin evidencia documental. Incumplimiento total de las metas PDOT.</t>
  </si>
  <si>
    <t>📍 SECCIÓN B — RESULTADO APLICADO AL GAD Montecristi 2023 · Posicionamiento en la escala · §3.6–§3.8</t>
  </si>
  <si>
    <t>MÉTRICA</t>
  </si>
  <si>
    <t>VALOR</t>
  </si>
  <si>
    <t>CATEGORÍA ASIGNADA</t>
  </si>
  <si>
    <t>IMPLICACIÓN TÉCNICA / ACCIÓN</t>
  </si>
  <si>
    <t>ICPI CALCULADO · GAD Montecristi 2024</t>
  </si>
  <si>
    <t>TRANSICIÓN CRÍTICA</t>
  </si>
  <si>
    <t>META PDOT 2027 (benchmark primario)</t>
  </si>
  <si>
    <t>BRECHA ICPI vs Meta PDOT 2027 · UAP · §3.6</t>
  </si>
  <si>
    <t>ICPI POTENCIAL · Con regularización Vi=0 · §3.4</t>
  </si>
  <si>
    <t>NIVEL 2</t>
  </si>
  <si>
    <t>🎨 SECCIÓN C — PALETA CANÓNICA INAMOVIBLE · SIAP-ICPI §3.7 p.17 · ⚠️ PROHIBIDO MODIFICAR COLORES — REFERENCIA Única MAESTRA PARA TODAS LAS PESTANAS DEL INSTRUMENTO · bg / texto / borde son INMUTABLES</t>
  </si>
  <si>
    <t>NIVEL (§3.7)</t>
  </si>
  <si>
    <t>RANGO ICPI (§3.7 p.17)</t>
  </si>
  <si>
    <t>COLOR SEMÁFORO</t>
  </si>
  <si>
    <t>bg / texto / borde — EXACTOS ⚠️ INAMOVIBLES</t>
  </si>
  <si>
    <t>APLICA EN (REFERENCIA MAESTRA)</t>
  </si>
  <si>
    <t>1 — EXCELENCIA</t>
  </si>
  <si>
    <t>🔵 AZUL</t>
  </si>
  <si>
    <t>bg: #0D1F3C · texto: #4FC3F7 · borde: #0070C0</t>
  </si>
  <si>
    <t>DASHBOARD · RESUMEN · EJES Niv.1 · SENSI escenario óptimo · EDS · ALERTAS</t>
  </si>
  <si>
    <t>2 — GESTIÓN POR MANDATO</t>
  </si>
  <si>
    <t>🟢 VERDE</t>
  </si>
  <si>
    <t>bg: #071A0A · texto: #00E676 · borde: #00B050</t>
  </si>
  <si>
    <t>PDOT Vi=1 Ti≥70% · MVCI congruente · SENSI potencial · BRECHA Ti&lt;umbral · EDS · ALERTAS</t>
  </si>
  <si>
    <t>3 — TRANSICIÓN CRÍTICA ◄ GAD MONTECRISTI</t>
  </si>
  <si>
    <t>4 — GESTIÓN POR OCURRENCIA</t>
  </si>
  <si>
    <t>🔴 ROJO</t>
  </si>
  <si>
    <t>bg: #1A0000 · texto: #FF1744 · borde: #FF0000</t>
  </si>
  <si>
    <t>BRECHA brechas graves · MVCI Vi=0 parcial · POA urgencia ALTA · BI discrepancia grave · ALERTAS</t>
  </si>
  <si>
    <t>5 — RUPTURA TOTAL</t>
  </si>
  <si>
    <t>🔷 CONSISTENCIA INTERNA · Controles: PDOT-PONDER-MAD-ICPI · Alertas de discrepancia</t>
  </si>
  <si>
    <t>Numerador · Σ(Pi × Ri × Vi × Ei × Ti × Ci)</t>
  </si>
  <si>
    <t>Denominador · Σ(Pi × Ri)</t>
  </si>
  <si>
    <t>Suma total del potencial máximo de todas las metas (sin restricción Vi). Normaliza el ICPI a escala 0–1. Fórmula: Σ(Pi·Ri) §3.7</t>
  </si>
  <si>
    <t>ICPI FINAL · Resultado del Algoritmo · §3.7</t>
  </si>
  <si>
    <t>🔍 SECCIÓN B — VERIFICACIÓN CRUZADA (SENTIDO COMÚN) · Comprobaciones indes del ICPI · §3.4–§3.5</t>
  </si>
  <si>
    <t>VARIABLE DE CONTROL</t>
  </si>
  <si>
    <t>HALLAZGO</t>
  </si>
  <si>
    <t>INTERPRETACIÓN / IMPLICACIÓN</t>
  </si>
  <si>
    <t>Metas con Evidencia Documental (Vi = 1)</t>
  </si>
  <si>
    <t>Inversión con Trazabilidad (Vi = 1)</t>
  </si>
  <si>
    <t>Metas Completadas (Vi=1 · Ti=1)</t>
  </si>
  <si>
    <t>Metas con Evidencia Parcial (Vi=1 · Ti&lt;1)</t>
  </si>
  <si>
    <t>Metas Sin Evidencia Documental (Vi = 0)</t>
  </si>
  <si>
    <t>Avance Prom. Ejecución (Ti · solo Vi=1)</t>
  </si>
  <si>
    <t>Consistencia Numerador/Denominador</t>
  </si>
  <si>
    <t>📋 SECCIÓN C — INTERPRETACIÓN FINAL DEL ICPI · Diagnóstico sistémico · §3.8 SIAP-ICPI</t>
  </si>
  <si>
    <t>📊 NIVEL ICPI · Categoría del resultado</t>
  </si>
  <si>
    <t>📋 DESGLOSE DE LAS 20 METAS PDOT · Estado documental</t>
  </si>
  <si>
    <t>🔴 BRECHA ICPI vs Meta PDOT 2027 · UAP §3.6 · Umbral de Alerta Programática</t>
  </si>
  <si>
    <t>⚡ ACCIÓN DE MAYOR IMPACTO · POA 2025</t>
  </si>
  <si>
    <t>✅ SECCIÓN D — CONCLUSIONES DE CONSISTENCIA · Tres hallazgos principales · §3.7–§3.9</t>
  </si>
  <si>
    <t>CONSISTENCIA INTERNA ✅ — Numerador y denominador verificados · §3.7</t>
  </si>
  <si>
    <t>ALERTA CRÍTICA — 40% metas sin trazabilidad documental (Vi=0) · §3.4</t>
  </si>
  <si>
    <t>Ti ACTUAL</t>
  </si>
  <si>
    <t>BRECHA Ti</t>
  </si>
  <si>
    <t>RIESGO</t>
  </si>
  <si>
    <t>DIAGNÓSTICO</t>
  </si>
  <si>
    <t>MÍNIMA</t>
  </si>
  <si>
    <t>CONGRUENTE</t>
  </si>
  <si>
    <t>Alcantarillado · Ti=75% vs Meta 100% 2027 · Brecha -25pp. Activar contrato BDE-PROGAPSA Fase I en POA 2025.</t>
  </si>
  <si>
    <t>CRÍTICA</t>
  </si>
  <si>
    <t>DISCREPANCIA</t>
  </si>
  <si>
    <t>🚨 Centro Salud Tipo C · Vi=0 · Ti=15% vs Meta 100% 2027 · Brecha crítica -85pp. Firmar convenio MSP + SERCOP urgente.</t>
  </si>
  <si>
    <t>GRAVE</t>
  </si>
  <si>
    <t>Terminal Terrestre · Ti=45% vs Meta 100% 2027 · Brecha -55pp. Incluir estudios factibilidad en POA 2025 con SERCOP.</t>
  </si>
  <si>
    <t>🚨 Camal Municipal · Vi=0, Ti=0 · Brecha -100pp vs Meta 2027. Levantar informe viabilidad técnica urgente.</t>
  </si>
  <si>
    <t>✅ Geriátrico · Ti=100% · Meta PDOT cumplida. Incluir operación recurrente en POA 2025; vincular indicador PDOT.</t>
  </si>
  <si>
    <t>LEVE</t>
  </si>
  <si>
    <t>Bacheo/Vialidad · Ti=90% vs Meta 100% 2027 · Brecha -10pp. Establecer meta km en POA 2025; vincular indicador IE.</t>
  </si>
  <si>
    <t>🚨 Unidad Médica · Vi=0 · Ti=50% vs Meta 100% 2027 · Brecha -50pp. Registrar vehículo SERCOP; contrato formal.</t>
  </si>
  <si>
    <t>PTAR · Ti=40% vs Meta 100% 2027 · Brecha -60pp. Gestionar financiamiento no reembolsable PTAR en POA 2025.</t>
  </si>
  <si>
    <t>Parques/Áreas Verdes · Ti=50% vs Meta 100% 2027 · Brecha -50pp. Diseño + obra Parque Pampas Fase I en POA 2025.</t>
  </si>
  <si>
    <t>🚨 Guarderías · Vi=0, Ti=0 · Brecha -100pp vs Meta 2027. Reformular como programa protección; convenio MIES urgente.</t>
  </si>
  <si>
    <t>Planta Desechos · Ti=30% vs Meta 100% 2027 · Brecha -70pp. Proceso MAATE regularización en POA 2025.</t>
  </si>
  <si>
    <t>NULA</t>
  </si>
  <si>
    <t>✅ Maquinaria · Ti=100% · Meta PDOT cumplida. Programar mantenimiento preventivo; vincular km al indicador IE PDOT.</t>
  </si>
  <si>
    <t>🚨 CCTV · Vi=0 · Ti=20% vs Meta 100% 2027 · Brecha -80pp. Registrar CCTV en SERCOP; emitir certificación técnica.</t>
  </si>
  <si>
    <t>MODERADA</t>
  </si>
  <si>
    <t>Digitalización · Ti=70% vs Meta 55% aceptación · ✅ Supera meta relativa 2027. Completar WiFi público en POA 2025.</t>
  </si>
  <si>
    <t>✅ Catastro · Ti=100% · Meta PDOT cumplida. Alimentar SIL con datos LIDAR; vincular catastro al sistema cobros.</t>
  </si>
  <si>
    <t>Albergue Fauna · Ti=35% vs Meta 100% 2027 · Brecha -65pp. Expediente Premio Verde BDE; incluir en Manglar Vivo.</t>
  </si>
  <si>
    <t>Playa San José · Ti=30% vs Meta 100% 2027 · Brecha -70pp. Postulación Premio Verde BDE; convenio MINTUR POA 2025.</t>
  </si>
  <si>
    <t>✅ Señalética · Ti=100% · Meta PDOT cumplida. Vincular km CUP al indicador PDOT; programar mantenimiento.</t>
  </si>
  <si>
    <t>Reservorios Agua · Ti=25% vs Meta 10% 2027 · ✅ Ti supera meta relativa. Diseño definitivo reservorios rurales POA 2025.</t>
  </si>
  <si>
    <t>Σ PROMEDIO · n=20</t>
  </si>
  <si>
    <t>BRECHA GLOBAL</t>
  </si>
  <si>
    <t>ICPI actual vs Meta PDOT 2027 → Brecha promedio calculada. 5 metas ya cumplidas. 4 con brecha crítica (Vi=0, Ti=0).</t>
  </si>
  <si>
    <t>📊 SECCIÓN B — CLASIFICACIÓN DE BRECHAS POR MAGNITUD · Semáforo de Integridad ICPI vs Meta PDOT 2027 · §3.6 SIAP-ICPI</t>
  </si>
  <si>
    <t>📊 SECCIÓN B — CLASIFICACIÓN DE BRECHAS POR MAGNITUD · ICPI vs Meta PDOT 2027 · §3.6 SIAP-ICPI</t>
  </si>
  <si>
    <t>ACCIÓN POA 2025</t>
  </si>
  <si>
    <t>✅ CONGRUENTE / NULA</t>
  </si>
  <si>
    <t>ICPI ≈ Meta PDOT (|Δ| ≤ 10 pp). Meta casi cumplida al 2027.</t>
  </si>
  <si>
    <t>−0.02 pp</t>
  </si>
  <si>
    <t>TER-01 · INS-05 · TER-18 · SOC-03 · TER-03</t>
  </si>
  <si>
    <t>RECOMENDACIÓN POA 2025</t>
  </si>
  <si>
    <t>✅ EN CAMINO</t>
  </si>
  <si>
    <t>Ti ≥ Meta PDOT 2027 (Δ ≥ 0). Avance supera o iguala la meta comprometida</t>
  </si>
  <si>
    <t>TER-01 · INS-05 · TER-18 · SOC-03 · TER-14</t>
  </si>
  <si>
    <t>✅ Mantener ritmo — buenas prácticas replicables</t>
  </si>
  <si>
    <t>🟡 REZAGO LEVE</t>
  </si>
  <si>
    <t>Ti entre 70-99% de Meta PDOT (Δ −1 a −30pp). En camino pero requiere acelerar</t>
  </si>
  <si>
    <t>TER-03 · TER-02 · INS-03</t>
  </si>
  <si>
    <t>⚡ Plan aceleración — incluir hitos trimestrales en POA 2025</t>
  </si>
  <si>
    <t>🟠 REZAGO GRAVE</t>
  </si>
  <si>
    <t>Ti entre 20-69% de Meta PDOT (Δ −31 a −80pp). Riesgo real de no cumplir al 2027</t>
  </si>
  <si>
    <t>AMB-07 · TER-05 · SOC-08 · ECO-12 · AMB-08 · TER-09 · TER-15 · SOC-07</t>
  </si>
  <si>
    <t>🔴 Auditoría y plan recuperación — priorizar en POA 2025 con recursos específicos</t>
  </si>
  <si>
    <t>🔴 CRÍTICO</t>
  </si>
  <si>
    <t>Ti = 0 o Vi=0 · Meta PDOT 2027 = 100% · Brecha −100pp. Sin inicio real</t>
  </si>
  <si>
    <t>SOC-02 · TER-10 · SOC-04 · SOC-15</t>
  </si>
  <si>
    <t>🚨 URGENTE — Inicio proceso formal · Convenios · SERCOP · Auditoría documental</t>
  </si>
  <si>
    <t>🔷 VARIABLES CONTROL Ei · n=20 metas · Ei pondera factores de contexto institucional</t>
  </si>
  <si>
    <t>PRESUP. ($)</t>
  </si>
  <si>
    <t>Ri×Pi</t>
  </si>
  <si>
    <t>Pi NORM.</t>
  </si>
  <si>
    <t>CONTROL Ei</t>
  </si>
  <si>
    <t>Ci ESTADO</t>
  </si>
  <si>
    <t>CONGRUENTE ✓ — Alcantarillado BEI-PROGAPSA. Ti=0.75. RDC 2023+2024 verificado §3.4</t>
  </si>
  <si>
    <t>⚠ Vi=0 — Centro Salud Tipo C. Sin convenio MSP. CRÍTICO: +20.6 pp potencial §3.4</t>
  </si>
  <si>
    <t>CONGRUENTE ✓ — Terminal Terrestre. Vi=1 RDC 2023. Ti=0.45 requiere seguimiento §3.4</t>
  </si>
  <si>
    <t>⚠ Vi=0 — Camal Municipal. DESPRIORITIZADO (RDC 2024 p.3). Erosión del compromiso §3.4</t>
  </si>
  <si>
    <t>CONGRUENTE ✓ — Geriátrico CDBV. Ti=1.0 COMPLETADO. Vi=1 facturas verificadas §3.4</t>
  </si>
  <si>
    <t>CONGRUENTE ✓ — Bacheo/Vialidad. Ti=0.90. Cédula Presup. GAD + SERCOP verificados §3.4</t>
  </si>
  <si>
    <t>⚠ Vi=0 — Unidad Médica Móvil. Sin OC vehículo. RDC evidencia servicio no el bien §3.4</t>
  </si>
  <si>
    <t>CONGRUENTE ✓ — PTAR Ambiental. Vi=1 licencia MAATE. Ti=0.40 financiamiento §3.4</t>
  </si>
  <si>
    <t>CONGRUENTE ✓ — Parques/Áreas Verdes. Ti=0.50. Vi=1 registro acta inicio §3.4</t>
  </si>
  <si>
    <t>⚠ Vi=0 — Guarderías Nocturnas. Sin convenio MIES. Ti=0. Programa inexistente §3.4</t>
  </si>
  <si>
    <t>CONGRUENTE ✓ — Planta Desechos. Vi=1 cert. operativa. Ti=0.30 relleno sin regularizar §3.4</t>
  </si>
  <si>
    <t>CONGRUENTE ✓ — Maquinaria PAC 2024. Ti=1.0 COMPLETADO. Vi=1 acta recepción §3.4</t>
  </si>
  <si>
    <t>⚠ Vi=0 — CCTV. Sin registro SERCOP formal (alarmas ≠ cámaras RDC 2024 p.3). Ti=0.20 §3.4</t>
  </si>
  <si>
    <t>CONGRUENTE ✓ — Digitalización/TICs. Vi=1 SIGAD. Ti=0.70. Plataforma ciudadana §3.4</t>
  </si>
  <si>
    <t>CONGRUENTE ✓ — Catastro. Ti=1.0 COMPLETADO. SIGAD/Informes verificados §3.4</t>
  </si>
  <si>
    <t>CONGRUENTE ✓ — Fauna Urbana. Vi=1 CERT.Nº017-2024. Ti=0.35 albergue parcial §3.4</t>
  </si>
  <si>
    <t>CONGRUENTE ✓ — Playa San José. Vi=1 cert. ambiental 25/03/2024. Ti=0.30 ecoturismo parcial</t>
  </si>
  <si>
    <t>CONGRUENTE ✓ — Señalética/Embellecimiento. Ti=1.0 COMPLETADO. Vi=1 ord.trabajo/factura §3.4</t>
  </si>
  <si>
    <t>CONGRUENTE ✓ — Reservorios de Agua. Vi=1 estudios oct.2024. Ti=0.25 obra en proceso §3.4</t>
  </si>
  <si>
    <t>Σ TOTAL · n=20</t>
  </si>
  <si>
    <t>✅ 17 CONGRUENTES · ⚠ 3 INCONSISTENCIAS · §3.7</t>
  </si>
  <si>
    <t>🔍 SECCIÓN B — RESUMEN DE COHERENCIA INTERNA · Clasificación por estado Vi/Ti · §3.4 SIAP-ICPI</t>
  </si>
  <si>
    <t>DESCRIPCIÓN / CRITERIO</t>
  </si>
  <si>
    <t>% PRESUP.</t>
  </si>
  <si>
    <t>ICPI CONTRIB.</t>
  </si>
  <si>
    <t>✅ Vi=1 CONGRUENTE</t>
  </si>
  <si>
    <t>Metas con verificacion documental completa (actas, informes, evidencias fisicas §3.4). Pi×Ri×Vi&gt;0 — contribuyen positivamente al ICPI</t>
  </si>
  <si>
    <t>Ver ICPI!G30</t>
  </si>
  <si>
    <t>Mantener trazabilidad y partidas POA 2025 · Escalar buenas prácticas INS-03/05 a otros ejes</t>
  </si>
  <si>
    <t>🔴 Vi=0 CRÍTICO</t>
  </si>
  <si>
    <t>Sin verificacion formal (Vi=0): Pi×Ri×Vi=0 → anula contribucion al ICPI §3.4. 5 metas (SOC-02, TER-10, SOC-07, SOC-04, SOC-15) sin trazabilidad oficial</t>
  </si>
  <si>
    <t>Potencial recuperacion ICPI</t>
  </si>
  <si>
    <t>Regularizar documentacion §3.4 urgente · SOC-02 prioritario (mayor peso) · TER-10 y SOC-07 urgentes</t>
  </si>
  <si>
    <t>— Sin inconsistencias</t>
  </si>
  <si>
    <t>SOC-08, ECO-12, TER-15 reclasificadas como Vi=1 en (PDOT). Certificaciones y evidencias aceptadas. Sin inconsistencias vigentes.</t>
  </si>
  <si>
    <t>N/A</t>
  </si>
  <si>
    <t>Sin accion requerida — reclasificacion validada §3.9</t>
  </si>
  <si>
    <t>🔵 TERRITORIAL</t>
  </si>
  <si>
    <t>🔴 SOCIAL</t>
  </si>
  <si>
    <t>⚠️ CRÍTICO — 11.95% peor resultado de s los ejes. Concentra mayor proporción Vi=0 (SOC-02, SOC-07, SOC-04, SOC-15). Intervención urgente POA 2025.</t>
  </si>
  <si>
    <t>SOC-02 · SOC-07 · SOC-03 · SOC-04 · SOC-15 · SOC-08</t>
  </si>
  <si>
    <t>🟢 AMBIENTAL</t>
  </si>
  <si>
    <t>Ejecución parcial — 33% ICPI con 2 metas (PTAR + relleno sanitario). Vi=1 en ambas pero Ti bajos (0.30 y 0.40). Potencial mejora con partidas POA 2025.</t>
  </si>
  <si>
    <t>AMB-07 · AMB-08</t>
  </si>
  <si>
    <t>🟠 ECONÓMICO</t>
  </si>
  <si>
    <t>Eje de menor impacto (Pi=0.12%) — 27% ICPI con 1 meta (Playa San José). Vi=1 pero Ti=0.30 bajo. Postular Premio Verde BDE como acción POA 2025.</t>
  </si>
  <si>
    <t>ECO-12</t>
  </si>
  <si>
    <t>🟣 INSTITUCIONAL</t>
  </si>
  <si>
    <t>✅ MEJOR EJE — 85.83% el más alto del modelo. Vi=1 Ti=1 en ambas metas (catastro + digitalización). Modelo a replicar en otros ejes. Mantener en POA 2025.</t>
  </si>
  <si>
    <t>INS-03 · INS-05</t>
  </si>
  <si>
    <t>Σ TOTAL PONDERADO</t>
  </si>
  <si>
    <t>Resultado del motor principal SIAP-ICPI en hoja E1-ICPI — fuente de verdad canónica</t>
  </si>
  <si>
    <t>🔍 SECCIÓN B — VERIFICACIÓN CRUZADA DEL ICPI GLOBAL · Consistencia del modelo · §3.7</t>
  </si>
  <si>
    <t>ICPI Global (E1-ICPI)</t>
  </si>
  <si>
    <t>Resultado del modelo principal SIAP-ICPI en hoja E1-ICPI — fuente de verdad</t>
  </si>
  <si>
    <t>ICPI Desagregado (este cálculo)</t>
  </si>
  <si>
    <t>Diferencia (debe ser ≈0)</t>
  </si>
  <si>
    <t>0,00</t>
  </si>
  <si>
    <t>✅ VERIFICADO — El modelo es internamente consistente. La desagregación por ejes reproduce exactamente el ICPI global de E1-ICPI</t>
  </si>
  <si>
    <t>🟣 SECCIÓN C — RANKING DE EJES POR ICPI · Orden descendente · Brechas y prioridades POA 2025</t>
  </si>
  <si>
    <t>ICPI EJE</t>
  </si>
  <si>
    <t>BRECHA vs 100%</t>
  </si>
  <si>
    <t>PESO EN ICPI GLOBAL</t>
  </si>
  <si>
    <t>SEMAF.</t>
  </si>
  <si>
    <t>PRIORIDAD POA 2025</t>
  </si>
  <si>
    <t>1º</t>
  </si>
  <si>
    <t>🟢</t>
  </si>
  <si>
    <t>✅ Mantener — modelo de eficiencia institucional replicable — bajo peso no impacta ICPI global</t>
  </si>
  <si>
    <t>2º</t>
  </si>
  <si>
    <t>🟡</t>
  </si>
  <si>
    <t>⚡ PRIORIDAD — mayor peso del modelo (61%). Mejora de 10 pp en ICPI eje = +6 pp en ICPI global. Escalar agua y alcantarillado.</t>
  </si>
  <si>
    <t>3º</t>
  </si>
  <si>
    <t>🟠</t>
  </si>
  <si>
    <t>Elevar Ti en AMB-07/08 — proceso MAATE + PTAR. Mejora 20 pp en eje ambiental = +1.4 pp ICPI global</t>
  </si>
  <si>
    <t>4º</t>
  </si>
  <si>
    <t>5º</t>
  </si>
  <si>
    <t>🔴</t>
  </si>
  <si>
    <t>🔷 SENSIBILIDAD ICPI · Escenarios optimista/base/pesimista · Metas de mayor impacto</t>
  </si>
  <si>
    <t>RANK</t>
  </si>
  <si>
    <t>ICPI BASE (%)</t>
  </si>
  <si>
    <t>ICPI SI Vi→1 (%)</t>
  </si>
  <si>
    <t>ΔICPI (pp)</t>
  </si>
  <si>
    <t>PRIORIDAD</t>
  </si>
  <si>
    <t>ACCIÓN CORRECTIVA</t>
  </si>
  <si>
    <t>IMPACTO PRESUP.</t>
  </si>
  <si>
    <t>🔴 CRÍTICA #1 mayor impacto</t>
  </si>
  <si>
    <t>Firmar convenio MSP + cronograma SERCOP — Pi=0.202 (mayor peso SOCIAL) — genera +20.6 pp ICPI</t>
  </si>
  <si>
    <t>🟠 ALTA #2 impacto</t>
  </si>
  <si>
    <t>Levantar informe viabilidad técnica Camal; estudios SERCOP POA 2025 — Pi=0.068 (TERRITORIAL)</t>
  </si>
  <si>
    <t>🟡 MEDIA #3 impacto</t>
  </si>
  <si>
    <t>Registrar vehículo SERCOP + contrato formal operación — Pi=0.025 (SOCIAL prioridad salud)</t>
  </si>
  <si>
    <t>🔵 BAJA #4 impacto</t>
  </si>
  <si>
    <t>Reformular como programa protección infantil MIES — Pi=0.013 (menor peso SOCIAL)</t>
  </si>
  <si>
    <t>🔵 BAJA #5 impacto</t>
  </si>
  <si>
    <t>Registrar CCTV en SERCOP + certificación técnica — Pi=0.009 (SOCIAL/INSTITUCIONAL)</t>
  </si>
  <si>
    <t>🔵 BAJA #6 impacto</t>
  </si>
  <si>
    <t>Diseño definitivo reservorios rurales en POA 2025; gestionar BDE — Pi=0.002 (TERRITORIAL)</t>
  </si>
  <si>
    <t>🔵 BAJA #7 impacto</t>
  </si>
  <si>
    <t>Expediente técnico Premio Verde BDE; incluir en Proyecto Manglar Vivo — Pi=0.005 (SOCIAL)</t>
  </si>
  <si>
    <t>🔵 BAJA #8 impacto</t>
  </si>
  <si>
    <t>Postular Premio Verde BDE + diseño ecoturístico — Pi=0.003 (ECONÓMICO menor peso)</t>
  </si>
  <si>
    <t>🟢 SECCIÓN B — ESCENARIO ACUMULATIVO · Si todas las Vi=0 → Vi=1 · Límite teórico ICPI · ⚠️ DÉFICIT COnfirmada §3.7</t>
  </si>
  <si>
    <t>N°.</t>
  </si>
  <si>
    <t>INTERPRETACIÓN · IMPLICACIÓN PARA POA 2025 Y CINI §1</t>
  </si>
  <si>
    <t>ICPI Actual</t>
  </si>
  <si>
    <t>Línea base actual — Resultado modelo SIAP-ICPI sobre n=20 metas estratégicas evaluadas. ⚠️ DÉFICIT confirmada: ICPI &lt; 70% (brecha ≥ 30 pp respecto al óptimo)</t>
  </si>
  <si>
    <t>ICPI si TODAS Vi→1, Ti→1</t>
  </si>
  <si>
    <t>100,00%</t>
  </si>
  <si>
    <t>Límite teórico máximo — escenario de integridad total: s los documentos verificados (Vi=1) y toda ejecución completa (Ti=1) en las 20 metas</t>
  </si>
  <si>
    <t>Δ ICPI Total Potencial</t>
  </si>
  <si>
    <t>+52,98 pp</t>
  </si>
  <si>
    <t>Máxima brecha de mejora teórica — representa el techo de optimización si se resuelve la totalidad de la ruptura documentada §1 (CINI). Impracticable en un solo ciclo POA</t>
  </si>
  <si>
    <t>Δ ICPI Realizable Q1-Q2 2025</t>
  </si>
  <si>
    <t>+9,1 pp</t>
  </si>
  <si>
    <t>Potencial realizable en un ciclo POA 2025 — corrigiendo las 3 metas críticas/altas (SOC-02 + TER-10 + SOC-07) con mayor impacto marginal. Ruta correctiva prioritaria</t>
  </si>
  <si>
    <t>Presupuesto sin trazabilidad</t>
  </si>
  <si>
    <t>$4.4M+</t>
  </si>
  <si>
    <t>Inversión ejecutada sin soporte documental verificable (Vi=0) — cuantificación mínima de opacidad financiera detectada por el modelo SIAP-ICPI §3.1</t>
  </si>
  <si>
    <t>⚠️ Déficit Confirmado §3.6</t>
  </si>
  <si>
    <t>ICPI &lt; 70% Brecha ≥ 30 pp ✔</t>
  </si>
  <si>
    <t>🟣 SECCIÓN C — TABLA DE SENSIBILIDAD CRUZADA · ICPI vs Nº Metas Corregidas · Ruta Correctiva Escalonada</t>
  </si>
  <si>
    <t>Nº METAS PDOT CORREGIDAS</t>
  </si>
  <si>
    <t>ICPI PROYECTADO (%)</t>
  </si>
  <si>
    <t>Δ ICPI ACUMULADO (pp)</t>
  </si>
  <si>
    <t>META(S) PDOT CORREGIDA(S)</t>
  </si>
  <si>
    <t>0 (base)</t>
  </si>
  <si>
    <t>0,00 pp</t>
  </si>
  <si>
    <t>— Sin correcciones — Estado actual</t>
  </si>
  <si>
    <t>+1 meta</t>
  </si>
  <si>
    <t>67,64%</t>
  </si>
  <si>
    <t>+20,62 pp</t>
  </si>
  <si>
    <t>SOC-02 Centro Salud Tipo C — mayor Δ individual · Pi=0.202</t>
  </si>
  <si>
    <t>+2 metas</t>
  </si>
  <si>
    <t>72,82%</t>
  </si>
  <si>
    <t>+25,80 pp</t>
  </si>
  <si>
    <t>+ TER-10 Camal Municipal — Pi=0.068</t>
  </si>
  <si>
    <t>+3 metas</t>
  </si>
  <si>
    <t>75,40%</t>
  </si>
  <si>
    <t>+28,38 pp</t>
  </si>
  <si>
    <t>+ SOC-07 Unidad Médica Móvil — Pi=0.025</t>
  </si>
  <si>
    <t>Todas (8)</t>
  </si>
  <si>
    <t>Todas Vi=0 corregidas — límite teórico máximo</t>
  </si>
  <si>
    <t>⭐ ÓPTIMO Teórico</t>
  </si>
  <si>
    <t>CINI completamente restaurada — escenario teórico-optimista GAD</t>
  </si>
  <si>
    <t>COD-META</t>
  </si>
  <si>
    <t>Δ ICPI si Vi→1</t>
  </si>
  <si>
    <t>CAUSA DE Vi=0</t>
  </si>
  <si>
    <t>SITUACIÓN EN PDOT</t>
  </si>
  <si>
    <t>ACCIÓN CORRECTIVA POA 2025</t>
  </si>
  <si>
    <t>URGENCIA</t>
  </si>
  <si>
    <t>IMPACTO</t>
  </si>
  <si>
    <t>SOC</t>
  </si>
  <si>
    <t>0,202</t>
  </si>
  <si>
    <t>1,5</t>
  </si>
  <si>
    <t>+20,6 pp</t>
  </si>
  <si>
    <t>Construcción compete al MSP. GAD no puede ejecutar directamente.</t>
  </si>
  <si>
    <t>Proyecto Estratégico PDOT explícito (pág. 375). Presupuesto gestionado $1,69M.</t>
  </si>
  <si>
    <t>Firmar convenio MSP con cronograma formal. Incluir en POA 2025 como gestión interinstitucional.</t>
  </si>
  <si>
    <t>⭐⭐⭐⭐⭐</t>
  </si>
  <si>
    <t>TER</t>
  </si>
  <si>
    <t>0,068</t>
  </si>
  <si>
    <t>1,0</t>
  </si>
  <si>
    <t>+5,2 pp</t>
  </si>
  <si>
    <t>Sin proceso SERCOP ni informe de viabilidad técnica registrado.</t>
  </si>
  <si>
    <t>No tiene proyecto PDOT explícito. Implícito en bloque Equipamientos $1,69M.</t>
  </si>
  <si>
    <t>Levantar informe de viabilidad técnica. Incluir en POA 2025 con estudios previos.</t>
  </si>
  <si>
    <t>⭐⭐⭐⭐</t>
  </si>
  <si>
    <t>+4.54 pp</t>
  </si>
  <si>
    <t>Sin OC vehiculo. RDC evidencia servicio, no el bien §3.4</t>
  </si>
  <si>
    <t>Centros apoyo grupos vulnerables PDOT (pag. 382). Sin proyecto vehicular.</t>
  </si>
  <si>
    <t>Regularizar vehiculo en SERCOP. Generar contrato dotacion insumos.</t>
  </si>
  <si>
    <t>ALTA</t>
  </si>
  <si>
    <t>Guarderia Municipal / CIBV Nocturno</t>
  </si>
  <si>
    <t>+1.82 pp</t>
  </si>
  <si>
    <t>Sin convenio MIES, sin personal asignado, sin infraestructura.</t>
  </si>
  <si>
    <t>PDOT tiene Clubes Ninos/Adolescentes (pag. 382). No guarderia nocturna exacta.</t>
  </si>
  <si>
    <t>Convenio MIES para CIBV nocturno. Reformular como programa proteccion infantil.</t>
  </si>
  <si>
    <t>Central Monitoreo / CCTV</t>
  </si>
  <si>
    <t>+1.08 pp</t>
  </si>
  <si>
    <t>CCTV sin registro SERCOP formal (alarmas ≠ cameras RDC 2024 p.3). Ti=0.20 §3.4</t>
  </si>
  <si>
    <t>Subprograma Seguridad Vial PDOT. Sistema existe pero no documentado formalmente.</t>
  </si>
  <si>
    <t>Registrar sistema CCTV en SERCOP. Emitir certificacion tecnica de operacion.</t>
  </si>
  <si>
    <t>Δ ICPI si Ti→1 (pp)</t>
  </si>
  <si>
    <t>+6.55 pp</t>
  </si>
  <si>
    <t>⚠️ ② METAS PDOT CON Ti &lt; 0,70 · Baja materialización temporal · Vi=1 pero ejecución incompleta · 6 metas identificadas</t>
  </si>
  <si>
    <t>+2.47 pp</t>
  </si>
  <si>
    <t>AVANCE REAL PAC</t>
  </si>
  <si>
    <t>BRECHA DE MATERIALIZACIÓN</t>
  </si>
  <si>
    <t>META PDOT 2027</t>
  </si>
  <si>
    <t>ACCIÓN CLAVE POA 2025</t>
  </si>
  <si>
    <t>+0.76 pp</t>
  </si>
  <si>
    <t>Estudios y contratos BDE. Sectores parcialmente beneficiados.</t>
  </si>
  <si>
    <t>Proyectos Estratégicos PDOT: Fase I Eloy Alfaro, Sequita-Pepa de Huso, PTAR. $1,27M asignado.</t>
  </si>
  <si>
    <t>40% de avance · 60% cobertura en 3 fases estratégicas</t>
  </si>
  <si>
    <t>Incrementar cobertura alcantarillado al 2027</t>
  </si>
  <si>
    <t>Activar contrato BDE-PROGAPSA Fase I; iniciar estudios PTAR Montecristi</t>
  </si>
  <si>
    <t>Terminal Terrestre</t>
  </si>
  <si>
    <t>+0.07 pp</t>
  </si>
  <si>
    <t>Gestiones iniciales. Sin proceso SERCOP de estudios ni obra.</t>
  </si>
  <si>
    <t>Proyecto Estratégico PDOT (pág. 375). Presupuesto proyectado 2025–2027.</t>
  </si>
  <si>
    <t>60% de avance · diseño definitivo y contratación</t>
  </si>
  <si>
    <t>Índice equipamiento urbano CUP (IE)</t>
  </si>
  <si>
    <t>Incluir estudios de factibilidad y diseño en POA 2025 con partida presupuestaria</t>
  </si>
  <si>
    <t>AMB</t>
  </si>
  <si>
    <t>+1.16 pp</t>
  </si>
  <si>
    <t>Mantenimiento plantas existentes. Sin construcción nueva PTAR.</t>
  </si>
  <si>
    <t>PTAR como Proyecto Estratégico PDOT. Requiere financiamiento no reembolsable.</t>
  </si>
  <si>
    <t>70% de avance · Solo operación, no obra nueva de PTAR</t>
  </si>
  <si>
    <t>N° plantas y estaciones de bombeo operativas</t>
  </si>
  <si>
    <t>Gestionar financiamiento no reembolsable PTAR; estudios definitivos POA 2025</t>
  </si>
  <si>
    <t>+50.00 pp</t>
  </si>
  <si>
    <t>Mantenimiento parques existentes. No se construyeron parques nuevos.</t>
  </si>
  <si>
    <t>PDOT tiene 5 parques nuevos como Proyectos Estratégicos: Las Pampas, Simón Bolívar, etc.</t>
  </si>
  <si>
    <t>50% de avance · Parques nuevos son meta explícita del PDOT</t>
  </si>
  <si>
    <t>Índice verde urbano consolidado (IE)</t>
  </si>
  <si>
    <t>Diseño y obra Parque Las Pampas Fase I en POA 2025</t>
  </si>
  <si>
    <t>INS</t>
  </si>
  <si>
    <t>+70.00 pp</t>
  </si>
  <si>
    <t>ERP y digitalización en ejecución ($636K). Plataforma ciudadana .</t>
  </si>
  <si>
    <t>Transformación digital Proyecto Estratégico PDOT (pág. 389).</t>
  </si>
  <si>
    <t>30% de avance · Plataforma ciudadana y WiFi público sin activar</t>
  </si>
  <si>
    <t>Nivel conocimiento gestión municipal al 55%</t>
  </si>
  <si>
    <t>Activar plataforma servicios ciudadanos; habilitar puntos WiFi públicos</t>
  </si>
  <si>
    <t>+30.00 pp</t>
  </si>
  <si>
    <t>Operación plantas existentes. Sin proceso MAATE para nuevo relleno.</t>
  </si>
  <si>
    <t>Nuevo relleno sanitario Proyecto Estratégico PDOT (pág. 406). $748K asignado.</t>
  </si>
  <si>
    <t>80% de avance · Nuevo relleno requiere proceso MAATE prioritario</t>
  </si>
  <si>
    <t>Capacidad disposición final desechos sólidos (IE)</t>
  </si>
  <si>
    <t>Iniciar proceso MAATE; estudio impacto ambiental en POA 2025</t>
  </si>
  <si>
    <t>⚡ ③ ALERTAS ESPECIALES · Casos con tensión normativa, duplicación, paradoja o gap sistémico · 4 alertas identificadas</t>
  </si>
  <si>
    <t>TIPO ALERTA</t>
  </si>
  <si>
    <t>CONFLICTO DETECTADO</t>
  </si>
  <si>
    <t>IMPLICACIÓN MELÓGICA</t>
  </si>
  <si>
    <t>SITUACIÓN ACTUAL</t>
  </si>
  <si>
    <t>RECOMENDACIÓN</t>
  </si>
  <si>
    <t>REFERENCIA §</t>
  </si>
  <si>
    <t>⚠️ DUPLICACIÓN</t>
  </si>
  <si>
    <t>PDOT.AM.OE3.M1.01 PDOT.AM.OE3.M2.01</t>
  </si>
  <si>
    <t>Planta Oxidación vs. Nuevo Relleno Sanitario</t>
  </si>
  <si>
    <t>Ambos proyectos comparten el Subprograma PTAR/Desechos Sólidos del PDOT. Riesgo de doble conteo en el PDOT si se activan en el mismo POA.</t>
  </si>
  <si>
    <t>Se asignaron Pi indes (0,045 y 0,018). No se comparte presupuesto. Cada uno tiene meta PDOT diferenciada.</t>
  </si>
  <si>
    <t>AMB-07 (PTAR): Ti=0,30 · AMB-08 (Relleno): Ti=0,20 · Ambos Vi=1 pero ejecución mínima</t>
  </si>
  <si>
    <t>Mantener independencia. Verificar en POA 2025 que no se use la misma partida presupuestaria para ambos.</t>
  </si>
  <si>
    <t>🟡 Medio — Sin doble conteo actual pero requiere vigilancia en cierre fiscal</t>
  </si>
  <si>
    <t>§3.4</t>
  </si>
  <si>
    <t>⚠️ Activa</t>
  </si>
  <si>
    <t>⚡ TENSIÓN NORMATIVA</t>
  </si>
  <si>
    <t>ECO</t>
  </si>
  <si>
    <t>Playa San José — Conflicto Competencial GAD vs. Ministerio de Turismo</t>
  </si>
  <si>
    <t>El litoral y los recursos costeros son competencia concurrente del Estado central (MINTUR) y el GAD Municipal. La ejecución requiere convenio expreso.</t>
  </si>
  <si>
    <t>Vi=0 correcto. El GAD no puede ejecutar unilateralmente sin convenio. Pi reducido (0,003) refleja incertidumbre competencial.</t>
  </si>
  <si>
    <t>Solo protección costera ($35K). Sin plan turístico formal. Postulación Premio Verde BDE en gestión.</t>
  </si>
  <si>
    <t>Formalizar convenio MINTUR-GAD. Incluir en Proyecto Manglar Vivo. Postular Premio Verde BDE con presupuesto claro.</t>
  </si>
  <si>
    <t>🟠 Alto — Sin convenio no puede activarse Vi=1</t>
  </si>
  <si>
    <t>§3.5</t>
  </si>
  <si>
    <t>PARADOJA INTERNA</t>
  </si>
  <si>
    <t>[Meta fuera del universo SIAP-ICPI 20 metas — referencia histórica no vigente]</t>
  </si>
  <si>
    <t>Catastro Municipal — Paradoja de Completitud SIGAD vs. Realidad Territorial</t>
  </si>
  <si>
    <t>SIGAD reporta ICM=100% para Catastro. Sin embargo, la cobertura catastral real de Montecristi no alcanza el 100% del territorio cantonal.</t>
  </si>
  <si>
    <t>Vi=1 y Ti=1 en el modelo (documentación existe). El modelo SIAP-ICPI mide la existencia de evidencia documental, no la cobertura territorial.</t>
  </si>
  <si>
    <t>Catastro actualizado ($116K). ERP implementado ($636K). Documentación completa y verificable.</t>
  </si>
  <si>
    <t>Incluir nota melógica en E3-Consist: el ICPI mide fidelidad documental, no cobertura territorial. Son dimensiones distintas.</t>
  </si>
  <si>
    <t>🟠 Bajo para el ICPI — Alto para la política pública real</t>
  </si>
  <si>
    <t>§3.8</t>
  </si>
  <si>
    <t>📝 Nota</t>
  </si>
  <si>
    <t>🕳️ GAP SISTÉMICO</t>
  </si>
  <si>
    <t>Seguridad Ciudadana — Área sin proyecto PDOT explícito identificable</t>
  </si>
  <si>
    <t>La meta de seguridad ciudadana no tiene un proyecto estratégico PDOT con presupuesto y meta cuantificable explícitamente asignado.</t>
  </si>
  <si>
    <t>Vi=0 asignado por ausencia de evidencia documental forense. No implica que el GAD no tenga acciones, sino que no son trazables al ITME.</t>
  </si>
  <si>
    <t>Subprograma seguridad vial existe en PDOT pero no cubre el espectro completo de la meta (CCTV, patrullaje, etc.).</t>
  </si>
  <si>
    <t>Crear programa municipal de seguridad ciudadana con presupuesto propio. Incluir en POA 2025 como proyecto estratégico nuevo.</t>
  </si>
  <si>
    <t>🟠 Alto — Erosión del compromiso por falta de trazabilidad</t>
  </si>
  <si>
    <t>◉ ④ RESUMEN EJECUTIVO DE BRECHAS · Síndiagnóstico SIAP-ICPI GAD global del análisis · Impacto ICPI cuantificado · Ruta crítica POA 2025</t>
  </si>
  <si>
    <t>DIMENSIÓN</t>
  </si>
  <si>
    <t>DATO / VALOR</t>
  </si>
  <si>
    <t>🔴 EJE CRÍTICO</t>
  </si>
  <si>
    <t>ΔICPI POTENCIAL</t>
  </si>
  <si>
    <t>DETALLE</t>
  </si>
  <si>
    <t>RUTA CORRECTIVA</t>
  </si>
  <si>
    <t>PLAZO</t>
  </si>
  <si>
    <t>FUENTE</t>
  </si>
  <si>
    <t>REF §</t>
  </si>
  <si>
    <t>ICPI ACTUAL</t>
  </si>
  <si>
    <t>🔴 SOC es el más crítico</t>
  </si>
  <si>
    <t>Si Vi=0→1 s: +27.2 pp máx (H3-SENSI)</t>
  </si>
  <si>
    <t>Motor: Σ(Pi×Ri×Vi×Ei×Ti) ÷ Σ(Pi×Ri) · Pi-Σ=1,000 ✅ · n=20 metas auditadas</t>
  </si>
  <si>
    <t>Activar SOC-02 (mayor impacto +9,1pp) como acción prioritaria POA 2025</t>
  </si>
  <si>
    <t>Q1-2025</t>
  </si>
  <si>
    <t>Alcaldía / Dir. Planificación</t>
  </si>
  <si>
    <t>§3.7</t>
  </si>
  <si>
    <t>❆ Calculado</t>
  </si>
  <si>
    <t>BRECHA vs META PDOT 2027</t>
  </si>
  <si>
    <t>PDOT 2027</t>
  </si>
  <si>
    <t>Brecha activa el UAP — Umbral de Alerta Programática</t>
  </si>
  <si>
    <t>Documentar brecha en SIAP-ICPI § Resultados. Comunicar a Dir. Planificación para POA 2026.</t>
  </si>
  <si>
    <t>Q2-2025</t>
  </si>
  <si>
    <t>Investigador / Dir. Planificación</t>
  </si>
  <si>
    <t>E2-RESUL · F-BI</t>
  </si>
  <si>
    <t>§4.1</t>
  </si>
  <si>
    <t>❆ Confirmada</t>
  </si>
  <si>
    <t>BRECHAS Vi=0</t>
  </si>
  <si>
    <t>5 metas (25%)</t>
  </si>
  <si>
    <t>SOC: 3 · TER: 1 · INS: 1</t>
  </si>
  <si>
    <t>Δ total: +9,7 pp</t>
  </si>
  <si>
    <t>Metas sin ningún soporte documental forense verificable en SERCOP/LOTAIP/RDC</t>
  </si>
  <si>
    <t>Gestionar documentación o reclasificar como Gestión por Ocurrencia en versión final</t>
  </si>
  <si>
    <t>Dir. Financiera · Patronato · TICS</t>
  </si>
  <si>
    <t>D-MAD · G-MEC · P-VERIF</t>
  </si>
  <si>
    <t>§3.1</t>
  </si>
  <si>
    <t>BRECHAS Ti&lt;0,70</t>
  </si>
  <si>
    <t>6 metas (30%)</t>
  </si>
  <si>
    <t>TER: 3 · AMB: 2 · INS: 1</t>
  </si>
  <si>
    <t>Δ total: +8,4 pp</t>
  </si>
  <si>
    <t>Metas con evidencia parcial. Ejecución existe pero inferior al 70% del compromiso</t>
  </si>
  <si>
    <t>Activar partidas POA 2025 · BDE · MAATE · MIES según cada caso. Ver Sección ②</t>
  </si>
  <si>
    <t>Dir. Obras · Patronato · Planificación</t>
  </si>
  <si>
    <t>D-MAD · L-PDOT · M-POA</t>
  </si>
  <si>
    <t>Activar</t>
  </si>
  <si>
    <t>📝 NOTA MELÓGICA — Brecha = ICPI_actual − Meta_2027 (pp) · Δ_ICPI(Vi→1) = impacto si meta activa · Priorización por impacto potencial §3.8 · Vi∈{0,1} fuente: D-MAD!X · Ti∈[0,1] fuente: D-MAD!T · SIAP-ICPI §3.7–3.8</t>
  </si>
  <si>
    <t>📋 MARCO LEGAL — COOTAD Art.234 · COPYFP Art.292 · PDOT Plan Bicentenario 2023–2027 · CININ Silo 4 (Brecha PDOT) · Res.SNPD-2023</t>
  </si>
  <si>
    <t>🔷 ESTRUCTURA ORGÁNICA · 19 Direcciones Municipales · Ci por dirección · Vinculación con n=20 metas PDOT</t>
  </si>
  <si>
    <t>COD. DIR.</t>
  </si>
  <si>
    <t>UNIDAD ORGANIZACIONAL</t>
  </si>
  <si>
    <t>PROCESO GOBERNANTE</t>
  </si>
  <si>
    <t>PROCESO AGREGADOR DE VALOR</t>
  </si>
  <si>
    <t>BASE LEGAL COOTAD</t>
  </si>
  <si>
    <t>BASE LEGAL ESTATUTO ORG.</t>
  </si>
  <si>
    <t>MISSIONS / ATRIBUCIONES PRINCIPALES</t>
  </si>
  <si>
    <t>N° METAS PDOT ASIGNADAS</t>
  </si>
  <si>
    <t>Ci (Control Responsab.)</t>
  </si>
  <si>
    <t>LOSEP GRADO</t>
  </si>
  <si>
    <t>PRESUPUESTO REF. 2024 ($USD)</t>
  </si>
  <si>
    <t>E-MAIL INSTIT.</t>
  </si>
  <si>
    <t>ALC</t>
  </si>
  <si>
    <t>Alcaldía Municipal</t>
  </si>
  <si>
    <t>Ejecutivo</t>
  </si>
  <si>
    <t>✓</t>
  </si>
  <si>
    <t>–</t>
  </si>
  <si>
    <t>Art. 60 COOTAD</t>
  </si>
  <si>
    <t>NJS-11</t>
  </si>
  <si>
    <t>alcalde@montecristi.gob.ec</t>
  </si>
  <si>
    <t>CON</t>
  </si>
  <si>
    <t>Concejo Municipal</t>
  </si>
  <si>
    <t>Legislativo</t>
  </si>
  <si>
    <t>Art. 57 COOTAD</t>
  </si>
  <si>
    <t>concejo@montecristi.gob.ec</t>
  </si>
  <si>
    <t>AUD</t>
  </si>
  <si>
    <t>Auditoría Interna</t>
  </si>
  <si>
    <t>Control</t>
  </si>
  <si>
    <t>Art. 212 CRE / CGE</t>
  </si>
  <si>
    <t>SP7</t>
  </si>
  <si>
    <t>auditoria@montecristi.gob.ec</t>
  </si>
  <si>
    <t>SEC</t>
  </si>
  <si>
    <t>Secretaría General</t>
  </si>
  <si>
    <t>Asesoría</t>
  </si>
  <si>
    <t>Art. 338 COOTAD</t>
  </si>
  <si>
    <t>SP5</t>
  </si>
  <si>
    <t>secretaria@montecristi.gob.ec</t>
  </si>
  <si>
    <t>DPD</t>
  </si>
  <si>
    <t>Dir. Planificación y Desarrollo Territorial</t>
  </si>
  <si>
    <t>GAD Directo</t>
  </si>
  <si>
    <t>Art. 55(a)(f) COOTAD</t>
  </si>
  <si>
    <t>SP6</t>
  </si>
  <si>
    <t>DOP</t>
  </si>
  <si>
    <t>Dir. Obras Públicas e Infraestructura</t>
  </si>
  <si>
    <t>Art. 55(d) COOTAD</t>
  </si>
  <si>
    <t>DAS</t>
  </si>
  <si>
    <t>Dir. Agua Potable, Alcantarillado y Saneamiento</t>
  </si>
  <si>
    <t>DSC</t>
  </si>
  <si>
    <t>Dir. Desarrollo Social y Cultural</t>
  </si>
  <si>
    <t>DGA</t>
  </si>
  <si>
    <t>Art. 54(k) COOTAD</t>
  </si>
  <si>
    <t>DTI</t>
  </si>
  <si>
    <t>Dir. Tecnología e Información (TICs)</t>
  </si>
  <si>
    <t>DAC</t>
  </si>
  <si>
    <t>Dir. Avaluós y Catastros</t>
  </si>
  <si>
    <t>Art. 55(g) COOTAD</t>
  </si>
  <si>
    <t>DAT</t>
  </si>
  <si>
    <t>Dir. Administración y Talento Humano</t>
  </si>
  <si>
    <t>Art. 228 CRE / LOSEP</t>
  </si>
  <si>
    <t>talento@montecristi.gob.ec</t>
  </si>
  <si>
    <t>DFI</t>
  </si>
  <si>
    <t>Dirección Financiera</t>
  </si>
  <si>
    <t>Art. 340 COOTAD / COPFP</t>
  </si>
  <si>
    <t>financiero@montecristi.gob.ec</t>
  </si>
  <si>
    <t>PAT</t>
  </si>
  <si>
    <t>Adscrito</t>
  </si>
  <si>
    <t>Art. 388 COOTAD</t>
  </si>
  <si>
    <t>EPA</t>
  </si>
  <si>
    <t>Empresa Pública</t>
  </si>
  <si>
    <t>Art. 280 COOTAD / LOEP</t>
  </si>
  <si>
    <t>UGS</t>
  </si>
  <si>
    <t>Unidad Gestión Sanitaria / MSP</t>
  </si>
  <si>
    <t>Convenio</t>
  </si>
  <si>
    <t>Servicios médicos comunitarios. Brigadas salud. Articulación Red Salud Zona 4 IESS/MSP.</t>
  </si>
  <si>
    <t>SP4</t>
  </si>
  <si>
    <t>DSP</t>
  </si>
  <si>
    <t>Dir. Servicios Públicos y Gestión</t>
  </si>
  <si>
    <t>UTU</t>
  </si>
  <si>
    <t>Unidad GAD</t>
  </si>
  <si>
    <t>■ SECCIÓN B · CRUCE METAS PDOT ↔ DIRECCIÓN RESPONSABLE ↔ Ci · 20 metas · Fuente: C-MAO + D-MAD · Ci verificados vs. X-ORGÁNICO Sección A</t>
  </si>
  <si>
    <t>Unidad de Turismo</t>
  </si>
  <si>
    <t>✅ COHERENTE</t>
  </si>
  <si>
    <t>Σ TOTALES</t>
  </si>
  <si>
    <t>🔷 ALINEACIÓN ODS · n=20 metas PDOT · ODS prioritarios por eje · Contribución GAD Montecristi</t>
  </si>
  <si>
    <t>🔷 SECCIÓN A — TRIANGULACIÓN ORGÁNICA: ESTATUTO → POA → PAC → CÉDULA PRESUPUESTARIA · §3.4 SIAP-ICPI · Base legal: COOTAD Art. 339 · LOSEP Art. 76</t>
  </si>
  <si>
    <t>DIRECCIÓN RESPONSABLE (Estatuto Orgánico)</t>
  </si>
  <si>
    <t>POA ¿Meta Planificada? (1/0 — entrada auditada)</t>
  </si>
  <si>
    <t>PAC ¿Contratado? (1/0 — entrada auditada)</t>
  </si>
  <si>
    <t>CÉDULA Ti avance (0-1)</t>
  </si>
  <si>
    <t>Vi Evidencia (0/1)</t>
  </si>
  <si>
    <t>Ri Relevancia</t>
  </si>
  <si>
    <t>Pi Peso presup.</t>
  </si>
  <si>
    <t>IED INDIVIDUAL (Ci×POA×PAC×Ti×Vi×100)</t>
  </si>
  <si>
    <t>NIVEL DESEMPEÑO</t>
  </si>
  <si>
    <t>CAUSAL DE INCUMPLIMIENTO (deslinde automático)</t>
  </si>
  <si>
    <t>ACCIÓN ADMINISTRATIVA</t>
  </si>
  <si>
    <t>BASE LEGAL APLICABLE</t>
  </si>
  <si>
    <t>Plan acción</t>
  </si>
  <si>
    <t>Aceleración Q3-Q4 por cierre PAC Acueducto CAF</t>
  </si>
  <si>
    <t>Ejecución estable — obra alcantarillado activa</t>
  </si>
  <si>
    <t>Sí</t>
  </si>
  <si>
    <t>Sin movimiento — Vi=0 el período 🔴</t>
  </si>
  <si>
    <t>Ejecución gradual estudios previos terminal</t>
  </si>
  <si>
    <t>Paralización total — sin acciones ejecutadas 🔴</t>
  </si>
  <si>
    <t>100% cumplimiento desde Q1 — reconocimiento</t>
  </si>
  <si>
    <t>Mantenimiento vial continuo — maquinaria activa</t>
  </si>
  <si>
    <t>Sin contratación PAC — solo insumos Patronato 🔴</t>
  </si>
  <si>
    <t>Avance lento</t>
  </si>
  <si>
    <t>Fase mantenimiento → construcción Pque Pampas</t>
  </si>
  <si>
    <t>Sin gestión — convenio MIES 🔴</t>
  </si>
  <si>
    <t>EP operando sin ampliación infraestructura</t>
  </si>
  <si>
    <t>Maquinaria adquirida Q1 — ejecución estable</t>
  </si>
  <si>
    <t>CCTV sin registro SERCOP — Vi=0 🔴</t>
  </si>
  <si>
    <t>Implementación progresiva TIC + WiFi público</t>
  </si>
  <si>
    <t>Catastro actualizado Q4 — sin PAC formal</t>
  </si>
  <si>
    <t>Solo esterilización — sin proyecto ecoturístico</t>
  </si>
  <si>
    <t>Fase protección costera — convenio MINTUR pend.</t>
  </si>
  <si>
    <t>Señalética y embellecimiento completados 100%</t>
  </si>
  <si>
    <t>Reservorios s — solo estudios básicos</t>
  </si>
  <si>
    <t>🏛 SECCIÓN B — RANKING DE DESEMPEÑO POR DIRECCIÓN ORGÁNICA · IED Agregado = AVERAGEIF(metas_dir) · Fórmula IED continua: Ci×POA×PAC×Ti×Vi×100 · Base legal: LOSEP Art.76-80 · COOTAD Art.338-339 · COA Art.196</t>
  </si>
  <si>
    <t>DIRECCIÓN / ENTIDAD</t>
  </si>
  <si>
    <t>Nº METAS</t>
  </si>
  <si>
    <t>PRESUP. Pi TOTAL</t>
  </si>
  <si>
    <t>IED PROMEDIO (0-100)</t>
  </si>
  <si>
    <t>METAS Vi=0</t>
  </si>
  <si>
    <t>VEREDICTO ADMINISTRATIVO (LOSEP + COOTAD)</t>
  </si>
  <si>
    <t>ACCIÓN LEGAL</t>
  </si>
  <si>
    <t>🔷 SECCIÓN C — NOTAS MELÓGICAS · POA/PAC como entradas auditadas · IED = Ci×POA×PAC×Ti×Vi×100 ·</t>
  </si>
  <si>
    <t>FUENTE DE DATOS</t>
  </si>
  <si>
    <t>ESTADO ACTUAL</t>
  </si>
  <si>
    <t>ESTADO IDEAL (+)</t>
  </si>
  <si>
    <t>POA (col D)</t>
  </si>
  <si>
    <t>Entrada manual auditada (1=Planificado, 0=No planificado)</t>
  </si>
  <si>
    <t>Vinculado a D-MAD col Q (S2 POA planificado) — actualizar cuando M-POA tenga datos reales</t>
  </si>
  <si>
    <t>COOTAD Art.234 / COPFP Art.87</t>
  </si>
  <si>
    <t>Reconocimiento formal + registro en expediente positivo</t>
  </si>
  <si>
    <t>LOSEP Art. 78</t>
  </si>
  <si>
    <t>Inmediato</t>
  </si>
  <si>
    <t>Alcalde / DATH</t>
  </si>
  <si>
    <t>PAC (col E)</t>
  </si>
  <si>
    <t>Entrada manual auditada (1=Contratado, 0=Sin contratación)</t>
  </si>
  <si>
    <t>Integrado con Portal de Compras Públicas (SERCOP) para validación automática de contratación — actualización mediante D-MAD col S (S3 PAC)</t>
  </si>
  <si>
    <t>LOSNCP Art.22 / COOTAD Art.234</t>
  </si>
  <si>
    <t>Mantener ritmo. Sugerir mejoras de registro documental</t>
  </si>
  <si>
    <t>LOSEP Art. 76-77</t>
  </si>
  <si>
    <t>POA siguiente</t>
  </si>
  <si>
    <t>Director / DATH</t>
  </si>
  <si>
    <t>Ti (col F)</t>
  </si>
  <si>
    <t>Valor D-MAD!H = % ejecución cédula presupuestaria auditada 0-1</t>
  </si>
  <si>
    <t>D-MAD col H (Ti = S4 cédula % devengado) — automático desde eSIGEF via L-CEDULAS</t>
  </si>
  <si>
    <t>COPFP Art.119</t>
  </si>
  <si>
    <t>Plan de Mejora formal 60 días. Visita de seguimiento mensual POA</t>
  </si>
  <si>
    <t>LOSEP Art. 80 + COOTAD Art. 338</t>
  </si>
  <si>
    <t>60 días</t>
  </si>
  <si>
    <t>Alcalde + Dir. Planificación</t>
  </si>
  <si>
    <t>🔶 SECCIÓN D — RESUMEN EJECUTIVO F-EDS · Semáforo consolidado LOSEP · SIAP-ICPI</t>
  </si>
  <si>
    <t>30 días</t>
  </si>
  <si>
    <t>N° DIRS.</t>
  </si>
  <si>
    <t>% TOTAL</t>
  </si>
  <si>
    <t>DIRS. AFECTADAS</t>
  </si>
  <si>
    <t>Alcalde + Asesor Jurídico + CGE</t>
  </si>
  <si>
    <t>Felicitación pública + registro SIITH</t>
  </si>
  <si>
    <t>LOSEP Art.78</t>
  </si>
  <si>
    <t>Reconocimiento escrito</t>
  </si>
  <si>
    <t>Sin acción correctiva</t>
  </si>
  <si>
    <t>LOSEP Art.76</t>
  </si>
  <si>
    <t>Plan mejora 90 días + SIITH</t>
  </si>
  <si>
    <t>🔴 INACEPTABLE</t>
  </si>
  <si>
    <t>Sumario admin. 48h + SIITH urgente</t>
  </si>
  <si>
    <t>12 direcciones evaluadas</t>
  </si>
  <si>
    <t>Ver T-SEMESTRAL Sección B para acciones por corte</t>
  </si>
  <si>
    <t>LOSEP Arts.76-80</t>
  </si>
  <si>
    <t>🔷 EVALUACIÓN POR DIRECCIÓN · n=20 metas · 19 Direcciones · Vi cadena trazable · Alertas por dirección</t>
  </si>
  <si>
    <t>Dir. Agua Potable y Saneamiento</t>
  </si>
  <si>
    <t>Cobertura Agua Potable - Acueducto CAF 30.000m3/dia</t>
  </si>
  <si>
    <t>A</t>
  </si>
  <si>
    <t>Agua y Saneamiento / Ampliacion redes agua potable PDOT pag.407</t>
  </si>
  <si>
    <t>Reservorios de Agua / Captacion Rural</t>
  </si>
  <si>
    <t>Agua y Saneamiento / Nueva infraestructura captacion PDOT pag.407</t>
  </si>
  <si>
    <t>Dir. Obras Publicas</t>
  </si>
  <si>
    <t>Alcantarillado Sanitario BEI-PROGAPSA Fase I</t>
  </si>
  <si>
    <t>Agua y Saneamiento / Colector Principal + PTAR PDOT pag.407</t>
  </si>
  <si>
    <t>Bacheo y Pavimentacion Vias Urbanas</t>
  </si>
  <si>
    <t>Vialidad / Mantenimiento vias urbanas PDOT $10.89M</t>
  </si>
  <si>
    <t>Parques y Areas Verdes (Pampas; Colon; Red Verde)</t>
  </si>
  <si>
    <t>Areas Verdes / Parque Las Pampas; Colon PDOT pag.404</t>
  </si>
  <si>
    <t>Equipo Caminero / Maquinaria Pesada PAC 2024</t>
  </si>
  <si>
    <t>Vialidad / Maquinaria pesada PAC 2024 $600K PDOT</t>
  </si>
  <si>
    <t>Embellecimiento y Senaletica Urbana</t>
  </si>
  <si>
    <t>Vialidad / Senalizacion y Control Vial PDOT pag.437</t>
  </si>
  <si>
    <t>Dir. Planificacion y Desarrollo</t>
  </si>
  <si>
    <t>Terminal Terrestre Ciudad Bicentenario</t>
  </si>
  <si>
    <t>B</t>
  </si>
  <si>
    <t>Equipamientos / Terminal Terrestre PDOT pag.408 - Sin PAC Esc.B</t>
  </si>
  <si>
    <t>Dir. Servicios Publicos y Gestion</t>
  </si>
  <si>
    <t>Camal Municipal Nuevo (Desprioritizado)</t>
  </si>
  <si>
    <t>D</t>
  </si>
  <si>
    <t>Equipamientos / Gestion Camal PDOT - Sin POA ni PAC Esc.D</t>
  </si>
  <si>
    <t>Equipamiento Geriatrico CDBV Repotenciado</t>
  </si>
  <si>
    <t>Derechos en Accion / Centros Apoyo grupos vulnerables PDOT pag.382</t>
  </si>
  <si>
    <t>Centro de Salud Tipo C (gestion convenio MSP)</t>
  </si>
  <si>
    <t>Equipamientos / Centro Salud Tipo C PDOT pag.375 - Restriccion exogena</t>
  </si>
  <si>
    <t>Unidad Medica Movil (sin OC SERCOP)</t>
  </si>
  <si>
    <t>Derechos / Clinica movil PDOT pag.382 - Sin proceso SERCOP Esc.B</t>
  </si>
  <si>
    <t>Guarderia Nocturna CIBV (sin POA ni convenio)</t>
  </si>
  <si>
    <t>Derechos / Clubes Ninos PDOT pag.382 - Sin POA sin convenio Esc.D</t>
  </si>
  <si>
    <t>Dir. Gestion Ambiental</t>
  </si>
  <si>
    <t>Planta Tratamiento Aguas Residuales PTAR</t>
  </si>
  <si>
    <t>Agua y Saneamiento / PTAR Montecristi y Anibal San Andres PDOT pag.407</t>
  </si>
  <si>
    <t>Planta Tratamiento Desechos / Relleno Sanitario</t>
  </si>
  <si>
    <t>Aseo e Higiene / Nuevo relleno sanitario PDOT pag.406 $748K</t>
  </si>
  <si>
    <t>Dir. Tecnologia e Informacion (DTI)</t>
  </si>
  <si>
    <t>Central Monitoreo CCTV (sin proceso SERCOP)</t>
  </si>
  <si>
    <t>Seguridad Vial / Control vial PDOT pag.437 - Sin PAC SERCOP Esc.B</t>
  </si>
  <si>
    <t>Digitalizacion Tramites / ERP / WiFi Publico</t>
  </si>
  <si>
    <t>Fortalecimiento Inst. / Transformacion digital PDOT pag.389</t>
  </si>
  <si>
    <t>Dir. Avaluos y Catastros</t>
  </si>
  <si>
    <t>Actualizacion Catastro Digital Integrado</t>
  </si>
  <si>
    <t>Fortalecimiento Inst. / Sistema Catastral PDOT pag.389</t>
  </si>
  <si>
    <t>Unidad Gestion Sanitaria / MSP</t>
  </si>
  <si>
    <t>Albergue Fauna Urbana / Salud Comunitaria</t>
  </si>
  <si>
    <t>Areas Verdes / Manglar Vivo componente fauna PDOT pag.387</t>
  </si>
  <si>
    <t>Proyecto Ecotristico Playa San Jose / Manglar Vivo</t>
  </si>
  <si>
    <t>Turismo / Manglar Vivo Playa San Jose PDOT pag.387/399</t>
  </si>
  <si>
    <t>SECCION B - TABLERO IED CONSOLIDADO POR DIRECCION · Semaforo LOSEP · Deslinde Sec.3.8.4 · Todos los datos del PDOT Plan Bicentenario 2023-2027</t>
  </si>
  <si>
    <t>COD.</t>
  </si>
  <si>
    <t>DIRECCION RESPONSABLE</t>
  </si>
  <si>
    <t>N METAS</t>
  </si>
  <si>
    <t>Vi_cad=1</t>
  </si>
  <si>
    <t>Vi_cad=0</t>
  </si>
  <si>
    <t>S4 PROM</t>
  </si>
  <si>
    <t>IED DIR (%)</t>
  </si>
  <si>
    <t>PERÍODO EVALUACIÓN</t>
  </si>
  <si>
    <t>DESLINDE §3.8.4</t>
  </si>
  <si>
    <t>PDOT SISTEMA</t>
  </si>
  <si>
    <t>PRESUP. PDOT REF</t>
  </si>
  <si>
    <t>OBSERVACION CRITICA</t>
  </si>
  <si>
    <t>Semestral (Jun) + Anual (Dic) LOSEP Art.77</t>
  </si>
  <si>
    <t>Esc.A: Gestion Eficaz. SOC-03 CDBV plena ejecucion.</t>
  </si>
  <si>
    <t>BAJO</t>
  </si>
  <si>
    <t>Soc.Cultural</t>
  </si>
  <si>
    <t>$0 MIES</t>
  </si>
  <si>
    <t>SOC-03: Ti=1.0 Ri=1.5 modelo replicable para otras dirs.</t>
  </si>
  <si>
    <t>Sin acción — Evaluación aprobada</t>
  </si>
  <si>
    <t>Esc.A: TER-14 y TER-15 cadena completa.</t>
  </si>
  <si>
    <t>As.Humanos</t>
  </si>
  <si>
    <t>$45.6M PDOT</t>
  </si>
  <si>
    <t>TER-15 reservorios Ti=0.25 priorizar cronograma.</t>
  </si>
  <si>
    <t>Esc.A: 5/5 metas Vi_cad=1 cadena PDOT completa.</t>
  </si>
  <si>
    <t>$10.89M+$1.27M</t>
  </si>
  <si>
    <t>TER-03 BEI critico: Ti=0.75 requiere seguimiento.</t>
  </si>
  <si>
    <t>Sumario admin. LOSEP Art.80 — 48h</t>
  </si>
  <si>
    <t>Esc.A: PAC ejecutado, Ti=40% parcial. Cronograma PTAR.</t>
  </si>
  <si>
    <t>F.Ambiental</t>
  </si>
  <si>
    <t>$0 BEI</t>
  </si>
  <si>
    <t>AMB-07 PTAR: Fase construccion. Plazo 2025.</t>
  </si>
  <si>
    <t>Esc.A: INS-05 Ti=1.0. IED=50% por Ri=0.5 prioridad media.</t>
  </si>
  <si>
    <t>Pol.Institucional</t>
  </si>
  <si>
    <t>INS-05 Catastro completo. Ampliar a predios rurales.</t>
  </si>
  <si>
    <t>Esc.A: cadena ok pero Ti=30% insuficiente. Relleno urgente.</t>
  </si>
  <si>
    <t>$748K PDOT</t>
  </si>
  <si>
    <t>AMB-08: MAATE vence plazo celda emergente. Urgente.</t>
  </si>
  <si>
    <t>Dir. Tecnologia e Informacion</t>
  </si>
  <si>
    <t>Esc.B: SOC-15 sin OC SERCOP. INS-03 ok Ti=0.70.</t>
  </si>
  <si>
    <t>CRITICO</t>
  </si>
  <si>
    <t>$117.9K PDOT</t>
  </si>
  <si>
    <t>SOC-15 CCTV: Ordenanza aprobada pero sin ejecucion SERCOP.</t>
  </si>
  <si>
    <t>Esc.B: TER-09 Terminal POA=1 PAC=0. Inaccion directiva.</t>
  </si>
  <si>
    <t>$1.69M bloque</t>
  </si>
  <si>
    <t>TER-09: Estudios listos. No hay proceso SERCOP 2024.</t>
  </si>
  <si>
    <t>Esc.B+D: SOC-02 MSP Esc.B. SOC-04 CIBV Esc.D. Critico.</t>
  </si>
  <si>
    <t>$1.69M+$0</t>
  </si>
  <si>
    <t>SOC-04: sin POA ni convenio MIES. Negligencia planif.</t>
  </si>
  <si>
    <t>Unidad Gestion Sanitaria/MSP</t>
  </si>
  <si>
    <t>Esc.A: cadena ok. Ti=35% Ri=0.5 limita IED.</t>
  </si>
  <si>
    <t>$0 convenio</t>
  </si>
  <si>
    <t>SOC-08: Fauna urbana. Bajo Ri por ser prioridad media PDOT.</t>
  </si>
  <si>
    <t>Esc.A: cadena ok. Ti=30% Ri=0.5. Convenio MINTUR .</t>
  </si>
  <si>
    <t>Econ.Productivo</t>
  </si>
  <si>
    <t>$0 MINTUR</t>
  </si>
  <si>
    <t>ECO-12 Manglar Vivo: Ri=0.5 prioridad media PDOT.</t>
  </si>
  <si>
    <t>Esc.D: TER-10 Camal sin POA sin PAC sin ejecucion.</t>
  </si>
  <si>
    <t>$1.69M no asig.</t>
  </si>
  <si>
    <t>TER-10: No ingresado POA 2024. Negligencia planificacion.</t>
  </si>
  <si>
    <t>🔷 ESCALA UNIFICADA LOSEP (Fuente: PARAMS B64:B68) · SIAP-ICPI · Norma Técnica MDT Evaluación Servidores Públicos · LOSEP Art.76-80</t>
  </si>
  <si>
    <t>IED ≥ 96%</t>
  </si>
  <si>
    <t>Felicitación pública + acción de personal + registro SIITH</t>
  </si>
  <si>
    <t>IED 85-95.99%</t>
  </si>
  <si>
    <t>Reconocimiento escrito + incremento remunerativo + SIITH</t>
  </si>
  <si>
    <t>IED 70-84.99%</t>
  </si>
  <si>
    <t>Sin acción correctiva — Evaluación aprobada</t>
  </si>
  <si>
    <t>IED 60-69.99%</t>
  </si>
  <si>
    <t>Plan mejora obligatorio 90 días + seguimiento mensual Dir. RRHH</t>
  </si>
  <si>
    <t>IED &lt; 60%</t>
  </si>
  <si>
    <t>Sumario administrativo LOSEP Art.80 + Notificación Alcaldía 48h</t>
  </si>
  <si>
    <t>IED &gt; 100%</t>
  </si>
  <si>
    <t>⭐ EXCELENTE*</t>
  </si>
  <si>
    <t>⭐ Ti supera meta PDOT — ejecución extra. Clasifica como EXCELENTE.</t>
  </si>
  <si>
    <t>SIAP-ICPI §3.8</t>
  </si>
  <si>
    <t>🔷 INFORME SEMESTRAL · n=20 metas · S1 / S2 2025 · Avance acumulado vs meta anual PDOT</t>
  </si>
  <si>
    <t>CORTE</t>
  </si>
  <si>
    <t>MES EVALUACIÓN</t>
  </si>
  <si>
    <t>PLAZO NOTIF. MDT</t>
  </si>
  <si>
    <t>DATOS FUENTE</t>
  </si>
  <si>
    <t>🔴 ACCIÓN SI INACEPTABLE</t>
  </si>
  <si>
    <t>REGISTRO SIITH</t>
  </si>
  <si>
    <t>ESCALA APLICABLE</t>
  </si>
  <si>
    <t>S1 — SEMESTRAL</t>
  </si>
  <si>
    <t>Enero–Junio del año en curso</t>
  </si>
  <si>
    <t>Julio (15 días hábiles)</t>
  </si>
  <si>
    <t>31 julio — informe Dir. RRHH al MDT</t>
  </si>
  <si>
    <t>D-MAD S4 al 30/jun · L-CEDULAS · Y-EVAL-DIR (avance)</t>
  </si>
  <si>
    <t>Notificación escrita + Plan mejora 30 días · No sumario aún</t>
  </si>
  <si>
    <t>Sí — calificación parcial</t>
  </si>
  <si>
    <t>LOSEP 5 niveles (PARAMS B64:B68)</t>
  </si>
  <si>
    <t>S2 — ANUAL</t>
  </si>
  <si>
    <t>Enero–Diciembre del año en curso</t>
  </si>
  <si>
    <t>Enero siguiente (15 días hábiles)</t>
  </si>
  <si>
    <t>31 enero — informe definitivo MDT</t>
  </si>
  <si>
    <t>D-MAD S4 cierre año · L-CEDULAS cierre · Y-EVAL-DIR final</t>
  </si>
  <si>
    <t>🔴 INACEPTABLE → Sumario LOSEP Art.80 en 48h + SIITH</t>
  </si>
  <si>
    <t>Sí — calificación definitiva</t>
  </si>
  <si>
    <t>S1-PDOT</t>
  </si>
  <si>
    <t>Bianual — avance PDOT 2023-2025</t>
  </si>
  <si>
    <t>Julio 2025 (primera evaluación)</t>
  </si>
  <si>
    <t>SNP/SIGAD plazo PDOT</t>
  </si>
  <si>
    <t>SIGAD ICM S1 + D-MAD estado metas</t>
  </si>
  <si>
    <t>Informe a Concejo Municipal + plan remedial POA</t>
  </si>
  <si>
    <t>No (PDOT)</t>
  </si>
  <si>
    <t>ICPI vs ICM (semáforo CININ)</t>
  </si>
  <si>
    <t>S2-PDOT</t>
  </si>
  <si>
    <t>Quinquenal — cierre PDOT 2027</t>
  </si>
  <si>
    <t>Enero 2028</t>
  </si>
  <si>
    <t>SNP/SIGAD plazo cierre</t>
  </si>
  <si>
    <t>SIGAD ICM final + Liquidación eSIGEF</t>
  </si>
  <si>
    <t>Informe gestión completo + RDC final CPCCS</t>
  </si>
  <si>
    <t>ICPI final vs ICM cierre</t>
  </si>
  <si>
    <t>🔶 SECCIÓN B — CUADRO DE EVALUACIÓN SEMESTRAL POR DIRECCIÓN · Alimentado desde Y-EVAL-DIR + D-MAD · Actualizar D-MAD S4 con datos eSIGEF del corte para recalcular automáticamente</t>
  </si>
  <si>
    <t>COD.DIR.</t>
  </si>
  <si>
    <t>IED_DIR (% corte)</t>
  </si>
  <si>
    <t>CALIFIC. S1 JUN</t>
  </si>
  <si>
    <t>CALIFIC. S2 DIC (ANUAL)</t>
  </si>
  <si>
    <t>PLAZO ACCIÓN</t>
  </si>
  <si>
    <t>RESPONSABLE ACCIÓN</t>
  </si>
  <si>
    <t>ESTADO SIITH</t>
  </si>
  <si>
    <t>N°METAS</t>
  </si>
  <si>
    <t>METAS Vi=1</t>
  </si>
  <si>
    <t>OBSERVACIONES</t>
  </si>
  <si>
    <t>Felicitación pública — Art.78 LOSEP</t>
  </si>
  <si>
    <t>🟢 carga</t>
  </si>
  <si>
    <t>LOSEP Art.76-77</t>
  </si>
  <si>
    <t>Sumario admin. LOSEP Art.80</t>
  </si>
  <si>
    <t>48 horas desde corte</t>
  </si>
  <si>
    <t>Alcaldía + DAJ + Dir. RRHH</t>
  </si>
  <si>
    <t>🔴 Urgente — cargar SIITH</t>
  </si>
  <si>
    <t>Dir. Avalúos y Catastros</t>
  </si>
  <si>
    <t>Dir. Tecnología e Información</t>
  </si>
  <si>
    <t>Dir. Planificación y Desarrollo</t>
  </si>
  <si>
    <t>Unidad Gestión Sanitaria/MSP</t>
  </si>
  <si>
    <t>⬜ datos S1</t>
  </si>
  <si>
    <t>🔶 SECCIÓN C — PROTOCOLO DESLINDE ADMINISTRATIVO · Flujo actos LOSEP + SIITH · Base: LOSEP Arts.76-80 + COA Arts.196-211 + NT MDT Evaluación</t>
  </si>
  <si>
    <t>PLAZO NOTIF.</t>
  </si>
  <si>
    <t>PASO 1</t>
  </si>
  <si>
    <t>PASO 2</t>
  </si>
  <si>
    <t>PASO 3</t>
  </si>
  <si>
    <t>PASO 4</t>
  </si>
  <si>
    <t>PASO 5</t>
  </si>
  <si>
    <t>DOC. GENERADO</t>
  </si>
  <si>
    <t>15 días hábiles</t>
  </si>
  <si>
    <t>Dir. RRHH elabora informe IED≥96%</t>
  </si>
  <si>
    <t>Dir. Planificación certifica metas PDOT cumplidas</t>
  </si>
  <si>
    <t>Alcaldía emite felicitación pública (Resolución)</t>
  </si>
  <si>
    <t>RRHH registra en expediente y acción de personal</t>
  </si>
  <si>
    <t>Resolución Alcaldía + Acción Personal</t>
  </si>
  <si>
    <t>Sí — calificación + acción personal</t>
  </si>
  <si>
    <t>Dir. RRHH emite reconocimiento escrito</t>
  </si>
  <si>
    <t>Firma Director afectado (receptor)</t>
  </si>
  <si>
    <t>Copia a expediente RRHH</t>
  </si>
  <si>
    <t>Sí — calificación</t>
  </si>
  <si>
    <t>Dir. RRHH registra calificación aprobada</t>
  </si>
  <si>
    <t>Notificación al servidor (correo institucional)</t>
  </si>
  <si>
    <t>Registro calificación</t>
  </si>
  <si>
    <t>Dir. RRHH convoca al Director para plan mejora</t>
  </si>
  <si>
    <t>Director formula Plan Mejora 90 días + cronograma</t>
  </si>
  <si>
    <t>Alcaldía aprueba el Plan Mejora</t>
  </si>
  <si>
    <t>Seguimiento mensual RRHH</t>
  </si>
  <si>
    <t>Reevaluación al día 90</t>
  </si>
  <si>
    <t>Memorando + Plan Mejora + Acta seguimiento</t>
  </si>
  <si>
    <t>Sí — calificación + plan mejora</t>
  </si>
  <si>
    <t>Dir. RRHH notifica a Dir. Planificación (D+0)</t>
  </si>
  <si>
    <t>Dir. Planificación eleva a Alcaldía en 24h (D+1)</t>
  </si>
  <si>
    <t>Alcaldía ordena inicio sumario LOSEP Art.80 (D+2)</t>
  </si>
  <si>
    <t>DAJ designa Investigador + notifica al sumariado</t>
  </si>
  <si>
    <t>Proceso sumario 30 días + resolución</t>
  </si>
  <si>
    <t>LOSEP Art.80 + COA Art.196-211</t>
  </si>
  <si>
    <t>Resolución inicio sumario + Acto sumario + Resolución sanción</t>
  </si>
  <si>
    <t>✅ Sí — urgente · calificación + sumario activo</t>
  </si>
  <si>
    <t>🔶 SECCIÓN D — ESTADÍSTICAS CICLO EVALUACIÓN ACTUAL · Resumen automático para informe MDT</t>
  </si>
  <si>
    <t>Total direcciones evaluadas</t>
  </si>
  <si>
    <t>Corte anual 2023-2024</t>
  </si>
  <si>
    <t>⭐ EXCELENTE (IED≥96%)</t>
  </si>
  <si>
    <t>DSC=150% → Gestión excepcional meta SOC-03</t>
  </si>
  <si>
    <t>✅ MUY BUENO (85-95.99%)</t>
  </si>
  <si>
    <t>Ninguna dirección en este rango</t>
  </si>
  <si>
    <t>🟢 SATISFACTORIO (70-84.99%)</t>
  </si>
  <si>
    <t>DAS=82.5%, DOP=80.5% → Sin acción</t>
  </si>
  <si>
    <t>🟡 REGULAR (60-69.99%)</t>
  </si>
  <si>
    <t>🔴 INACEPTABLE (&lt;60%)</t>
  </si>
  <si>
    <t>9 dirs → Sumario/plan mejora según §3.8.4 deslinde</t>
  </si>
  <si>
    <t>ICPI Global corregido</t>
  </si>
  <si>
    <t>Vs ICM SIGAD 92.25% → Brecha -48.01 pp</t>
  </si>
  <si>
    <t>Ti Global (ejecución presupuestaria)</t>
  </si>
  <si>
    <t>Metas PDOT con Vi=1</t>
  </si>
  <si>
    <t>Cadena CININ completa</t>
  </si>
  <si>
    <t>Metas PDOT con Vi=0 (sin cadena)</t>
  </si>
  <si>
    <t>🔶 SECCIÓN E — PROTOCOLO SIITH + INFORME CORTE MDT · Flujo de carga obligatoria al SIITH · Base: LOSEP Art.77 + NT MDT Evaluación · SIAP-ICPI</t>
  </si>
  <si>
    <t>PLAZO LEGAL</t>
  </si>
  <si>
    <t>RESPONSABLE CARGA</t>
  </si>
  <si>
    <t>DATO A CARGAR EN SIITH</t>
  </si>
  <si>
    <t>MÓDULO SIAP FUENTE</t>
  </si>
  <si>
    <t>ACCIÓN PREVIA REQUERIDA</t>
  </si>
  <si>
    <t>S1 — SEMESTRAL (JUN)</t>
  </si>
  <si>
    <t>Julio (15 días hábiles desde 30 jun)</t>
  </si>
  <si>
    <t>Dir. RRHH + Dir. Planificación</t>
  </si>
  <si>
    <t>IED_S1 por director (est. S1 col E) + Nivel LOSEP S1</t>
  </si>
  <si>
    <t>T-SEMESTRAL col E · Y-EVAL-DIR Secc.B</t>
  </si>
  <si>
    <t>Actualizar D-MAD S4 con eSIGEF al 30-jun → recalcular IED → cargar SIITH</t>
  </si>
  <si>
    <t>⬜ corte jun</t>
  </si>
  <si>
    <t>S2 — ANUAL (DIC)</t>
  </si>
  <si>
    <t>Enero siguiente (15 días hábiles desde 31 dic)</t>
  </si>
  <si>
    <t>Dir. RRHH + Alcaldía</t>
  </si>
  <si>
    <t>IED_S2 definitivo + Nivel + Acción LOSEP (sumario / felicitación / aprobado)</t>
  </si>
  <si>
    <t>T-SEMESTRAL col F · Y-EVAL-DIR Secc.B</t>
  </si>
  <si>
    <t>Cierre eSIGEF 31-dic + liquidación L-CEDULAS + certificación SIGAD → cargar SIITH definitivo</t>
  </si>
  <si>
    <t>⬜ cierre anual</t>
  </si>
  <si>
    <t>🔴 INACEPTABLE URGENTE</t>
  </si>
  <si>
    <t>48 HORAS desde corte</t>
  </si>
  <si>
    <t>Dir. RRHH → Alcaldía → DAJ</t>
  </si>
  <si>
    <t>T-SEMESTRAL Secc.B col G + H</t>
  </si>
  <si>
    <t>Notificar Alcaldía D+0 → Planificación D+1 → Inicio sumario D+2 → SIITH carga urgente</t>
  </si>
  <si>
    <t>🔴 ACCIÓN INMEDIATA</t>
  </si>
  <si>
    <t>🔶 SECCIÓN F — RESUMEN EJECUTIVO INFORME CORTE MDT · Texto auto-generado para Director RRHH · LOSEP Art.77 + NT MDT</t>
  </si>
  <si>
    <t>CAMPO INFORME MDT</t>
  </si>
  <si>
    <t>VALOR CALCULADO (SIAP-ICPI)</t>
  </si>
  <si>
    <t>OBSERVACIÓN / NARRATIVA MDT</t>
  </si>
  <si>
    <t>Entidad</t>
  </si>
  <si>
    <t>Nombre oficial del GAD — fuente CONFIG-GAD</t>
  </si>
  <si>
    <t>ICPI Global</t>
  </si>
  <si>
    <t>Índice CININ consolidado vs ICM SIGAD 92.25% → Brecha -48 pp — Transición Crítica</t>
  </si>
  <si>
    <t>Ti Global (ejecución)</t>
  </si>
  <si>
    <t>Ejecución presupuestaria cédulas — fuente L-CEDULAS (eSIGEF sincronizado)</t>
  </si>
  <si>
    <t>Metas Vi_cadena=1</t>
  </si>
  <si>
    <t>Metas con cadena documental CININ completa — fuente D-MAD col X</t>
  </si>
  <si>
    <t>🟢 Dirs. SATISFACTORIO+</t>
  </si>
  <si>
    <t>Direcciones con IED ≥ 70% (aprobados sin acción correctiva)</t>
  </si>
  <si>
    <t>🔴 Dirs. INACEPTABLE</t>
  </si>
  <si>
    <t>Requieren Sumario LOSEP Art.80 + carga urgente SIITH — plazo 48 horas desde corte</t>
  </si>
  <si>
    <t>Período evaluado</t>
  </si>
  <si>
    <t>Anual 2023-2024 (S2 definitivo)</t>
  </si>
  <si>
    <t>Corte anual cerrado</t>
  </si>
  <si>
    <t>🔷 ITAM — TRANSPARENCIA ACTIVA · Literales: k, i, g, m, d · Ponderación por meta · Resultado: ITAM=84%</t>
  </si>
  <si>
    <t>VALOR ITAM</t>
  </si>
  <si>
    <t>SEMÁFORO</t>
  </si>
  <si>
    <t>LITERAL MÁS INCUMPLIDO</t>
  </si>
  <si>
    <t>METAS QUE CUMPLEN</t>
  </si>
  <si>
    <t>DIRECCIÓN MÁS OPACA</t>
  </si>
  <si>
    <t>ITAM DIR.</t>
  </si>
  <si>
    <t>🌐 ITAM Global GAD Montecristi</t>
  </si>
  <si>
    <t>CONTEO POR LITERAL →</t>
  </si>
  <si>
    <t>📋 Lit.k Planes:</t>
  </si>
  <si>
    <t>📄 Lit.i Contratos:</t>
  </si>
  <si>
    <t>💰 Lit.g Presupuesto:</t>
  </si>
  <si>
    <t>🎯 Lit.m Metas/RDC:</t>
  </si>
  <si>
    <t>📊 Lit.d Encuesta:</t>
  </si>
  <si>
    <t>⭐ ITAM=100%:</t>
  </si>
  <si>
    <t>🔍 SECCIÓN A — MATRIZ LOTAIP · 20 METAS PDOT × 5 LITERALES Art.7 · Datos de D-MAD y C-MAO · Entrada manual: Lit.d (Encuesta Satisfacción)</t>
  </si>
  <si>
    <t>ÁREA TEMÁTICA</t>
  </si>
  <si>
    <t>DIRECCIÓN RESPONSABLE (← C-MAO)</t>
  </si>
  <si>
    <t>Lit. k PLANES (S1+S2)</t>
  </si>
  <si>
    <t>Lit. i CONTRATOS (S3-PAC)</t>
  </si>
  <si>
    <t>Lit. g PRESUPUESTO (S4-CÉD.)</t>
  </si>
  <si>
    <t>Lit. m METAS/RDC (S5+S6)</t>
  </si>
  <si>
    <t>Lit. d ENCUESTA (MANUAL)</t>
  </si>
  <si>
    <t>TOTAL LIT. CUMPL.</t>
  </si>
  <si>
    <t>ITAM (%)</t>
  </si>
  <si>
    <t>SEMÁFORO TRANSP.</t>
  </si>
  <si>
    <t>OBSERVACIÓN LOTAIP</t>
  </si>
  <si>
    <t>Σ TOTALES / PROMEDIOS LOTAIP</t>
  </si>
  <si>
    <t>🏢 SECCIÓN B — RESPONSABILIDAD POR DIRECCIÓN · Identificación de Opacidad Institucional · Oficial de Información / TICS</t>
  </si>
  <si>
    <t>DIRECCIÓN RESPONSABLE</t>
  </si>
  <si>
    <t>Lit.k Planes</t>
  </si>
  <si>
    <t>Lit.i Contratos</t>
  </si>
  <si>
    <t>Lit.g Presup.</t>
  </si>
  <si>
    <t>Lit.m Metas</t>
  </si>
  <si>
    <t>Lit.d Encuesta</t>
  </si>
  <si>
    <t>ITAM DIR. (%)</t>
  </si>
  <si>
    <t>⚖️ SECCIÓN C — MARCO NORMATIVO ITAM · LOTAIP Art.7 · Literales aplicables al GAD Municipal</t>
  </si>
  <si>
    <t>LITERAL LOTAIP</t>
  </si>
  <si>
    <t>OBLIGACIÓN GAD (Art.7)</t>
  </si>
  <si>
    <t>COLUMNA FUENTE</t>
  </si>
  <si>
    <t>SANCIÓN POR INCUMPL.</t>
  </si>
  <si>
    <t>k — Planes y programas</t>
  </si>
  <si>
    <t>Publicar PDOT + POA vigentes con metas e indicadores</t>
  </si>
  <si>
    <t>D-MAD cols Q+R (S1+S2)</t>
  </si>
  <si>
    <t>LOTAIP Art.7 lit.k · COOTAD Art.295</t>
  </si>
  <si>
    <t>DEFENSORÍA DEL PUEBLO · Sanción administrativa Art.13 LOTAIP</t>
  </si>
  <si>
    <t>i — Contratos</t>
  </si>
  <si>
    <t>Publicar contratos &gt;$75k en portal institucional + SERCOP</t>
  </si>
  <si>
    <t>D-MAD col S (S3-PAC)</t>
  </si>
  <si>
    <t>LOTAIP Art.7 lit.i · LOSNCP Art.11</t>
  </si>
  <si>
    <t>CONTRALORÍA GENERAL · Multa hasta 10% del contrato</t>
  </si>
  <si>
    <t>g — Presupuesto</t>
  </si>
  <si>
    <t>Publicar cédulas presupuestarias devengadas y liquidadas</t>
  </si>
  <si>
    <t>D-MAD col T (S4-Ti&gt;0)</t>
  </si>
  <si>
    <t>LOTAIP Art.7 lit.g · COPFP Art.165</t>
  </si>
  <si>
    <t>CONTRALORÍA + DEFENSORÍA · Responsabilidad solidaria Dir. Financiero</t>
  </si>
  <si>
    <t>m — Metas SIGAD/RDC</t>
  </si>
  <si>
    <t>Reportar metas en SIGAD y presentar RDC ante CPCCS</t>
  </si>
  <si>
    <t>D-MAD cols U+V (S5+S6)</t>
  </si>
  <si>
    <t>LOTAIP Art.7 lit.m · COOTAD Art.301</t>
  </si>
  <si>
    <t>CPCCS · Proceso de Incumplimiento · Posible destitución Alcaldía</t>
  </si>
  <si>
    <t>d — Encuesta satisfacción</t>
  </si>
  <si>
    <t>Publicar ANUALMENTE reporte de encuesta ciudadana</t>
  </si>
  <si>
    <t>MANUAL (col I) — 1=Publicado</t>
  </si>
  <si>
    <t>LOTAIP Art.7 lit.d · Acuerdo SNPD-2019</t>
  </si>
  <si>
    <t>DEFENSORÍA · Informe incumplimiento · Multa 5 SBU</t>
  </si>
  <si>
    <t>🔷 INDICADORES DE LOGRO SIL · n=20 metas · Línea base → Meta 2027 → Avance 2025</t>
  </si>
  <si>
    <t>CÓDIGO PDOT OFICIAL</t>
  </si>
  <si>
    <t>META / OBJETIVO ESTRATÉGICO (SínPDOT)</t>
  </si>
  <si>
    <t>POA PLANIF. (Sí/No)</t>
  </si>
  <si>
    <t>PAC CONTRAT. (Sí/No)</t>
  </si>
  <si>
    <t>PRESUPUESTO ASIGNADO ($)</t>
  </si>
  <si>
    <t>PRESUPUESTO EJECUTADO ($)</t>
  </si>
  <si>
    <t>AVANCE % (Ti)</t>
  </si>
  <si>
    <t>EVIDENCIA Vi (1/0)</t>
  </si>
  <si>
    <t>ESTADO (Automático)</t>
  </si>
  <si>
    <t>FECHA ÚLTIMA ACTUALIZACIÓN</t>
  </si>
  <si>
    <t>IED DIRECCIÓN</t>
  </si>
  <si>
    <t>ENLACE VERIFICACIÓN (SERCOP / LOTAIP)</t>
  </si>
  <si>
    <t>CÓDIGO SIAP (Referencial)</t>
  </si>
  <si>
    <t>Cobertura Agua Potable — Ampliación redes + Acueducto CAF 30.000m³/día</t>
  </si>
  <si>
    <t>Fri Feb 27 2026</t>
  </si>
  <si>
    <t>https://www.compraspublicas.gob.ec</t>
  </si>
  <si>
    <t>Alcantarillado Sanitario — Fase I BEI-PROGAPSA + Colector Principal + PTAR</t>
  </si>
  <si>
    <t>Centro de Salud Tipo C «Nacer Aquí» — Convenio MSP (Vi=0)</t>
  </si>
  <si>
    <t>https://www.lotaip.montecristi.gob.ec</t>
  </si>
  <si>
    <t>Terminal Terrestre Montecristi — Ciudad Bicentenario</t>
  </si>
  <si>
    <t>Camal Municipal — Gestión infraestructura equipamientos (Vi=0)</t>
  </si>
  <si>
    <t>⬜ ❌ No iniciado</t>
  </si>
  <si>
    <t>Equipamiento Geriátrico — Centros de Apoyo Grupos Vulnerables (100%)</t>
  </si>
  <si>
    <t>Bacheo y Pavimentación — Ejes viales estratégicos cantonales</t>
  </si>
  <si>
    <t>Unidad Médica Móvil — Atención prioritaria Patronato (Vi=0)</t>
  </si>
  <si>
    <t>Planta de Oxidación/PTAR — Colector Principal Montecristi</t>
  </si>
  <si>
    <t>Parques y Áreas Verdes — Parque Las Pampas + Red Verde</t>
  </si>
  <si>
    <t>Guarderías Nocturnas — Programa protección infantil MIES (Vi=0)</t>
  </si>
  <si>
    <t>Planta Tratamiento Desechos — Relleno sanitario MAATE</t>
  </si>
  <si>
    <t>Dir. Ejecutivo EP</t>
  </si>
  <si>
    <t>Equipo Caminero / Maquinaria — Mantenimiento vías urbanas-rurales (100%)</t>
  </si>
  <si>
    <t>Central Monitoreo / Cámaras CCTV — Control Vial (Vi=0)</t>
  </si>
  <si>
    <t>Digitalización de Trámites — Plataforma ciudadana + WiFi público</t>
  </si>
  <si>
    <t>Actualización Catastro — Sistema Catastral Integrado + SIL (100%)</t>
  </si>
  <si>
    <t>Albergue Fauna Urbana — Manglar Vivo Playa San José</t>
  </si>
  <si>
    <t>Proyecto Ecoturístico Playa San José — Manglar Vivo BDE</t>
  </si>
  <si>
    <t>Embellecimiento y Señalética Urbana — Señalización Vial CUP (100%)</t>
  </si>
  <si>
    <t>Reservorios de Agua — Infraestructura captación comunas rurales</t>
  </si>
  <si>
    <t>🔷 SECCIÓN B — RESUMEN ESTADÍSTICO SIL · Indicadores de exportación · Actualización automática desde Sección A</t>
  </si>
  <si>
    <t>INDICADOR SIL</t>
  </si>
  <si>
    <t>VALOR (Auto-calculado)</t>
  </si>
  <si>
    <t>FÓRMULA</t>
  </si>
  <si>
    <t>Total metas registradas n=</t>
  </si>
  <si>
    <t>Metas ✅ Completadas (Ti&gt;80%)</t>
  </si>
  <si>
    <t>Metas En ejecución (Ti 40-80%)</t>
  </si>
  <si>
    <t>Metas ⚠️ Atrasadas (Ti 1-40%)</t>
  </si>
  <si>
    <t>Metas ❌ No iniciadas (Ti=0%)</t>
  </si>
  <si>
    <t>Metas con Evidencia Vi=1</t>
  </si>
  <si>
    <t>🟡 Avance promedio global Ti̅</t>
  </si>
  <si>
    <t>Presupuesto Total Asignado ($)</t>
  </si>
  <si>
    <t>Presupuesto Total Ejecutado ($)</t>
  </si>
  <si>
    <t>% Ejecución Presupuestal</t>
  </si>
  <si>
    <t>Ti Global (L-CEDULAS)</t>
  </si>
  <si>
    <t>Ejecución presupuestaria cédulas eSIGEF</t>
  </si>
  <si>
    <t>🔷 SECCIÓN C — INSTRUCCIONES EXPORTACIÓN SIL · Procedimiento mensual COOTAD Art. 598 · Responsable: Director de Planificación</t>
  </si>
  <si>
    <t>PASO</t>
  </si>
  <si>
    <t>HERRAMIENTA</t>
  </si>
  <si>
    <t>Actualizar col I (Avance %) con Ti del período desde D-MAD. Verificar celdas A6:J25 sin vacíos</t>
  </si>
  <si>
    <t>Resp. Planificación</t>
  </si>
  <si>
    <t>D-MAD → Q-SIL</t>
  </si>
  <si>
    <t>Día 1 del mes</t>
  </si>
  <si>
    <t>Confirmar que metas con Vi=1 tienen URL válida en col N (SERCOP o LOTAIP)</t>
  </si>
  <si>
    <t>SERCOP / LOTAIP</t>
  </si>
  <si>
    <t>Días 1-3 del mes</t>
  </si>
  <si>
    <t>Verificar IED en col M desde F-EDS Sección B. Actualizar si hubo evaluación nueva</t>
  </si>
  <si>
    <t>F-EDS Sección B</t>
  </si>
  <si>
    <t>Días 2-4 del mes</t>
  </si>
  <si>
    <t>Exportar A5:N25 como CSV: Archivo → Guardar copia → CSV UTF-8. Nombre: SIL_MONT_AAAAMM.csv</t>
  </si>
  <si>
    <t>Resp. Informática</t>
  </si>
  <si>
    <t>Excel → Guardar CSV</t>
  </si>
  <si>
    <t>Días 3-5 del mes</t>
  </si>
  <si>
    <t>Subir CSV al portal SIGAD: planificaecuador.gob.ec → Seguimiento → Carga masiva SIL</t>
  </si>
  <si>
    <t>Director Planificación</t>
  </si>
  <si>
    <t>Portal SIGAD</t>
  </si>
  <si>
    <t>Día 5 del mes</t>
  </si>
  <si>
    <t>Generar reporte confirmación SIL. Archivar en /SIL/AAAAMM/ y registrar en P-VERIFICACION col M</t>
  </si>
  <si>
    <t>SIGAD + Archivo GAD</t>
  </si>
  <si>
    <t>Días 5-7 del mes</t>
  </si>
  <si>
    <t>DESCRIPCIÓN DEL INCUMPLIMIENTO</t>
  </si>
  <si>
    <t>META AFECTADA (Código PDOT)</t>
  </si>
  <si>
    <t>FECHA DETECCIÓN</t>
  </si>
  <si>
    <t>ESTADO ALERTA</t>
  </si>
  <si>
    <t>ACCIÓN ADMINISTRATIVA REQUERIDA (Base legal)</t>
  </si>
  <si>
    <t>IED=0%: Patronato sin evidencia Vi=0 en 3 metas (SOC-02, SOC-07, SOC-04) — Ruptura Total trazabilidad §3.4</t>
  </si>
  <si>
    <t>PDOT.SC.OE2.M1/M3/M4</t>
  </si>
  <si>
    <t>🔴 Abierta</t>
  </si>
  <si>
    <t>SUMARIO ADMINISTRATIVO — LOSEP Art.80 + COOTAD Art.339 + COA Art.196. Plazo: 5 días hábiles</t>
  </si>
  <si>
    <t>IED=0%: Dirección de Servicios Públicos — Vi=0, Ti=0, PAC=0. Meta TER-10 sin ninguna acción ejecutada</t>
  </si>
  <si>
    <t>SUMARIO ADMINISTRATIVO — LOSEP Art.80 + COOTAD Art.339. Informe al Alcalde en 48h</t>
  </si>
  <si>
    <t>IED=15.8%: Unidad Gestión Sanitaria — 3 metas sin contratación PAC. Solo esterilización ejecutada</t>
  </si>
  <si>
    <t>SUMARIO ADMINISTRATIVO — IED&lt;30% activa sumario automático. Informe técnico 5 días hábiles</t>
  </si>
  <si>
    <t>IED=50%: Dirección Avalúos y Catastros — catastro actualizado pero PAC=0 en meta INS-05 — gestión parcial</t>
  </si>
  <si>
    <t>🔴 🟠 Abierta</t>
  </si>
  <si>
    <t>MEMORANDO FORMAL — Plan mejora 30 días · LOSEP Art.80 · Vincular catastro al SIL</t>
  </si>
  <si>
    <t>IED=27.5%: Dirección TIC — SOC-15 sin evidencia Vi=0 (cámaras CCTV sin registro SERCOP). INS-03 en 70%</t>
  </si>
  <si>
    <t>MEMORANDO FORMAL — Regularizar CCTV en SERCOP en 15 días · COA Art.196</t>
  </si>
  <si>
    <t>Meta PDOT.AS.OE1.M2.01 (Terminal Terrestre): POA Sí, PAC Sí pero Ti=45% — ritmo insuficiente para 2027</t>
  </si>
  <si>
    <t>🟡 🟠 En gestión</t>
  </si>
  <si>
    <t>PLAN DE ACELERACIÓN — Revisión hitos trimestrales + informe avance al Concejo Municipal</t>
  </si>
  <si>
    <t>IED=40.5%: EP Aseo Integral — Ti=30% en relleno sanitario. Sin regularización MAATE. Plan mejora activo</t>
  </si>
  <si>
    <t>🟡 En gestión</t>
  </si>
  <si>
    <t>PLAN MEJORA 60 DÍAS — Proceso regularización MAATE + gestión financiamiento BDE/BIESS</t>
  </si>
  <si>
    <t>IED=13.5%: Unidad Turismo — Ti=30% Proyecto Manglar Vivo. Sin socio estratégico definido</t>
  </si>
  <si>
    <t>PLAN MEJORA 60 DÍAS — Convenio MINTUR + postulación Premio Verde BDE en POA 2025</t>
  </si>
  <si>
    <t>IED=54%: Unidad Ambiental — Ti=40% PTAR Montecristi. Sin financiamiento definitivo</t>
  </si>
  <si>
    <t>PLAN MEJORA 60 DÍAS — Gestionar financiamiento no reembolsable + estudios definitivos</t>
  </si>
  <si>
    <t>IED=20%: Dir. Planificación — Terminal Terrestre Ti=45%. Estudios sin contrato definido</t>
  </si>
  <si>
    <t>PLAN MEJORA 60 DÍAS — Incluir estudios factibilidad + diseño en POA 2025 con SERCOP</t>
  </si>
  <si>
    <t>🟢 BAJA</t>
  </si>
  <si>
    <t>Actualización : Meta SOC-08 (Albergue Fauna) sin movimiento desde Q4-2023. Ti=35% estancado</t>
  </si>
  <si>
    <t>RECORDATORIO — Actualizar Ti y Vi con informe técnico mensual. Plazo: 30 días</t>
  </si>
  <si>
    <t>Evidencia Vi sin enlace verificación URL: Meta SOC-15 tiene Vi=0 pero no hay URL SERCOP registrada</t>
  </si>
  <si>
    <t>URL en Q-SIL col N con enlace SERCOP o LOTAIP vigente</t>
  </si>
  <si>
    <t>IED=82.5%: Dir. Agua Potable — TER-15 (Reservorios) Ti=25%. Acueducto CAF sin contraparte 20%</t>
  </si>
  <si>
    <t>SEGUIMIENTO SEMANAL — Activar contraparte 20% CAF + diseño definitivo reservorios rurales</t>
  </si>
  <si>
    <t>Meta INS-05 Catastro: PAC=0 aunque Ti=100%. Sin proceso SERCOP formal de actualización catastral</t>
  </si>
  <si>
    <t>REGULARIZAR en SERCOP — Emitir certificación técnica de actualización + vincular al SIL</t>
  </si>
  <si>
    <t>🔴 SECCIÓN B — CRITERIOS DE CLASIFICACIÓN Y ACCIONES ADMINISTRATIVAS · Base legal: LOSEP Arts.76-80 · COOTAD Art.338-339 · COA Art.196</t>
  </si>
  <si>
    <t>RANGO IED</t>
  </si>
  <si>
    <t>INDICADOR ADICIONAL</t>
  </si>
  <si>
    <t>COLOR</t>
  </si>
  <si>
    <t>EQUIV. LOSEP</t>
  </si>
  <si>
    <t>IED &lt; 30%</t>
  </si>
  <si>
    <t>Vi=0 en ≥2 metas ó Ti=0 con PAC=0</t>
  </si>
  <si>
    <t>Rojo</t>
  </si>
  <si>
    <t>🔴 INACEPTABLE (&lt;60%) — LOSEP Art.80</t>
  </si>
  <si>
    <t>5 días hábiles</t>
  </si>
  <si>
    <t>LOSEP Art.80 + COOTAD Art.339 + COA Art.196</t>
  </si>
  <si>
    <t>IED 30-49%</t>
  </si>
  <si>
    <t>PAC=0 con POA=Sí ó desviación presupuestal &gt;30%</t>
  </si>
  <si>
    <t>Naranja</t>
  </si>
  <si>
    <t>IED 50-69%</t>
  </si>
  <si>
    <t>Ti&lt;50% con PAC=Sí (contratado pero sin avance suficiente)</t>
  </si>
  <si>
    <t>Amarillo</t>
  </si>
  <si>
    <t>🟡 REGULAR (60-69%) — Plan mejora</t>
  </si>
  <si>
    <t>LOSEP Art.76-77 + COOTAD Art.338</t>
  </si>
  <si>
    <t>IED 70-79%</t>
  </si>
  <si>
    <t>Actualización &gt;30 días ó Vi sin URL</t>
  </si>
  <si>
    <t>Verde</t>
  </si>
  <si>
    <t>🟢 SATISFACTORIO (70-84%) — Sin acción</t>
  </si>
  <si>
    <t>LOSEP Art.76 (buenas prácticas)</t>
  </si>
  <si>
    <t>✅ EXCELENCIA</t>
  </si>
  <si>
    <t>IED ≥ 80%</t>
  </si>
  <si>
    <t>Ti≥80% + Vi=1 + POA + PAC completos</t>
  </si>
  <si>
    <t>Azul/Verde</t>
  </si>
  <si>
    <t>⭐ EXCELENTE (≥96%) — SIITH</t>
  </si>
  <si>
    <t>LOSEP Art.78 + COOTAD Art.339</t>
  </si>
  <si>
    <t>🔴 SECCIÓN C — RESUMEN ESTADÍSTICO DE ALERTAS · Conteo automático desde Sección A</t>
  </si>
  <si>
    <t>🔴 4 Abiertas · 1 En gestión · 7 En gestión (med) · 0 Resueltas</t>
  </si>
  <si>
    <t>🟡 En gestión — memos emitidos</t>
  </si>
  <si>
    <t>✅ Plan mejora activo 60 días</t>
  </si>
  <si>
    <t>✅ Seguimiento mensual activo</t>
  </si>
  <si>
    <t>TOTAL ALERTAS ACTIVAS</t>
  </si>
  <si>
    <t>🔴 7 Abiertas · 7 En gestión · 0 Resueltas</t>
  </si>
  <si>
    <t>🔴 SECCIÓN D — FLUJO DE ESCALAMIENTO Y RESPONSABLES · Jerarquía de notificación según nivel de alerta</t>
  </si>
  <si>
    <t>Responsable Planificación detecta IED&lt;30% en F-EDS → Notificar Director Planificación (mismo día) → Director eleva a Alcaldía en 24h → Alcaldía inicia sumario LOSEP Art.80 en 48h → Registro en R-ALERTAS col F = Abierta</t>
  </si>
  <si>
    <t>Alcaldía + Dir. Planificación + Dir. Afectado</t>
  </si>
  <si>
    <t>48h desde detección</t>
  </si>
  <si>
    <t>🔷 SECCIÓN D+ — PANEL DE INDICADORES SIAP-ICPI · Vinculado en tiempo real · Actualización automática al modificar D-MAD / Y-EVAL-DIR</t>
  </si>
  <si>
    <t>UMBRAL / META</t>
  </si>
  <si>
    <t>ACCIÓN R-ALERTAS</t>
  </si>
  <si>
    <t>≥ 92.25% ICM</t>
  </si>
  <si>
    <t>Alerta CRÍTICA si ICPI&lt;40%</t>
  </si>
  <si>
    <t>Dirs. INACEPTABLE</t>
  </si>
  <si>
    <t>0 / 12 ideal</t>
  </si>
  <si>
    <t>Sumario 48h LOSEP Art.80</t>
  </si>
  <si>
    <t>Metas Vi=0 (sin cadena)</t>
  </si>
  <si>
    <t>0 / 20 ideal</t>
  </si>
  <si>
    <t>Alerta CRÍTICA Vi=0</t>
  </si>
  <si>
    <t>Ti Global (eSIGEF)</t>
  </si>
  <si>
    <t>≥ 70% objetivo</t>
  </si>
  <si>
    <t>Alerta ALTA si Ti&lt;50%</t>
  </si>
  <si>
    <t>CUPs SIGPIP s</t>
  </si>
  <si>
    <t>20 CUPs en SIGPIP</t>
  </si>
  <si>
    <t>Verificar en sigpip.finanzas.gob.ec</t>
  </si>
  <si>
    <t>🔷 RESUMEN EJECUTIVO · ICPI = 41.71% · Transición Crítica · n=20 metas · Brecha PDOT: 50.54pp · SIAP-ICPI · GAD Montecristi</t>
  </si>
  <si>
    <t>NOTA / INTERPRETACIÓN</t>
  </si>
  <si>
    <t>Σ(Pi×Ri×Vi×Ei×Ti) ÷ Σ(Pi×Ri) · Se actualiza al modificar Vi/Ti en D-MAD</t>
  </si>
  <si>
    <t>Brecha ICPI vs Meta PDOT 2027</t>
  </si>
  <si>
    <t>ICPI − Meta PDOT 2027</t>
  </si>
  <si>
    <t>Brecha primaria — PDOT Plan Bicentenario 2023-2027 §3.6</t>
  </si>
  <si>
    <t>Categoría semáforo</t>
  </si>
  <si>
    <t>Transición Crítica 🟡</t>
  </si>
  <si>
    <t>E4-INTERP</t>
  </si>
  <si>
    <t>Escala ICPI: ≥90% Excelencia · ≥70% Satisfactorio · ≥40% Transición · ≥20% Ocurrencia · Ruptura</t>
  </si>
  <si>
    <t>ICM SIGAD 2023 (comparativo auto-reporte)</t>
  </si>
  <si>
    <t>92,25 %</t>
  </si>
  <si>
    <t>SIGAD auto-reporte</t>
  </si>
  <si>
    <t>Metas con Vi=1 (con soporte)</t>
  </si>
  <si>
    <t>D-MAD col. E</t>
  </si>
  <si>
    <t>ICPI potencial máximo</t>
  </si>
  <si>
    <t>67,64 % (Δ +20,6 pp)</t>
  </si>
  <si>
    <t>Si SOC-02 Vi→1, Ti→1: mayor impacto individual · Pi=0,20 · Ri=1.5 · CRÍTICA</t>
  </si>
  <si>
    <t>8 de obtención</t>
  </si>
  <si>
    <t>Cédulas GAD+Patronato 2023-2024 · POA Patronato · ICM 2024 SNP · Ver sección P</t>
  </si>
  <si>
    <t>⊕ SECCIÓN B — CONTINUIDAD POR EJE ESTRATÉGICO · n=20 metas · 5 ejes · Basado en PDOT/Plan Bicentenario 2023–2027</t>
  </si>
  <si>
    <t>EJE (n)</t>
  </si>
  <si>
    <t>🟢 ✅ ALINEADAS · ⚠️ PARCIALES · 🔴 BAJA CONT. · Vi=1 · Vi=0</t>
  </si>
  <si>
    <t>ICPI EJE (%)</t>
  </si>
  <si>
    <t>OBSERVACIÓN CLAVE</t>
  </si>
  <si>
    <t>TERRITORIAL (9)</t>
  </si>
  <si>
    <t>✅ 5 · ⚠️ 3 · 🔴 1 · Vi=1: 8 · Vi=0: 1 ████████████░░░░░░░░ 66,3 %</t>
  </si>
  <si>
    <t>66,3 %</t>
  </si>
  <si>
    <t>Eje mejor ejecutado. Acueducto CAF ($45.6M) es la gran apuesta del PDOT. Camal y Reservorios son las brechas críticas s.</t>
  </si>
  <si>
    <t>SOCIAL (6)</t>
  </si>
  <si>
    <t>✅ 1 · ⚠️ 2 · 🔴 3 · Vi=1: 2 · Vi=0: 4 ██░░░░░░░░░░░░░░░░░░ 11,9 %</t>
  </si>
  <si>
    <t>11,9 %</t>
  </si>
  <si>
    <t>Eje más crítico. Centro de Salud Tipo C (Pi=0,20 mayor peso) es el déficit más costoso. Requiere gestión interinstitucional urgente con MSP.</t>
  </si>
  <si>
    <t>AMBIENTAL (2)</t>
  </si>
  <si>
    <t>✅ 0 · ⚠️ 2 · 🔴 0 · Vi=1: 2 · Vi=0: 0 ███████░░░░░░░░░░░░░ 33,4 %</t>
  </si>
  <si>
    <t>33,4 %</t>
  </si>
  <si>
    <t>Ambas con Vi=1 pero Ti muy bajo (0,20–0,30). Relleno sanitario ($748K) y PTAR son los dos proyectos PDOT s de activación.</t>
  </si>
  <si>
    <t>ECONÓMICO (1)</t>
  </si>
  <si>
    <t>✅ 0 · ⚠️ 1 · 🔴 0 · Vi=1: 0 · Vi=0: 1 █████░░░░░░░░░░░░░░░ 27,0 %</t>
  </si>
  <si>
    <t>27,0 %</t>
  </si>
  <si>
    <t>Solo 1 meta: Playa San José. Vi=0. Ruta de continuidad vía Proyecto Manglar Vivo (PDOT) y Premio Verde BDE — gestión en curso.</t>
  </si>
  <si>
    <t>INSTITUCIONAL (2)</t>
  </si>
  <si>
    <t>✅ 2 · ⚠️ 0 · 🔴 0 · Vi=1: 2 · Vi=0: 0 █████████████████░░░ 85,8 %</t>
  </si>
  <si>
    <t>85,8 %</t>
  </si>
  <si>
    <t>Eje mejor documentado. Catastro y Digitalización completados (Vi=1). Ti=1,00 y Ti=0,70. Continuar integración SIL en POA 2025.</t>
  </si>
  <si>
    <t>TOTAL MUESTRA (20)</t>
  </si>
  <si>
    <t>△ SECCIÓN C — TOP 5 ACCIONES CRÍTICAS POA 2025 · Metas con mayor potencial de mejora del ICPI si se activan</t>
  </si>
  <si>
    <t># · ID</t>
  </si>
  <si>
    <t>META PDOT · ACCIÓN POA 2025</t>
  </si>
  <si>
    <t>Δ ICPI SI SE ACTIVA</t>
  </si>
  <si>
    <t>PLAZO · RESPONSABLE</t>
  </si>
  <si>
    <t>#1 🔴</t>
  </si>
  <si>
    <t>PDOT.SC.OE2.M1.01 · Centro de Salud Tipo C Gestionar convenio MSP; solicitar LOTAIP cédulas Patronato. Mayor impacto individual del sistema.</t>
  </si>
  <si>
    <t>+9,1 pp → 56,1 %</t>
  </si>
  <si>
    <t>Q1-2025 · Dir. Gestión Social / Patronato</t>
  </si>
  <si>
    <t>#2 🔴</t>
  </si>
  <si>
    <t>PDOT.AS.OE1.M2.02 · Nuevo Camal Municipal Informe de viabilidad técnica + incluir estudios y partida en POA 2025.</t>
  </si>
  <si>
    <t>+2,1 pp → 49,1 %</t>
  </si>
  <si>
    <t>Q1-2025 · Dir. Planificación / Servicios Públicos</t>
  </si>
  <si>
    <t>#3 🟠</t>
  </si>
  <si>
    <t>PDOT.AS.OE1.M2.01 · Terminal Terrestre Elevar Ti de 0,40 a 0,70. Estudios de factibilidad y diseño arquitectónico en POA 2025.</t>
  </si>
  <si>
    <t>+1,8 pp → 48,8 %</t>
  </si>
  <si>
    <t>Q2-2025 · Proyectos Estratégicos e Inversiones</t>
  </si>
  <si>
    <t>#4 🟠</t>
  </si>
  <si>
    <t>PDOT.AM.OE3.M2.01 · Relleno Sanitario Elevar Ti de 0,20 a 0,60. Iniciar proceso MAATE; estudio impacto ambiental.</t>
  </si>
  <si>
    <t>Q2-2025 · Empresa de Aseo / Planificación</t>
  </si>
  <si>
    <t>#5 🟡</t>
  </si>
  <si>
    <t>PDOT.AS.OE1.M1.03 · Reservorios de Agua Diseño definitivo reservorios rurales; gestionar financiamiento BDE Programa Agua Segura.</t>
  </si>
  <si>
    <t>+0,5 pp → 47,5 %</t>
  </si>
  <si>
    <t>Q2-2025 · Dir. Agua Potable / Financiero</t>
  </si>
  <si>
    <t>🚦 SECCIÓN D — SEMÁFORO DE CONTINUIDAD PDOT · Distribución de la muestra por nivel de alineación estratégica</t>
  </si>
  <si>
    <t>CATEGORÍA</t>
  </si>
  <si>
    <t>N° · %</t>
  </si>
  <si>
    <t>BARRA</t>
  </si>
  <si>
    <t>✅ 🟢 ALINEADAS</t>
  </si>
  <si>
    <t>10 · 50 %</t>
  </si>
  <si>
    <t>████████████░░░░░░░░</t>
  </si>
  <si>
    <t>Vi=1, proyecto PDOT definido, PAC ejecutado. Continuidad asegurada. Solo requieren mantenimiento y escala POA 2025.</t>
  </si>
  <si>
    <t>🟡 PARCIALES</t>
  </si>
  <si>
    <t>6 · 30 %</t>
  </si>
  <si>
    <t>███████░░░░░░░░░░░░░</t>
  </si>
  <si>
    <t>Proyecto PDOT existe pero Ti &lt; 0,70 o PAC insuficiente. Requieren activación formal en POA 2025.</t>
  </si>
  <si>
    <t>🟢 🔴 BAJA CONTINUIDAD</t>
  </si>
  <si>
    <t>4 · 20 %</t>
  </si>
  <si>
    <t>████░░░░░░░░░░░░░░░░</t>
  </si>
  <si>
    <t>Vi=0, sin soporte documental. Sin activación en POA 2025, el ICPI descenderá bajo el umbral del 40%.</t>
  </si>
  <si>
    <t>🔷 VERIFICACIÓN DE CALIDAD · Controles cruzados PDOT → POA → CEDULAS → MAD → ICPI</t>
  </si>
  <si>
    <t>DOCUMENTO / FUENTE</t>
  </si>
  <si>
    <t>INSTITUCIÓN</t>
  </si>
  <si>
    <t>PERIODO</t>
  </si>
  <si>
    <t>DÓNDE OBTENERLO</t>
  </si>
  <si>
    <t>VARIABLES D-MAD QUE ACTUALIZA</t>
  </si>
  <si>
    <t>METAS PDOT IMPACTADAS</t>
  </si>
  <si>
    <t>ICPI Δ ESTIMADO</t>
  </si>
  <si>
    <t>FECHA SOLICITUD</t>
  </si>
  <si>
    <t>FECHA RECEPCIÓN</t>
  </si>
  <si>
    <t>NOTAS</t>
  </si>
  <si>
    <t>Cédulas Presupuestarias de Gastos 2023</t>
  </si>
  <si>
    <t>GAD Municipal Montecristi</t>
  </si>
  <si>
    <t>Ejercicio fiscal 2023</t>
  </si>
  <si>
    <t>Cédula presupuestaria (PDF/Excel)</t>
  </si>
  <si>
    <t>Portal LOTAIP del GAD / Dir. Financiera vía solicitud formal Art. 18 Const. + LOTAIP Art. 7</t>
  </si>
  <si>
    <t>Vi (cols E D-MAD) y Ti (col G D-MAD) de todas las metas con ejecución 2023</t>
  </si>
  <si>
    <t>TER-14, TER-03, TER-02, TER-01, TER-05, AMB-07, AMB-08, INS-03, INS-05, TER-18</t>
  </si>
  <si>
    <t>+/- hasta 8pp ICPI según partidas verificadas</t>
  </si>
  <si>
    <t>🔴 CRÍTICA — Mayor impacto</t>
  </si>
  <si>
    <t>Dir. Planificación GAD</t>
  </si>
  <si>
    <t>Verificar partidas 73 (obras) y 84 (bienes) por meta</t>
  </si>
  <si>
    <t>Cédulas Presupuestarias de Gastos 2024</t>
  </si>
  <si>
    <t>Ejercicio fiscal 2024</t>
  </si>
  <si>
    <t>Portal LOTAIP del GAD / Dir. Financiera</t>
  </si>
  <si>
    <t>Vi y Ti de todas las metas con ejecución 2024</t>
  </si>
  <si>
    <t>TER-14, TER-03, TER-02, TER-01, SOC-15, INS-03, INS-05, TER-18, AMB-07, AMB-08</t>
  </si>
  <si>
    <t>+/- hasta 6pp ICPI</t>
  </si>
  <si>
    <t>Cruzar con ítems PAC 2024 ya registrados en A-PDOT</t>
  </si>
  <si>
    <t>POA 2023 del GAD Municipal Montecristi</t>
  </si>
  <si>
    <t>Periodo enero–diciembre 2023</t>
  </si>
  <si>
    <t>Plan Operativo Anual (PDF/Excel)</t>
  </si>
  <si>
    <t>Portal LOTAIP / Concejo Municipal / SIGAD</t>
  </si>
  <si>
    <t>Ti (avance físico por meta) y verificación de codificación PDOT Plan Bicentenario → POA</t>
  </si>
  <si>
    <t>TER-14, TER-03, TER-09, TER-10, SOC-02, TER-02, AMB-07</t>
  </si>
  <si>
    <t>🔴 Confirma o corrige Ti actuales. Crítico para TER-03 y TER-09</t>
  </si>
  <si>
    <t>Verificar si el código ID del PDOT Plan Bicentenario aparece en las metas del POA (Fuga del Verbo Rector)</t>
  </si>
  <si>
    <t>POA 2024 del GAD Municipal Montecristi</t>
  </si>
  <si>
    <t>Periodo enero–diciembre 2024</t>
  </si>
  <si>
    <t>Ti 2024 y nuevas evidencias para metas en curso</t>
  </si>
  <si>
    <t>TER-03, TER-09, SOC-02, AMB-07, INS-03, SOC-15</t>
  </si>
  <si>
    <t>Confirma Ti definitivos del periodo evaluado</t>
  </si>
  <si>
    <t>Determinar si el POA 2024 vincula explícitamente al PDOT Plan Bicentenario 2023-2027</t>
  </si>
  <si>
    <t>POA 2023 del Patronato Municipal</t>
  </si>
  <si>
    <t>Patronato GAD Montecristi</t>
  </si>
  <si>
    <t>Portal LOTAIP del Patronato / Dir. Patronato vía solicitud LOTAIP</t>
  </si>
  <si>
    <t>Vi y Ti de metas de política social ejecutadas vía Patronato</t>
  </si>
  <si>
    <t>SOC-03 (Geriátrico), SOC-07 (Unidad Móvil), SOC-04 (Guarderías), SOC-08 (Fauna)</t>
  </si>
  <si>
    <t>Si confirma Vi=1 en SOC-07: +1.1pp ICPI; en SOC-04: +0.4pp ICPI</t>
  </si>
  <si>
    <t>Dir. Patronato Municipal</t>
  </si>
  <si>
    <t>El Patronato ejecuta política social con Ei=0.9. Verificar si tiene POA propio o se articula al GAD</t>
  </si>
  <si>
    <t>POA 2024 del Patronato Municipal</t>
  </si>
  <si>
    <t>Portal LOTAIP del Patronato / Dir. Patronato</t>
  </si>
  <si>
    <t>Vi y Ti 2024 de metas sociales del Patronato</t>
  </si>
  <si>
    <t>SOC-03, SOC-07, SOC-04, SOC-08, SOC-02 (coordinación)</t>
  </si>
  <si>
    <t>Impacto potencial +2pp ICPI si confirma Vi=1 en SOC-07 y SOC-04</t>
  </si>
  <si>
    <t>Verificar si el Patronato tiene cédula presupuestaria propia o ejecuta con transferencias del GAD</t>
  </si>
  <si>
    <t>Cédulas Presupuestarias del Patronato 2023</t>
  </si>
  <si>
    <t>Portal LOTAIP del Patronato / Dir. Financiera GAD</t>
  </si>
  <si>
    <t>Vi de SOC-03, SOC-07, SOC-04, SOC-08 y Ei confirmado (0.9 vs 1.0)</t>
  </si>
  <si>
    <t>SOC-03, SOC-07, SOC-04, SOC-08</t>
  </si>
  <si>
    <t>Confirma o ajusta Ei de metas sociales</t>
  </si>
  <si>
    <t>Dir. Patronato / Dir. Financiera GAD</t>
  </si>
  <si>
    <t>Si el Patronato ejecuta como entidad adscrita, Ei=0.9 es correcto. Si es transferencia directa, revisar</t>
  </si>
  <si>
    <t>Cédulas Presupuestarias del Patronato 2024</t>
  </si>
  <si>
    <t>Vi y Ti definitivos 2024 para política social</t>
  </si>
  <si>
    <t>Define el Ti final del periodo evaluado para el eje social</t>
  </si>
  <si>
    <t>Verificar partidas específicas: equipamiento geriátrico, medicinas unidad móvil, etc.</t>
  </si>
  <si>
    <t>Informe Rendición de Cuentas 2023 (CPCCS)</t>
  </si>
  <si>
    <t>Informe PDF (CPCCS + LOTAIP)</t>
  </si>
  <si>
    <t>Portal CPCCS: cpccs.gob.ec / LOTAIP municipal</t>
  </si>
  <si>
    <t>Vi de todas las metas: si aparecen como 'cumplidas' en el informe oficial</t>
  </si>
  <si>
    <t>Todas las 20 metas de la muestra</t>
  </si>
  <si>
    <t>Referencia cruzada para detectar Erosión del Compromiso / Fuga del Verbo Rector</t>
  </si>
  <si>
    <t>✅ RECIBIDO</t>
  </si>
  <si>
    <t>Informe RDC N°17649 — 8 págs. Fecha evento: 10/05/2024 en Casa Patrimonial. Analizado en SIAP-ICPI v1.0.</t>
  </si>
  <si>
    <t>Informe Rendición de Cuentas 2024 (CPCCS)</t>
  </si>
  <si>
    <t>Ti definitivo y estado de metas al corte final del periodo</t>
  </si>
  <si>
    <t>Referencia oficial del Estado para contraste con ICPI (Brecha de Integridad)</t>
  </si>
  <si>
    <t>Informe RDC N°22844 — 15 págs. Fecha evento: 11/07/2025 en Comuna Toalla Grande. Analizado en SIAP-ICPI v1.0.</t>
  </si>
  <si>
    <t>🟩 SECCIÓN B — IMPACTO DE DOCUMENTOS S POR META PDOT — Variables que cambiarán en D-MAD cuando lleguen los documentos</t>
  </si>
  <si>
    <t>Vi ACTUAL</t>
  </si>
  <si>
    <t>Vi PODRÍA SER</t>
  </si>
  <si>
    <t>Ti PODRÍA SER</t>
  </si>
  <si>
    <t>DOCUMENTOS QUE DEFINEN EL CAMBIO</t>
  </si>
  <si>
    <t>CELDA D-MAD (Vi)</t>
  </si>
  <si>
    <t>CELDA D-MAD (Ti)</t>
  </si>
  <si>
    <t>DIRECCIÓN CAMBIO</t>
  </si>
  <si>
    <t>INSTITUCIÓN CLAVE</t>
  </si>
  <si>
    <t>OBSERVACIÓN</t>
  </si>
  <si>
    <t>1 (confirmado)</t>
  </si>
  <si>
    <t>0.60–0.85 (según cédulas)</t>
  </si>
  <si>
    <t>Cédulas GAD 2023–2024; POA 2023–2024 GAD</t>
  </si>
  <si>
    <t>D-MAD!E5</t>
  </si>
  <si>
    <t>D-MAD!G5</t>
  </si>
  <si>
    <t>±2 a +4pp</t>
  </si>
  <si>
    <t>↑ Ti mejorado a 0.75</t>
  </si>
  <si>
    <t>GAD Dirección Obras Públicas</t>
  </si>
  <si>
    <t>RDC 2023: 11,991m tubería alcantarillado Cerro Guayabal, 477 predios. RDC 2024: contratos en inicio Colorado/Paola/El Padrino + estudios definitivos AASS Fase I Eloy Alfaro.</t>
  </si>
  <si>
    <t>0→1 si hay proceso SERCOP</t>
  </si>
  <si>
    <t>0→0.40 si hay estudios</t>
  </si>
  <si>
    <t>Cédulas GAD 2024; POA 2024 GAD; proceso SERCOP de pre-factibilidad</t>
  </si>
  <si>
    <t>D-MAD!E6</t>
  </si>
  <si>
    <t>D-MAD!G6</t>
  </si>
  <si>
    <t>+9.1pp si Vi=0→1</t>
  </si>
  <si>
    <t>↻ Ti 0→0.15 (gestiones)</t>
  </si>
  <si>
    <t>GAD Planificación / Proyectos Estratégicos</t>
  </si>
  <si>
    <t>RDC 2024 p.11: Terreno MSP identificado + anteproyecto solicitado a ULEAM + acercamientos convenio MSP. Sin SERCOP. Vi=0 se mantiene. Mayor impacto potencial si llega convenio (+9.1pp).</t>
  </si>
  <si>
    <t>0.40–0.60 según documentación</t>
  </si>
  <si>
    <t>POA 2024 GAD; cédulas 2024; proceso SERCOP de estudios</t>
  </si>
  <si>
    <t>D-MAD!E7</t>
  </si>
  <si>
    <t>D-MAD!G7</t>
  </si>
  <si>
    <t>±1pp</t>
  </si>
  <si>
    <t>↑ Ti mejorado a 0.45</t>
  </si>
  <si>
    <t>GAD Proyectos Estratégicos</t>
  </si>
  <si>
    <t>RDC 2023 p.4: Informe de necesidad para estudio de macro movilidad para definir ubicación/modelo del nuevo terminal. RDC 2024 sin mención.</t>
  </si>
  <si>
    <t>0→1 si informe viabilidad existe</t>
  </si>
  <si>
    <t>0→0.20 si hay estudios iniciales</t>
  </si>
  <si>
    <t>Cédulas GAD 2024; POA 2024; informe técnico de Servicios Públicos</t>
  </si>
  <si>
    <t>D-MAD!E8</t>
  </si>
  <si>
    <t>D-MAD!G8</t>
  </si>
  <si>
    <t>+2.1pp si Vi=0→1</t>
  </si>
  <si>
    <t>↓ DESPRIORITIZADO</t>
  </si>
  <si>
    <t>GAD Servicios Públicos / Planificación</t>
  </si>
  <si>
    <t>RDC 2024 p.3: 'Se Despriorizó la construcción de un camal'. Terreno reorientado a plaza comercial para comerciantes informales. Vi=0 y Ti=0 confirmados. EROSION DEL COMPROMISO.</t>
  </si>
  <si>
    <t>1.0 (confirmado)</t>
  </si>
  <si>
    <t>Cédulas Patronato 2023–2024; POA Patronato 2023</t>
  </si>
  <si>
    <t>D-MAD!E9</t>
  </si>
  <si>
    <t>D-MAD!G9</t>
  </si>
  <si>
    <t>0 (estable)</t>
  </si>
  <si>
    <t>→ Sin cambio esperado</t>
  </si>
  <si>
    <t>RDC 2023 p.6: CDBV repotenciado a 24h con 67,459 beneficiarios. RDC 2024: proyectos remodelación CDBV con estudios definitivos. Vi=1 Ti=1 confirmados.</t>
  </si>
  <si>
    <t>0→1 si POA Patronato registra el vehículo</t>
  </si>
  <si>
    <t>0→0.50 si hay operación documentada</t>
  </si>
  <si>
    <t>POA 2023–2024 Patronato; cédulas Patronato; inventario de bienes municipales</t>
  </si>
  <si>
    <t>D-MAD!E11</t>
  </si>
  <si>
    <t>D-MAD!G11</t>
  </si>
  <si>
    <t>+1.1pp si Vi=0→1</t>
  </si>
  <si>
    <t>↑ Ti mejorado a 0.50</t>
  </si>
  <si>
    <t>Patronato Municipal / Dir. Financiera</t>
  </si>
  <si>
    <t>RDC 2023: USMC activa puerta a puerta 2,142 personas + 912 exámenes. RDC 2024: 3,743 atenciones brigadas médicas. Servicio documentado. Vi=0 se mantiene (falta OC del vehículo).</t>
  </si>
  <si>
    <t>0→1 si hay convenio MIES formalizado</t>
  </si>
  <si>
    <t>0→0.30 si hay actividades registradas</t>
  </si>
  <si>
    <t>POA 2023–2024 Patronato; cédulas Patronato; convenio MIES si existe</t>
  </si>
  <si>
    <t>D-MAD!E14</t>
  </si>
  <si>
    <t>D-MAD!G14</t>
  </si>
  <si>
    <t>+0.4pp si Vi=0→1</t>
  </si>
  <si>
    <t>→ Sin cambio (Sin RDC)</t>
  </si>
  <si>
    <t>Patronato Municipal / MIES</t>
  </si>
  <si>
    <t>Sin evidencia de guarderías nocturnas en RDC 2023 ni 2024. Vi=0 Ti=0 confirmados. Requiere POA Patronato o convenio MIES para actualizar.</t>
  </si>
  <si>
    <t>0.30–0.50 según cédulas</t>
  </si>
  <si>
    <t>Cédulas GAD 2023–2024 (operación plantas); POA 2024 GAD</t>
  </si>
  <si>
    <t>D-MAD!E12</t>
  </si>
  <si>
    <t>D-MAD!G12</t>
  </si>
  <si>
    <t>↑ Ti mejorado a 0.40</t>
  </si>
  <si>
    <t>GAD Dir. Agua Potable y Alcantarillado</t>
  </si>
  <si>
    <t>RDC 2023 p.7: postulación PTAR Eloy Alfaro a BDE-PROGAPSA + gestión terreno. RDC 2024 p.12: estudios definitivos CONSTRUCCIÓN CERRAMIENTO PTAR. Financiamiento en progreso.</t>
  </si>
  <si>
    <t>0.20–0.40 según cédulas</t>
  </si>
  <si>
    <t>Cédulas GAD 2023–2024 (Empresa de Aseo); POA 2024 GAD</t>
  </si>
  <si>
    <t>D-MAD!E15</t>
  </si>
  <si>
    <t>D-MAD!G15</t>
  </si>
  <si>
    <t>±0.5pp</t>
  </si>
  <si>
    <t>↑ Ti mejorado a 0.30</t>
  </si>
  <si>
    <t>Empresa de Aseo Municipal</t>
  </si>
  <si>
    <t>RDC 2023: cobertura recolección ampliada. RDC 2024: 4ta Reforma Ordenanza tasa basura sancionada + Empresa Aseo Integral. Sin relleno nuevo. Ti sube por normativa y cobertura.</t>
  </si>
  <si>
    <t>0→1 si POA Patronato registra el albergue</t>
  </si>
  <si>
    <t>0→0.20 si hay operación básica</t>
  </si>
  <si>
    <t>POA 2023–2024 Patronato; cédulas Patronato; informe Participación Ciudadana</t>
  </si>
  <si>
    <t>D-MAD!E20</t>
  </si>
  <si>
    <t>D-MAD!G20</t>
  </si>
  <si>
    <t>+0.07pp si Vi=0→1</t>
  </si>
  <si>
    <t>↑ Vi=1 Ti=0.35</t>
  </si>
  <si>
    <t>Patronato Municipal / Participación Ciudadana</t>
  </si>
  <si>
    <t>RDC 2023: 240 beneficiarios campañas + borrador ordenanza. RDC 2024: 172 castraciones + 1,439 atenciones + CERTIFICACIÓN Nº017-2024 ordenanza emitida. Vi=1 por soporte documental oficial.</t>
  </si>
  <si>
    <t>0→1 si hay factura/reporte TICS formalizado</t>
  </si>
  <si>
    <t>0→0.50 si sistema operativo documentado</t>
  </si>
  <si>
    <t>Cédulas GAD 2024 (TICS); informe técnico Dir. TICS; factura SERCOP del sistema</t>
  </si>
  <si>
    <t>D-MAD!E17</t>
  </si>
  <si>
    <t>D-MAD!G17</t>
  </si>
  <si>
    <t>+0.3pp si Vi=0→1</t>
  </si>
  <si>
    <t>↑ Ti=0.20 (alarmas)</t>
  </si>
  <si>
    <t>GAD Dir. TICS / Seguridad</t>
  </si>
  <si>
    <t>RDC 2024 p.3: 15 alarmas comunitarias instaladas. Estudio suelo bomberos Leonidas Proaño. Son alarmas, no cámaras centrales. Vi=0 se mantiene (falta factura SERCOP del sistema).</t>
  </si>
  <si>
    <t>0→1 si hay estudios definitivos formalizados</t>
  </si>
  <si>
    <t>0→0.10 si hay estudios avanzados</t>
  </si>
  <si>
    <t>Cédulas GAD 2024; POA 2024 GAD; informes Dir. Agua Potable</t>
  </si>
  <si>
    <t>D-MAD!E23</t>
  </si>
  <si>
    <t>D-MAD!G23</t>
  </si>
  <si>
    <t>+0.5pp si Vi=0→1</t>
  </si>
  <si>
    <t>↑ Vi=1 Ti=0.25</t>
  </si>
  <si>
    <t>GAD Dir. Agua Potable</t>
  </si>
  <si>
    <t>RDC 2024 p.7+12+13: financiamiento listo + estudios definitivos (rediseño oct.2024) + 3 convenios firmados (Rocafuerte, Portoviejo, Jaramijó) + 5 tanques reserva instalados. Vi=1 confirmado.</t>
  </si>
  <si>
    <t>0→1 si hay plan de manejo o expediente formal</t>
  </si>
  <si>
    <t>0→0.20 si hay gestión documentada</t>
  </si>
  <si>
    <t>Cédulas GAD 2023; informe obra escollera; expediente Premio Verde BDE</t>
  </si>
  <si>
    <t>D-MAD!E21</t>
  </si>
  <si>
    <t>D-MAD!G21</t>
  </si>
  <si>
    <t>+0.05pp si Vi=0→1</t>
  </si>
  <si>
    <t>↑ Vi=1 Ti=0.30</t>
  </si>
  <si>
    <t>GAD Dir. Cultura y Turismo</t>
  </si>
  <si>
    <t>RDC 2023 p.7: postulación Premio Verde BDE. RDC 2024 p.9+12: certificado ambiental emitido + estudios definitivos PROYECTO ECOTURÍSTICO MANGLAR VIVO 25/03/2024. Vi=1 por docs oficiales.</t>
  </si>
  <si>
    <t>▌ C — PROTOCOLO DE ACTUALIZACIÓN DEL MODELO CUANDO LLEGUEN LOS DOCUMENTOS</t>
  </si>
  <si>
    <t>🔵 SECCIÓN C — PROTOCOLO DE ACTUALIZACIÓN DEL MODELO · Pasos a seguir cuando lleguen los documentos s</t>
  </si>
  <si>
    <t>ACCIÓN</t>
  </si>
  <si>
    <t>HOJA / CAMPO</t>
  </si>
  <si>
    <t>CELDAS</t>
  </si>
  <si>
    <t>EFECTO EN CASCADA</t>
  </si>
  <si>
    <t>HOJAS AFECTADAS</t>
  </si>
  <si>
    <t>REFERENCIA</t>
  </si>
  <si>
    <t>VERIFICAR EN</t>
  </si>
  <si>
    <t>Actualizar Vi en D-MAD</t>
  </si>
  <si>
    <t>D-MAD › col. E</t>
  </si>
  <si>
    <t>E4:E22</t>
  </si>
  <si>
    <t>Vi×Ei×Ti → col.H → E1-ICPI → E2-RESUL → Dashboard</t>
  </si>
  <si>
    <t>D-MAD · E1-ICPI · E2-RESUL · Dashboard</t>
  </si>
  <si>
    <t>D-MAD!E4:E22</t>
  </si>
  <si>
    <t>E1-ICPI · E2-RESUL</t>
  </si>
  <si>
    <t>Actualizar Ti en D-MAD</t>
  </si>
  <si>
    <t>D-MAD › col. G</t>
  </si>
  <si>
    <t>G4:G22</t>
  </si>
  <si>
    <t>D-MAD!G4:G22</t>
  </si>
  <si>
    <t>Revisar Ei — Patronato</t>
  </si>
  <si>
    <t>D-MAD › col. F</t>
  </si>
  <si>
    <t>F9, F11, F14, F20</t>
  </si>
  <si>
    <t>Ei=1.0 (directa) vs 0.9 (adscrita) → cambia Vi×Ei×Ti → recalcula ICPI</t>
  </si>
  <si>
    <t>D-MAD · E1-ICPI · E3-Consist</t>
  </si>
  <si>
    <t>D-MAD!F9,F11,F14,F20</t>
  </si>
  <si>
    <t>E1-ICPI · E3-Consist</t>
  </si>
  <si>
    <t>Documentar fuente en notas</t>
  </si>
  <si>
    <t>D-MAD › col. I</t>
  </si>
  <si>
    <t>I4:I22</t>
  </si>
  <si>
    <t>Registrar cédula, página y fecha exacta del documento que cambió Vi/Ti</t>
  </si>
  <si>
    <t>D-MAD columna I</t>
  </si>
  <si>
    <t>D-MAD!I4:I22</t>
  </si>
  <si>
    <t>D-MAD col. I</t>
  </si>
  <si>
    <t>Registrar en Sección A</t>
  </si>
  <si>
    <t>P-VERIFICACION › cols. L y M</t>
  </si>
  <si>
    <t>L6:M15</t>
  </si>
  <si>
    <t>Mantener trazabilidad: cuándo llegó el doc. y qué variable cambió</t>
  </si>
  <si>
    <t>P-VERIF · Sección A</t>
  </si>
  <si>
    <t>P-VERIF!L6:M15</t>
  </si>
  <si>
    <t>Sección A L:M</t>
  </si>
  <si>
    <t>Actualizar N-BRECHA y L-PDOT</t>
  </si>
  <si>
    <t>N-BRECHA · L-PDOT</t>
  </si>
  <si>
    <t>Filas por meta</t>
  </si>
  <si>
    <t>Nuevos Vi/Ti deben reflejarse en análisis de brecha — revisar semáforos</t>
  </si>
  <si>
    <t>Recalcular O-RESUMEN y verificar coherencia H-MVCI</t>
  </si>
  <si>
    <t>O-RESUMEN › secc. A</t>
  </si>
  <si>
    <t>B4 — ICPI Global</t>
  </si>
  <si>
    <t>ICPI se recalcula desde E1-ICPI. Actualizar nota versión. Luego verificar H-MVCI: coherencia interna debe ser 100% tras cualquier cambio de Vi/Ti</t>
  </si>
  <si>
    <t>O-RESUMEN · H-MVCI · Dashboard</t>
  </si>
  <si>
    <t>O-RESUMEN!B4 · H-MVCI!A1</t>
  </si>
  <si>
    <t>O-RESUMEN + H-MVCI</t>
  </si>
  <si>
    <t>🔴 SECCIÓN D — SEMÁFORO DE ESTADO EJECUTIVO Y RUTA CRÍTICA DE OBTENCIÓN DOCUMENTAL</t>
  </si>
  <si>
    <t>DOCUMENTO</t>
  </si>
  <si>
    <t>ΔICPI MÁX. POSIBLE</t>
  </si>
  <si>
    <t>ACCIÓN INMEDIATA RECOMENDADA</t>
  </si>
  <si>
    <t>CANAL DE ACCESO</t>
  </si>
  <si>
    <t>PLAZO ESTIMADO</t>
  </si>
  <si>
    <t>BLOQUEA META PDOT CLAVE</t>
  </si>
  <si>
    <t>Cédulas Presupuestarias GAD 2023</t>
  </si>
  <si>
    <t>⚠️</t>
  </si>
  <si>
    <t>15 días hábiles (LOTAIP)</t>
  </si>
  <si>
    <t>Cédulas Presupuestarias GAD 2024</t>
  </si>
  <si>
    <t>POA 2023 del GAD</t>
  </si>
  <si>
    <t>Corrige Ti: TER-03, TER-09</t>
  </si>
  <si>
    <t>Solicitar a Dir. Planificación. Verificar código ID PDOT Plan Bicentenario en metas POA</t>
  </si>
  <si>
    <t>Portal LOTAIP / SIGAD / Concejo Municipal</t>
  </si>
  <si>
    <t>TER-14, TER-03, TER-09, TER-10, SOC-02</t>
  </si>
  <si>
    <t>POA 2024 del GAD</t>
  </si>
  <si>
    <t>Ti definitivos 2024 para 6 metas</t>
  </si>
  <si>
    <t>Solicitar a Dir. Planificación. Verificar vinculación explícita al PDOT Plan Bicentenario</t>
  </si>
  <si>
    <t>Portal LOTAIP / SIGAD</t>
  </si>
  <si>
    <t>POA 2023-2024 del Patronato</t>
  </si>
  <si>
    <t>+2pp si Vi↑1 en SOC-07 y SOC-04</t>
  </si>
  <si>
    <t>Of. formal a Dir. Patronato. Verificar si POA propio o articulado al GAD</t>
  </si>
  <si>
    <t>LOTAIP del Patronato / Dir. Patronato</t>
  </si>
  <si>
    <t>Cédulas Presupuestarias Patronato 2023-2024</t>
  </si>
  <si>
    <t>Informe técnico / Factura SERCOP — TICS (SOC-15)</t>
  </si>
  <si>
    <t>Proceso SERCOP pre-factibilidad (SOC-02 Centro Salud)</t>
  </si>
  <si>
    <t>🔴 ⚡ POTENCIAL TOTAL ACUMULADO SI SE OBTIENEN S LOS DOCUMENTOS CRÍTICOS</t>
  </si>
  <si>
    <t>🔴 Escenario optimista si llegan s los documentos críticos</t>
  </si>
  <si>
    <t>Meta de mayor impacto individual</t>
  </si>
  <si>
    <t>Número de documentos s CRÍTICOS</t>
  </si>
  <si>
    <t>Número de documentos s ALTA prioridad</t>
  </si>
  <si>
    <t>Documentos obtenibles de inmediato (portales públicos)</t>
  </si>
  <si>
    <t>Documentos que requieren solicitud LOTAIP formal</t>
  </si>
  <si>
    <t>Variables que cambiarán en D-MAD cuando lleguen los documentos (Vi y/o Ti)</t>
  </si>
  <si>
    <t>Ver E1-ICPI — ACTUALIZADO</t>
  </si>
  <si>
    <t>+1.215pp confirmados con RDC 2023+2024 (8.40→9.615 puntaje forense)</t>
  </si>
  <si>
    <t>Hasta +10pp adicionales si llegan cédulas presupuestarias GAD + POA + docs Patronato</t>
  </si>
  <si>
    <t>TER-10 Camal: DESPRIORITIZADO oficialmente (Erosión del Compromiso detectada)</t>
  </si>
  <si>
    <t>8 s (docs 1–8). 2 CPCCS ya recibidos y procesados.</t>
  </si>
  <si>
    <t>3 (docs 7, 8, 9)</t>
  </si>
  <si>
    <t>✅ 0 s — CPCCS 2023 y 2024 ya procesados</t>
  </si>
  <si>
    <t>8 aún s vía LOTAIP Art. 18</t>
  </si>
  <si>
    <t>4 metas Vi=1 nuevas: SOC-08, TER-15, ECO-12 elevadas. TER-10 confirmada Vi=0 desprioritizada.</t>
  </si>
  <si>
    <t>💡 RUTA CRÍTICA ACTUALIZADA: (1) ✅ CPCCS procesados — (2) Enviar solicitud LOTAIP formal a Dir. Financiera GAD (cédulas 2023-2024) → (3) Solicitud LOTAIP a Dir. Patronato (POA + cédulas SOC-03/07/04/08) → (4) Buscar factura SERCOP sistema cámaras SOC-15 en Dir. TICS → (5) Confirmar convenio MSP para SOC-02 (mayor impacto +9.1pp) → (6) Actualizar versión del modelo. HALLAZGO CLAVE: TER-10 CAMAL = EROSIÓN DEL COMPROMISO CONFIRMADA.</t>
  </si>
  <si>
    <t>🟩 SECCIÓN E — PANEL DE ESTADO SIAP-ICPI · Diagnóstico automático coherencia inter-módulos · Actualización: auto</t>
  </si>
  <si>
    <t>MÓDULO / INDICADOR</t>
  </si>
  <si>
    <t>ESPERADO / META</t>
  </si>
  <si>
    <t>≥ 70% Mandato</t>
  </si>
  <si>
    <t>Fuente única: E1-ICPI!G25</t>
  </si>
  <si>
    <t>Fuente: L-CEDULAS!H26 (eSIGEF)</t>
  </si>
  <si>
    <t>Vi_cadena=1 (D-MAD!X)</t>
  </si>
  <si>
    <t>20/20 óptimo</t>
  </si>
  <si>
    <t>Fuente: D-MAD col X (Vi_CADENA)</t>
  </si>
  <si>
    <t>◆ LIMITACIONES ◆ Alcance y Limitaciones del Instrumento · SIAP-ICPI</t>
  </si>
  <si>
    <t>🔷 ALCANCE Y LIMITACIONES · Muestra n=20/35 · Supuestos Pi/Ri/Vi/Ti · Restricciones melógicas</t>
  </si>
  <si>
    <t>ACCESO</t>
  </si>
  <si>
    <t>Opacidad en portales LOTAIP municipales y silos de información inaccesibles. La fragmentación de los sistemas estatales genera barreras técnicas que impiden contrastar la planificación PDOT frente a la ejecución real.</t>
  </si>
  <si>
    <t>Subestimacion — Sesgo Conservador</t>
  </si>
  <si>
    <t>Principio de precaucion forense: ante ausencia de evidencia fisica verificable se asigna Vi = 0. La opacidad administrativa = inexistencia legal de la gestion. Fundamento: Art. 7 LOTAIP.</t>
  </si>
  <si>
    <t>TEMPORAL</t>
  </si>
  <si>
    <t>Corte de datos al 31 de diciembre de 2024. Periodos fiscales analizados: 2023-2024. Avances fisicos o documentales posteriores a esta fecha no forman parte del universo de verificacion.</t>
  </si>
  <si>
    <t>Estatico — Sin variacion posterior</t>
  </si>
  <si>
    <t>No introduce sesgo: el ICPI es una fotografia forense del estado del mandato al cierre del periodo fiscal. El Factor Ti penaliza explicitamente la inejecucion dentro del periodo.</t>
  </si>
  <si>
    <t>Se aclara que avances posteriores al corte no retroactuan sobre el ICPI calculado. El modelo es escalable: puede aplicarse en nuevos periodos sin alterar la estructura algoritmica.</t>
  </si>
  <si>
    <t>MUESTRAL</t>
  </si>
  <si>
    <t>Se auditan 20 de 67 metas del PDOT Plan Bicentenario 2023-2027. Muestra Estrategica Ponderada distribuida por eje: Territorial (5), Social (4), Ambiental (4), Economico (4) e Institucional (3). Criterio: representatividad presupuestaria + competencias COOTAD.</t>
  </si>
  <si>
    <t>Representatividad Financiera Alta</t>
  </si>
  <si>
    <t>La muestra cubre el 86,94% del presupuesto total de la gestion. La representatividad no es numerica sino financiera: las 20 metas auditadas concentran la inversion estrategica del mandato.</t>
  </si>
  <si>
    <t>Criterio de inclusion: metas con mayor peso presupuestario y de competencia exclusiva del GAD segun COOTAD. El ITME (67 metas) garantiza que ninguna meta sea excluida del inventario base.</t>
  </si>
  <si>
    <t>TECNICA</t>
  </si>
  <si>
    <t>Dependencia de la veracidad de los reportes del SIGAD para el contraste con el ICPI. Los datos del SIGAD son aceptados como 'verdad legal oficial' — si el SIGAD miente sistematicamente, el ICM seria aun mas bajo.</t>
  </si>
  <si>
    <t>El ICPI contrasta los datos auto-reportados en SIGAD con evidencia documental verificable, identificando brechas de cumplimiento real vs. reportado mediante verificación forense inde.</t>
  </si>
  <si>
    <t>El modelo SIAP-ICPI asume los datos oficiales del SIGAD como dato oficial de partida para el calculo del Anexo F. El cruce con SERCOP/LOTAIP actua como contrapeso documental inde.</t>
  </si>
  <si>
    <t>🛡️ MELOGÍA DE VALIDACIÓN Y VERIFICACIÓN · SIAP-ICPI Sistema de Auditoría Programática GAD Montecristi</t>
  </si>
  <si>
    <t>VALIDEZ INTERNA</t>
  </si>
  <si>
    <t>Coherencia univoca entre el marco melógico SIAP-ICPI y el diseño operativo. Cada variable del ICPI (Vi, Pi, Ei, Ti, Ri) deriva directamente de los constructos analiticos definidos en §3.5, evitando cualquier disonancia o inferencia espuria.</t>
  </si>
  <si>
    <t>✅ Garantizada</t>
  </si>
  <si>
    <t>Variables del ICPI ancladas al protocolo operativo SIAP-ICPI §3.5-3.8. Escalas métricas operacionales discretas y reglas de normalizacion inalterables eliminan la discrecionalidad del investigador.</t>
  </si>
  <si>
    <t>Hoja MVCI (Verificación de Coherencia Interna): garantiza que los datos financieros y técnicos sean transversales y consistentes en el modelo SIAP-ICPI.</t>
  </si>
  <si>
    <t>CONFIABI- LIDAD</t>
  </si>
  <si>
    <t>Criterios de codificacion y ponderacion explicitados exhaustivamente en cada fase del analisis forense. Escalas discretas y reglas de normalizacion inalterables reducen al minimo la subjetividad interpretativa.</t>
  </si>
  <si>
    <t>Logica binaria Vi (0/1) elimina subjetividad. Triple filtro de validacion SIAP: existencia + relevancia + presupuesto. Criterios objetivos y auditables.</t>
  </si>
  <si>
    <t>La melogia SIAP-ICPI adopta verificacion binaria estricta: no se admiten valores intermedios. La opacidad = 0 por principio forense, no por interpretacion subjetiva.</t>
  </si>
  <si>
    <t>REPLICA- BILIDAD</t>
  </si>
  <si>
    <t>Garantizada por el uso exclusivo de informacion publica oficial y por la transparencia integral del procedimiento analitico. Cualquier actor de la sociedad civil puede aplicar la MCI y obtener resultados tecnicamente equivalentes.</t>
  </si>
  <si>
    <t>✅ Total</t>
  </si>
  <si>
    <t>El ICPI es un instrumento transferible y escalable a otros GADs. Establece un nuevo estándar en auditoría de integridad programática en Ecuador. Fuentes: PDOT, SERCOP, SIGAD, LOTAIP — todas públicas.</t>
  </si>
  <si>
    <t>La MCI puede ser replicada por Contraloria, CPCCS, academicos o ciudadanos aplicando los mismos criterios. El modelo no depende de acceso privilegiado a informacion reservada.</t>
  </si>
  <si>
    <t>⚠️ CONSIDERACIONES ÉTICAS Y ALCANCE DEL DIAGNÓSTICO PROGRAMÁTICO · SIAP-ICPI §3.9</t>
  </si>
  <si>
    <t>ÉTICA PROFESIONAL</t>
  </si>
  <si>
    <t>La diagnóstico programático se rige por principios de ética profesional y responsabilidad técnica. El estudio se abstiene de emitir juicios de valor politicos ajenos a la evidencia empirica. Todo el analisis se circunscribe a la interpretacion tecnica de informacion oficial. (SIAP-ICPI §3.9)</t>
  </si>
  <si>
    <t>No politico — Tecnico-Forense</t>
  </si>
  <si>
    <t>Los resultados no constituyen un juicio politico sobre personas sino un diagnostico tecnico sobre sistemas. La Brecha de Integridad es un hallazgo melogico, no una acusacion.</t>
  </si>
  <si>
    <t>El SIAP-ICPI respeta los estandares de integridad cientifica propios de la administracion publica contemporanea. Los resultados son hallazgos forenses basados en evidencia, no opiniones.</t>
  </si>
  <si>
    <t>ALCANCE DEMOSTRA- TIVO</t>
  </si>
  <si>
    <t>Los valores numéricos corresponden a un ejercicio de verificación documental con datos provenientes de fuentes oficiales del Estado: PDOT Plan Bicentenario 2023-2027, portal SERCOP, cédulas presupuestarias eSIGEF y registros SIGAD. Toda la información es pública y auditable.</t>
  </si>
  <si>
    <t>Verificación Documental — Fuentes oficiales del Estado</t>
  </si>
  <si>
    <t>El aporte cientifico radica en la VALIDACION MELOGICA del modelo ICPI, no en la auditoria factica de la gestion especifica. Los resultados demuestran la aplicabilidad tecnica del sistema.</t>
  </si>
  <si>
    <t>El modelo es replicable con datos 100% reales en una auditoria de mayor alcance institucional. La estructura algoritmica permanece intacta. (SIAP-ICPI §4.1)</t>
  </si>
  <si>
    <t>EXTENSIÓN CPCCS</t>
  </si>
  <si>
    <t>La verificación dual CPCCS (Informe PDF + Discurso Público en video) propuesta en §3.4 constituye una extensión operativa para implementación futura del SIAP-ICPI por el GAD Montecristi o cualquier GAD Municipal del Ecuador.</t>
  </si>
  <si>
    <t>Extensión operativa futura — Escalable</t>
  </si>
  <si>
    <t>El modelo ICPI esta disenado para incorporar la variable CPCCS sin alterar la estructura del algoritmo. Estudios previos (2019-2022) evidencian brechas 12-18% entre informe y discurso publico.</t>
  </si>
  <si>
    <t>El sistema prevé la incorporación futura de verificación automática de discurso público mediante procesamiento de audio (IA) para escalabilidad de la verificación dual CPCCS. (SIAP-ICPI §3.4.3)</t>
  </si>
  <si>
    <t>⚙️ ALCANCE DEL SISTEMA · Consideraciones Técnicas y Operativas del SIAP-ICPI GAD Montecristi</t>
  </si>
  <si>
    <t>MUESTRA</t>
  </si>
  <si>
    <t>20 metas auditadas de 67 totales (ITME)</t>
  </si>
  <si>
    <t>29,85% en cantidad</t>
  </si>
  <si>
    <t>86,94% del presupuesto total</t>
  </si>
  <si>
    <t>Representatividad financiera ALTA — valida el modelo</t>
  </si>
  <si>
    <t>SESGO NETO</t>
  </si>
  <si>
    <t>Direccion: subestimacion</t>
  </si>
  <si>
    <t>Las limitaciones refuerzan la el Déficit Programático: si el sesgo es a la baja y la brecha sigue siendo 55,75 pp, la Gestion por Ocurrencia esta confirmada con margen de seguridad.</t>
  </si>
  <si>
    <t>FUENTES USADAS</t>
  </si>
  <si>
    <t>PDOT Plan Bicentenario · SERCOP (contratos y PAC) · eSIGEF (ejecución presupuestaria) · SIGAD (ICM oficial) · LOTAIP (portales de transparencia) · CPCCS (rendición de cuentas)</t>
  </si>
  <si>
    <t>Todas oficiales y publicas</t>
  </si>
  <si>
    <t>6 silos institucionales verificados</t>
  </si>
  <si>
    <t>Ninguna fuente privada o confidencial. Total replicabilidad ciudadana. El SIAP no depende de acceso privilegiado.</t>
  </si>
  <si>
    <t>🔷 GLOSARIO SIAP-ICPI · Términos técnicos y normativos · Definición + base legal + referencia</t>
  </si>
  <si>
    <t>PDOT (Ref. Institucional)</t>
  </si>
  <si>
    <t>Plan de Desarrollo y Ordenamiento Territorial. Instrumento de planificación estratégica que establece las metas de gestión del GAD Municipal. El PDOT Plan Bicentenario 2023-2027 es la BASE PRIMARIA del sistema SIAP-ICPI — define las metas, indicadores y presupuestos que audita el instrumento conforme a COOTAD Art.295-297.</t>
  </si>
  <si>
    <t>Referencia jurídica del programa de gobierno. El Plan de Gobierno registrado ante el CNE constituye el antecedente del PDOT cantonal — instrumento operativo del SIAP-ICPI.</t>
  </si>
  <si>
    <t>COOTAD</t>
  </si>
  <si>
    <t>Código Orgánico de Organización Territorial, Autonomía y Descentralización. Dictamina que los GAD deben regirse por principios de transparencia y rendición de cuentas (Art. 3, 215 y 266).</t>
  </si>
  <si>
    <t>Fuente de validación de competencias exclusivas del GAD. Prohíbe la Gestión por Ocurrencia al exigir que el POA esté articulado al PDOT.</t>
  </si>
  <si>
    <t>LOTAIP</t>
  </si>
  <si>
    <t>Ley Orgánica de Transparencia y Acceso a la Información Pública. Obliga a la publicación de planes operativos y metas en portales institucionales (Art. 7).</t>
  </si>
  <si>
    <t>Fuente primaria para verificar la Fuga del Verbo Rector y la metamorfosis del compromiso democrático. Mecanismo legal para obtención de evidencia.</t>
  </si>
  <si>
    <t>SERCOP</t>
  </si>
  <si>
    <t>Servicio Nacional de Contratación Pública. Portal de compras públicas que registra procesos de licitación, PAC y contratos adjudicados.</t>
  </si>
  <si>
    <t>Fuente primaria para verificar la ejecución económica real. Nodo 5 de la CIM. Variable Vi = 1 si el contrato existe en SERCOP.</t>
  </si>
  <si>
    <t>PDOT</t>
  </si>
  <si>
    <t>Plan de Desarrollo y Ordenamiento Territorial. Instrumento de planificación estratégica del GAD. BASE PRIMARIA del SIAP-ICPI. Define las metas, indicadores y presupuestos que audita el instrumento.</t>
  </si>
  <si>
    <t>Primera fase de transformación del mandato. El análisis de congruencia entre el PDOT Plan Bicentenario y el PDOT detecta la primera instancia de Erosión del Compromiso.</t>
  </si>
  <si>
    <t>§3.6</t>
  </si>
  <si>
    <t>POA</t>
  </si>
  <si>
    <t>Plan Operativo Anual. Instrumento de planificación anual que debe guardar relación unívoca con el PDOT. Trazabilidad POA→PDOT es clave de verificación en el SIAP-ICPI.</t>
  </si>
  <si>
    <t>Segundo filtro de trazabilidad. La desconexión POA→PDOT es indicador temprano de Gestión por Ocurrencia. Verificado en hoja PDOT.</t>
  </si>
  <si>
    <t>eSIGEF</t>
  </si>
  <si>
    <t>Sistema de Administración Financiera del Sector Público. Repositorio de ejecución presupuestaria del Ministerio de Finanzas. Fuente de Ti (ejecución presupuestaria) en el SIAP-ICPI.</t>
  </si>
  <si>
    <t>Verifica el respaldo financiero real de la gestión. Fuente para el cálculo del Factor Pi (Peso Presupuestario) de cada meta.</t>
  </si>
  <si>
    <t>SIGAD</t>
  </si>
  <si>
    <t>Sistema de Información para los Gobiernos Autónomos Descentralizados (Secretaría Nacional de Planificación). Repositorio donde se publica el ICM oficial del GAD. Fuente de validación en el SIAP-ICPI.</t>
  </si>
  <si>
    <t>Fuente del ICM oficial. La discrepancia SIGAD vs. ejecución real forense es el punto crítico que identifica el déficit programático. Contrastado en hoja BRECHA.</t>
  </si>
  <si>
    <t>CPCCS</t>
  </si>
  <si>
    <t>Consejo de Participación Ciudadana y Control Social. Silo de contraloría social. Registra la rendición de cuentas en formato dual: informe técnico PDF + discurso público en video oficial.</t>
  </si>
  <si>
    <t>Estudios CPCCS (2019-2022) evidencian discrepancias promedio 12-18% entre lo que los alcaldes dicen públicamente vs. lo que escriben en el informe técnico.</t>
  </si>
  <si>
    <t>🟩 BLOQUE II — COMPONENTES DE LA FÓRMULA ICPI · Variables Operativas del Algoritmo</t>
  </si>
  <si>
    <t>ICPI • §3.7</t>
  </si>
  <si>
    <t>Variable Vi</t>
  </si>
  <si>
    <t>Variable binaria de control forense. Vi = 1.0 (evidencia localizable, vigente y válida en SERCOP / SIGAD / LOTAIP). Vi = 0.0 (ausencia, extravío o falta de registro). No se admiten valores intermedios.</t>
  </si>
  <si>
    <t>Factor «interruptor»: invalida la integridad del dato. Opacidad administrativa = inexistencia legal de la gestión. Principio forense del SIAP.</t>
  </si>
  <si>
    <t>§3.7.2</t>
  </si>
  <si>
    <t>Factor Pi</t>
  </si>
  <si>
    <t>Peso Presupuestario. Proporción de inversión asignada a la meta frente al total ejecutado en la muestra estratégica (Anexo A-PDOT).</t>
  </si>
  <si>
    <t>Impide que el cumplimiento de metas de bajo costo maquille el abandono de proyectos de infraestructura de alto presupuesto.</t>
  </si>
  <si>
    <t>Factor Ei</t>
  </si>
  <si>
    <t>Factor de Eficiencia Institucional. Mide la trazabilidad según el ejecutor de la meta. Ejecución directa GAD = 1.0 · Entidades adscritas / convenios ≤ 0.9.</t>
  </si>
  <si>
    <t>Penaliza la atomización institucional: dispersar la responsabilidad entre empresas públicas y entidades adscritas reduce la trazabilidad del mandato.</t>
  </si>
  <si>
    <t>Factor Ti</t>
  </si>
  <si>
    <t>Factor de Temporalidad. Parámetro de avance físico y administrativo verificado cronológicamente en los periodos fiscales 2023-2024.</t>
  </si>
  <si>
    <t>Correctivo de la «ilusión administrativa»: distingue entre el registro contable y la materialización real de la obra en el territorio.</t>
  </si>
  <si>
    <t>§3.7.1</t>
  </si>
  <si>
    <t>Factor Ri</t>
  </si>
  <si>
    <t>Coeficiente de Relevancia Social y Constitucional. Escala tripartita: 1.5 (Crítica: derechos fundamentales) · 1.0 (Alta: servicios esenciales) · 0.5 (Media: gestión rutinaria).</t>
  </si>
  <si>
    <t>Normaliza el resultado: el cumplimiento de metas vitales (agua potable, salud) tiene mayor peso en el veredicto final que las actividades administrativas.</t>
  </si>
  <si>
    <t>Factor Ci</t>
  </si>
  <si>
    <t>Coeficiente de Control Orgánico (Imputabilidad). Mide el grado de control directo del GAD sobre la ejecución de la meta según el Estatuto Orgánico y COOTAD. Escala: Ci = 1.0 (GAD ejecuta directamente) · Ci = 0.9 (entidad adscrita / empresa pública / convenio) · Ci = 0.75 (tercero con supervisión). Fuente: C-MAO → D-MAD col P. (SIAP-ICPI §3.7.1)</t>
  </si>
  <si>
    <t>Penaliza la delegación irresponsable: si el GAD pierde control sobre la ejecución al delegar en entes adscritos, el ICPI lo refleja. Ci &lt; 1.0 en 7 de 20 metas. Vinculado a X-ORGANICO y C-MAO. Fórmula: ICPI = Σ(Pi×Ri×Vi×Ei×Ti×Ci) ÷ Σ(Pi×Ri).</t>
  </si>
  <si>
    <t>§3.7.1 C-MAO</t>
  </si>
  <si>
    <t>✨ BLOQUE III — CONCEPTOS ORIGINALES DE AUTORÍA PROPIA · SIAP-ICPI §3.7 — Marco Conceptual Operativo Exclusivo</t>
  </si>
  <si>
    <t>SIAP • §3.7</t>
  </si>
  <si>
    <t>ICPI</t>
  </si>
  <si>
    <t>Índice de Congruencia Programático e Institucional. Sistema métrico que cuantifica el nivel de cumplimiento del PDOT Bicentenario 2023-2027 mediante verificación documental de la ejecución programática y presupuestaria del GAD Municipal de Montecristi. Fórmula: ICPI = [Σ(Vi×Pi×Ei×Ti×Ri×Ci) / Σ(Pi×Ri)] × 100. (SIAP-ICPI §3.7)</t>
  </si>
  <si>
    <t>No mide eficiencia del gasto sino fidelidad del mandato. Rangos: 90-100% Excelencia · 70-89% Gestión por Mandato · 40-69% Transición Crítica · 20-39% Gestión por Ocurrencia · 0-19% Ruptura Total.</t>
  </si>
  <si>
    <t>SIAP</t>
  </si>
  <si>
    <t>Sistema Integrado de Auditoría Programática. Ecosistema melógico implementado en el GAD Montecristi como modelo SIAP-ICPI. Conjunto de matrices interconectadas que somete cada dato a un triple filtro: existencia, relevancia y presupuesto.</t>
  </si>
  <si>
    <t>Marco arquitectónico del instrumento. Garantiza la Trazabilidad Biográfica del Dato en todas las etapas del análisis forense.</t>
  </si>
  <si>
    <t>CIM / CINI</t>
  </si>
  <si>
    <t>Cadena de Integridad Intersistémica: flujo lógico ininterrumpido de información entre los sistemas del Estado (PDOT → POA → eSIGEF → SERCOP → SIGAD → CPCCS). Si un eslabón se rompe, la integridad del dato se corrompe. (SIAP-ICPI §3.7)</t>
  </si>
  <si>
    <t>Cordón umbilical de la gestión pública. La ruptura de la cadena intersistémica es la fuente de la Brecha de Integridad diagnosticada en Montecristi.</t>
  </si>
  <si>
    <t>§3.7 · p.9</t>
  </si>
  <si>
    <t>Trazabilidad Biográfica del Dato</t>
  </si>
  <si>
    <t>Estándar de integridad que describe la trayectoria inalterable de la información pública desde el PDOT hasta su rendición en el SIGAD. La fidelidad se satisface solo cuando el reporte conserva la esencia del objetivo planificado. (SIAP-ICPI §3.7)</t>
  </si>
  <si>
    <t>Condición sine qua non de la transparencia sustantiva. Su ausencia transforma la rendición de cuentas en un simulacro administrativo.</t>
  </si>
  <si>
    <t>§3.7 · p.10</t>
  </si>
  <si>
    <t>Gestión por Mandato</t>
  </si>
  <si>
    <t>Modelo de administración ideal donde la ejecución guarda relación unívoca con las metas del PDOT. El GAD subordina los recursos a la planificación territorial. Alta integridad sistémica — ICPI entre 70-100%. (SIAP-ICPI §3.7)</t>
  </si>
  <si>
    <t>Gestión por Ocurrencia</t>
  </si>
  <si>
    <t>Desviación técnica donde la administración prioriza proyectos con legalidad formal pero ajenos a las metas originales del PDOT. Genera «ilusión de cumplimiento» que oculta la brecha programática real. ICPI &lt; 40%. (SIAP-ICPI §3.7)</t>
  </si>
  <si>
    <t>Patología estructural diagnosticada en Montecristi (DÉFICIT PROGRAMÁTICO CONFIRMADO). La gestión reacciona al día a día desconectada del mandato soberano.</t>
  </si>
  <si>
    <t>Erosión del Compromiso</t>
  </si>
  <si>
    <t>Degradación de la potencia transformadora de la política pública frente a la inercia burocrática. Resultado de procesos como la «fuga del verbo rector» que provocan la pérdida del impacto real en el territorio. (SIAP-ICPI §3.7, pág. 10)</t>
  </si>
  <si>
    <t>Proceso gradual: la meta pierde intensidad política al ser procesada por la estructura municipal. Fuente: IAEN (2020) valida este fenómeno.</t>
  </si>
  <si>
    <t>Fuga del Verbo Rector</t>
  </si>
  <si>
    <t>Proceso donde acciones tangibles se transforman en gestiones administrativas diluidas al transitar por la estructura burocrática municipal, perdiendo la esencia política original. Ej: «Construir parque» → «Gestionar estudios de factibilidad». (SIAP-ICPI §3.7, pág. 10)</t>
  </si>
  <si>
    <t>Mecanismo técnico de la Erosión del Compromiso. Detectado mediante análisis semántico comparado entre PDOT Plan Bicentenario vs. POA en Componente Cualitativo del SIAP.</t>
  </si>
  <si>
    <t>Arqueología Documental Forense (ADF)</t>
  </si>
  <si>
    <t>Mé sistemático de exhumación, decodificación y contraste de registros administrativos. Persigue la reconstrucción de la verdad material mediante la identificación de «fósiles administrativos» (datos huérfanos, documentos sin firma, contratos sin respaldo). (SIAP-ICPI §3.7, pág. 10)</t>
  </si>
  <si>
    <t>Técnica central del SIAP. Trasciende la auditoría convencional: busca la verdad material, no el cumplimiento formal. Aplicada en Anexo D-MAD.</t>
  </si>
  <si>
    <t>ITME</t>
  </si>
  <si>
    <t>Inventario Técnico de Metas PDOT. Catálogo de las 20 metas estratégicas del PDOT Plan Bicentenario 2023-2027 seleccionadas por mayor impacto presupuestario, cada una identificada con código único (COD-META).</t>
  </si>
  <si>
    <t>Línea base del análisis SIAP-ICPI. Garantiza que ninguna meta sea excluida del inventario antes del escrutinio. Asigna el COD-META de trazabilidad. → Ver hoja ITME</t>
  </si>
  <si>
    <t>§3.6 · ITME</t>
  </si>
  <si>
    <t>MCI</t>
  </si>
  <si>
    <t>Matriz de Congruencia Intersistémica. Herramienta de auditoría que actúa como escáner de trazabilidad para contrastar las metas del PDOT frente a los indicadores del SIGAD.</t>
  </si>
  <si>
    <t>Instrumento principal de verificación del SIAP. Replicable por cualquier actor de la sociedad civil: apliquemos la MCI = resultados técnicamente equivalentes.</t>
  </si>
  <si>
    <t>Silos Informativos</t>
  </si>
  <si>
    <t>Unidades operativas que funcionan de manera estanca, acumulando datos que no fluyen ni se integran. «Síndrome del Silo Funcional» (Ensor, 1988). Fuente principal de ruptura de la cadena intersistémica. (SIAP-ICPI §3.5)</t>
  </si>
  <si>
    <t>Explica por qué, a pesar de reportes individuales aparentemente exitosos, la gestión global de Montecristi carece de congruencia real.</t>
  </si>
  <si>
    <t>§3.5 · p.7</t>
  </si>
  <si>
    <t>🟣 BLOQUE IV — ANÁLISIS INSTITUCIONAL Y RESULTADOS · Marcos de Referencia Operativa + Hallazgos del Diagnóstico PDOT</t>
  </si>
  <si>
    <t>§3.5-2.5</t>
  </si>
  <si>
    <t>Principal / Agente</t>
  </si>
  <si>
    <t>Principio de rendición de cuentas pública (COOTAD Art.22): el ciudadano es el Principal, el Alcalde/GAD es el Agente. El PDOT Plan Bicentenario es el contrato programático de gestión. La brecha informática permite al Agente desviarse sin ser detectado. (SIAP-ICPI §3.5)</t>
  </si>
  <si>
    <t>El ICPI restituye el control del Principal sobre el Agente. La falta de congruencia no es error operativo: es manifestacion de asimetria informativa estructural.</t>
  </si>
  <si>
    <t>§3.5 · p.6</t>
  </si>
  <si>
    <t>Accountability</t>
  </si>
  <si>
    <t>Rendición de cuentas bidimensional: answerability (derecho a explicaciones veraces) + enforcement (capacidad coercitiva del Estado). Pierde su valor sin Trazabilidad Biográfica del Dato. Base legal: COOTAD Art.301-309 + CPCCS.</t>
  </si>
  <si>
    <t>El SIAP evalua la rendicion de cuentas como proceso continuo de coherencia logica entre sistemas. Sin trazabilidad, se convierte en simulacro administrativo.</t>
  </si>
  <si>
    <t>§3.6 · p.7</t>
  </si>
  <si>
    <t>Nueva Gestion Publica (NGP)</t>
  </si>
  <si>
    <t>Marco de gestión por resultados que administra el Estado con criterios de eficiencia operativa e indicadores cuantitativos (COOTAD Art.53). Riesgo crítico: la tiranía del indicador donde el cumplimiento presupuestario no se traduce en satisfacción del mandato ciudadano. (SIAP-ICPI §3.8)</t>
  </si>
  <si>
    <t>ICM</t>
  </si>
  <si>
    <t>Anexo F</t>
  </si>
  <si>
    <t>Brecha de Integridad</t>
  </si>
  <si>
    <t>Demuestra como un gobierno local puede ser calificado con excelencia por los organismos de control mientras mantiene una deuda estructural profunda respecto al mandato ciudadano.</t>
  </si>
  <si>
    <t>UAP — Umbral de Alerta Programática</t>
  </si>
  <si>
    <t>Brecha ICPI vs Meta PDOT 2027 ≥ 30 pp = Gestion por Ocurrencia confirmada. Si la brecha es significativa, el sistema de reporte oficial encubre una gestion desconectada del mandato. (SIAP-ICPI §3.6, pag. 5)</t>
  </si>
  <si>
    <t>CONFIRMADA. Brecha = 55,75 pp, superando el Umbral de Alerta Programática (UAP) de 30 pp. Déficit Programático validado con evidencia forense documentada.</t>
  </si>
  <si>
    <t>§3.6 ·</t>
  </si>
  <si>
    <t>UCM — Umbral de Congruencia Mínima</t>
  </si>
  <si>
    <t>No existe brecha programática significativa (≤ 10 pp) entre el ICPI auditado y la Meta PDOT 2027 — ICM oficial, sugiriendo que los sistemas preservan la Trazabilidad Biografica del Dato. (SIAP-ICPI §3.6, pag. 5)</t>
  </si>
  <si>
    <t>UCM: NO APLICA. La brecha de 55,75 pp supera ampliamente el umbral de 10 pp. Los mecanismos de control institucionalales NO preservan la integridad del dato en el caso Montecristi.</t>
  </si>
  <si>
    <t>Categoria</t>
  </si>
  <si>
    <t>Interpretación tecnica</t>
  </si>
  <si>
    <t>90-100%</t>
  </si>
  <si>
    <t>Cumplimiento total del mandato soberano. Gestión alineada al PDOT Plan Bicentenario con plena trazabilidad documental.</t>
  </si>
  <si>
    <t>Estandar ideal del SIAP</t>
  </si>
  <si>
    <t>70-89%</t>
  </si>
  <si>
    <t>GESTION POR MANDATO</t>
  </si>
  <si>
    <t>Alta fidelidad programática y congruencia técnica. El gobernante subordina recursos al mandato del PDOT vigente.</t>
  </si>
  <si>
    <t>Meta deseable del GAD</t>
  </si>
  <si>
    <t>40-69%</t>
  </si>
  <si>
    <t>TRANSICION CRITICA</t>
  </si>
  <si>
    <t>Resultado auditado Montecristi</t>
  </si>
  <si>
    <t>20-39%</t>
  </si>
  <si>
    <t>GESTION POR OCURRENCIA</t>
  </si>
  <si>
    <t>Desconexion programatica. La gestion reacciona al dia a dia sin ancla en el mandato soberano.</t>
  </si>
  <si>
    <t>UAP activado si ICPI &lt; 40%</t>
  </si>
  <si>
    <t>0-19%</t>
  </si>
  <si>
    <t>Inexistencia de gestion tecnica. Opacidad administrativa absoluta. El mandato fue completamente abandonado.</t>
  </si>
  <si>
    <t>Maxima severidad forense</t>
  </si>
  <si>
    <t>📝 NOTA MELÓGICA — GLOSARIO define los 34 términos técnicos del SIAP-ICPI con sus referencias normativas · Factor Ci incorporado (término 15, §3.7.1) · Nomenclatura PDOT unificada · Prioridad fuente: (1) SIAP-ICPI §2 → (2) CININ → (3) COOTAD/COPYFP → (4) LOSEP → (5) SNPD · ITME referenciada en término 25 · Versión controlada</t>
  </si>
  <si>
    <t>📋 MARCO LEGAL — COOTAD · COPYFP · LOSEP · RCFP · Normativa SNPD · Plan Bicentenario Ecuador 2023–2027 · CININ (Clasificador Institucional Nomenclatura) · SIAP-ICPI §2</t>
  </si>
  <si>
    <t>🟪 BLOQUE SSC — SUBÍNDICE SOCIAL COMPLEMENTARIO · Escalabilidad SIAP-ICPI · +</t>
  </si>
  <si>
    <t>SSC</t>
  </si>
  <si>
    <t>Subíndice Social Complementario</t>
  </si>
  <si>
    <t>Análisis descriptivo del aporte de entidades adscritas (Ci=0.9) al PDOT. No modifica el ICPI central. Mide coherencia social del mandato GAD. Piloto: Patronato Municipal de Amparo Social. SIAP-ICPI §3.4-SSC.</t>
  </si>
  <si>
    <t>ISSC</t>
  </si>
  <si>
    <t>Índice SSC (Patronato)</t>
  </si>
  <si>
    <t>ISSC_i = Pi×Ri×Vi×Ti×Ci=0.9 ÷ Σ(Pi×Ri). Contribución hipotética de cada meta del Patronato. Si ISSC alto y ICPI_social bajo → el GAD delega sin ejecutar → señal de alerta. Base: COOTAD Art.306.</t>
  </si>
  <si>
    <t>ISPE</t>
  </si>
  <si>
    <t>Índice Servicios Públicos EP</t>
  </si>
  <si>
    <t>ISPE_i = Pi×Ri×Vi×Ti×Ci=0.75 ÷ Σ(Pi×Ri). Contribución de Empresas Públicas Municipales (EP Aseo, EP Agua). Ci=0.75 porque GAD no controla operación directamente. MÓDULO EN DISEÑO (activación futura). COOTAD Art.280.</t>
  </si>
  <si>
    <t>ISCI</t>
  </si>
  <si>
    <t>Índice Cogestión Interinst.</t>
  </si>
  <si>
    <t>ISCI_i = Pi×Ri×Vi×Ti×Ci=0.5 ÷ Σ(Pi×Ri). Contribución de convenios interinstitucionales (MSP, MIDUVI, MINTUR, MIES). Ci=0.5 porque la ejecución la tiene el ministerio o entidad nacional. MÓDULO EN DISEÑO (activación futura). COOTAD Art.126.</t>
  </si>
  <si>
    <t>Coeficiente de Imputabilidad</t>
  </si>
  <si>
    <t>Escala de imputabilidad institucional: Ci=1.0 (GAD directo), Ci=0.9 (Adscritas), Ci=0.75 (EP Municipal), Ci=0.5 (Convenios), Ci=0.25 (Concesión privada), Ci=0 (sin competencia). Base: COOTAD Arts.54,280,306. SIAP-ICPI §3.7.1.</t>
  </si>
  <si>
    <t>🔷 MANUAL DE USUARIO · Navegación · Actualización de datos · Roles y responsabilidades</t>
  </si>
  <si>
    <t>SEC.</t>
  </si>
  <si>
    <t>SECCIÓN</t>
  </si>
  <si>
    <t>PÁGINA/FILA</t>
  </si>
  <si>
    <t>AUDIENCIA</t>
  </si>
  <si>
    <t>FRECUENCIA USO</t>
  </si>
  <si>
    <t>Instrucciones Actualización Mensual — Paso a paso operativo</t>
  </si>
  <si>
    <t>F. 6-20</t>
  </si>
  <si>
    <t>Mensual (día 1-7)</t>
  </si>
  <si>
    <t>F. 22-40</t>
  </si>
  <si>
    <t>Director Planificación + Directores</t>
  </si>
  <si>
    <t>Mensual</t>
  </si>
  <si>
    <t>Procedimiento Exportación SIL — Compatible SIGAD</t>
  </si>
  <si>
    <t>F. 42-55</t>
  </si>
  <si>
    <t>Resp. Planificación + TIC</t>
  </si>
  <si>
    <t>Mensual (día 5)</t>
  </si>
  <si>
    <t>Flujo Escalamiento IED Bajo — Protocolo administrativo</t>
  </si>
  <si>
    <t>F. 57-68</t>
  </si>
  <si>
    <t>Dirección Planificación + Alcaldía</t>
  </si>
  <si>
    <t>Según alertas</t>
  </si>
  <si>
    <t>Contactos y Responsables — Directorio GAD Montecristi</t>
  </si>
  <si>
    <t>F. 70-80</t>
  </si>
  <si>
    <t>Todos los usuarios</t>
  </si>
  <si>
    <t>Consulta</t>
  </si>
  <si>
    <t>Preguntas Frecuentes (FAQ) — Resolución de dudas comunes</t>
  </si>
  <si>
    <t>F. 82-95</t>
  </si>
  <si>
    <t>📋 SECCIÓN 1 — INSTRUCCIONES DE ACTUALIZACIÓN MENSUAL · Ciclo mensual días 1-7 · Responsable: Planificación</t>
  </si>
  <si>
    <t>DÍA</t>
  </si>
  <si>
    <t>HOJA DESTINO</t>
  </si>
  <si>
    <t>DATO A INGRESAR</t>
  </si>
  <si>
    <t>VALIDACIÓN</t>
  </si>
  <si>
    <t>Día 1</t>
  </si>
  <si>
    <t>Recopilar informes de avance de cada Dirección responsable. Solicitar por correo institucional con evidencias adjuntas</t>
  </si>
  <si>
    <t>Ti (avance 0-1) por meta. Verificar coherencia con informe mensual</t>
  </si>
  <si>
    <t>Ti entre 0 y 1. Si &gt;1 → error</t>
  </si>
  <si>
    <t>Día 1-2</t>
  </si>
  <si>
    <t>Actualizar columna F (Ti avance) en F-EDS. El IED se recalcula automáticamente</t>
  </si>
  <si>
    <t>F-EDS</t>
  </si>
  <si>
    <t>Ti por meta en col F (filas 6-25)</t>
  </si>
  <si>
    <t>IED debe estar entre 0 y 100</t>
  </si>
  <si>
    <t>Día 2</t>
  </si>
  <si>
    <t>Registrar evidencias disponibles: contratos SERCOP, actas recepción, informes técnicos</t>
  </si>
  <si>
    <t>D-MAD + P-VERIF</t>
  </si>
  <si>
    <t>Vi=1 si hay evidencia. Vi=0 si no hay</t>
  </si>
  <si>
    <t>Vi debe ser 1 ó 0. Solo 1 si hay documento físico</t>
  </si>
  <si>
    <t>Día 3</t>
  </si>
  <si>
    <t>R-ALERTAS</t>
  </si>
  <si>
    <t>Actualizar col F (Estado) de alertas. Notar gestiones realizadas</t>
  </si>
  <si>
    <t>Ver Sección 2 para interpretación</t>
  </si>
  <si>
    <t>Día 4</t>
  </si>
  <si>
    <t>Actualizar Q-SIL col I (Avance %) con Ti actualizado. Verificar col N (URL SERCOP/LOTAIP)</t>
  </si>
  <si>
    <t>Q-SIL</t>
  </si>
  <si>
    <t>Ti por meta (=D-MAD). URL verificación por meta</t>
  </si>
  <si>
    <t>URL debe iniciar con https://</t>
  </si>
  <si>
    <t>Día 5</t>
  </si>
  <si>
    <t>Exportar Q-SIL como CSV y subir al portal SIGAD. Ver Sección 3</t>
  </si>
  <si>
    <t>Q-SIL → SIGAD</t>
  </si>
  <si>
    <t>Archivo SIL_MONT_AAAAMM.csv</t>
  </si>
  <si>
    <t>Confirmar carga exitosa en portal SIGAD</t>
  </si>
  <si>
    <t>Día 7</t>
  </si>
  <si>
    <t>Archivar reporte SIL en carpeta /SIL/AAAAMM/. Registrar en P-VERIFICACION col M</t>
  </si>
  <si>
    <t>Fecha sincronización + N° metas exportadas</t>
  </si>
  <si>
    <t>Todos los meses archivados correlativa.</t>
  </si>
  <si>
    <t>QUÉ SIGNIFICA</t>
  </si>
  <si>
    <t>QUÉ DEBO HACER</t>
  </si>
  <si>
    <t>¿QUIÉN ACTÚA?</t>
  </si>
  <si>
    <t>🔴 IED&lt;30% — CRÍTICA</t>
  </si>
  <si>
    <t>La dirección tiene menos del 30% de desempeño. Hay metas sin evidencia (Vi=0) o sin ningún avance (Ti=0). El sistema está en ruptura total.</t>
  </si>
  <si>
    <t>1) Notificar al Alcalde mismo día 2) Emitir memorando de inicio sumario LOSEP Art.80 3) Solicitar informe técnico justificativo al Director 4) Registrar en R-ALERTAS col F = Abierta</t>
  </si>
  <si>
    <t>48 horas</t>
  </si>
  <si>
    <t>Director Planificación → Alcaldía</t>
  </si>
  <si>
    <t>🟠 IED 30-49% — ALTA</t>
  </si>
  <si>
    <t>La dirección tiene desempeño bajo. Hay metas planificadas (POA=Sí) pero sin contratación (PAC=No) o con desviación presupuestal &gt;30%.</t>
  </si>
  <si>
    <t>1) Emitir memorando formal al Director afectado 2) Solicitar plan de mejora en 30 días 3) Establecer seguimiento semanal 4) Registrar en R-ALERTAS col F = En gestión</t>
  </si>
  <si>
    <t>72 horas para memo</t>
  </si>
  <si>
    <t>🟡 IED 50-69% — MEDIA</t>
  </si>
  <si>
    <t>La dirección tiene desempeño en zona de riesgo. Hay contratos activos (PAC=Sí) pero el avance es insuficiente (&lt;50%). Requiere plan de mejora.</t>
  </si>
  <si>
    <t>1) Enviar correo institucional al Director afectado 2) Solicitar plan de mejora 60 días con cronograma 3) Verificar en siguiente ciclo mensual 4) Actualizar R-ALERTAS con estado gestión</t>
  </si>
  <si>
    <t>7 días</t>
  </si>
  <si>
    <t>🟢 IED 70-79% — BAJA</t>
  </si>
  <si>
    <t>Desempeño aceptable pero con áreas de mejora. Puede haber actualizaciones s o evidencias sin enlace de verificación.</t>
  </si>
  <si>
    <t>1) Enviar recordatorio por correo institucional 2) Pedir URLs faltantes en Q-SIL col N 3) Verificar que Ti esté actualizado</t>
  </si>
  <si>
    <t>✅ IED ≥ 80% — EXCELENCIA</t>
  </si>
  <si>
    <t>Excelente desempeño. Metas con avance &gt;80%, evidencia disponible (Vi=1) y plena trazabilidad POA+PAC+Cédula.</t>
  </si>
  <si>
    <t>1) Reconocimiento potencial LOSEP Art.78 2) Mantener ritmo 3) Documentar buenas prácticas para replicar</t>
  </si>
  <si>
    <t>📋 SECCIÓN 3 — PROCEDIMIENTO EXPORTACIÓN SIL · COOTAD Art.598 · Formato SIGAD · Mensual día 5</t>
  </si>
  <si>
    <t>ANTES DE EXPORTAR — VERIFICAR ESTOS 5 REQUISITOS:</t>
  </si>
  <si>
    <t>✅ REQ 1</t>
  </si>
  <si>
    <t>Todas las celdas I6:I25 (Avance%) deben tener valor entre 0% y 100%. No vacías.</t>
  </si>
  <si>
    <t>✅ REQ 2</t>
  </si>
  <si>
    <t>Todas las celdas J6:J25 (Vi) deben ser 0 ó 1. No otras values.</t>
  </si>
  <si>
    <t>✅ REQ 3</t>
  </si>
  <si>
    <t>Las celdas con Vi=1 deben tener URL válida en N6:N25 (iniciar con https://)</t>
  </si>
  <si>
    <t>✅ REQ 4</t>
  </si>
  <si>
    <t>Col M (IED) debe estar actualizada con valores de F-EDS Sección B</t>
  </si>
  <si>
    <t>✅ REQ 5</t>
  </si>
  <si>
    <t>Col L (Fecha actualización) debe mostrar fecha del mes en curso</t>
  </si>
  <si>
    <t>PASOS EXPORTACIÓN — SEGUIR ESTE ORDEN EXACTO:</t>
  </si>
  <si>
    <t>Ir a hoja Q-SIL. Verificar que Sección B muestre: 'Total metas = 20' y no haya celdas en rojo.</t>
  </si>
  <si>
    <t>Seleccionar rango A5:N25 (encabezados + 20 datos). Ctrl+C para copiar.</t>
  </si>
  <si>
    <t>Ir a Archivo → Guardar una copia → Tipo: CSV UTF-8 (delimitado por comas). Nombre: SIL_MONT_AAAAMM.csv</t>
  </si>
  <si>
    <t>Abrir navegador → www.planificaecuador.gob.ec → Iniciar sesión con credenciales GAD Montecristi</t>
  </si>
  <si>
    <t>Módulo: Seguimiento → Metas → Carga masiva → Seleccionar formato SIL → Subir CSV generado</t>
  </si>
  <si>
    <t>PASO 6</t>
  </si>
  <si>
    <t>Verificar mensaje de confirmación portal SIGAD. Descargar reporte de carga exitosa (PDF)</t>
  </si>
  <si>
    <t>PASO 7</t>
  </si>
  <si>
    <t>Archivar reporte en: Servidor GAD → /Planificación/SIL/2025/MM-Mes/ y registrar fecha en P-VERIFICACION</t>
  </si>
  <si>
    <t>📋 SECCIÓN 4 — DIRECTORIO DE CONTACTOS Y RESPONSABLES GAD Montecristi</t>
  </si>
  <si>
    <t>ROL / CARGO</t>
  </si>
  <si>
    <t>CORREO INSTITUCIONAL</t>
  </si>
  <si>
    <t>EXTENSIÓN</t>
  </si>
  <si>
    <t>RESPONSABILIDAD SIAP</t>
  </si>
  <si>
    <t>Responsable SIAP-ICPI (Administrador)</t>
  </si>
  <si>
    <t>Soporte Técnico / TIC</t>
  </si>
  <si>
    <t>Soporte sistema + backup + acceso</t>
  </si>
  <si>
    <t>TER-01/02/03/05/18 (IED 72)</t>
  </si>
  <si>
    <t>Dir. Desarrollo Social</t>
  </si>
  <si>
    <t>SOC-03 (IED 90) — Excelencia</t>
  </si>
  <si>
    <t>TER-09 (IED 65)</t>
  </si>
  <si>
    <t>Dir. TIC</t>
  </si>
  <si>
    <t>SOC-15 + INS-03 (IED 40)</t>
  </si>
  <si>
    <t>INS-05 (IED 35) ⚠️</t>
  </si>
  <si>
    <t>SOC-02/04/07 (IED 0) 🔴 CRÍTICA</t>
  </si>
  <si>
    <t>EP Aseo Integral</t>
  </si>
  <si>
    <t>AMB-08 (IED 58.5)</t>
  </si>
  <si>
    <t>Unidad Gestión Ambiental</t>
  </si>
  <si>
    <t>AMB-07 (IED 58.5)</t>
  </si>
  <si>
    <t>Unidad Turismo</t>
  </si>
  <si>
    <t>ECO-12 (IED 58.5)</t>
  </si>
  <si>
    <t>Unidad Gestión Sanitaria</t>
  </si>
  <si>
    <t>SOC-08 (IED 31.5) 🔴</t>
  </si>
  <si>
    <t>Soporte SIGAD / SENPLADES</t>
  </si>
  <si>
    <t>Secretaría Nacional Planificación</t>
  </si>
  <si>
    <t>sil@planificaecuador.gob.ec</t>
  </si>
  <si>
    <t>1800-PLANIF</t>
  </si>
  <si>
    <t>Portal SIL exportación</t>
  </si>
  <si>
    <t>📋 SECCIÓN 5 — PREGUNTAS FRECUENTES (FAQ) · Resolución de dudas operativas comunes</t>
  </si>
  <si>
    <t>PREGUNTA</t>
  </si>
  <si>
    <t>RESPUESTA</t>
  </si>
  <si>
    <t>¿Qué significa IED=0% para una dirección?</t>
  </si>
  <si>
    <t>¿Qué hago si el ICPI baja de un mes a otro?</t>
  </si>
  <si>
    <t>¿Puedo modificar los pesos Pi de las metas?</t>
  </si>
  <si>
    <t>¿Qué es Ci y cómo se asigna?</t>
  </si>
  <si>
    <t>Ci = Coeficiente de imputabilidad. Mide el nivel de control del GAD sobre el proceso. Ci=1.0 para direcciones GAD con control directo. Ci=0.9 para entes adscritos/convenios. Se asigna en C-MAO col G. No modificar sin justificación técnica.</t>
  </si>
  <si>
    <t>¿Cómo exporto al SIL si no tengo acceso al portal SIGAD?</t>
  </si>
  <si>
    <t>¿Qué pasa si el portal SIGAD no acepta el CSV?</t>
  </si>
  <si>
    <t>¿Cada cuánto se actualiza el Dashboard?</t>
  </si>
  <si>
    <t>Variable</t>
  </si>
  <si>
    <t>Definición</t>
  </si>
  <si>
    <t>Fuente Legal</t>
  </si>
  <si>
    <t>Fórmula de Cálculo</t>
  </si>
  <si>
    <t>← Ingresar datos oficiales aquí →</t>
  </si>
  <si>
    <t>◆ TRAZABILIDAD ◆ Registro de Cambios y Versiones · SIAP-ICPI</t>
  </si>
  <si>
    <t>🔷 REGISTRO DE CAMBIOS · v1.0 — Versión inicial activa · Responsable / Fecha / Módulo / Cambio realizado</t>
  </si>
  <si>
    <t>PDOT — Plan de Desarrollo y Ordenamiento Territorial</t>
  </si>
  <si>
    <t>S1 (col Q)</t>
  </si>
  <si>
    <t>PLANIFICACIÓN ESTRATÉGICA</t>
  </si>
  <si>
    <t>Meta existe en PDOT vigente con indicador cuantificable y meta 2027</t>
  </si>
  <si>
    <t>PDOT Plan Bicentenario 2023-2027 · GAD Montecristi</t>
  </si>
  <si>
    <t>🟢 ✅ ACTIVO</t>
  </si>
  <si>
    <t>1 de 6</t>
  </si>
  <si>
    <t>Dir. Planificación y Desarrollo (DPD)</t>
  </si>
  <si>
    <t>Art.295 CRE · Art.64 COOTAD · Art.41 COPFP</t>
  </si>
  <si>
    <t>PDOT aprobado + Resolución Concejo + registro SNI/SIGAD</t>
  </si>
  <si>
    <t>Anual (actualización)</t>
  </si>
  <si>
    <t>S1=1 si meta consta en PDOT vigente</t>
  </si>
  <si>
    <t>POA — Plan Operativo Anual</t>
  </si>
  <si>
    <t>S2 (col R)</t>
  </si>
  <si>
    <t>PLANIFICACIÓN OPERATIVA</t>
  </si>
  <si>
    <t>Meta incluida en POA con partida presupuestaria y responsable designado</t>
  </si>
  <si>
    <t>POA 2023-2024 aprobado Concejo Municipal + registro SIGAD</t>
  </si>
  <si>
    <t>M-POA</t>
  </si>
  <si>
    <t>2 de 6</t>
  </si>
  <si>
    <t>Dir. Planificación (DPD) + Dir. Financiera (DFI)</t>
  </si>
  <si>
    <t>Art.233-236 COPFP · Art.55(a) COOTAD</t>
  </si>
  <si>
    <t>POA firmado + Resolución aprobatoria + registro SIGAD</t>
  </si>
  <si>
    <t>Anual (enero)</t>
  </si>
  <si>
    <t>S2=1 si meta en POA con partida</t>
  </si>
  <si>
    <t>PAC — Plan Anual de Contratación / SERCOP</t>
  </si>
  <si>
    <t>S3 (col S)</t>
  </si>
  <si>
    <t>CONTRATACIÓN PÚBLICA</t>
  </si>
  <si>
    <t>Proceso publicado en SERCOP: estado adjudicado, en ejecución o finalizado</t>
  </si>
  <si>
    <t>Portal SERCOP compraspublicas.gob.ec · Resolución adjudicación</t>
  </si>
  <si>
    <t>D-MAD col S</t>
  </si>
  <si>
    <t>3 de 6</t>
  </si>
  <si>
    <t>Dirección responsable según C-MAO (Director GAD)</t>
  </si>
  <si>
    <t>Art.22 LOSNCP · Res.SERCOP 2023-01 · Art.63 COOTAD</t>
  </si>
  <si>
    <t>OC/Contrato adjudicado + actas recepción + informes técnicos</t>
  </si>
  <si>
    <t>Continua (por proceso)</t>
  </si>
  <si>
    <t>S3=1 si proceso SERCOP formalizado</t>
  </si>
  <si>
    <t>CÉDULAS — eSIGEF Cédulas Presupuestarias</t>
  </si>
  <si>
    <t>S4 = Ti (col T)</t>
  </si>
  <si>
    <t>EJECUCIÓN PRESUPUESTARIA</t>
  </si>
  <si>
    <t>Cédula devengada &gt; 0: porcentaje real ejecutado sobre codificado (Ti)</t>
  </si>
  <si>
    <t>eSIGEF · e-SIGAP · MFE · Cédulas presupuestarias GAD</t>
  </si>
  <si>
    <t>D-MAD col T · L-CEDULAS</t>
  </si>
  <si>
    <t>4 de 6</t>
  </si>
  <si>
    <t>Dir. Financiera (DFI) + Dirección responsable</t>
  </si>
  <si>
    <t>Art.111 COPFP · Art.340 COOTAD · Acuerdo MFE 0067</t>
  </si>
  <si>
    <t>Cédula devengada + certificación Dir. Financiero + SPI</t>
  </si>
  <si>
    <t>Mensual (cierre mes)</t>
  </si>
  <si>
    <t>S4 = Ti = devengado/codificado ∈ [0,1]</t>
  </si>
  <si>
    <t>SIGAD — Sistema Información GAD / ICM</t>
  </si>
  <si>
    <t>S5 (col U)</t>
  </si>
  <si>
    <t>REPORTE INSTITUCIONAL</t>
  </si>
  <si>
    <t>Datos reportados en SIGAD-SNP — diferencial comparativo §4.2 (no benchmark primario)</t>
  </si>
  <si>
    <t>ICM SIGAD · SENPLADES/SNP línea 05 Montecristi · ICM 2023=92.25%</t>
  </si>
  <si>
    <t>E1-ICPI · Q-SIL</t>
  </si>
  <si>
    <t>5 de 6</t>
  </si>
  <si>
    <t>Dir. Planificación (DPD) + Alcaldía</t>
  </si>
  <si>
    <t>Res.SNP-002-2023 · Art.196 COOTAD · SENPLADES Norma</t>
  </si>
  <si>
    <t>ICM SIGAD enviado + acuse recibo + indicadores actualizados</t>
  </si>
  <si>
    <t>Semestral (jun/dic)</t>
  </si>
  <si>
    <t>S5=1 si ICM SIGAD reportado y validado</t>
  </si>
  <si>
    <t>CPCCS — Rendición de Cuentas (RDC)</t>
  </si>
  <si>
    <t>S6 (col V)</t>
  </si>
  <si>
    <t>CONTROL SOCIAL CIUDADANO</t>
  </si>
  <si>
    <t>Meta consta en RDC presentado ante CPCCS con participación ciudadana activa</t>
  </si>
  <si>
    <t>RDC 2023 + RDC 2024 presentados ante CPCCS Manabí</t>
  </si>
  <si>
    <t>6 de 6</t>
  </si>
  <si>
    <t>Alcaldía + Patronato (metas sociales) + Dir. Planificación</t>
  </si>
  <si>
    <t>Art.100 CRE · Art.301-309 COOTAD · Res.CPCCS 2023</t>
  </si>
  <si>
    <t>RDC aprobado + acta sesión ciudadana + registro CPCCS</t>
  </si>
  <si>
    <t>Anual (enero-febrero)</t>
  </si>
  <si>
    <t>S6=1 si meta consta en RDC aprobado</t>
  </si>
  <si>
    <t>⚙️ FÓRMULA CININ MAESTRA (D-MAD cols Q:Z) · Vi_CADENA = IF(S1=1, IF(S2+S3+IF(S4&gt;0,1,0)≥2, 1, 0), 0) · Ti_CADENA = S4 (cédula devengada real) · CININ_OK = S1×S2×S3 (cadena íntegra planificación) · DIAGNÓSTICO AUTOMÁTICO en col Z de D-MAD · Referencia: §3.4 SIAP-ICPI</t>
  </si>
  <si>
    <t>📊 SECCIÓN B — RESULTADO ACTUAL DE AUDITORÍA · Estado SIAP-ICPI · Fuente canónica: E1-ICPI!G25</t>
  </si>
  <si>
    <t>INDICADOR CLAVE</t>
  </si>
  <si>
    <t>FÓRMULA / FUENTE</t>
  </si>
  <si>
    <t>INTERPRETACIÓN</t>
  </si>
  <si>
    <t>CAMBIO vs</t>
  </si>
  <si>
    <t>ICPI Global (resultado final)</t>
  </si>
  <si>
    <t>TRANSICIÓN CRÍTICA (rango 40-69%) · ⚠️ DÉFICIT PROGRAMÁTICO CONFIRMADO §3.6</t>
  </si>
  <si>
    <t>Numerador Σ(Pi×Ri×Vi×Ei×Ti×Ci)</t>
  </si>
  <si>
    <t>Incluye solo metas con Vi=1. Ci=1.0 (13 metas) y Ci=0.9 (7 metas)</t>
  </si>
  <si>
    <t>Estable — Ci verificado C-MAO</t>
  </si>
  <si>
    <t>Denominador Σ(Pi×Ri)</t>
  </si>
  <si>
    <t>Normaliza ICPI a escala 0-1. ΣPi=0.9999 (redondeo aceptable &lt;0.01%)</t>
  </si>
  <si>
    <t>Estable</t>
  </si>
  <si>
    <t>Vi_cadena = 1 (cadena CININ completa)</t>
  </si>
  <si>
    <t>Vi_cadena = 0 (CININ rota)</t>
  </si>
  <si>
    <t>Metas completadas (Vi_cad=1 ∧ Ti≥99%)</t>
  </si>
  <si>
    <t>Estable — 4 metas verificadas</t>
  </si>
  <si>
    <t>Metas en ejecución (Vi_cad=1 ∧ 0&lt;Ti&lt;99%)</t>
  </si>
  <si>
    <t>Ti promedio (solo metas Vi_cad=1)</t>
  </si>
  <si>
    <t>ICM SIGAD 2023 (comparativo auto-reporte §4.2)</t>
  </si>
  <si>
    <t>92,25 % (auto-reporte — NO es benchmark)</t>
  </si>
  <si>
    <t>Referencia institucional. SIAP-ICPI audita indemente via CININ</t>
  </si>
  <si>
    <t>Estable — valor externo</t>
  </si>
  <si>
    <t>Brecha ICPI vs Meta PDOT 2027 (primaria)</t>
  </si>
  <si>
    <t>Brecha negativa confirma el UAP: ICPI auditado significativamente &lt; índice SIGAD auto-reportado §3.6</t>
  </si>
  <si>
    <t>ICPI potencial máximo (si SOC-02 Vi→1,Ti→1)</t>
  </si>
  <si>
    <t>Estable — cálculo sensibilidad H3-SENSI</t>
  </si>
  <si>
    <t>Dirs. INACEPTABLE LOSEP (IED&lt;60%)</t>
  </si>
  <si>
    <t>Nuevo en versión actual — evaluación T-SEMESTRAL incorporada</t>
  </si>
  <si>
    <t>📋 SECCIÓN C — LOG DE VERSIONES SIAP-ICPI · Versión 1.0 · Registro inicial del sistema · SIAP-ICPI §Anexo C</t>
  </si>
  <si>
    <t>FECHA</t>
  </si>
  <si>
    <t>MÓDULOS INVOLUCRADOS</t>
  </si>
  <si>
    <t>DESCRIPCIÓN DEL CAMBIO</t>
  </si>
  <si>
    <t>IMPACTO EN ICPI</t>
  </si>
  <si>
    <t>v1.0</t>
  </si>
  <si>
    <t>Todas las hojas · 43 hojas activas</t>
  </si>
  <si>
    <t>Versión inicial del sistema SIAP-ICPI. Pre-ingesta de datos oficiales. Fórmula: ICPI=Σ(Pi×Ri×Vi×Ei×Ti×Ci)÷Σ(Pi×Ri). n=20 metas PDOT. Arquitectura completa de 43 hojas documentada.</t>
  </si>
  <si>
    <t>ICPI base=41,71% (datos pre-ingesta)</t>
  </si>
  <si>
    <t>Dir. Planificación GAD Montecristi</t>
  </si>
  <si>
    <t>🟢 VERSIÓN ACTIVA</t>
  </si>
  <si>
    <t>Todas · ÍNDICE · TRAZABILIDAD · METADATOS</t>
  </si>
  <si>
    <t>Todas las hojas · 43 hojas activas · Pre-ingesta datos oficiales</t>
  </si>
  <si>
    <t>Versión inicial del sistema SIAP-ICPI. Fórmula: ICPI=Σ(Pi×Ri×Vi×Ei×Ti×Ci)÷Σ(Pi×Ri). n=20 metas PDOT. Arquitectura completa de 43 hojas. Pre-ingesta de datos oficiales PDOT, POA, PAC, Cédulas.</t>
  </si>
  <si>
    <t>— Espacio reservado para próximas versiones — Se registrarán acá a medida que el sistema evolucione con datos oficiales ingresados.</t>
  </si>
  <si>
    <t>🗂️ SECCIÓN D — MAPA DE LAS 43 HOJAS · Arquitectura SIAP-ICPI v1.0 · 9 Capas lógicas · Flujo de datos documentado</t>
  </si>
  <si>
    <t>POS</t>
  </si>
  <si>
    <t>HOJA</t>
  </si>
  <si>
    <t>FUNCIÓN PRINCIPAL</t>
  </si>
  <si>
    <t>Versión 1.0 Final</t>
  </si>
  <si>
    <t>Preparación pre-ingesta de datos oficiales</t>
  </si>
  <si>
    <t>Limpieza automatizada. Cambios: 58</t>
  </si>
  <si>
    <t>⓪ NAVEGACIÓN</t>
  </si>
  <si>
    <t>Dashboard ejecutivo: ICPI global, semáforos, ejes PDOT, alertas clave.</t>
  </si>
  <si>
    <t>E2-RESUL · F-BI · H2-EJES · D-MAD</t>
  </si>
  <si>
    <t>✅</t>
  </si>
  <si>
    <t>Parámetros del GAD: nombre, RUC, periodo, escala LOSEP, colores.</t>
  </si>
  <si>
    <t>PARAMS · E1-ICPI</t>
  </si>
  <si>
    <t>Parámetros maestros: ICM SIGAD, ICPI calculado, brecha, escalas.</t>
  </si>
  <si>
    <t>E2-RESUL · E1-ICPI</t>
  </si>
  <si>
    <t>① BASE PDOT</t>
  </si>
  <si>
    <t>BASE PRIMARIA: 20 metas PDOT Plan Bicentenario 2023-2027. Fuente de verdad.</t>
  </si>
  <si>
    <t>PDOT externo</t>
  </si>
  <si>
    <t>B-PONDER · D-MAD · Q-SIL · E1-ICPI</t>
  </si>
  <si>
    <t>✅ BASE PRIMARIA</t>
  </si>
  <si>
    <t>ITME (Inventario Técnico)</t>
  </si>
  <si>
    <t>Catálogo base SIAP-ICPI. n=20 metas estratégicas vinculadas en tiempo real a A-PDOT. Solo lectura. ΣPi=1.000 · SIAP-ICPI §3.6·A</t>
  </si>
  <si>
    <t>PDOT (=PDOT!col_fila)</t>
  </si>
  <si>
    <t>GLOSARIO (referencia §3.6·A)</t>
  </si>
  <si>
    <t>✅ CATÁLOGO</t>
  </si>
  <si>
    <t>PONDER (B-PONDER)</t>
  </si>
  <si>
    <t>Ponderación Pi por meta: Pi=Presupuesto_meta/ΣPresupuesto_total. ΣPi=0.9999.</t>
  </si>
  <si>
    <t>PDOT · MFE</t>
  </si>
  <si>
    <t>✅ ΣPi=1.000</t>
  </si>
  <si>
    <t>TFR (C-TFR)</t>
  </si>
  <si>
    <t>🔴 Factores de Relevancia Ri: 1.5=Crítico · 1.0=Alto · 0.5=Medio.</t>
  </si>
  <si>
    <t>ICPI · MAO</t>
  </si>
  <si>
    <t>✅ 3 niveles</t>
  </si>
  <si>
    <t>MAO (C-MAO)</t>
  </si>
  <si>
    <t>Matriz Atribución Orgánica: asigna Ci∈{1.0;0.9} por dirección responsable.</t>
  </si>
  <si>
    <t>TFR · Estatuto Orgánico</t>
  </si>
  <si>
    <t>MAD · ICPI</t>
  </si>
  <si>
    <t>✅ 20 metas</t>
  </si>
  <si>
    <t>POA (M-POA)</t>
  </si>
  <si>
    <t>② DATOS OPERATIVOS</t>
  </si>
  <si>
    <t>Alineación PAC/POA 2023-2025. Verifica presupuesto programado vs ejecutado.</t>
  </si>
  <si>
    <t>PDOT · MFE/eSIGEF</t>
  </si>
  <si>
    <t>MAD · CEDULAS</t>
  </si>
  <si>
    <t>CEDULAS (L-CEDULAS)</t>
  </si>
  <si>
    <t>Control presupuestario: Codificado vs Devengado por meta. Ti global=61% · S4 D-MAD · COPFP Art.111</t>
  </si>
  <si>
    <t>POA · eSIGEF</t>
  </si>
  <si>
    <t>SIL · CONSIST</t>
  </si>
  <si>
    <t>MEC (G-MEC)</t>
  </si>
  <si>
    <t>Matriz Evidencia y Cadena de Custodia: fuentes primarias SERCOP+eSIGEF+LOTAIP.</t>
  </si>
  <si>
    <t>SERCOP · eSIGEF · LOTAIP</t>
  </si>
  <si>
    <t>MAD · MUAF</t>
  </si>
  <si>
    <t>9/20 metas</t>
  </si>
  <si>
    <t>MUAF (I-MUAF)</t>
  </si>
  <si>
    <t>Plantilla Universal Auditoría Forense: protocolo estandarizado recolección documental.</t>
  </si>
  <si>
    <t>Instituciones externas</t>
  </si>
  <si>
    <t>✅ Protocolo</t>
  </si>
  <si>
    <t>MAD (D-MAD)</t>
  </si>
  <si>
    <t>③ AUDITORÍA FORENSE</t>
  </si>
  <si>
    <t>NÚCLEO FORENSE: Vi×Ei×Ti por meta. CININ 6 silos. Vi_cadena=18/20 ✅</t>
  </si>
  <si>
    <t>A-PDOT · C-MAO · G-MEC · eSIGEF</t>
  </si>
  <si>
    <t>E1-ICPI · O-RESUMEN · E3-Consist</t>
  </si>
  <si>
    <t>✅ 20/20 metas</t>
  </si>
  <si>
    <t>ICPI (E1-ICPI)</t>
  </si>
  <si>
    <t>④ CÁLCULO ICPI</t>
  </si>
  <si>
    <t>B-PONDER · C-TFR · D-MAD · C-MAO</t>
  </si>
  <si>
    <t>E2-RESUL · H2-EJES · Dashboard</t>
  </si>
  <si>
    <t>✅ ICPI=44.25%</t>
  </si>
  <si>
    <t>RESUL (E2-RESUL)</t>
  </si>
  <si>
    <t>E3-Consist · E4-INTERP · Dashboard</t>
  </si>
  <si>
    <t>CONSIST (E3-Consist)</t>
  </si>
  <si>
    <t>Validación consistencia melógica: Pi-Σ, Vi_cadena, Δverificación.</t>
  </si>
  <si>
    <t>E1-ICPI · E2-RESUL · D-MAD</t>
  </si>
  <si>
    <t>Dashboard · P-VERIFICACION</t>
  </si>
  <si>
    <t>✅ verificado</t>
  </si>
  <si>
    <t>INTERP (E4-INTERP)</t>
  </si>
  <si>
    <t>Interpretación cualitativa: escala 5 niveles + resultado aplicado al GAD.</t>
  </si>
  <si>
    <t>Dashboard · O-RESUMEN</t>
  </si>
  <si>
    <t>BI (F-BI)</t>
  </si>
  <si>
    <t>⑤ ANÁLISIS</t>
  </si>
  <si>
    <t>Matriz Brecha Programática: ICPI por meta vs Meta PDOT 2027 (brecha -Xpp/meta).</t>
  </si>
  <si>
    <t>E1-ICPI · A-PDOT</t>
  </si>
  <si>
    <t>Dashboard · N-BRECHA</t>
  </si>
  <si>
    <t>EDS (F-EDS)</t>
  </si>
  <si>
    <t>IED por Dirección (fórmula estricta: Ci×POA×PAC×Ti×Vi×100). 10 INACEPTABLE.</t>
  </si>
  <si>
    <t>✅ LOSEP 96/85/70/60</t>
  </si>
  <si>
    <t>MVCI (H-MVCI)</t>
  </si>
  <si>
    <t>Verificación Coherencia Interna: Pi×Ri×Vi×Ei×Ti cruzados. Presupuestos eSIGEF.</t>
  </si>
  <si>
    <t>A-PDOT · D-MAD · Q-SIL</t>
  </si>
  <si>
    <t>E3-Consist</t>
  </si>
  <si>
    <t>✅ Pres. actualizados</t>
  </si>
  <si>
    <t>EJES (H2-EJES)</t>
  </si>
  <si>
    <t>ICPI desagregado por eje: TER=62.2% · SOC=11.9% · AMB=30.1% · ECO=24.3% · INS=85.8%.</t>
  </si>
  <si>
    <t>✅ SUMIF dinámico</t>
  </si>
  <si>
    <t>SENSI (H3-SENSI)</t>
  </si>
  <si>
    <t>Análisis sensibilidad: impacto de Vi→1 por meta. SOC-02=+20.6pp mayor impacto.</t>
  </si>
  <si>
    <t>E3-Consist · N-BRECHA</t>
  </si>
  <si>
    <t>BRECHA (N-BRECHA)</t>
  </si>
  <si>
    <t>Análisis brecha programática: Vi=0 metas (5 Vi_ind / 2 Vi_cad), Ti&lt;70%, alertas.</t>
  </si>
  <si>
    <t>A-PDOT · F-BI · D-MAD</t>
  </si>
  <si>
    <t>✅ Δpp corregidos</t>
  </si>
  <si>
    <t>ORGANICO (X-ORGANICO)</t>
  </si>
  <si>
    <t>⑥ RRHH</t>
  </si>
  <si>
    <t>Estructura orgánica GAD: auditoría 12 direcciones, coherencia Ci vs C-MAO (19/20).</t>
  </si>
  <si>
    <t>Y-EVAL-DIR · C-MAO</t>
  </si>
  <si>
    <t>✅ ORGANICO</t>
  </si>
  <si>
    <t>EVAL-DIR (Y-EVAL-DIR)</t>
  </si>
  <si>
    <t>Evaluación desempeño por Dirección: IED=Ci×Vi_cad×S4×Ri×100. 12 directores.</t>
  </si>
  <si>
    <t>D-MAD · C-MAO · X-ORGANICO</t>
  </si>
  <si>
    <t>T-SEMESTRAL · Z-EVAL-SP · F-EDS</t>
  </si>
  <si>
    <t>✅ EVAL-DIR</t>
  </si>
  <si>
    <t>EVAL-SP (Z-EVAL-SP)</t>
  </si>
  <si>
    <t>Evaluación servidor público: muestra DOP. IED-SP=Vi×Ti×IED_Dir/100.</t>
  </si>
  <si>
    <t>Y-EVAL-DIR · D-MAD</t>
  </si>
  <si>
    <t>T-SEMESTRAL</t>
  </si>
  <si>
    <t>✅ EVAL-SP</t>
  </si>
  <si>
    <t>SEMESTRAL (T-SEMESTRAL)</t>
  </si>
  <si>
    <t>Evaluación semestral y anual LOSEP: 12 dirs, escala 96/85/70/60. Secciones A-F.</t>
  </si>
  <si>
    <t>P-VERIFICACION · R-ALERTAS</t>
  </si>
  <si>
    <t>✅ 9 INACEPTABLE</t>
  </si>
  <si>
    <t>RESUMEN (O-RESUMEN)</t>
  </si>
  <si>
    <t>⑦ SALIDAS</t>
  </si>
  <si>
    <t>Dashboard continuidad PDOT 2027: métricas globales, Vi=18/20, ICPI=44.25%.</t>
  </si>
  <si>
    <t>E1-ICPI · D-MAD · H2-EJES</t>
  </si>
  <si>
    <t>VERIF (P-VERIF)</t>
  </si>
  <si>
    <t>Matriz control documental: 10 docs LOTAIP (2✅/8 s), panel diagnóstico 8 checks.</t>
  </si>
  <si>
    <t>Todas las hojas fuente</t>
  </si>
  <si>
    <t>R-ALERTAS · Q-SIL</t>
  </si>
  <si>
    <t>ALERTAS (R-ALERTAS)</t>
  </si>
  <si>
    <t>Sistema automático alertas: 14 alertas (3🔴/3🟠/4🟡/4🟢). COUNTIF dinámico.</t>
  </si>
  <si>
    <t>T-SEMESTRAL · D-MAD · L-CEDULAS</t>
  </si>
  <si>
    <t>SIL (Q-SIL)</t>
  </si>
  <si>
    <t>Exportación SIL COOTAD Art.598: 20 metas CSV SIGAD. Sección B dinámica.</t>
  </si>
  <si>
    <t>D-MAD · A-PDOT · F-EDS</t>
  </si>
  <si>
    <t>SIGAD / Planifica Ecuador</t>
  </si>
  <si>
    <t>LIMIT (J-Limit)</t>
  </si>
  <si>
    <t>⑧ DOCUMENTACIÓN</t>
  </si>
  <si>
    <t>Declaración de limitaciones y salvaguardas: 4 dimensiones + validez/confiabilidad.</t>
  </si>
  <si>
    <t>Melogía SIAP-ICPI</t>
  </si>
  <si>
    <t>GLOSARIO (K-Glosario)</t>
  </si>
  <si>
    <t>Glosario técnico-operativo: 35 términos. ICPI, CININ, Vi, Ei, Ti, Pi, Ci, IED.</t>
  </si>
  <si>
    <t>✅ 35 términos</t>
  </si>
  <si>
    <t>MANUAL (S-MANUAL)</t>
  </si>
  <si>
    <t>Manual de usuario: 35 hojas, 6 secciones, protocolo mensual SIL.</t>
  </si>
  <si>
    <t>Responsable Planificación</t>
  </si>
  <si>
    <t>TRAZABILIDAD</t>
  </si>
  <si>
    <t>Esta hoja: CININ 6 silos + log versiones + mapa hojas + s.</t>
  </si>
  <si>
    <t>Auditor / CGE / SNP</t>
  </si>
  <si>
    <t>Preparación pre-ingesta v1.0</t>
  </si>
  <si>
    <t>Limpieza pre-ingesta</t>
  </si>
  <si>
    <t>Correcciones: 243</t>
  </si>
  <si>
    <t>SECCIÓN E . Planificación</t>
  </si>
  <si>
    <t>HOJA(S) AFECTADAS</t>
  </si>
  <si>
    <t>IMPACTO SI NO SE RESUELVE</t>
  </si>
  <si>
    <t>CUPs reales desde SIGPIP (20 CUPs ficticios s)</t>
  </si>
  <si>
    <t>L-CEDULAS col D</t>
  </si>
  <si>
    <t>Solicitar a SIGPIP los 20 CUPs reales de cada meta. Reemplazar valores s en col D.</t>
  </si>
  <si>
    <t>Dir. Planificación + SIGPIP</t>
  </si>
  <si>
    <t>Q1 2025</t>
  </si>
  <si>
    <t>Cédulas presupuestarias no son auditables sin CUP real. SERCOP no puede verificar.</t>
  </si>
  <si>
    <t>9 Directores con IED INACEPTABLE — Sumario LOSEP Art.80</t>
  </si>
  <si>
    <t>T-SEMESTRAL · Y-EVAL-DIR · F-EDS</t>
  </si>
  <si>
    <t>Activar proceso sumario administrativo según LOSEP Art.80. Documentar en SIITH.</t>
  </si>
  <si>
    <t>Dirección de RRHH + Alcaldía</t>
  </si>
  <si>
    <t>🟡 Inmediato</t>
  </si>
  <si>
    <t>Responsabilidad legal del GAD. CGE puede observar omisión en próxima auditoría.</t>
  </si>
  <si>
    <t>SOC-02 (Centro Salud Tipo C) — Vi=0, Ti=0. Mayor impacto ICPI +20.6pp</t>
  </si>
  <si>
    <t>D-MAD · N-BRECHA · H3-SENSI</t>
  </si>
  <si>
    <t>Gestionar convenio MSP o reclasificar como competencia concurrente. Documentar acta.</t>
  </si>
  <si>
    <t>Alcaldía + Patronato + MSP</t>
  </si>
  <si>
    <t>Q2 2025</t>
  </si>
  <si>
    <t>Sin resolución: ICPI no puede superar 47% potencial. Eje SOCIAL en 🔴 perpetuo.</t>
  </si>
  <si>
    <t>SIITH — Cargas s (9 dirs sin registro semestral)</t>
  </si>
  <si>
    <t>T-SEMESTRAL Sección E</t>
  </si>
  <si>
    <t>Cargar evaluaciones semestrales en SIITH-MDT antes del plazo reglamentario.</t>
  </si>
  <si>
    <t>Dir. RRHH + cada Dirección</t>
  </si>
  <si>
    <t>Próximo cierre semestral</t>
  </si>
  <si>
    <t>Multa MDT + observación CGE por incumplimiento LOSEP Art.76.</t>
  </si>
  <si>
    <t>Documentos LOTAIP s (8 de 10 marcados)</t>
  </si>
  <si>
    <t>P-VERIFICACION col D (filas 47-56)</t>
  </si>
  <si>
    <t>Publicar 8 documentos s en portal LOTAIP del GAD.</t>
  </si>
  <si>
    <t>Dir. Planificación + Comunicación</t>
  </si>
  <si>
    <t>Incumplimiento LOTAIP Art.7. Observación defensorial + multa.</t>
  </si>
  <si>
    <t>TER-10 (Camal) y SOC-04 (Guardería) — Vi_cadena=0</t>
  </si>
  <si>
    <t>D-MAD · O-RESUMEN · E3-Consist</t>
  </si>
  <si>
    <t>Gestionar documentación de respaldo o formalizar que son metas s POA 2025.</t>
  </si>
  <si>
    <t>Dir. Servicios Públicos + Patronato</t>
  </si>
  <si>
    <t>CININ rota en 2 metas. Si se subsana: Vi_cadena=20/20 y ICPI potencial +2.7pp.</t>
  </si>
  <si>
    <t>Estatuto Orgánico real — AMB-07 Ci discrepancia</t>
  </si>
  <si>
    <t>C-MAO · X-ORGANICO</t>
  </si>
  <si>
    <t>Verificar Estatuto Orgánico vigente para confirmar Ci de UGA (0.9 o 1.0) en AMB-07.</t>
  </si>
  <si>
    <t>Dir. Jurídico + UGA</t>
  </si>
  <si>
    <t>Discrepancia menor: impacto máximo &lt;0.2pp ICPI. Pero afecta auditoría CGE.</t>
  </si>
  <si>
    <t>🟠 G-MEC</t>
  </si>
  <si>
    <t>G-MEC</t>
  </si>
  <si>
    <t>Agregar evidencias primarias (SERCOP/LOTAIP) para los 11 metas sin registro.</t>
  </si>
  <si>
    <t>Cadena de custodia incompleta. CGE no puede verificar sin fuente primaria.</t>
  </si>
  <si>
    <t>ICM SIGAD 2024 de publicación SNP</t>
  </si>
  <si>
    <t>PARAMS B5</t>
  </si>
  <si>
    <t>Actualizar PARAMS!B5 cuando SNP publique ICM 2024 oficial.</t>
  </si>
  <si>
    <t>Dir. Planificación (DPD)</t>
  </si>
  <si>
    <t>Cuando SNP lo publique</t>
  </si>
  <si>
    <t>Referencia para brecha actualizada. Sin impacto en ICPI (es externo).</t>
  </si>
  <si>
    <t>MANUAL — Actualizar secciones 3-6 con flujos actuales</t>
  </si>
  <si>
    <t>S-MANUAL</t>
  </si>
  <si>
    <t>Actualizar secciones de contenido del manual con los nuevos procedimientos.</t>
  </si>
  <si>
    <t>Manual desactualizado no afecta el modelo pero dificulta operación mensual.</t>
  </si>
  <si>
    <t>📝 NOTA MELÓGICA — TRAZABILIDAD documenta la cadena de integridad CININ (6 silos) + log de versiones (inicio v1.0) + mapa de 43 hojas × 7 atributos · Es el registro de auditoría del modelo · Permite reconstrucción forense completa de cada ICPI · SIAP-ICPI §4.1</t>
  </si>
  <si>
    <t>📋 MARCO LEGAL — ISO 9001:2015 §8.5.2 (trazabilidad) · CGE Norma NAG-2021 §4.5 (log auditoría) · LOTAIP Art.7 · COOTAD Art.228 (rendición cuentas) · CININ §1–6 · Res.SNPD-2023-002</t>
  </si>
  <si>
    <t>Sistema SIAP-ICPI IA</t>
  </si>
  <si>
    <t>MEJORA VISUAL</t>
  </si>
  <si>
    <t>FORMATO</t>
  </si>
  <si>
    <t>COMPLETADO</t>
  </si>
  <si>
    <t>✅ Sistema SIAP-ICPI v1.0 inicial · 43 hojas activas · Pre-ingesta datos oficiales · ICPI=41,71%</t>
  </si>
  <si>
    <t>v1.0 inicial</t>
  </si>
  <si>
    <t>PROMPT DEFINITIVO</t>
  </si>
  <si>
    <t>ICPI=41,71% — v1.0 — Pre-ingesta</t>
  </si>
  <si>
    <t>BASE PREPARADA</t>
  </si>
  <si>
    <t>Preparación pre-ingesta</t>
  </si>
  <si>
    <t>✅ 7 hojas renombradas (normalización) · ✅ Placeholders purgados:// · ✅ 4 hojas modernas creadas (METADATOS, ANEXO-CPCCS, ANEXO-CNE, ANEXO-SIGAD) · ✅ DASHBOARD desprotegida · Estado: LISTA PARA INGESTA DE DATOS OFICIALES · Siguiente: Cargar PDOT, POA, PAC, Cédulas</t>
  </si>
  <si>
    <t>Observaciones</t>
  </si>
  <si>
    <t>ICM SIGAD (%)</t>
  </si>
  <si>
    <t>ICPI Real (%)</t>
  </si>
  <si>
    <t>Brecha (pp)</t>
  </si>
  <si>
    <t>TOTAL MUESTRA · n=20</t>
  </si>
  <si>
    <t>SISTEMA</t>
  </si>
  <si>
    <t>% avance físico construcción / convenio MSP suscrito</t>
  </si>
  <si>
    <t>% avance físico construcción / índice equipamiento urbano CUP</t>
  </si>
  <si>
    <t>% avance físico / Nº beneficiarios grupos vulnerables atendidos</t>
  </si>
  <si>
    <t>% digitalización trámites / nivel conocimiento gestión municipal al 55%</t>
  </si>
  <si>
    <t>Índice verde urbano / Nº parques nuevos construidos</t>
  </si>
  <si>
    <t>Nº plantas y estaciones de bombeo operativas / % avance PTAR</t>
  </si>
  <si>
    <t>Capacidad disposición final (toneladas/año) / proceso MAATE iniciado</t>
  </si>
  <si>
    <t>% actualización catastral / cobertura SIG cantonal</t>
  </si>
  <si>
    <t>% cumplimiento instrumentos de planificación / SIL actualizado</t>
  </si>
  <si>
    <t>Nº viviendas intervenidas / % déficit habitacional reducido</t>
  </si>
  <si>
    <t>Nº emprendedores beneficiados / ferias realizadas por año</t>
  </si>
  <si>
    <t>Nº señales instaladas / sistema CCTV operativo / plan movilidad aprobado</t>
  </si>
  <si>
    <t>Nº adultos mayores atendidos / % equipamiento geriátrico instalado</t>
  </si>
  <si>
    <t>📋</t>
  </si>
  <si>
    <t>CRITERIO DE EXCLUSIÓN (COOTAD Art. 234 · COPYFP Art. 292)</t>
  </si>
  <si>
    <t>🔷  SECCIÓN B — MUESTRA SIAP-ICPI · n=20 Metas Estratégicas · Datos oficiales PDOT Plan Bicentenario 2023-2027 · Fuente: Plan Plurianual Inversiones + PAC 2023-2024 · Pi = Presup_i / ΣPresup (fuente maestra: PDOT!L4:L23)</t>
  </si>
  <si>
    <t>CÓD. PDOT
(Oficial)</t>
  </si>
  <si>
    <t>SISTEMA
PDOT</t>
  </si>
  <si>
    <t>META ESTRATÉGICA PDOT
(descripción oficial)</t>
  </si>
  <si>
    <t>Pi
(peso pres.)</t>
  </si>
  <si>
    <t>Ri
(relevancia)</t>
  </si>
  <si>
    <t>Vi
(evidencia)</t>
  </si>
  <si>
    <t>Ti
(ejecución)</t>
  </si>
  <si>
    <t>PROYECTO ESTRATÉGICO PDOT
(descripción sintética)</t>
  </si>
  <si>
    <t>PRESUP. PDOT ($)
(fuente: PDOT!L)</t>
  </si>
  <si>
    <t>INDICADOR META 2027
(oficial PDOT)</t>
  </si>
  <si>
    <t>RESPONSABLE
INSTITUCIONAL</t>
  </si>
  <si>
    <t>ALINEACIÓN
PDOT</t>
  </si>
  <si>
    <t>ESTADO POA 2025 /
RECOMENDACIÓN</t>
  </si>
  <si>
    <t>Integración ejes viales estratégicos — bacheo, pavimentación y mantenimiento vías urbanas y rurales</t>
  </si>
  <si>
    <t>Kilómetros de vías intervenidas / mantenidas por año</t>
  </si>
  <si>
    <t>Centro de Salud Tipo C «Nacer Aquí» + Repotenciación Clínica de Diálisis — gestión convenio MSP-ULEAM</t>
  </si>
  <si>
    <t>Gestión integral desechos sólidos: recolección, transporte y relleno sanitario — Empresa de Aseo Municipal EP</t>
  </si>
  <si>
    <t>Toneladas procesadas por año / cobertura recolección cantonal</t>
  </si>
  <si>
    <t>Terminal Terrestre Ciudad Bicentenario + Estación Bomberil Chirijos + Infocentros</t>
  </si>
  <si>
    <t>CDI + Guarderías Nocturnas + Montecristi Solidario — Protección derechos grupos vulnerables</t>
  </si>
  <si>
    <t>Fase I Alcantarillado BDE-PROGAPSA + Colector Principal + PTAR Montecristi</t>
  </si>
  <si>
    <t>Metros lineales de red construida / % cobertura alcantarillado cantonal</t>
  </si>
  <si>
    <t>Transformación digital trámites + Catastro Integrado alfanumérico-gráfico + WiFi público + ERP municipal</t>
  </si>
  <si>
    <t>Parque Las Pampas Fase I + Red Verde + canchas recreativas — Recuperación espacios públicos</t>
  </si>
  <si>
    <t>Construcción Colector Principal y PTAR Montecristi + Aníbal San Andrés — financiamiento CELEC/BDE</t>
  </si>
  <si>
    <t>Nuevo relleno sanitario cantonal — construcción y operación EP Aseo — regularización MAATE</t>
  </si>
  <si>
    <t>Índice verde urbano consolidado / Hectáreas nuevas áreas protegidas</t>
  </si>
  <si>
    <t>SIT Municipal + LIDAR + geomática institucional — Catastro Integrado alfanumérico-gráfico</t>
  </si>
  <si>
    <t>Urbanización pública municipal + repotenciación viviendas precarias — vivienda interés social</t>
  </si>
  <si>
    <t>Catastro artistas + Escuela Arte Municipal + RUAC (Registro Único Artistas y Creadores)</t>
  </si>
  <si>
    <t>Nº artistas registrados en RUAC / % avance catastro cultural</t>
  </si>
  <si>
    <t>Ferias Productivas + Feria de Negocios para Emprendedores + emprendimiento artesanal sombrero paja toquilla</t>
  </si>
  <si>
    <t>Nº bienes patrimoniales inventariados / avance candidatura Ciudad Creativa UNESCO</t>
  </si>
  <si>
    <t>Señalización vial + CCTV + embellecimiento urbano + plan de movilidad integral</t>
  </si>
  <si>
    <t>CDBV repotenciado 24h + 67.459 beneficiarios + Equipamiento geriátrico Patronato Municipal</t>
  </si>
  <si>
    <t>Albergue/Centro recuperación fauna urbana + Ordenanza Nº017-2024 — componente manglar y biodiversidad</t>
  </si>
  <si>
    <t>Nº animales atendidos / castraciones realizadas / ordenanza vigente</t>
  </si>
  <si>
    <t>TOTALES MUESTRA · n=20 metas · ΣPi = 1.000 ✅ · Fuente maestra: PDOT hoja</t>
  </si>
  <si>
    <t>Pi (= Presup / Σ)</t>
  </si>
  <si>
    <t>Pi = PDOT!L4 / PDOT!L24</t>
  </si>
  <si>
    <t>Fuente maestra: PDOT hoja · ratio presupuestario</t>
  </si>
  <si>
    <t>Pi = PDOT!L5 / PDOT!L24</t>
  </si>
  <si>
    <t>Fuente maestra: PDOT hoja</t>
  </si>
  <si>
    <t>Pi = PDOT!L6 / PDOT!L24</t>
  </si>
  <si>
    <t>Pi = PDOT!L7 / PDOT!L24</t>
  </si>
  <si>
    <t>Pi = PDOT!L8 / PDOT!L24</t>
  </si>
  <si>
    <t>Pi = PDOT!L9 / PDOT!L24</t>
  </si>
  <si>
    <t>Pi = PDOT!L10 / PDOT!L24</t>
  </si>
  <si>
    <t>Pi = PDOT!L11 / PDOT!L24</t>
  </si>
  <si>
    <t>Pi = PDOT!L12 / PDOT!L24</t>
  </si>
  <si>
    <t>Pi = PDOT!L13 / PDOT!L24</t>
  </si>
  <si>
    <t>Pi = PDOT!L14 / PDOT!L24</t>
  </si>
  <si>
    <t>Pi = PDOT!L15 / PDOT!L24</t>
  </si>
  <si>
    <t>Pi = PDOT!L16 / PDOT!L24</t>
  </si>
  <si>
    <t>Pi = PDOT!L17 / PDOT!L24</t>
  </si>
  <si>
    <t>Pi = PDOT!L18 / PDOT!L24</t>
  </si>
  <si>
    <t>Pi = PDOT!L19 / PDOT!L24</t>
  </si>
  <si>
    <t>Pi = PDOT!L20 / PDOT!L24</t>
  </si>
  <si>
    <t>Pi = PDOT!L21 / PDOT!L24</t>
  </si>
  <si>
    <t>Pi = PDOT!L22 / PDOT!L24</t>
  </si>
  <si>
    <t>Pi = PDOT!L23 / PDOT!L24</t>
  </si>
  <si>
    <t>Trazabilidad impoluta: B→PDOT!B · C→PDOT!C · D→PDOT!D · F→PDOT!Ri · G→PDOT!L · H→PONDER!F</t>
  </si>
  <si>
    <t>PAC 2023 — 57 ítems GAD + 71 ítems PMAS — Total oficial GAD: $12,652,519.69 | PMAS: $554,410.20 — Vinculados PDOT: $3,587,519.89</t>
  </si>
  <si>
    <t>PAC 2024 — 143 ítems GAD + 46 ítems PMAS — Total oficial GAD: $8,712,580.52 | PMAS: $1,104,580.85 — Vinculados PDOT: $3,575,295.71</t>
  </si>
  <si>
    <t>🔴 Ejecución crítica &lt;50% — deslinde Dirección Patronato</t>
  </si>
  <si>
    <t>🔴 ALERTA PATRONATO: Codif. $10.000 — Devengado $0 (0%) — revisar SERCOP/POA</t>
  </si>
  <si>
    <t>🔴 Ejecución crítica 39,14% — Brecha SPI $6.430 — verificar SERCOP Patronato</t>
  </si>
  <si>
    <t>Planta Tratamiento Desechos / AASS</t>
  </si>
  <si>
    <t>RDC 2023: Ampliación cobertura recolección desechos comunidades y parroquia Aníbal San Andrés; mayor frecuencia viajes vertedero; gestión adquisición terreno PTAR Gral. Eloy Alfaro. RDC 2024: 4ª Reforma Ordenanza Tasa Basura sancionada; adquisición 6 vehículos recolectores; estudio cierre técnico botadero; postulación BDE financiamiento fase I AASS + PTAR; estudios definitivos cerramiento/caseta PTAR.</t>
  </si>
  <si>
    <t>✅ Consistente — avance documentado, devengado $224,635 (30% codif.)</t>
  </si>
  <si>
    <t>RDC 2023 T16; RDC 2024 T27/T34</t>
  </si>
  <si>
    <t>RDC 2023 pág.4: Elaboración informe de necesidad para estudio de macro movilidad que defina ubicación y modelo de gestión del nuevo terminal terrestre. Etapa de planificación. RDC 2024: Sin mención del terminal terrestre en informe 2024.</t>
  </si>
  <si>
    <t>✅ Consistente — solo planificación (Ti=0.20), devengado $338,760 parcial (20% codif.)</t>
  </si>
  <si>
    <t>RDC 2023 T15 p.4</t>
  </si>
  <si>
    <t>RDC 2024 T14: 'Se Despriorizo la construcción de un camal, por la Expropiación de un terreno ubicado en la av. metropolitana... con el objetivo de Reubicar a los comerciantes Informales... para un futuro una proyección de Construcción de una plaza comercial'. Meta OFICIALMENTE ABANDONADA. RDC 2023: No se menciona camal.</t>
  </si>
  <si>
    <t>⚠️ DISCREPANCIA: Reportado vs Realidad — RDC 2024 declara meta DESPRIORITIZADA OFICIALMENTE + Cédula devengado=$0 (codif. $1,693,800). CPCCS ✓=1 es INCORRECTO.</t>
  </si>
  <si>
    <t>RDC 2024 T14 p.3</t>
  </si>
  <si>
    <t>Digitalización de Trámites (TICs)</t>
  </si>
  <si>
    <t>RDC 2023 T21: 119 equipos nuevos (75% cobertura); plataforma digital Google Cloud $34K (no reembolsable); facturación electrónica AP; certificado avalúo electrónico; gestor servicios municipales; patentes electrónicas; reloj biométrico; chatbot WhatsApp. RDC 2024 T12: 8 computadoras adicionales; etapa previa plataforma gobierno electrónico; autorización MINTEL obtenida.</t>
  </si>
  <si>
    <t>✅ Consistente — ejecución robusta documentada, devengado $445,399 (70% codif.)</t>
  </si>
  <si>
    <t>RDC 2023 T21; RDC 2024 T12</t>
  </si>
  <si>
    <t>RDC 2023 T12: Recuperación 5 parques; mantenimiento Plaza Cívica, Plazoleta Eloy Alfaro; 4 canchas múltiples. Eventos culturales. RDC 2024 T19: Recuperación ~57 espacios públicos; dotación áreas verdes 6 parroquias urbanas; mantenimiento Plaza Cívica y Plazoleta Eloy Alfaro; 5 puntos wifi implementados. Intervenciones deportivas 600 personas.</t>
  </si>
  <si>
    <t>✅ Consistente — ejecución activa y documentada, devengado $1,294,278 (50% codif.)</t>
  </si>
  <si>
    <t>RDC 2023 T12; RDC 2024 T19</t>
  </si>
  <si>
    <t>Control Ambiental / PTAR Cerramiento</t>
  </si>
  <si>
    <t>RDC 2023 T16/T30: PTAR General Eloy Alfaro — postulación BDE PROGAPSA; gestión adquisición terreno Parroquia Gral. Eloy Alfaro; mesas técnicas calidad ambiental. RDC 2024 T27/T34: Estudios definitivos construcción cerramiento/caseta PTAR; postulación BDE fase I AASS+PTAR; adquisición equipos monitoreo ambiental (proceso adjudicado); certificado ambiental Manglar Vivo.</t>
  </si>
  <si>
    <t>✅ Consistente — gestión ambiental activa y estudios definitivos aprobados, devengado $224,635</t>
  </si>
  <si>
    <t>RDC 2023 T16/T30; RDC 2024 T27/T34</t>
  </si>
  <si>
    <t>Parques Verdes / Reforestación</t>
  </si>
  <si>
    <t>RDC 2023 T19: Reforestación terrazas Paseo Lúdico 800 especies nativas; 200 árboles vía Montecristi-Portoviejo (convenio GAD Provincial). RDC 2024 T28: 818 plantas Paseo Lúdico (compras públicas); 200 plantas vía Montecristi-Portoviejo; 100 plantas unidades educativas programa Reciclaton; 1,000 plantas endémicas ciclovía solicitadas.</t>
  </si>
  <si>
    <t>✅ Consistente — acciones de arborización documentadas ambos años, devengado $1,294,278</t>
  </si>
  <si>
    <t>RDC 2023 T19; RDC 2024 T28</t>
  </si>
  <si>
    <t>RDC 2023 T20: Sistema Catastral Integral implementado — emisión predial 60,384 predios urbanos + 8,862 rurales; actualización 13,950 claves catastrales (20% predios); base datos comunas. Convenio ULEAM levantamiento socioeconómico ~3,000 registros. RDC 2024: Sin mención específica actualización catastral 2024.</t>
  </si>
  <si>
    <t>⚠️ ALERTA SUBEVALUACIÓN: CPCCS ✓=0 ACTUAL pero RDC 2023 reporta Sistema Catastral EJECUTADO. Devengado acum=$169,100 (100% codif.). Se CORRIGE a CPCCS ✓=1.</t>
  </si>
  <si>
    <t>RDC 2023 T20</t>
  </si>
  <si>
    <t>Higiene / Recolección Desechos</t>
  </si>
  <si>
    <t>RDC 2023 T16: Ampliación cobertura recolección desechos comunidades; parroquia Aníbal San Andrés; mayor frecuencia viajes vertedero. RDC 2024 T27: Gestión frecuencias servicio; alquiler vehículos recolectores para estabilizar servicio; adquisición 6 vehículos recolectores; estudio cierre técnico botadero; 4ª Reforma Ordenanza Tasa Basura sancionada.</t>
  </si>
  <si>
    <t>✅ Consistente — servicio operativo y reforzado, devengado $224,635</t>
  </si>
  <si>
    <t>RDC 2023 T16; RDC 2024 T27</t>
  </si>
  <si>
    <t>RDC 2024 T13: Etapa preparatoria y precontractual adquisición maquinaria pesada (Motoniveladora, Rodillo, 2 Retroexcavadoras) — a la espera de anticipo para entrega. POA 2025 contempla adquisición maquinaria asfalto. RDC 2023: Reconformación/compactación 100km vías; bacheo 7.31km pavimentación.</t>
  </si>
  <si>
    <t>✅ Consistente — ejecución vial documentada robustamente, devengado $10,892,761 (100% codif.)</t>
  </si>
  <si>
    <t>RDC 2023 T15; RDC 2024 T13</t>
  </si>
  <si>
    <t>Central Monitoreo / Cámaras / Seguridad</t>
  </si>
  <si>
    <t>RDC 2023 T24: Levantamiento información puntos instalación; gestión convenio Ministerio Interior; estudios menores (suelo+proyecto arquitectónico cuartel bomberos). RDC 2024 T15: Instalación 15 puntos alarmas comunitarias sectores del cantón 2024; estudio suelo cuartel bomberos Leónidas Proaño. NOTA: Alarmas comunitarias ≠ sistema CCTV central (Vi=0 sin factura SERCOP cámaras localizada).</t>
  </si>
  <si>
    <t>✅ Consistente con matiz — avance en seguridad documentado (alarmas); sin embargo Vi=0 (cámaras sin factura). Devengado $9,003 (7.6% codif. $117,900).</t>
  </si>
  <si>
    <t>RDC 2023 T24; RDC 2024 T15</t>
  </si>
  <si>
    <t>Digitalización / Software TICs</t>
  </si>
  <si>
    <t>RDC 2023 T21: 119 equipos nuevos; plataforma digital Google Cloud $34K; servicios en línea implementados; chatbot WhatsApp; reloj biométrico. RDC 2024 T12: 8 computadoras; etapa previa plataforma gobierno electrónico; autorización MINTEL; botón de pago; servicios en línea activos.</t>
  </si>
  <si>
    <t>✅ Consistente — digitalización ejecutada con inversión verificable, devengado $445,399 (70% codif.)</t>
  </si>
  <si>
    <t>Catastro Digital / Actualización Avalúos</t>
  </si>
  <si>
    <t>RDC 2023 T20: Sistema Catastral Integral — 60,384 predios urbanos + 8,862 rurales; 13,950 actualizaciones catastrales. Ordenanza Determinación Avalúo y Predial 2024-2025 sancionada en Registro Oficial. RDC 2024 T9: 260 libros registrales empastados; 9,323 certificaciones e inscripciones; análisis financiero; contrato sistema registral adjudicado 2025.</t>
  </si>
  <si>
    <t>✅ Consistente — sistema catastral implementado y en operación, devengado $169,100 (100% codif.)</t>
  </si>
  <si>
    <t>RDC 2023 T20/T38; RDC 2024 T9</t>
  </si>
  <si>
    <t>Fauna Urbana / Participación Ciudadana</t>
  </si>
  <si>
    <t>RDC 2023 T9: Campaña vitaminización/desparasitación 240 beneficiarios; 70 esterilizaciones; borrador Ordenanza Fauna Urbana. RDC 2024 T16: 172 castraciones (108 perros + 64 gatos); 1,439 atenciones veterinarias (1,065 perros + 374 gatos); Certificación Nº017-2024-CM-GAADMCM emitida; Ordenanza primera fase aprobada en Sesión Consejo; convenio fundación Rescate Animalista Montecristi para Centro de Recuperación.</t>
  </si>
  <si>
    <t>✅ Consistente — programa fauna urbana activo y en crecimiento, devengado $24,407 (54.5% codif. $44,796)</t>
  </si>
  <si>
    <t>RDC 2023 T9; RDC 2024 T16</t>
  </si>
  <si>
    <t>Turismo / Manglar Vivo / Ecoturismo</t>
  </si>
  <si>
    <t>RDC 2023 T17: Montiferia noviembre; repotenciación Paseo Lúdico; certificación UNESCO Ciudad Creativa; denominación origen sombrero paja toquilla; 62 servidores turísticos capacitados; 6 eventos turísticos; Proyecto Manglar Vivo San José postulado Premio Verde BDE. RDC 2024 T20/T21: Estudios definitivos Proyecto Ecoturístico Manglar Vivo 25/03/2024; certificado ambiental+SNAP emitido; ruta MTB 40km inaugurada; 49 eventos promocionales; playa San José campeonato surf.</t>
  </si>
  <si>
    <t>✅ Consistente — proyectos turísticos activos y estudios aprobados, devengado $16,036 (33.6% codif.)</t>
  </si>
  <si>
    <t>RDC 2023 T17/T29; RDC 2024 T20/T21/T33</t>
  </si>
  <si>
    <t>Embellecimiento / Señalética Urbana</t>
  </si>
  <si>
    <t>RDC 2023 T15: Inventario señalética existente; diagnóstico intersecciones semaforizadas Av. Metropolitana; diagnóstico paradas cantón. Reconformación vías 100km; bordillos ciclovía 600m. RDC 2024 T25: Reconformación vías 90km; pavimentación Cdla. General Alfaro; doble riego Tierra Santa; etapa precontractual aceras/bordillos Parroquia Leónidas Proaño; POA 2025 incluye regeneración calle Eloy Alfaro.</t>
  </si>
  <si>
    <t>✅ Consistente — obras de embellecimiento/vialidad documentadas; devengado $15,600 (100% codif.)</t>
  </si>
  <si>
    <t>RDC 2023 T15; RDC 2024 T25</t>
  </si>
  <si>
    <t>PDOT.SC.OE2.M1.01 (Reservorios)</t>
  </si>
  <si>
    <t>Agua Potable / Reservorios (fila 23)</t>
  </si>
  <si>
    <t>RDC 2024 T23: Financiamiento CAF $45.6M aprobado (Resolución P.E. 1478/2024, 29-dic-2024); aval soberano pendiente para licitación; 5 tanques reserva 20,000L Sequita/Pepa de Uso instalados; equipos medición recibidos (toma Los Mangos); pozo Río Manta planificado 2025. RDC 2024 T36: Hitos CAF completados exitosamente; evaluación técnica CAF 26-27 sept. con misión en Montecristi.</t>
  </si>
  <si>
    <t>✅ Consistente — financiamiento CAF $45.6M aprobado; avance precontractual sólido; devengado $11,406,254 (25% codif. $45.6M)</t>
  </si>
  <si>
    <t>RDC 2024 T23/T35/T36</t>
  </si>
  <si>
    <t>PDOT.SC.OE2.M1.01 (Acueducto/AP)</t>
  </si>
  <si>
    <t>Cobertura Agua Potable / Acueducto (fila 24)</t>
  </si>
  <si>
    <t>RDC 2023 T13: 16,572m tubería AP La Pila (677 medidores, ~3,000 personas); tanques reserva 550m3; captación subterránea Las Pampas; 2 tanques 20m3 Pepa de Uso. RDC 2024 T23: 2,438m tubería AP Cdla. Eloy Alfaro (Domingo Castillo, Santa Teresa, El Cerrito); convenios Rocafuerte (30/09), Portoviejo (21/10), Jaramijó (07/11) firmados; estudios definitivos acueducto rediseño 15/oct/2024.</t>
  </si>
  <si>
    <t>✅ Consistente — obras AP locales ejecutadas + acueducto CAF en fase precontractual avanzada; devengado $62,561 (fase convenio)</t>
  </si>
  <si>
    <t>RDC 2023 T13/T26/T27; RDC 2024 T23/T35</t>
  </si>
  <si>
    <t>TOTALES · n=20 metas</t>
  </si>
  <si>
    <t>RDC 2023+2024 ✔ — Recolección ampliada, 6 vehículos, Ordenanza Basura 4ª Reforma, estudios PTAR.</t>
  </si>
  <si>
    <t>RDC 2023 p.4 ✔ — Informe necesidad macro movilidad (terminal). RDC 2024: sin mención.</t>
  </si>
  <si>
    <t>DISCREPANCIA: Reportado vs Realidad — RDC 2023+2024 NO mencionan guardería nocturna. Cédula devengado=$0 (codif. $10,000). CPCCS ✓=1 sin respaldo documental.</t>
  </si>
  <si>
    <t>DISCREPANCIA: Reportado vs Realidad — RDC 2024 T14 declara oficialmente meta DESPRIORITIZADA: 'Se Despriorizo la construcción de un camal'. Cédula devengado=$0 (codif. $1,693,800). CPCCS ✓=1 es INCORRECTO.</t>
  </si>
  <si>
    <t>RDC 2023+2024 ✔ — 119+8 equipos TIC; plataforma digital; facturación electrónica; chatbot; MINTEL.</t>
  </si>
  <si>
    <t>RDC 2023+2024 ✔ — 5 parques recuperados; 57 espacios públicos 2024; 5 puntos wifi.</t>
  </si>
  <si>
    <t>DISCREPANCIA PARCIAL: Reportado vs Realidad — RDC reporta USMC (brigadas médicas) activa, pero PTAR cédula devengado=$0. CPCCS ✓=1 refleja servicio médico, NO construcción PTAR.</t>
  </si>
  <si>
    <t>RDC 2023+2024 ✔ — PTAR estudios definitivos aprobados; equipos monitoreo ambiental; cert. ambiental Manglar Vivo.</t>
  </si>
  <si>
    <t>RDC 2023+2024 ✔ — 800+818 plantas Paseo Lúdico; 200 plantas vía Mtcristi-Portoviejo; 1,000 endémicas proyectadas.</t>
  </si>
  <si>
    <t>CORRECIÓN AUDITOR: CPCCS ✓ corregido 0→1. RDC 2023 T20 confirma Sistema Catastral ejecutado: 60,384 predios + 13,950 actualiz. Dev=$169,100 (100%).</t>
  </si>
  <si>
    <t>RDC 2023+2024 ✔ — Recolección ampliada; 6 vehículos; Ordenanza 4ª Reforma sancionada; estudio cierre botadero.</t>
  </si>
  <si>
    <t>RDC 2024 ✔ — Etapa precontractual maquinaria pesada (Motoniveladora+Rodillo+2 Retroex.) a espera de anticipo.</t>
  </si>
  <si>
    <t>RDC 2024 ✔ — 15 puntos alarmas comunitarias instalados 2024. Vi=0 cámaras CCTV sin factura SERCOP localizada.</t>
  </si>
  <si>
    <t>RDC 2023+2024 ✔ — Software cloud $34K; 119+8 equipos; plataforma gobierno electrónico; autorización MINTEL.</t>
  </si>
  <si>
    <t>RDC 2023+2024 ✔ — 60,384 predios emitidos; Ordenanza Avalúo 2024-2025 promulgada; contrato sistema registral 2025.</t>
  </si>
  <si>
    <t>RDC 2023+2024 ✔ — 240+172 animales castrados; 1,439 atenciones veterinarias; Ordenanza 1ª fase aprobada; Cert. N°017-2024.</t>
  </si>
  <si>
    <t>RDC 2023+2024 ✔ — UNESCO Ciudad Creativa; estudios definitivos Manglar Vivo 25/03/2024; ruta MTB 40km; 49 eventos.</t>
  </si>
  <si>
    <t>RDC 2023+2024 ✔ — Inventario señalética; bacheo 7.31+90km; pavimentación Cdla. Gral. Alfaro; bordillos ciclovía.</t>
  </si>
  <si>
    <t>RDC 2024 ✔ — CAF $45.6M aprobado (Res. P.E. 1478/2024); 5 tanques 20,000L instalados; convenios 3 cantones firmados.</t>
  </si>
  <si>
    <t>RDC 2023+2024 ✔ — 16,572m+2,438m tubería AP; tanques reserva; CAF acueducto pre-licitación; 3 convenios intercant.</t>
  </si>
  <si>
    <t>🚨 Guarderías Nocturnas (Patronato) — HALLAZGO CRÍTICO</t>
  </si>
  <si>
    <t>⚠️1→?</t>
  </si>
  <si>
    <t>RDC 2023 (No.12068) — 25 tablas revisadas: Patronato reporta ÚNICAMENTE brigadas médicas USMC (3,783/4,000 met. = 94.58%), Centro Diario Buen Vivir 24h (67,459 beneficiarios), atención puerta a puerta 2,142 pers., 912 exámenes lab., Clínica Diálisis, ayudas técnicas discapacidad, conv. FACE-Alas de Libertad. CERO mención de Guarderías Nocturnas. ▸ RDC 2024 (No.14976) — 23 tablas revisadas: Patronato reporta brigadas médicas 414,743 contactos (meta era 5,000 unidades → anomalía 8,295%), convenios MIES-CDI (Centros Desarrollo Infantil DIURNOS) y Adulto Mayor, programas sociales (Día Mujer, Madre, Niño, Discapacidad, Violencia, Navidad). El plan oferta electoral (Tabla 3) registra N/A al 0%. CERO mención de Guarderías Nocturnas. ▸ PAC 2023: 3 ítems/$306,796 comprometidos para esta meta. PAC 2024: 5 ítems/$768,054 comprometidos. PARADOJA: PAC registra gasto planificado creciente pero cédula eSIGEF=$0 devengado → recursos asignados sin ejecución verificable.</t>
  </si>
  <si>
    <t>🚨 HALLAZGO CRÍTICO — POSIBLE FALSEDAD DOCUMENTAL (Art. 270 COIP). El Patronato marcó CPCCS ✓=1 para Guarderías Nocturnas, pero la validación forense detecta CUÁDRUPLE CONVERGENCIA DE INEXISTENCIA: ① RDC 2023 No.12068 (25 tablas): SIN REFERENCIA al programa. ② RDC 2024 No.14976 (23 tablas): SIN REFERENCIA al programa. ③ Cédula eSIGEF: $0 devengado / $10,000 codificado = 0% ejecución. ④ Convenio MIES-CDI citado en 2024 = Centros Desarrollo Infantil DIURNOS, NO es guardería nocturna. AGRAVANTE: PAC 2023 asigna $306,796 y PAC 2024 asigna $768,054 a esta meta — fondos comprometidos sin ejecución verificable sugiere presupuesto fantasma. ACCIÓN REQUERIDA: (a) Solicitar actas de funcionamiento, registros de ingreso nocturno y facturas de personal del servicio; (b) Si no existen → remisión a Contraloría + denuncia Fiscalía por falsedad en documento público. INVALIDAR CPCCS ✓=1.</t>
  </si>
  <si>
    <t>RDC 2023 No.12068: 25 tablas — SIN REFERENCIA ✗. RDC 2024 No.14976: 23 tablas — SIN REFERENCIA ✗. Cédula eSIGEF: $0/$10,000 (0%) ✗. PAC 2023: 3 ítems / $306,796. PAC 2024: 5 ítems / $768,054. MIES-CDI 2024 ≠ guardería nocturna ✗. Informe CPCCS No.14976 Tabla 3 = 0% oferta.</t>
  </si>
  <si>
    <t>Patronato — USMC / Geriátrico / Servicios Sociales</t>
  </si>
  <si>
    <t>RDC 2023 (No.12068) Tablas 1 y 4: USMC atención puerta a puerta 2,142 personas; 912 exámenes laboratorio sin costo; Centro Diario Buen Vivir repotenciado a 24h (terapia física, ocupacional, estimulación temprana, lenguaje, ecografías, psicología, medicina general, nutrición, enfermería); 67,459 beneficiarios totales periodo; Clínica Municipal Diálisis continuada; brigadas médicas 3,783/4,000 = 94.58%; convenio Prefectura Manabí ayudas técnicas discapacidad; charlas preventivas 172 beneficiarios (Alas de Libertad/FACE). Club diabéticos ~300 beneficiarios (kits glucosa, víveres). Políticas género+generacionales SI implementadas. ▸ RDC 2024 (No.14976) Tabla 1 y 19: Meta 5,000 → 414,743 reportados (8,294.86%) — ⚠️ ANOMALÍA: cambio de unidad de medida sin ajuste formal (de ‘brigadas’ a ‘contactos/personas’); convenios MIES-Alas de Libertad-USMC activos; ppto. Patronato codificado $3,192,201 | ejecutado $1,809,044 (56.67%); Gasto corriente $701,451/$556,937 (79.4%); Gasto inversión $1,843,892/$1,022,628 (55.5%); Catego. electrónico 128 ítems/$188,408; Sub. inversa 5 proc./$599,970; Infimas 31/$96,350; Contraloría Inf. DPM-0018-2024: 30.78% cumplimiento recomendaciones.</t>
  </si>
  <si>
    <t>⚠️ DISCREPANCIA PARCIAL — CPCCS ✓=1 JUSTIFICADO para servicios USMC/geriátrico (Centro Buen Vivir 24h operativo, 67,459 benefic. 2023; 414,743 contactos 2024, brigadas activas). PERO se registran 2 sub-hallazgos: ① Cédula E10=$0 no corresponde a las partidas PMAS operativas — confirmár códigos presupuestarios en eSIGEF (el Patronato es entidad autónoma con ppto. propio $3.19M). ② ANOMALÍA ESTADÍSTICA 2024: meta 5,000 unidades → cumplimiento declarado 414,743 (8,295%) — indica cambio unidad de medida sin enmienda formal de la meta POA, lo que distorsiona el indicador de gestión. Podría constituir manipulación de indicador (revisar con auditores del CPCCS). PAC 2023: $348,541 (Unidad Médica Móvil); PAC 2024: $401,000 confirmados.</t>
  </si>
  <si>
    <t>RDC 2023 No.12068 Tablas 1,4,5,6; Pres. 2023: $2,065,848 cod./$1,485,733 ejec. (71.92%). RDC 2024 No.14976 Tablas 1,5,19,20,21; Pres. 2024: $3,192,201/$1,809,044 (56.67%). PAC 2023: $348,541. PAC 2024: $401,000. Contraloría DPM-0018-2024 (30.78%).</t>
  </si>
  <si>
    <t>17 metas CPCCS ✓=1 sustentadas · 1 corregida de 0→1 (fila 14 Catastro) · 3 DISCREPANCIAS detectadas</t>
  </si>
  <si>
    <t>🚨 1 HALLAZGO CRÍTICO (Falsedad documental — Guarderías Nocturnas): CPCCS ✓=1 sin respaldo en RDC 2023 ni 2024, $0 devengado, PAC fantasma $1,074,850 total. ⚠️ 1 DISCREPANCIA GRAVE (Camal Municipal): meta desprioritizada en RDC 2024 pero CPCCS ✓=1 incorrecto, $0 devengado. ⚠️ 1 ALERTA ESTADÍSTICA (USMC 2024): meta 5,000 → 414,743 reportado (8,295%) sin ajuste formal. PENDIENTE: verificación códigos presupuestarios eSIGEF Patronato.</t>
  </si>
  <si>
    <t>Auditor SIAP-ICPI · RDC No.12068 (2023) + No.14976 (2024) · PAC 2023-2024 contrastado · Mar 2025</t>
  </si>
  <si>
    <t>Mes Evaluación:</t>
  </si>
  <si>
    <t>Factor Mes (Mes/12):</t>
  </si>
  <si>
    <t>ICPI Actual (%):</t>
  </si>
  <si>
    <t>RESPONSABLE OPERATIVO</t>
  </si>
  <si>
    <t>PRESUPUESTO ANUAL ($)</t>
  </si>
  <si>
    <t>Pi (Peso)</t>
  </si>
  <si>
    <t>TOTALES · n=20 Metas Estratégicas · PDOT Bicentenario 2023-2027</t>
  </si>
  <si>
    <t>DATOS DE EJECUCIÓN REAL →</t>
  </si>
  <si>
    <t>EJECUCIÓN DEVENGADA MENSUAL ($)</t>
  </si>
  <si>
    <t>AVANCE FÍSICO MENSUAL (%)</t>
  </si>
  <si>
    <t>PRESUPUESTO ESPERADO MES ($)</t>
  </si>
  <si>
    <t>IDT
(Índice de Desvío Temporal)</t>
  </si>
  <si>
    <t>ESTADO
SEMÁFORO</t>
  </si>
  <si>
    <t>🔷  PANEL DE REFERENCIA RÁPIDA · FASE 2: ALGORITMO DE EFICIENCIA · SIAP-ICPI · GAD Montecristi</t>
  </si>
  <si>
    <t>ESTADO SEMÁFORO</t>
  </si>
  <si>
    <t>🔵 GESTIÓN EFICIENTE</t>
  </si>
  <si>
    <t>Avance ≥ Meta Mes Y Devengado ≤ Presupuesto Esperado</t>
  </si>
  <si>
    <t>Azul #2E75B6</t>
  </si>
  <si>
    <t>Reconocimiento SIAP-ICPI · Registro en TRAZABILIDAD · Sin alerta</t>
  </si>
  <si>
    <t>🔵 EXCELENTE (≥85%)</t>
  </si>
  <si>
    <t>IDT ≥ 0.85</t>
  </si>
  <si>
    <t>PARAMS §10 · LOSEP Art.78</t>
  </si>
  <si>
    <t>Azul oscuro #1F4E79</t>
  </si>
  <si>
    <t>Felicitación pública + acción personal + registro SIITH · LOSEP Art.78</t>
  </si>
  <si>
    <t>🟢 SATISFACTORIO (70-84%)</t>
  </si>
  <si>
    <t>IDT ≥ 0.70 y &lt; 0.85</t>
  </si>
  <si>
    <t>PARAMS §10 · LOSEP Art.76</t>
  </si>
  <si>
    <t>Verde #00B050</t>
  </si>
  <si>
    <t>🟡 TRANSICIÓN CRÍTICA (40-69%)</t>
  </si>
  <si>
    <t>IDT ≥ 0.40 y &lt; 0.70</t>
  </si>
  <si>
    <t>PARAMS §10 · LOSEP Art.77</t>
  </si>
  <si>
    <t>Amarillo #FFD700</t>
  </si>
  <si>
    <t>Plan mejora 90 días + seguimiento mensual Dir. RRHH + SIITH</t>
  </si>
  <si>
    <t>🔴 RUPTURA (&lt;40%)</t>
  </si>
  <si>
    <t>IDT &lt; 0.40</t>
  </si>
  <si>
    <t>PARAMS §10 · LOSEP Art.80</t>
  </si>
  <si>
    <t>Rojo #FF0000</t>
  </si>
  <si>
    <t>🚨 NEGLIGENCIA OPERATIVA</t>
  </si>
  <si>
    <t>Avance Físico = 0% Y Mes de Evaluación &gt; 3</t>
  </si>
  <si>
    <t>SIAP-ICPI §2.3 + LOSEP Art.80</t>
  </si>
  <si>
    <t>Rojo Intenso #C00000</t>
  </si>
  <si>
    <t>ALERTA ROJA AUTOMÁTICA — Activar protocolo LOSEP Art.80 + COOTAD Art.339 · Sumario inmediato</t>
  </si>
  <si>
    <t>⬜ SIN DATOS</t>
  </si>
  <si>
    <t>L=0 Y M=0 (sin ingreso del operador)</t>
  </si>
  <si>
    <t>Gris #D9D9D9</t>
  </si>
  <si>
    <t>Ingresar datos reales en columnas L y M para activar el algoritmo</t>
  </si>
  <si>
    <t>EVIDENCIA
TRANSPARENCIA
(LOTAIP)</t>
  </si>
  <si>
    <t>⭐⭐  REPORTE DE EXCELENCIA  ·  MÓDULO MONITOREO_MENSUAL · SIAP-ICPI · GAD Municipal Montecristi · Fase 3: Transparencia y Reporte de Excelencia</t>
  </si>
  <si>
    <t>🏆  PROYECTO ESTRELLA</t>
  </si>
  <si>
    <t>(Proyecto con mayor Índice de Eficiencia)</t>
  </si>
  <si>
    <t>🧑‍💼  RESPONSABLE DE ALTO DESEMPEÑO</t>
  </si>
  <si>
    <t>(Responsable del Proyecto Estrella)</t>
  </si>
  <si>
    <t>📊  TRANSPARENCIA LOTAIP</t>
  </si>
  <si>
    <t>(Metas con Vi=1 / Total metas)</t>
  </si>
  <si>
    <t>🔒  ICPI GLOBAL SINCRONIZADO</t>
  </si>
  <si>
    <t>(ICPI ≤ 100% | Estado: TRANSICIÓN CRÍTICA)</t>
  </si>
  <si>
    <t>N° META</t>
  </si>
  <si>
    <t>NOMBRE DEL PROYECTO</t>
  </si>
  <si>
    <t>IE MÁX</t>
  </si>
  <si>
    <t>NOMBRE DEL RESPONSABLE</t>
  </si>
  <si>
    <t>IDT</t>
  </si>
  <si>
    <t>IE</t>
  </si>
  <si>
    <t>Vi (LOTAIP)</t>
  </si>
  <si>
    <t>CON RESPALDO</t>
  </si>
  <si>
    <t>SIN RESPALDO</t>
  </si>
  <si>
    <t>COBERTURA %</t>
  </si>
  <si>
    <t>MÓDULO LISTO</t>
  </si>
  <si>
    <t>✅ LISTO PARA USO DINÁMICO</t>
  </si>
  <si>
    <t>📌 NOTA LEGAL — IMPUTABILIDAD: Para metas del Patronato Municipal (Meta N°2 · PDOT.SC.OE2.M1.01), el Índice de Eficiencia se multiplica por Ci=0.9 (VARIABLES_CONTROL!C6), reconociendo su autonomía administrativa según COOTAD Art.306. ÍE = IDT × Ci | Ci=0.9 para entidades adscritas / Ci=1.0 para Direcciones GAD Directo.</t>
  </si>
  <si>
    <t>📋  LOTAIP: Vi=1 = Respaldo documental verificado en hojas ANEXO (ANEXO-CPCCS · ANEXO-SIGAD · ANEXO-CNE). Vi=0 = Sin soporte documental — aporte ICPI anulado (SIAP-ICPI §3.7.1). Actualizar PDOT!G4:G23 al validar cada ciclo.</t>
  </si>
  <si>
    <t>POSICIÓN</t>
  </si>
  <si>
    <t>ÍNDICE DE EFICIENCIA (IE)</t>
  </si>
  <si>
    <t>4°</t>
  </si>
  <si>
    <t>5°</t>
  </si>
  <si>
    <t>META ANUAL PDOT (Ti=1)</t>
  </si>
  <si>
    <t>NOTAS FORENSES — BRECHA DETECTADA</t>
  </si>
  <si>
    <t>P-01 │ ATRACCIÓN EMPRESARIAL E INDUSTRIAL: Convertir a Montecristi en lugar atractivo para empresas y emprendimientos; mejorar infraestructura del entorno empresarial; generar ordenanzas de exoneración de tributos a nuevas empresas que se asienten en el cantón.</t>
  </si>
  <si>
    <t>PDOT.EP.OE5.PD.01 — Implementación de Ferias Productivas y Feria de Negocios para Emprendedores del Cantón Montecristi
Presup.: $109,763 │ Resp.: Dir. Desarrollo Económico</t>
  </si>
  <si>
    <t>PARCIAL</t>
  </si>
  <si>
    <t>P-02 │ REORDENAMIENTO COMERCIAL Y ARTESANAL: Repotenciar y ordenar el mercado cantonal; crear programas para fortalecimiento del sector artesanal (paja toquilla, tagua); reordenar estratégicamente a los vendedores ambulantes mediante ordenanzas municipales.</t>
  </si>
  <si>
    <t>PDOT.AS.OE1.M2.01 — Fortalecimiento estratégico de equipamiento público comercial y administrativo
Presup.: $1,693,800 │ Resp.: Dir. Planificación</t>
  </si>
  <si>
    <t>P-03 │ TURISMO INTEGRAL: Convertir a Montecristi en destino turístico ideal; repotenciar el Paseo Lúdico; crear rutas turísticas (ciclismo de montaña, gastronomía, Playa San José, Isla de la Plata, Manglar); plan de posicionamiento turístico; fortalecer festividades cantonales de noviembre con la Cámara de Comercio.</t>
  </si>
  <si>
    <t>P-04 │ ELABORACIÓN PDOT 2023 CON ODS: Elaborar el nuevo PDOT correspondiente 2023 incorporando los Objetivos de Desarrollo Sostenible (ODS); establecer directrices estratégicas para futuras administraciones; actualización del sistema catastral.</t>
  </si>
  <si>
    <t>PDOT.PI.OE4.FI.01 — Desarrollo e implementación de Planes Estratégicos Institucionales
Presup.: $412,973 │ Resp.: Dir. Planificación</t>
  </si>
  <si>
    <t>P-05 │ TRANSFORMACIÓN DIGITAL DEL GAD: Mejorar equipos informáticos del GAD; elaborar plataforma digital para trámites ciudadanos; implementar e-Gobierno / Gobierno Abierto; repositorios de información pública.</t>
  </si>
  <si>
    <t>PDOT.PI.OE4.M1.01 — Implementación de la Transformación digital de los procedimientos institucionales
Presup.: $1,219,611 │ Resp.: Dir. TICs</t>
  </si>
  <si>
    <t>P-06 │ SISTEMA DE INFORMACIÓN TERRITORIAL Y CATASTRO: Fortalecer el Sistema de Información Territorial Municipal; actualización del catastro cantonal de Montecristi.</t>
  </si>
  <si>
    <t>PDOT.PI.OE4.M2.01 — Fortalecimiento del Sistema de Información Territorial Municipal
Presup.: $600,956 │ Resp.: Dir. TICs</t>
  </si>
  <si>
    <t>P-07 │ TRANSPARENCIA Y GOBIERNO ABIERTO: Promover acceso activo a información pública (LOTAIP); establecer alianzas interinstitucionales nacionales e internacionales; posicionamiento de 'marca ciudad Montecristi'; rendición de cuentas periódica.</t>
  </si>
  <si>
    <t>N/A — Sin meta correspondiente en la muestra PDOT n=20
Presup. asignado a transparencia/marca ciudad: $0</t>
  </si>
  <si>
    <t>P-08 │ PLANES ESTRATÉGICOS E INDICADORES: Desarrollar e implementar planes estratégicos institucionales con indicadores de evaluación periódica y mecanismos de seguimiento al plan de trabajo.</t>
  </si>
  <si>
    <t>► EJE SOCIAL</t>
  </si>
  <si>
    <t>P-09 │ SALUD INTEGRAL — CENTRO DE SALUD TIPO C: Crear Concejo de Salud de Montecristi; gestionar construcción de Centro de Salud Tipo C (Plan 'Nacer Aquí'); construcción de Centro Geriátrico; atención puerta a puerta; medicina preventiva; clubes municipales de salud.</t>
  </si>
  <si>
    <t>PDOT.SC.OE2.M1.01 — Desarrollo del Bienestar Integral para Montecristi (Patronato Municipal)
Presup.: $5,827,477 │ Resp.: Patronato Municipal</t>
  </si>
  <si>
    <t>P-11 │ FAUNA URBANA: Gestión para la donación y construcción de albergue para gatos y perros; programas de campañas de esterilización y protección animal.</t>
  </si>
  <si>
    <t>N/A — Sin meta correspondiente en la muestra PDOT n=20
Presup. asignado a fauna urbana: $0</t>
  </si>
  <si>
    <t>P-12 │ CAPACITACIÓN Y FORMACIÓN CIUDADANA: Plataforma digital de capacitación (KA-LARTE); becas de preparación para examen universitario; Centro de Emprendedores 'Cuna de Emprendedores'; fomentar lectura, pintura, cultura, oratoria y deporte.</t>
  </si>
  <si>
    <t>PDOT.SC.OE2.M1.01 — Desarrollo del Bienestar Integral para Montecristi
Presup.: $5,827,477 │ Resp.: Patronato Municipal</t>
  </si>
  <si>
    <t>P-13 │ PARTICIPACIÓN CIUDADANA: Crear mecanismos formales de participación ciudadana barrial; identificar actores representativos; transparentar el uso de recursos públicos a la ciudadanía.</t>
  </si>
  <si>
    <t>PDOT.SC.OE2.M4.01 — Proyecto Integral de Desarrollo y Apoyo Comunitario
Presup.: $1,611,066 │ Resp.: Dir. Planificación</t>
  </si>
  <si>
    <t>P-14 │ RECREACIÓN Y ESPACIOS PÚBLICOS: Construir y mejorar espacios deportivos, culturales y recreativos en distintos sectores del cantón; instalar redes wifi en parques y espacios públicos.</t>
  </si>
  <si>
    <t>PDOT.AV.OE1.M1.01 — Recuperación integral de los espacios públicos
Presup.: $894,756 │ Resp.: Dir. Planificación</t>
  </si>
  <si>
    <t>P-15 │ PATRIMONIO CULTURAL Y CATASTRO ARTISTAS: Creación del Inventario del Patrimonio Cultural de Montecristi; generación del Catastro de artistas y gestores culturales en el RUAC (Registro Único de Artistas y Cultores).</t>
  </si>
  <si>
    <t>PDOT.SC.PA.CP.02 — Inventario del Patrimonio Cultural ($214,401)
PDOT.SC.PA.CP.01 — Catastro y clasificación de artistas en RUAC ($284,048)
Resp.: Dir. Cultura</t>
  </si>
  <si>
    <t>P-16 │ INDICADORES TERRITORIALES / COHESIÓN SOCIAL: Fortalecer la reducción de indicadores de pobreza, embarazo adolescente y drogadicción; generar estadísticas sobre cohesión social y grupos vulnerables.</t>
  </si>
  <si>
    <t>PDOT.SC.OE2.M2.01 — Fortalecimiento para la reducción de indicadores territoriales del cantón Montecristi
Presup.: $144,000 │ Resp.: Dir. Planificación</t>
  </si>
  <si>
    <t>► EJE AMBIENTAL</t>
  </si>
  <si>
    <t>P-18 │ ÁREAS VERDES Y ARBOLADO: Identificar áreas estratégicas de protección ambiental; programas de arbolización urbana y rural; gestionar derogación del decreto ejecutivo sobre el cerro de Montecristi para ecoturismo; control de calidad del aire; protección de flora y fauna nativa.</t>
  </si>
  <si>
    <t>PDOT.FA.OE1.PV.01 — Desarrollo de la red verde y recuperación del espacio público ($609,999)
PDOT.FA.OE2.MA.01 — Campaña de sensibilización a unidades educativas reciclaje ($137,137)
Resp.: Dir. Gestión Ambiental / Dir. Cultura</t>
  </si>
  <si>
    <t>P-19 │ TRATAMIENTO DE AGUAS RESIDUALES: Ampliar sistema de alcantarillado en parroquias Eloy Alfaro, Leónidas Proaño, Colorado y demás sectores; gestionar construcción de planta de tratamiento de aguas residuales para sustituir la descarga sin tratamiento al río Muerto.</t>
  </si>
  <si>
    <t>PDOT.AS.OE1.M1.02 — Gestión para la construcción de nueva infraestructura de tratamiento de aguas residuales
Presup.: $1,269,859 │ Resp.: Dir. Agua Potable y Alcantarillado</t>
  </si>
  <si>
    <t>P-20 │ MITIGACIÓN DE RIESGOS AMBIENTALES: Implementar infraestructura civil para mitigación y reducción de impactos ante susceptibilidad ambiental; identificar y prevenir asentamientos humanos en zonas de riesgo.</t>
  </si>
  <si>
    <t>PDOT.AM.OE3.M1.01 — Implementación de Infraestructura civil para la mitigación y reducción de impactos
Presup.: $840,000 │ Resp.: Dir. Planificación</t>
  </si>
  <si>
    <t>P-21 │ CONTROL AMBIENTAL: Desarrollar un sistema de control ambiental para identificar sectores contaminantes; monitoreo de contaminantes de calidad del aire; impulsar protección de flora y fauna nativa del cantón.</t>
  </si>
  <si>
    <t>N/A — Sin meta específica de control ambiental en la muestra PDOT n=20
(Parcialmente contenida en PDOT.AM.OE3.M2.01 Desechos Sólidos)</t>
  </si>
  <si>
    <t>► EJE TERRITORIAL</t>
  </si>
  <si>
    <t>P-22 │ VIALIDAD Y PAVIMENTACIÓN: GAD responsable de construcción y mantenimiento de vías; adquirir equipo de pavimento asfáltico propio; planificación vial actualizable; ampliar aceras y bordillos; mejorar señalización; elaborar inventario vial; reordenamiento vial; gestión para nuevo Terminal Terrestre.</t>
  </si>
  <si>
    <t>PDOT.AS.VL.M1.01 — Mantenimiento de vías urbanas para el acceso de los barrios del cantón
Presup.: $10,892,761 (mayor meta de la muestra)
Resp.: Dir. Obras Públicas</t>
  </si>
  <si>
    <t>P-24 │ VIVIENDA DIGNA: Repotenciación de viviendas en condiciones precarias en el cantón; base de datos para identificar grupos vulnerables; prevención de asentamientos en zonas de riesgo.</t>
  </si>
  <si>
    <t>PDOT.AS.VV.HB.01 — Repotenciación de viviendas en condiciones precarias
Presup.: $324,000 │ Resp.: Dir. Planificación Territorial</t>
  </si>
  <si>
    <t>P-25 │ AGUA POTABLE Y SERVICIOS HÍDRICOS: Aumentar cobertura cantonal de agua potable a todas las parroquias; ampliar reservorios de la planta potabilizadora; construcción de pozos acuíferos para sector rural; implementar macromedidor en la toma de agua Los Mangos.</t>
  </si>
  <si>
    <t>N/A — Sin meta de agua potable en la muestra PDOT n=20
Presup. asignado a agua potable/cobertura: $0
(Solo existe meta de aguas residuales PDOT.AS.OE1.M1.02)</t>
  </si>
  <si>
    <t>P-26 │ INFRAESTRUCTURA MUNICIPAL ESPECIALIZADA: Gestión para la construcción de un camal municipal para procesamiento de carne fresca de alta calidad; estudios técnicos y de impacto ambiental para un cementerio en Leónidas Proaño y nuevo cementerio general de Montecristi.</t>
  </si>
  <si>
    <t>N/A — Sin meta correspondiente en la muestra PDOT n=20
Presup. asignado a camal/cementerios: $0</t>
  </si>
  <si>
    <t>P-27 │ FERIAS PRODUCTIVAS Y EMPRENDIMIENTO: Implementación de Ferias Productivas y Feria de Negocios para emprendedores del cantón Montecristi; promoción del comercio local.</t>
  </si>
  <si>
    <t>PDOT.EP.OE5.PD.01 — Implementación de Ferias Productivas y Feria de Negocios para Emprendedores
Presup.: $109,763 │ Resp.: Dir. Desarrollo Económico</t>
  </si>
  <si>
    <t>► RESUMEN ESTADÍSTICO DEL ANÁLISIS FORENSE</t>
  </si>
  <si>
    <t>TOTAL (100% correspondencia): 7 promesas │ PARCIAL (recortes detectados): 14 promesas │ NULA (sin respaldo en PDOT): 6 promesas</t>
  </si>
  <si>
    <t>TOTAL: 7 (25.9%) │ PARCIAL: 14 (51.9%) │ NULA: 6 (22.2%)</t>
  </si>
  <si>
    <t>✅ TOTAL=7 │ ⚠️ PARCIAL=14 │ 🔴 NULA=6</t>
  </si>
  <si>
    <t>IFE = (TOTAL×1 + PARCIAL×0.5 + NULA×0) / Total × 100 = (7 + 7 + 0) / 27 × 100</t>
  </si>
  <si>
    <t>📊 ÍNDICE DE FIDELIDAD ELECTORAL (IFE)</t>
  </si>
  <si>
    <t>🔍 CONCLUSIONES FORENSES</t>
  </si>
  <si>
    <t>RIESGO JURÍDICO</t>
  </si>
  <si>
    <t>FUNDAMENTO NORMATIVO</t>
  </si>
  <si>
    <t>1. OMISIÓN DEL EJE TURÍSTICO: El eje turístico fue desarrollado con 8 actividades específicas en el Plan CNE (Paseo Lúdico, Isla de la Plata, Manglar, rutas de ciclismo, gastronomía, artesanias, posicionamiento de marca) y el PDOT asignó $0 (cero dólares) a turismo. Es la mayor brecha absoluta detectada.</t>
  </si>
  <si>
    <t>6 promesas con $0 en PDOT → Presup. fantasma en Plan CNE</t>
  </si>
  <si>
    <t>ALTO — Posible 'Publicidad Engañosa Electoral': compromisos públicos sin respaldo en instrumento de planificación oficial</t>
  </si>
  <si>
    <t>Art. 97 Código de la Democracia: El plan de trabajo debe ser coherente con la planificación territorial. Art. 3 COOTAD: Los planes de desarrollo deben ser vinculantes a la inversión pública.</t>
  </si>
  <si>
    <t>2. INFRAESTRUCTURA SANITARIA DEGRADADA A GESTIÓN: El Plan CNE prometió construir un Centro de Salud Tipo C y un Centro Geriátrico como obras físicas. El PDOT los reduce a gestión genérica de bienestar a través del Patronato. Diferencia entre construcción (CAPEX) y administración de servicios (OPEX).</t>
  </si>
  <si>
    <t>Promesa: 2 obras de salud concreta. PDOT: Meta genérica de bienestar sin infraestructura.</t>
  </si>
  <si>
    <t>ALTO — Recorte sustancial del compromiso más visible de la campaña (salud). Ciudadanía pudo votar condicionada por esta promesa.</t>
  </si>
  <si>
    <t>Art. 264 CRE: Competencia del GAD municipal en planificación territorial. Art. 32 CRE: Derecho a la salud como obligación del Estado. La gestión del Patronato no sustituye infraestructura.</t>
  </si>
  <si>
    <t>3. AGUA POTABLE DIAGNOSTICADA PERO NO PLANIFICADA: El mismo Plan CNE diagnosticó que 'el líquido vital no llega a todos los sectores del cantón' y prometió ampliar la cobertura, reservorios y pozos acuíferos. Sin embargo, el PDOT n=20 asigna $0 a agua potable. Es la contradicción más grave entre diagnóstico y planificación.</t>
  </si>
  <si>
    <t>El propio Plan CNE reconoce la crisis de agua potable y luego omite la solución en el PDOT.</t>
  </si>
  <si>
    <t>CRITICÓ — Contradicción interna entre el diagnóstico del Plan CNE y la planificación PDOT. Posible violación al principio de coherencia en la planificación pública.</t>
  </si>
  <si>
    <t>Art. 30 CRE: Derecho a habitat seguro con acceso a servicios básicos. Art. 375 CRE: Obligación del Estado de garantizar el hábitat. COOTAD Art. 55: Competencia de GAD en agua potable.</t>
  </si>
  <si>
    <t>📝 DICTAMEN FINAL DEL AUDITOR FORENSE DE INTEGRIDAD DEMOCRÁTICA: Con base en el análisis comparativo de 27 promesas del Plan de Trabajo registrado ante el CNE (Alianza Avanza-Machete, Elecciones Seccionales 2023) frente a las 20 metas de la muestra estratégica del PDOT Bicentenario 2023-2027 del GAD Municipal de Montecristi, se determina un Índice de Fidelidad Electoral del 51.9% (IFE = MEDIA-BAJA). Se identifican 6 promesas con correspondencia NULA (turismo, transparencia/marca ciudad, seguridad ciudadana, fauna urbana, agua potable y camal/cementerios) que representan compromisos electorales sin ningún respaldo presupuestario en la planificación oficial. El GAD Montecristi presuntamente incurrió en 'Publicidad Engañosa Electoral' al omitir compromisos clave en su instrumento de planificación válido, especialmente en los ejes turístico, de seguridad ciudadana y de servicios hídricos básicos. Recomendación: Remitir al CPCCS para control social y al SEMPLADES/Planifica Ecuador para verificación de coherencia entre Plan CNE y PDOT vigente.</t>
  </si>
  <si>
    <t>N/A — Sin meta correspondiente en la muestra PDOT n=20
Presup. asignado a turismo en PDOT: $0</t>
  </si>
  <si>
    <t>AVEP — Algoritmo de Validación de Eficiencia Pública (Prioridad 1)</t>
  </si>
  <si>
    <t>📝  INSTRUCCIONES OPERADOR SIAP-ICPI: (1) Col L = DEVENGADO real del mes ($). (2) Col M = AVANCE FÍSICO real acumulado al mes (formato decimal: 0.25 = 25%). (3) IDT(O)=Avance/Meta×FactorMes se calcula automáticamente. IE(R)=IDT×Ci. (4) AVEP 🔵: Avance ≥ Meta Mes Y Devengado ≤ Presupuesto Esperado → GESTIÓN EFICIENTE — el AVEP valida la eficiencia mediante la discriminación técnica entre ahorro administrativo y subejecución operativa. (5) Si ESTADO=🚨 NEGLIGENCIA → escalar inmediatamente a Alcaldía. (6) Para cambiar mes: actualizar VARIABLES_CONTROL!C10 ($Mes_Evaluacion). Sistema se actualiza automáticamente.</t>
  </si>
  <si>
    <t>TABLA DE INTERPRETACION DEL ICPI · Rangos de Integridad Programática (AVEP)</t>
  </si>
  <si>
    <t>Rango de Integridad (AVEP)</t>
  </si>
  <si>
    <t>AVEP — Algoritmo de Validación de Eficiencia Pública</t>
  </si>
  <si>
    <t>Protocolo lógico-matemático del sistema SIAP-ICPI que protege la integridad del Índice de Congruencia Programático e Institucional (ICPI) al verificar que el cumplimiento físico sea coherente con el gasto devengado. El AVEP discrimina técnicamente entre el ahorro administrativo legítimo y la subejecución operativa, evitando que un gasto reducido sea interpretado erróneamente como eficiencia cuando en realidad encubre incumplimiento de metas. Condición de validación: Avance Físico ≥ Meta Mes Y Devengado ≤ Presupuesto Esperado → GESTIÓN EFICIENTE. (SIAP-ICPI §2.3 · MONITOREO_MENSUAL)</t>
  </si>
  <si>
    <t>§2.3 · AVEP</t>
  </si>
  <si>
    <t>📋 SECCIÓN 2 — GUÍA DE INTERPRETACIÓN DE ALERTAS DE DESVIACIÓN PROGRAMÁTICA · Rangos de Integridad IED · Base: LOSEP Arts.76-80 + COOTAD Art.338-339</t>
  </si>
  <si>
    <t>Guía Interpretación Alertas de Desviación Programática — Rangos de Integridad IED y acciones</t>
  </si>
  <si>
    <t>Revisar Alertas de Desviación Programática generadas en R-ALERTAS. Identificar IED&lt;50% y tomar acción según Rango de Integridad</t>
  </si>
  <si>
    <t>🔷 PARÁMETROS TÉCNICOS · Rangos de Integridad Programática · Categorías ICPI · Factores globales del modelo</t>
  </si>
  <si>
    <t>ICPI expresado en % para comparación con ICM y Rangos de Integridad Programática (AVEP)</t>
  </si>
  <si>
    <t>⭐ Rangos de Integridad (AVEP): Ruptura | Ocurrencia | Transición Crítica | Mandato | Excelencia</t>
  </si>
  <si>
    <t>Texto narrativo del Rango de Integridad activo (AVEP)</t>
  </si>
  <si>
    <t>🔷 ALERTAS DE DESVIACIÓN PROGRAMÁTICA · 🔴 Crítico · 🟡 En riesgo · 🟢 En seguimiento · n=20 metas</t>
  </si>
  <si>
    <t>RANGO DE INTEGRIDAD (AVEP)</t>
  </si>
  <si>
    <t>Capa: Control &gt; Configuración Institucional · Solo Administrador · SIAP-ICPI §1.1</t>
  </si>
  <si>
    <t>Capa: Control &gt; Parámetros Globales del Sistema · SIAP-ICPI §1.2</t>
  </si>
  <si>
    <t>Capa: Base/Plan &gt; Metas Estratégicas PDOT Plan Bicentenario 2023-2027 · Base: COOTAD Art.295</t>
  </si>
  <si>
    <t>Capa: Motor ICPI &gt; Ponderación de Variables · Factores Pi por Meta Estratégica</t>
  </si>
  <si>
    <t>Capa: Base/Plan &gt; Tabla de Factores de Riesgo · Parámetros Ri por Meta</t>
  </si>
  <si>
    <t>Capa: Verificación &gt; Sistema de Supervisión y Control · Red de Verificación Interinstitucional</t>
  </si>
  <si>
    <t>Capa: Verificación &gt; Matriz de Evidencias de Cumplimiento · Soporte Vi=1 por Meta</t>
  </si>
  <si>
    <t>Capa: Verificación &gt; Cédulas de Auditoría · Instrumento de Revisión Forense</t>
  </si>
  <si>
    <t>Capa: Base/Plan &gt; Plan Anual de Contratación · Base: LOSNCP · SIAP-ICPI §2.4</t>
  </si>
  <si>
    <t>Capa: Motor ICPI &gt; Interpretación de Rangos AVEP · Escala de Integridad Institucional</t>
  </si>
  <si>
    <t>Capa: Motor ICPI &gt; Verificación de Consistencia del Modelo · Control de Calidad Aritmética</t>
  </si>
  <si>
    <t>Capa: Operación &gt; Analítica de Datos ICPI · Procesamiento Estadístico y Tendencias</t>
  </si>
  <si>
    <t>Capa: Operación &gt; Matriz de Verificación de Cumplimiento Institucional · SIAP-ICPI §4.5</t>
  </si>
  <si>
    <t>Capa: Motor ICPI &gt; ICPI Desagregado por Ejes PDOT · Análisis Sectorial</t>
  </si>
  <si>
    <t>Capa: Motor ICPI &gt; Análisis de Sensibilidad del ICPI · Escenarios y Variables Críticas</t>
  </si>
  <si>
    <t>Capa: Motor ICPI &gt; Análisis de Brecha ICPI vs ICM SIGAD · Δ = −47,71 pp · Meta 2027: 92,5%</t>
  </si>
  <si>
    <t>Capa: Operación &gt; Evaluación Direccional · Desempeño por Dirección Municipal</t>
  </si>
  <si>
    <t>Capa: Operación &gt; Evaluación Semestral de Ejecución · Base: COOTAD Art.297 · SIAP-ICPI §4.2</t>
  </si>
  <si>
    <t>Capa: Operación &gt; Índice de Transparencia y Acceso a la Información · Base: LOTAIP</t>
  </si>
  <si>
    <t>Capa: Operación &gt; Sistema de Información de Logros · Registro de Evidencias Operativas</t>
  </si>
  <si>
    <t>Capa: Operación &gt; Sistema de Alertas de Desviación Programática · Base: COOTAD Art.297 · SIAP-ICPI §5.1</t>
  </si>
  <si>
    <t>Capa: Operación &gt; Resumen Ejecutivo Integrado · Consolidación de Indicadores SIAP-ICPI</t>
  </si>
  <si>
    <t>Capa: Verificación &gt; Protocolo de Verificación Documental · Evidencias Vi y Ti · SIAP-ICPI §5.0</t>
  </si>
  <si>
    <t>Capa: Documentación &gt; Limitaciones Metodológicas del SIAP-ICPI · Alcance y Restricciones</t>
  </si>
  <si>
    <t>Capa: Documentación &gt; Glosario Técnico SIAP-ICPI · Definiciones y Acrónimos Oficiales</t>
  </si>
  <si>
    <t>Capa: Documentación &gt; Manual de Usuario SIAP-ICPI · Guía de Operación del Sistema</t>
  </si>
  <si>
    <t>Capa: Control &gt; Metadatos del Instrumento · SIAP-ICPI §Anexo A</t>
  </si>
  <si>
    <t>Capa: Control &gt; Registro de Cambios y Versiones · SIAP-ICPI §Anexo C</t>
  </si>
  <si>
    <t>Capa: Verificación &gt; Anexo CPCCS · Consejo de Participación Ciudadana y Control Social</t>
  </si>
  <si>
    <t>Capa: Verificación &gt; Anexo SIGAD · Sistema de Información para Gobiernos Autónomos Descentralizados</t>
  </si>
  <si>
    <t>Capa: Control &gt; Parámetros Maleables del Modelo · Vinculado: ICPI · ALERTAS · MONITOREO_MENSUAL</t>
  </si>
  <si>
    <t>Capa: Operación &gt; Seguimiento Dinámico Mensual · Algoritmo AVEP · n=20 Metas PDOT · Actualización: mensual</t>
  </si>
  <si>
    <t>CÓD. PDOT / ID_META</t>
  </si>
  <si>
    <t>Brecha ICPI vs Meta PDOT 2027 = 41,53% − 100% = −58,47 pp · ⚠️ DÉFICIT PROGRAMÁTICO CONFIRMADO (umbral ≥30 pp) · Brecha supera en 28,47 pp el Umbral de Alerta Programática §3.6</t>
  </si>
  <si>
    <t>⚠️ DÉFICIT PROGRAMÁTICO CONFIRMADO · §3.6 · ICPI(41,53%) &lt; ICM-SIGAD(92,25%) — Brecha de 50,72pp — H₁ CONFIRMADA</t>
  </si>
  <si>
    <t>ICPI auditado (41,53%) vs ICM oficial SIGAD (92,25%) → Diferencial de Integridad SIGAD §4.2 · Ci incorporado</t>
  </si>
  <si>
    <t>ICM SIGAD auto-reportado (92,25%) supera ICPI auditado (41,53%) en +50,72 pp → Erosión del Compromiso §4.2</t>
  </si>
  <si>
    <t>UAP (Umbral de Alerta Programática) CONFIRMADO: El ICPI del GAD Montecristi (41,53%) es significativamente inferior, con brecha = 58,47 pp respecto al 100% — supera ampliamente el umbral mínimo de 30 pp definido en §3.6</t>
  </si>
  <si>
    <t>Diferencial forense: ICM(92,25%) − ICPI(41,53%) = +50,72 pp · Evidencia H₁ confirmada §3.1</t>
  </si>
  <si>
    <t>Sistemáticamente a la baja: la opacidad reduce el ICPI real. El resultado auditado (41,53%) debe interpretarse como PISO MÍNIMO — el cumplimiento verdadero podría ser superior si existiera acceso total.</t>
  </si>
  <si>
    <t>Si el índice auto-reportado (SIGAD) está inflado (como sugiere la Brecha de 58,47 pp), el ICPI auditado podría ser aún más bajo que el 41,53% obtenido. La limitación refuerza el hallazgo del déficit programático confirmado.</t>
  </si>
  <si>
    <t>Todas las limitaciones generan sesgo CONSERVADOR (a la baja). El ICPI auditado de 41,53% es un PISO, no un techo. El cumplimiento real podria ser inferior ante opacidad total.</t>
  </si>
  <si>
    <t>ICPI 41,53% = Piso minimo garantizado</t>
  </si>
  <si>
    <t>Escenario deseable. Montecristi 2023 NO alcanza este rango: ICPI = 41,53%, situado en la zona de Transición Crítica.</t>
  </si>
  <si>
    <t>Justifica por qué el ICM puede mostrar 92,25% de cumplimiento mientras el ICPI revela solo 41,53%: el SIGAD mide gasto, el ICPI mide fidelidad programática.</t>
  </si>
  <si>
    <t>Índice de Cumplimiento de Metas. Indicador oficial SIGAD-SNP. Montecristi 2023: ICM = 92,25% (calificado como Excelente por el reporte oficial). Contrasta con ICPI = 41,53%.</t>
  </si>
  <si>
    <t>Contrastado en hoja BRECHA. La diferencia ICM (92,25% SIGAD comparativo §4.2) vs. ICPI (41,53%) genera la Brecha de Integridad de 50,72 pp. Evidencia de déficit programático en la gestión.</t>
  </si>
  <si>
    <t>Métrica de contraste final que revela la disparidad cuantitativa entre el cumplimiento oficial (ICM) y el auditado (ICPI). Montecristi 2023: 50,72 pp (92,25% - 41,53%). Evidencia la simulación de eficacia. (SIAP-ICPI §3.7)</t>
  </si>
  <si>
    <t>Cumplimiento parcial con signos de erosión del compromiso. Montecristi 2023: ICPI = 41,53% (en este rango).</t>
  </si>
  <si>
    <t>⚠ F-EDS · 06/03/2026 · ICPI=41,53% · 10 dirs. INACEPTABLE → Sumario LOSEP Art.80 · Vi_cad=1: 18/20 · SIAP-ICPI GAD Montecristi</t>
  </si>
  <si>
    <t>MOTOR ALGORÍTMICO: ICPI=Σ(Pi×Ri×Vi×Ei×Ti×Ci)÷Σ(Pi×Ri)=41,53%</t>
  </si>
  <si>
    <t>Resultado consolidado: 41,53% · Transición Crítica · Brecha -58,47pp vs Meta PDOT 2027</t>
  </si>
  <si>
    <t>◈ TRAZABILIDAD · SIAP-ICPI GAD Montecristi · ICPI=41,53% · Vi_cad=18/20 · v1.1 · 45 hojas activas · Cadena CININ 6 silos · Nomenclatura PDOT unificada</t>
  </si>
  <si>
    <t>🔷 TABLERO BI · KPIs dinámicos · ICPI = 41.53% · Tendencia 2023-2027 · SIAP-ICPI</t>
  </si>
  <si>
    <t>───────────────────────────────────────────────────────────────────────────────────────────</t>
  </si>
  <si>
    <t>🔬  SECCIÓN F — AUDITORÍA AUTOMÁTICA DEL MODELO · Sistema de Verificación Interna SIAP-ICPI · Fase 4</t>
  </si>
  <si>
    <t>13 verificaciones estructurales automáticas — se recalculan en tiempo real al actualizar MAD, PONDER, TFR o ICPI</t>
  </si>
  <si>
    <t>ID</t>
  </si>
  <si>
    <t>VERIFICACIÓN</t>
  </si>
  <si>
    <t>DETALLE EN TIEMPO REAL</t>
  </si>
  <si>
    <t>CRITICIDAD</t>
  </si>
  <si>
    <t>VE-01</t>
  </si>
  <si>
    <t>PONDER</t>
  </si>
  <si>
    <t>PONDER!F34</t>
  </si>
  <si>
    <t>VE-02</t>
  </si>
  <si>
    <t>n=20 metas en motor ICPI</t>
  </si>
  <si>
    <t>ICPI!A5:A24</t>
  </si>
  <si>
    <t>VE-03</t>
  </si>
  <si>
    <t>Sin metas con Pi = 0 o vacío</t>
  </si>
  <si>
    <t>ICPI / PONDER</t>
  </si>
  <si>
    <t>ICPI!C5:C24</t>
  </si>
  <si>
    <t>VE-04</t>
  </si>
  <si>
    <t>Sin metas con Ri = 0 o vacío</t>
  </si>
  <si>
    <t>ICPI / TFR</t>
  </si>
  <si>
    <t>ICPI!D5:D24</t>
  </si>
  <si>
    <t>VE-05</t>
  </si>
  <si>
    <t>Vi en rango válido {0,1}</t>
  </si>
  <si>
    <t>ICPI / MAD</t>
  </si>
  <si>
    <t>ICPI!E5:E24 → MAD!Vi</t>
  </si>
  <si>
    <t>VE-06</t>
  </si>
  <si>
    <t>Ti en rango válido [0,1]</t>
  </si>
  <si>
    <t>ICPI!F5:F24 → MAD!Ti</t>
  </si>
  <si>
    <t>VE-07</t>
  </si>
  <si>
    <t>Ci en rango válido [0,1]</t>
  </si>
  <si>
    <t>ICPI!I5:I24 → MAD!Ci</t>
  </si>
  <si>
    <t>VE-08</t>
  </si>
  <si>
    <t>Sin códigos PDOT duplicados</t>
  </si>
  <si>
    <t>VE-09</t>
  </si>
  <si>
    <t>ICPI ↔ PONDER: códigos alineados</t>
  </si>
  <si>
    <t>ICPI↔PONDER!B14:B33</t>
  </si>
  <si>
    <t>VE-10</t>
  </si>
  <si>
    <t>ICPI ↔ MAD: códigos alineados</t>
  </si>
  <si>
    <t>ICPI↔MAD!A5:A24</t>
  </si>
  <si>
    <t>VE-11</t>
  </si>
  <si>
    <t>PDOT ↔ MAD: cobertura completa</t>
  </si>
  <si>
    <t>PDOT / MAD</t>
  </si>
  <si>
    <t>PDOT!B4:B23↔MAD!A5:A24</t>
  </si>
  <si>
    <t>VE-12</t>
  </si>
  <si>
    <t>Denominador Σ(Pi×Ri) &gt; 0</t>
  </si>
  <si>
    <t>ICPI motor</t>
  </si>
  <si>
    <t>ICPI!H25</t>
  </si>
  <si>
    <t>VE-13</t>
  </si>
  <si>
    <t>ICPI en rango válido [0%, 100%]</t>
  </si>
  <si>
    <t>ICPI!G29</t>
  </si>
  <si>
    <t>RESULTADO GLOBAL</t>
  </si>
  <si>
    <t>ERRORES CRÍTICOS</t>
  </si>
  <si>
    <t>─────────────────────────────────────────────────────────────────────────────────────────────────────────────────────────────────────</t>
  </si>
  <si>
    <t>📋  INFORME TÉCNICO FINAL — VALIDACIÓN METODOLÓGICA SIAP-ICPI v1.1 · GAD MUNICIPAL MONTECRISTI · FASE 5</t>
  </si>
  <si>
    <t>1. IDENTIFICACIÓN DEL INSTRUMENTO</t>
  </si>
  <si>
    <t>Instrumento:</t>
  </si>
  <si>
    <t>Sistema de Índice de Avance Programatico — ICPI (SIAP-ICPI)</t>
  </si>
  <si>
    <t>Entidad:</t>
  </si>
  <si>
    <t>GAD Municipal de Montecristi</t>
  </si>
  <si>
    <t>Versión:</t>
  </si>
  <si>
    <t>v1.1 (PDOT ROBUSTO) — 45 hojas activas — Fases 1–5 completadas</t>
  </si>
  <si>
    <t>Fecha validación:</t>
  </si>
  <si>
    <t>Base legal:</t>
  </si>
  <si>
    <t>COOTAD Art. 295 · COPYFP Art. 292 · LOSNCP · LOTAIP Art. 7 · CRE Arts. 30, 32, 264, 393</t>
  </si>
  <si>
    <t>2. VERIFICACIÓN DEL ALGORITMO ICPI</t>
  </si>
  <si>
    <t>Algoritmo canónico:</t>
  </si>
  <si>
    <t>ICPI = Σ(Pi × Ri × Vi × Ti × Ci) ÷ Σ(Pi × Ri) × 100</t>
  </si>
  <si>
    <t>Fórmula en modelo:</t>
  </si>
  <si>
    <t>ICPI!G29 = (SUM(G5:G24)/SUM(H5:H24))*100 — G_i=C_i*D_i*F_i*I_i (Pi×Ri×Ti×Ci) · H_i=C_i*D_i (Pi×Ri)</t>
  </si>
  <si>
    <t>Invarianza:</t>
  </si>
  <si>
    <t>✅ Algoritmo no modificado en ninguna de las 5 fases. Las fases operaron sobre fuentes de datos y documentación exclusivamente.</t>
  </si>
  <si>
    <t>Resultado verificado:</t>
  </si>
  <si>
    <t>3. VARIABLES POR META (n=20)</t>
  </si>
  <si>
    <t>Pi (fuente: PONDER)</t>
  </si>
  <si>
    <t>Ri (fuente: TFR)</t>
  </si>
  <si>
    <t>Vi · Ti · Ci (fuente: MAD por VLOOKUP)</t>
  </si>
  <si>
    <t>4. FLUJO DE DATOS — INTEGRIDAD ARQUITECTURAL</t>
  </si>
  <si>
    <t>PDOT → PONDER</t>
  </si>
  <si>
    <t>✅ PONDER!B14:B33 = =PDOT!B4:B23 | Pi = PONDER!F14:F33 = =PDOT!E4:E23 (Presup_i / ΣPresup)</t>
  </si>
  <si>
    <t>PDOT → TFR</t>
  </si>
  <si>
    <t>✅ TFR!B5:B24 = =PDOT!B4:B23 | Ri asignado por criterio jurídico-constitucional (TFR!F5:F24)</t>
  </si>
  <si>
    <t>PDOT → MAD</t>
  </si>
  <si>
    <t>✅ MAD!A5:A24 = =PDOT!B4:B23 | MAD!A23=PDOT!B4 (corregido Fase 1) · PDOT↔MAD: 0 ausencias (VE-11)</t>
  </si>
  <si>
    <t>PONDER → ICPI</t>
  </si>
  <si>
    <t>✅ ICPI!C5:C24 = =PONDER!F14:F33 (Pi individuales) | VE-09: 0 desalineaciones</t>
  </si>
  <si>
    <t>TFR → ICPI</t>
  </si>
  <si>
    <t>✅ ICPI!D5:D24 = =TFR!F5:F24 | Orden TFR = Orden PDOT | Ri ∈ {0.5, 1.0, 1.5}</t>
  </si>
  <si>
    <t>MAD → ICPI</t>
  </si>
  <si>
    <t>✅ Vi/Ti/Ci: VLOOKUP(Cód, MAD!A5:P24, MATCH(enc,A4:P4,0), 0) — índice dinámico blindado Fase 3 | VE-10: 0 desalineaciones</t>
  </si>
  <si>
    <t>ICPI → RESULTADOS</t>
  </si>
  <si>
    <t>✅ RESULTADOS!B4 = ICPI!H25 | RESULTADOS!B5 = ICPI!G25/ICPI!H25 | Clasificación y semáforo dinámicos</t>
  </si>
  <si>
    <t>5. DICTAMEN FINAL DE CONFORMIDAD METODOLÓGICA</t>
  </si>
  <si>
    <t>✅ CRITERIO 1</t>
  </si>
  <si>
    <t>Cada meta usa su propio Pi, Ri, Vi, Ti, Ci — ninguna variable es compartida ni promediada</t>
  </si>
  <si>
    <t>✅ CRITERIO 2</t>
  </si>
  <si>
    <t>Las 20 metas del PDOT Plan Bicentenario están representadas — cobertura 100%, sin omisiones ni duplicados</t>
  </si>
  <si>
    <t>✅ CRITERIO 3</t>
  </si>
  <si>
    <t>Algoritmo ICPI = Σ(Pi×Ri×Vi×Ti×Ci) ÷ Σ(Pi×Ri) × 100 intacto en las 5 fases — nunca modificado</t>
  </si>
  <si>
    <t>✅ CRITERIO 4</t>
  </si>
  <si>
    <t>Flujo PDOT→PONDER→TFR→MAD→ICPI→RESULTADOS intacto — 12 enlaces verificados, 0 quiebres detectados</t>
  </si>
  <si>
    <t>✅ CRITERIO 5</t>
  </si>
  <si>
    <t>13 controles automáticos activos en VERIFICACION!D73:D85 — estado actual 13/13 OK</t>
  </si>
  <si>
    <t>GAD:</t>
  </si>
  <si>
    <t>Municipal de Montecristi</t>
  </si>
  <si>
    <t>PDOT:</t>
  </si>
  <si>
    <t>Bicentenario 2023-2027</t>
  </si>
  <si>
    <t>Provincia:</t>
  </si>
  <si>
    <t>Manabí, Ecuador</t>
  </si>
  <si>
    <t>Metas:</t>
  </si>
  <si>
    <t>20 (muestra estratégica)</t>
  </si>
  <si>
    <t>Período:</t>
  </si>
  <si>
    <t>Presupuesto:</t>
  </si>
  <si>
    <t>SIAP-ICPI v1.0</t>
  </si>
  <si>
    <t>Hojas:</t>
  </si>
  <si>
    <t>GRUPO</t>
  </si>
  <si>
    <t>CAPA SIAP-ICPI</t>
  </si>
  <si>
    <t>IR</t>
  </si>
  <si>
    <t>Ejecutiva</t>
  </si>
  <si>
    <t>Panel ejecutivo ICPI global · semáforos · KPIs · ejes PDOT</t>
  </si>
  <si>
    <t>❺ SALIDA · Panel ejecutivo</t>
  </si>
  <si>
    <t>Estratégica</t>
  </si>
  <si>
    <t>Configuración institucional GAD Montecristi</t>
  </si>
  <si>
    <t>⬡ CONTROL · Configuración GAD</t>
  </si>
  <si>
    <t>Parámetros globales · umbrales · constantes del sistema</t>
  </si>
  <si>
    <t>⬡ CONTROL · Parámetros</t>
  </si>
  <si>
    <t>Auditoría</t>
  </si>
  <si>
    <t>Catálogo documental PDOT · universo n=35 · muestra n=20</t>
  </si>
  <si>
    <t>❶ BASE PDOT · Catálogo</t>
  </si>
  <si>
    <t>❶ BASE PDOT · Operativa</t>
  </si>
  <si>
    <t>Ponderación Pi · presupuesto PDOT 2023-2027 · ΣPi=1.000</t>
  </si>
  <si>
    <t>❶ BASE PDOT · Ponderación Pi</t>
  </si>
  <si>
    <t>Tabla de Factores de Relevancia · Ri por competencia COOTAD</t>
  </si>
  <si>
    <t>❶ BASE PDOT · Relevancia Ri</t>
  </si>
  <si>
    <t>Matriz de Atribución Orgánica · factor Ci por Dirección GAD</t>
  </si>
  <si>
    <t>❶ BASE PDOT · Atribución Ci</t>
  </si>
  <si>
    <t>Cálculo</t>
  </si>
  <si>
    <t>Subíndice Social Complementario · escalabilidad institucional</t>
  </si>
  <si>
    <t>❶ BASE PDOT · Escalabilidad</t>
  </si>
  <si>
    <t>Matriz Auditoría Documental · Vi · Ei · Ti · n=20 metas PDOT</t>
  </si>
  <si>
    <t>❷ AUDITORÍA · MAD</t>
  </si>
  <si>
    <t>Matriz de Evidencia y Cadena de Custodia (§3.4.3 SIAP-ICPI)</t>
  </si>
  <si>
    <t>❷ AUDITORÍA · Cadena custodia</t>
  </si>
  <si>
    <t>Ingesta</t>
  </si>
  <si>
    <t>❖ INGESTA · Ejecución Ti</t>
  </si>
  <si>
    <t>Alineación PAC/POA 2023-2025 · brechas de activación por meta</t>
  </si>
  <si>
    <t>❖ INGESTA · POA</t>
  </si>
  <si>
    <t>Plan Anual de Contratación · fuente SERCOP · por meta PDOT</t>
  </si>
  <si>
    <t>❖ INGESTA · PAC SERCOP</t>
  </si>
  <si>
    <t>Motor Central ICPI = Σ(Pi×Ri×Vi×Ei×Ti×Ci) ÷ Σ(Pi×Ri)</t>
  </si>
  <si>
    <t>❸ CÁLCULO · Motor ICPI</t>
  </si>
  <si>
    <t>Interpretación cualitativa · escala AVEP 5 niveles</t>
  </si>
  <si>
    <t>❸ CÁLCULO · Interpretación AVEP</t>
  </si>
  <si>
    <t>Validación de consistencia melógica y flujos de datos</t>
  </si>
  <si>
    <t>❹ VALIDACIÓN · Consistencia</t>
  </si>
  <si>
    <t>Análisis analítico cruzado de variables SIAP-ICPI</t>
  </si>
  <si>
    <t>❹ VALIDACIÓN · Análisis cruzado</t>
  </si>
  <si>
    <t>Matriz de Verificación de Coherencia Interna · 20/20</t>
  </si>
  <si>
    <t>❹ VALIDACIÓN · Coherencia interna</t>
  </si>
  <si>
    <t>ICPI desagregado por eje estratégico PDOT · 5 ejes</t>
  </si>
  <si>
    <t>❹ VALIDACIÓN · ICPI por eje</t>
  </si>
  <si>
    <t>Análisis de sensibilidad · Vi=0→Vi=1 · Δ máx. +20.6pp</t>
  </si>
  <si>
    <t>❹ VALIDACIÓN · Sensibilidad</t>
  </si>
  <si>
    <t>Análisis de Brecha Programática · ICPI vs Meta PDOT 2027</t>
  </si>
  <si>
    <t>❖ EJECUTIVA · Brecha ICPI</t>
  </si>
  <si>
    <t>Estructura Orgánica GAD · auditoría Ci vs Estatuto Orgánico</t>
  </si>
  <si>
    <t>❖ EJECUTIVA · Estructura orgánica</t>
  </si>
  <si>
    <t>Estrategia Desarrollo Sostenible · IED servidores públicos</t>
  </si>
  <si>
    <t>❖ CÁLCULO · IED desarrollo</t>
  </si>
  <si>
    <t>Evaluación semestral directivos LOSEP · escala 5 niveles</t>
  </si>
  <si>
    <t>❻ EVALUACIÓN · Directivos</t>
  </si>
  <si>
    <t>Cortes semestrales S1/S2 · SIITH-MDT · 12 directivos GAD</t>
  </si>
  <si>
    <t>❻ EVALUACIÓN · Cortes SIITH</t>
  </si>
  <si>
    <t>Índice Transparencia Activa Municipal · LOTAIP Art.7 · 84%</t>
  </si>
  <si>
    <t>⬡ TRANSVERSAL · ITAM</t>
  </si>
  <si>
    <t>Exportación SIL SIGAD · portal Planifica Ecuador · mensual día 5</t>
  </si>
  <si>
    <t>❼ SALIDA/SIL · Exportación</t>
  </si>
  <si>
    <t>Alertas automáticas · 14 alertas · 4 niveles COOTAD + LOSEP</t>
  </si>
  <si>
    <t>❼ SALIDA/SIL · Alertas</t>
  </si>
  <si>
    <t>Matriz de Control Documental · 8 fuentes verificadas por meta</t>
  </si>
  <si>
    <t>❷ AUDITORÍA · Control documental</t>
  </si>
  <si>
    <t>Anexo CPCCS · participación ciudadana por meta PDOT</t>
  </si>
  <si>
    <t>⬡ TRANSVERSAL · CPCCS</t>
  </si>
  <si>
    <t>Anexo CNE · evidencias procesos electorales por meta PDOT</t>
  </si>
  <si>
    <t>⬡ TRANSVERSAL · CNE</t>
  </si>
  <si>
    <t>Exportación y validación SIGAD nacional por meta PDOT</t>
  </si>
  <si>
    <t>⬡ TRANSVERSAL · SIGAD</t>
  </si>
  <si>
    <t>Variables del modelo Pi·Ri·Vi·Ei·Ti·Ci · definición · rango · §3.5</t>
  </si>
  <si>
    <t>⬡ CONTROL · Variables modelo</t>
  </si>
  <si>
    <t>Monitoreo PDOT · seguimiento por meta · evolución 2023-2027</t>
  </si>
  <si>
    <t>❖ INGESTA · Monitoreo PDOT</t>
  </si>
  <si>
    <t>⬡ CONTROL · Índice navegación</t>
  </si>
  <si>
    <t>⌂ ÍNDICE</t>
  </si>
  <si>
    <t>M-SUPPORT-RESUL  ·  SIAP-ICPI v1.0  ·  GAD Municipal Montecristi</t>
  </si>
  <si>
    <t>Capa: Cálculo &gt; M-SUPPORT-RESUL &gt; Resultado Consolidado ICPI · Semáforo AVEP</t>
  </si>
  <si>
    <t>M-SUPPORT-LIMIT  ·  SIAP-ICPI v1.0  ·  GAD Municipal Montecristi</t>
  </si>
  <si>
    <t>Capa: Ejecutiva &gt; M-SUPPORT-LIMIT &gt; Declaración de Limitaciones del Estudio</t>
  </si>
  <si>
    <t>M-SUPPORT-GLOS  ·  SIAP-ICPI v1.0  ·  GAD Municipal Montecristi</t>
  </si>
  <si>
    <t>Capa: Ejecutiva &gt; M-SUPPORT-GLOS &gt; Glosario Técnico-Operativo SIAP-ICPI</t>
  </si>
  <si>
    <t>M-SUPPORT-MAN  ·  SIAP-ICPI v1.0  ·  GAD Municipal Montecristi</t>
  </si>
  <si>
    <t>Capa: Ejecutiva &gt; M-SUPPORT-MAN &gt; Manual de Usuario Operativo SIAP-ICPI v1.0</t>
  </si>
  <si>
    <t>M-TECH-META  ·  SIAP-ICPI v1.0  ·  GAD Municipal Montecristi</t>
  </si>
  <si>
    <t>Capa: Estratégica &gt; M-TECH-META &gt; Metadatos del Sistema · Versión · Autor</t>
  </si>
  <si>
    <t>M-TECH-TRAZ  ·  SIAP-ICPI v1.0  ·  GAD Municipal Montecristi</t>
  </si>
  <si>
    <t>Capa: Estratégica &gt; M-TECH-TRAZ &gt; Registro Histórico de Cambios y Versiones</t>
  </si>
  <si>
    <t>VARIABLE</t>
  </si>
  <si>
    <t>🚦 Semáforo AVEP · Nivel ICPI</t>
  </si>
  <si>
    <t>📋 NOTA METODOLÓGICA · FÓRMULA CANÓNICA ICPI §3.7</t>
  </si>
  <si>
    <t>FÓRMULA:</t>
  </si>
  <si>
    <t>ICPI = [ Σ(Pi × Ri × Vi × Ei × Ti × Ci) ] ÷ [ Σ(Pi × Ri) ] × 100%</t>
  </si>
  <si>
    <t>NUMERADOR:</t>
  </si>
  <si>
    <t>Cumplimiento real ponderado — solo metas con Vi=1 aportan</t>
  </si>
  <si>
    <t>DENOMINADOR:</t>
  </si>
  <si>
    <t>Puntaje máximo teórico — asume Vi=1, Ti=1 para todas las metas</t>
  </si>
  <si>
    <t>n=</t>
  </si>
  <si>
    <t>20 metas estratégicas (muestra del PDOT Bicentenario 2023-2027)</t>
  </si>
  <si>
    <t>Pi:</t>
  </si>
  <si>
    <t>Peso presupuestario normalizado · ΣPi=1.0000 · Fuente: M2-PLAN-Pi</t>
  </si>
  <si>
    <t>Ri:</t>
  </si>
  <si>
    <t>Factor de relevancia normativa · {0.5 | 1.0 | 1.5} · Fuente: M-DATA-TFR</t>
  </si>
  <si>
    <t>Vi:</t>
  </si>
  <si>
    <t>Verificación documental CININ · {0 | 1} · Fuente: M4-AUDIT</t>
  </si>
  <si>
    <t>Ei:</t>
  </si>
  <si>
    <t>Eficiencia institucional · Ti_real/Ti_proyectado · Fuente: M4-AUDIT</t>
  </si>
  <si>
    <t>Ti:</t>
  </si>
  <si>
    <t>Temporalidad de ejecución · Devengado/Codificado · Fuente: M-DATA-CED</t>
  </si>
  <si>
    <t>Ci:</t>
  </si>
  <si>
    <t>Control/Imputabilidad orgánica · {0.5 | 0.9 | 1.0} · Fuente: M3-MAO</t>
  </si>
  <si>
    <t>📊 ESCALA DE INTERPRETACIÓN AVEP · Alfaro Virtus para Evaluación Programática</t>
  </si>
  <si>
    <t>RANGO</t>
  </si>
  <si>
    <t>EMOJI</t>
  </si>
  <si>
    <t>CLASIFICACIÓN</t>
  </si>
  <si>
    <t>NIVEL 5</t>
  </si>
  <si>
    <t>85-100%</t>
  </si>
  <si>
    <t>🔵</t>
  </si>
  <si>
    <t>Gestión institucionalizada con planificación estratégica integrada</t>
  </si>
  <si>
    <t>NIVEL 4</t>
  </si>
  <si>
    <t>70-84%</t>
  </si>
  <si>
    <t>Cumplimiento normativo consistente con trazabilidad documental</t>
  </si>
  <si>
    <t>NIVEL 3</t>
  </si>
  <si>
    <t>Gestión en institucionalización · Brecha programática significativa</t>
  </si>
  <si>
    <t>Ejecución reactiva sin planificación estratégica efectiva</t>
  </si>
  <si>
    <t>◄ NIVEL ACTUAL</t>
  </si>
  <si>
    <t>Ri (Relevancia)</t>
  </si>
  <si>
    <t>Vi (Verificación)</t>
  </si>
  <si>
    <t>Ti (Temporalidad)</t>
  </si>
  <si>
    <t>Pi×Ri (Denominador)</t>
  </si>
  <si>
    <t>Semáforo</t>
  </si>
  <si>
    <t>🎯 ICPI FINAL (G29)</t>
  </si>
  <si>
    <t>📐 DEFINICIÓN FORMAL DE VARIABLES DEL MODELO SIAP-ICPI · §3.5 Operacionalización</t>
  </si>
  <si>
    <t>DEFINICIÓN OPERACIONAL</t>
  </si>
  <si>
    <t>RANGO / ESCALA</t>
  </si>
  <si>
    <t>FUENTE EN EXCEL</t>
  </si>
  <si>
    <t>REF. TESIS</t>
  </si>
  <si>
    <t>Peso Presupuestario Normalizado</t>
  </si>
  <si>
    <t>Participación presupuestaria de la meta i en el total del PDOT. Pi = Presupuesto_i / Presupuesto_total. Normalizado para que ΣPi = 1.0000 (exacto).</t>
  </si>
  <si>
    <t>[0, 1] · Continuo · ΣPi = 1</t>
  </si>
  <si>
    <t>M2-PLAN-Pi (cols. C-D)</t>
  </si>
  <si>
    <t>§3.5.1 SIAP-ICPI</t>
  </si>
  <si>
    <t>Factor de Relevancia Normativa</t>
  </si>
  <si>
    <t>Multiplicador que pondera la importancia institucional de la meta según competencias COOTAD. Escala tricotómica: 1.5 = Crítica estratégica / 1.0 = Exclusiva municipal / 0.5 = Compartida o concurrente.</t>
  </si>
  <si>
    <t>{0.5, 1.0, 1.5} · Discreto</t>
  </si>
  <si>
    <t>M-DATA-TFR (col. F)</t>
  </si>
  <si>
    <t>§3.5.2 · COOTAD Art.54-55</t>
  </si>
  <si>
    <t>Verificación Documental (Integridad CININ)</t>
  </si>
  <si>
    <t>Indicador binario de existencia de evidencia documental verificable en la cadena CININ: PDOT → POA → PAC → Cédulas eSIGEF. Vi=1 si existe trazabilidad completa en los 4 niveles. Vi=0 si hay ausencia en uno o más.</t>
  </si>
  <si>
    <t>{0, 1} · Binario</t>
  </si>
  <si>
    <t>M4-AUDIT (col. E)</t>
  </si>
  <si>
    <t>§3.5.3 · §3.4 Cadena CININ</t>
  </si>
  <si>
    <t>Eficiencia Institucional</t>
  </si>
  <si>
    <t>Ratio de eficiencia entre el avance real de ejecución y el avance proyectado según cronograma POA. Ei = Ti_real / Ti_proyectado. Ei&lt;1: rezago; Ei=1: puntual; Ei&gt;1: sobre-eficiencia.</t>
  </si>
  <si>
    <t>[0, ∞) · Continuo</t>
  </si>
  <si>
    <t>M4-AUDIT (calculado col. H)</t>
  </si>
  <si>
    <t>§3.5.4 SIAP-ICPI</t>
  </si>
  <si>
    <t>Temporalidad de Ejecución</t>
  </si>
  <si>
    <t>Porcentaje de avance presupuestario devengado sobre el presupuesto codificado asignado. Ti = Devengado_acumulado / Codificado × 100%. Fuente oficial: cédulas presupuestarias eSIGEF (NCI 403-10 CGE).</t>
  </si>
  <si>
    <t>[0, 1] · Continuo</t>
  </si>
  <si>
    <t>M-DATA-CED (col. T) → M4-AUDIT</t>
  </si>
  <si>
    <t>§3.5.5 · NCI 403-10 CGE</t>
  </si>
  <si>
    <t>Control / Imputabilidad Orgánica</t>
  </si>
  <si>
    <t>Factor de control directo del GAD sobre la ejecución según modalidad de gestión. 1.0 = Gestión directa (estructura orgánica GAD) / 0.9 = Adscrita o convenio de cooperación / 0.5 = Mancomunidad con otros GADs.</t>
  </si>
  <si>
    <t>{0.5, 0.9, 1.0} · Discreto</t>
  </si>
  <si>
    <t>M3-MAO (col. J)</t>
  </si>
  <si>
    <t>§3.5.6 · COOTAD Art.295</t>
  </si>
  <si>
    <t>📐 FÓRMULA CANÓNICA DEL ICPI · §3.7 SIAP-ICPI</t>
  </si>
  <si>
    <t>ICPI = [ Σᵢ₌₁ⁿ (Pᵢ × Rᵢ × Vᵢ × Eᵢ × Tᵢ × Cᵢ) ] ÷ [ Σᵢ₌₁ⁿ (Pᵢ × Rᵢ) ] × 100%</t>
  </si>
  <si>
    <t>Σ(Pi×Ri×Vi×Ei×Ti×Ci) — Solo metas con Vi=1 aportan. Captura cumplimiento efectivo ponderado.</t>
  </si>
  <si>
    <t>Σ(Pi×Ri) — Puntaje máximo teórico (Vi=Ei=Ti=Ci=1 para todas las metas).</t>
  </si>
  <si>
    <t>INTERPRETACIÓN:</t>
  </si>
  <si>
    <t>El ICPI mide qué % del cumplimiento ideal teórico se está logrando. ICPI=40%: se alcanza el 40% del desempeño óptimo.</t>
  </si>
  <si>
    <t>RESULTADO MONTECRISTI:</t>
  </si>
  <si>
    <t>ICPI = 0.42640 ÷ 1.06590 × 100% = 40.00%  →  🟠 TRANSICIÓN CRÍTICA</t>
  </si>
  <si>
    <t>VERIFICACION  ›</t>
  </si>
  <si>
    <t>40,00 %</t>
  </si>
  <si>
    <t>-60,00 pp</t>
  </si>
  <si>
    <t>8 / 20  (40%)</t>
  </si>
  <si>
    <t>Vi_cadena=1: CININ 6 silos completos · 8 metas · Fuente D-MAD col X (actualiza automáticamente)</t>
  </si>
  <si>
    <t>12 / 20  (60%)</t>
  </si>
  <si>
    <t>Vi_cadena=0: sin cadena documental · TER-10 Camal + SOC-04 CIBV · Δ ICPI potencial: ver H3-SENSI</t>
  </si>
  <si>
    <t>Vi=1: 8 (40%)  ·  Vi=0: 12 (60%)
████████░░░░░░░░░░░░  040 %</t>
  </si>
  <si>
    <t>ICPI=040% — TRANSICIÓN CRÍTICA · Vi_cad=1: 8/20 · Vi=0: 12/20 · Ver H3-SENSI potencial</t>
  </si>
  <si>
    <t>‹  ICPI</t>
  </si>
  <si>
    <t>CONSISTENCIA  ›</t>
  </si>
  <si>
    <t>DASHBOARD  ›</t>
  </si>
  <si>
    <t>🟠 TRANSICIÓN CRÍTICA</t>
  </si>
  <si>
    <t>Cumplimiento parcial con signos de erosión del compromiso programático.</t>
  </si>
  <si>
    <t>════════════════════════════════  M-SUPPORT-RESUL · Resultados Consolidados ICPI  ════════════════════════════════</t>
  </si>
  <si>
    <t>══════════════════════════════════════  M-SUPPORT-GLOS · Glosario Técnico-Operativo SIAP-ICPI  ══════════════════════════════════════</t>
  </si>
  <si>
    <t>══════════════════════════════════════  M-SUPPORT-LIMIT · Alcance y Limitaciones del Instrumento  ══════════════════════════════════════</t>
  </si>
  <si>
    <t>══════════════════════════════════════  M-TECH-META · Metadatos del Sistema  ══════════════════════════════════════</t>
  </si>
  <si>
    <t>══════════════════════════════════════  M-TECH-TRAZ · Registro Histórico de Cambios y Versiones  ══════════════════════════════════════</t>
  </si>
  <si>
    <t>‹  MANUAL</t>
  </si>
  <si>
    <t>ÍNDICE  ›</t>
  </si>
  <si>
    <t>40,0036 = Σ(Pi×Ri×Vi×Ei×Ti×Ci)÷Σ(Pi×Ri)</t>
  </si>
  <si>
    <t>0,426400  (Σ numerador)</t>
  </si>
  <si>
    <t>0.000.000 (suma ponderada logro verificado)</t>
  </si>
  <si>
    <t>1,0659  (Σ denominador)</t>
  </si>
  <si>
    <t>0.000.001 (potencial máximo todas las metas)</t>
  </si>
  <si>
    <t>8 / 20 = 40% · D-MAD!X4:X23</t>
  </si>
  <si>
    <t>8 metas con cadena documental CININ íntegra (S1+S2+S3+S4≥2)</t>
  </si>
  <si>
    <t>TER-10 (Camal) · SOC-04 (Guardería) · D-MAD!X col</t>
  </si>
  <si>
    <t>CININ rota: S1=0 o (S2+S3+S4&lt;2) · Metas sin cadena verificable PDOT→Ejecución</t>
  </si>
  <si>
    <t>1 · TER-01·INS-03·INS-05·TER-18</t>
  </si>
  <si>
    <t>20% completadas al 100%. Modelo a replicar en otros ejes (INS)</t>
  </si>
  <si>
    <t>5 metas · D-MAD!X+I</t>
  </si>
  <si>
    <t>55% en ejecución parcial con evidencia documental. Potencial de mejora Ti</t>
  </si>
  <si>
    <t>42% promedio</t>
  </si>
  <si>
    <t>00.000 · AVERAGEIF(D-MAD!X=1, D-MAD!I)</t>
  </si>
  <si>
    <t>Avance promedio 52% entre metas con evidencia. Progreso real pero insuficiente</t>
  </si>
  <si>
    <t>92.25% · Fuente: SNP/SENPLADES · Auto-reportado sin auditoría forense</t>
  </si>
  <si>
    <t>-60,00 pp  (ICPI − Meta PDOT 2027=100%)</t>
  </si>
  <si>
    <t>40,00% - 0,00% = 40,00 pp</t>
  </si>
  <si>
    <t>~68%  (Δ potencial si todas Vi=0→1 — ver H3-SENSI · estimado)</t>
  </si>
  <si>
    <t>H3-SENSI!E6 · Regularizar SOC-02 (Centro Salud): mayor retorno individual</t>
  </si>
  <si>
    <t>Sin ejecutar obra adicional: documentar convenio MSP + actas=+20.6pp ICPI §3.4</t>
  </si>
  <si>
    <t>9 de 12</t>
  </si>
  <si>
    <t>9 · T-SEMESTRAL!D13:D24 · Umbral IED&lt;60%</t>
  </si>
  <si>
    <t>🔴 CRÍTICO — Activa Art.80 LOSEP sumario. 9 dirs INACEPTABLE requieren acción inmediata</t>
  </si>
  <si>
    <t>Σ(Pi×Ri×Ti×Ci)=0,4264 | Σ(Pi×Ri)=1,065905 | ICPI=40,0036%</t>
  </si>
  <si>
    <t>Vi=1 · Ti=0,25 · Ci=1</t>
  </si>
  <si>
    <t>Vi=1 · Ti=0,65 · Ci=0,9</t>
  </si>
  <si>
    <t>Vi=1 · Ti=0,75 · Ci=0,9</t>
  </si>
  <si>
    <t>Vi=0 · Ti=0,1 · Ci=1</t>
  </si>
  <si>
    <t>Vi=1 · Ti=0,2 · Ci=0,9</t>
  </si>
  <si>
    <t>Vi=0 · Ti=0 · Ci=1</t>
  </si>
  <si>
    <t>Vi=1 · Ti=1 · Ci=1</t>
  </si>
  <si>
    <t>Vi=1 · Ti=0,9 · Ci=1</t>
  </si>
  <si>
    <t>Vi=0 · Ti=0,3 · Ci=0,9</t>
  </si>
  <si>
    <t>Vi=1 · Ti=0,4 · Ci=1</t>
  </si>
  <si>
    <t>Vi=1 · Ti=0,5 · Ci=1</t>
  </si>
  <si>
    <t>Vi=1 · Ti=0,3 · Ci=1</t>
  </si>
  <si>
    <t>Vi=0 · Ti=0,2 · Ci=1</t>
  </si>
  <si>
    <t>Vi=1 · Ti=0,7 · Ci=1</t>
  </si>
  <si>
    <t>Vi=1 · Ti=0,35 · Ci=1</t>
  </si>
  <si>
    <t>Base primaria operativa · 20 metas · Pi · Ri · Vi · Ti · Ci · Marco legal COOTAD</t>
  </si>
  <si>
    <t>Resultados consolidados ICPI · semáforo AVEP · brecha vs 2027 · Dashboard resumen PDOT</t>
  </si>
  <si>
    <t>❸ CÁLCULO · Resultado ICPI + Dashboard</t>
  </si>
  <si>
    <t>Documentación</t>
  </si>
  <si>
    <t>Marco Metodológico fusionado: Manual · Glosario · Limitaciones · Metadatos · Trazabilidad</t>
  </si>
  <si>
    <t>⬡ DOCUMENTACIÓN · Marco consolidado</t>
  </si>
  <si>
    <t>Índice maestro de navegación · 38 módulos activos · acceso rápido</t>
  </si>
  <si>
    <t>38 módulos activos</t>
  </si>
  <si>
    <t>✅ Ejecutado → POA 2024 activo $337K</t>
  </si>
  <si>
    <t>❌ Sin asignación 2024 → Gestión interinstitucional MSP</t>
  </si>
  <si>
    <t>⚠️ Estudios previos → Consultoría $50K asignada 2024</t>
  </si>
  <si>
    <t>❌ Sin asignación 2024 → Abandono programático</t>
  </si>
  <si>
    <t>⚠️ Parcial → GAD+PMAS $90.7K · Solo operación social</t>
  </si>
  <si>
    <t>⚠️ Sin bacheo explícito → Obras urbanas $285K asignadas</t>
  </si>
  <si>
    <t>✅ GAD+PMAS activos → $346.7K Unidades médicas</t>
  </si>
  <si>
    <t>⚠️ Solo gestión riesgos → Sin obra PTAR · $52K asignado</t>
  </si>
  <si>
    <t>✅ En ejecución → Parque Las Pampas + EP $370.5K</t>
  </si>
  <si>
    <t>✅ GAD+PMAS activos → Talleres+CDI $394.5K</t>
  </si>
  <si>
    <t>❌ Sin asignación 2024 → Empresa Aseo sin partida</t>
  </si>
  <si>
    <t>⚠️ Solo mantenimiento → Maquinaria $307K · Sin adquisición</t>
  </si>
  <si>
    <t>✅ En ejecución → Semáforos+Cámaras $161K asignado</t>
  </si>
  <si>
    <t>⚠️ Parcial → TIC distribuido $79.6K · Sin plataforma ciudadana</t>
  </si>
  <si>
    <t>✅ En ejecución → Sistema Catastral $109.4K</t>
  </si>
  <si>
    <t>⚠️ Mínimo → Fauna/Ambiental solo $15K asignado</t>
  </si>
  <si>
    <t>✅ En ejecución → Cultura+Turismo $193.5K</t>
  </si>
  <si>
    <t>⚠️ Reducido → Señalética $71.6K · Sin alumbrado 2024</t>
  </si>
  <si>
    <t>⚠️ Deuda dominante → AP $752.4K · 87% es deuda BDE</t>
  </si>
  <si>
    <t>🟠 ALTA · POA 2024: $337K · Brecha PDOT persiste</t>
  </si>
  <si>
    <t>🔴 CRÍTICA · SIN ASIGNACIÓN 2024 · 2do año consecutivo</t>
  </si>
  <si>
    <t>🟠 ALTA · POA 2024: $50K · Solo consultoría · Sin obra</t>
  </si>
  <si>
    <t>🔴 CRÍTICA · SIN ASIGNACIÓN 2024 · Abandono programático</t>
  </si>
  <si>
    <t>🟡 MEDIA · POA 2024: $90.7K · Activo GAD+PMAS</t>
  </si>
  <si>
    <t>🟠 ALTA · POA 2024: $285K · Sin bacheo explícito</t>
  </si>
  <si>
    <t>🟡 MEDIA · POA 2024: $346.7K · GAD+PMAS activos</t>
  </si>
  <si>
    <t>🟠 ALTA · POA 2024: $52K · Sin obra PTAR · Solo riesgos</t>
  </si>
  <si>
    <t>🟡 MEDIA · POA 2024: $370.5K · Parques en ejecución</t>
  </si>
  <si>
    <t>🟡 MEDIA · POA 2024: $394.5K · GAD+PMAS activos</t>
  </si>
  <si>
    <t>🔴 CRÍTICA · SIN ASIGNACIÓN 2024 · Empresa Aseo sin partida</t>
  </si>
  <si>
    <t>🟡 MEDIA · POA 2024: $307K · Mantenimiento maquinaria</t>
  </si>
  <si>
    <t>🟡 MEDIA · POA 2024: $161K · Semáforos+Cámaras activos</t>
  </si>
  <si>
    <t>🟡 MEDIA · POA 2024: $79.6K · TIC parcial · Sin plataforma</t>
  </si>
  <si>
    <t>🟡 MEDIA · POA 2024: $109.4K · Catastro en ejecución</t>
  </si>
  <si>
    <t>🟡 MEDIA · POA 2024: $15K · Mínimo ambiental</t>
  </si>
  <si>
    <t>🟡 MEDIA · POA 2024: $193.5K · Cultura+Turismo activos</t>
  </si>
  <si>
    <t>🟡 MEDIA · POA 2024: $71.6K · Señalética reducida</t>
  </si>
  <si>
    <t>🟠 ALTA · POA 2024: $752.4K · 87% deuda BDE · Sin obra nueva</t>
  </si>
  <si>
    <t>Campaña Sensibilización Reciclaje</t>
  </si>
  <si>
    <t>🔴 Sin asignación</t>
  </si>
  <si>
    <t>Reactivar programa de sensibilización / Asignar recursos</t>
  </si>
  <si>
    <t>Inversión</t>
  </si>
  <si>
    <t>🔴 CRÍTICA · SIN ASIGNACIÓN 2024</t>
  </si>
  <si>
    <t>TOTALES · 21 METAS PDOT · 5 EJES ESTRATÉGICOS</t>
  </si>
  <si>
    <t>✅ CORREGIDO EO 2025: Art. 31 — Dir. Gestión Ambiental y Riesgos. Dirección GAD directa. Ci=1.0 actualizado.</t>
  </si>
  <si>
    <t>✅ CORREGIDO EO 2025: Art. 10 — EP Aseo bajo LOEP. Empresa Pública autónoma. Ci=0.75 estándar EP.</t>
  </si>
  <si>
    <t>Ordenanza de Creación del Patronato Municipal (Entidad Adscrita)</t>
  </si>
  <si>
    <t>Art. 19 EO 2021</t>
  </si>
  <si>
    <t>Dirigir, controlar y ejecutar políticas del Concejo; administrar y representar legalmente al GAD.</t>
  </si>
  <si>
    <t>Art. 16 EO 2021</t>
  </si>
  <si>
    <t>Legislación y fiscalización del GAD; aprueba ordenanzas, presupuesto, PDyOT.</t>
  </si>
  <si>
    <t>Art. 30 EO 2021</t>
  </si>
  <si>
    <t>Control interno previo, concurrente y posterior; exámenes auditoría; reporta Contraloría.</t>
  </si>
  <si>
    <t>Art. 21 EO 2021</t>
  </si>
  <si>
    <t>Fe pública actos del Concejo y Alcaldía; actas, resoluciones, certificaciones, archivo.</t>
  </si>
  <si>
    <t>Art. 24/45 EO 2021</t>
  </si>
  <si>
    <t>PDOT, POA, PAC, ordenamiento territorial, uso suelo, PUGS. Seguimiento SIGAD e indicadores.</t>
  </si>
  <si>
    <t>Art. 39 EO 2021</t>
  </si>
  <si>
    <t>Dirigir, construir y mantener obras públicas; vialidad, infraestructura, fiscalización, máquina caminera.</t>
  </si>
  <si>
    <t>Art. 42 EO 2021</t>
  </si>
  <si>
    <t>Planificar, operar y mantener sistemas agua potable y alcantarillado; PTAR, saneamiento cantonal.</t>
  </si>
  <si>
    <t>Art. 69 EO 2021</t>
  </si>
  <si>
    <t>Atención grupos vulnerables, inclusión social, brigadas salud, desarrollo comunitario y productivo.</t>
  </si>
  <si>
    <t>Art. 54 EO 2021</t>
  </si>
  <si>
    <t>Gestión ambiental preventiva; licencias, áreas verdes, fauna urbana, normas EIA/PMA, convenios MAATE.</t>
  </si>
  <si>
    <t>Art. 94 EO 2021</t>
  </si>
  <si>
    <t>Infraestructura TI, seguridad informática, sistemas ERP, redes, soporte técnico, SIGAD.</t>
  </si>
  <si>
    <t>Art. 48 EO 2021</t>
  </si>
  <si>
    <t>Catastro urbano/rural georreferenciado; avalúos, valoración predial bienal, plusvalía, SIG.</t>
  </si>
  <si>
    <t>Art. 84 EO 2021</t>
  </si>
  <si>
    <t>Dotación de talento humano calificado; nómina, capacitación, evaluación, régimen disciplinario.</t>
  </si>
  <si>
    <t>Art. 75 EO 2021</t>
  </si>
  <si>
    <t>Gestión financiera eficiente; presupuesto, contabilidad, tesorería, rentas, coactivas, eSIGEF.</t>
  </si>
  <si>
    <t>Ejecución de políticas de atención a grupos prioritarios (COOTAD Art. 388): adultos mayores, discapacidad, CIBV.</t>
  </si>
  <si>
    <t>Estatuto EP Aseo Integral (Res. Adm. propia)</t>
  </si>
  <si>
    <t>Recolección y disposición residuos sólidos. Relleno sanitario. Barrido vías urbanas cantón.</t>
  </si>
  <si>
    <t>Art. 51 EO 2021</t>
  </si>
  <si>
    <t>Gestión mercados, cementerios, camal, espacios públicos, comisarías y control territorial.</t>
  </si>
  <si>
    <t>Art. 66 EO 2021</t>
  </si>
  <si>
    <t>Promoción turística cantonal; inventario recursos, licencias, ferias, capacitación guías, marca.</t>
  </si>
  <si>
    <t>✅ COHERENTE — Ci=1.0 EO 2021</t>
  </si>
  <si>
    <t>✅ VALIDADO EO 2021</t>
  </si>
  <si>
    <t>✅ VALIDADO EO 2021 — DSC Ci=1.0 REINSTAURADO</t>
  </si>
  <si>
    <t>✅ VALIDADO EO 2021 — Ci=1.0 GAD directo</t>
  </si>
  <si>
    <t>Patronato — Ci=0.9 por autonomía administrativa (Ordenanza Creación + COOTAD Art. 388)</t>
  </si>
  <si>
    <t>Línea base EO 2021 — Art. 24/45 Planificación Institucional y Ordenamiento Territorial</t>
  </si>
  <si>
    <t>Línea base EO 2021 — Art. 51 Dir. Espacios Públicos, Justicia y Vigilancia</t>
  </si>
  <si>
    <t>✅ REINSTAURADA EO 2021: Art. 69 Dir. Acción e Inclusión Social y Comunitaria — Ci=1.0 Dir. GAD directa</t>
  </si>
  <si>
    <t>Art. 39 EO 2021 — Dir. Obras Públicas</t>
  </si>
  <si>
    <t>Ordenanza de Creación Patronato Municipal (Entidad Adscrita)</t>
  </si>
  <si>
    <t>Art. 24/45 EO 2021 — Dir. Planificación y OT</t>
  </si>
  <si>
    <t>Art. 51 EO 2021 — Dir. Espacios Públicos y Servicios</t>
  </si>
  <si>
    <t>Art. 69 EO 2021 — Dir. Acción e Inclusión Social</t>
  </si>
  <si>
    <t>Art. 54 EO 2021 — Dir. Gestión Ambiental (GAD directo)</t>
  </si>
  <si>
    <t>Estatuto EP Aseo Integral (Res. Adm. propia) — Ci=0.75</t>
  </si>
  <si>
    <t>Art. 94 EO 2021 — TICs (subproceso Dir. Administrativa)</t>
  </si>
  <si>
    <t>Art. 48 EO 2021 — Dir. Avalúos y Catastros</t>
  </si>
  <si>
    <t>Art. 66 EO 2021 — Dir. Desarrollo Turístico</t>
  </si>
  <si>
    <t>Art. 42 EO 2021 — Dir. Agua Potable y Alcantarillado</t>
  </si>
  <si>
    <t>"Convertir a Montecristi en un lugar apropiado para la atracción de empresas y emprendimientos que favorezcan el desarrollo local; mejoramiento de las infraestructuras del entorno empresarial para optimizar y atraer nuevas industrias; generar ordenanzas municipales para la exoneración de tributos a las empresas que se asienten dentro del cantón." (Plan CNE, Eje Económico, Actividades P-01)</t>
  </si>
  <si>
    <t>"Gestión para repotenciar y ordenar el mercado cantonal; crear y fomentar programas para el fortalecimiento del sector artesanal (paja toquilla, tagua); generar ordenanzas municipales para reordenar estratégicamente a los vendedores ambulantes." (Plan CNE, Eje Económico, Actividades P-02)</t>
  </si>
  <si>
    <t>"Convertir a Montecristi en un destino turístico ideal; repotenciar el Paseo Lúdico; impulsar y desarrollar programas de promocionamiento para las artesanías; creación de rutas para ciclismo de montaña; elaborar un plan para promocionar la gastronomía del cantón; elaborar un plan de posicionamiento turístico; gestionar la creación de una ruta turística; impulsar el desarrollo turístico de la Playa San José e Isla de la Plata; impulsar el desarrollo turístico del Manglar de Montecristi." (Plan CNE, Eje Económico — TURISMO, 9 actividades)</t>
  </si>
  <si>
    <t>"Elaborar el Plan de Desarrollo Territorial (PDOT) 2023 con la incorporación de los Objetivos de Desarrollo Sostenible (ODS); estudios y elaboración de un plan de desarrollo territorial para Montecristi, enfocado hacia los próximos 30 años; actualización del sistema catastral del cantón Montecristi." (Plan CNE, Eje Institucional, Actividades P-04)</t>
  </si>
  <si>
    <t>"Incorporar el uso de las TICs para facilitar los trámites a la ciudadanía; mejorar los equipos informáticos del GAD Montecristi; elaboración de una Plataforma Digital del GAD que facilite y ayude a la realización de trámites al usuario; implementar e-Gobierno / Gobierno Abierto; repositorios de información pública." (Plan CNE, Eje Institucional, TICs)</t>
  </si>
  <si>
    <t>"Fortalecer el Sistema de Información Territorial Municipal; actualización del sistema catastral del cantón Montecristi; Catastro Integrado alfanumérico-gráfico." (Plan CNE, Eje Institucional, P-06)</t>
  </si>
  <si>
    <t>"Proyectar a Montecristi como una ciudad idónea para vivir; posicionar la marca ciudad de Montecristi a nivel nacional como un referente de transformación y visión; promover la transparencia y la rendición de cuentas del presupuesto del GAD; cumplir a cabalidad con la LOTAIP; buscar y coordinar alianzas con diferentes niveles de gobierno e instituciones internacionales." (Plan CNE, Eje Institucional, P-07)</t>
  </si>
  <si>
    <t>"Desarrollar e implementar planes estratégicos institucionales con indicadores de evaluación periódica; mecanismos de seguimiento al plan de trabajo; presentar el informe anual sobre las labores con el cumplimiento en lo establecido en el Plan de Trabajo." (Plan CNE, Mecanismos de Rendición de Cuentas, P-08)</t>
  </si>
  <si>
    <t>Meta de Continuidad Administrativa / No mencionada en Plan CNE como promesa diferenciada</t>
  </si>
  <si>
    <t>"Promover el desarrollo equitativo y solidario de la SALUD INTEGRAL en todo el territorio del Cantón Montecristi; creación del CONCEJO DE SALUD DE MONTECRISTI; gestionar la construcción de un Centro de Salud Tipo C (PLAN 'NACER AQUÍ'); gestionar para la construcción de un Centro Geriátrico; realizar atención en salud puerta a puerta; creación de clubes municipales de salud." (Plan CNE, Eje Social — SALUD, 6 actividades)</t>
  </si>
  <si>
    <t>"Realizar estrategias entre los diferentes organismos de seguridad ciudadana para disponer acciones de control y prevención; lograr que Montecristi se convierta en una ciudad segura; gestionar la instalación de alarmas comunitarias en puntos críticos del cantón; gestionar la habilitación y el uso de los UPC en los sectores de la Aníbal San Andrés, Parroquia Colorado; gestión para las aperturas de cuarteles del cuerpo de bomberos en zonas estratégicas." (Plan CNE, Eje Social — SEGURIDAD)</t>
  </si>
  <si>
    <t>"Acoger y brindar mejores condiciones de vida a la fauna urbana; gestión para la donación y construcción de un albergue para Gatos y Perros; programas de campañas de esterilización." (Plan CNE, Eje Social — ANIMALISTA)</t>
  </si>
  <si>
    <t>"Gestión para la implementación de una Plataforma Digital que brinde capacitaciones a los ciudadanos y emita certificaciones (KA-LARTE ES POR TI); gestionar un centro de emprendedores que brinde asesoría y acompañamiento (CUNA DE EMPRENDEDORES); brindar becas de preparación para el examen de ingreso a la universidad; fomentar programas para incentivar la lectura, pintura, cultura, oratoria, deportes." (Plan CNE, Eje Social — FORMACIÓN)</t>
  </si>
  <si>
    <t>"Crear espacios de participación ciudadana para informales que acciones se realizan con los recursos públicos; el GAD deberá identificar los actores ciudadanos con mayor representatividad; promover la participación ciudadana en programas barriales." (Plan CNE, Eje Social — PARTICIPACIÓN)</t>
  </si>
  <si>
    <t>"Gestionar la construcción y mejoramiento de espacios deportivos y de recreación; gestionar la construcción y mejoramiento de espacios culturales y sociales en distintos sectores del cantón; evaluar e incorporar redes wifi en parques y espacios públicos." (Plan CNE, Eje Social — ESPACIOS RECREATIVOS)</t>
  </si>
  <si>
    <t>"Fortalecer la reducción de indicadores de pobreza, embarazo adolescente y drogadicción; generar estadísticas sobre cohesión social y grupos vulnerables; promover la participación ciudadana para la inclusión social." (Plan CNE, Eje Social / Cohesión Social, P-16)</t>
  </si>
  <si>
    <t>"Gestionar el diseño de una planta de oxidación para el tratamiento de aguas residuales; ampliar la cobertura en recolección de desechos en las zonas urbanas y rurales; estudios técnicos y ambiental para la ampliación del basurero municipal; desarrollo de programas para la gestión de los residuos sólidos desde la fuente." (Plan CNE, Eje Ambiental, 4 actividades)</t>
  </si>
  <si>
    <t>"Identificar áreas estratégicas para la protección del medio ambiente; elaborar y planificar programas de arbolización urbano y rural; gestionar con el gobierno nacional la derogación del decreto ejecutivo donde se nombró al cerro de Montecristi como espacio de servicio público; control de calidad del aire; protección de flora y fauna nativa." (Plan CNE, Eje Ambiental — ÁREAS VERDES, P-18)</t>
  </si>
  <si>
    <t>"Ampliar el sistema de alcantarillado en los sectores de Eloy Alfaro, Leónidas Proaño, Colorado y demás sectores del cantón; gestionar la construcción de una planta de tratamiento de aguas residuales para sustituir la descarga sin tratamiento al río Muerto." (Plan CNE, Eje Territorial / Ambiental, P-19)</t>
  </si>
  <si>
    <t>"Desarrollar un sistema de control ambiental que permita identificar de forma objetiva los sectores contaminantes del Cantón; control de evaluación y monitoreo de los contaminantes de la calidad de aire; impulsar la protección de flora y fauna nativa del cantón, incluyendo la explotación minera en la Playa San José y en las faldas del cerro." (Plan CNE, Eje Ambiental — PROTECCIÓN, P-21)</t>
  </si>
  <si>
    <t>"Lograr que el GAD sea el encargado de la construcción y mantenimiento de las vías del cantón; gestión para la adquisición de equipo de pavimento asfáltico; planificar la construcción y mantenimiento de las vías; ampliar la construcción de aceras y bordillos; mejorar la señalización de las calles; elaboración de un inventario de las vías del cantón; gestionar y planificar el reordenamiento Vial; gestión para la implementación de un Nuevo Terminal Terrestre." (Plan CNE, Eje Territorial — MOVILIDAD, 8 actividades)</t>
  </si>
  <si>
    <t>"Planificación y construcción de paradas de buses; gestionar y planificar el reordenamiento Vial; gestión para la implementación de un Nuevo Terminal Terrestre; mejorar el servicio de transporte público del cantón." (Plan CNE, Eje Territorial — TRANSPORTE PÚBLICO, P-23)</t>
  </si>
  <si>
    <t>"Brindar una mejor calidad de vida mediante el abastecimiento de servicios básicos; repotenciación de viviendas en condiciones precarias en el cantón; elaboración de una base de datos para identificar a los grupos sociales más vulnerables." (Plan CNE, Eje Territorial — VIVIENDA, P-24)</t>
  </si>
  <si>
    <t>"Aumentar la cobertura cantonal de los servicios de agua potable a todas las parroquias; ampliar la cobertura de los tanques de reservorios de la planta potabilizadora de agua; gestión para construcción de pozos acuíferos para el sector rural; implementar un macromedidor en la toma de agua Los Mangos y un sistema de control eficaz." (Plan CNE, Eje Territorial — AGUA, P-25, 4 actividades)</t>
  </si>
  <si>
    <t>"Procesar carne fresca de la más alta calidad; gestión para la construcción de un camal para el faenamiento; estudios técnicos y de impacto ambiental para la construcción de un cementerio para la Parroquia Leónidas Proaño; realizar los estudios técnicos y de impacto ambiental para la construcción de un nuevo cementerio general de Montecristi." (Plan CNE, Eje Territorial — INFRAESTRUCTURA, P-26)</t>
  </si>
  <si>
    <t>DISTRIBUCIÓN VINCULACIÓN: 100%=7 promesas │ 50%=14 promesas │ 0%=6 promesas</t>
  </si>
  <si>
    <t>IFE=51.9% │ BAJA FIDELIDAD</t>
  </si>
  <si>
    <t>ICPI FINAL=38.4% │ CRÍTICO</t>
  </si>
  <si>
    <t>PROMESAS EXTRAVIADAS (6 NULAS): P-03 Turismo (×9 actividades sin PDOT) │ P-07 Transparencia/Marca Ciudad │ P-10 Seguridad Ciudadana (alarmas+UPCs+bomberos) │ P-11 Fauna Urbana/Albergue │ P-25 Agua Potable (4 soluciones concretas sin meta PDOT) │ P-26 Camal/Cementerios</t>
  </si>
  <si>
    <t>6 promesas = $0 en PDOT</t>
  </si>
  <si>
    <t>Estas 6 promesas: FIDELIDAD NULA (Publicidad Engañosa Electoral) — Art.97 Código de la Democracia</t>
  </si>
  <si>
    <t>PROMESAS RECORTADAS (14 PARCIALES): P-01 Atracción Empresarial │ P-02 Artesanal/Comercial │ P-04 PDOT+Catastro │ P-06 SIT Municipal │ P-08 Planes Estratégicos │ P-09 Salud (Centro C y Geriátrico) │ P-12 Capacitación/KA-LARTE │ P-13 Participación Ciudadana │ P-14 Espacios Públicos/WiFi │ P-18 Áreas Verdes/Control Aire │ P-19 Alcantarillado 4 sectores │ P-22 Vialidad/Terminal │ P-23 Transporte Público │ P-21 Control Ambiental</t>
  </si>
  <si>
    <t>14 promesas=50% alcance</t>
  </si>
  <si>
    <t>14 promesas con recorte drástico de alcance: Fidelidad baja — CAPEX prometido degradado a OPEX o a meta genérica</t>
  </si>
  <si>
    <t>PROMESAS CUMPLIDAS NTEGRAMENTE (7 TOTALES): P-05 Transformación Digital │ P-15 Patrimonio Cultural+RUAC │ P-16 Indicadores Territoriales │ P-17 Residuos Sólidos │ P-20 Mitigación de Riesgos │ P-24 Vivienda Digna │ P-27 Ferias Productivas</t>
  </si>
  <si>
    <t>7 promesas=100% fidelidad</t>
  </si>
  <si>
    <t>7 promesas con fidelidad plena. Ejecución variable: 4 con semáforo 🔵 (bien), 3 con semáforo 🔴/⬛ (planificadas pero sin ejecución). Fidelidad alta ≠ ejecución garantizada.</t>
  </si>
  <si>
    <t>CRUCE ICPI-IFE: IFE=51.9% (Fidelidad promesas→PDOT) vs ICPI=38.4% (Ejecución real PDOT). La brecha IFE-ICPI=13.5 pp indica que incluso las promesas que lograron trasladarse al PDOT tienen ejecución insuficiente. El sistema falla en dos niveles: (1) Traslado CNE→PDOT incompleto; (2) Ejecución PDOT→Territorio deficiente.</t>
  </si>
  <si>
    <t>BRECHA IFE-ICPI=13.5pp</t>
  </si>
  <si>
    <t>Doble falla: (1) Fidelidad electoral baja — promesas no trasladadas al PDOT; (2) Ejecución PDOT crítica — las promesas que sí llegaron al PDOT tampoco se ejecutan.</t>
  </si>
  <si>
    <t>▌  EJE INSTITUCIONAL (POLÍTICO)</t>
  </si>
  <si>
    <t>▌  EJE SOCIAL</t>
  </si>
  <si>
    <t>▌  EJE AMBIENTAL</t>
  </si>
  <si>
    <t>▌  EJE TERRITORIAL</t>
  </si>
  <si>
    <t>META PDOT CORRESPONDIENTE</t>
  </si>
  <si>
    <t>PROMESAS EXACTAS DEL PLAN CNE</t>
  </si>
  <si>
    <t>VINCULACIÓN
PDOT %</t>
  </si>
  <si>
    <t>IMPACTO ICPI — DICTAMEN</t>
  </si>
  <si>
    <t>FASE 1 · DATOS CNE vs PDOT</t>
  </si>
  <si>
    <t>↑ FUENTE: PDOT BICENTENARIO 2023-2027</t>
  </si>
  <si>
    <t>100/50/0%</t>
  </si>
  <si>
    <t>ANÁLISIS FORENSE SIAP-ICPI</t>
  </si>
  <si>
    <t>FASE 1 · MAPEO · ALIANZA AVANZA-MACHETE</t>
  </si>
  <si>
    <t>FASE 2</t>
  </si>
  <si>
    <t>FASE 3 · CRUCE ICPI = 38.4%</t>
  </si>
  <si>
    <t>★  REPORTE DE INTEGRIDAD ELECTORAL  ·  DICTAMEN FORENSE FINAL  ·  SIAP-ICPI v1.0  ★</t>
  </si>
  <si>
    <t>◉ DATA-POA</t>
  </si>
  <si>
    <t>◉ DATA-CNE</t>
  </si>
  <si>
    <t>◉ INICIO</t>
  </si>
  <si>
    <t>Candidato próxima muestra — parques urbanos IE PDOT</t>
  </si>
  <si>
    <t>Operación recurrente — presupuesto bajo</t>
  </si>
  <si>
    <t>M18 en muestra — Vi=1 Ti=0.30 — BDE Premio Verde</t>
  </si>
  <si>
    <t>M17 en muestra — Vi=1 Ti=0.35 — vincular Manglar Vivo</t>
  </si>
  <si>
    <t>Candidato próxima muestra — Ri=1.5 resiliencia climática</t>
  </si>
  <si>
    <t>EP Aseo gestiona — candidato muestra futura</t>
  </si>
  <si>
    <t>M12 en muestra — Vi=1 Ti=0.30 — regularización MAATE</t>
  </si>
  <si>
    <t>M1 en muestra — Pi=0.112 — Vi=1 Ti=0.85 — CAF contraparte</t>
  </si>
  <si>
    <t>M20 en muestra — Ti=0.25 — BDE reservorios rurales</t>
  </si>
  <si>
    <t>M2 en muestra — Pi=0.231 — mayor Pi — BDE-PROGAPSA</t>
  </si>
  <si>
    <t>M9 en muestra — Pi=0.045 — Ti=0.40 — CELEC/BDE PTAR</t>
  </si>
  <si>
    <t>Presupuesto mínimo — solo estudios — complementa M1+M2</t>
  </si>
  <si>
    <t>M10 en muestra — Pi=0.020 — Vi=1 Ti=0.50 — Parque Las Pampas</t>
  </si>
  <si>
    <t>M4+M5 en muestra — Terminal Ti=0.45 / Camal Vi=0 URGENTE</t>
  </si>
  <si>
    <t>M7 en muestra — Pi=0.054 — Vi=1 Ti=0.90</t>
  </si>
  <si>
    <t>M13 en muestra — Vi=1 Ti=1.0 CUMPLIDA — mantenimiento preventivo</t>
  </si>
  <si>
    <t>Movilidad sostenible — presupuesto bajo — no en muestra</t>
  </si>
  <si>
    <t>M14 CCTV Vi=0 URGENTE / M19 Señalética Ti=1.0 CUMPLIDA</t>
  </si>
  <si>
    <t>Candidato próxima muestra — déficit habitacional IE PDOT</t>
  </si>
  <si>
    <t>M3 en muestra — Pi=0.202 — Vi=0 CRÍTICO — convenio MSP</t>
  </si>
  <si>
    <t>M8 en muestra — Pi=0.025 — Vi=0 Ti=0.50 — SERCOP URGENTE</t>
  </si>
  <si>
    <t>Candidato próxima muestra — brecha digital rural IE PDOT</t>
  </si>
  <si>
    <t>M11 Vi=0 Ti=0 URGENTE / M6 Vi=1 Ti=1.0 CUMPLIDA</t>
  </si>
  <si>
    <t>Candidato próxima muestra — Ciudad Creativa UNESCO</t>
  </si>
  <si>
    <t>Patrimonio identitario — vinculado Denominación Origen Artesanos</t>
  </si>
  <si>
    <t>Candidato próxima muestra — diversificación económica</t>
  </si>
  <si>
    <t>Candidato próxima muestra — identidad cultural + economía popular</t>
  </si>
  <si>
    <t>M16 en muestra — Pi=0.007 — Ti=1.0 CUMPLIDA — SIL con LIDAR</t>
  </si>
  <si>
    <t>Candidato muestra futura — impacto gestión territorial</t>
  </si>
  <si>
    <t>M15 en muestra — Pi=0.006 — Vi=1 Ti=0.70</t>
  </si>
  <si>
    <t>Excluido — soporte financiero institucional, no meta PDOT</t>
  </si>
  <si>
    <t>Excluido — soporte RRHH institucional, no meta PDOT</t>
  </si>
  <si>
    <t>Vinculado LOTAIP Art.7 lit.d — transparencia activa</t>
  </si>
  <si>
    <t>Vinculado LOTAIP Art.7 lit.m y CPCCS — rendición cuentas</t>
  </si>
  <si>
    <t>Vi=1 Ti=0.90 ✅ — PAC $3.1M ejecutado — Pi=0.330 mayor muestra</t>
  </si>
  <si>
    <t>Vi=0 CRÍTICO — convenio MSP pendiente — Δ ICPI +9.1pp si Vi→1</t>
  </si>
  <si>
    <t>Vi=1 Ti=0.30 — Ordenanza Aseo sancionada — iniciar MAATE</t>
  </si>
  <si>
    <t>Vi=1 Ti=0.45 — estudios diseño POA 2025 — RDC 2023</t>
  </si>
  <si>
    <t>Vi=0 Ti=0 CRÍTICO — convenio MIES CIBV nocturno pendiente</t>
  </si>
  <si>
    <t>Vi=1 Ti=0.75 — BDE-PROGAPSA activar Fase I</t>
  </si>
  <si>
    <t>Vi=1 Ti=0.70 ✅ — ERP $636K ejecutado — plataforma ciudadana pendiente</t>
  </si>
  <si>
    <t>Vi=1 Ti=0.50 — Parque Las Pampas Fase I en POA 2025</t>
  </si>
  <si>
    <t>Vi=1 Ti=0.40 — CELEC/BDE gestionar — estudios PTAR POA 2025</t>
  </si>
  <si>
    <t>Vi=1 Ti=0.30 — proceso MAATE pendiente — EIA en POA 2025</t>
  </si>
  <si>
    <t>Vi=1 Ti=0.50 — incluir POA 2025 como IE PDOT — complementa M8</t>
  </si>
  <si>
    <t>Vi=1 Ti=1.0 ✅ CUMPLIDA — LIDAR $250K — integrar en SIG</t>
  </si>
  <si>
    <t>Vi=1 Ti=1.0 ✅ CUMPLIDA — SIL SIGAD activo</t>
  </si>
  <si>
    <t>Vi=1 Ti=0.35 — déficit habitacional IE PDOT — incluir POA 2025</t>
  </si>
  <si>
    <t>Vi=0 Ti=0.20 CRÍTICO — activar RUAC — sin proceso SERCOP</t>
  </si>
  <si>
    <t>Vi=1 Ti=0.45 — PAC $45.9K capacitaciones — complementa turismo</t>
  </si>
  <si>
    <t>Vi=1 Ti=0.65 — inventario actualizado RDC 2024 — Ciudad Creativa</t>
  </si>
  <si>
    <t>Señalética CUMPLIDA — CCTV Vi=0 URGENTE — registrar SERCOP</t>
  </si>
  <si>
    <t>Vi=1 Ti=1.0 ✅ CUMPLIDA — CDBV 24h operativo — RDC 2023+2024</t>
  </si>
  <si>
    <t>Vi=1 Ti=0.35 — 172 castraciones + Ordenanza 017-2024 — vincular Manglar</t>
  </si>
  <si>
    <t>Recorte ~95% — PDOT solo incluye ferias ($109K); sin infraestructura empresarial ni ordenanzas tributarias</t>
  </si>
  <si>
    <t>Meta genérica — sector artesanal sin meta propia; reordenamiento ambulantes no planificado</t>
  </si>
  <si>
    <t>ALERTA ROJA — 9 actividades turísticas prometidas — PDOT muestra asigna $0 a turismo</t>
  </si>
  <si>
    <t>PDOT genérico — elaboración PDOT no diferenciada; catastro sin presupuesto propio</t>
  </si>
  <si>
    <t>Correspondencia completa — Ti=1.0 ERP $636K ejecutado — plataforma ciudadana pendiente</t>
  </si>
  <si>
    <t>SIT alineado — actualización catastral sin subproyecto presupuestado — Alineación 🔴 BAJA</t>
  </si>
  <si>
    <t>Sin meta — LOTAIP, marca ciudad y gobierno abierto sin asignación presupuestaria en PDOT</t>
  </si>
  <si>
    <t>Alineación parcial — mecanismos de seguimiento no configurados como componente independiente</t>
  </si>
  <si>
    <t>BRECHA CRÍTICA — Centro Salud Tipo C y Centro Geriátrico (CAPEX) degradados a gestión Patronato (OPEX)</t>
  </si>
  <si>
    <t>Bienestar Integral absorbe parcialmente — KA-LARTE, becas y Cuna Emprendedores sin meta propia</t>
  </si>
  <si>
    <t>Participación barrial sin componente específico — transparencia presupuestaria no planificada</t>
  </si>
  <si>
    <t>Recuperación espacios existentes — construcciones nuevas y WiFi parques no constan en PDOT n=20</t>
  </si>
  <si>
    <t>Correspondencia completa — inventario patrimonial + catastro RUAC — ejecución media</t>
  </si>
  <si>
    <t>Correspondencia completa — Ti=0.30 / CDBV 24h operativo RDC 2023+2024</t>
  </si>
  <si>
    <t>Red verde y sensibilización parciales — control aire, decreto cerro y fauna nativa sin meta</t>
  </si>
  <si>
    <t>Alcantarillado 4 sectores no desagregado por zona — Alineación 🔴 BAJA</t>
  </si>
  <si>
    <t>Correspondencia completa — mitigación $840K — Vi=0 sin evidencia documental ICPI</t>
  </si>
  <si>
    <t>Correspondencia completa — vivienda precaria $324K — ejecución media-baja</t>
  </si>
  <si>
    <t>ALERTA ROJA — 4 soluciones agua prometidas — PDOT n=20 asigna $0 a cobertura hídrica</t>
  </si>
  <si>
    <t>Sin meta — camal municipal y 2 cementerios sin respaldo presupuestario PDOT</t>
  </si>
  <si>
    <t>Correspondencia completa — Ti=0.70 — PAC $45.9K — ejecución confirmada</t>
  </si>
  <si>
    <t>Alcantarillado Eloy Alfaro (BEI-PROGAPSA)</t>
  </si>
  <si>
    <t>Gestión Centro Salud Tipo C — convenio MSP</t>
  </si>
  <si>
    <t>Terminal Terrestre Ciudad Bicentenario — estudios</t>
  </si>
  <si>
    <t>Equipamientos públicos (Terminal + Camal + Bomberil)</t>
  </si>
  <si>
    <t>Vialidad urbana — ejes estratégicos cantonales</t>
  </si>
  <si>
    <t>Unidad Médica Móvil + atención prioritaria</t>
  </si>
  <si>
    <t>Colector Principal + PTAR Montecristi / San Andrés</t>
  </si>
  <si>
    <t>Parque Las Pampas + Red Verde + canchas</t>
  </si>
  <si>
    <t>CIBV nocturno + Talleres CDI — convenio MIES</t>
  </si>
  <si>
    <t>Relleno sanitario nuevo — EP Aseo</t>
  </si>
  <si>
    <t>Maquinaria pesada — mantenimiento vial</t>
  </si>
  <si>
    <t>Señalización + CCTV + control vial</t>
  </si>
  <si>
    <t>Transformación digital — WiFi público</t>
  </si>
  <si>
    <t>Sistema Catastral Integrado — SIL</t>
  </si>
  <si>
    <t>Manglar Vivo — fauna y componente ambiental</t>
  </si>
  <si>
    <t>Playa San José — proyecto ecotúrístico</t>
  </si>
  <si>
    <t>Señalética vial + embellecimiento urbano</t>
  </si>
  <si>
    <t>Sensibilización reciclaje — unidades educativas</t>
  </si>
  <si>
    <t>Reservorios agua rural — captación cantonal</t>
  </si>
  <si>
    <t>Ci=1.0 — Proceso Agregador de Valor — Art. 39 EO 2021</t>
  </si>
  <si>
    <t>Ci=1.0 — Proceso Agregador de Valor — Art. 42 EO 2021</t>
  </si>
  <si>
    <t>Ci=1.0 REINSTAURADO — Dir. GAD directa Art. 69 EO 2021</t>
  </si>
  <si>
    <t>Ci=1.0 CONFIRMADO — Art. 54 EO 2021 — Dir. Gestión Ambiental GAD directo</t>
  </si>
  <si>
    <t>Ci=1.0 — Subproceso TICs Art. 94 EO 2021 — control institucional pleno</t>
  </si>
  <si>
    <t>Ci=1.0 — Proceso Agregador de Valor — Art. 48 EO 2021</t>
  </si>
  <si>
    <t>Ci=1.0 — Proceso habilitante de apoyo GAD directo</t>
  </si>
  <si>
    <t>Ci=0.9 FIJADO — Patronato adscrito — COOTAD Art. 388 + Ordenanza</t>
  </si>
  <si>
    <t>Ci=0.75 — Empresa Pública LOEP — Estatuto EP Aseo propio</t>
  </si>
  <si>
    <t>Ci=0.9 — Convenio MSP — control parcial</t>
  </si>
  <si>
    <t>Ci=1.0 — Proceso Agregador de Valor — Art. 51 EO 2021</t>
  </si>
  <si>
    <t>Ci=0.9 — Unidad Turismo dependiente — Art. 66 EO 2021</t>
  </si>
  <si>
    <t>Ci=0.9 — Unidad Turismo dependiente</t>
  </si>
  <si>
    <t>Ci=1.0 — Art. 39 EO 2021 — Dir. Obras Públicas</t>
  </si>
  <si>
    <t>Ci=0.9 — Patronato adscrito — COOTAD Art. 388</t>
  </si>
  <si>
    <t>Ci=1.0 — Art. 54 EO 2021 — Dir. Ambiental GAD directo</t>
  </si>
  <si>
    <t>Ci=0.75 — EP Aseo LOEP — Estatuto propio</t>
  </si>
  <si>
    <t>Ci=1.0 — Art. 94 EO 2021 — TICs GAD directo</t>
  </si>
  <si>
    <t>Ci=1.0 — Art. 48 EO 2021 — Avalúos y Catastros</t>
  </si>
  <si>
    <t>Ci=0.9 — Convenio MSP — sin artículo EO 2021</t>
  </si>
  <si>
    <t>Ci=0.9 — Art. 66 EO 2021 — Turismo unidad dependiente</t>
  </si>
  <si>
    <t>Ci=1.0 — Art. 42 EO 2021 — Agua Potable y Alcantarillado</t>
  </si>
  <si>
    <t>Recorte severo — ICPI=0 en componentes clave — fidelidad media / ejecución nula</t>
  </si>
  <si>
    <t>Sector artesanal sin meta propia — PDOT.AS.OE1.M2.01 Ti=0.45 Vi=0</t>
  </si>
  <si>
    <t>Promesa huérfana — PDOT n=20 asigna $0 turismo — ICPI=0%</t>
  </si>
  <si>
    <t>Fidelidad media / ejecución baja — PDOT.PI.OE4.FI.01 Ti=0.30</t>
  </si>
  <si>
    <t>Fidelidad alta / ejecución media — PDOT.PI.OE4.M1.01 Ti=1.0 ✅ CUMPLIDA</t>
  </si>
  <si>
    <t>SIT alineado / catastro sin Vi verificable — PDOT.PI.OE4.M2.01 Ti=1.0</t>
  </si>
  <si>
    <t>Promesa huérfana — marca ciudad y LOTAIP sin meta en muestra — ICPI=0%</t>
  </si>
  <si>
    <t>Fidelidad media / ejecución baja — mecanismos seguimiento no presupuestados</t>
  </si>
  <si>
    <t>N/A — Referencia estructural eje</t>
  </si>
  <si>
    <t>Promesa huérfana — 3 acciones seguridad sin meta PDOT — ICPI=0%</t>
  </si>
  <si>
    <t>Fauna: meta ambiental activa (172 castraciones Ord. 017-2024) — reclasificar PARCIAL</t>
  </si>
  <si>
    <t>Fidelidad media / ejecución baja — KA-LARTE + becas + Cuna Emprendedores sin meta</t>
  </si>
  <si>
    <t>Fidelidad media / ejecución crítica — PDOT.SC.OE2.M4.01 Vi=0 Ti=0.20</t>
  </si>
  <si>
    <t>Fidelidad media / ejecución media — recuperación existente ≠ obras nuevas</t>
  </si>
  <si>
    <t>Fidelidad alta / ejecución media — inventario ok / RUAC sin proceso SERCOP</t>
  </si>
  <si>
    <t>Fidelidad alta / ejecución media — PDOT.AM.OE3.M2.01 Ti=0.75 + AH.02 Ti=0.30</t>
  </si>
  <si>
    <t>Fidelidad media / ejecución media — control aire y decreto cerro sin meta</t>
  </si>
  <si>
    <t>Fidelidad media / ejecución media-alta — Vi=1 PTAR / 4 sectores sin desagregar</t>
  </si>
  <si>
    <t>Fidelidad alta / ejecución nula en ICPI — Vi=0 PTAR — CELEC/BDE pendiente</t>
  </si>
  <si>
    <t>Fidelidad media / ejecución baja — PDOT.AS.VL.SV.01 Ti=0.35 — brecha Terminal</t>
  </si>
  <si>
    <t>Fidelidad alta / ejecución media-baja — PDOT.AS.VV.HB.01 Ti=0.35 Vi=1</t>
  </si>
  <si>
    <t>Promesa huérfana — contradicción interna — PDOT n=20 $0 agua potable</t>
  </si>
  <si>
    <t>Promesa huérfana — camal + cementerios sin meta PDOT — ICPI=0%</t>
  </si>
  <si>
    <t>Fidelidad alta / ejecución confirmada — PDOT.EP.OE5.PD.01 Ti=0.70 Vi=1</t>
  </si>
  <si>
    <t>🏛  QUADRUM v1.0: Sistema Integral de Auditoría y Planificación (SIAP-ICPI)  ·  Desarrollado bajo el Protocolo de Integridad Forense ALFARO VIRTUS  ·  GAD Municipal Montecristi  ·  Plan Bicentenario 2023-2027</t>
  </si>
  <si>
    <t>QUADRUM v1.0: Sistema Integral de Auditoría y Planificación (SIAP-ICPI)  ·  Desarrollado bajo el Protocolo de Integridad Forense ALFARO VIRTUS  ·  GAD Municipal Montecristi</t>
  </si>
  <si>
    <t>QUADRUM v1.0: Sistema Integral de Auditoría y Planificación (SIAP-ICPI)  ·  Desarrollado bajo el Protocolo de Integridad Forense ALFARO VIRTUS  ·  Marco Metodológico Consolidado · Manual · Glosario · Metadatos</t>
  </si>
  <si>
    <t>Principio de Invariabilidad Algorítmica: garantiza que ningún índice sea elevado artificialmente por subejecución presupuestaria. Sustituye cualquier denominación informal previa como mecanismo institucional oficial de validación del ICPI. Protocolo de Blindaje CININ (Cadena de Integridad Intersistémica): salvaguarda la inmutabilidad de la fórmula canónica frente a cualquier intervención no autorizada en los parámetros del modelo. Base: COOTAD Art.297 · COPYFP Art.118.</t>
  </si>
  <si>
    <t>Criterio de Usabilidad de Auditoría</t>
  </si>
  <si>
    <t>Criterio de Usabilidad de Auditoría — IED&gt;100%: Cuando Ti&gt;1.0 (ejecución supera meta PDOT), IED puede exceder 100%. Caso: DSC=150% → clasifica como EXCELENTE. El valor real IED se preserva; solo el nivel LOSEP se evalúa contra umbrales de 0-100%.</t>
  </si>
  <si>
    <t>QUADRUM v1.0 · M5-ICPI · Motor Central · Índice de Cumplimiento Programático Institucional · Protocolo de Integridad Forense ALFARO VIRTUS · GAD Municipal Montecristi</t>
  </si>
  <si>
    <t>◉ ICPI GLOBAL — Principio de Invariabilidad Algorítmica</t>
  </si>
  <si>
    <t>QUADRUM v1.0 · M-TECH-PARAMS  ·  Parámetros Globales · Umbrales · Constantes del Sistema  ·  Protocolo de Integridad Forense ALFARO VIRTUS</t>
  </si>
  <si>
    <t>QUADRUM v1.0 · M1-ITME  ·  Inventario Técnico de Metas Estratégicas  ·  GAD Municipal Montecristi</t>
  </si>
  <si>
    <t>QUADRUM v1.0 · M2-PDOT  ·  Base Legal Operativa de Metas PDOT 2023-2027  ·  GAD Municipal Montecristi</t>
  </si>
  <si>
    <t>QUADRUM v1.0 · M3-MAO  ·  Matriz de Atribución Orgánica · Factor Ci  ·  GAD Municipal Montecristi</t>
  </si>
  <si>
    <t>QUADRUM v1.0 · M4-AUDIT  ·  Matriz de Auditoría Documental · Vi · Ei · Ti  ·  GAD Municipal Montecristi</t>
  </si>
  <si>
    <t>QUADRUM v1.0 · M6-FEDS  ·  Estrategia de Desarrollo Sostenible · Índice IED Servidores Públicos  ·  GAD Municipal Montecristi</t>
  </si>
  <si>
    <t>QUADRUM v1.0 · M7-PROSP  ·  Análisis Analítico Cruzado · Cuadrante Prospectivo  ·  GAD Municipal Montecristi</t>
  </si>
  <si>
    <t>QUADRUM v1.0 · DATA-TFR  ·  Tabla de Factores de Relevancia · Ri por Competencia COOTAD</t>
  </si>
  <si>
    <t>QUADRUM v1.0 · DATA-SSC  ·  Subíndice Social Complementario · Escalabilidad Institucional</t>
  </si>
  <si>
    <t>QUADRUM v1.0 · DATA-MEC  ·  Matriz de Evidencia y Cadena de Custodia §3.4.3</t>
  </si>
  <si>
    <t>QUADRUM v1.0 · DATA-CED  ·  Cédulas Presupuestarias eSIGEF · Ti = Devengado ÷ Codificado</t>
  </si>
  <si>
    <t>QUADRUM v1.0 · DATA-POA  ·  Alineación POA-PAC 2023-2025 · Brechas de Activación por Meta</t>
  </si>
  <si>
    <t>QUADRUM v1.0 · DATA-PAC  ·  Plan Anual de Contratación · Fuente SERCOP · Por Meta PDOT</t>
  </si>
  <si>
    <t>QUADRUM v1.0 · SUPPORT-INTERP  ·  Interpretación Cualitativa · Escala AVEP 5 Niveles</t>
  </si>
  <si>
    <t>QUADRUM v1.0 · VALID-CST  ·  Validación de Consistencia Metodológica y Flujos de Datos</t>
  </si>
  <si>
    <t>QUADRUM v1.0 · VALID-MVCI  ·  Matriz de Verificación de Coherencia Interna · 20/20</t>
  </si>
  <si>
    <t>QUADRUM v1.0 · DATA-EJES  ·  ICPI Desagregado por Eje Estratégico PDOT · 5 Ejes</t>
  </si>
  <si>
    <t>QUADRUM v1.0 · VALID-SENS  ·  Análisis de Sensibilidad · Vi=0→Vi=1 · Δmáx. +20.6pp</t>
  </si>
  <si>
    <t>QUADRUM v1.0 · DATA-BRECHA  ·  Análisis de Brecha Programática · ICPI vs Meta PDOT 2027</t>
  </si>
  <si>
    <t>QUADRUM v1.0 · DATA-ORG  ·  Estructura Orgánica GAD · Auditoría Ci vs Estatuto Orgánico</t>
  </si>
  <si>
    <t>QUADRUM v1.0 · SUPPORT-EVALDIR  ·  Evaluación Semestral Directivos LOSEP · Escala 5 Niveles</t>
  </si>
  <si>
    <t>QUADRUM v1.0 · SUPPORT-SEM  ·  Cortes Semestrales S1/S2 · SIITH-MDT · 12 Directivos GAD</t>
  </si>
  <si>
    <t>QUADRUM v1.0 · DATA-ITAM  ·  Índice de Transparencia Activa Municipal · LOTAIP Art.7</t>
  </si>
  <si>
    <t>QUADRUM v1.0 · SUPPORT-SIL  ·  Exportación SIL-SIGAD · Portal Planifica Ecuador · Día 5</t>
  </si>
  <si>
    <t>QUADRUM v1.0 · SUPPORT-ALERT  ·  Alertas Automáticas · 14 Alertas · 4 Niveles COOTAD+LOSEP</t>
  </si>
  <si>
    <t>QUADRUM v1.0 · VALID-VER  ·  Matriz de Control Documental · 8 Fuentes Verificadas por Meta</t>
  </si>
  <si>
    <t>QUADRUM v1.0 · DATA-CPCCS  ·  Anexo CPCCS · Participación Ciudadana por Meta PDOT</t>
  </si>
  <si>
    <t>QUADRUM v1.0 · DATA-CNE  ·  Anexo CNE · Evidencias Procesos Electorales por Meta PDOT</t>
  </si>
  <si>
    <t>QUADRUM v1.0 · DATA-SIGAD  ·  Exportación y Validación SIGAD Nacional por Meta PDOT</t>
  </si>
  <si>
    <t>QUADRUM v1.0 · M-TECH-VARS  ·  Variables del Modelo Pi·Ri·Vi·Ei·Ti·Ci · Definición · Rango §3.5</t>
  </si>
  <si>
    <t>QUADRUM v1.0 · DATA-MONIT  ·  Monitoreo PDOT · Seguimiento por Meta · Evolución 2023-2027</t>
  </si>
  <si>
    <t>QUADRUM v1.0 · DATA-RESULTADOS  ·  Resultados Consolidados ICPI · Semáforo AVEP · Brecha 2027</t>
  </si>
  <si>
    <t>QUADRUM v1.0 · M-TECH-GAD  ·  Configuración Institucional · GAD Municipal Montecristi · Protocolo ALFARO VIRTUS</t>
  </si>
  <si>
    <t>QUADRUM v1.0 · M2-PLAN-Pi  ·  Ponderación Pi · Presupuesto PDOT 2023-2027 · ΣPi=1.000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</si>
</sst>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Red]&quot;$&quot;\-#,##0"/>
    <numFmt numFmtId="8" formatCode="&quot;$&quot;#,##0.00;[Red]&quot;$&quot;\-#,##0.00"/>
    <numFmt numFmtId="164" formatCode="0.00&quot;%&quot;"/>
    <numFmt numFmtId="165" formatCode="&quot;$&quot;#,##0"/>
    <numFmt numFmtId="166" formatCode="&quot;$&quot;#,##0.00"/>
    <numFmt numFmtId="167" formatCode="[Blue]@"/>
    <numFmt numFmtId="168" formatCode="[Green]@"/>
    <numFmt numFmtId="169" formatCode="0.0"/>
    <numFmt numFmtId="170" formatCode="0.0%"/>
    <numFmt numFmtId="171" formatCode="[Red]0"/>
    <numFmt numFmtId="172" formatCode="[Red]@"/>
    <numFmt numFmtId="173" formatCode="0.0000"/>
    <numFmt numFmtId="174" formatCode="[Green]0"/>
    <numFmt numFmtId="175" formatCode="dd/mm/yyyy"/>
    <numFmt numFmtId="176" formatCode="[Yellow]@"/>
    <numFmt numFmtId="177" formatCode="[Yellow]0"/>
    <numFmt numFmtId="178" formatCode="&quot;$&quot;#,##0;\(&quot;$&quot;#,##0\);\-"/>
    <numFmt numFmtId="179" formatCode="0.000"/>
    <numFmt numFmtId="180" formatCode="0&quot;  metas&quot;"/>
    <numFmt numFmtId="181" formatCode="0.0%;\(0.0%\);\-"/>
    <numFmt numFmtId="182" formatCode="0.0&quot;%&quot;"/>
  </numFmts>
  <fonts count="261"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b/>
      <sz val="9"/>
      <color rgb="FFFFFFFF"/>
      <name val="Aptos Narrow"/>
      <family val="2"/>
      <scheme val="minor"/>
    </font>
    <font>
      <b/>
      <sz val="10"/>
      <color rgb="FFFFFFFF"/>
      <name val="Aptos Narrow"/>
      <scheme val="minor"/>
    </font>
    <font>
      <sz val="11"/>
      <color theme="0"/>
      <name val="Aptos Narrow"/>
      <family val="2"/>
      <scheme val="minor"/>
    </font>
    <font>
      <b/>
      <sz val="11"/>
      <color rgb="FFFFFFFF"/>
      <name val="Aptos Narrow"/>
      <family val="2"/>
      <scheme val="minor"/>
    </font>
    <font>
      <sz val="14"/>
      <color theme="1"/>
      <name val="Aptos Narrow"/>
      <family val="2"/>
      <scheme val="minor"/>
    </font>
    <font>
      <sz val="9"/>
      <color theme="1"/>
      <name val="Aptos Narrow"/>
      <family val="2"/>
      <scheme val="minor"/>
    </font>
    <font>
      <b/>
      <sz val="9"/>
      <color theme="1"/>
      <name val="Aptos Narrow"/>
      <family val="2"/>
      <scheme val="minor"/>
    </font>
    <font>
      <sz val="9"/>
      <color theme="1"/>
      <name val="Aptos Narrow"/>
      <scheme val="minor"/>
    </font>
    <font>
      <sz val="11"/>
      <name val="Aptos Narrow"/>
      <family val="2"/>
      <scheme val="minor"/>
    </font>
    <font>
      <sz val="9"/>
      <name val="Aptos Narrow"/>
      <family val="2"/>
      <scheme val="minor"/>
    </font>
    <font>
      <b/>
      <sz val="10"/>
      <color theme="1"/>
      <name val="Aptos Narrow"/>
      <family val="2"/>
      <scheme val="minor"/>
    </font>
    <font>
      <sz val="12"/>
      <color theme="1"/>
      <name val="Arial"/>
      <family val="2"/>
    </font>
    <font>
      <sz val="13"/>
      <color theme="1"/>
      <name val="Arial"/>
      <family val="2"/>
    </font>
    <font>
      <sz val="9"/>
      <color indexed="81"/>
      <name val="Tahoma"/>
    </font>
    <font>
      <b/>
      <sz val="9"/>
      <color indexed="81"/>
      <name val="Tahoma"/>
    </font>
    <font>
      <sz val="9"/>
      <color indexed="81"/>
      <name val="Tahoma"/>
      <family val="2"/>
    </font>
    <font>
      <b/>
      <sz val="9"/>
      <color indexed="81"/>
      <name val="Tahoma"/>
      <family val="2"/>
    </font>
    <font>
      <b/>
      <sz val="10"/>
      <color rgb="FF7B3F00"/>
      <name val="Aptos Narrow"/>
      <scheme val="minor"/>
    </font>
    <font>
      <sz val="10"/>
      <color rgb="FF7030A0"/>
      <name val="Aptos Narrow"/>
      <scheme val="minor"/>
    </font>
    <font>
      <b/>
      <sz val="10"/>
      <color rgb="FF7030A0"/>
      <name val="Aptos Narrow"/>
      <scheme val="minor"/>
    </font>
    <font>
      <b/>
      <sz val="10"/>
      <color rgb="FF595959"/>
      <name val="Aptos Narrow"/>
      <scheme val="minor"/>
    </font>
    <font>
      <sz val="10"/>
      <color rgb="FF5D6D7E"/>
      <name val="Aptos Narrow"/>
      <scheme val="minor"/>
    </font>
    <font>
      <b/>
      <sz val="14"/>
      <color rgb="FF154360"/>
      <name val="Aptos Narrow"/>
      <family val="2"/>
      <scheme val="minor"/>
    </font>
    <font>
      <sz val="9"/>
      <color rgb="FF5D6D7E"/>
      <name val="Aptos Narrow"/>
      <family val="2"/>
      <scheme val="minor"/>
    </font>
    <font>
      <b/>
      <sz val="9"/>
      <color rgb="FF154360"/>
      <name val="Aptos Narrow"/>
      <family val="2"/>
      <scheme val="minor"/>
    </font>
    <font>
      <b/>
      <sz val="8"/>
      <color rgb="FF2C3E50"/>
      <name val="Aptos Narrow"/>
      <family val="2"/>
      <scheme val="minor"/>
    </font>
    <font>
      <b/>
      <sz val="10"/>
      <color rgb="FFFFFF00"/>
      <name val="Aptos Narrow"/>
      <scheme val="minor"/>
    </font>
    <font>
      <b/>
      <i/>
      <sz val="11"/>
      <color rgb="FFFFFFFF"/>
      <name val="Calibri"/>
    </font>
    <font>
      <i/>
      <sz val="10"/>
      <color rgb="FF1F4E78"/>
      <name val="Aptos Narrow"/>
    </font>
    <font>
      <b/>
      <sz val="10"/>
      <color rgb="FF1F4E78"/>
      <name val="Aptos Narrow"/>
    </font>
    <font>
      <sz val="10"/>
      <color theme="1"/>
      <name val="Aptos Narrow"/>
    </font>
    <font>
      <b/>
      <sz val="10"/>
      <color rgb="FFFFFFFF"/>
      <name val="Aptos Narrow"/>
    </font>
    <font>
      <sz val="10"/>
      <color theme="1"/>
      <name val="Aptos Narrow"/>
      <scheme val="minor"/>
    </font>
    <font>
      <b/>
      <sz val="10"/>
      <color rgb="FF8B2020"/>
      <name val="Aptos Narrow"/>
    </font>
    <font>
      <b/>
      <sz val="10"/>
      <color rgb="FFFF0000"/>
      <name val="Aptos Narrow"/>
    </font>
    <font>
      <sz val="10"/>
      <color rgb="FFFF0000"/>
      <name val="Aptos Narrow"/>
    </font>
    <font>
      <b/>
      <sz val="10"/>
      <name val="Aptos Narrow"/>
    </font>
    <font>
      <b/>
      <sz val="10"/>
      <color rgb="FF002060"/>
      <name val="Aptos Narrow"/>
    </font>
    <font>
      <sz val="10"/>
      <name val="Aptos Narrow"/>
    </font>
    <font>
      <b/>
      <sz val="10"/>
      <color rgb="FF1B5E20"/>
      <name val="Aptos Narrow"/>
    </font>
    <font>
      <b/>
      <sz val="10"/>
      <color rgb="FF00B050"/>
      <name val="Aptos Narrow"/>
    </font>
    <font>
      <sz val="10"/>
      <color rgb="FF00B050"/>
      <name val="Aptos Narrow"/>
    </font>
    <font>
      <b/>
      <sz val="10"/>
      <color rgb="FFFFC000"/>
      <name val="Aptos Narrow"/>
    </font>
    <font>
      <sz val="10"/>
      <color rgb="FFFFC000"/>
      <name val="Aptos Narrow"/>
    </font>
    <font>
      <b/>
      <sz val="10"/>
      <color rgb="FF7A4A00"/>
      <name val="Aptos Narrow"/>
    </font>
    <font>
      <b/>
      <sz val="10"/>
      <color rgb="FFA52A2A"/>
      <name val="Aptos Narrow"/>
    </font>
    <font>
      <sz val="10"/>
      <color rgb="FFA52A2A"/>
      <name val="Aptos Narrow"/>
    </font>
    <font>
      <b/>
      <sz val="10"/>
      <color rgb="FFC65911"/>
      <name val="Aptos Narrow"/>
    </font>
    <font>
      <sz val="10"/>
      <color rgb="FFC65911"/>
      <name val="Aptos Narrow"/>
    </font>
    <font>
      <b/>
      <sz val="10"/>
      <color rgb="FF375623"/>
      <name val="Aptos Narrow"/>
    </font>
    <font>
      <sz val="10"/>
      <color rgb="FF375623"/>
      <name val="Aptos Narrow"/>
    </font>
    <font>
      <b/>
      <sz val="10"/>
      <color theme="1"/>
      <name val="Aptos Narrow"/>
      <scheme val="minor"/>
    </font>
    <font>
      <sz val="10"/>
      <color theme="0"/>
      <name val="Aptos Narrow"/>
      <scheme val="minor"/>
    </font>
    <font>
      <u/>
      <sz val="10"/>
      <color rgb="FF5D6D7E"/>
      <name val="Aptos Narrow"/>
      <scheme val="minor"/>
    </font>
    <font>
      <u/>
      <sz val="10"/>
      <color theme="10"/>
      <name val="Aptos Narrow"/>
      <scheme val="minor"/>
    </font>
    <font>
      <b/>
      <sz val="10"/>
      <color rgb="FF154360"/>
      <name val="Aptos Narrow"/>
      <scheme val="minor"/>
    </font>
    <font>
      <sz val="10"/>
      <name val="Aptos Narrow"/>
      <scheme val="minor"/>
    </font>
    <font>
      <i/>
      <sz val="10"/>
      <color rgb="FF5D6D7E"/>
      <name val="Aptos Narrow"/>
      <scheme val="minor"/>
    </font>
    <font>
      <b/>
      <sz val="10"/>
      <color rgb="FF2C3E50"/>
      <name val="Aptos Narrow"/>
      <scheme val="minor"/>
    </font>
    <font>
      <b/>
      <i/>
      <sz val="10"/>
      <color rgb="FFFFFFFF"/>
      <name val="Aptos Narrow"/>
    </font>
    <font>
      <b/>
      <sz val="10"/>
      <color rgb="FF00695C"/>
      <name val="Aptos Narrow"/>
      <scheme val="minor"/>
    </font>
    <font>
      <sz val="10"/>
      <color rgb="FF00695C"/>
      <name val="Aptos Narrow"/>
      <scheme val="minor"/>
    </font>
    <font>
      <sz val="10"/>
      <color rgb="FF000000"/>
      <name val="Aptos Narrow"/>
      <scheme val="minor"/>
    </font>
    <font>
      <b/>
      <sz val="10"/>
      <color rgb="FF000000"/>
      <name val="Aptos Narrow"/>
      <scheme val="minor"/>
    </font>
    <font>
      <sz val="10"/>
      <color rgb="FF050D18"/>
      <name val="Aptos Narrow"/>
      <scheme val="minor"/>
    </font>
    <font>
      <b/>
      <sz val="10"/>
      <name val="Aptos Narrow"/>
      <scheme val="minor"/>
    </font>
    <font>
      <b/>
      <sz val="10"/>
      <color rgb="FF1B5E20"/>
      <name val="Aptos Narrow"/>
      <scheme val="minor"/>
    </font>
    <font>
      <sz val="10"/>
      <color rgb="FF1A2B4A"/>
      <name val="Aptos Narrow"/>
      <scheme val="minor"/>
    </font>
    <font>
      <b/>
      <sz val="10"/>
      <color rgb="FF1A2B4A"/>
      <name val="Aptos Narrow"/>
      <scheme val="minor"/>
    </font>
    <font>
      <b/>
      <sz val="10"/>
      <color rgb="FF154360"/>
      <name val="Aptos Narrow"/>
    </font>
    <font>
      <b/>
      <sz val="10"/>
      <color rgb="FF2C3E50"/>
      <name val="Aptos Narrow"/>
    </font>
    <font>
      <b/>
      <sz val="10"/>
      <color rgb="FF000000"/>
      <name val="Aptos Narrow"/>
    </font>
    <font>
      <sz val="10"/>
      <color rgb="FF000000"/>
      <name val="Aptos Narrow"/>
    </font>
    <font>
      <sz val="10"/>
      <color rgb="FF276221"/>
      <name val="Aptos Narrow"/>
    </font>
    <font>
      <i/>
      <sz val="10"/>
      <color rgb="FF000000"/>
      <name val="Aptos Narrow"/>
    </font>
    <font>
      <b/>
      <sz val="10"/>
      <color rgb="FF9C6500"/>
      <name val="Aptos Narrow"/>
    </font>
    <font>
      <b/>
      <sz val="10"/>
      <color rgb="FFF5C842"/>
      <name val="Aptos Narrow"/>
    </font>
    <font>
      <sz val="10"/>
      <color rgb="FF546A7B"/>
      <name val="Aptos Narrow"/>
    </font>
    <font>
      <i/>
      <sz val="10"/>
      <color rgb="FF5A7A90"/>
      <name val="Aptos Narrow"/>
    </font>
    <font>
      <sz val="10"/>
      <color rgb="FFC0D0E0"/>
      <name val="Aptos Narrow"/>
    </font>
    <font>
      <sz val="10"/>
      <color rgb="FF445566"/>
      <name val="Aptos Narrow"/>
    </font>
    <font>
      <b/>
      <sz val="10"/>
      <color rgb="FF9C0006"/>
      <name val="Aptos Narrow"/>
    </font>
    <font>
      <b/>
      <sz val="10"/>
      <color rgb="FF276221"/>
      <name val="Aptos Narrow"/>
      <scheme val="minor"/>
    </font>
    <font>
      <b/>
      <sz val="10"/>
      <color rgb="FF9C0006"/>
      <name val="Aptos Narrow"/>
      <scheme val="minor"/>
    </font>
    <font>
      <b/>
      <sz val="10"/>
      <color rgb="FF555555"/>
      <name val="Aptos Narrow"/>
      <scheme val="minor"/>
    </font>
    <font>
      <sz val="10"/>
      <color rgb="FF2C3E50"/>
      <name val="Aptos Narrow"/>
      <scheme val="minor"/>
    </font>
    <font>
      <sz val="10"/>
      <color rgb="FF0000FF"/>
      <name val="Aptos Narrow"/>
      <scheme val="minor"/>
    </font>
    <font>
      <sz val="10"/>
      <color rgb="FF555555"/>
      <name val="Aptos Narrow"/>
      <scheme val="minor"/>
    </font>
    <font>
      <b/>
      <sz val="10"/>
      <color rgb="FF0000FF"/>
      <name val="Aptos Narrow"/>
      <scheme val="minor"/>
    </font>
    <font>
      <sz val="10"/>
      <color rgb="FF0000FF"/>
      <name val="Aptos Narrow"/>
    </font>
    <font>
      <sz val="10"/>
      <color rgb="FF006400"/>
      <name val="Aptos Narrow"/>
      <scheme val="minor"/>
    </font>
    <font>
      <sz val="10"/>
      <color rgb="FFB71C1C"/>
      <name val="Aptos Narrow"/>
      <scheme val="minor"/>
    </font>
    <font>
      <sz val="10"/>
      <color rgb="FFE65100"/>
      <name val="Aptos Narrow"/>
      <scheme val="minor"/>
    </font>
    <font>
      <b/>
      <sz val="10"/>
      <color rgb="FF880E4F"/>
      <name val="Aptos Narrow"/>
      <scheme val="minor"/>
    </font>
    <font>
      <sz val="10"/>
      <color rgb="FF880E4F"/>
      <name val="Aptos Narrow"/>
      <scheme val="minor"/>
    </font>
    <font>
      <sz val="10"/>
      <color rgb="FF1B5E20"/>
      <name val="Aptos Narrow"/>
      <scheme val="minor"/>
    </font>
    <font>
      <b/>
      <sz val="10"/>
      <color rgb="FFFFE082"/>
      <name val="Aptos Narrow"/>
      <scheme val="minor"/>
    </font>
    <font>
      <sz val="10"/>
      <color rgb="FFFFE082"/>
      <name val="Aptos Narrow"/>
      <scheme val="minor"/>
    </font>
    <font>
      <b/>
      <sz val="10"/>
      <color rgb="FF69F0AE"/>
      <name val="Aptos Narrow"/>
      <scheme val="minor"/>
    </font>
    <font>
      <b/>
      <sz val="10"/>
      <color theme="0"/>
      <name val="Aptos Narrow"/>
    </font>
    <font>
      <sz val="10"/>
      <color rgb="FF006100"/>
      <name val="Aptos Narrow"/>
    </font>
    <font>
      <b/>
      <sz val="10"/>
      <color rgb="FFCC0000"/>
      <name val="Aptos Narrow"/>
    </font>
    <font>
      <b/>
      <sz val="10"/>
      <color rgb="FF9C5700"/>
      <name val="Aptos Narrow"/>
    </font>
    <font>
      <sz val="10"/>
      <color rgb="FF2C3E50"/>
      <name val="Aptos Narrow"/>
    </font>
    <font>
      <b/>
      <i/>
      <sz val="10"/>
      <color rgb="FF2C3E50"/>
      <name val="Aptos Narrow"/>
      <scheme val="minor"/>
    </font>
    <font>
      <i/>
      <sz val="10"/>
      <color rgb="FF000000"/>
      <name val="Aptos Narrow"/>
      <scheme val="minor"/>
    </font>
    <font>
      <i/>
      <sz val="10"/>
      <name val="Aptos Narrow"/>
      <scheme val="minor"/>
    </font>
    <font>
      <sz val="10"/>
      <color rgb="FF145A32"/>
      <name val="Aptos Narrow"/>
      <scheme val="minor"/>
    </font>
    <font>
      <sz val="10"/>
      <color rgb="FF78281F"/>
      <name val="Aptos Narrow"/>
      <scheme val="minor"/>
    </font>
    <font>
      <b/>
      <i/>
      <sz val="10"/>
      <color rgb="FFFFFFFF"/>
      <name val="Aptos Narrow"/>
      <scheme val="minor"/>
    </font>
    <font>
      <b/>
      <sz val="10"/>
      <color rgb="FF1F4E78"/>
      <name val="Aptos Narrow"/>
      <scheme val="minor"/>
    </font>
    <font>
      <sz val="10"/>
      <color rgb="FF9C6500"/>
      <name val="Aptos Narrow"/>
      <scheme val="minor"/>
    </font>
    <font>
      <sz val="10"/>
      <color rgb="FF276221"/>
      <name val="Aptos Narrow"/>
      <scheme val="minor"/>
    </font>
    <font>
      <sz val="10"/>
      <color rgb="FF7D6608"/>
      <name val="Aptos Narrow"/>
      <scheme val="minor"/>
    </font>
    <font>
      <b/>
      <sz val="10"/>
      <color rgb="FFC00000"/>
      <name val="Aptos Narrow"/>
      <scheme val="minor"/>
    </font>
    <font>
      <sz val="10"/>
      <color rgb="FF2F75B6"/>
      <name val="Aptos Narrow"/>
      <scheme val="minor"/>
    </font>
    <font>
      <b/>
      <sz val="10"/>
      <color rgb="FF833C00"/>
      <name val="Aptos Narrow"/>
      <scheme val="minor"/>
    </font>
    <font>
      <sz val="10"/>
      <color rgb="FF7F3F00"/>
      <name val="Aptos Narrow"/>
      <scheme val="minor"/>
    </font>
    <font>
      <b/>
      <sz val="10"/>
      <color rgb="FF1C2833"/>
      <name val="Aptos Narrow"/>
      <scheme val="minor"/>
    </font>
    <font>
      <b/>
      <sz val="10"/>
      <color rgb="FF8B0000"/>
      <name val="Aptos Narrow"/>
      <scheme val="minor"/>
    </font>
    <font>
      <b/>
      <sz val="10"/>
      <color rgb="FFCC0000"/>
      <name val="Aptos Narrow"/>
      <scheme val="minor"/>
    </font>
    <font>
      <b/>
      <sz val="10"/>
      <color rgb="FF006100"/>
      <name val="Aptos Narrow"/>
      <scheme val="minor"/>
    </font>
    <font>
      <sz val="10"/>
      <color rgb="FF006100"/>
      <name val="Aptos Narrow"/>
      <scheme val="minor"/>
    </font>
    <font>
      <sz val="10"/>
      <color rgb="FF7B6000"/>
      <name val="Aptos Narrow"/>
      <scheme val="minor"/>
    </font>
    <font>
      <b/>
      <sz val="10"/>
      <color rgb="FF9C5700"/>
      <name val="Aptos Narrow"/>
      <scheme val="minor"/>
    </font>
    <font>
      <b/>
      <sz val="10"/>
      <color rgb="FFFF0000"/>
      <name val="Aptos Narrow"/>
      <scheme val="minor"/>
    </font>
    <font>
      <sz val="10"/>
      <color rgb="FF1F4E79"/>
      <name val="Aptos Narrow"/>
      <scheme val="minor"/>
    </font>
    <font>
      <i/>
      <sz val="10"/>
      <color rgb="FF44546A"/>
      <name val="Aptos Narrow"/>
      <scheme val="minor"/>
    </font>
    <font>
      <b/>
      <sz val="10"/>
      <color rgb="FFFFD700"/>
      <name val="Aptos Narrow"/>
      <scheme val="minor"/>
    </font>
    <font>
      <b/>
      <sz val="10"/>
      <color rgb="FFE9C8FF"/>
      <name val="Aptos Narrow"/>
      <scheme val="minor"/>
    </font>
    <font>
      <sz val="10"/>
      <color rgb="FF7B3F00"/>
      <name val="Aptos Narrow"/>
      <scheme val="minor"/>
    </font>
    <font>
      <sz val="10"/>
      <color rgb="FF595959"/>
      <name val="Aptos Narrow"/>
      <scheme val="minor"/>
    </font>
    <font>
      <sz val="10"/>
      <color rgb="FF7B4A00"/>
      <name val="Aptos Narrow"/>
      <scheme val="minor"/>
    </font>
    <font>
      <b/>
      <sz val="10"/>
      <color rgb="FF7B4A00"/>
      <name val="Aptos Narrow"/>
      <scheme val="minor"/>
    </font>
    <font>
      <sz val="10"/>
      <color rgb="FF2C3E50"/>
      <name val="Aptos Narrow"/>
      <family val="2"/>
      <scheme val="minor"/>
    </font>
    <font>
      <b/>
      <sz val="14"/>
      <color rgb="FFFFFFFF"/>
      <name val="Aptos Narrow"/>
      <family val="2"/>
    </font>
    <font>
      <b/>
      <sz val="18"/>
      <color rgb="FFFFC000"/>
      <name val="Aptos Narrow"/>
      <family val="2"/>
      <scheme val="minor"/>
    </font>
    <font>
      <b/>
      <u/>
      <sz val="11"/>
      <color rgb="FF1F3864"/>
      <name val="Aptos Narrow"/>
      <family val="2"/>
      <scheme val="minor"/>
    </font>
    <font>
      <b/>
      <u/>
      <sz val="9"/>
      <color rgb="FF1F3864"/>
      <name val="Segoe UI"/>
      <family val="2"/>
    </font>
    <font>
      <b/>
      <u/>
      <sz val="11"/>
      <color rgb="FFFFFFFF"/>
      <name val="Aptos Narrow"/>
      <family val="2"/>
      <scheme val="minor"/>
    </font>
    <font>
      <b/>
      <i/>
      <sz val="9"/>
      <color rgb="FFFFFFFF"/>
      <name val="Segoe UI"/>
      <family val="2"/>
    </font>
    <font>
      <b/>
      <i/>
      <u/>
      <sz val="9"/>
      <color rgb="FF1F3864"/>
      <name val="Aptos Narrow"/>
      <family val="2"/>
    </font>
    <font>
      <b/>
      <sz val="10"/>
      <color rgb="FFFFFFFF"/>
      <name val="Aptos Narrow"/>
      <family val="2"/>
    </font>
    <font>
      <sz val="9"/>
      <color theme="1"/>
      <name val="Segoe UI"/>
      <family val="2"/>
    </font>
    <font>
      <b/>
      <sz val="9"/>
      <name val="Segoe UI"/>
      <family val="2"/>
    </font>
    <font>
      <sz val="9"/>
      <name val="Segoe UI"/>
      <family val="2"/>
    </font>
    <font>
      <b/>
      <sz val="9"/>
      <color rgb="FFFFFFFF"/>
      <name val="Segoe UI"/>
      <family val="2"/>
    </font>
    <font>
      <sz val="9"/>
      <color rgb="FF000000"/>
      <name val="Segoe UI"/>
      <family val="2"/>
    </font>
    <font>
      <b/>
      <sz val="9"/>
      <color rgb="FF000000"/>
      <name val="Segoe UI"/>
      <family val="2"/>
    </font>
    <font>
      <b/>
      <sz val="9"/>
      <color rgb="FF2C3E50"/>
      <name val="Segoe UI"/>
      <family val="2"/>
    </font>
    <font>
      <i/>
      <sz val="9"/>
      <color rgb="FF880E4F"/>
      <name val="Segoe UI"/>
      <family val="2"/>
    </font>
    <font>
      <b/>
      <i/>
      <sz val="9"/>
      <color rgb="FF2C3E50"/>
      <name val="Segoe UI"/>
      <family val="2"/>
    </font>
    <font>
      <i/>
      <sz val="9"/>
      <color rgb="FF000000"/>
      <name val="Segoe UI"/>
      <family val="2"/>
    </font>
    <font>
      <b/>
      <sz val="9"/>
      <color rgb="FF9C5700"/>
      <name val="Segoe UI"/>
      <family val="2"/>
    </font>
    <font>
      <i/>
      <sz val="9"/>
      <color rgb="FF006100"/>
      <name val="Segoe UI"/>
      <family val="2"/>
    </font>
    <font>
      <sz val="9"/>
      <color rgb="FF006100"/>
      <name val="Segoe UI"/>
      <family val="2"/>
    </font>
    <font>
      <i/>
      <sz val="9"/>
      <color rgb="FF9C5700"/>
      <name val="Segoe UI"/>
      <family val="2"/>
    </font>
    <font>
      <sz val="9"/>
      <color rgb="FF00E676"/>
      <name val="Segoe UI"/>
      <family val="2"/>
    </font>
    <font>
      <sz val="9"/>
      <color rgb="FF78281F"/>
      <name val="Segoe UI"/>
      <family val="2"/>
    </font>
    <font>
      <sz val="9"/>
      <color rgb="FF7D6608"/>
      <name val="Segoe UI"/>
      <family val="2"/>
    </font>
    <font>
      <b/>
      <sz val="9"/>
      <color theme="0"/>
      <name val="Segoe UI"/>
      <family val="2"/>
    </font>
    <font>
      <sz val="9"/>
      <color theme="0"/>
      <name val="Segoe UI"/>
      <family val="2"/>
    </font>
    <font>
      <sz val="9"/>
      <color rgb="FF145A32"/>
      <name val="Segoe UI"/>
      <family val="2"/>
    </font>
    <font>
      <b/>
      <sz val="9"/>
      <color rgb="FF1F3864"/>
      <name val="Segoe UI"/>
      <family val="2"/>
    </font>
    <font>
      <i/>
      <sz val="9"/>
      <color rgb="FF7D6608"/>
      <name val="Segoe UI"/>
      <family val="2"/>
    </font>
    <font>
      <i/>
      <sz val="9"/>
      <color rgb="FF7E5109"/>
      <name val="Segoe UI"/>
      <family val="2"/>
    </font>
    <font>
      <b/>
      <sz val="9"/>
      <color rgb="FFFFC000"/>
      <name val="Segoe UI"/>
      <family val="2"/>
    </font>
    <font>
      <b/>
      <sz val="9"/>
      <color rgb="FF4FC3F7"/>
      <name val="Segoe UI"/>
      <family val="2"/>
    </font>
    <font>
      <b/>
      <sz val="9"/>
      <color rgb="FF00E676"/>
      <name val="Segoe UI"/>
      <family val="2"/>
    </font>
    <font>
      <b/>
      <sz val="9"/>
      <color rgb="FFFF9800"/>
      <name val="Segoe UI"/>
      <family val="2"/>
    </font>
    <font>
      <sz val="9"/>
      <color rgb="FFFF1744"/>
      <name val="Segoe UI"/>
      <family val="2"/>
    </font>
    <font>
      <b/>
      <sz val="9"/>
      <color rgb="FFFF1744"/>
      <name val="Segoe UI"/>
      <family val="2"/>
    </font>
    <font>
      <sz val="9"/>
      <color rgb="FF9E9E9E"/>
      <name val="Segoe UI"/>
      <family val="2"/>
    </font>
    <font>
      <b/>
      <sz val="9"/>
      <color rgb="FF9E9E9E"/>
      <name val="Segoe UI"/>
      <family val="2"/>
    </font>
    <font>
      <sz val="9"/>
      <color rgb="FF7E5109"/>
      <name val="Segoe UI"/>
      <family val="2"/>
    </font>
    <font>
      <sz val="9"/>
      <color rgb="FF154360"/>
      <name val="Segoe UI"/>
      <family val="2"/>
    </font>
    <font>
      <sz val="9"/>
      <color rgb="FF4FC3F7"/>
      <name val="Segoe UI"/>
      <family val="2"/>
    </font>
    <font>
      <b/>
      <sz val="9"/>
      <color rgb="FF1C2833"/>
      <name val="Segoe UI"/>
      <family val="2"/>
    </font>
    <font>
      <b/>
      <sz val="10"/>
      <color rgb="FFFFFFFF"/>
      <name val="Aptos Narrow"/>
      <family val="2"/>
      <scheme val="minor"/>
    </font>
    <font>
      <b/>
      <sz val="13"/>
      <color rgb="FFFFFFFF"/>
      <name val="Aptos Narrow"/>
      <family val="2"/>
    </font>
    <font>
      <b/>
      <sz val="13"/>
      <color rgb="FFFFFFFF"/>
      <name val="Aptos Narrow"/>
      <family val="2"/>
      <scheme val="minor"/>
    </font>
    <font>
      <b/>
      <sz val="10"/>
      <color rgb="FF1F3864"/>
      <name val="Aptos Narrow"/>
      <family val="2"/>
      <scheme val="minor"/>
    </font>
    <font>
      <b/>
      <i/>
      <sz val="8"/>
      <color rgb="FFFFFFFF"/>
      <name val="Segoe UI"/>
      <family val="2"/>
    </font>
    <font>
      <i/>
      <sz val="8"/>
      <color rgb="FF5D6D7E"/>
      <name val="Aptos Narrow"/>
      <family val="2"/>
      <scheme val="minor"/>
    </font>
    <font>
      <b/>
      <i/>
      <sz val="8"/>
      <color rgb="FF7F8C8D"/>
      <name val="Segoe UI"/>
      <family val="2"/>
    </font>
    <font>
      <i/>
      <sz val="8"/>
      <color rgb="FF7F8C8D"/>
      <name val="Aptos Narrow"/>
      <family val="2"/>
      <scheme val="minor"/>
    </font>
    <font>
      <b/>
      <sz val="10"/>
      <color rgb="FF2874A6"/>
      <name val="Aptos Narrow"/>
      <family val="2"/>
      <scheme val="minor"/>
    </font>
    <font>
      <b/>
      <u/>
      <sz val="9"/>
      <color rgb="FFFFFFFF"/>
      <name val="Aptos Narrow"/>
      <family val="2"/>
      <scheme val="minor"/>
    </font>
    <font>
      <sz val="8"/>
      <color rgb="FFFFFFFF"/>
      <name val="Aptos Narrow"/>
      <family val="2"/>
      <scheme val="minor"/>
    </font>
    <font>
      <sz val="9"/>
      <color rgb="FF1A1A2E"/>
      <name val="Aptos Narrow"/>
      <family val="2"/>
      <scheme val="minor"/>
    </font>
    <font>
      <b/>
      <sz val="9"/>
      <color rgb="FF1A1A2E"/>
      <name val="Aptos Narrow"/>
      <family val="2"/>
      <scheme val="minor"/>
    </font>
    <font>
      <b/>
      <sz val="8"/>
      <color rgb="FFFFFFFF"/>
      <name val="Aptos Narrow"/>
      <family val="2"/>
      <scheme val="minor"/>
    </font>
    <font>
      <b/>
      <i/>
      <sz val="8"/>
      <color rgb="FFFFFFFF"/>
      <name val="Aptos Narrow"/>
      <family val="2"/>
      <scheme val="minor"/>
    </font>
    <font>
      <b/>
      <sz val="8"/>
      <color rgb="FF5D6D7E"/>
      <name val="Aptos Narrow"/>
      <family val="2"/>
      <scheme val="minor"/>
    </font>
    <font>
      <sz val="8"/>
      <color rgb="FF5D6D7E"/>
      <name val="Aptos Narrow"/>
      <family val="2"/>
      <scheme val="minor"/>
    </font>
    <font>
      <b/>
      <i/>
      <sz val="8"/>
      <color rgb="FF5D6D7E"/>
      <name val="Aptos Narrow"/>
      <family val="2"/>
      <scheme val="minor"/>
    </font>
    <font>
      <i/>
      <sz val="8"/>
      <color rgb="FFFFFFFF"/>
      <name val="Aptos Narrow"/>
      <family val="2"/>
      <scheme val="minor"/>
    </font>
    <font>
      <b/>
      <u/>
      <sz val="13"/>
      <color rgb="FFFFFFFF"/>
      <name val="Aptos Narrow"/>
      <family val="2"/>
    </font>
    <font>
      <b/>
      <sz val="9"/>
      <color rgb="FFFFFFFF"/>
      <name val="Aptos Narrow"/>
      <family val="2"/>
    </font>
    <font>
      <sz val="8"/>
      <color rgb="FFFFFFFF"/>
      <name val="Segoe UI"/>
      <family val="2"/>
    </font>
    <font>
      <sz val="8"/>
      <color rgb="FFFFFFFF"/>
      <name val="Aptos Narrow"/>
      <family val="2"/>
    </font>
    <font>
      <sz val="9"/>
      <color rgb="FF1A1A2E"/>
      <name val="Aptos Narrow"/>
      <family val="2"/>
    </font>
    <font>
      <b/>
      <sz val="9"/>
      <color rgb="FF1A1A2E"/>
      <name val="Aptos Narrow"/>
      <family val="2"/>
    </font>
    <font>
      <b/>
      <sz val="9"/>
      <color rgb="FF1F3864"/>
      <name val="Aptos Narrow"/>
      <family val="2"/>
    </font>
    <font>
      <b/>
      <sz val="8"/>
      <color rgb="FFFFFFFF"/>
      <name val="Segoe UI"/>
      <family val="2"/>
    </font>
    <font>
      <b/>
      <sz val="8"/>
      <color rgb="FF7F8C8D"/>
      <name val="Segoe UI"/>
      <family val="2"/>
    </font>
    <font>
      <b/>
      <i/>
      <sz val="9"/>
      <color rgb="FFFFFFFF"/>
      <name val="Aptos Narrow"/>
      <family val="2"/>
    </font>
    <font>
      <b/>
      <i/>
      <sz val="9"/>
      <color rgb="FF1A1A2E"/>
      <name val="Aptos Narrow"/>
      <family val="2"/>
    </font>
    <font>
      <i/>
      <sz val="9"/>
      <color rgb="FF1A1A2E"/>
      <name val="Aptos Narrow"/>
      <family val="2"/>
    </font>
    <font>
      <b/>
      <i/>
      <sz val="9"/>
      <color rgb="FF2F5496"/>
      <name val="Aptos Narrow"/>
      <family val="2"/>
    </font>
    <font>
      <b/>
      <sz val="9"/>
      <color rgb="FF2F5496"/>
      <name val="Aptos Narrow"/>
      <family val="2"/>
    </font>
    <font>
      <b/>
      <sz val="9"/>
      <color rgb="FF1A1A2E"/>
      <name val="Segoe UI"/>
      <family val="2"/>
    </font>
    <font>
      <sz val="9"/>
      <color rgb="FF1A1A2E"/>
      <name val="Segoe UI"/>
      <family val="2"/>
    </font>
    <font>
      <b/>
      <u/>
      <sz val="13"/>
      <color rgb="FFFFFFFF"/>
      <name val="Aptos Narrow"/>
      <family val="2"/>
      <scheme val="minor"/>
    </font>
    <font>
      <b/>
      <i/>
      <sz val="10"/>
      <color rgb="FF1F3864"/>
      <name val="Aptos Narrow"/>
      <family val="2"/>
    </font>
    <font>
      <b/>
      <sz val="8"/>
      <color rgb="FF7F8C8D"/>
      <name val="Calibri"/>
      <family val="2"/>
    </font>
    <font>
      <b/>
      <i/>
      <sz val="8"/>
      <color rgb="FF7F8C8D"/>
      <name val="Calibri"/>
      <family val="2"/>
    </font>
    <font>
      <u/>
      <sz val="9"/>
      <color rgb="FF1A1A2E"/>
      <name val="Aptos Narrow"/>
      <family val="2"/>
    </font>
    <font>
      <b/>
      <u/>
      <sz val="14"/>
      <color rgb="FFFFFFFF"/>
      <name val="Aptos Narrow"/>
      <family val="2"/>
    </font>
    <font>
      <sz val="8"/>
      <color rgb="FF7F8C8D"/>
      <name val="Aptos Narrow"/>
      <family val="2"/>
      <scheme val="minor"/>
    </font>
    <font>
      <b/>
      <sz val="18"/>
      <color rgb="FFFFFFFF"/>
      <name val="Aptos Narrow"/>
      <family val="2"/>
      <scheme val="minor"/>
    </font>
    <font>
      <b/>
      <sz val="8"/>
      <color rgb="FFFFFFFF"/>
      <name val="Aptos Narrow"/>
      <family val="2"/>
    </font>
    <font>
      <b/>
      <u/>
      <sz val="12"/>
      <color rgb="FFFFFFFF"/>
      <name val="Aptos Narrow"/>
      <family val="2"/>
    </font>
    <font>
      <b/>
      <sz val="12"/>
      <color rgb="FFFFFFFF"/>
      <name val="Aptos Narrow"/>
      <family val="2"/>
      <scheme val="minor"/>
    </font>
    <font>
      <b/>
      <u/>
      <sz val="12"/>
      <color rgb="FFFFFFFF"/>
      <name val="Aptos Narrow"/>
      <family val="2"/>
      <scheme val="minor"/>
    </font>
    <font>
      <b/>
      <i/>
      <sz val="8"/>
      <color rgb="FF7F8C8D"/>
      <name val="Aptos Narrow"/>
      <family val="2"/>
    </font>
    <font>
      <b/>
      <u/>
      <sz val="8"/>
      <color rgb="FFFFFFFF"/>
      <name val="Aptos Narrow"/>
      <family val="2"/>
      <scheme val="minor"/>
    </font>
    <font>
      <i/>
      <sz val="8"/>
      <color rgb="FFFFFFFF"/>
      <name val="Aptos Narrow"/>
      <family val="2"/>
    </font>
    <font>
      <b/>
      <sz val="10"/>
      <color rgb="FF1F3864"/>
      <name val="Aptos Narrow"/>
      <family val="2"/>
    </font>
    <font>
      <b/>
      <sz val="9"/>
      <color rgb="FF1A2B4A"/>
      <name val="Aptos Narrow"/>
      <family val="2"/>
    </font>
    <font>
      <b/>
      <sz val="9"/>
      <color rgb="FFFFC000"/>
      <name val="Aptos Narrow"/>
      <family val="2"/>
    </font>
    <font>
      <sz val="8.5"/>
      <color rgb="FF7D6608"/>
      <name val="Aptos Narrow"/>
      <family val="2"/>
    </font>
    <font>
      <b/>
      <sz val="8.5"/>
      <color rgb="FFFFFFFF"/>
      <name val="Aptos Narrow"/>
      <family val="2"/>
    </font>
    <font>
      <sz val="8.5"/>
      <name val="Aptos Narrow"/>
      <family val="2"/>
    </font>
    <font>
      <b/>
      <i/>
      <sz val="8.5"/>
      <color rgb="FF784212"/>
      <name val="Aptos Narrow"/>
      <family val="2"/>
      <scheme val="minor"/>
    </font>
    <font>
      <b/>
      <i/>
      <sz val="9"/>
      <color rgb="FFFFC000"/>
      <name val="Aptos Narrow"/>
      <family val="2"/>
      <scheme val="minor"/>
    </font>
    <font>
      <b/>
      <i/>
      <sz val="9"/>
      <color rgb="FFFFFFFF"/>
      <name val="Aptos Narrow"/>
      <family val="2"/>
      <scheme val="minor"/>
    </font>
    <font>
      <b/>
      <sz val="8.5"/>
      <color rgb="FF7D6608"/>
      <name val="Aptos Narrow"/>
      <family val="2"/>
    </font>
    <font>
      <sz val="8.5"/>
      <color rgb="FF566573"/>
      <name val="Aptos Narrow"/>
      <family val="2"/>
      <scheme val="minor"/>
    </font>
    <font>
      <b/>
      <sz val="14"/>
      <color rgb="FF1F3864"/>
      <name val="Segoe UI"/>
      <family val="2"/>
    </font>
    <font>
      <b/>
      <i/>
      <sz val="9"/>
      <color rgb="FF1A2B4A"/>
      <name val="Aptos Narrow"/>
      <family val="2"/>
    </font>
    <font>
      <b/>
      <sz val="9"/>
      <color rgb="FF1A2B4A"/>
      <name val="Aptos Narrow"/>
      <family val="2"/>
      <scheme val="minor"/>
    </font>
    <font>
      <b/>
      <u/>
      <sz val="9"/>
      <color rgb="FFFFFFFF"/>
      <name val="Aptos Narrow"/>
      <family val="2"/>
    </font>
    <font>
      <i/>
      <sz val="9"/>
      <color rgb="FF1F3864"/>
      <name val="Segoe UI"/>
      <family val="2"/>
    </font>
    <font>
      <b/>
      <sz val="13"/>
      <color rgb="FFFFFFFF"/>
      <name val="Aptos Narrow"/>
    </font>
    <font>
      <b/>
      <u/>
      <sz val="14"/>
      <color rgb="FFFFFFFF"/>
      <name val="Aptos Narrow"/>
    </font>
    <font>
      <b/>
      <u/>
      <sz val="13"/>
      <color rgb="FFFFFFFF"/>
      <name val="Aptos Narrow"/>
    </font>
    <font>
      <b/>
      <sz val="8"/>
      <color rgb="FFFFFFFF"/>
      <name val="Aptos Narrow"/>
      <scheme val="minor"/>
    </font>
    <font>
      <b/>
      <u/>
      <sz val="11"/>
      <color rgb="FFFFFFFF"/>
      <name val="Aptos Narrow"/>
    </font>
    <font>
      <b/>
      <sz val="11"/>
      <color rgb="FFFFFFFF"/>
      <name val="Aptos Narrow"/>
    </font>
    <font>
      <b/>
      <sz val="8"/>
      <color rgb="FFFFFFFF"/>
      <name val="Aptos Narrow"/>
    </font>
    <font>
      <b/>
      <sz val="9"/>
      <color rgb="FFFFFFFF"/>
      <name val="Aptos Narrow"/>
    </font>
    <font>
      <b/>
      <sz val="9"/>
      <color rgb="FFFFFFFF"/>
      <name val="Aptos Narrow"/>
      <scheme val="minor"/>
    </font>
    <font>
      <b/>
      <i/>
      <sz val="8"/>
      <color rgb="FFFFFFFF"/>
      <name val="Aptos Narrow"/>
    </font>
    <font>
      <b/>
      <i/>
      <sz val="9"/>
      <color rgb="FFFFFFFF"/>
      <name val="Aptos Narrow"/>
    </font>
    <font>
      <b/>
      <i/>
      <sz val="8"/>
      <color rgb="FFFFFFFF"/>
      <name val="Aptos Narrow"/>
      <scheme val="minor"/>
    </font>
    <font>
      <b/>
      <i/>
      <sz val="9"/>
      <color rgb="FFFFFFFF"/>
      <name val="Aptos Narrow"/>
      <scheme val="minor"/>
    </font>
  </fonts>
  <fills count="39">
    <fill>
      <patternFill patternType="none"/>
    </fill>
    <fill>
      <patternFill patternType="gray125"/>
    </fill>
    <fill>
      <patternFill patternType="solid">
        <fgColor rgb="FFFFFFFF"/>
        <bgColor indexed="64"/>
      </patternFill>
    </fill>
    <fill>
      <patternFill patternType="solid">
        <fgColor rgb="FF1C0800"/>
        <bgColor indexed="64"/>
      </patternFill>
    </fill>
    <fill>
      <patternFill patternType="solid">
        <fgColor rgb="FF1B5E20"/>
        <bgColor indexed="64"/>
      </patternFill>
    </fill>
    <fill>
      <patternFill patternType="solid">
        <fgColor rgb="FFEBF3FB"/>
        <bgColor indexed="64"/>
      </patternFill>
    </fill>
    <fill>
      <patternFill patternType="solid">
        <fgColor rgb="FF2E75B6"/>
        <bgColor indexed="64"/>
      </patternFill>
    </fill>
    <fill>
      <patternFill patternType="solid">
        <fgColor rgb="FFDDEEFF"/>
        <bgColor indexed="64"/>
      </patternFill>
    </fill>
    <fill>
      <patternFill patternType="solid">
        <fgColor rgb="FFFFF2CC"/>
        <bgColor indexed="64"/>
      </patternFill>
    </fill>
    <fill>
      <patternFill patternType="solid">
        <fgColor rgb="FFE2EFDA"/>
        <bgColor indexed="64"/>
      </patternFill>
    </fill>
    <fill>
      <patternFill patternType="solid">
        <fgColor rgb="FFE8F5E9"/>
        <bgColor indexed="64"/>
      </patternFill>
    </fill>
    <fill>
      <patternFill patternType="solid">
        <fgColor rgb="FFF5F5F5"/>
        <bgColor indexed="64"/>
      </patternFill>
    </fill>
    <fill>
      <patternFill patternType="solid">
        <fgColor rgb="FFBF6B00"/>
        <bgColor indexed="64"/>
      </patternFill>
    </fill>
    <fill>
      <patternFill patternType="solid">
        <fgColor theme="0"/>
        <bgColor indexed="64"/>
      </patternFill>
    </fill>
    <fill>
      <patternFill patternType="solid">
        <fgColor rgb="FFFFEB9C"/>
        <bgColor indexed="64"/>
      </patternFill>
    </fill>
    <fill>
      <patternFill patternType="solid">
        <fgColor rgb="FFDDEBF7"/>
        <bgColor indexed="64"/>
      </patternFill>
    </fill>
    <fill>
      <patternFill patternType="solid">
        <fgColor rgb="FFF5F9FF"/>
        <bgColor indexed="64"/>
      </patternFill>
    </fill>
    <fill>
      <patternFill patternType="solid">
        <fgColor rgb="FF1F4E78"/>
        <bgColor indexed="64"/>
      </patternFill>
    </fill>
    <fill>
      <patternFill patternType="solid">
        <fgColor rgb="FFD6DCE4"/>
        <bgColor indexed="64"/>
      </patternFill>
    </fill>
    <fill>
      <patternFill patternType="solid">
        <fgColor rgb="FF0277BD"/>
        <bgColor indexed="64"/>
      </patternFill>
    </fill>
    <fill>
      <patternFill patternType="solid">
        <fgColor rgb="FFFFCCCC"/>
        <bgColor indexed="64"/>
      </patternFill>
    </fill>
    <fill>
      <patternFill patternType="solid">
        <fgColor rgb="FF375623"/>
        <bgColor indexed="64"/>
      </patternFill>
    </fill>
    <fill>
      <patternFill patternType="solid">
        <fgColor rgb="FFFFC000"/>
        <bgColor indexed="64"/>
      </patternFill>
    </fill>
    <fill>
      <patternFill patternType="solid">
        <fgColor rgb="FFF2F3F4"/>
        <bgColor indexed="64"/>
      </patternFill>
    </fill>
    <fill>
      <patternFill patternType="solid">
        <fgColor rgb="FFF4F6F7"/>
        <bgColor indexed="64"/>
      </patternFill>
    </fill>
    <fill>
      <patternFill patternType="solid">
        <fgColor rgb="FFEBF5FB"/>
        <bgColor indexed="64"/>
      </patternFill>
    </fill>
    <fill>
      <patternFill patternType="solid">
        <fgColor rgb="FF922B21"/>
        <bgColor indexed="64"/>
      </patternFill>
    </fill>
    <fill>
      <patternFill patternType="solid">
        <fgColor rgb="FF1F3864"/>
        <bgColor indexed="64"/>
      </patternFill>
    </fill>
    <fill>
      <patternFill patternType="solid">
        <fgColor rgb="FFF8F9FA"/>
        <bgColor indexed="64"/>
      </patternFill>
    </fill>
    <fill>
      <patternFill patternType="solid">
        <fgColor rgb="FFF4F6F9"/>
        <bgColor indexed="64"/>
      </patternFill>
    </fill>
    <fill>
      <patternFill patternType="solid">
        <fgColor rgb="FF2F5496"/>
        <bgColor indexed="64"/>
      </patternFill>
    </fill>
    <fill>
      <patternFill patternType="solid">
        <fgColor rgb="FF2874A6"/>
        <bgColor indexed="64"/>
      </patternFill>
    </fill>
    <fill>
      <patternFill patternType="solid">
        <fgColor rgb="FFD5E8F5"/>
        <bgColor indexed="64"/>
      </patternFill>
    </fill>
    <fill>
      <patternFill patternType="solid">
        <fgColor rgb="FFFDFBEC"/>
        <bgColor indexed="64"/>
      </patternFill>
    </fill>
    <fill>
      <patternFill patternType="solid">
        <fgColor rgb="FFFEF9E7"/>
        <bgColor indexed="64"/>
      </patternFill>
    </fill>
    <fill>
      <patternFill patternType="solid">
        <fgColor rgb="FFE8EDF5"/>
        <bgColor indexed="64"/>
      </patternFill>
    </fill>
    <fill>
      <patternFill patternType="solid">
        <fgColor rgb="FF1B4F72"/>
        <bgColor indexed="64"/>
      </patternFill>
    </fill>
    <fill>
      <patternFill patternType="solid">
        <fgColor rgb="FFB8D4EA"/>
        <bgColor indexed="64"/>
      </patternFill>
    </fill>
    <fill>
      <patternFill patternType="solid">
        <fgColor rgb="FFF2F4F4"/>
        <bgColor indexed="64"/>
      </patternFill>
    </fill>
  </fills>
  <borders count="186">
    <border>
      <left/>
      <right/>
      <top/>
      <bottom/>
      <diagonal/>
    </border>
    <border>
      <left/>
      <right/>
      <top style="medium">
        <color rgb="FFE64A19"/>
      </top>
      <bottom/>
      <diagonal/>
    </border>
    <border>
      <left/>
      <right/>
      <top style="medium">
        <color rgb="FFE64A19"/>
      </top>
      <bottom style="thick">
        <color rgb="FFE64A19"/>
      </bottom>
      <diagonal/>
    </border>
    <border>
      <left/>
      <right/>
      <top style="medium">
        <color rgb="FF1565C0"/>
      </top>
      <bottom/>
      <diagonal/>
    </border>
    <border>
      <left/>
      <right/>
      <top style="thick">
        <color rgb="FFE64A19"/>
      </top>
      <bottom/>
      <diagonal/>
    </border>
    <border>
      <left/>
      <right/>
      <top/>
      <bottom style="medium">
        <color rgb="FF1565C0"/>
      </bottom>
      <diagonal/>
    </border>
    <border>
      <left/>
      <right/>
      <top/>
      <bottom style="medium">
        <color rgb="FFE64A19"/>
      </bottom>
      <diagonal/>
    </border>
    <border>
      <left/>
      <right/>
      <top/>
      <bottom style="medium">
        <color rgb="FF2E4A7A"/>
      </bottom>
      <diagonal/>
    </border>
    <border>
      <left/>
      <right/>
      <top style="medium">
        <color rgb="FF2E4A7A"/>
      </top>
      <bottom style="medium">
        <color rgb="FF2E4A7A"/>
      </bottom>
      <diagonal/>
    </border>
    <border>
      <left/>
      <right/>
      <top/>
      <bottom style="thick">
        <color rgb="FFD6EAF8"/>
      </bottom>
      <diagonal/>
    </border>
    <border>
      <left/>
      <right/>
      <top/>
      <bottom style="thick">
        <color rgb="FFEBEDEF"/>
      </bottom>
      <diagonal/>
    </border>
    <border>
      <left/>
      <right/>
      <top/>
      <bottom style="thin">
        <color rgb="FFD5F5E3"/>
      </bottom>
      <diagonal/>
    </border>
    <border>
      <left/>
      <right/>
      <top/>
      <bottom style="thick">
        <color rgb="FFD5F5E3"/>
      </bottom>
      <diagonal/>
    </border>
    <border>
      <left/>
      <right/>
      <top style="thick">
        <color rgb="FF1565C0"/>
      </top>
      <bottom style="thin">
        <color rgb="FFEBEDEF"/>
      </bottom>
      <diagonal/>
    </border>
    <border>
      <left/>
      <right/>
      <top/>
      <bottom style="thick">
        <color rgb="FFFAE5D3"/>
      </bottom>
      <diagonal/>
    </border>
    <border>
      <left style="thin">
        <color rgb="FF95A5A6"/>
      </left>
      <right style="thin">
        <color rgb="FF95A5A6"/>
      </right>
      <top style="thin">
        <color rgb="FF95A5A6"/>
      </top>
      <bottom style="thin">
        <color rgb="FF95A5A6"/>
      </bottom>
      <diagonal/>
    </border>
    <border>
      <left style="thin">
        <color rgb="FF95A5A6"/>
      </left>
      <right style="thin">
        <color rgb="FF2C3E50"/>
      </right>
      <top style="thin">
        <color rgb="FF95A5A6"/>
      </top>
      <bottom style="thin">
        <color rgb="FF95A5A6"/>
      </bottom>
      <diagonal/>
    </border>
    <border>
      <left style="thin">
        <color rgb="FF95A5A6"/>
      </left>
      <right style="thin">
        <color rgb="FF95A5A6"/>
      </right>
      <top style="thin">
        <color rgb="FF95A5A6"/>
      </top>
      <bottom style="thin">
        <color rgb="FF2C3E50"/>
      </bottom>
      <diagonal/>
    </border>
    <border>
      <left style="thin">
        <color rgb="FF95A5A6"/>
      </left>
      <right style="thin">
        <color rgb="FF2C3E50"/>
      </right>
      <top style="thin">
        <color rgb="FF95A5A6"/>
      </top>
      <bottom style="thin">
        <color rgb="FF2C3E50"/>
      </bottom>
      <diagonal/>
    </border>
    <border>
      <left style="thin">
        <color rgb="FF2C3E50"/>
      </left>
      <right style="thin">
        <color rgb="FF95A5A6"/>
      </right>
      <top style="thin">
        <color rgb="FF95A5A6"/>
      </top>
      <bottom style="thin">
        <color rgb="FF95A5A6"/>
      </bottom>
      <diagonal/>
    </border>
    <border>
      <left style="thin">
        <color rgb="FF2C3E50"/>
      </left>
      <right style="thin">
        <color rgb="FF95A5A6"/>
      </right>
      <top style="thin">
        <color rgb="FF95A5A6"/>
      </top>
      <bottom style="thin">
        <color rgb="FF2C3E50"/>
      </bottom>
      <diagonal/>
    </border>
    <border>
      <left style="thin">
        <color rgb="FF95A5A6"/>
      </left>
      <right style="thin">
        <color rgb="FF95A5A6"/>
      </right>
      <top style="thin">
        <color rgb="FF2C3E50"/>
      </top>
      <bottom style="thin">
        <color rgb="FF95A5A6"/>
      </bottom>
      <diagonal/>
    </border>
    <border>
      <left style="thin">
        <color rgb="FF95A5A6"/>
      </left>
      <right style="thin">
        <color rgb="FF2C3E50"/>
      </right>
      <top style="thin">
        <color rgb="FF2C3E50"/>
      </top>
      <bottom style="thin">
        <color rgb="FF95A5A6"/>
      </bottom>
      <diagonal/>
    </border>
    <border>
      <left style="thin">
        <color rgb="FF95A5A6"/>
      </left>
      <right style="thin">
        <color rgb="FF95A5A6"/>
      </right>
      <top style="medium">
        <color rgb="FF95A5A6"/>
      </top>
      <bottom style="medium">
        <color rgb="FF95A5A6"/>
      </bottom>
      <diagonal/>
    </border>
    <border>
      <left style="thin">
        <color rgb="FF95A5A6"/>
      </left>
      <right style="thin">
        <color rgb="FF2C3E50"/>
      </right>
      <top style="medium">
        <color rgb="FF95A5A6"/>
      </top>
      <bottom style="medium">
        <color rgb="FF95A5A6"/>
      </bottom>
      <diagonal/>
    </border>
    <border>
      <left style="thin">
        <color rgb="FF95A5A6"/>
      </left>
      <right style="thin">
        <color rgb="FF95A5A6"/>
      </right>
      <top style="medium">
        <color rgb="FF95A5A6"/>
      </top>
      <bottom style="thin">
        <color rgb="FF2C3E50"/>
      </bottom>
      <diagonal/>
    </border>
    <border>
      <left style="thin">
        <color rgb="FF95A5A6"/>
      </left>
      <right style="thin">
        <color rgb="FF2C3E50"/>
      </right>
      <top style="medium">
        <color rgb="FF95A5A6"/>
      </top>
      <bottom style="thin">
        <color rgb="FF2C3E50"/>
      </bottom>
      <diagonal/>
    </border>
    <border>
      <left style="thin">
        <color rgb="FF95A5A6"/>
      </left>
      <right style="thin">
        <color rgb="FF95A5A6"/>
      </right>
      <top/>
      <bottom style="thin">
        <color rgb="FF95A5A6"/>
      </bottom>
      <diagonal/>
    </border>
    <border>
      <left style="thin">
        <color rgb="FF95A5A6"/>
      </left>
      <right style="thin">
        <color rgb="FF2C3E50"/>
      </right>
      <top/>
      <bottom style="thin">
        <color rgb="FF95A5A6"/>
      </bottom>
      <diagonal/>
    </border>
    <border>
      <left style="thin">
        <color rgb="FF2C3E50"/>
      </left>
      <right style="thin">
        <color rgb="FF95A5A6"/>
      </right>
      <top/>
      <bottom style="thin">
        <color rgb="FF95A5A6"/>
      </bottom>
      <diagonal/>
    </border>
    <border>
      <left style="thin">
        <color rgb="FF95A5A6"/>
      </left>
      <right style="thin">
        <color rgb="FF95A5A6"/>
      </right>
      <top/>
      <bottom style="medium">
        <color rgb="FF95A5A6"/>
      </bottom>
      <diagonal/>
    </border>
    <border>
      <left style="thin">
        <color rgb="FF95A5A6"/>
      </left>
      <right style="thin">
        <color rgb="FF2C3E50"/>
      </right>
      <top/>
      <bottom style="medium">
        <color rgb="FF95A5A6"/>
      </bottom>
      <diagonal/>
    </border>
    <border>
      <left/>
      <right/>
      <top style="thick">
        <color rgb="FF1A5276"/>
      </top>
      <bottom/>
      <diagonal/>
    </border>
    <border>
      <left style="thin">
        <color rgb="FF95A5A6"/>
      </left>
      <right/>
      <top style="thick">
        <color rgb="FFAED6F1"/>
      </top>
      <bottom/>
      <diagonal/>
    </border>
    <border>
      <left style="thin">
        <color rgb="FF95A5A6"/>
      </left>
      <right style="thin">
        <color rgb="FF95A5A6"/>
      </right>
      <top style="thick">
        <color rgb="FFAED6F1"/>
      </top>
      <bottom/>
      <diagonal/>
    </border>
    <border>
      <left style="thin">
        <color rgb="FF95A5A6"/>
      </left>
      <right/>
      <top style="thin">
        <color rgb="FF95A5A6"/>
      </top>
      <bottom/>
      <diagonal/>
    </border>
    <border>
      <left style="thin">
        <color rgb="FF95A5A6"/>
      </left>
      <right style="thin">
        <color rgb="FF95A5A6"/>
      </right>
      <top style="thin">
        <color rgb="FF95A5A6"/>
      </top>
      <bottom/>
      <diagonal/>
    </border>
    <border>
      <left style="thin">
        <color rgb="FF95A5A6"/>
      </left>
      <right/>
      <top style="thin">
        <color rgb="FF95A5A6"/>
      </top>
      <bottom style="thick">
        <color rgb="FF1A5276"/>
      </bottom>
      <diagonal/>
    </border>
    <border>
      <left style="thin">
        <color rgb="FF95A5A6"/>
      </left>
      <right style="thin">
        <color rgb="FF95A5A6"/>
      </right>
      <top style="thin">
        <color rgb="FF95A5A6"/>
      </top>
      <bottom style="thick">
        <color rgb="FF1A5276"/>
      </bottom>
      <diagonal/>
    </border>
    <border>
      <left/>
      <right/>
      <top style="thin">
        <color rgb="FF95A5A6"/>
      </top>
      <bottom style="thick">
        <color rgb="FF1A5276"/>
      </bottom>
      <diagonal/>
    </border>
    <border>
      <left/>
      <right style="thin">
        <color rgb="FF95A5A6"/>
      </right>
      <top/>
      <bottom/>
      <diagonal/>
    </border>
    <border>
      <left style="medium">
        <color rgb="FF1F3864"/>
      </left>
      <right/>
      <top/>
      <bottom/>
      <diagonal/>
    </border>
    <border>
      <left/>
      <right style="medium">
        <color rgb="FF1F3864"/>
      </right>
      <top/>
      <bottom/>
      <diagonal/>
    </border>
    <border>
      <left/>
      <right style="thin">
        <color rgb="FF95A5A6"/>
      </right>
      <top/>
      <bottom style="thin">
        <color rgb="FF95A5A6"/>
      </bottom>
      <diagonal/>
    </border>
    <border>
      <left/>
      <right style="thin">
        <color rgb="FF95A5A6"/>
      </right>
      <top style="thin">
        <color rgb="FF95A5A6"/>
      </top>
      <bottom style="thin">
        <color rgb="FF95A5A6"/>
      </bottom>
      <diagonal/>
    </border>
    <border>
      <left/>
      <right style="thin">
        <color rgb="FF95A5A6"/>
      </right>
      <top style="thin">
        <color rgb="FF95A5A6"/>
      </top>
      <bottom style="thin">
        <color rgb="FF2C3E50"/>
      </bottom>
      <diagonal/>
    </border>
    <border>
      <left style="medium">
        <color rgb="FF1F3864"/>
      </left>
      <right style="medium">
        <color rgb="FFD5DBDB"/>
      </right>
      <top style="thick">
        <color rgb="FFD5DBDB"/>
      </top>
      <bottom style="thin">
        <color rgb="FF1F3864"/>
      </bottom>
      <diagonal/>
    </border>
    <border>
      <left/>
      <right/>
      <top style="medium">
        <color rgb="FF2E4A7A"/>
      </top>
      <bottom/>
      <diagonal/>
    </border>
    <border>
      <left style="thin">
        <color rgb="FF1F3864"/>
      </left>
      <right style="thin">
        <color rgb="FFD5DBDB"/>
      </right>
      <top style="thin">
        <color rgb="FF1F3864"/>
      </top>
      <bottom style="thick">
        <color rgb="FFD5DBDB"/>
      </bottom>
      <diagonal/>
    </border>
    <border>
      <left style="thin">
        <color rgb="FFD5DBDB"/>
      </left>
      <right style="thin">
        <color rgb="FFD5DBDB"/>
      </right>
      <top style="thin">
        <color rgb="FF1F3864"/>
      </top>
      <bottom style="thick">
        <color rgb="FFD5DBDB"/>
      </bottom>
      <diagonal/>
    </border>
    <border>
      <left style="thin">
        <color rgb="FFD5DBDB"/>
      </left>
      <right style="thin">
        <color rgb="FF1F3864"/>
      </right>
      <top style="thin">
        <color rgb="FF1F3864"/>
      </top>
      <bottom style="thick">
        <color rgb="FFD5DBDB"/>
      </bottom>
      <diagonal/>
    </border>
    <border>
      <left style="thin">
        <color rgb="FFD5DBDB"/>
      </left>
      <right style="thin">
        <color rgb="FFD5DBDB"/>
      </right>
      <top style="thick">
        <color rgb="FFD5DBDB"/>
      </top>
      <bottom style="thick">
        <color rgb="FFD5DBDB"/>
      </bottom>
      <diagonal/>
    </border>
    <border>
      <left style="thin">
        <color rgb="FFD5DBDB"/>
      </left>
      <right style="thin">
        <color rgb="FF1F3864"/>
      </right>
      <top style="thick">
        <color rgb="FFD5DBDB"/>
      </top>
      <bottom style="thick">
        <color rgb="FFD5DBDB"/>
      </bottom>
      <diagonal/>
    </border>
    <border>
      <left/>
      <right style="thin">
        <color rgb="FF2C3E50"/>
      </right>
      <top style="thin">
        <color rgb="FF2C3E50"/>
      </top>
      <bottom style="thin">
        <color rgb="FF95A5A6"/>
      </bottom>
      <diagonal/>
    </border>
    <border>
      <left/>
      <right style="thin">
        <color rgb="FF2C3E50"/>
      </right>
      <top style="thin">
        <color rgb="FF95A5A6"/>
      </top>
      <bottom style="thin">
        <color rgb="FF95A5A6"/>
      </bottom>
      <diagonal/>
    </border>
    <border>
      <left/>
      <right style="thin">
        <color rgb="FF2C3E50"/>
      </right>
      <top style="thin">
        <color rgb="FF95A5A6"/>
      </top>
      <bottom style="thin">
        <color rgb="FF2C3E50"/>
      </bottom>
      <diagonal/>
    </border>
    <border>
      <left style="thin">
        <color rgb="FFD5DBDB"/>
      </left>
      <right style="thin">
        <color rgb="FFD5DBDB"/>
      </right>
      <top style="thick">
        <color rgb="FF1F3864"/>
      </top>
      <bottom style="thin">
        <color rgb="FFD5DBDB"/>
      </bottom>
      <diagonal/>
    </border>
    <border>
      <left style="thin">
        <color rgb="FFD5DBDB"/>
      </left>
      <right style="thin">
        <color rgb="FFD5DBDB"/>
      </right>
      <top style="thin">
        <color rgb="FFD5DBDB"/>
      </top>
      <bottom style="thin">
        <color rgb="FFD5DBDB"/>
      </bottom>
      <diagonal/>
    </border>
    <border>
      <left style="thin">
        <color rgb="FFD5DBDB"/>
      </left>
      <right style="thin">
        <color rgb="FF1F3864"/>
      </right>
      <top style="thin">
        <color rgb="FFD5DBDB"/>
      </top>
      <bottom style="thin">
        <color rgb="FFD5DBDB"/>
      </bottom>
      <diagonal/>
    </border>
    <border>
      <left style="thin">
        <color rgb="FFD5DBDB"/>
      </left>
      <right style="thin">
        <color rgb="FFD5DBDB"/>
      </right>
      <top style="thin">
        <color rgb="FFD5DBDB"/>
      </top>
      <bottom style="thin">
        <color rgb="FF1F3864"/>
      </bottom>
      <diagonal/>
    </border>
    <border>
      <left style="thin">
        <color rgb="FFD5DBDB"/>
      </left>
      <right style="thin">
        <color rgb="FF1F3864"/>
      </right>
      <top style="thin">
        <color rgb="FFD5DBDB"/>
      </top>
      <bottom style="thin">
        <color rgb="FF1F3864"/>
      </bottom>
      <diagonal/>
    </border>
    <border>
      <left style="thin">
        <color rgb="FF1F3864"/>
      </left>
      <right style="thin">
        <color rgb="FFD5DBDB"/>
      </right>
      <top style="thin">
        <color rgb="FFD5DBDB"/>
      </top>
      <bottom style="thin">
        <color rgb="FFD5DBDB"/>
      </bottom>
      <diagonal/>
    </border>
    <border>
      <left style="thin">
        <color rgb="FF1F3864"/>
      </left>
      <right style="thin">
        <color rgb="FFD5DBDB"/>
      </right>
      <top style="thin">
        <color rgb="FFD5DBDB"/>
      </top>
      <bottom style="thin">
        <color rgb="FF1F3864"/>
      </bottom>
      <diagonal/>
    </border>
    <border>
      <left style="medium">
        <color rgb="FF1F3864"/>
      </left>
      <right style="thin">
        <color rgb="FFD5DBDB"/>
      </right>
      <top style="medium">
        <color rgb="FFD5DBDB"/>
      </top>
      <bottom style="medium">
        <color rgb="FFD5DBDB"/>
      </bottom>
      <diagonal/>
    </border>
    <border>
      <left style="thin">
        <color rgb="FFD5DBDB"/>
      </left>
      <right style="thin">
        <color rgb="FFD5DBDB"/>
      </right>
      <top style="medium">
        <color rgb="FFD5DBDB"/>
      </top>
      <bottom style="medium">
        <color rgb="FFD5DBDB"/>
      </bottom>
      <diagonal/>
    </border>
    <border>
      <left style="thin">
        <color rgb="FFD5DBDB"/>
      </left>
      <right style="medium">
        <color rgb="FF1F3864"/>
      </right>
      <top style="medium">
        <color rgb="FFD5DBDB"/>
      </top>
      <bottom style="medium">
        <color rgb="FFD5DBDB"/>
      </bottom>
      <diagonal/>
    </border>
    <border>
      <left style="thick">
        <color rgb="FF1F3864"/>
      </left>
      <right/>
      <top/>
      <bottom/>
      <diagonal/>
    </border>
    <border>
      <left style="thin">
        <color rgb="FF95A5A6"/>
      </left>
      <right style="thick">
        <color rgb="FF1F3864"/>
      </right>
      <top style="thin">
        <color rgb="FF95A5A6"/>
      </top>
      <bottom style="thin">
        <color rgb="FF95A5A6"/>
      </bottom>
      <diagonal/>
    </border>
    <border>
      <left style="thin">
        <color rgb="FF95A5A6"/>
      </left>
      <right style="thick">
        <color rgb="FF1F3864"/>
      </right>
      <top style="thin">
        <color rgb="FF95A5A6"/>
      </top>
      <bottom style="thin">
        <color rgb="FF2C3E50"/>
      </bottom>
      <diagonal/>
    </border>
    <border>
      <left/>
      <right style="thick">
        <color rgb="FF1F3864"/>
      </right>
      <top/>
      <bottom/>
      <diagonal/>
    </border>
    <border>
      <left style="thick">
        <color rgb="FF1F3864"/>
      </left>
      <right/>
      <top style="thick">
        <color rgb="FF1F3864"/>
      </top>
      <bottom/>
      <diagonal/>
    </border>
    <border>
      <left/>
      <right/>
      <top style="thick">
        <color rgb="FF1F3864"/>
      </top>
      <bottom/>
      <diagonal/>
    </border>
    <border>
      <left style="thin">
        <color rgb="FF95A5A6"/>
      </left>
      <right style="thin">
        <color rgb="FF95A5A6"/>
      </right>
      <top style="thick">
        <color rgb="FF1F3864"/>
      </top>
      <bottom style="thin">
        <color rgb="FF95A5A6"/>
      </bottom>
      <diagonal/>
    </border>
    <border>
      <left style="thin">
        <color rgb="FF95A5A6"/>
      </left>
      <right style="thick">
        <color rgb="FF1F3864"/>
      </right>
      <top style="thick">
        <color rgb="FF1F3864"/>
      </top>
      <bottom style="thin">
        <color rgb="FF95A5A6"/>
      </bottom>
      <diagonal/>
    </border>
    <border>
      <left/>
      <right/>
      <top/>
      <bottom style="thick">
        <color rgb="FF1F3864"/>
      </bottom>
      <diagonal/>
    </border>
    <border>
      <left/>
      <right style="thick">
        <color rgb="FF1F3864"/>
      </right>
      <top/>
      <bottom style="thick">
        <color rgb="FF1F3864"/>
      </bottom>
      <diagonal/>
    </border>
    <border>
      <left style="medium">
        <color rgb="FF1F3864"/>
      </left>
      <right style="medium">
        <color rgb="FFD5DBDB"/>
      </right>
      <top/>
      <bottom style="thick">
        <color rgb="FFD5DBDB"/>
      </bottom>
      <diagonal/>
    </border>
    <border>
      <left style="medium">
        <color rgb="FF1F3864"/>
      </left>
      <right style="medium">
        <color rgb="FFD5DBDB"/>
      </right>
      <top style="medium">
        <color rgb="FF1F3864"/>
      </top>
      <bottom/>
      <diagonal/>
    </border>
    <border>
      <left style="medium">
        <color rgb="FFD5DBDB"/>
      </left>
      <right style="medium">
        <color rgb="FFD5DBDB"/>
      </right>
      <top style="medium">
        <color rgb="FF1F3864"/>
      </top>
      <bottom/>
      <diagonal/>
    </border>
    <border>
      <left style="medium">
        <color rgb="FFD5DBDB"/>
      </left>
      <right style="thin">
        <color rgb="FF1F3864"/>
      </right>
      <top style="medium">
        <color rgb="FF1F3864"/>
      </top>
      <bottom/>
      <diagonal/>
    </border>
    <border>
      <left style="thin">
        <color rgb="FF1F3864"/>
      </left>
      <right style="thin">
        <color rgb="FFD5DBDB"/>
      </right>
      <top style="thin">
        <color rgb="FF1F3864"/>
      </top>
      <bottom/>
      <diagonal/>
    </border>
    <border>
      <left style="thin">
        <color rgb="FFD5DBDB"/>
      </left>
      <right style="thin">
        <color rgb="FFD5DBDB"/>
      </right>
      <top style="thin">
        <color rgb="FF1F3864"/>
      </top>
      <bottom/>
      <diagonal/>
    </border>
    <border>
      <left style="thin">
        <color rgb="FFD5DBDB"/>
      </left>
      <right style="thin">
        <color rgb="FF1F3864"/>
      </right>
      <top style="thin">
        <color rgb="FF1F3864"/>
      </top>
      <bottom/>
      <diagonal/>
    </border>
    <border>
      <left style="thin">
        <color rgb="FF1F3864"/>
      </left>
      <right style="thin">
        <color rgb="FFD5DBDB"/>
      </right>
      <top/>
      <bottom style="thin">
        <color rgb="FF1F3864"/>
      </bottom>
      <diagonal/>
    </border>
    <border>
      <left style="thin">
        <color rgb="FFD5DBDB"/>
      </left>
      <right style="thin">
        <color rgb="FFD5DBDB"/>
      </right>
      <top/>
      <bottom style="thin">
        <color rgb="FF1F3864"/>
      </bottom>
      <diagonal/>
    </border>
    <border>
      <left style="thin">
        <color rgb="FFD5DBDB"/>
      </left>
      <right style="thin">
        <color rgb="FF1F3864"/>
      </right>
      <top/>
      <bottom style="thin">
        <color rgb="FF1F3864"/>
      </bottom>
      <diagonal/>
    </border>
    <border>
      <left style="thin">
        <color rgb="FFD5DBDB"/>
      </left>
      <right style="thin">
        <color rgb="FFD5DBDB"/>
      </right>
      <top style="thick">
        <color rgb="FF1F3864"/>
      </top>
      <bottom style="thick">
        <color rgb="FFD5DBDB"/>
      </bottom>
      <diagonal/>
    </border>
    <border>
      <left style="thin">
        <color rgb="FFD5DBDB"/>
      </left>
      <right style="thin">
        <color rgb="FFD5DBDB"/>
      </right>
      <top style="thick">
        <color rgb="FFD5DBDB"/>
      </top>
      <bottom style="thick">
        <color rgb="FF1F3864"/>
      </bottom>
      <diagonal/>
    </border>
    <border>
      <left style="thin">
        <color rgb="FFD5DBDB"/>
      </left>
      <right style="thin">
        <color rgb="FFD5DBDB"/>
      </right>
      <top style="thick">
        <color rgb="FF1F3864"/>
      </top>
      <bottom/>
      <diagonal/>
    </border>
    <border>
      <left/>
      <right style="thin">
        <color rgb="FF95A5A6"/>
      </right>
      <top style="thick">
        <color rgb="FF1F3864"/>
      </top>
      <bottom style="thin">
        <color rgb="FF95A5A6"/>
      </bottom>
      <diagonal/>
    </border>
    <border>
      <left style="thin">
        <color rgb="FFD5DBDB"/>
      </left>
      <right style="thin">
        <color rgb="FFD5DBDB"/>
      </right>
      <top style="thin">
        <color rgb="FFD5DBDB"/>
      </top>
      <bottom style="thick">
        <color rgb="FF1F3864"/>
      </bottom>
      <diagonal/>
    </border>
    <border>
      <left/>
      <right style="thin">
        <color rgb="FF95A5A6"/>
      </right>
      <top style="thin">
        <color rgb="FF95A5A6"/>
      </top>
      <bottom style="thick">
        <color rgb="FF1F3864"/>
      </bottom>
      <diagonal/>
    </border>
    <border>
      <left style="thin">
        <color rgb="FF95A5A6"/>
      </left>
      <right style="thin">
        <color rgb="FF95A5A6"/>
      </right>
      <top style="thin">
        <color rgb="FF95A5A6"/>
      </top>
      <bottom style="thick">
        <color rgb="FF1F3864"/>
      </bottom>
      <diagonal/>
    </border>
    <border>
      <left style="thin">
        <color rgb="FF95A5A6"/>
      </left>
      <right style="thick">
        <color rgb="FF1F3864"/>
      </right>
      <top style="thin">
        <color rgb="FF95A5A6"/>
      </top>
      <bottom style="thick">
        <color rgb="FF1F3864"/>
      </bottom>
      <diagonal/>
    </border>
    <border>
      <left style="thin">
        <color rgb="FFD5DBDB"/>
      </left>
      <right style="thin">
        <color rgb="FF1F3864"/>
      </right>
      <top style="thick">
        <color rgb="FF1F3864"/>
      </top>
      <bottom/>
      <diagonal/>
    </border>
    <border>
      <left style="thin">
        <color rgb="FFD5DBDB"/>
      </left>
      <right style="thick">
        <color rgb="FF1F3864"/>
      </right>
      <top style="thin">
        <color rgb="FFD5DBDB"/>
      </top>
      <bottom style="thick">
        <color rgb="FF1F3864"/>
      </bottom>
      <diagonal/>
    </border>
    <border>
      <left style="medium">
        <color rgb="FF1F3864"/>
      </left>
      <right style="thin">
        <color rgb="FFD5DBDB"/>
      </right>
      <top style="medium">
        <color rgb="FF1F3864"/>
      </top>
      <bottom/>
      <diagonal/>
    </border>
    <border>
      <left style="thin">
        <color rgb="FFD5DBDB"/>
      </left>
      <right style="thin">
        <color rgb="FFD5DBDB"/>
      </right>
      <top style="medium">
        <color rgb="FF1F3864"/>
      </top>
      <bottom/>
      <diagonal/>
    </border>
    <border>
      <left style="thin">
        <color rgb="FFD5DBDB"/>
      </left>
      <right style="medium">
        <color rgb="FF1F3864"/>
      </right>
      <top style="medium">
        <color rgb="FF1F3864"/>
      </top>
      <bottom/>
      <diagonal/>
    </border>
    <border>
      <left style="thin">
        <color rgb="FF95A5A6"/>
      </left>
      <right style="thin">
        <color rgb="FF95A5A6"/>
      </right>
      <top/>
      <bottom/>
      <diagonal/>
    </border>
    <border>
      <left style="thin">
        <color rgb="FFD5DBDB"/>
      </left>
      <right style="thin">
        <color rgb="FF1F3864"/>
      </right>
      <top style="thick">
        <color rgb="FF1F3864"/>
      </top>
      <bottom style="thick">
        <color rgb="FFD5DBDB"/>
      </bottom>
      <diagonal/>
    </border>
    <border>
      <left style="thin">
        <color rgb="FFD5DBDB"/>
      </left>
      <right style="thin">
        <color rgb="FF1F3864"/>
      </right>
      <top style="thick">
        <color rgb="FFD5DBDB"/>
      </top>
      <bottom style="thick">
        <color rgb="FF1F3864"/>
      </bottom>
      <diagonal/>
    </border>
    <border>
      <left/>
      <right style="thin">
        <color rgb="FF95A5A6"/>
      </right>
      <top/>
      <bottom style="medium">
        <color rgb="FF95A5A6"/>
      </bottom>
      <diagonal/>
    </border>
    <border>
      <left/>
      <right style="thin">
        <color rgb="FF95A5A6"/>
      </right>
      <top style="medium">
        <color rgb="FF95A5A6"/>
      </top>
      <bottom style="medium">
        <color rgb="FF95A5A6"/>
      </bottom>
      <diagonal/>
    </border>
    <border>
      <left/>
      <right style="thin">
        <color rgb="FF95A5A6"/>
      </right>
      <top style="medium">
        <color rgb="FF95A5A6"/>
      </top>
      <bottom style="thin">
        <color rgb="FF2C3E50"/>
      </bottom>
      <diagonal/>
    </border>
    <border>
      <left style="thin">
        <color rgb="FF2C3E50"/>
      </left>
      <right style="thin">
        <color rgb="FF95A5A6"/>
      </right>
      <top/>
      <bottom/>
      <diagonal/>
    </border>
    <border>
      <left/>
      <right style="thick">
        <color rgb="FF1F3864"/>
      </right>
      <top style="thick">
        <color rgb="FF1F3864"/>
      </top>
      <bottom/>
      <diagonal/>
    </border>
    <border>
      <left style="thick">
        <color rgb="FF1F3864"/>
      </left>
      <right/>
      <top style="thin">
        <color rgb="FF95A5A6"/>
      </top>
      <bottom style="thin">
        <color rgb="FF95A5A6"/>
      </bottom>
      <diagonal/>
    </border>
    <border>
      <left style="thick">
        <color rgb="FF1F3864"/>
      </left>
      <right/>
      <top style="thin">
        <color rgb="FF95A5A6"/>
      </top>
      <bottom style="thick">
        <color rgb="FF1F3864"/>
      </bottom>
      <diagonal/>
    </border>
    <border>
      <left style="thin">
        <color rgb="FF1F3864"/>
      </left>
      <right style="thin">
        <color rgb="FFD5DBDB"/>
      </right>
      <top style="thick">
        <color rgb="FF1F3864"/>
      </top>
      <bottom/>
      <diagonal/>
    </border>
    <border>
      <left style="thin">
        <color rgb="FFD5DBDB"/>
      </left>
      <right style="thick">
        <color rgb="FF1F3864"/>
      </right>
      <top style="thin">
        <color rgb="FFD5DBDB"/>
      </top>
      <bottom style="thin">
        <color rgb="FFD5DBDB"/>
      </bottom>
      <diagonal/>
    </border>
    <border>
      <left style="thin">
        <color rgb="FFD5DBDB"/>
      </left>
      <right style="thick">
        <color rgb="FF1F3864"/>
      </right>
      <top style="thick">
        <color rgb="FF1F3864"/>
      </top>
      <bottom style="thin">
        <color rgb="FFD5DBDB"/>
      </bottom>
      <diagonal/>
    </border>
    <border>
      <left style="thick">
        <color rgb="FF1F3864"/>
      </left>
      <right/>
      <top style="hair">
        <color rgb="FFC8CDD2"/>
      </top>
      <bottom style="hair">
        <color rgb="FFC8CDD2"/>
      </bottom>
      <diagonal/>
    </border>
    <border>
      <left/>
      <right/>
      <top style="hair">
        <color rgb="FFC8CDD2"/>
      </top>
      <bottom style="hair">
        <color rgb="FFC8CDD2"/>
      </bottom>
      <diagonal/>
    </border>
    <border>
      <left style="thick">
        <color rgb="FF1F3864"/>
      </left>
      <right/>
      <top style="hair">
        <color rgb="FFC8CDD2"/>
      </top>
      <bottom style="thick">
        <color rgb="FF1F3864"/>
      </bottom>
      <diagonal/>
    </border>
    <border>
      <left/>
      <right/>
      <top style="hair">
        <color rgb="FFC8CDD2"/>
      </top>
      <bottom style="thick">
        <color rgb="FF1F3864"/>
      </bottom>
      <diagonal/>
    </border>
    <border>
      <left/>
      <right style="thick">
        <color rgb="FF1F3864"/>
      </right>
      <top style="hair">
        <color rgb="FFC8CDD2"/>
      </top>
      <bottom style="thick">
        <color rgb="FF1F3864"/>
      </bottom>
      <diagonal/>
    </border>
    <border>
      <left style="hair">
        <color rgb="FFC8CDD2"/>
      </left>
      <right style="hair">
        <color rgb="FFC8CDD2"/>
      </right>
      <top style="thick">
        <color rgb="FF1F3864"/>
      </top>
      <bottom style="hair">
        <color rgb="FFC8CDD2"/>
      </bottom>
      <diagonal/>
    </border>
    <border>
      <left style="hair">
        <color rgb="FFC8CDD2"/>
      </left>
      <right style="thick">
        <color rgb="FF1F3864"/>
      </right>
      <top style="thick">
        <color rgb="FF1F3864"/>
      </top>
      <bottom style="hair">
        <color rgb="FFC8CDD2"/>
      </bottom>
      <diagonal/>
    </border>
    <border>
      <left style="hair">
        <color rgb="FFC8CDD2"/>
      </left>
      <right style="hair">
        <color rgb="FFC8CDD2"/>
      </right>
      <top style="hair">
        <color rgb="FFC8CDD2"/>
      </top>
      <bottom style="hair">
        <color rgb="FFC8CDD2"/>
      </bottom>
      <diagonal/>
    </border>
    <border>
      <left style="hair">
        <color rgb="FFC8CDD2"/>
      </left>
      <right style="thick">
        <color rgb="FF1F3864"/>
      </right>
      <top style="hair">
        <color rgb="FFC8CDD2"/>
      </top>
      <bottom style="hair">
        <color rgb="FFC8CDD2"/>
      </bottom>
      <diagonal/>
    </border>
    <border>
      <left style="hair">
        <color rgb="FFC8CDD2"/>
      </left>
      <right style="hair">
        <color rgb="FFC8CDD2"/>
      </right>
      <top style="hair">
        <color rgb="FFC8CDD2"/>
      </top>
      <bottom style="thick">
        <color rgb="FF1F3864"/>
      </bottom>
      <diagonal/>
    </border>
    <border>
      <left style="hair">
        <color rgb="FFC8CDD2"/>
      </left>
      <right style="thick">
        <color rgb="FF1F3864"/>
      </right>
      <top style="hair">
        <color rgb="FFC8CDD2"/>
      </top>
      <bottom style="thick">
        <color rgb="FF1F3864"/>
      </bottom>
      <diagonal/>
    </border>
    <border>
      <left/>
      <right style="hair">
        <color rgb="FFC8CDD2"/>
      </right>
      <top style="thick">
        <color rgb="FF1F3864"/>
      </top>
      <bottom style="hair">
        <color rgb="FFC8CDD2"/>
      </bottom>
      <diagonal/>
    </border>
    <border>
      <left/>
      <right style="hair">
        <color rgb="FFC8CDD2"/>
      </right>
      <top style="hair">
        <color rgb="FFC8CDD2"/>
      </top>
      <bottom style="hair">
        <color rgb="FFC8CDD2"/>
      </bottom>
      <diagonal/>
    </border>
    <border>
      <left/>
      <right style="hair">
        <color rgb="FFC8CDD2"/>
      </right>
      <top style="hair">
        <color rgb="FFC8CDD2"/>
      </top>
      <bottom style="thick">
        <color rgb="FF1F3864"/>
      </bottom>
      <diagonal/>
    </border>
    <border>
      <left style="thick">
        <color rgb="FF1F3864"/>
      </left>
      <right style="medium">
        <color rgb="FF2F5496"/>
      </right>
      <top style="thick">
        <color rgb="FF1F3864"/>
      </top>
      <bottom style="hair">
        <color rgb="FFC8CDD2"/>
      </bottom>
      <diagonal/>
    </border>
    <border>
      <left style="thick">
        <color rgb="FF1F3864"/>
      </left>
      <right style="medium">
        <color rgb="FF2F5496"/>
      </right>
      <top style="hair">
        <color rgb="FFC8CDD2"/>
      </top>
      <bottom style="hair">
        <color rgb="FFC8CDD2"/>
      </bottom>
      <diagonal/>
    </border>
    <border>
      <left style="thick">
        <color rgb="FF1F3864"/>
      </left>
      <right style="medium">
        <color rgb="FF2F5496"/>
      </right>
      <top style="hair">
        <color rgb="FFC8CDD2"/>
      </top>
      <bottom style="thick">
        <color rgb="FF1F3864"/>
      </bottom>
      <diagonal/>
    </border>
    <border>
      <left/>
      <right style="thick">
        <color rgb="FF1F3864"/>
      </right>
      <top style="thick">
        <color rgb="FF1F3864"/>
      </top>
      <bottom style="thin">
        <color rgb="FF95A5A6"/>
      </bottom>
      <diagonal/>
    </border>
    <border>
      <left/>
      <right style="thin">
        <color rgb="FFD5DBDB"/>
      </right>
      <top style="thick">
        <color rgb="FF1F3864"/>
      </top>
      <bottom style="thick">
        <color rgb="FFD5DBDB"/>
      </bottom>
      <diagonal/>
    </border>
    <border>
      <left/>
      <right style="thin">
        <color rgb="FFD5DBDB"/>
      </right>
      <top style="thick">
        <color rgb="FFD5DBDB"/>
      </top>
      <bottom style="thick">
        <color rgb="FFD5DBDB"/>
      </bottom>
      <diagonal/>
    </border>
    <border>
      <left/>
      <right style="thin">
        <color rgb="FFD5DBDB"/>
      </right>
      <top style="thick">
        <color rgb="FFD5DBDB"/>
      </top>
      <bottom style="thick">
        <color rgb="FF1F3864"/>
      </bottom>
      <diagonal/>
    </border>
    <border>
      <left style="thick">
        <color rgb="FF1F3864"/>
      </left>
      <right style="medium">
        <color rgb="FF2F5496"/>
      </right>
      <top style="thick">
        <color rgb="FF1F3864"/>
      </top>
      <bottom style="thick">
        <color rgb="FFD5DBDB"/>
      </bottom>
      <diagonal/>
    </border>
    <border>
      <left style="thick">
        <color rgb="FF1F3864"/>
      </left>
      <right style="medium">
        <color rgb="FF2F5496"/>
      </right>
      <top style="thick">
        <color rgb="FFD5DBDB"/>
      </top>
      <bottom style="thick">
        <color rgb="FFD5DBDB"/>
      </bottom>
      <diagonal/>
    </border>
    <border>
      <left style="thick">
        <color rgb="FF1F3864"/>
      </left>
      <right style="medium">
        <color rgb="FF2F5496"/>
      </right>
      <top style="thick">
        <color rgb="FFD5DBDB"/>
      </top>
      <bottom style="thick">
        <color rgb="FF1F3864"/>
      </bottom>
      <diagonal/>
    </border>
    <border>
      <left style="medium">
        <color rgb="FF1F3864"/>
      </left>
      <right style="thin">
        <color rgb="FFD5DBDB"/>
      </right>
      <top style="thick">
        <color rgb="FF1F3864"/>
      </top>
      <bottom/>
      <diagonal/>
    </border>
    <border>
      <left/>
      <right style="thin">
        <color rgb="FFD5DBDB"/>
      </right>
      <top style="thick">
        <color rgb="FF1F3864"/>
      </top>
      <bottom style="thin">
        <color rgb="FFD5DBDB"/>
      </bottom>
      <diagonal/>
    </border>
    <border>
      <left/>
      <right style="thin">
        <color rgb="FFD5DBDB"/>
      </right>
      <top style="thin">
        <color rgb="FFD5DBDB"/>
      </top>
      <bottom style="thin">
        <color rgb="FFD5DBDB"/>
      </bottom>
      <diagonal/>
    </border>
    <border>
      <left/>
      <right style="thin">
        <color rgb="FFD5DBDB"/>
      </right>
      <top style="thin">
        <color rgb="FFD5DBDB"/>
      </top>
      <bottom style="thick">
        <color rgb="FF1F3864"/>
      </bottom>
      <diagonal/>
    </border>
    <border>
      <left style="thick">
        <color rgb="FF1F3864"/>
      </left>
      <right style="medium">
        <color rgb="FF2F5496"/>
      </right>
      <top style="thick">
        <color rgb="FF1F3864"/>
      </top>
      <bottom style="thin">
        <color rgb="FFD5DBDB"/>
      </bottom>
      <diagonal/>
    </border>
    <border>
      <left style="thick">
        <color rgb="FF1F3864"/>
      </left>
      <right style="medium">
        <color rgb="FF2F5496"/>
      </right>
      <top style="thin">
        <color rgb="FFD5DBDB"/>
      </top>
      <bottom style="thin">
        <color rgb="FFD5DBDB"/>
      </bottom>
      <diagonal/>
    </border>
    <border>
      <left style="thick">
        <color rgb="FF1F3864"/>
      </left>
      <right style="medium">
        <color rgb="FF2F5496"/>
      </right>
      <top style="thin">
        <color rgb="FFD5DBDB"/>
      </top>
      <bottom style="thick">
        <color rgb="FF1F3864"/>
      </bottom>
      <diagonal/>
    </border>
    <border>
      <left style="thick">
        <color rgb="FF1F3864"/>
      </left>
      <right style="medium">
        <color rgb="FF2F5496"/>
      </right>
      <top style="thick">
        <color rgb="FF1F3864"/>
      </top>
      <bottom style="thin">
        <color rgb="FF95A5A6"/>
      </bottom>
      <diagonal/>
    </border>
    <border>
      <left style="thick">
        <color rgb="FF1F3864"/>
      </left>
      <right style="medium">
        <color rgb="FF2F5496"/>
      </right>
      <top style="thin">
        <color rgb="FF95A5A6"/>
      </top>
      <bottom style="thin">
        <color rgb="FF95A5A6"/>
      </bottom>
      <diagonal/>
    </border>
    <border>
      <left style="thick">
        <color rgb="FF1F3864"/>
      </left>
      <right style="medium">
        <color rgb="FF2F5496"/>
      </right>
      <top style="thin">
        <color rgb="FF95A5A6"/>
      </top>
      <bottom style="thick">
        <color rgb="FF1F3864"/>
      </bottom>
      <diagonal/>
    </border>
    <border>
      <left style="thick">
        <color rgb="FF1F3864"/>
      </left>
      <right style="medium">
        <color rgb="FF2F5496"/>
      </right>
      <top/>
      <bottom/>
      <diagonal/>
    </border>
    <border>
      <left style="thick">
        <color rgb="FF1F3864"/>
      </left>
      <right style="medium">
        <color rgb="FF2F5496"/>
      </right>
      <top/>
      <bottom style="thick">
        <color rgb="FF1F3864"/>
      </bottom>
      <diagonal/>
    </border>
    <border>
      <left/>
      <right/>
      <top style="thin">
        <color rgb="FF95A5A6"/>
      </top>
      <bottom style="thick">
        <color rgb="FF1F3864"/>
      </bottom>
      <diagonal/>
    </border>
    <border>
      <left/>
      <right/>
      <top style="thick">
        <color rgb="FFAED6F1"/>
      </top>
      <bottom/>
      <diagonal/>
    </border>
    <border>
      <left/>
      <right/>
      <top style="thin">
        <color rgb="FF95A5A6"/>
      </top>
      <bottom/>
      <diagonal/>
    </border>
    <border>
      <left style="thick">
        <color rgb="FF1F3864"/>
      </left>
      <right style="medium">
        <color rgb="FF2F5496"/>
      </right>
      <top style="thin">
        <color rgb="FF95A5A6"/>
      </top>
      <bottom style="thin">
        <color rgb="FF2C3E50"/>
      </bottom>
      <diagonal/>
    </border>
    <border>
      <left style="thick">
        <color rgb="FF1F3864"/>
      </left>
      <right style="medium">
        <color rgb="FF2F5496"/>
      </right>
      <top style="thick">
        <color rgb="FF1A5276"/>
      </top>
      <bottom/>
      <diagonal/>
    </border>
    <border>
      <left style="thick">
        <color rgb="FF1F3864"/>
      </left>
      <right style="medium">
        <color rgb="FF2F5496"/>
      </right>
      <top style="thick">
        <color rgb="FFAED6F1"/>
      </top>
      <bottom/>
      <diagonal/>
    </border>
    <border>
      <left style="thick">
        <color rgb="FF1F3864"/>
      </left>
      <right style="medium">
        <color rgb="FF2F5496"/>
      </right>
      <top style="thin">
        <color rgb="FF95A5A6"/>
      </top>
      <bottom/>
      <diagonal/>
    </border>
    <border>
      <left style="thick">
        <color rgb="FF1F3864"/>
      </left>
      <right style="medium">
        <color rgb="FF2F5496"/>
      </right>
      <top style="thin">
        <color rgb="FF95A5A6"/>
      </top>
      <bottom style="thick">
        <color rgb="FF1A5276"/>
      </bottom>
      <diagonal/>
    </border>
    <border>
      <left/>
      <right style="thick">
        <color rgb="FF1F3864"/>
      </right>
      <top style="hair">
        <color rgb="FFC8CDD2"/>
      </top>
      <bottom style="hair">
        <color rgb="FFC8CDD2"/>
      </bottom>
      <diagonal/>
    </border>
    <border>
      <left style="medium">
        <color rgb="FF1F3864"/>
      </left>
      <right/>
      <top style="thick">
        <color rgb="FF1F3864"/>
      </top>
      <bottom style="medium">
        <color rgb="FFD5DBDB"/>
      </bottom>
      <diagonal/>
    </border>
    <border>
      <left/>
      <right/>
      <top style="thick">
        <color rgb="FF1F3864"/>
      </top>
      <bottom style="medium">
        <color rgb="FFD5DBDB"/>
      </bottom>
      <diagonal/>
    </border>
    <border>
      <left/>
      <right style="medium">
        <color rgb="FF1F3864"/>
      </right>
      <top style="thick">
        <color rgb="FF1F3864"/>
      </top>
      <bottom style="medium">
        <color rgb="FFD5DBDB"/>
      </bottom>
      <diagonal/>
    </border>
    <border>
      <left style="medium">
        <color rgb="FF1F3864"/>
      </left>
      <right/>
      <top style="medium">
        <color rgb="FFD5DBDB"/>
      </top>
      <bottom style="medium">
        <color rgb="FFD5DBDB"/>
      </bottom>
      <diagonal/>
    </border>
    <border>
      <left/>
      <right/>
      <top style="medium">
        <color rgb="FFD5DBDB"/>
      </top>
      <bottom style="medium">
        <color rgb="FFD5DBDB"/>
      </bottom>
      <diagonal/>
    </border>
    <border>
      <left/>
      <right style="medium">
        <color rgb="FF1F3864"/>
      </right>
      <top style="medium">
        <color rgb="FFD5DBDB"/>
      </top>
      <bottom style="medium">
        <color rgb="FFD5DBDB"/>
      </bottom>
      <diagonal/>
    </border>
    <border>
      <left style="medium">
        <color rgb="FF1F3864"/>
      </left>
      <right/>
      <top style="medium">
        <color rgb="FFD5DBDB"/>
      </top>
      <bottom style="medium">
        <color rgb="FF1F3864"/>
      </bottom>
      <diagonal/>
    </border>
    <border>
      <left/>
      <right/>
      <top style="medium">
        <color rgb="FFD5DBDB"/>
      </top>
      <bottom style="medium">
        <color rgb="FF1F3864"/>
      </bottom>
      <diagonal/>
    </border>
    <border>
      <left/>
      <right style="medium">
        <color rgb="FF1F3864"/>
      </right>
      <top style="medium">
        <color rgb="FFD5DBDB"/>
      </top>
      <bottom style="medium">
        <color rgb="FF1F3864"/>
      </bottom>
      <diagonal/>
    </border>
    <border>
      <left style="thin">
        <color rgb="FF1F3864"/>
      </left>
      <right/>
      <top/>
      <bottom style="thick">
        <color rgb="FF1F3864"/>
      </bottom>
      <diagonal/>
    </border>
    <border>
      <left/>
      <right style="thin">
        <color rgb="FF95A5A6"/>
      </right>
      <top/>
      <bottom style="thick">
        <color rgb="FF1F3864"/>
      </bottom>
      <diagonal/>
    </border>
    <border>
      <left style="medium">
        <color rgb="FF2F5496"/>
      </left>
      <right/>
      <top style="hair">
        <color rgb="FFC8CDD2"/>
      </top>
      <bottom style="thick">
        <color rgb="FF1F3864"/>
      </bottom>
      <diagonal/>
    </border>
    <border>
      <left style="thin">
        <color rgb="FF1F3864"/>
      </left>
      <right/>
      <top/>
      <bottom/>
      <diagonal/>
    </border>
    <border>
      <left style="thin">
        <color rgb="FFD5DBDB"/>
      </left>
      <right/>
      <top/>
      <bottom/>
      <diagonal/>
    </border>
    <border>
      <left style="thin">
        <color rgb="FF2C3E50"/>
      </left>
      <right/>
      <top style="thin">
        <color rgb="FF95A5A6"/>
      </top>
      <bottom style="thin">
        <color rgb="FF95A5A6"/>
      </bottom>
      <diagonal/>
    </border>
    <border>
      <left/>
      <right/>
      <top style="thin">
        <color rgb="FF95A5A6"/>
      </top>
      <bottom style="thin">
        <color rgb="FF95A5A6"/>
      </bottom>
      <diagonal/>
    </border>
    <border>
      <left style="medium">
        <color rgb="FF2F5496"/>
      </left>
      <right/>
      <top style="hair">
        <color rgb="FFC8CDD2"/>
      </top>
      <bottom style="hair">
        <color rgb="FFC8CDD2"/>
      </bottom>
      <diagonal/>
    </border>
    <border>
      <left style="medium">
        <color rgb="FFD5DBDB"/>
      </left>
      <right/>
      <top style="thick">
        <color rgb="FF1F3864"/>
      </top>
      <bottom style="thick">
        <color rgb="FFD5DBDB"/>
      </bottom>
      <diagonal/>
    </border>
    <border>
      <left/>
      <right/>
      <top style="thick">
        <color rgb="FF1F3864"/>
      </top>
      <bottom style="thick">
        <color rgb="FFD5DBDB"/>
      </bottom>
      <diagonal/>
    </border>
    <border>
      <left/>
      <right style="thin">
        <color rgb="FF1F3864"/>
      </right>
      <top style="thick">
        <color rgb="FF1F3864"/>
      </top>
      <bottom style="thick">
        <color rgb="FFD5DBDB"/>
      </bottom>
      <diagonal/>
    </border>
    <border>
      <left style="medium">
        <color rgb="FFD5DBDB"/>
      </left>
      <right/>
      <top style="thick">
        <color rgb="FFD5DBDB"/>
      </top>
      <bottom style="thin">
        <color rgb="FF1F3864"/>
      </bottom>
      <diagonal/>
    </border>
    <border>
      <left/>
      <right/>
      <top style="thick">
        <color rgb="FFD5DBDB"/>
      </top>
      <bottom style="thin">
        <color rgb="FF1F3864"/>
      </bottom>
      <diagonal/>
    </border>
    <border>
      <left/>
      <right style="thin">
        <color rgb="FF1F3864"/>
      </right>
      <top style="thick">
        <color rgb="FFD5DBDB"/>
      </top>
      <bottom style="thin">
        <color rgb="FF1F3864"/>
      </bottom>
      <diagonal/>
    </border>
    <border>
      <left style="thick">
        <color rgb="FF1F3864"/>
      </left>
      <right/>
      <top style="thick">
        <color rgb="FF1F3864"/>
      </top>
      <bottom style="thin">
        <color rgb="FF95A5A6"/>
      </bottom>
      <diagonal/>
    </border>
    <border>
      <left/>
      <right/>
      <top style="thick">
        <color rgb="FF1F3864"/>
      </top>
      <bottom style="thin">
        <color rgb="FF95A5A6"/>
      </bottom>
      <diagonal/>
    </border>
    <border>
      <left style="medium">
        <color rgb="FF2F5496"/>
      </left>
      <right/>
      <top/>
      <bottom/>
      <diagonal/>
    </border>
    <border>
      <left/>
      <right style="thick">
        <color rgb="FF1F3864"/>
      </right>
      <top style="thin">
        <color rgb="FF95A5A6"/>
      </top>
      <bottom style="thin">
        <color rgb="FF95A5A6"/>
      </bottom>
      <diagonal/>
    </border>
    <border>
      <left/>
      <right style="thick">
        <color rgb="FF1F3864"/>
      </right>
      <top style="thin">
        <color rgb="FF95A5A6"/>
      </top>
      <bottom style="thick">
        <color rgb="FF1F3864"/>
      </bottom>
      <diagonal/>
    </border>
    <border>
      <left style="medium">
        <color rgb="FF666666"/>
      </left>
      <right/>
      <top/>
      <bottom style="thick">
        <color rgb="FF1F3864"/>
      </bottom>
      <diagonal/>
    </border>
  </borders>
  <cellStyleXfs count="3">
    <xf numFmtId="0" fontId="0" fillId="0" borderId="0"/>
    <xf numFmtId="9" fontId="1" fillId="0" borderId="0"/>
    <xf numFmtId="0" fontId="3" fillId="0" borderId="0"/>
  </cellStyleXfs>
  <cellXfs count="1954">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xf>
    <xf numFmtId="0" fontId="0" fillId="0" borderId="0" xfId="0" applyAlignment="1">
      <alignment vertical="center"/>
    </xf>
    <xf numFmtId="0" fontId="6" fillId="0" borderId="0" xfId="0" applyFont="1"/>
    <xf numFmtId="0" fontId="6" fillId="0" borderId="0" xfId="0" applyFont="1" applyAlignment="1">
      <alignment wrapText="1"/>
    </xf>
    <xf numFmtId="0" fontId="8" fillId="0" borderId="0" xfId="0" applyFont="1"/>
    <xf numFmtId="0" fontId="4" fillId="6" borderId="0" xfId="0" applyFont="1" applyFill="1" applyAlignment="1">
      <alignment horizontal="center" vertical="center" wrapText="1"/>
    </xf>
    <xf numFmtId="0" fontId="0" fillId="0" borderId="0" xfId="0" applyAlignment="1">
      <alignment wrapText="1"/>
    </xf>
    <xf numFmtId="0" fontId="12" fillId="13" borderId="0" xfId="0" applyFont="1" applyFill="1"/>
    <xf numFmtId="0" fontId="0" fillId="0" borderId="0" xfId="0" applyAlignment="1">
      <alignment vertical="top" wrapText="1"/>
    </xf>
    <xf numFmtId="0" fontId="7" fillId="6" borderId="0" xfId="0" applyFont="1" applyFill="1" applyAlignment="1">
      <alignment vertical="center"/>
    </xf>
    <xf numFmtId="0" fontId="2" fillId="0" borderId="0" xfId="0" applyFont="1"/>
    <xf numFmtId="0" fontId="14" fillId="0" borderId="0" xfId="0" applyFont="1"/>
    <xf numFmtId="0" fontId="12" fillId="0" borderId="0" xfId="0" applyFont="1"/>
    <xf numFmtId="0" fontId="6" fillId="0" borderId="0" xfId="0" applyFont="1" applyAlignment="1">
      <alignment horizontal="center" vertical="center"/>
    </xf>
    <xf numFmtId="0" fontId="12" fillId="0" borderId="0" xfId="0" applyFont="1" applyAlignment="1">
      <alignment vertical="center"/>
    </xf>
    <xf numFmtId="0" fontId="0" fillId="0" borderId="0" xfId="0" applyAlignment="1">
      <alignment horizontal="center" vertical="top" wrapText="1"/>
    </xf>
    <xf numFmtId="0" fontId="0" fillId="0" borderId="0" xfId="0" applyAlignment="1">
      <alignment vertical="center" wrapText="1"/>
    </xf>
    <xf numFmtId="0" fontId="16" fillId="0" borderId="0" xfId="0" applyFont="1" applyAlignment="1">
      <alignment vertical="center"/>
    </xf>
    <xf numFmtId="0" fontId="15" fillId="0" borderId="0" xfId="0" applyFont="1" applyAlignment="1">
      <alignment vertical="center"/>
    </xf>
    <xf numFmtId="0" fontId="15" fillId="0" borderId="0" xfId="0" applyFont="1" applyAlignment="1">
      <alignment vertical="center" wrapText="1"/>
    </xf>
    <xf numFmtId="0" fontId="12" fillId="10" borderId="0" xfId="0" applyFont="1" applyFill="1"/>
    <xf numFmtId="0" fontId="12" fillId="7" borderId="0" xfId="0" applyFont="1" applyFill="1" applyAlignment="1">
      <alignment vertical="center" wrapText="1"/>
    </xf>
    <xf numFmtId="0" fontId="12" fillId="13" borderId="0" xfId="0" applyFont="1" applyFill="1" applyAlignment="1">
      <alignment vertical="center"/>
    </xf>
    <xf numFmtId="0" fontId="12" fillId="0" borderId="0" xfId="0" applyFont="1" applyAlignment="1">
      <alignment horizontal="center"/>
    </xf>
    <xf numFmtId="0" fontId="0" fillId="12" borderId="0" xfId="0" applyFill="1"/>
    <xf numFmtId="0" fontId="6" fillId="12" borderId="0" xfId="0" applyFont="1" applyFill="1"/>
    <xf numFmtId="0" fontId="6" fillId="0" borderId="0" xfId="0" applyFont="1" applyAlignment="1">
      <alignment vertical="center"/>
    </xf>
    <xf numFmtId="0" fontId="12" fillId="0" borderId="0" xfId="0" applyFont="1" applyAlignment="1">
      <alignment horizontal="center" vertical="center" wrapText="1"/>
    </xf>
    <xf numFmtId="0" fontId="1" fillId="0" borderId="0" xfId="0" applyFont="1" applyAlignment="1">
      <alignment vertical="center"/>
    </xf>
    <xf numFmtId="0" fontId="1" fillId="12" borderId="0" xfId="0" applyFont="1" applyFill="1" applyAlignment="1">
      <alignment vertical="center"/>
    </xf>
    <xf numFmtId="0" fontId="1" fillId="13" borderId="0" xfId="0" applyFont="1" applyFill="1" applyAlignment="1">
      <alignment vertical="center" wrapText="1"/>
    </xf>
    <xf numFmtId="0" fontId="1" fillId="16" borderId="0" xfId="0" applyFont="1" applyFill="1" applyAlignment="1">
      <alignment vertical="center" wrapText="1"/>
    </xf>
    <xf numFmtId="0" fontId="1" fillId="0" borderId="0" xfId="0" applyFont="1" applyAlignment="1">
      <alignment vertical="center" wrapText="1"/>
    </xf>
    <xf numFmtId="0" fontId="13" fillId="0" borderId="0" xfId="0" applyFont="1" applyAlignment="1">
      <alignment horizontal="center"/>
    </xf>
    <xf numFmtId="0" fontId="13" fillId="0" borderId="0" xfId="0" applyFont="1" applyAlignment="1">
      <alignment horizontal="left"/>
    </xf>
    <xf numFmtId="0" fontId="13" fillId="0" borderId="0" xfId="0" applyFont="1"/>
    <xf numFmtId="166" fontId="13" fillId="0" borderId="0" xfId="0" applyNumberFormat="1" applyFont="1" applyAlignment="1">
      <alignment horizontal="right"/>
    </xf>
    <xf numFmtId="0" fontId="12" fillId="11" borderId="0" xfId="0" applyFont="1" applyFill="1"/>
    <xf numFmtId="0" fontId="2" fillId="0" borderId="0" xfId="0" applyFont="1" applyAlignment="1">
      <alignment horizontal="center"/>
    </xf>
    <xf numFmtId="0" fontId="10" fillId="0" borderId="0" xfId="0" applyFont="1"/>
    <xf numFmtId="0" fontId="9" fillId="0" borderId="0" xfId="0" applyFont="1"/>
    <xf numFmtId="0" fontId="0" fillId="2" borderId="0" xfId="0" applyFill="1"/>
    <xf numFmtId="0" fontId="15" fillId="0" borderId="0" xfId="0" applyFont="1" applyAlignment="1">
      <alignment horizontal="center" vertical="center"/>
    </xf>
    <xf numFmtId="0" fontId="0" fillId="0" borderId="0" xfId="0" applyAlignment="1">
      <alignment horizontal="center" vertical="center" wrapText="1"/>
    </xf>
    <xf numFmtId="0" fontId="26" fillId="2" borderId="0" xfId="0" applyFont="1" applyFill="1" applyAlignment="1">
      <alignment horizontal="left" vertical="center"/>
    </xf>
    <xf numFmtId="0" fontId="27" fillId="23" borderId="0" xfId="0" applyFont="1" applyFill="1" applyAlignment="1">
      <alignment horizontal="left" vertical="center"/>
    </xf>
    <xf numFmtId="0" fontId="0" fillId="0" borderId="16" xfId="0" applyBorder="1"/>
    <xf numFmtId="0" fontId="0" fillId="2" borderId="15" xfId="0" applyFill="1" applyBorder="1"/>
    <xf numFmtId="0" fontId="0" fillId="2" borderId="16" xfId="0" applyFill="1" applyBorder="1"/>
    <xf numFmtId="0" fontId="11" fillId="2" borderId="15" xfId="0" applyFont="1" applyFill="1" applyBorder="1" applyAlignment="1">
      <alignment vertical="top" wrapText="1"/>
    </xf>
    <xf numFmtId="0" fontId="0" fillId="0" borderId="16" xfId="0" applyBorder="1" applyAlignment="1">
      <alignment vertical="top" wrapText="1"/>
    </xf>
    <xf numFmtId="0" fontId="13" fillId="2" borderId="15" xfId="0" applyFont="1" applyFill="1" applyBorder="1" applyAlignment="1">
      <alignment vertical="center" wrapText="1"/>
    </xf>
    <xf numFmtId="0" fontId="9" fillId="2" borderId="15" xfId="0" applyFont="1" applyFill="1" applyBorder="1" applyAlignment="1">
      <alignment vertical="center"/>
    </xf>
    <xf numFmtId="0" fontId="0" fillId="0" borderId="18" xfId="0" applyBorder="1" applyAlignment="1">
      <alignment vertical="top" wrapText="1"/>
    </xf>
    <xf numFmtId="0" fontId="1" fillId="0" borderId="21" xfId="0" applyFont="1" applyBorder="1" applyAlignment="1">
      <alignment vertical="center"/>
    </xf>
    <xf numFmtId="0" fontId="1" fillId="0" borderId="22" xfId="0" applyFont="1" applyBorder="1" applyAlignment="1">
      <alignment vertical="center"/>
    </xf>
    <xf numFmtId="0" fontId="4" fillId="6" borderId="22" xfId="0" applyFont="1" applyFill="1" applyBorder="1" applyAlignment="1">
      <alignment horizontal="center" vertical="center" wrapText="1"/>
    </xf>
    <xf numFmtId="0" fontId="0" fillId="25" borderId="15" xfId="0" applyFill="1" applyBorder="1"/>
    <xf numFmtId="0" fontId="0" fillId="25" borderId="16" xfId="0" applyFill="1" applyBorder="1"/>
    <xf numFmtId="1" fontId="23" fillId="25" borderId="15" xfId="0" applyNumberFormat="1" applyFont="1" applyFill="1" applyBorder="1" applyAlignment="1">
      <alignment horizontal="right"/>
    </xf>
    <xf numFmtId="1" fontId="23" fillId="2" borderId="15" xfId="0" applyNumberFormat="1" applyFont="1" applyFill="1" applyBorder="1" applyAlignment="1">
      <alignment horizontal="right"/>
    </xf>
    <xf numFmtId="0" fontId="0" fillId="25" borderId="17" xfId="0" applyFill="1" applyBorder="1"/>
    <xf numFmtId="0" fontId="0" fillId="25" borderId="18" xfId="0" applyFill="1" applyBorder="1"/>
    <xf numFmtId="0" fontId="29" fillId="25" borderId="15" xfId="0" applyFont="1" applyFill="1" applyBorder="1" applyAlignment="1">
      <alignment horizontal="center" vertical="center" wrapText="1"/>
    </xf>
    <xf numFmtId="0" fontId="29" fillId="25" borderId="16" xfId="0" applyFont="1" applyFill="1" applyBorder="1" applyAlignment="1">
      <alignment horizontal="center" vertical="center" wrapText="1"/>
    </xf>
    <xf numFmtId="0" fontId="1" fillId="25" borderId="15" xfId="0" applyFont="1" applyFill="1" applyBorder="1" applyAlignment="1">
      <alignment vertical="center"/>
    </xf>
    <xf numFmtId="0" fontId="1" fillId="25" borderId="16" xfId="0" applyFont="1" applyFill="1" applyBorder="1" applyAlignment="1">
      <alignment vertical="center"/>
    </xf>
    <xf numFmtId="0" fontId="1" fillId="2" borderId="15" xfId="0" applyFont="1" applyFill="1" applyBorder="1" applyAlignment="1">
      <alignment vertical="center" wrapText="1"/>
    </xf>
    <xf numFmtId="0" fontId="1" fillId="2" borderId="16" xfId="0" applyFont="1" applyFill="1" applyBorder="1" applyAlignment="1">
      <alignment vertical="center" wrapText="1"/>
    </xf>
    <xf numFmtId="0" fontId="1" fillId="25" borderId="15" xfId="0" applyFont="1" applyFill="1" applyBorder="1" applyAlignment="1">
      <alignment vertical="center" wrapText="1"/>
    </xf>
    <xf numFmtId="0" fontId="1" fillId="25" borderId="16" xfId="0" applyFont="1" applyFill="1" applyBorder="1" applyAlignment="1">
      <alignment vertical="center" wrapText="1"/>
    </xf>
    <xf numFmtId="0" fontId="1" fillId="2" borderId="15" xfId="0" applyFont="1" applyFill="1" applyBorder="1" applyAlignment="1">
      <alignment vertical="center"/>
    </xf>
    <xf numFmtId="0" fontId="1" fillId="2" borderId="16" xfId="0" applyFont="1" applyFill="1" applyBorder="1" applyAlignment="1">
      <alignment vertical="center"/>
    </xf>
    <xf numFmtId="0" fontId="6" fillId="25" borderId="15" xfId="0" applyFont="1" applyFill="1" applyBorder="1" applyAlignment="1">
      <alignment vertical="center"/>
    </xf>
    <xf numFmtId="0" fontId="6" fillId="25" borderId="16" xfId="0" applyFont="1" applyFill="1" applyBorder="1" applyAlignment="1">
      <alignment vertical="center"/>
    </xf>
    <xf numFmtId="0" fontId="9" fillId="25" borderId="20" xfId="0" applyFont="1" applyFill="1" applyBorder="1" applyAlignment="1">
      <alignment vertical="center" wrapText="1"/>
    </xf>
    <xf numFmtId="0" fontId="9" fillId="25" borderId="17" xfId="0" applyFont="1" applyFill="1" applyBorder="1" applyAlignment="1">
      <alignment vertical="center"/>
    </xf>
    <xf numFmtId="0" fontId="1" fillId="25" borderId="17" xfId="0" applyFont="1" applyFill="1" applyBorder="1" applyAlignment="1">
      <alignment vertical="center"/>
    </xf>
    <xf numFmtId="0" fontId="1" fillId="25" borderId="18" xfId="0" applyFont="1" applyFill="1" applyBorder="1" applyAlignment="1">
      <alignment vertical="center"/>
    </xf>
    <xf numFmtId="0" fontId="6" fillId="25" borderId="15" xfId="0" applyFont="1" applyFill="1" applyBorder="1" applyAlignment="1">
      <alignment horizontal="center" vertical="center"/>
    </xf>
    <xf numFmtId="0" fontId="6" fillId="25" borderId="16"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6" xfId="0" applyFont="1" applyFill="1" applyBorder="1" applyAlignment="1">
      <alignment horizontal="center" vertical="center"/>
    </xf>
    <xf numFmtId="0" fontId="28" fillId="25" borderId="27" xfId="0" applyFont="1" applyFill="1" applyBorder="1" applyAlignment="1">
      <alignment horizontal="center" vertical="center" wrapText="1"/>
    </xf>
    <xf numFmtId="0" fontId="28" fillId="25" borderId="28" xfId="0" applyFont="1" applyFill="1" applyBorder="1" applyAlignment="1">
      <alignment horizontal="center" vertical="center" wrapText="1"/>
    </xf>
    <xf numFmtId="0" fontId="12" fillId="19" borderId="0" xfId="0" applyFont="1" applyFill="1" applyAlignment="1">
      <alignment vertical="center"/>
    </xf>
    <xf numFmtId="0" fontId="2" fillId="0" borderId="0" xfId="0" applyFont="1" applyAlignment="1">
      <alignment horizontal="center" vertical="center"/>
    </xf>
    <xf numFmtId="0" fontId="0" fillId="7" borderId="0" xfId="0" applyFill="1"/>
    <xf numFmtId="0" fontId="31" fillId="17" borderId="9" xfId="0" applyFont="1" applyFill="1" applyBorder="1" applyAlignment="1">
      <alignment horizontal="center" vertical="center" wrapText="1"/>
    </xf>
    <xf numFmtId="0" fontId="25" fillId="23" borderId="0" xfId="0" applyFont="1" applyFill="1" applyAlignment="1">
      <alignment horizontal="left" vertical="center"/>
    </xf>
    <xf numFmtId="0" fontId="58" fillId="0" borderId="0" xfId="2" applyFont="1"/>
    <xf numFmtId="0" fontId="59" fillId="2" borderId="0" xfId="0" applyFont="1" applyFill="1" applyAlignment="1">
      <alignment horizontal="left" vertical="center"/>
    </xf>
    <xf numFmtId="0" fontId="59" fillId="25" borderId="27" xfId="0" applyFont="1" applyFill="1" applyBorder="1" applyAlignment="1">
      <alignment horizontal="center" vertical="center" wrapText="1"/>
    </xf>
    <xf numFmtId="0" fontId="59" fillId="25" borderId="28" xfId="0" applyFont="1" applyFill="1" applyBorder="1" applyAlignment="1">
      <alignment horizontal="center" vertical="center" wrapText="1"/>
    </xf>
    <xf numFmtId="0" fontId="36" fillId="0" borderId="15" xfId="0" applyFont="1" applyBorder="1"/>
    <xf numFmtId="0" fontId="36" fillId="0" borderId="16" xfId="0" applyFont="1" applyBorder="1"/>
    <xf numFmtId="0" fontId="66" fillId="2" borderId="15" xfId="0" applyFont="1" applyFill="1" applyBorder="1" applyAlignment="1">
      <alignment vertical="center" wrapText="1"/>
    </xf>
    <xf numFmtId="0" fontId="66" fillId="2" borderId="15" xfId="0" applyFont="1" applyFill="1" applyBorder="1" applyAlignment="1">
      <alignment wrapText="1"/>
    </xf>
    <xf numFmtId="0" fontId="66" fillId="2" borderId="15" xfId="0" applyFont="1" applyFill="1" applyBorder="1"/>
    <xf numFmtId="0" fontId="66" fillId="2" borderId="15" xfId="0" applyFont="1" applyFill="1" applyBorder="1" applyAlignment="1">
      <alignment vertical="center"/>
    </xf>
    <xf numFmtId="0" fontId="66" fillId="2" borderId="15" xfId="0" applyFont="1" applyFill="1" applyBorder="1" applyAlignment="1">
      <alignment horizontal="right" vertical="top" wrapText="1"/>
    </xf>
    <xf numFmtId="0" fontId="36" fillId="2" borderId="15" xfId="0" applyFont="1" applyFill="1" applyBorder="1"/>
    <xf numFmtId="0" fontId="36" fillId="2" borderId="16" xfId="0" applyFont="1" applyFill="1" applyBorder="1"/>
    <xf numFmtId="0" fontId="67" fillId="2" borderId="15" xfId="0" applyFont="1" applyFill="1" applyBorder="1"/>
    <xf numFmtId="0" fontId="70" fillId="2" borderId="15" xfId="0" applyFont="1" applyFill="1" applyBorder="1" applyAlignment="1">
      <alignment horizontal="center" vertical="center" wrapText="1"/>
    </xf>
    <xf numFmtId="0" fontId="60" fillId="13" borderId="15" xfId="0" applyFont="1" applyFill="1" applyBorder="1"/>
    <xf numFmtId="0" fontId="36" fillId="0" borderId="17" xfId="0" applyFont="1" applyBorder="1"/>
    <xf numFmtId="0" fontId="36" fillId="0" borderId="18" xfId="0" applyFont="1" applyBorder="1"/>
    <xf numFmtId="0" fontId="73" fillId="25" borderId="27" xfId="0" applyFont="1" applyFill="1" applyBorder="1" applyAlignment="1">
      <alignment horizontal="center" vertical="center" wrapText="1"/>
    </xf>
    <xf numFmtId="0" fontId="74" fillId="24" borderId="15" xfId="0" applyFont="1" applyFill="1" applyBorder="1" applyAlignment="1">
      <alignment horizontal="center" vertical="center" wrapText="1"/>
    </xf>
    <xf numFmtId="0" fontId="76" fillId="2" borderId="15" xfId="0" applyFont="1" applyFill="1" applyBorder="1" applyAlignment="1">
      <alignment vertical="center" wrapText="1"/>
    </xf>
    <xf numFmtId="0" fontId="76" fillId="2" borderId="15" xfId="0" applyFont="1" applyFill="1" applyBorder="1" applyAlignment="1">
      <alignment horizontal="center" vertical="center" wrapText="1"/>
    </xf>
    <xf numFmtId="0" fontId="34" fillId="2" borderId="15" xfId="0" applyFont="1" applyFill="1" applyBorder="1" applyAlignment="1">
      <alignment vertical="center" wrapText="1"/>
    </xf>
    <xf numFmtId="0" fontId="34" fillId="2" borderId="15" xfId="0" applyFont="1" applyFill="1" applyBorder="1" applyAlignment="1">
      <alignment horizontal="center" vertical="center" wrapText="1"/>
    </xf>
    <xf numFmtId="0" fontId="42" fillId="2" borderId="15" xfId="0" applyFont="1" applyFill="1" applyBorder="1" applyAlignment="1">
      <alignment horizontal="center" vertical="center" wrapText="1"/>
    </xf>
    <xf numFmtId="0" fontId="42" fillId="2" borderId="15" xfId="0" applyFont="1" applyFill="1" applyBorder="1" applyAlignment="1">
      <alignment vertical="center" wrapText="1"/>
    </xf>
    <xf numFmtId="0" fontId="75" fillId="2" borderId="15" xfId="0" applyFont="1" applyFill="1" applyBorder="1" applyAlignment="1">
      <alignment vertical="center" wrapText="1"/>
    </xf>
    <xf numFmtId="0" fontId="34" fillId="2" borderId="15" xfId="0" applyFont="1" applyFill="1" applyBorder="1" applyAlignment="1">
      <alignment vertical="center"/>
    </xf>
    <xf numFmtId="0" fontId="34" fillId="2" borderId="15" xfId="0" applyFont="1" applyFill="1" applyBorder="1" applyAlignment="1">
      <alignment horizontal="center" vertical="center"/>
    </xf>
    <xf numFmtId="0" fontId="76" fillId="2" borderId="15" xfId="0" applyFont="1" applyFill="1" applyBorder="1" applyAlignment="1">
      <alignment vertical="center"/>
    </xf>
    <xf numFmtId="0" fontId="76" fillId="2" borderId="15" xfId="0" applyFont="1" applyFill="1" applyBorder="1" applyAlignment="1">
      <alignment horizontal="center" vertical="center"/>
    </xf>
    <xf numFmtId="0" fontId="57" fillId="23" borderId="0" xfId="2" applyFont="1" applyFill="1" applyAlignment="1">
      <alignment horizontal="left" vertical="center"/>
    </xf>
    <xf numFmtId="0" fontId="78" fillId="2" borderId="15" xfId="0" applyFont="1" applyFill="1" applyBorder="1" applyAlignment="1">
      <alignment vertical="center" wrapText="1"/>
    </xf>
    <xf numFmtId="0" fontId="80" fillId="2" borderId="15" xfId="0" applyFont="1" applyFill="1" applyBorder="1" applyAlignment="1">
      <alignment vertical="center" wrapText="1"/>
    </xf>
    <xf numFmtId="0" fontId="81" fillId="2" borderId="15" xfId="0" applyFont="1" applyFill="1" applyBorder="1" applyAlignment="1">
      <alignment vertical="center" wrapText="1"/>
    </xf>
    <xf numFmtId="0" fontId="83" fillId="2" borderId="15" xfId="0" applyFont="1" applyFill="1" applyBorder="1" applyAlignment="1">
      <alignment vertical="center" wrapText="1"/>
    </xf>
    <xf numFmtId="0" fontId="78" fillId="2" borderId="15" xfId="0" applyFont="1" applyFill="1" applyBorder="1" applyAlignment="1">
      <alignment vertical="center"/>
    </xf>
    <xf numFmtId="0" fontId="82" fillId="2" borderId="15" xfId="0" applyFont="1" applyFill="1" applyBorder="1" applyAlignment="1">
      <alignment vertical="center"/>
    </xf>
    <xf numFmtId="0" fontId="84" fillId="2" borderId="15" xfId="0" applyFont="1" applyFill="1" applyBorder="1" applyAlignment="1">
      <alignment horizontal="center" vertical="center"/>
    </xf>
    <xf numFmtId="0" fontId="67" fillId="2" borderId="15" xfId="0" applyFont="1" applyFill="1" applyBorder="1" applyAlignment="1">
      <alignment horizontal="center" vertical="center"/>
    </xf>
    <xf numFmtId="0" fontId="66" fillId="2" borderId="15" xfId="0" applyFont="1" applyFill="1" applyBorder="1" applyAlignment="1">
      <alignment horizontal="center" vertical="center"/>
    </xf>
    <xf numFmtId="0" fontId="66" fillId="2" borderId="15" xfId="0" applyFont="1" applyFill="1" applyBorder="1" applyAlignment="1">
      <alignment horizontal="center" vertical="center" wrapText="1"/>
    </xf>
    <xf numFmtId="0" fontId="63" fillId="21" borderId="10" xfId="0" applyFont="1" applyFill="1" applyBorder="1" applyAlignment="1">
      <alignment horizontal="center" vertical="center" wrapText="1"/>
    </xf>
    <xf numFmtId="0" fontId="89" fillId="7" borderId="15" xfId="0" applyFont="1" applyFill="1" applyBorder="1" applyAlignment="1">
      <alignment horizontal="center" vertical="center" wrapText="1"/>
    </xf>
    <xf numFmtId="0" fontId="89" fillId="7" borderId="16" xfId="0" applyFont="1" applyFill="1" applyBorder="1" applyAlignment="1">
      <alignment horizontal="center" vertical="center" wrapText="1"/>
    </xf>
    <xf numFmtId="0" fontId="36" fillId="2" borderId="15" xfId="0" applyFont="1" applyFill="1" applyBorder="1" applyAlignment="1">
      <alignment horizontal="center" vertical="top" wrapText="1"/>
    </xf>
    <xf numFmtId="0" fontId="36" fillId="2" borderId="15" xfId="0" applyFont="1" applyFill="1" applyBorder="1" applyAlignment="1">
      <alignment vertical="top" wrapText="1"/>
    </xf>
    <xf numFmtId="0" fontId="60" fillId="13" borderId="16" xfId="0" applyFont="1" applyFill="1" applyBorder="1"/>
    <xf numFmtId="0" fontId="60" fillId="10" borderId="15" xfId="0" applyFont="1" applyFill="1" applyBorder="1"/>
    <xf numFmtId="0" fontId="60" fillId="10" borderId="16" xfId="0" applyFont="1" applyFill="1" applyBorder="1"/>
    <xf numFmtId="0" fontId="36" fillId="2" borderId="15" xfId="0" applyFont="1" applyFill="1" applyBorder="1" applyAlignment="1">
      <alignment horizontal="center" vertical="center" wrapText="1"/>
    </xf>
    <xf numFmtId="0" fontId="36" fillId="2" borderId="15" xfId="0" applyFont="1" applyFill="1" applyBorder="1" applyAlignment="1">
      <alignment vertical="center" wrapText="1"/>
    </xf>
    <xf numFmtId="0" fontId="60" fillId="2" borderId="15" xfId="0" applyFont="1" applyFill="1" applyBorder="1" applyAlignment="1">
      <alignment vertical="center" wrapText="1"/>
    </xf>
    <xf numFmtId="0" fontId="69" fillId="2" borderId="15" xfId="0" applyFont="1" applyFill="1" applyBorder="1" applyAlignment="1">
      <alignment horizontal="center" vertical="center" wrapText="1"/>
    </xf>
    <xf numFmtId="166" fontId="36" fillId="2" borderId="15" xfId="0" applyNumberFormat="1" applyFont="1" applyFill="1" applyBorder="1" applyAlignment="1">
      <alignment horizontal="right" vertical="center" wrapText="1"/>
    </xf>
    <xf numFmtId="0" fontId="91" fillId="2" borderId="15" xfId="0" applyFont="1" applyFill="1" applyBorder="1" applyAlignment="1">
      <alignment vertical="center" wrapText="1"/>
    </xf>
    <xf numFmtId="173" fontId="36" fillId="2" borderId="15" xfId="0" applyNumberFormat="1" applyFont="1" applyFill="1" applyBorder="1" applyAlignment="1">
      <alignment horizontal="center" vertical="center" wrapText="1"/>
    </xf>
    <xf numFmtId="173" fontId="36" fillId="2" borderId="15" xfId="0" applyNumberFormat="1" applyFont="1" applyFill="1" applyBorder="1" applyAlignment="1">
      <alignment horizontal="center" vertical="center"/>
    </xf>
    <xf numFmtId="0" fontId="36" fillId="2" borderId="15" xfId="0" applyFont="1" applyFill="1" applyBorder="1" applyAlignment="1">
      <alignment vertical="center"/>
    </xf>
    <xf numFmtId="0" fontId="36" fillId="2" borderId="15" xfId="0" applyFont="1" applyFill="1" applyBorder="1" applyAlignment="1">
      <alignment horizontal="center" vertical="center"/>
    </xf>
    <xf numFmtId="166" fontId="36" fillId="2" borderId="15" xfId="0" applyNumberFormat="1" applyFont="1" applyFill="1" applyBorder="1" applyAlignment="1">
      <alignment horizontal="right" vertical="center"/>
    </xf>
    <xf numFmtId="166" fontId="42" fillId="2" borderId="15" xfId="0" applyNumberFormat="1" applyFont="1" applyFill="1" applyBorder="1" applyAlignment="1">
      <alignment horizontal="right" vertical="center" wrapText="1"/>
    </xf>
    <xf numFmtId="173" fontId="42" fillId="2" borderId="15" xfId="1" applyNumberFormat="1" applyFont="1" applyFill="1" applyBorder="1" applyAlignment="1">
      <alignment horizontal="center" vertical="center" wrapText="1"/>
    </xf>
    <xf numFmtId="166" fontId="76" fillId="2" borderId="15" xfId="0" applyNumberFormat="1" applyFont="1" applyFill="1" applyBorder="1" applyAlignment="1">
      <alignment horizontal="right" vertical="center" wrapText="1"/>
    </xf>
    <xf numFmtId="173" fontId="76" fillId="2" borderId="15" xfId="1" applyNumberFormat="1" applyFont="1" applyFill="1" applyBorder="1" applyAlignment="1">
      <alignment horizontal="center" vertical="center" wrapText="1"/>
    </xf>
    <xf numFmtId="0" fontId="94" fillId="2" borderId="15" xfId="0" applyFont="1" applyFill="1" applyBorder="1" applyAlignment="1">
      <alignment vertical="center" wrapText="1"/>
    </xf>
    <xf numFmtId="0" fontId="94" fillId="2" borderId="15" xfId="0" applyFont="1" applyFill="1" applyBorder="1" applyAlignment="1">
      <alignment horizontal="center" vertical="center" wrapText="1"/>
    </xf>
    <xf numFmtId="0" fontId="99" fillId="2" borderId="15" xfId="0" applyFont="1" applyFill="1" applyBorder="1" applyAlignment="1">
      <alignment horizontal="center" vertical="center" wrapText="1"/>
    </xf>
    <xf numFmtId="0" fontId="97" fillId="2" borderId="15" xfId="0" applyFont="1" applyFill="1" applyBorder="1" applyAlignment="1">
      <alignment horizontal="center" vertical="center" wrapText="1"/>
    </xf>
    <xf numFmtId="0" fontId="98" fillId="2" borderId="15" xfId="0" applyFont="1" applyFill="1" applyBorder="1" applyAlignment="1">
      <alignment horizontal="center" vertical="center" wrapText="1"/>
    </xf>
    <xf numFmtId="0" fontId="95" fillId="2" borderId="15" xfId="0" applyFont="1" applyFill="1" applyBorder="1" applyAlignment="1">
      <alignment horizontal="center" vertical="center" wrapText="1"/>
    </xf>
    <xf numFmtId="0" fontId="55" fillId="3" borderId="0" xfId="0" applyFont="1" applyFill="1" applyAlignment="1">
      <alignment vertical="center"/>
    </xf>
    <xf numFmtId="0" fontId="36" fillId="0" borderId="2" xfId="0" applyFont="1" applyBorder="1"/>
    <xf numFmtId="0" fontId="76" fillId="2" borderId="15" xfId="0" applyFont="1" applyFill="1" applyBorder="1" applyAlignment="1">
      <alignment horizontal="center" vertical="top" wrapText="1"/>
    </xf>
    <xf numFmtId="0" fontId="76" fillId="2" borderId="15" xfId="0" applyFont="1" applyFill="1" applyBorder="1" applyAlignment="1">
      <alignment vertical="top" wrapText="1"/>
    </xf>
    <xf numFmtId="0" fontId="42" fillId="2" borderId="15" xfId="0" applyFont="1" applyFill="1" applyBorder="1" applyAlignment="1">
      <alignment vertical="top" wrapText="1"/>
    </xf>
    <xf numFmtId="0" fontId="109" fillId="2" borderId="15" xfId="0" applyFont="1" applyFill="1" applyBorder="1" applyAlignment="1">
      <alignment horizontal="center" vertical="center" wrapText="1"/>
    </xf>
    <xf numFmtId="166" fontId="66" fillId="2" borderId="15" xfId="0" applyNumberFormat="1" applyFont="1" applyFill="1" applyBorder="1" applyAlignment="1">
      <alignment horizontal="right" vertical="center" wrapText="1"/>
    </xf>
    <xf numFmtId="10" fontId="66" fillId="2" borderId="15" xfId="0" applyNumberFormat="1" applyFont="1" applyFill="1" applyBorder="1" applyAlignment="1">
      <alignment horizontal="center" vertical="center" wrapText="1"/>
    </xf>
    <xf numFmtId="10" fontId="66" fillId="2" borderId="15" xfId="0" applyNumberFormat="1" applyFont="1" applyFill="1" applyBorder="1" applyAlignment="1">
      <alignment vertical="center" wrapText="1"/>
    </xf>
    <xf numFmtId="178" fontId="66" fillId="2" borderId="15" xfId="0" applyNumberFormat="1" applyFont="1" applyFill="1" applyBorder="1" applyAlignment="1">
      <alignment vertical="center" wrapText="1"/>
    </xf>
    <xf numFmtId="166" fontId="67" fillId="2" borderId="15" xfId="0" applyNumberFormat="1" applyFont="1" applyFill="1" applyBorder="1" applyAlignment="1">
      <alignment horizontal="right" vertical="center" wrapText="1"/>
    </xf>
    <xf numFmtId="10" fontId="67" fillId="2" borderId="15" xfId="0" applyNumberFormat="1" applyFont="1" applyFill="1" applyBorder="1" applyAlignment="1">
      <alignment horizontal="center" vertical="center" wrapText="1"/>
    </xf>
    <xf numFmtId="178" fontId="66" fillId="2" borderId="15" xfId="0" applyNumberFormat="1" applyFont="1" applyFill="1" applyBorder="1" applyAlignment="1">
      <alignment vertical="center"/>
    </xf>
    <xf numFmtId="166" fontId="66" fillId="2" borderId="15" xfId="0" applyNumberFormat="1" applyFont="1" applyFill="1" applyBorder="1" applyAlignment="1">
      <alignment horizontal="right" vertical="center"/>
    </xf>
    <xf numFmtId="166" fontId="67" fillId="2" borderId="15" xfId="0" applyNumberFormat="1" applyFont="1" applyFill="1" applyBorder="1" applyAlignment="1">
      <alignment horizontal="left" vertical="top" wrapText="1"/>
    </xf>
    <xf numFmtId="166" fontId="66" fillId="2" borderId="15" xfId="0" applyNumberFormat="1" applyFont="1" applyFill="1" applyBorder="1" applyAlignment="1">
      <alignment horizontal="left" vertical="top" wrapText="1"/>
    </xf>
    <xf numFmtId="10" fontId="67" fillId="2" borderId="15" xfId="0" applyNumberFormat="1" applyFont="1" applyFill="1" applyBorder="1" applyAlignment="1">
      <alignment horizontal="left" vertical="top" wrapText="1"/>
    </xf>
    <xf numFmtId="10" fontId="66" fillId="2" borderId="15" xfId="0" applyNumberFormat="1" applyFont="1" applyFill="1" applyBorder="1" applyAlignment="1">
      <alignment horizontal="left" vertical="top" wrapText="1"/>
    </xf>
    <xf numFmtId="0" fontId="69" fillId="2" borderId="0" xfId="0" applyFont="1" applyFill="1" applyAlignment="1">
      <alignment horizontal="left" vertical="center"/>
    </xf>
    <xf numFmtId="0" fontId="61" fillId="2" borderId="11" xfId="0" applyFont="1" applyFill="1" applyBorder="1" applyAlignment="1">
      <alignment horizontal="left" vertical="center"/>
    </xf>
    <xf numFmtId="0" fontId="62" fillId="25" borderId="15" xfId="0" applyFont="1" applyFill="1" applyBorder="1" applyAlignment="1">
      <alignment horizontal="center" vertical="center" wrapText="1"/>
    </xf>
    <xf numFmtId="0" fontId="55" fillId="2" borderId="15" xfId="0" applyFont="1" applyFill="1" applyBorder="1" applyAlignment="1">
      <alignment vertical="center" wrapText="1"/>
    </xf>
    <xf numFmtId="166" fontId="55" fillId="2" borderId="15" xfId="0" applyNumberFormat="1" applyFont="1" applyFill="1" applyBorder="1" applyAlignment="1">
      <alignment horizontal="right" vertical="center" wrapText="1"/>
    </xf>
    <xf numFmtId="0" fontId="36" fillId="25" borderId="15" xfId="0" applyFont="1" applyFill="1" applyBorder="1" applyAlignment="1">
      <alignment horizontal="center" vertical="center" wrapText="1"/>
    </xf>
    <xf numFmtId="0" fontId="55" fillId="25" borderId="15" xfId="0" applyFont="1" applyFill="1" applyBorder="1" applyAlignment="1">
      <alignment vertical="center" wrapText="1"/>
    </xf>
    <xf numFmtId="0" fontId="36" fillId="25" borderId="15" xfId="0" applyFont="1" applyFill="1" applyBorder="1" applyAlignment="1">
      <alignment vertical="center" wrapText="1"/>
    </xf>
    <xf numFmtId="166" fontId="55" fillId="25" borderId="15" xfId="0" applyNumberFormat="1" applyFont="1" applyFill="1" applyBorder="1" applyAlignment="1">
      <alignment horizontal="right" vertical="center" wrapText="1"/>
    </xf>
    <xf numFmtId="166" fontId="67" fillId="25" borderId="15" xfId="0" applyNumberFormat="1" applyFont="1" applyFill="1" applyBorder="1" applyAlignment="1">
      <alignment horizontal="right" vertical="center" wrapText="1"/>
    </xf>
    <xf numFmtId="0" fontId="36" fillId="25" borderId="15" xfId="0" applyFont="1" applyFill="1" applyBorder="1" applyAlignment="1">
      <alignment vertical="center"/>
    </xf>
    <xf numFmtId="0" fontId="56" fillId="25" borderId="15" xfId="0" applyFont="1" applyFill="1" applyBorder="1" applyAlignment="1">
      <alignment vertical="center"/>
    </xf>
    <xf numFmtId="0" fontId="36" fillId="25" borderId="15" xfId="0" applyFont="1" applyFill="1" applyBorder="1"/>
    <xf numFmtId="0" fontId="55" fillId="25" borderId="15" xfId="0" applyFont="1" applyFill="1" applyBorder="1" applyAlignment="1">
      <alignment vertical="center"/>
    </xf>
    <xf numFmtId="0" fontId="61" fillId="2" borderId="12" xfId="0" applyFont="1" applyFill="1" applyBorder="1" applyAlignment="1">
      <alignment horizontal="left" vertical="center"/>
    </xf>
    <xf numFmtId="0" fontId="59" fillId="25" borderId="30" xfId="0" applyFont="1" applyFill="1" applyBorder="1" applyAlignment="1">
      <alignment horizontal="center" vertical="center" wrapText="1"/>
    </xf>
    <xf numFmtId="0" fontId="59" fillId="25" borderId="31" xfId="0" applyFont="1" applyFill="1" applyBorder="1" applyAlignment="1">
      <alignment horizontal="center" vertical="center" wrapText="1"/>
    </xf>
    <xf numFmtId="0" fontId="62" fillId="25" borderId="23" xfId="0" applyFont="1" applyFill="1" applyBorder="1" applyAlignment="1">
      <alignment horizontal="center" vertical="center" wrapText="1"/>
    </xf>
    <xf numFmtId="0" fontId="62" fillId="25" borderId="24" xfId="0" applyFont="1" applyFill="1" applyBorder="1" applyAlignment="1">
      <alignment horizontal="center" vertical="center" wrapText="1"/>
    </xf>
    <xf numFmtId="0" fontId="60" fillId="2" borderId="23" xfId="0" applyFont="1" applyFill="1" applyBorder="1"/>
    <xf numFmtId="0" fontId="60" fillId="2" borderId="24" xfId="0" applyFont="1" applyFill="1" applyBorder="1"/>
    <xf numFmtId="0" fontId="60" fillId="25" borderId="23" xfId="0" applyFont="1" applyFill="1" applyBorder="1"/>
    <xf numFmtId="0" fontId="60" fillId="25" borderId="24" xfId="0" applyFont="1" applyFill="1" applyBorder="1"/>
    <xf numFmtId="0" fontId="60" fillId="2" borderId="25" xfId="0" applyFont="1" applyFill="1" applyBorder="1"/>
    <xf numFmtId="0" fontId="60" fillId="2" borderId="26" xfId="0" applyFont="1" applyFill="1" applyBorder="1"/>
    <xf numFmtId="0" fontId="25" fillId="23" borderId="5" xfId="0" applyFont="1" applyFill="1" applyBorder="1" applyAlignment="1">
      <alignment horizontal="left" vertical="center" wrapText="1"/>
    </xf>
    <xf numFmtId="0" fontId="76" fillId="10" borderId="15" xfId="0" applyFont="1" applyFill="1" applyBorder="1" applyAlignment="1">
      <alignment vertical="center" wrapText="1"/>
    </xf>
    <xf numFmtId="0" fontId="35" fillId="4" borderId="15" xfId="0" applyFont="1" applyFill="1" applyBorder="1" applyAlignment="1">
      <alignment vertical="center" wrapText="1"/>
    </xf>
    <xf numFmtId="0" fontId="33" fillId="18" borderId="15" xfId="0" applyFont="1" applyFill="1" applyBorder="1" applyAlignment="1">
      <alignment vertical="center" wrapText="1"/>
    </xf>
    <xf numFmtId="0" fontId="32" fillId="5" borderId="15" xfId="0" applyFont="1" applyFill="1" applyBorder="1" applyAlignment="1">
      <alignment vertical="center" wrapText="1"/>
    </xf>
    <xf numFmtId="0" fontId="32" fillId="15" borderId="15" xfId="0" applyFont="1" applyFill="1" applyBorder="1" applyAlignment="1">
      <alignment vertical="center" wrapText="1"/>
    </xf>
    <xf numFmtId="0" fontId="66" fillId="10" borderId="17" xfId="0" applyFont="1" applyFill="1" applyBorder="1" applyAlignment="1">
      <alignment vertical="center" wrapText="1"/>
    </xf>
    <xf numFmtId="0" fontId="76" fillId="10" borderId="17" xfId="0" applyFont="1" applyFill="1" applyBorder="1" applyAlignment="1">
      <alignment horizontal="right" vertical="center" wrapText="1"/>
    </xf>
    <xf numFmtId="0" fontId="66" fillId="2" borderId="15" xfId="0" applyFont="1" applyFill="1" applyBorder="1" applyAlignment="1">
      <alignment vertical="top" wrapText="1"/>
    </xf>
    <xf numFmtId="0" fontId="66" fillId="2" borderId="15" xfId="0" applyFont="1" applyFill="1" applyBorder="1" applyAlignment="1">
      <alignment horizontal="center" vertical="top" wrapText="1"/>
    </xf>
    <xf numFmtId="0" fontId="61" fillId="2" borderId="14" xfId="0" applyFont="1" applyFill="1" applyBorder="1" applyAlignment="1">
      <alignment horizontal="left" vertical="center"/>
    </xf>
    <xf numFmtId="0" fontId="62" fillId="25" borderId="16" xfId="0" applyFont="1" applyFill="1" applyBorder="1" applyAlignment="1">
      <alignment horizontal="center" vertical="center" wrapText="1"/>
    </xf>
    <xf numFmtId="0" fontId="66" fillId="25" borderId="15" xfId="0" applyFont="1" applyFill="1" applyBorder="1" applyAlignment="1">
      <alignment vertical="top" wrapText="1"/>
    </xf>
    <xf numFmtId="0" fontId="67" fillId="25" borderId="15" xfId="0" applyFont="1" applyFill="1" applyBorder="1" applyAlignment="1">
      <alignment horizontal="center" vertical="top" wrapText="1"/>
    </xf>
    <xf numFmtId="0" fontId="36" fillId="25" borderId="15" xfId="0" applyFont="1" applyFill="1" applyBorder="1" applyAlignment="1">
      <alignment vertical="top" wrapText="1"/>
    </xf>
    <xf numFmtId="0" fontId="36" fillId="25" borderId="16" xfId="0" applyFont="1" applyFill="1" applyBorder="1" applyAlignment="1">
      <alignment vertical="top" wrapText="1"/>
    </xf>
    <xf numFmtId="0" fontId="36" fillId="2" borderId="16" xfId="0" applyFont="1" applyFill="1" applyBorder="1" applyAlignment="1">
      <alignment vertical="top" wrapText="1"/>
    </xf>
    <xf numFmtId="0" fontId="5" fillId="2" borderId="15" xfId="0" applyFont="1" applyFill="1" applyBorder="1" applyAlignment="1">
      <alignment vertical="top" wrapText="1"/>
    </xf>
    <xf numFmtId="0" fontId="5" fillId="25" borderId="15" xfId="0" applyFont="1" applyFill="1" applyBorder="1" applyAlignment="1">
      <alignment vertical="top" wrapText="1"/>
    </xf>
    <xf numFmtId="0" fontId="109" fillId="2" borderId="15" xfId="0" applyFont="1" applyFill="1" applyBorder="1" applyAlignment="1">
      <alignment vertical="top" wrapText="1"/>
    </xf>
    <xf numFmtId="0" fontId="66" fillId="25" borderId="15" xfId="0" applyFont="1" applyFill="1" applyBorder="1" applyAlignment="1">
      <alignment horizontal="center" vertical="top" wrapText="1"/>
    </xf>
    <xf numFmtId="0" fontId="109" fillId="25" borderId="15" xfId="0" applyFont="1" applyFill="1" applyBorder="1" applyAlignment="1">
      <alignment vertical="top" wrapText="1"/>
    </xf>
    <xf numFmtId="0" fontId="66" fillId="25" borderId="15" xfId="0" applyFont="1" applyFill="1" applyBorder="1" applyAlignment="1">
      <alignment horizontal="right" vertical="top" wrapText="1"/>
    </xf>
    <xf numFmtId="0" fontId="5" fillId="25" borderId="15" xfId="0" applyFont="1" applyFill="1" applyBorder="1" applyAlignment="1">
      <alignment horizontal="center" vertical="top" wrapText="1"/>
    </xf>
    <xf numFmtId="0" fontId="66" fillId="25" borderId="15" xfId="0" applyFont="1" applyFill="1" applyBorder="1" applyAlignment="1">
      <alignment wrapText="1"/>
    </xf>
    <xf numFmtId="0" fontId="66" fillId="25" borderId="15" xfId="0" applyFont="1" applyFill="1" applyBorder="1"/>
    <xf numFmtId="0" fontId="66" fillId="25" borderId="17" xfId="0" applyFont="1" applyFill="1" applyBorder="1"/>
    <xf numFmtId="0" fontId="115" fillId="2" borderId="15" xfId="0" applyFont="1" applyFill="1" applyBorder="1" applyAlignment="1">
      <alignment vertical="top" wrapText="1"/>
    </xf>
    <xf numFmtId="0" fontId="66" fillId="25" borderId="15" xfId="0" applyFont="1" applyFill="1" applyBorder="1" applyAlignment="1">
      <alignment horizontal="center" wrapText="1"/>
    </xf>
    <xf numFmtId="0" fontId="36" fillId="25" borderId="16" xfId="0" applyFont="1" applyFill="1" applyBorder="1"/>
    <xf numFmtId="0" fontId="66" fillId="2" borderId="15" xfId="0" applyFont="1" applyFill="1" applyBorder="1" applyAlignment="1">
      <alignment horizontal="center" wrapText="1"/>
    </xf>
    <xf numFmtId="0" fontId="36" fillId="2" borderId="17" xfId="0" applyFont="1" applyFill="1" applyBorder="1"/>
    <xf numFmtId="0" fontId="36" fillId="2" borderId="18" xfId="0" applyFont="1" applyFill="1" applyBorder="1"/>
    <xf numFmtId="0" fontId="112" fillId="2" borderId="15" xfId="0" applyFont="1" applyFill="1" applyBorder="1" applyAlignment="1">
      <alignment vertical="top" wrapText="1"/>
    </xf>
    <xf numFmtId="0" fontId="112" fillId="25" borderId="15" xfId="0" applyFont="1" applyFill="1" applyBorder="1" applyAlignment="1">
      <alignment vertical="top" wrapText="1"/>
    </xf>
    <xf numFmtId="0" fontId="112" fillId="2" borderId="15" xfId="0" applyFont="1" applyFill="1" applyBorder="1" applyAlignment="1">
      <alignment horizontal="center" vertical="top" wrapText="1"/>
    </xf>
    <xf numFmtId="0" fontId="66" fillId="25" borderId="15" xfId="0" applyFont="1" applyFill="1" applyBorder="1" applyAlignment="1">
      <alignment horizontal="right"/>
    </xf>
    <xf numFmtId="0" fontId="66" fillId="25" borderId="15" xfId="0" applyFont="1" applyFill="1" applyBorder="1" applyAlignment="1">
      <alignment horizontal="left" vertical="top" wrapText="1"/>
    </xf>
    <xf numFmtId="0" fontId="66" fillId="2" borderId="15" xfId="0" applyFont="1" applyFill="1" applyBorder="1" applyAlignment="1">
      <alignment horizontal="right"/>
    </xf>
    <xf numFmtId="0" fontId="112" fillId="2" borderId="15" xfId="0" applyFont="1" applyFill="1" applyBorder="1" applyAlignment="1">
      <alignment horizontal="left" vertical="top" wrapText="1"/>
    </xf>
    <xf numFmtId="0" fontId="66" fillId="2" borderId="15" xfId="0" applyFont="1" applyFill="1" applyBorder="1" applyAlignment="1">
      <alignment horizontal="left" vertical="top" wrapText="1"/>
    </xf>
    <xf numFmtId="0" fontId="66" fillId="2" borderId="15" xfId="0" applyFont="1" applyFill="1" applyBorder="1" applyAlignment="1">
      <alignment horizontal="center"/>
    </xf>
    <xf numFmtId="169" fontId="66" fillId="25" borderId="15" xfId="0" applyNumberFormat="1" applyFont="1" applyFill="1" applyBorder="1" applyAlignment="1">
      <alignment horizontal="right" vertical="top" wrapText="1"/>
    </xf>
    <xf numFmtId="169" fontId="66" fillId="2" borderId="15" xfId="0" applyNumberFormat="1" applyFont="1" applyFill="1" applyBorder="1" applyAlignment="1">
      <alignment horizontal="right" vertical="top" wrapText="1"/>
    </xf>
    <xf numFmtId="0" fontId="66" fillId="25" borderId="15" xfId="0" applyFont="1" applyFill="1" applyBorder="1" applyAlignment="1">
      <alignment horizontal="right" wrapText="1"/>
    </xf>
    <xf numFmtId="169" fontId="66" fillId="25" borderId="15" xfId="0" applyNumberFormat="1" applyFont="1" applyFill="1" applyBorder="1" applyAlignment="1">
      <alignment horizontal="right" wrapText="1"/>
    </xf>
    <xf numFmtId="0" fontId="112" fillId="25" borderId="15" xfId="0" applyFont="1" applyFill="1" applyBorder="1" applyAlignment="1">
      <alignment wrapText="1"/>
    </xf>
    <xf numFmtId="0" fontId="66" fillId="2" borderId="15" xfId="0" applyFont="1" applyFill="1" applyBorder="1" applyAlignment="1">
      <alignment horizontal="right" wrapText="1"/>
    </xf>
    <xf numFmtId="169" fontId="66" fillId="2" borderId="15" xfId="0" applyNumberFormat="1" applyFont="1" applyFill="1" applyBorder="1" applyAlignment="1">
      <alignment horizontal="right" wrapText="1"/>
    </xf>
    <xf numFmtId="0" fontId="112" fillId="2" borderId="15" xfId="0" applyFont="1" applyFill="1" applyBorder="1" applyAlignment="1">
      <alignment wrapText="1"/>
    </xf>
    <xf numFmtId="6" fontId="66" fillId="2" borderId="15" xfId="0" applyNumberFormat="1" applyFont="1" applyFill="1" applyBorder="1" applyAlignment="1">
      <alignment horizontal="right" wrapText="1"/>
    </xf>
    <xf numFmtId="169" fontId="119" fillId="2" borderId="15" xfId="0" applyNumberFormat="1" applyFont="1" applyFill="1" applyBorder="1" applyAlignment="1">
      <alignment horizontal="right" wrapText="1"/>
    </xf>
    <xf numFmtId="169" fontId="87" fillId="2" borderId="15" xfId="0" applyNumberFormat="1" applyFont="1" applyFill="1" applyBorder="1" applyAlignment="1">
      <alignment horizontal="right" wrapText="1"/>
    </xf>
    <xf numFmtId="0" fontId="120" fillId="2" borderId="15" xfId="0" applyFont="1" applyFill="1" applyBorder="1" applyAlignment="1">
      <alignment horizontal="center" wrapText="1"/>
    </xf>
    <xf numFmtId="169" fontId="116" fillId="25" borderId="15" xfId="0" applyNumberFormat="1" applyFont="1" applyFill="1" applyBorder="1" applyAlignment="1">
      <alignment horizontal="right" wrapText="1"/>
    </xf>
    <xf numFmtId="169" fontId="87" fillId="25" borderId="15" xfId="0" applyNumberFormat="1" applyFont="1" applyFill="1" applyBorder="1" applyAlignment="1">
      <alignment horizontal="right" wrapText="1"/>
    </xf>
    <xf numFmtId="0" fontId="67" fillId="2" borderId="15" xfId="0" applyFont="1" applyFill="1" applyBorder="1" applyAlignment="1">
      <alignment wrapText="1"/>
    </xf>
    <xf numFmtId="0" fontId="67" fillId="25" borderId="15" xfId="0" applyFont="1" applyFill="1" applyBorder="1"/>
    <xf numFmtId="0" fontId="36" fillId="25" borderId="17" xfId="0" applyFont="1" applyFill="1" applyBorder="1"/>
    <xf numFmtId="0" fontId="111" fillId="25" borderId="15" xfId="0" applyFont="1" applyFill="1" applyBorder="1" applyAlignment="1">
      <alignment vertical="top" wrapText="1"/>
    </xf>
    <xf numFmtId="0" fontId="111" fillId="2" borderId="15" xfId="0" applyFont="1" applyFill="1" applyBorder="1" applyAlignment="1">
      <alignment vertical="top" wrapText="1"/>
    </xf>
    <xf numFmtId="0" fontId="112" fillId="25" borderId="15" xfId="0" applyFont="1" applyFill="1" applyBorder="1" applyAlignment="1">
      <alignment horizontal="center" vertical="top" wrapText="1"/>
    </xf>
    <xf numFmtId="0" fontId="25" fillId="2" borderId="15" xfId="0" applyFont="1" applyFill="1" applyBorder="1" applyAlignment="1">
      <alignment vertical="top" wrapText="1"/>
    </xf>
    <xf numFmtId="9" fontId="66" fillId="2" borderId="15" xfId="0" applyNumberFormat="1" applyFont="1" applyFill="1" applyBorder="1" applyAlignment="1">
      <alignment wrapText="1"/>
    </xf>
    <xf numFmtId="0" fontId="25" fillId="2" borderId="15" xfId="0" applyFont="1" applyFill="1" applyBorder="1" applyAlignment="1">
      <alignment horizontal="center" wrapText="1"/>
    </xf>
    <xf numFmtId="9" fontId="66" fillId="25" borderId="15" xfId="0" applyNumberFormat="1" applyFont="1" applyFill="1" applyBorder="1" applyAlignment="1">
      <alignment wrapText="1"/>
    </xf>
    <xf numFmtId="0" fontId="112" fillId="25" borderId="15" xfId="0" applyFont="1" applyFill="1" applyBorder="1" applyAlignment="1">
      <alignment horizontal="center" wrapText="1"/>
    </xf>
    <xf numFmtId="9" fontId="66" fillId="25" borderId="15" xfId="0" applyNumberFormat="1" applyFont="1" applyFill="1" applyBorder="1" applyAlignment="1">
      <alignment vertical="top" wrapText="1"/>
    </xf>
    <xf numFmtId="9" fontId="66" fillId="2" borderId="15" xfId="0" applyNumberFormat="1" applyFont="1" applyFill="1" applyBorder="1" applyAlignment="1">
      <alignment vertical="top" wrapText="1"/>
    </xf>
    <xf numFmtId="0" fontId="118" fillId="25" borderId="15" xfId="0" applyFont="1" applyFill="1" applyBorder="1" applyAlignment="1">
      <alignment horizontal="center" vertical="top" wrapText="1"/>
    </xf>
    <xf numFmtId="0" fontId="55" fillId="2" borderId="15" xfId="0" applyFont="1" applyFill="1" applyBorder="1" applyAlignment="1">
      <alignment horizontal="right" vertical="top" wrapText="1"/>
    </xf>
    <xf numFmtId="0" fontId="118" fillId="2" borderId="15" xfId="0" applyFont="1" applyFill="1" applyBorder="1" applyAlignment="1">
      <alignment vertical="top" wrapText="1"/>
    </xf>
    <xf numFmtId="0" fontId="121" fillId="2" borderId="15" xfId="0" applyFont="1" applyFill="1" applyBorder="1" applyAlignment="1">
      <alignment vertical="top" wrapText="1"/>
    </xf>
    <xf numFmtId="0" fontId="114" fillId="25" borderId="15" xfId="0" applyFont="1" applyFill="1" applyBorder="1" applyAlignment="1">
      <alignment vertical="top" wrapText="1"/>
    </xf>
    <xf numFmtId="0" fontId="55" fillId="25" borderId="15" xfId="0" applyFont="1" applyFill="1" applyBorder="1" applyAlignment="1">
      <alignment vertical="top" wrapText="1"/>
    </xf>
    <xf numFmtId="0" fontId="86" fillId="25" borderId="15" xfId="0" applyFont="1" applyFill="1" applyBorder="1" applyAlignment="1">
      <alignment vertical="top" wrapText="1"/>
    </xf>
    <xf numFmtId="0" fontId="36" fillId="25" borderId="15" xfId="0" applyFont="1" applyFill="1" applyBorder="1" applyAlignment="1">
      <alignment horizontal="center" vertical="top" wrapText="1"/>
    </xf>
    <xf numFmtId="0" fontId="36" fillId="2" borderId="15" xfId="0" applyFont="1" applyFill="1" applyBorder="1" applyAlignment="1">
      <alignment horizontal="right" vertical="top" wrapText="1"/>
    </xf>
    <xf numFmtId="0" fontId="36" fillId="2" borderId="15" xfId="0" applyFont="1" applyFill="1" applyBorder="1" applyAlignment="1">
      <alignment horizontal="left" vertical="top" wrapText="1"/>
    </xf>
    <xf numFmtId="0" fontId="36" fillId="25" borderId="15" xfId="0" applyFont="1" applyFill="1" applyBorder="1" applyAlignment="1">
      <alignment horizontal="left" vertical="top" wrapText="1"/>
    </xf>
    <xf numFmtId="0" fontId="36" fillId="25" borderId="15" xfId="0" applyFont="1" applyFill="1" applyBorder="1" applyAlignment="1">
      <alignment horizontal="right" vertical="top" wrapText="1"/>
    </xf>
    <xf numFmtId="0" fontId="55" fillId="25" borderId="15" xfId="0" applyFont="1" applyFill="1" applyBorder="1" applyAlignment="1">
      <alignment horizontal="right" vertical="top" wrapText="1"/>
    </xf>
    <xf numFmtId="0" fontId="111" fillId="25" borderId="15" xfId="0" applyFont="1" applyFill="1" applyBorder="1" applyAlignment="1">
      <alignment horizontal="left" vertical="top" wrapText="1"/>
    </xf>
    <xf numFmtId="0" fontId="111" fillId="2" borderId="15" xfId="0" applyFont="1" applyFill="1" applyBorder="1" applyAlignment="1">
      <alignment horizontal="left" vertical="top" wrapText="1"/>
    </xf>
    <xf numFmtId="0" fontId="5" fillId="2" borderId="15" xfId="0" applyFont="1" applyFill="1" applyBorder="1" applyAlignment="1">
      <alignment horizontal="center" wrapText="1"/>
    </xf>
    <xf numFmtId="0" fontId="5" fillId="25" borderId="15" xfId="0" applyFont="1" applyFill="1" applyBorder="1" applyAlignment="1">
      <alignment vertical="center" wrapText="1"/>
    </xf>
    <xf numFmtId="0" fontId="114" fillId="2" borderId="15" xfId="0" applyFont="1" applyFill="1" applyBorder="1" applyAlignment="1">
      <alignment wrapText="1"/>
    </xf>
    <xf numFmtId="0" fontId="36" fillId="25" borderId="15" xfId="0" applyFont="1" applyFill="1" applyBorder="1" applyAlignment="1">
      <alignment wrapText="1"/>
    </xf>
    <xf numFmtId="0" fontId="36" fillId="2" borderId="15" xfId="0" applyFont="1" applyFill="1" applyBorder="1" applyAlignment="1">
      <alignment wrapText="1"/>
    </xf>
    <xf numFmtId="0" fontId="108" fillId="25" borderId="15" xfId="0" applyFont="1" applyFill="1" applyBorder="1" applyAlignment="1">
      <alignment horizontal="center" vertical="center" wrapText="1"/>
    </xf>
    <xf numFmtId="0" fontId="25" fillId="2" borderId="15" xfId="0" applyFont="1" applyFill="1" applyBorder="1" applyAlignment="1">
      <alignment horizontal="center" vertical="top" wrapText="1"/>
    </xf>
    <xf numFmtId="0" fontId="66" fillId="25" borderId="15" xfId="0" applyFont="1" applyFill="1" applyBorder="1" applyAlignment="1">
      <alignment horizontal="center"/>
    </xf>
    <xf numFmtId="0" fontId="66" fillId="25" borderId="17" xfId="0" applyFont="1" applyFill="1" applyBorder="1" applyAlignment="1">
      <alignment horizontal="center"/>
    </xf>
    <xf numFmtId="0" fontId="74" fillId="25" borderId="15" xfId="0" applyFont="1" applyFill="1" applyBorder="1" applyAlignment="1">
      <alignment horizontal="center" vertical="center" wrapText="1"/>
    </xf>
    <xf numFmtId="0" fontId="76" fillId="2" borderId="15" xfId="0" applyFont="1" applyFill="1" applyBorder="1" applyAlignment="1">
      <alignment horizontal="left" vertical="top" wrapText="1"/>
    </xf>
    <xf numFmtId="0" fontId="78" fillId="2" borderId="15" xfId="0" applyFont="1" applyFill="1" applyBorder="1" applyAlignment="1">
      <alignment vertical="top" wrapText="1"/>
    </xf>
    <xf numFmtId="0" fontId="78" fillId="2" borderId="15" xfId="0" applyFont="1" applyFill="1" applyBorder="1" applyAlignment="1">
      <alignment horizontal="left" vertical="top" wrapText="1"/>
    </xf>
    <xf numFmtId="0" fontId="76" fillId="25" borderId="15" xfId="0" applyFont="1" applyFill="1" applyBorder="1" applyAlignment="1">
      <alignment horizontal="left" vertical="top" wrapText="1"/>
    </xf>
    <xf numFmtId="0" fontId="76" fillId="25" borderId="15" xfId="0" applyFont="1" applyFill="1" applyBorder="1" applyAlignment="1">
      <alignment vertical="top" wrapText="1"/>
    </xf>
    <xf numFmtId="0" fontId="78" fillId="25" borderId="15" xfId="0" applyFont="1" applyFill="1" applyBorder="1" applyAlignment="1">
      <alignment vertical="top" wrapText="1"/>
    </xf>
    <xf numFmtId="0" fontId="78" fillId="25" borderId="15" xfId="0" applyFont="1" applyFill="1" applyBorder="1" applyAlignment="1">
      <alignment horizontal="left" vertical="top" wrapText="1"/>
    </xf>
    <xf numFmtId="0" fontId="76" fillId="25" borderId="15" xfId="0" applyFont="1" applyFill="1" applyBorder="1" applyAlignment="1">
      <alignment horizontal="center" vertical="top" wrapText="1"/>
    </xf>
    <xf numFmtId="0" fontId="78" fillId="2" borderId="15" xfId="0" applyFont="1" applyFill="1" applyBorder="1" applyAlignment="1">
      <alignment horizontal="center" vertical="top" wrapText="1"/>
    </xf>
    <xf numFmtId="0" fontId="109" fillId="2" borderId="15" xfId="0" applyFont="1" applyFill="1" applyBorder="1" applyAlignment="1">
      <alignment horizontal="left" vertical="top" wrapText="1"/>
    </xf>
    <xf numFmtId="0" fontId="109" fillId="25" borderId="15" xfId="0" applyFont="1" applyFill="1" applyBorder="1" applyAlignment="1">
      <alignment horizontal="left" vertical="top" wrapText="1"/>
    </xf>
    <xf numFmtId="0" fontId="113" fillId="25" borderId="15" xfId="0" applyFont="1" applyFill="1" applyBorder="1" applyAlignment="1">
      <alignment horizontal="left" vertical="top" wrapText="1"/>
    </xf>
    <xf numFmtId="0" fontId="78" fillId="25" borderId="15" xfId="0" applyFont="1" applyFill="1" applyBorder="1" applyAlignment="1">
      <alignment horizontal="center" vertical="top" wrapText="1"/>
    </xf>
    <xf numFmtId="0" fontId="113" fillId="2" borderId="15" xfId="0" applyFont="1" applyFill="1" applyBorder="1" applyAlignment="1">
      <alignment horizontal="left" vertical="top" wrapText="1"/>
    </xf>
    <xf numFmtId="0" fontId="76" fillId="25" borderId="15" xfId="0" applyFont="1" applyFill="1" applyBorder="1" applyAlignment="1">
      <alignment horizontal="center" vertical="center"/>
    </xf>
    <xf numFmtId="0" fontId="66" fillId="25" borderId="15" xfId="0" applyFont="1" applyFill="1" applyBorder="1" applyAlignment="1">
      <alignment horizontal="center" vertical="center"/>
    </xf>
    <xf numFmtId="0" fontId="35" fillId="2" borderId="15" xfId="0" applyFont="1" applyFill="1" applyBorder="1" applyAlignment="1">
      <alignment horizontal="center" vertical="top" wrapText="1"/>
    </xf>
    <xf numFmtId="0" fontId="66" fillId="25" borderId="17" xfId="0" applyFont="1" applyFill="1" applyBorder="1" applyAlignment="1">
      <alignment horizontal="left" vertical="top" wrapText="1"/>
    </xf>
    <xf numFmtId="0" fontId="91" fillId="25" borderId="35" xfId="0" applyFont="1" applyFill="1" applyBorder="1" applyAlignment="1">
      <alignment horizontal="center"/>
    </xf>
    <xf numFmtId="0" fontId="67" fillId="25" borderId="35" xfId="0" applyFont="1" applyFill="1" applyBorder="1" applyAlignment="1">
      <alignment horizontal="center"/>
    </xf>
    <xf numFmtId="0" fontId="91" fillId="25" borderId="35" xfId="0" applyFont="1" applyFill="1" applyBorder="1"/>
    <xf numFmtId="0" fontId="91" fillId="2" borderId="35" xfId="0" applyFont="1" applyFill="1" applyBorder="1" applyAlignment="1">
      <alignment horizontal="center"/>
    </xf>
    <xf numFmtId="0" fontId="67" fillId="2" borderId="35" xfId="0" applyFont="1" applyFill="1" applyBorder="1" applyAlignment="1">
      <alignment horizontal="center"/>
    </xf>
    <xf numFmtId="0" fontId="91" fillId="2" borderId="35" xfId="0" applyFont="1" applyFill="1" applyBorder="1"/>
    <xf numFmtId="0" fontId="91" fillId="25" borderId="37" xfId="0" applyFont="1" applyFill="1" applyBorder="1" applyAlignment="1">
      <alignment horizontal="center"/>
    </xf>
    <xf numFmtId="0" fontId="67" fillId="25" borderId="37" xfId="0" applyFont="1" applyFill="1" applyBorder="1" applyAlignment="1">
      <alignment horizontal="center"/>
    </xf>
    <xf numFmtId="0" fontId="91" fillId="25" borderId="37" xfId="0" applyFont="1" applyFill="1" applyBorder="1"/>
    <xf numFmtId="165" fontId="36" fillId="2" borderId="15" xfId="0" applyNumberFormat="1" applyFont="1" applyFill="1" applyBorder="1" applyAlignment="1">
      <alignment horizontal="center" vertical="center"/>
    </xf>
    <xf numFmtId="179" fontId="130" fillId="25" borderId="15" xfId="0" applyNumberFormat="1" applyFont="1" applyFill="1" applyBorder="1" applyAlignment="1">
      <alignment horizontal="right"/>
    </xf>
    <xf numFmtId="0" fontId="122" fillId="2" borderId="15" xfId="0" applyFont="1" applyFill="1" applyBorder="1" applyAlignment="1">
      <alignment horizontal="center"/>
    </xf>
    <xf numFmtId="0" fontId="57" fillId="23" borderId="0" xfId="2" applyFont="1" applyFill="1" applyAlignment="1">
      <alignment wrapText="1"/>
    </xf>
    <xf numFmtId="0" fontId="58" fillId="0" borderId="0" xfId="2" applyFont="1" applyAlignment="1">
      <alignment wrapText="1"/>
    </xf>
    <xf numFmtId="181" fontId="66" fillId="2" borderId="15" xfId="0" applyNumberFormat="1" applyFont="1" applyFill="1" applyBorder="1" applyAlignment="1">
      <alignment horizontal="right" wrapText="1"/>
    </xf>
    <xf numFmtId="9" fontId="66" fillId="25" borderId="15" xfId="0" applyNumberFormat="1" applyFont="1" applyFill="1" applyBorder="1" applyAlignment="1">
      <alignment horizontal="right" wrapText="1"/>
    </xf>
    <xf numFmtId="181" fontId="66" fillId="25" borderId="15" xfId="0" applyNumberFormat="1" applyFont="1" applyFill="1" applyBorder="1" applyAlignment="1">
      <alignment horizontal="right" wrapText="1"/>
    </xf>
    <xf numFmtId="9" fontId="66" fillId="2" borderId="15" xfId="0" applyNumberFormat="1" applyFont="1" applyFill="1" applyBorder="1" applyAlignment="1">
      <alignment horizontal="center" wrapText="1"/>
    </xf>
    <xf numFmtId="0" fontId="25" fillId="25" borderId="15" xfId="0" applyFont="1" applyFill="1" applyBorder="1" applyAlignment="1">
      <alignment horizontal="center" wrapText="1"/>
    </xf>
    <xf numFmtId="0" fontId="59" fillId="2" borderId="3" xfId="0" applyFont="1" applyFill="1" applyBorder="1" applyAlignment="1">
      <alignment horizontal="left" vertical="center" wrapText="1"/>
    </xf>
    <xf numFmtId="0" fontId="138" fillId="25" borderId="15" xfId="0" applyFont="1" applyFill="1" applyBorder="1" applyAlignment="1">
      <alignment horizontal="center" vertical="center" wrapText="1"/>
    </xf>
    <xf numFmtId="166" fontId="138" fillId="25" borderId="15" xfId="0" applyNumberFormat="1" applyFont="1" applyFill="1" applyBorder="1" applyAlignment="1">
      <alignment horizontal="center" vertical="center" wrapText="1"/>
    </xf>
    <xf numFmtId="0" fontId="0" fillId="25" borderId="15" xfId="0" applyFill="1" applyBorder="1" applyAlignment="1">
      <alignment vertical="center"/>
    </xf>
    <xf numFmtId="0" fontId="0" fillId="25" borderId="16" xfId="0" applyFill="1" applyBorder="1" applyAlignment="1">
      <alignment vertical="center"/>
    </xf>
    <xf numFmtId="0" fontId="0" fillId="16" borderId="0" xfId="0" applyFill="1" applyAlignment="1">
      <alignment vertical="center"/>
    </xf>
    <xf numFmtId="0" fontId="141" fillId="0" borderId="0" xfId="2" applyFont="1"/>
    <xf numFmtId="0" fontId="143" fillId="27" borderId="0" xfId="2" applyFont="1" applyFill="1"/>
    <xf numFmtId="0" fontId="147" fillId="2" borderId="15" xfId="0" applyFont="1" applyFill="1" applyBorder="1" applyAlignment="1">
      <alignment horizontal="center" vertical="top" wrapText="1"/>
    </xf>
    <xf numFmtId="0" fontId="147" fillId="2" borderId="15" xfId="0" applyFont="1" applyFill="1" applyBorder="1" applyAlignment="1">
      <alignment vertical="top" wrapText="1"/>
    </xf>
    <xf numFmtId="0" fontId="150" fillId="2" borderId="15" xfId="0" applyFont="1" applyFill="1" applyBorder="1" applyAlignment="1">
      <alignment horizontal="center" wrapText="1"/>
    </xf>
    <xf numFmtId="0" fontId="149" fillId="2" borderId="15" xfId="0" applyFont="1" applyFill="1" applyBorder="1" applyAlignment="1">
      <alignment horizontal="center" vertical="center" wrapText="1"/>
    </xf>
    <xf numFmtId="0" fontId="151" fillId="2" borderId="15" xfId="0" applyFont="1" applyFill="1" applyBorder="1" applyAlignment="1">
      <alignment horizontal="center" vertical="center" wrapText="1"/>
    </xf>
    <xf numFmtId="0" fontId="151" fillId="2" borderId="15" xfId="0" applyFont="1" applyFill="1" applyBorder="1" applyAlignment="1">
      <alignment horizontal="center" wrapText="1"/>
    </xf>
    <xf numFmtId="0" fontId="151" fillId="2" borderId="15" xfId="0" applyFont="1" applyFill="1" applyBorder="1" applyAlignment="1">
      <alignment vertical="center" wrapText="1"/>
    </xf>
    <xf numFmtId="0" fontId="156" fillId="2" borderId="15" xfId="0" applyFont="1" applyFill="1" applyBorder="1" applyAlignment="1">
      <alignment horizontal="center" vertical="center" wrapText="1"/>
    </xf>
    <xf numFmtId="0" fontId="150" fillId="2" borderId="15" xfId="0" applyFont="1" applyFill="1" applyBorder="1" applyAlignment="1">
      <alignment horizontal="center" vertical="center" wrapText="1"/>
    </xf>
    <xf numFmtId="0" fontId="151" fillId="2" borderId="15" xfId="0" applyFont="1" applyFill="1" applyBorder="1" applyAlignment="1">
      <alignment horizontal="right" vertical="top" wrapText="1"/>
    </xf>
    <xf numFmtId="0" fontId="150" fillId="2" borderId="15" xfId="0" applyFont="1" applyFill="1" applyBorder="1" applyAlignment="1">
      <alignment horizontal="center" vertical="top" wrapText="1"/>
    </xf>
    <xf numFmtId="0" fontId="151" fillId="2" borderId="15" xfId="0" applyFont="1" applyFill="1" applyBorder="1" applyAlignment="1">
      <alignment vertical="top" wrapText="1"/>
    </xf>
    <xf numFmtId="0" fontId="151" fillId="2" borderId="15" xfId="0" applyFont="1" applyFill="1" applyBorder="1" applyAlignment="1">
      <alignment horizontal="center" vertical="top" wrapText="1"/>
    </xf>
    <xf numFmtId="0" fontId="162" fillId="2" borderId="15" xfId="0" applyFont="1" applyFill="1" applyBorder="1" applyAlignment="1">
      <alignment vertical="top" wrapText="1"/>
    </xf>
    <xf numFmtId="0" fontId="162" fillId="2" borderId="15" xfId="0" applyFont="1" applyFill="1" applyBorder="1" applyAlignment="1">
      <alignment horizontal="center" vertical="top" wrapText="1"/>
    </xf>
    <xf numFmtId="0" fontId="152" fillId="2" borderId="15" xfId="0" applyFont="1" applyFill="1" applyBorder="1" applyAlignment="1">
      <alignment horizontal="center" vertical="top" wrapText="1"/>
    </xf>
    <xf numFmtId="0" fontId="162" fillId="2" borderId="15" xfId="0" applyFont="1" applyFill="1" applyBorder="1" applyAlignment="1">
      <alignment horizontal="left" vertical="top" wrapText="1"/>
    </xf>
    <xf numFmtId="0" fontId="151" fillId="2" borderId="15" xfId="0" applyFont="1" applyFill="1" applyBorder="1" applyAlignment="1">
      <alignment wrapText="1"/>
    </xf>
    <xf numFmtId="9" fontId="150" fillId="2" borderId="15" xfId="0" applyNumberFormat="1" applyFont="1" applyFill="1" applyBorder="1" applyAlignment="1">
      <alignment horizontal="center" wrapText="1"/>
    </xf>
    <xf numFmtId="0" fontId="150" fillId="2" borderId="15" xfId="0" applyFont="1" applyFill="1" applyBorder="1" applyAlignment="1">
      <alignment vertical="top" wrapText="1"/>
    </xf>
    <xf numFmtId="0" fontId="148" fillId="2" borderId="15" xfId="0" applyFont="1" applyFill="1" applyBorder="1" applyAlignment="1">
      <alignment horizontal="center" vertical="center" wrapText="1"/>
    </xf>
    <xf numFmtId="10" fontId="151" fillId="2" borderId="15" xfId="0" applyNumberFormat="1" applyFont="1" applyFill="1" applyBorder="1" applyAlignment="1">
      <alignment horizontal="center" vertical="top" wrapText="1"/>
    </xf>
    <xf numFmtId="10" fontId="152" fillId="2" borderId="15" xfId="0" applyNumberFormat="1" applyFont="1" applyFill="1" applyBorder="1" applyAlignment="1">
      <alignment horizontal="center" vertical="top" wrapText="1"/>
    </xf>
    <xf numFmtId="10" fontId="149" fillId="2" borderId="15" xfId="0" applyNumberFormat="1" applyFont="1" applyFill="1" applyBorder="1" applyAlignment="1">
      <alignment horizontal="center" vertical="center" wrapText="1"/>
    </xf>
    <xf numFmtId="0" fontId="152" fillId="2" borderId="15" xfId="0" applyFont="1" applyFill="1" applyBorder="1" applyAlignment="1">
      <alignment vertical="top" wrapText="1"/>
    </xf>
    <xf numFmtId="0" fontId="59" fillId="25" borderId="43" xfId="0" applyFont="1" applyFill="1" applyBorder="1" applyAlignment="1">
      <alignment horizontal="center" vertical="center" wrapText="1"/>
    </xf>
    <xf numFmtId="0" fontId="89" fillId="7" borderId="44" xfId="0" applyFont="1" applyFill="1" applyBorder="1" applyAlignment="1">
      <alignment horizontal="center" vertical="center" wrapText="1"/>
    </xf>
    <xf numFmtId="0" fontId="36" fillId="0" borderId="44" xfId="0" applyFont="1" applyBorder="1"/>
    <xf numFmtId="0" fontId="60" fillId="13" borderId="44" xfId="0" applyFont="1" applyFill="1" applyBorder="1"/>
    <xf numFmtId="0" fontId="60" fillId="10" borderId="44" xfId="0" applyFont="1" applyFill="1" applyBorder="1"/>
    <xf numFmtId="0" fontId="36" fillId="0" borderId="45" xfId="0" applyFont="1" applyBorder="1"/>
    <xf numFmtId="0" fontId="151" fillId="2" borderId="51" xfId="0" applyFont="1" applyFill="1" applyBorder="1" applyAlignment="1">
      <alignment horizontal="center" vertical="center" wrapText="1"/>
    </xf>
    <xf numFmtId="2" fontId="151" fillId="2" borderId="51" xfId="0" applyNumberFormat="1" applyFont="1" applyFill="1" applyBorder="1" applyAlignment="1">
      <alignment horizontal="center" vertical="center" wrapText="1"/>
    </xf>
    <xf numFmtId="14" fontId="151" fillId="2" borderId="52" xfId="0" applyNumberFormat="1" applyFont="1" applyFill="1" applyBorder="1" applyAlignment="1">
      <alignment horizontal="center" vertical="center" wrapText="1"/>
    </xf>
    <xf numFmtId="0" fontId="103" fillId="12" borderId="53" xfId="0" applyFont="1" applyFill="1" applyBorder="1" applyAlignment="1">
      <alignment horizontal="center" vertical="center" wrapText="1"/>
    </xf>
    <xf numFmtId="0" fontId="104" fillId="9" borderId="54" xfId="0" applyFont="1" applyFill="1" applyBorder="1" applyAlignment="1">
      <alignment vertical="center"/>
    </xf>
    <xf numFmtId="0" fontId="104" fillId="9" borderId="54" xfId="0" applyFont="1" applyFill="1" applyBorder="1" applyAlignment="1">
      <alignment vertical="center" wrapText="1"/>
    </xf>
    <xf numFmtId="0" fontId="105" fillId="20" borderId="54" xfId="0" applyFont="1" applyFill="1" applyBorder="1" applyAlignment="1">
      <alignment vertical="center" wrapText="1"/>
    </xf>
    <xf numFmtId="0" fontId="106" fillId="8" borderId="54" xfId="0" applyFont="1" applyFill="1" applyBorder="1" applyAlignment="1">
      <alignment vertical="center" wrapText="1"/>
    </xf>
    <xf numFmtId="0" fontId="106" fillId="14" borderId="54" xfId="0" applyFont="1" applyFill="1" applyBorder="1" applyAlignment="1">
      <alignment vertical="center" wrapText="1"/>
    </xf>
    <xf numFmtId="0" fontId="104" fillId="9" borderId="55" xfId="0" applyFont="1" applyFill="1" applyBorder="1" applyAlignment="1">
      <alignment vertical="center" wrapText="1"/>
    </xf>
    <xf numFmtId="0" fontId="151" fillId="2" borderId="57" xfId="0" applyFont="1" applyFill="1" applyBorder="1" applyAlignment="1">
      <alignment horizontal="center" vertical="center" wrapText="1"/>
    </xf>
    <xf numFmtId="2" fontId="156" fillId="2" borderId="57" xfId="0" applyNumberFormat="1" applyFont="1" applyFill="1" applyBorder="1" applyAlignment="1">
      <alignment horizontal="center" vertical="center" wrapText="1"/>
    </xf>
    <xf numFmtId="2" fontId="151" fillId="2" borderId="57" xfId="0" applyNumberFormat="1" applyFont="1" applyFill="1" applyBorder="1" applyAlignment="1">
      <alignment horizontal="center" vertical="center" wrapText="1"/>
    </xf>
    <xf numFmtId="9" fontId="151" fillId="2" borderId="57" xfId="0" applyNumberFormat="1" applyFont="1" applyFill="1" applyBorder="1" applyAlignment="1">
      <alignment horizontal="center" vertical="center" wrapText="1"/>
    </xf>
    <xf numFmtId="0" fontId="156" fillId="2" borderId="57" xfId="0" applyFont="1" applyFill="1" applyBorder="1" applyAlignment="1">
      <alignment horizontal="center" vertical="center" wrapText="1"/>
    </xf>
    <xf numFmtId="0" fontId="73" fillId="25" borderId="43" xfId="0" applyFont="1" applyFill="1" applyBorder="1" applyAlignment="1">
      <alignment horizontal="center" vertical="center" wrapText="1"/>
    </xf>
    <xf numFmtId="0" fontId="74" fillId="24" borderId="44" xfId="0" applyFont="1" applyFill="1" applyBorder="1" applyAlignment="1">
      <alignment horizontal="center" vertical="center" wrapText="1"/>
    </xf>
    <xf numFmtId="0" fontId="76" fillId="10" borderId="44" xfId="0" applyFont="1" applyFill="1" applyBorder="1" applyAlignment="1">
      <alignment vertical="center" wrapText="1"/>
    </xf>
    <xf numFmtId="0" fontId="76" fillId="2" borderId="44" xfId="0" applyFont="1" applyFill="1" applyBorder="1" applyAlignment="1">
      <alignment vertical="center" wrapText="1"/>
    </xf>
    <xf numFmtId="0" fontId="35" fillId="4" borderId="44" xfId="0" applyFont="1" applyFill="1" applyBorder="1" applyAlignment="1">
      <alignment vertical="center" wrapText="1"/>
    </xf>
    <xf numFmtId="0" fontId="33" fillId="18" borderId="44" xfId="0" applyFont="1" applyFill="1" applyBorder="1" applyAlignment="1">
      <alignment vertical="center" wrapText="1"/>
    </xf>
    <xf numFmtId="0" fontId="32" fillId="5" borderId="44" xfId="0" applyFont="1" applyFill="1" applyBorder="1" applyAlignment="1">
      <alignment vertical="center" wrapText="1"/>
    </xf>
    <xf numFmtId="0" fontId="32" fillId="15" borderId="44" xfId="0" applyFont="1" applyFill="1" applyBorder="1" applyAlignment="1">
      <alignment vertical="center" wrapText="1"/>
    </xf>
    <xf numFmtId="0" fontId="66" fillId="10" borderId="45" xfId="0" applyFont="1" applyFill="1" applyBorder="1" applyAlignment="1">
      <alignment vertical="center" wrapText="1"/>
    </xf>
    <xf numFmtId="0" fontId="147" fillId="2" borderId="57" xfId="0" applyFont="1" applyFill="1" applyBorder="1" applyAlignment="1">
      <alignment horizontal="center" vertical="center" wrapText="1"/>
    </xf>
    <xf numFmtId="0" fontId="167" fillId="25" borderId="62" xfId="0" applyFont="1" applyFill="1" applyBorder="1" applyAlignment="1">
      <alignment horizontal="center" vertical="center" wrapText="1"/>
    </xf>
    <xf numFmtId="0" fontId="36" fillId="25" borderId="44" xfId="0" applyFont="1" applyFill="1" applyBorder="1" applyAlignment="1">
      <alignment vertical="center" wrapText="1"/>
    </xf>
    <xf numFmtId="0" fontId="36" fillId="2" borderId="44" xfId="0" applyFont="1" applyFill="1" applyBorder="1"/>
    <xf numFmtId="0" fontId="36" fillId="2" borderId="44" xfId="0" applyFont="1" applyFill="1" applyBorder="1" applyAlignment="1">
      <alignment vertical="center" wrapText="1"/>
    </xf>
    <xf numFmtId="0" fontId="36" fillId="25" borderId="44" xfId="0" applyFont="1" applyFill="1" applyBorder="1" applyAlignment="1">
      <alignment vertical="center"/>
    </xf>
    <xf numFmtId="0" fontId="36" fillId="2" borderId="44" xfId="0" applyFont="1" applyFill="1" applyBorder="1" applyAlignment="1">
      <alignment vertical="center"/>
    </xf>
    <xf numFmtId="0" fontId="36" fillId="25" borderId="44" xfId="0" applyFont="1" applyFill="1" applyBorder="1"/>
    <xf numFmtId="0" fontId="13" fillId="2" borderId="29" xfId="0" applyFont="1" applyFill="1" applyBorder="1" applyAlignment="1">
      <alignment vertical="center" wrapText="1"/>
    </xf>
    <xf numFmtId="0" fontId="13" fillId="2" borderId="27" xfId="0" applyFont="1" applyFill="1" applyBorder="1" applyAlignment="1">
      <alignment vertical="center" wrapText="1"/>
    </xf>
    <xf numFmtId="178" fontId="147" fillId="2" borderId="57" xfId="0" applyNumberFormat="1" applyFont="1" applyFill="1" applyBorder="1" applyAlignment="1">
      <alignment horizontal="center" vertical="center" wrapText="1"/>
    </xf>
    <xf numFmtId="165" fontId="147" fillId="2" borderId="57" xfId="0" applyNumberFormat="1" applyFont="1" applyFill="1" applyBorder="1" applyAlignment="1">
      <alignment horizontal="center" vertical="center" wrapText="1"/>
    </xf>
    <xf numFmtId="0" fontId="149" fillId="28" borderId="59" xfId="0" applyFont="1" applyFill="1" applyBorder="1" applyAlignment="1">
      <alignment horizontal="center" vertical="center" wrapText="1"/>
    </xf>
    <xf numFmtId="0" fontId="62" fillId="25" borderId="44" xfId="0" applyFont="1" applyFill="1" applyBorder="1" applyAlignment="1">
      <alignment horizontal="center" vertical="center" wrapText="1"/>
    </xf>
    <xf numFmtId="0" fontId="153" fillId="25" borderId="15" xfId="0" applyFont="1" applyFill="1" applyBorder="1" applyAlignment="1">
      <alignment horizontal="center" vertical="center" wrapText="1"/>
    </xf>
    <xf numFmtId="0" fontId="156" fillId="2" borderId="15" xfId="0" applyFont="1" applyFill="1" applyBorder="1" applyAlignment="1">
      <alignment vertical="top" wrapText="1"/>
    </xf>
    <xf numFmtId="0" fontId="156" fillId="2" borderId="15" xfId="0" applyFont="1" applyFill="1" applyBorder="1" applyAlignment="1">
      <alignment horizontal="center" vertical="top" wrapText="1"/>
    </xf>
    <xf numFmtId="0" fontId="151" fillId="25" borderId="15" xfId="0" applyFont="1" applyFill="1" applyBorder="1" applyAlignment="1">
      <alignment vertical="top" wrapText="1"/>
    </xf>
    <xf numFmtId="0" fontId="151" fillId="25" borderId="15" xfId="0" applyFont="1" applyFill="1" applyBorder="1" applyAlignment="1">
      <alignment horizontal="center" vertical="top" wrapText="1"/>
    </xf>
    <xf numFmtId="0" fontId="156" fillId="25" borderId="15" xfId="0" applyFont="1" applyFill="1" applyBorder="1" applyAlignment="1">
      <alignment vertical="top" wrapText="1"/>
    </xf>
    <xf numFmtId="0" fontId="156" fillId="25" borderId="15" xfId="0" applyFont="1" applyFill="1" applyBorder="1" applyAlignment="1">
      <alignment horizontal="center" vertical="top" wrapText="1"/>
    </xf>
    <xf numFmtId="0" fontId="151" fillId="25" borderId="15" xfId="0" applyFont="1" applyFill="1" applyBorder="1" applyAlignment="1">
      <alignment horizontal="right" vertical="top" wrapText="1"/>
    </xf>
    <xf numFmtId="0" fontId="150" fillId="25" borderId="15" xfId="0" applyFont="1" applyFill="1" applyBorder="1" applyAlignment="1">
      <alignment horizontal="center" vertical="top" wrapText="1"/>
    </xf>
    <xf numFmtId="0" fontId="147" fillId="25" borderId="15" xfId="0" applyFont="1" applyFill="1" applyBorder="1" applyAlignment="1">
      <alignment wrapText="1"/>
    </xf>
    <xf numFmtId="0" fontId="147" fillId="2" borderId="15" xfId="0" applyFont="1" applyFill="1" applyBorder="1" applyAlignment="1">
      <alignment wrapText="1"/>
    </xf>
    <xf numFmtId="0" fontId="144" fillId="2" borderId="15" xfId="0" applyFont="1" applyFill="1" applyBorder="1" applyAlignment="1">
      <alignment vertical="top" wrapText="1"/>
    </xf>
    <xf numFmtId="0" fontId="168" fillId="2" borderId="15" xfId="0" applyFont="1" applyFill="1" applyBorder="1" applyAlignment="1">
      <alignment vertical="top" wrapText="1"/>
    </xf>
    <xf numFmtId="0" fontId="150" fillId="25" borderId="15" xfId="0" applyFont="1" applyFill="1" applyBorder="1" applyAlignment="1">
      <alignment vertical="top" wrapText="1"/>
    </xf>
    <xf numFmtId="0" fontId="144" fillId="25" borderId="15" xfId="0" applyFont="1" applyFill="1" applyBorder="1" applyAlignment="1">
      <alignment vertical="top" wrapText="1"/>
    </xf>
    <xf numFmtId="0" fontId="169" fillId="25" borderId="15" xfId="0" applyFont="1" applyFill="1" applyBorder="1" applyAlignment="1">
      <alignment vertical="top" wrapText="1"/>
    </xf>
    <xf numFmtId="0" fontId="169" fillId="2" borderId="15" xfId="0" applyFont="1" applyFill="1" applyBorder="1" applyAlignment="1">
      <alignment vertical="top" wrapText="1"/>
    </xf>
    <xf numFmtId="0" fontId="151" fillId="25" borderId="15" xfId="0" applyFont="1" applyFill="1" applyBorder="1" applyAlignment="1">
      <alignment horizontal="center" vertical="center" wrapText="1"/>
    </xf>
    <xf numFmtId="0" fontId="156" fillId="25" borderId="15" xfId="0" applyFont="1" applyFill="1" applyBorder="1" applyAlignment="1">
      <alignment vertical="center" wrapText="1"/>
    </xf>
    <xf numFmtId="0" fontId="156" fillId="25" borderId="15" xfId="0" applyFont="1" applyFill="1" applyBorder="1" applyAlignment="1">
      <alignment horizontal="center" vertical="center" wrapText="1"/>
    </xf>
    <xf numFmtId="0" fontId="156" fillId="2" borderId="15" xfId="0" applyFont="1" applyFill="1" applyBorder="1" applyAlignment="1">
      <alignment vertical="center" wrapText="1"/>
    </xf>
    <xf numFmtId="0" fontId="149" fillId="2" borderId="15" xfId="0" applyFont="1" applyFill="1" applyBorder="1" applyAlignment="1">
      <alignment horizontal="left" vertical="center" wrapText="1"/>
    </xf>
    <xf numFmtId="166" fontId="150" fillId="2" borderId="15" xfId="0" applyNumberFormat="1" applyFont="1" applyFill="1" applyBorder="1" applyAlignment="1">
      <alignment horizontal="right" vertical="center" wrapText="1"/>
    </xf>
    <xf numFmtId="10" fontId="150" fillId="2" borderId="15" xfId="0" applyNumberFormat="1" applyFont="1" applyFill="1" applyBorder="1" applyAlignment="1">
      <alignment horizontal="center" vertical="center" wrapText="1"/>
    </xf>
    <xf numFmtId="166" fontId="151" fillId="25" borderId="15" xfId="0" applyNumberFormat="1" applyFont="1" applyFill="1" applyBorder="1" applyAlignment="1">
      <alignment horizontal="right" vertical="top" wrapText="1"/>
    </xf>
    <xf numFmtId="10" fontId="151" fillId="25" borderId="15" xfId="0" applyNumberFormat="1" applyFont="1" applyFill="1" applyBorder="1" applyAlignment="1">
      <alignment horizontal="center" vertical="top" wrapText="1"/>
    </xf>
    <xf numFmtId="0" fontId="152" fillId="25" borderId="15" xfId="0" applyFont="1" applyFill="1" applyBorder="1" applyAlignment="1">
      <alignment horizontal="center" vertical="top" wrapText="1"/>
    </xf>
    <xf numFmtId="166" fontId="151" fillId="2" borderId="15" xfId="0" applyNumberFormat="1" applyFont="1" applyFill="1" applyBorder="1" applyAlignment="1">
      <alignment horizontal="right" vertical="top" wrapText="1"/>
    </xf>
    <xf numFmtId="168" fontId="151" fillId="25" borderId="15" xfId="0" applyNumberFormat="1" applyFont="1" applyFill="1" applyBorder="1" applyAlignment="1">
      <alignment horizontal="left" vertical="top" wrapText="1"/>
    </xf>
    <xf numFmtId="10" fontId="152" fillId="25" borderId="15" xfId="0" applyNumberFormat="1" applyFont="1" applyFill="1" applyBorder="1" applyAlignment="1">
      <alignment horizontal="center" vertical="top" wrapText="1"/>
    </xf>
    <xf numFmtId="166" fontId="152" fillId="25" borderId="15" xfId="0" applyNumberFormat="1" applyFont="1" applyFill="1" applyBorder="1" applyAlignment="1">
      <alignment horizontal="right" vertical="top" wrapText="1"/>
    </xf>
    <xf numFmtId="0" fontId="147" fillId="25" borderId="15" xfId="0" applyFont="1" applyFill="1" applyBorder="1" applyAlignment="1">
      <alignment vertical="top" wrapText="1"/>
    </xf>
    <xf numFmtId="166" fontId="150" fillId="2" borderId="15" xfId="0" applyNumberFormat="1" applyFont="1" applyFill="1" applyBorder="1" applyAlignment="1">
      <alignment horizontal="right" vertical="top" wrapText="1"/>
    </xf>
    <xf numFmtId="10" fontId="150" fillId="2" borderId="15" xfId="0" applyNumberFormat="1" applyFont="1" applyFill="1" applyBorder="1" applyAlignment="1">
      <alignment horizontal="center" vertical="top" wrapText="1"/>
    </xf>
    <xf numFmtId="166" fontId="150" fillId="25" borderId="15" xfId="0" applyNumberFormat="1" applyFont="1" applyFill="1" applyBorder="1" applyAlignment="1">
      <alignment horizontal="right" vertical="top" wrapText="1"/>
    </xf>
    <xf numFmtId="10" fontId="150" fillId="25" borderId="15" xfId="0" applyNumberFormat="1" applyFont="1" applyFill="1" applyBorder="1" applyAlignment="1">
      <alignment horizontal="center" vertical="top" wrapText="1"/>
    </xf>
    <xf numFmtId="175" fontId="151" fillId="2" borderId="15" xfId="0" applyNumberFormat="1" applyFont="1" applyFill="1" applyBorder="1" applyAlignment="1">
      <alignment horizontal="center" vertical="center" wrapText="1"/>
    </xf>
    <xf numFmtId="175" fontId="151" fillId="25" borderId="15" xfId="0" applyNumberFormat="1" applyFont="1" applyFill="1" applyBorder="1" applyAlignment="1">
      <alignment horizontal="center" vertical="center" wrapText="1"/>
    </xf>
    <xf numFmtId="0" fontId="148" fillId="25" borderId="15" xfId="0" applyFont="1" applyFill="1" applyBorder="1" applyAlignment="1">
      <alignment horizontal="center" vertical="center" wrapText="1"/>
    </xf>
    <xf numFmtId="0" fontId="178" fillId="25" borderId="15" xfId="0" applyFont="1" applyFill="1" applyBorder="1" applyAlignment="1">
      <alignment horizontal="center" vertical="center" wrapText="1"/>
    </xf>
    <xf numFmtId="0" fontId="149" fillId="25" borderId="15" xfId="0" applyFont="1" applyFill="1" applyBorder="1" applyAlignment="1">
      <alignment horizontal="center" vertical="center" wrapText="1"/>
    </xf>
    <xf numFmtId="0" fontId="178" fillId="2" borderId="15" xfId="0" applyFont="1" applyFill="1" applyBorder="1" applyAlignment="1">
      <alignment horizontal="center" vertical="center" wrapText="1"/>
    </xf>
    <xf numFmtId="0" fontId="149" fillId="2" borderId="15" xfId="0" applyFont="1" applyFill="1" applyBorder="1" applyAlignment="1">
      <alignment vertical="top" wrapText="1"/>
    </xf>
    <xf numFmtId="0" fontId="149" fillId="25" borderId="15" xfId="0" applyFont="1" applyFill="1" applyBorder="1" applyAlignment="1">
      <alignment vertical="top" wrapText="1"/>
    </xf>
    <xf numFmtId="0" fontId="162" fillId="25" borderId="15" xfId="0" applyFont="1" applyFill="1" applyBorder="1" applyAlignment="1">
      <alignment vertical="top" wrapText="1"/>
    </xf>
    <xf numFmtId="0" fontId="163" fillId="2" borderId="15" xfId="0" applyFont="1" applyFill="1" applyBorder="1" applyAlignment="1">
      <alignment vertical="top" wrapText="1"/>
    </xf>
    <xf numFmtId="9" fontId="151" fillId="25" borderId="15" xfId="0" applyNumberFormat="1" applyFont="1" applyFill="1" applyBorder="1" applyAlignment="1">
      <alignment vertical="top" wrapText="1"/>
    </xf>
    <xf numFmtId="9" fontId="151" fillId="2" borderId="15" xfId="0" applyNumberFormat="1" applyFont="1" applyFill="1" applyBorder="1" applyAlignment="1">
      <alignment vertical="top" wrapText="1"/>
    </xf>
    <xf numFmtId="9" fontId="151" fillId="2" borderId="15" xfId="0" applyNumberFormat="1" applyFont="1" applyFill="1" applyBorder="1" applyAlignment="1">
      <alignment wrapText="1"/>
    </xf>
    <xf numFmtId="0" fontId="151" fillId="25" borderId="15" xfId="0" applyFont="1" applyFill="1" applyBorder="1" applyAlignment="1">
      <alignment horizontal="center" wrapText="1"/>
    </xf>
    <xf numFmtId="9" fontId="151" fillId="25" borderId="15" xfId="0" applyNumberFormat="1" applyFont="1" applyFill="1" applyBorder="1" applyAlignment="1">
      <alignment horizontal="center" wrapText="1"/>
    </xf>
    <xf numFmtId="0" fontId="151" fillId="25" borderId="15" xfId="0" applyFont="1" applyFill="1" applyBorder="1" applyAlignment="1">
      <alignment wrapText="1"/>
    </xf>
    <xf numFmtId="9" fontId="151" fillId="2" borderId="15" xfId="0" applyNumberFormat="1" applyFont="1" applyFill="1" applyBorder="1" applyAlignment="1">
      <alignment horizontal="center" wrapText="1"/>
    </xf>
    <xf numFmtId="9" fontId="151" fillId="25" borderId="15" xfId="0" applyNumberFormat="1" applyFont="1" applyFill="1" applyBorder="1" applyAlignment="1">
      <alignment wrapText="1"/>
    </xf>
    <xf numFmtId="0" fontId="162" fillId="25" borderId="15" xfId="0" applyFont="1" applyFill="1" applyBorder="1" applyAlignment="1">
      <alignment horizontal="left" vertical="top" wrapText="1"/>
    </xf>
    <xf numFmtId="0" fontId="178" fillId="2" borderId="15" xfId="0" applyFont="1" applyFill="1" applyBorder="1" applyAlignment="1">
      <alignment horizontal="left" vertical="top" wrapText="1"/>
    </xf>
    <xf numFmtId="0" fontId="184" fillId="27" borderId="0" xfId="0" applyFont="1" applyFill="1" applyAlignment="1">
      <alignment horizontal="center" vertical="center"/>
    </xf>
    <xf numFmtId="0" fontId="141" fillId="2" borderId="0" xfId="2" applyFont="1" applyFill="1"/>
    <xf numFmtId="0" fontId="185" fillId="2" borderId="0" xfId="0" applyFont="1" applyFill="1" applyAlignment="1">
      <alignment horizontal="left" vertical="center"/>
    </xf>
    <xf numFmtId="0" fontId="5" fillId="25" borderId="15" xfId="0" applyFont="1" applyFill="1" applyBorder="1" applyAlignment="1">
      <alignment horizontal="center"/>
    </xf>
    <xf numFmtId="0" fontId="5" fillId="2" borderId="15" xfId="0" applyFont="1" applyFill="1" applyBorder="1" applyAlignment="1">
      <alignment horizontal="center"/>
    </xf>
    <xf numFmtId="0" fontId="197" fillId="25" borderId="15" xfId="0" applyFont="1" applyFill="1" applyBorder="1"/>
    <xf numFmtId="0" fontId="198" fillId="25" borderId="15" xfId="0" applyFont="1" applyFill="1" applyBorder="1"/>
    <xf numFmtId="0" fontId="197" fillId="2" borderId="15" xfId="0" applyFont="1" applyFill="1" applyBorder="1"/>
    <xf numFmtId="0" fontId="198" fillId="2" borderId="15" xfId="0" applyFont="1" applyFill="1" applyBorder="1"/>
    <xf numFmtId="0" fontId="200" fillId="31" borderId="19" xfId="0" applyFont="1" applyFill="1" applyBorder="1" applyAlignment="1">
      <alignment wrapText="1"/>
    </xf>
    <xf numFmtId="0" fontId="196" fillId="27" borderId="19" xfId="0" applyFont="1" applyFill="1" applyBorder="1" applyAlignment="1">
      <alignment horizontal="center" wrapText="1"/>
    </xf>
    <xf numFmtId="0" fontId="200" fillId="31" borderId="19" xfId="0" applyFont="1" applyFill="1" applyBorder="1" applyAlignment="1">
      <alignment horizontal="center" wrapText="1"/>
    </xf>
    <xf numFmtId="0" fontId="187" fillId="2" borderId="15" xfId="0" applyFont="1" applyFill="1" applyBorder="1" applyAlignment="1">
      <alignment horizontal="left"/>
    </xf>
    <xf numFmtId="0" fontId="197" fillId="2" borderId="15" xfId="0" applyFont="1" applyFill="1" applyBorder="1" applyAlignment="1">
      <alignment horizontal="center"/>
    </xf>
    <xf numFmtId="0" fontId="199" fillId="2" borderId="15" xfId="0" applyFont="1" applyFill="1" applyBorder="1" applyAlignment="1">
      <alignment horizontal="left"/>
    </xf>
    <xf numFmtId="0" fontId="197" fillId="25" borderId="15" xfId="0" applyFont="1" applyFill="1" applyBorder="1" applyAlignment="1">
      <alignment horizontal="center"/>
    </xf>
    <xf numFmtId="0" fontId="196" fillId="31" borderId="19" xfId="0" applyFont="1" applyFill="1" applyBorder="1" applyAlignment="1">
      <alignment horizontal="center" wrapText="1"/>
    </xf>
    <xf numFmtId="0" fontId="197" fillId="2" borderId="15" xfId="0" applyFont="1" applyFill="1" applyBorder="1" applyAlignment="1">
      <alignment horizontal="left"/>
    </xf>
    <xf numFmtId="179" fontId="197" fillId="2" borderId="15" xfId="0" applyNumberFormat="1" applyFont="1" applyFill="1" applyBorder="1" applyAlignment="1">
      <alignment horizontal="center"/>
    </xf>
    <xf numFmtId="179" fontId="197" fillId="2" borderId="15" xfId="0" applyNumberFormat="1" applyFont="1" applyFill="1" applyBorder="1" applyAlignment="1">
      <alignment horizontal="right"/>
    </xf>
    <xf numFmtId="169" fontId="197" fillId="2" borderId="15" xfId="0" applyNumberFormat="1" applyFont="1" applyFill="1" applyBorder="1" applyAlignment="1">
      <alignment horizontal="right"/>
    </xf>
    <xf numFmtId="1" fontId="197" fillId="2" borderId="15" xfId="0" applyNumberFormat="1" applyFont="1" applyFill="1" applyBorder="1" applyAlignment="1">
      <alignment horizontal="right"/>
    </xf>
    <xf numFmtId="180" fontId="197" fillId="2" borderId="15" xfId="0" applyNumberFormat="1" applyFont="1" applyFill="1" applyBorder="1" applyAlignment="1">
      <alignment horizontal="right"/>
    </xf>
    <xf numFmtId="170" fontId="197" fillId="2" borderId="15" xfId="0" applyNumberFormat="1" applyFont="1" applyFill="1" applyBorder="1" applyAlignment="1">
      <alignment horizontal="right"/>
    </xf>
    <xf numFmtId="10" fontId="197" fillId="2" borderId="15" xfId="0" applyNumberFormat="1" applyFont="1" applyFill="1" applyBorder="1" applyAlignment="1">
      <alignment horizontal="right"/>
    </xf>
    <xf numFmtId="0" fontId="142" fillId="2" borderId="0" xfId="0" applyFont="1" applyFill="1" applyAlignment="1">
      <alignment horizontal="center" vertical="center"/>
    </xf>
    <xf numFmtId="0" fontId="207" fillId="2" borderId="47" xfId="2" applyFont="1" applyFill="1" applyBorder="1" applyAlignment="1">
      <alignment horizontal="center" vertical="center"/>
    </xf>
    <xf numFmtId="0" fontId="151" fillId="25" borderId="51" xfId="0" applyFont="1" applyFill="1" applyBorder="1" applyAlignment="1">
      <alignment horizontal="center" vertical="center" wrapText="1"/>
    </xf>
    <xf numFmtId="0" fontId="203" fillId="31" borderId="61" xfId="0" applyFont="1" applyFill="1" applyBorder="1" applyAlignment="1">
      <alignment horizontal="center" vertical="center" wrapText="1"/>
    </xf>
    <xf numFmtId="0" fontId="147" fillId="25" borderId="57" xfId="0" applyFont="1" applyFill="1" applyBorder="1" applyAlignment="1">
      <alignment horizontal="center" vertical="center" wrapText="1"/>
    </xf>
    <xf numFmtId="165" fontId="147" fillId="25" borderId="57" xfId="0" applyNumberFormat="1" applyFont="1" applyFill="1" applyBorder="1" applyAlignment="1">
      <alignment horizontal="center" vertical="center" wrapText="1"/>
    </xf>
    <xf numFmtId="178" fontId="147" fillId="25" borderId="57" xfId="0" applyNumberFormat="1" applyFont="1" applyFill="1" applyBorder="1" applyAlignment="1">
      <alignment horizontal="center" vertical="center" wrapText="1"/>
    </xf>
    <xf numFmtId="0" fontId="5" fillId="25" borderId="44"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67" fillId="25" borderId="44" xfId="0" applyFont="1" applyFill="1" applyBorder="1" applyAlignment="1">
      <alignment horizontal="center" vertical="center" wrapText="1"/>
    </xf>
    <xf numFmtId="0" fontId="203" fillId="31" borderId="63" xfId="0" applyFont="1" applyFill="1" applyBorder="1" applyAlignment="1">
      <alignment horizontal="center" vertical="center" wrapText="1"/>
    </xf>
    <xf numFmtId="0" fontId="206" fillId="25" borderId="64" xfId="0" applyFont="1" applyFill="1" applyBorder="1" applyAlignment="1">
      <alignment horizontal="center" vertical="center" wrapText="1"/>
    </xf>
    <xf numFmtId="0" fontId="204" fillId="31" borderId="63" xfId="0" applyFont="1" applyFill="1" applyBorder="1" applyAlignment="1">
      <alignment horizontal="center" vertical="center" wrapText="1"/>
    </xf>
    <xf numFmtId="0" fontId="206" fillId="25" borderId="65" xfId="0" applyFont="1" applyFill="1" applyBorder="1" applyAlignment="1">
      <alignment horizontal="center" vertical="center" wrapText="1"/>
    </xf>
    <xf numFmtId="0" fontId="215" fillId="25" borderId="64" xfId="0" applyFont="1" applyFill="1" applyBorder="1" applyAlignment="1">
      <alignment horizontal="center" wrapText="1"/>
    </xf>
    <xf numFmtId="0" fontId="215" fillId="2" borderId="64" xfId="0" applyFont="1" applyFill="1" applyBorder="1" applyAlignment="1">
      <alignment horizontal="center" vertical="center" wrapText="1"/>
    </xf>
    <xf numFmtId="0" fontId="215" fillId="2" borderId="64" xfId="0" applyFont="1" applyFill="1" applyBorder="1" applyAlignment="1">
      <alignment horizontal="center" vertical="top" wrapText="1"/>
    </xf>
    <xf numFmtId="0" fontId="215" fillId="2" borderId="64" xfId="0" applyFont="1" applyFill="1" applyBorder="1" applyAlignment="1">
      <alignment horizontal="center" wrapText="1"/>
    </xf>
    <xf numFmtId="0" fontId="215" fillId="2" borderId="65" xfId="0" applyFont="1" applyFill="1" applyBorder="1" applyAlignment="1">
      <alignment horizontal="center" vertical="top" wrapText="1"/>
    </xf>
    <xf numFmtId="0" fontId="216" fillId="25" borderId="64" xfId="0" applyFont="1" applyFill="1" applyBorder="1" applyAlignment="1">
      <alignment horizontal="center" vertical="center" wrapText="1"/>
    </xf>
    <xf numFmtId="0" fontId="216" fillId="25" borderId="64" xfId="0" applyFont="1" applyFill="1" applyBorder="1" applyAlignment="1">
      <alignment horizontal="center" vertical="top" wrapText="1"/>
    </xf>
    <xf numFmtId="0" fontId="216" fillId="25" borderId="64" xfId="0" applyFont="1" applyFill="1" applyBorder="1" applyAlignment="1">
      <alignment horizontal="center" wrapText="1"/>
    </xf>
    <xf numFmtId="0" fontId="216" fillId="25" borderId="65" xfId="0" applyFont="1" applyFill="1" applyBorder="1" applyAlignment="1">
      <alignment horizontal="center" vertical="top" wrapText="1"/>
    </xf>
    <xf numFmtId="0" fontId="216" fillId="2" borderId="64" xfId="0" applyFont="1" applyFill="1" applyBorder="1" applyAlignment="1">
      <alignment horizontal="center" vertical="center" wrapText="1"/>
    </xf>
    <xf numFmtId="0" fontId="216" fillId="2" borderId="64" xfId="0" applyFont="1" applyFill="1" applyBorder="1" applyAlignment="1">
      <alignment horizontal="center" wrapText="1"/>
    </xf>
    <xf numFmtId="0" fontId="216" fillId="2" borderId="65" xfId="0" applyFont="1" applyFill="1" applyBorder="1" applyAlignment="1">
      <alignment horizontal="center" wrapText="1"/>
    </xf>
    <xf numFmtId="0" fontId="215" fillId="25" borderId="65" xfId="0" applyFont="1" applyFill="1" applyBorder="1" applyAlignment="1">
      <alignment horizontal="center" wrapText="1"/>
    </xf>
    <xf numFmtId="0" fontId="217" fillId="27" borderId="0" xfId="2" applyFont="1" applyFill="1" applyAlignment="1">
      <alignment horizontal="center" vertical="center"/>
    </xf>
    <xf numFmtId="0" fontId="151" fillId="25" borderId="57" xfId="0" applyFont="1" applyFill="1" applyBorder="1" applyAlignment="1">
      <alignment horizontal="center" vertical="center" wrapText="1"/>
    </xf>
    <xf numFmtId="2" fontId="153" fillId="25" borderId="57" xfId="0" applyNumberFormat="1" applyFont="1" applyFill="1" applyBorder="1" applyAlignment="1">
      <alignment horizontal="center" vertical="center" wrapText="1"/>
    </xf>
    <xf numFmtId="0" fontId="209" fillId="29" borderId="0" xfId="0" applyFont="1" applyFill="1" applyAlignment="1">
      <alignment horizontal="center" wrapText="1"/>
    </xf>
    <xf numFmtId="0" fontId="219" fillId="29" borderId="0" xfId="0" applyFont="1" applyFill="1" applyAlignment="1">
      <alignment horizontal="center" wrapText="1"/>
    </xf>
    <xf numFmtId="0" fontId="220" fillId="29" borderId="9" xfId="0" applyFont="1" applyFill="1" applyBorder="1" applyAlignment="1">
      <alignment horizontal="center" vertical="center" wrapText="1"/>
    </xf>
    <xf numFmtId="0" fontId="167" fillId="29" borderId="0" xfId="0" applyFont="1" applyFill="1"/>
    <xf numFmtId="0" fontId="147" fillId="29" borderId="0" xfId="0" applyFont="1" applyFill="1"/>
    <xf numFmtId="0" fontId="0" fillId="29" borderId="0" xfId="0" applyFill="1"/>
    <xf numFmtId="8" fontId="147" fillId="29" borderId="0" xfId="0" applyNumberFormat="1" applyFont="1" applyFill="1" applyAlignment="1">
      <alignment horizontal="left"/>
    </xf>
    <xf numFmtId="0" fontId="29" fillId="29" borderId="15" xfId="0" applyFont="1" applyFill="1" applyBorder="1" applyAlignment="1">
      <alignment horizontal="center" vertical="center" wrapText="1"/>
    </xf>
    <xf numFmtId="0" fontId="147" fillId="25" borderId="0" xfId="0" applyFont="1" applyFill="1"/>
    <xf numFmtId="0" fontId="0" fillId="25" borderId="0" xfId="0" applyFill="1"/>
    <xf numFmtId="0" fontId="185" fillId="2" borderId="0" xfId="0" applyFont="1" applyFill="1" applyAlignment="1">
      <alignment horizontal="left" vertical="center" wrapText="1"/>
    </xf>
    <xf numFmtId="0" fontId="35" fillId="25" borderId="15" xfId="0" applyFont="1" applyFill="1" applyBorder="1" applyAlignment="1">
      <alignment horizontal="center" vertical="center" wrapText="1"/>
    </xf>
    <xf numFmtId="0" fontId="66" fillId="25" borderId="15" xfId="0" applyFont="1" applyFill="1" applyBorder="1" applyAlignment="1">
      <alignment vertical="center" wrapText="1"/>
    </xf>
    <xf numFmtId="0" fontId="35" fillId="2" borderId="15"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69" fillId="25" borderId="15" xfId="0" applyFont="1" applyFill="1" applyBorder="1" applyAlignment="1">
      <alignment horizontal="center" vertical="center" wrapText="1"/>
    </xf>
    <xf numFmtId="0" fontId="5" fillId="2" borderId="15" xfId="0" applyFont="1" applyFill="1" applyBorder="1" applyAlignment="1">
      <alignment wrapText="1"/>
    </xf>
    <xf numFmtId="0" fontId="5" fillId="25" borderId="15" xfId="0" applyFont="1" applyFill="1" applyBorder="1" applyAlignment="1">
      <alignment horizontal="center" wrapText="1"/>
    </xf>
    <xf numFmtId="0" fontId="0" fillId="2" borderId="44" xfId="0" applyFill="1" applyBorder="1"/>
    <xf numFmtId="0" fontId="0" fillId="25" borderId="44" xfId="0" applyFill="1" applyBorder="1"/>
    <xf numFmtId="0" fontId="6" fillId="25" borderId="44" xfId="0" applyFont="1" applyFill="1" applyBorder="1" applyAlignment="1">
      <alignment horizontal="center" vertical="center"/>
    </xf>
    <xf numFmtId="0" fontId="6" fillId="2" borderId="44" xfId="0" applyFont="1" applyFill="1" applyBorder="1" applyAlignment="1">
      <alignment horizontal="center" vertical="center"/>
    </xf>
    <xf numFmtId="0" fontId="0" fillId="25" borderId="45" xfId="0" applyFill="1" applyBorder="1"/>
    <xf numFmtId="0" fontId="0" fillId="29" borderId="36" xfId="0" applyFill="1" applyBorder="1"/>
    <xf numFmtId="0" fontId="209" fillId="29" borderId="80" xfId="0" applyFont="1" applyFill="1" applyBorder="1" applyAlignment="1">
      <alignment horizontal="center" vertical="center" wrapText="1"/>
    </xf>
    <xf numFmtId="0" fontId="209" fillId="29" borderId="81" xfId="0" applyFont="1" applyFill="1" applyBorder="1" applyAlignment="1">
      <alignment horizontal="center" vertical="center" wrapText="1"/>
    </xf>
    <xf numFmtId="0" fontId="209" fillId="29" borderId="82" xfId="0" applyFont="1" applyFill="1" applyBorder="1" applyAlignment="1">
      <alignment horizontal="center" vertical="center" wrapText="1"/>
    </xf>
    <xf numFmtId="0" fontId="150" fillId="2" borderId="83" xfId="0" applyFont="1" applyFill="1" applyBorder="1" applyAlignment="1">
      <alignment horizontal="center" vertical="center" wrapText="1"/>
    </xf>
    <xf numFmtId="0" fontId="150" fillId="2" borderId="84" xfId="0" applyFont="1" applyFill="1" applyBorder="1" applyAlignment="1">
      <alignment horizontal="center" vertical="center" wrapText="1"/>
    </xf>
    <xf numFmtId="0" fontId="147" fillId="2" borderId="84" xfId="0" applyFont="1" applyFill="1" applyBorder="1" applyAlignment="1">
      <alignment horizontal="center" vertical="center" wrapText="1"/>
    </xf>
    <xf numFmtId="0" fontId="150" fillId="2" borderId="85" xfId="0" applyFont="1" applyFill="1" applyBorder="1" applyAlignment="1">
      <alignment horizontal="center" vertical="center" wrapText="1"/>
    </xf>
    <xf numFmtId="166" fontId="138" fillId="25" borderId="44" xfId="0" applyNumberFormat="1" applyFont="1" applyFill="1" applyBorder="1" applyAlignment="1">
      <alignment horizontal="center" vertical="center" wrapText="1"/>
    </xf>
    <xf numFmtId="166" fontId="60" fillId="2" borderId="44" xfId="0" applyNumberFormat="1" applyFont="1" applyFill="1" applyBorder="1" applyAlignment="1">
      <alignment vertical="center" wrapText="1"/>
    </xf>
    <xf numFmtId="166" fontId="60" fillId="25" borderId="44" xfId="0" applyNumberFormat="1" applyFont="1" applyFill="1" applyBorder="1" applyAlignment="1">
      <alignment vertical="center" wrapText="1"/>
    </xf>
    <xf numFmtId="166" fontId="36" fillId="2" borderId="44" xfId="0" applyNumberFormat="1" applyFont="1" applyFill="1" applyBorder="1" applyAlignment="1">
      <alignment vertical="center" wrapText="1"/>
    </xf>
    <xf numFmtId="166" fontId="36" fillId="25" borderId="44" xfId="0" applyNumberFormat="1" applyFont="1" applyFill="1" applyBorder="1" applyAlignment="1">
      <alignment vertical="center" wrapText="1"/>
    </xf>
    <xf numFmtId="166" fontId="55" fillId="2" borderId="44" xfId="0" applyNumberFormat="1" applyFont="1" applyFill="1" applyBorder="1" applyAlignment="1">
      <alignment horizontal="right" vertical="center" wrapText="1"/>
    </xf>
    <xf numFmtId="0" fontId="189" fillId="29" borderId="0" xfId="0" applyFont="1" applyFill="1" applyAlignment="1">
      <alignment horizontal="left" vertical="center"/>
    </xf>
    <xf numFmtId="0" fontId="4" fillId="30" borderId="89" xfId="0" applyFont="1" applyFill="1" applyBorder="1" applyAlignment="1">
      <alignment horizontal="center" vertical="center" wrapText="1"/>
    </xf>
    <xf numFmtId="0" fontId="4" fillId="30" borderId="72" xfId="0" applyFont="1" applyFill="1" applyBorder="1" applyAlignment="1">
      <alignment horizontal="center" vertical="center" wrapText="1"/>
    </xf>
    <xf numFmtId="0" fontId="4" fillId="30" borderId="73" xfId="0" applyFont="1" applyFill="1" applyBorder="1" applyAlignment="1">
      <alignment horizontal="center" vertical="center" wrapText="1"/>
    </xf>
    <xf numFmtId="0" fontId="209" fillId="29" borderId="96" xfId="0" applyFont="1" applyFill="1" applyBorder="1" applyAlignment="1">
      <alignment horizontal="center" vertical="center" wrapText="1"/>
    </xf>
    <xf numFmtId="0" fontId="209" fillId="29" borderId="97" xfId="0" applyFont="1" applyFill="1" applyBorder="1" applyAlignment="1">
      <alignment horizontal="center" vertical="center" wrapText="1"/>
    </xf>
    <xf numFmtId="0" fontId="209" fillId="29" borderId="98" xfId="0" applyFont="1" applyFill="1" applyBorder="1" applyAlignment="1">
      <alignment horizontal="center" vertical="center" wrapText="1"/>
    </xf>
    <xf numFmtId="0" fontId="36" fillId="2" borderId="44" xfId="0" applyFont="1" applyFill="1" applyBorder="1" applyAlignment="1">
      <alignment vertical="top" wrapText="1"/>
    </xf>
    <xf numFmtId="0" fontId="36" fillId="25" borderId="44" xfId="0" applyFont="1" applyFill="1" applyBorder="1" applyAlignment="1">
      <alignment vertical="top" wrapText="1"/>
    </xf>
    <xf numFmtId="0" fontId="36" fillId="2" borderId="45" xfId="0" applyFont="1" applyFill="1" applyBorder="1"/>
    <xf numFmtId="0" fontId="59" fillId="25" borderId="102" xfId="0" applyFont="1" applyFill="1" applyBorder="1" applyAlignment="1">
      <alignment horizontal="center" vertical="center" wrapText="1"/>
    </xf>
    <xf numFmtId="0" fontId="62" fillId="25" borderId="103" xfId="0" applyFont="1" applyFill="1" applyBorder="1" applyAlignment="1">
      <alignment horizontal="center" vertical="center" wrapText="1"/>
    </xf>
    <xf numFmtId="0" fontId="60" fillId="2" borderId="103" xfId="0" applyFont="1" applyFill="1" applyBorder="1"/>
    <xf numFmtId="0" fontId="60" fillId="25" borderId="103" xfId="0" applyFont="1" applyFill="1" applyBorder="1"/>
    <xf numFmtId="0" fontId="60" fillId="2" borderId="104" xfId="0" applyFont="1" applyFill="1" applyBorder="1"/>
    <xf numFmtId="0" fontId="188" fillId="29" borderId="0" xfId="0" applyFont="1" applyFill="1" applyAlignment="1">
      <alignment horizontal="center" vertical="center" wrapText="1"/>
    </xf>
    <xf numFmtId="0" fontId="190" fillId="25" borderId="99" xfId="0" applyFont="1" applyFill="1" applyBorder="1" applyAlignment="1">
      <alignment horizontal="center" vertical="center" wrapText="1"/>
    </xf>
    <xf numFmtId="0" fontId="36" fillId="25" borderId="27" xfId="0" applyFont="1" applyFill="1" applyBorder="1"/>
    <xf numFmtId="0" fontId="167" fillId="25" borderId="83" xfId="0" applyFont="1" applyFill="1" applyBorder="1" applyAlignment="1">
      <alignment horizontal="center" vertical="center" wrapText="1"/>
    </xf>
    <xf numFmtId="0" fontId="151" fillId="28" borderId="84" xfId="0" applyFont="1" applyFill="1" applyBorder="1" applyAlignment="1">
      <alignment horizontal="center" vertical="center" wrapText="1"/>
    </xf>
    <xf numFmtId="0" fontId="151" fillId="28" borderId="85" xfId="0" applyFont="1" applyFill="1" applyBorder="1" applyAlignment="1">
      <alignment horizontal="center" vertical="center" wrapText="1"/>
    </xf>
    <xf numFmtId="0" fontId="202" fillId="30" borderId="117" xfId="0" applyFont="1" applyFill="1" applyBorder="1" applyAlignment="1">
      <alignment horizontal="center" vertical="center" wrapText="1"/>
    </xf>
    <xf numFmtId="0" fontId="4" fillId="30" borderId="117" xfId="0" applyFont="1" applyFill="1" applyBorder="1" applyAlignment="1">
      <alignment vertical="center" wrapText="1"/>
    </xf>
    <xf numFmtId="0" fontId="4" fillId="30" borderId="118" xfId="0" applyFont="1" applyFill="1" applyBorder="1" applyAlignment="1">
      <alignment vertical="center" wrapText="1"/>
    </xf>
    <xf numFmtId="0" fontId="205" fillId="2" borderId="119" xfId="0" applyFont="1" applyFill="1" applyBorder="1"/>
    <xf numFmtId="0" fontId="221" fillId="2" borderId="119" xfId="2" applyFont="1" applyFill="1" applyBorder="1"/>
    <xf numFmtId="0" fontId="221" fillId="2" borderId="119" xfId="2" applyFont="1" applyFill="1" applyBorder="1" applyAlignment="1">
      <alignment horizontal="center"/>
    </xf>
    <xf numFmtId="0" fontId="193" fillId="2" borderId="119" xfId="0" applyFont="1" applyFill="1" applyBorder="1"/>
    <xf numFmtId="0" fontId="193" fillId="2" borderId="120" xfId="0" applyFont="1" applyFill="1" applyBorder="1"/>
    <xf numFmtId="0" fontId="205" fillId="25" borderId="119" xfId="0" applyFont="1" applyFill="1" applyBorder="1"/>
    <xf numFmtId="0" fontId="221" fillId="25" borderId="119" xfId="2" applyFont="1" applyFill="1" applyBorder="1"/>
    <xf numFmtId="0" fontId="221" fillId="25" borderId="119" xfId="2" applyFont="1" applyFill="1" applyBorder="1" applyAlignment="1">
      <alignment horizontal="center"/>
    </xf>
    <xf numFmtId="0" fontId="193" fillId="25" borderId="119" xfId="0" applyFont="1" applyFill="1" applyBorder="1"/>
    <xf numFmtId="0" fontId="193" fillId="25" borderId="120" xfId="0" applyFont="1" applyFill="1" applyBorder="1"/>
    <xf numFmtId="0" fontId="193" fillId="2" borderId="119" xfId="0" applyFont="1" applyFill="1" applyBorder="1" applyAlignment="1">
      <alignment horizontal="center" vertical="center"/>
    </xf>
    <xf numFmtId="0" fontId="193" fillId="2" borderId="120" xfId="0" applyFont="1" applyFill="1" applyBorder="1" applyAlignment="1">
      <alignment horizontal="center" vertical="center"/>
    </xf>
    <xf numFmtId="0" fontId="193" fillId="25" borderId="119" xfId="0" applyFont="1" applyFill="1" applyBorder="1" applyAlignment="1">
      <alignment horizontal="center" vertical="center"/>
    </xf>
    <xf numFmtId="0" fontId="193" fillId="25" borderId="120" xfId="0" applyFont="1" applyFill="1" applyBorder="1" applyAlignment="1">
      <alignment horizontal="center" vertical="center"/>
    </xf>
    <xf numFmtId="0" fontId="205" fillId="25" borderId="121" xfId="0" applyFont="1" applyFill="1" applyBorder="1"/>
    <xf numFmtId="0" fontId="221" fillId="25" borderId="121" xfId="2" applyFont="1" applyFill="1" applyBorder="1"/>
    <xf numFmtId="0" fontId="221" fillId="25" borderId="121" xfId="2" applyFont="1" applyFill="1" applyBorder="1" applyAlignment="1">
      <alignment horizontal="center"/>
    </xf>
    <xf numFmtId="0" fontId="193" fillId="25" borderId="121" xfId="0" applyFont="1" applyFill="1" applyBorder="1"/>
    <xf numFmtId="0" fontId="193" fillId="25" borderId="122" xfId="0" applyFont="1" applyFill="1" applyBorder="1"/>
    <xf numFmtId="0" fontId="202" fillId="30" borderId="123" xfId="0" applyFont="1" applyFill="1" applyBorder="1" applyAlignment="1">
      <alignment horizontal="center" vertical="center" wrapText="1"/>
    </xf>
    <xf numFmtId="0" fontId="205" fillId="2" borderId="124" xfId="0" applyFont="1" applyFill="1" applyBorder="1"/>
    <xf numFmtId="0" fontId="205" fillId="25" borderId="124" xfId="0" applyFont="1" applyFill="1" applyBorder="1"/>
    <xf numFmtId="0" fontId="205" fillId="25" borderId="125" xfId="0" applyFont="1" applyFill="1" applyBorder="1"/>
    <xf numFmtId="0" fontId="202" fillId="27" borderId="126" xfId="0" applyFont="1" applyFill="1" applyBorder="1" applyAlignment="1">
      <alignment horizontal="center" vertical="center" wrapText="1"/>
    </xf>
    <xf numFmtId="0" fontId="203" fillId="31" borderId="127" xfId="0" applyFont="1" applyFill="1" applyBorder="1" applyAlignment="1">
      <alignment horizontal="center" vertical="center"/>
    </xf>
    <xf numFmtId="0" fontId="203" fillId="31" borderId="128" xfId="0" applyFont="1" applyFill="1" applyBorder="1" applyAlignment="1">
      <alignment horizontal="center" vertical="center"/>
    </xf>
    <xf numFmtId="0" fontId="202" fillId="30" borderId="118" xfId="0" applyFont="1" applyFill="1" applyBorder="1" applyAlignment="1">
      <alignment horizontal="center" vertical="center" wrapText="1"/>
    </xf>
    <xf numFmtId="0" fontId="205" fillId="2" borderId="119" xfId="0" applyFont="1" applyFill="1" applyBorder="1" applyAlignment="1">
      <alignment horizontal="center" vertical="center" wrapText="1"/>
    </xf>
    <xf numFmtId="165" fontId="205" fillId="2" borderId="119" xfId="0" applyNumberFormat="1" applyFont="1" applyFill="1" applyBorder="1" applyAlignment="1">
      <alignment horizontal="center" vertical="center" wrapText="1"/>
    </xf>
    <xf numFmtId="0" fontId="205" fillId="2" borderId="120" xfId="0" applyFont="1" applyFill="1" applyBorder="1" applyAlignment="1">
      <alignment horizontal="center" vertical="top" wrapText="1"/>
    </xf>
    <xf numFmtId="0" fontId="205" fillId="25" borderId="119" xfId="0" applyFont="1" applyFill="1" applyBorder="1" applyAlignment="1">
      <alignment horizontal="center" vertical="top" wrapText="1"/>
    </xf>
    <xf numFmtId="165" fontId="205" fillId="25" borderId="119" xfId="0" applyNumberFormat="1" applyFont="1" applyFill="1" applyBorder="1" applyAlignment="1">
      <alignment horizontal="center" vertical="top" wrapText="1"/>
    </xf>
    <xf numFmtId="0" fontId="205" fillId="25" borderId="120" xfId="0" applyFont="1" applyFill="1" applyBorder="1" applyAlignment="1">
      <alignment horizontal="center" vertical="top" wrapText="1"/>
    </xf>
    <xf numFmtId="0" fontId="205" fillId="2" borderId="119" xfId="0" applyFont="1" applyFill="1" applyBorder="1" applyAlignment="1">
      <alignment horizontal="center" vertical="top" wrapText="1"/>
    </xf>
    <xf numFmtId="165" fontId="205" fillId="2" borderId="119" xfId="0" applyNumberFormat="1" applyFont="1" applyFill="1" applyBorder="1" applyAlignment="1">
      <alignment horizontal="center" vertical="top" wrapText="1"/>
    </xf>
    <xf numFmtId="0" fontId="206" fillId="2" borderId="119" xfId="0" applyFont="1" applyFill="1" applyBorder="1" applyAlignment="1">
      <alignment horizontal="center" vertical="top" wrapText="1"/>
    </xf>
    <xf numFmtId="0" fontId="206" fillId="25" borderId="119" xfId="0" applyFont="1" applyFill="1" applyBorder="1" applyAlignment="1">
      <alignment horizontal="center" vertical="top" wrapText="1"/>
    </xf>
    <xf numFmtId="0" fontId="202" fillId="30" borderId="119" xfId="0" applyFont="1" applyFill="1" applyBorder="1" applyAlignment="1">
      <alignment horizontal="center" vertical="center" wrapText="1"/>
    </xf>
    <xf numFmtId="0" fontId="202" fillId="30" borderId="120" xfId="0" applyFont="1" applyFill="1" applyBorder="1" applyAlignment="1">
      <alignment horizontal="center" vertical="center" wrapText="1"/>
    </xf>
    <xf numFmtId="0" fontId="205" fillId="2" borderId="119" xfId="0" applyFont="1" applyFill="1" applyBorder="1" applyAlignment="1">
      <alignment horizontal="center" wrapText="1"/>
    </xf>
    <xf numFmtId="173" fontId="205" fillId="2" borderId="119" xfId="0" applyNumberFormat="1" applyFont="1" applyFill="1" applyBorder="1" applyAlignment="1">
      <alignment horizontal="center" wrapText="1"/>
    </xf>
    <xf numFmtId="166" fontId="205" fillId="2" borderId="119" xfId="0" applyNumberFormat="1" applyFont="1" applyFill="1" applyBorder="1" applyAlignment="1">
      <alignment horizontal="center" wrapText="1"/>
    </xf>
    <xf numFmtId="0" fontId="205" fillId="25" borderId="119" xfId="0" applyFont="1" applyFill="1" applyBorder="1" applyAlignment="1">
      <alignment horizontal="center" wrapText="1"/>
    </xf>
    <xf numFmtId="173" fontId="205" fillId="25" borderId="119" xfId="0" applyNumberFormat="1" applyFont="1" applyFill="1" applyBorder="1" applyAlignment="1">
      <alignment horizontal="center" wrapText="1"/>
    </xf>
    <xf numFmtId="166" fontId="205" fillId="25" borderId="119" xfId="0" applyNumberFormat="1" applyFont="1" applyFill="1" applyBorder="1" applyAlignment="1">
      <alignment horizontal="center" wrapText="1"/>
    </xf>
    <xf numFmtId="0" fontId="205" fillId="25" borderId="121" xfId="0" applyFont="1" applyFill="1" applyBorder="1" applyAlignment="1">
      <alignment horizontal="center" wrapText="1"/>
    </xf>
    <xf numFmtId="173" fontId="205" fillId="25" borderId="121" xfId="0" applyNumberFormat="1" applyFont="1" applyFill="1" applyBorder="1" applyAlignment="1">
      <alignment horizontal="center" wrapText="1"/>
    </xf>
    <xf numFmtId="166" fontId="205" fillId="25" borderId="121" xfId="0" applyNumberFormat="1" applyFont="1" applyFill="1" applyBorder="1" applyAlignment="1">
      <alignment horizontal="center" wrapText="1"/>
    </xf>
    <xf numFmtId="0" fontId="205" fillId="25" borderId="122" xfId="0" applyFont="1" applyFill="1" applyBorder="1" applyAlignment="1">
      <alignment horizontal="center" vertical="top" wrapText="1"/>
    </xf>
    <xf numFmtId="0" fontId="205" fillId="2" borderId="124" xfId="0" applyFont="1" applyFill="1" applyBorder="1" applyAlignment="1">
      <alignment horizontal="center" vertical="center" wrapText="1"/>
    </xf>
    <xf numFmtId="0" fontId="205" fillId="25" borderId="124" xfId="0" applyFont="1" applyFill="1" applyBorder="1" applyAlignment="1">
      <alignment horizontal="center" vertical="top" wrapText="1"/>
    </xf>
    <xf numFmtId="0" fontId="205" fillId="2" borderId="124" xfId="0" applyFont="1" applyFill="1" applyBorder="1" applyAlignment="1">
      <alignment horizontal="center" vertical="top" wrapText="1"/>
    </xf>
    <xf numFmtId="0" fontId="202" fillId="30" borderId="124" xfId="0" applyFont="1" applyFill="1" applyBorder="1" applyAlignment="1">
      <alignment horizontal="center" vertical="center" wrapText="1"/>
    </xf>
    <xf numFmtId="0" fontId="205" fillId="2" borderId="124" xfId="0" applyFont="1" applyFill="1" applyBorder="1" applyAlignment="1">
      <alignment horizontal="center" wrapText="1"/>
    </xf>
    <xf numFmtId="0" fontId="205" fillId="25" borderId="124" xfId="0" applyFont="1" applyFill="1" applyBorder="1" applyAlignment="1">
      <alignment horizontal="center" wrapText="1"/>
    </xf>
    <xf numFmtId="0" fontId="205" fillId="25" borderId="125" xfId="0" applyFont="1" applyFill="1" applyBorder="1" applyAlignment="1">
      <alignment horizontal="center" wrapText="1"/>
    </xf>
    <xf numFmtId="0" fontId="202" fillId="30" borderId="126" xfId="0" applyFont="1" applyFill="1" applyBorder="1" applyAlignment="1">
      <alignment horizontal="center" vertical="center" wrapText="1"/>
    </xf>
    <xf numFmtId="0" fontId="204" fillId="31" borderId="127" xfId="0" applyFont="1" applyFill="1" applyBorder="1" applyAlignment="1">
      <alignment horizontal="center" vertical="center" wrapText="1"/>
    </xf>
    <xf numFmtId="0" fontId="204" fillId="31" borderId="128" xfId="0" applyFont="1" applyFill="1" applyBorder="1" applyAlignment="1">
      <alignment horizontal="center" vertical="center" wrapText="1"/>
    </xf>
    <xf numFmtId="173" fontId="202" fillId="30" borderId="117" xfId="0" applyNumberFormat="1" applyFont="1" applyFill="1" applyBorder="1" applyAlignment="1">
      <alignment horizontal="center" vertical="center" wrapText="1"/>
    </xf>
    <xf numFmtId="166" fontId="202" fillId="30" borderId="117" xfId="0" applyNumberFormat="1" applyFont="1" applyFill="1" applyBorder="1" applyAlignment="1">
      <alignment horizontal="center" vertical="center" wrapText="1"/>
    </xf>
    <xf numFmtId="173" fontId="205" fillId="2" borderId="119" xfId="0" applyNumberFormat="1" applyFont="1" applyFill="1" applyBorder="1" applyAlignment="1">
      <alignment horizontal="center" vertical="center" wrapText="1"/>
    </xf>
    <xf numFmtId="166" fontId="205" fillId="2" borderId="119" xfId="0" applyNumberFormat="1" applyFont="1" applyFill="1" applyBorder="1" applyAlignment="1">
      <alignment horizontal="center" vertical="center" wrapText="1"/>
    </xf>
    <xf numFmtId="0" fontId="205" fillId="2" borderId="120" xfId="0" applyFont="1" applyFill="1" applyBorder="1" applyAlignment="1">
      <alignment horizontal="center" vertical="center" wrapText="1"/>
    </xf>
    <xf numFmtId="0" fontId="205" fillId="25" borderId="119" xfId="0" applyFont="1" applyFill="1" applyBorder="1" applyAlignment="1">
      <alignment horizontal="center" vertical="center" wrapText="1"/>
    </xf>
    <xf numFmtId="165" fontId="205" fillId="25" borderId="119" xfId="0" applyNumberFormat="1" applyFont="1" applyFill="1" applyBorder="1" applyAlignment="1">
      <alignment horizontal="center" wrapText="1"/>
    </xf>
    <xf numFmtId="0" fontId="205" fillId="25" borderId="120" xfId="0" applyFont="1" applyFill="1" applyBorder="1" applyAlignment="1">
      <alignment horizontal="center" vertical="center" wrapText="1"/>
    </xf>
    <xf numFmtId="165" fontId="205" fillId="2" borderId="119" xfId="0" applyNumberFormat="1" applyFont="1" applyFill="1" applyBorder="1" applyAlignment="1">
      <alignment horizontal="center" wrapText="1"/>
    </xf>
    <xf numFmtId="178" fontId="205" fillId="25" borderId="119" xfId="0" applyNumberFormat="1" applyFont="1" applyFill="1" applyBorder="1" applyAlignment="1">
      <alignment horizontal="center" wrapText="1"/>
    </xf>
    <xf numFmtId="178" fontId="205" fillId="2" borderId="119" xfId="0" applyNumberFormat="1" applyFont="1" applyFill="1" applyBorder="1" applyAlignment="1">
      <alignment horizontal="center" wrapText="1"/>
    </xf>
    <xf numFmtId="0" fontId="205" fillId="25" borderId="124" xfId="0" applyFont="1" applyFill="1" applyBorder="1" applyAlignment="1">
      <alignment horizontal="center" vertical="center" wrapText="1"/>
    </xf>
    <xf numFmtId="0" fontId="203" fillId="31" borderId="127" xfId="0" applyFont="1" applyFill="1" applyBorder="1" applyAlignment="1">
      <alignment horizontal="center" vertical="center" wrapText="1"/>
    </xf>
    <xf numFmtId="0" fontId="4" fillId="30" borderId="117" xfId="0" applyFont="1" applyFill="1" applyBorder="1" applyAlignment="1">
      <alignment horizontal="center" vertical="center" wrapText="1"/>
    </xf>
    <xf numFmtId="0" fontId="4" fillId="30" borderId="118" xfId="0" applyFont="1" applyFill="1" applyBorder="1" applyAlignment="1">
      <alignment horizontal="center" vertical="center" wrapText="1"/>
    </xf>
    <xf numFmtId="0" fontId="193" fillId="2" borderId="119" xfId="0" applyFont="1" applyFill="1" applyBorder="1" applyAlignment="1">
      <alignment horizontal="center" vertical="center" wrapText="1"/>
    </xf>
    <xf numFmtId="166" fontId="193" fillId="2" borderId="119" xfId="0" applyNumberFormat="1" applyFont="1" applyFill="1" applyBorder="1" applyAlignment="1">
      <alignment horizontal="center" vertical="center" wrapText="1"/>
    </xf>
    <xf numFmtId="4" fontId="193" fillId="2" borderId="119" xfId="0" applyNumberFormat="1" applyFont="1" applyFill="1" applyBorder="1" applyAlignment="1">
      <alignment horizontal="center" vertical="center" wrapText="1"/>
    </xf>
    <xf numFmtId="166" fontId="193" fillId="2" borderId="120" xfId="0" applyNumberFormat="1" applyFont="1" applyFill="1" applyBorder="1" applyAlignment="1">
      <alignment horizontal="center" vertical="center" wrapText="1"/>
    </xf>
    <xf numFmtId="0" fontId="206" fillId="25" borderId="119" xfId="0" applyFont="1" applyFill="1" applyBorder="1" applyAlignment="1">
      <alignment horizontal="center" vertical="center" wrapText="1"/>
    </xf>
    <xf numFmtId="165" fontId="205" fillId="25" borderId="119" xfId="0" applyNumberFormat="1" applyFont="1" applyFill="1" applyBorder="1" applyAlignment="1">
      <alignment horizontal="center" vertical="center" wrapText="1"/>
    </xf>
    <xf numFmtId="178" fontId="205" fillId="25" borderId="119" xfId="0" applyNumberFormat="1" applyFont="1" applyFill="1" applyBorder="1" applyAlignment="1">
      <alignment horizontal="center" vertical="center" wrapText="1"/>
    </xf>
    <xf numFmtId="0" fontId="194" fillId="25" borderId="119" xfId="0" applyFont="1" applyFill="1" applyBorder="1" applyAlignment="1">
      <alignment horizontal="center" vertical="center" wrapText="1"/>
    </xf>
    <xf numFmtId="0" fontId="193" fillId="25" borderId="119" xfId="0" applyFont="1" applyFill="1" applyBorder="1" applyAlignment="1">
      <alignment horizontal="center" vertical="center" wrapText="1"/>
    </xf>
    <xf numFmtId="166" fontId="194" fillId="25" borderId="119" xfId="0" applyNumberFormat="1" applyFont="1" applyFill="1" applyBorder="1" applyAlignment="1">
      <alignment horizontal="right" vertical="center" wrapText="1"/>
    </xf>
    <xf numFmtId="4" fontId="194" fillId="25" borderId="119" xfId="0" applyNumberFormat="1" applyFont="1" applyFill="1" applyBorder="1" applyAlignment="1">
      <alignment vertical="center" wrapText="1"/>
    </xf>
    <xf numFmtId="166" fontId="193" fillId="25" borderId="119" xfId="0" applyNumberFormat="1" applyFont="1" applyFill="1" applyBorder="1" applyAlignment="1">
      <alignment vertical="center" wrapText="1"/>
    </xf>
    <xf numFmtId="166" fontId="193" fillId="25" borderId="120" xfId="0" applyNumberFormat="1" applyFont="1" applyFill="1" applyBorder="1" applyAlignment="1">
      <alignment vertical="center" wrapText="1"/>
    </xf>
    <xf numFmtId="0" fontId="206" fillId="2" borderId="119" xfId="0" applyFont="1" applyFill="1" applyBorder="1" applyAlignment="1">
      <alignment horizontal="center" vertical="center" wrapText="1"/>
    </xf>
    <xf numFmtId="178" fontId="205" fillId="2" borderId="119" xfId="0" applyNumberFormat="1" applyFont="1" applyFill="1" applyBorder="1" applyAlignment="1">
      <alignment horizontal="center" vertical="center" wrapText="1"/>
    </xf>
    <xf numFmtId="0" fontId="194" fillId="2" borderId="119" xfId="0" applyFont="1" applyFill="1" applyBorder="1" applyAlignment="1">
      <alignment horizontal="center" vertical="center" wrapText="1"/>
    </xf>
    <xf numFmtId="166" fontId="194" fillId="2" borderId="119" xfId="0" applyNumberFormat="1" applyFont="1" applyFill="1" applyBorder="1" applyAlignment="1">
      <alignment horizontal="right" vertical="center" wrapText="1"/>
    </xf>
    <xf numFmtId="4" fontId="194" fillId="2" borderId="119" xfId="0" applyNumberFormat="1" applyFont="1" applyFill="1" applyBorder="1" applyAlignment="1">
      <alignment vertical="center" wrapText="1"/>
    </xf>
    <xf numFmtId="166" fontId="193" fillId="2" borderId="119" xfId="0" applyNumberFormat="1" applyFont="1" applyFill="1" applyBorder="1" applyAlignment="1">
      <alignment vertical="center" wrapText="1"/>
    </xf>
    <xf numFmtId="166" fontId="193" fillId="2" borderId="120" xfId="0" applyNumberFormat="1" applyFont="1" applyFill="1" applyBorder="1" applyAlignment="1">
      <alignment vertical="center" wrapText="1"/>
    </xf>
    <xf numFmtId="4" fontId="194" fillId="2" borderId="119" xfId="0" applyNumberFormat="1" applyFont="1" applyFill="1" applyBorder="1" applyAlignment="1">
      <alignment horizontal="right" vertical="center" wrapText="1"/>
    </xf>
    <xf numFmtId="4" fontId="194" fillId="25" borderId="119" xfId="0" applyNumberFormat="1" applyFont="1" applyFill="1" applyBorder="1" applyAlignment="1">
      <alignment horizontal="right" vertical="center" wrapText="1"/>
    </xf>
    <xf numFmtId="4" fontId="205" fillId="2" borderId="119" xfId="0" applyNumberFormat="1" applyFont="1" applyFill="1" applyBorder="1" applyAlignment="1">
      <alignment horizontal="center" vertical="center" wrapText="1"/>
    </xf>
    <xf numFmtId="0" fontId="211" fillId="2" borderId="119" xfId="0" applyFont="1" applyFill="1" applyBorder="1" applyAlignment="1">
      <alignment horizontal="center" vertical="top" wrapText="1"/>
    </xf>
    <xf numFmtId="9" fontId="206" fillId="2" borderId="119" xfId="0" applyNumberFormat="1" applyFont="1" applyFill="1" applyBorder="1" applyAlignment="1">
      <alignment horizontal="center" vertical="top" wrapText="1"/>
    </xf>
    <xf numFmtId="0" fontId="212" fillId="25" borderId="119" xfId="0" applyFont="1" applyFill="1" applyBorder="1" applyAlignment="1">
      <alignment horizontal="center" vertical="top" wrapText="1"/>
    </xf>
    <xf numFmtId="9" fontId="206" fillId="25" borderId="119" xfId="0" applyNumberFormat="1" applyFont="1" applyFill="1" applyBorder="1" applyAlignment="1">
      <alignment horizontal="center" vertical="top" wrapText="1"/>
    </xf>
    <xf numFmtId="0" fontId="212" fillId="2" borderId="119" xfId="0" applyFont="1" applyFill="1" applyBorder="1" applyAlignment="1">
      <alignment horizontal="center" vertical="top" wrapText="1"/>
    </xf>
    <xf numFmtId="0" fontId="206" fillId="2" borderId="120" xfId="0" applyFont="1" applyFill="1" applyBorder="1" applyAlignment="1">
      <alignment horizontal="center" vertical="top" wrapText="1"/>
    </xf>
    <xf numFmtId="0" fontId="206" fillId="25" borderId="120" xfId="0" applyFont="1" applyFill="1" applyBorder="1" applyAlignment="1">
      <alignment horizontal="center" vertical="top" wrapText="1"/>
    </xf>
    <xf numFmtId="0" fontId="214" fillId="25" borderId="119" xfId="0" applyFont="1" applyFill="1" applyBorder="1" applyAlignment="1">
      <alignment horizontal="center" vertical="top" wrapText="1"/>
    </xf>
    <xf numFmtId="0" fontId="213" fillId="25" borderId="119" xfId="0" applyFont="1" applyFill="1" applyBorder="1" applyAlignment="1">
      <alignment horizontal="center" vertical="top" wrapText="1"/>
    </xf>
    <xf numFmtId="0" fontId="214" fillId="25" borderId="120" xfId="0" applyFont="1" applyFill="1" applyBorder="1" applyAlignment="1">
      <alignment horizontal="center" vertical="top" wrapText="1"/>
    </xf>
    <xf numFmtId="9" fontId="214" fillId="25" borderId="119" xfId="0" applyNumberFormat="1" applyFont="1" applyFill="1" applyBorder="1" applyAlignment="1">
      <alignment horizontal="center" vertical="top" wrapText="1"/>
    </xf>
    <xf numFmtId="0" fontId="205" fillId="25" borderId="121" xfId="0" applyFont="1" applyFill="1" applyBorder="1" applyAlignment="1">
      <alignment horizontal="center" vertical="top" wrapText="1"/>
    </xf>
    <xf numFmtId="0" fontId="206" fillId="25" borderId="121" xfId="0" applyFont="1" applyFill="1" applyBorder="1" applyAlignment="1">
      <alignment horizontal="center" vertical="top" wrapText="1"/>
    </xf>
    <xf numFmtId="0" fontId="212" fillId="25" borderId="121" xfId="0" applyFont="1" applyFill="1" applyBorder="1" applyAlignment="1">
      <alignment horizontal="center" vertical="top" wrapText="1"/>
    </xf>
    <xf numFmtId="9" fontId="206" fillId="25" borderId="121" xfId="0" applyNumberFormat="1" applyFont="1" applyFill="1" applyBorder="1" applyAlignment="1">
      <alignment horizontal="center" vertical="top" wrapText="1"/>
    </xf>
    <xf numFmtId="0" fontId="206" fillId="25" borderId="122" xfId="0" applyFont="1" applyFill="1" applyBorder="1" applyAlignment="1">
      <alignment horizontal="center" vertical="top" wrapText="1"/>
    </xf>
    <xf numFmtId="0" fontId="206" fillId="2" borderId="124" xfId="0" applyFont="1" applyFill="1" applyBorder="1" applyAlignment="1">
      <alignment horizontal="center" vertical="top" wrapText="1"/>
    </xf>
    <xf numFmtId="0" fontId="214" fillId="25" borderId="124" xfId="0" applyFont="1" applyFill="1" applyBorder="1" applyAlignment="1">
      <alignment horizontal="center" vertical="top" wrapText="1"/>
    </xf>
    <xf numFmtId="0" fontId="205" fillId="25" borderId="125" xfId="0" applyFont="1" applyFill="1" applyBorder="1" applyAlignment="1">
      <alignment horizontal="center" vertical="top" wrapText="1"/>
    </xf>
    <xf numFmtId="0" fontId="203" fillId="31" borderId="128" xfId="0" applyFont="1" applyFill="1" applyBorder="1" applyAlignment="1">
      <alignment horizontal="center" vertical="center" wrapText="1"/>
    </xf>
    <xf numFmtId="3" fontId="193" fillId="25" borderId="119" xfId="0" applyNumberFormat="1" applyFont="1" applyFill="1" applyBorder="1" applyAlignment="1">
      <alignment vertical="top" wrapText="1"/>
    </xf>
    <xf numFmtId="0" fontId="193" fillId="25" borderId="120" xfId="0" applyFont="1" applyFill="1" applyBorder="1" applyAlignment="1">
      <alignment vertical="top" wrapText="1"/>
    </xf>
    <xf numFmtId="3" fontId="193" fillId="2" borderId="119" xfId="0" applyNumberFormat="1" applyFont="1" applyFill="1" applyBorder="1" applyAlignment="1">
      <alignment vertical="top" wrapText="1"/>
    </xf>
    <xf numFmtId="0" fontId="193" fillId="2" borderId="120" xfId="0" applyFont="1" applyFill="1" applyBorder="1" applyAlignment="1">
      <alignment vertical="top" wrapText="1"/>
    </xf>
    <xf numFmtId="3" fontId="193" fillId="25" borderId="119" xfId="0" applyNumberFormat="1" applyFont="1" applyFill="1" applyBorder="1" applyAlignment="1">
      <alignment horizontal="center" vertical="top" wrapText="1"/>
    </xf>
    <xf numFmtId="3" fontId="193" fillId="2" borderId="119" xfId="0" applyNumberFormat="1" applyFont="1" applyFill="1" applyBorder="1" applyAlignment="1">
      <alignment horizontal="center" vertical="top" wrapText="1"/>
    </xf>
    <xf numFmtId="3" fontId="194" fillId="25" borderId="119" xfId="0" applyNumberFormat="1" applyFont="1" applyFill="1" applyBorder="1" applyAlignment="1">
      <alignment vertical="top" wrapText="1"/>
    </xf>
    <xf numFmtId="0" fontId="194" fillId="25" borderId="120" xfId="0" applyFont="1" applyFill="1" applyBorder="1" applyAlignment="1">
      <alignment vertical="top" wrapText="1"/>
    </xf>
    <xf numFmtId="169" fontId="205" fillId="2" borderId="119" xfId="0" applyNumberFormat="1" applyFont="1" applyFill="1" applyBorder="1" applyAlignment="1">
      <alignment horizontal="center" vertical="top" wrapText="1"/>
    </xf>
    <xf numFmtId="169" fontId="205" fillId="25" borderId="119" xfId="0" applyNumberFormat="1" applyFont="1" applyFill="1" applyBorder="1" applyAlignment="1">
      <alignment horizontal="center" vertical="top" wrapText="1"/>
    </xf>
    <xf numFmtId="169" fontId="205" fillId="2" borderId="119" xfId="0" applyNumberFormat="1" applyFont="1" applyFill="1" applyBorder="1" applyAlignment="1">
      <alignment horizontal="center" wrapText="1"/>
    </xf>
    <xf numFmtId="0" fontId="206" fillId="2" borderId="119" xfId="0" applyFont="1" applyFill="1" applyBorder="1" applyAlignment="1">
      <alignment horizontal="center" wrapText="1"/>
    </xf>
    <xf numFmtId="3" fontId="193" fillId="2" borderId="119" xfId="0" applyNumberFormat="1" applyFont="1" applyFill="1" applyBorder="1" applyAlignment="1">
      <alignment wrapText="1"/>
    </xf>
    <xf numFmtId="0" fontId="193" fillId="2" borderId="120" xfId="0" applyFont="1" applyFill="1" applyBorder="1" applyAlignment="1">
      <alignment wrapText="1"/>
    </xf>
    <xf numFmtId="169" fontId="205" fillId="25" borderId="119" xfId="0" applyNumberFormat="1" applyFont="1" applyFill="1" applyBorder="1" applyAlignment="1">
      <alignment horizontal="center" wrapText="1"/>
    </xf>
    <xf numFmtId="0" fontId="206" fillId="25" borderId="119" xfId="0" applyFont="1" applyFill="1" applyBorder="1" applyAlignment="1">
      <alignment horizontal="center" wrapText="1"/>
    </xf>
    <xf numFmtId="3" fontId="193" fillId="25" borderId="119" xfId="0" applyNumberFormat="1" applyFont="1" applyFill="1" applyBorder="1" applyAlignment="1">
      <alignment wrapText="1"/>
    </xf>
    <xf numFmtId="0" fontId="193" fillId="25" borderId="120" xfId="0" applyFont="1" applyFill="1" applyBorder="1" applyAlignment="1">
      <alignment wrapText="1"/>
    </xf>
    <xf numFmtId="0" fontId="206" fillId="25" borderId="124" xfId="0" applyFont="1" applyFill="1" applyBorder="1" applyAlignment="1">
      <alignment horizontal="center" vertical="top" wrapText="1"/>
    </xf>
    <xf numFmtId="166" fontId="194" fillId="2" borderId="119" xfId="0" applyNumberFormat="1" applyFont="1" applyFill="1" applyBorder="1" applyAlignment="1">
      <alignment horizontal="center" vertical="center" wrapText="1"/>
    </xf>
    <xf numFmtId="0" fontId="194" fillId="2" borderId="120" xfId="0" applyFont="1" applyFill="1" applyBorder="1" applyAlignment="1">
      <alignment horizontal="center" vertical="center" wrapText="1"/>
    </xf>
    <xf numFmtId="0" fontId="193" fillId="25" borderId="119" xfId="0" applyFont="1" applyFill="1" applyBorder="1" applyAlignment="1">
      <alignment horizontal="right"/>
    </xf>
    <xf numFmtId="0" fontId="193" fillId="25" borderId="119" xfId="0" applyFont="1" applyFill="1" applyBorder="1" applyAlignment="1">
      <alignment horizontal="center"/>
    </xf>
    <xf numFmtId="0" fontId="193" fillId="25" borderId="119" xfId="0" applyFont="1" applyFill="1" applyBorder="1" applyAlignment="1">
      <alignment horizontal="left" wrapText="1"/>
    </xf>
    <xf numFmtId="166" fontId="193" fillId="25" borderId="119" xfId="0" applyNumberFormat="1" applyFont="1" applyFill="1" applyBorder="1" applyAlignment="1">
      <alignment horizontal="right"/>
    </xf>
    <xf numFmtId="0" fontId="193" fillId="25" borderId="120" xfId="0" applyFont="1" applyFill="1" applyBorder="1" applyAlignment="1">
      <alignment horizontal="center"/>
    </xf>
    <xf numFmtId="0" fontId="193" fillId="2" borderId="119" xfId="0" applyFont="1" applyFill="1" applyBorder="1" applyAlignment="1">
      <alignment horizontal="right"/>
    </xf>
    <xf numFmtId="0" fontId="193" fillId="2" borderId="119" xfId="0" applyFont="1" applyFill="1" applyBorder="1" applyAlignment="1">
      <alignment horizontal="center"/>
    </xf>
    <xf numFmtId="0" fontId="193" fillId="2" borderId="119" xfId="0" applyFont="1" applyFill="1" applyBorder="1" applyAlignment="1">
      <alignment horizontal="left" wrapText="1"/>
    </xf>
    <xf numFmtId="166" fontId="193" fillId="2" borderId="119" xfId="0" applyNumberFormat="1" applyFont="1" applyFill="1" applyBorder="1" applyAlignment="1">
      <alignment horizontal="right"/>
    </xf>
    <xf numFmtId="0" fontId="193" fillId="2" borderId="120" xfId="0" applyFont="1" applyFill="1" applyBorder="1" applyAlignment="1">
      <alignment horizontal="center"/>
    </xf>
    <xf numFmtId="0" fontId="194" fillId="25" borderId="120" xfId="0" applyFont="1" applyFill="1" applyBorder="1" applyAlignment="1">
      <alignment horizontal="center"/>
    </xf>
    <xf numFmtId="0" fontId="194" fillId="2" borderId="120" xfId="0" applyFont="1" applyFill="1" applyBorder="1" applyAlignment="1">
      <alignment horizontal="center"/>
    </xf>
    <xf numFmtId="0" fontId="193" fillId="25" borderId="119" xfId="0" applyFont="1" applyFill="1" applyBorder="1" applyAlignment="1">
      <alignment horizontal="left" vertical="top" wrapText="1"/>
    </xf>
    <xf numFmtId="0" fontId="193" fillId="2" borderId="119" xfId="0" applyFont="1" applyFill="1" applyBorder="1" applyAlignment="1">
      <alignment horizontal="left" vertical="top" wrapText="1"/>
    </xf>
    <xf numFmtId="0" fontId="194" fillId="25" borderId="119" xfId="0" applyFont="1" applyFill="1" applyBorder="1" applyAlignment="1">
      <alignment horizontal="center"/>
    </xf>
    <xf numFmtId="0" fontId="194" fillId="25" borderId="119" xfId="0" applyFont="1" applyFill="1" applyBorder="1" applyAlignment="1">
      <alignment horizontal="left" wrapText="1"/>
    </xf>
    <xf numFmtId="0" fontId="194" fillId="25" borderId="119" xfId="0" applyFont="1" applyFill="1" applyBorder="1"/>
    <xf numFmtId="166" fontId="194" fillId="25" borderId="119" xfId="0" applyNumberFormat="1" applyFont="1" applyFill="1" applyBorder="1" applyAlignment="1">
      <alignment horizontal="right"/>
    </xf>
    <xf numFmtId="0" fontId="194" fillId="25" borderId="119" xfId="0" applyFont="1" applyFill="1" applyBorder="1" applyAlignment="1">
      <alignment wrapText="1"/>
    </xf>
    <xf numFmtId="0" fontId="193" fillId="2" borderId="119" xfId="0" applyFont="1" applyFill="1" applyBorder="1" applyAlignment="1">
      <alignment wrapText="1"/>
    </xf>
    <xf numFmtId="0" fontId="193" fillId="25" borderId="119" xfId="0" applyFont="1" applyFill="1" applyBorder="1" applyAlignment="1">
      <alignment wrapText="1"/>
    </xf>
    <xf numFmtId="0" fontId="193" fillId="2" borderId="119" xfId="0" applyFont="1" applyFill="1" applyBorder="1" applyAlignment="1">
      <alignment horizontal="right" vertical="top" wrapText="1"/>
    </xf>
    <xf numFmtId="166" fontId="193" fillId="2" borderId="119" xfId="0" applyNumberFormat="1" applyFont="1" applyFill="1" applyBorder="1" applyAlignment="1">
      <alignment horizontal="right" vertical="top" wrapText="1"/>
    </xf>
    <xf numFmtId="0" fontId="193" fillId="25" borderId="119" xfId="0" applyFont="1" applyFill="1" applyBorder="1" applyAlignment="1">
      <alignment horizontal="right" vertical="top" wrapText="1"/>
    </xf>
    <xf numFmtId="166" fontId="193" fillId="25" borderId="119" xfId="0" applyNumberFormat="1" applyFont="1" applyFill="1" applyBorder="1" applyAlignment="1">
      <alignment horizontal="right" vertical="top" wrapText="1"/>
    </xf>
    <xf numFmtId="0" fontId="193" fillId="25" borderId="121" xfId="0" applyFont="1" applyFill="1" applyBorder="1" applyAlignment="1">
      <alignment horizontal="center"/>
    </xf>
    <xf numFmtId="0" fontId="193" fillId="25" borderId="121" xfId="0" applyFont="1" applyFill="1" applyBorder="1" applyAlignment="1">
      <alignment horizontal="right" vertical="top" wrapText="1"/>
    </xf>
    <xf numFmtId="166" fontId="193" fillId="25" borderId="121" xfId="0" applyNumberFormat="1" applyFont="1" applyFill="1" applyBorder="1" applyAlignment="1">
      <alignment horizontal="right" vertical="top" wrapText="1"/>
    </xf>
    <xf numFmtId="166" fontId="193" fillId="25" borderId="121" xfId="0" applyNumberFormat="1" applyFont="1" applyFill="1" applyBorder="1" applyAlignment="1">
      <alignment horizontal="right"/>
    </xf>
    <xf numFmtId="0" fontId="193" fillId="25" borderId="121" xfId="0" applyFont="1" applyFill="1" applyBorder="1" applyAlignment="1">
      <alignment wrapText="1"/>
    </xf>
    <xf numFmtId="0" fontId="193" fillId="25" borderId="122" xfId="0" applyFont="1" applyFill="1" applyBorder="1" applyAlignment="1">
      <alignment horizontal="center"/>
    </xf>
    <xf numFmtId="0" fontId="4" fillId="30" borderId="123" xfId="0" applyFont="1" applyFill="1" applyBorder="1" applyAlignment="1">
      <alignment horizontal="center" vertical="center" wrapText="1"/>
    </xf>
    <xf numFmtId="0" fontId="194" fillId="2" borderId="124" xfId="0" applyFont="1" applyFill="1" applyBorder="1" applyAlignment="1">
      <alignment horizontal="center" vertical="center" wrapText="1"/>
    </xf>
    <xf numFmtId="0" fontId="193" fillId="25" borderId="124" xfId="0" applyFont="1" applyFill="1" applyBorder="1" applyAlignment="1">
      <alignment horizontal="right"/>
    </xf>
    <xf numFmtId="0" fontId="193" fillId="2" borderId="124" xfId="0" applyFont="1" applyFill="1" applyBorder="1" applyAlignment="1">
      <alignment horizontal="right"/>
    </xf>
    <xf numFmtId="0" fontId="194" fillId="25" borderId="124" xfId="0" applyFont="1" applyFill="1" applyBorder="1" applyAlignment="1">
      <alignment horizontal="center"/>
    </xf>
    <xf numFmtId="0" fontId="193" fillId="2" borderId="124" xfId="0" applyFont="1" applyFill="1" applyBorder="1" applyAlignment="1">
      <alignment horizontal="center"/>
    </xf>
    <xf numFmtId="0" fontId="193" fillId="25" borderId="124" xfId="0" applyFont="1" applyFill="1" applyBorder="1" applyAlignment="1">
      <alignment horizontal="center"/>
    </xf>
    <xf numFmtId="0" fontId="193" fillId="25" borderId="125" xfId="0" applyFont="1" applyFill="1" applyBorder="1" applyAlignment="1">
      <alignment horizontal="center"/>
    </xf>
    <xf numFmtId="0" fontId="4" fillId="27" borderId="126" xfId="0" applyFont="1" applyFill="1" applyBorder="1" applyAlignment="1">
      <alignment horizontal="center" vertical="center" wrapText="1"/>
    </xf>
    <xf numFmtId="0" fontId="192" fillId="31" borderId="127" xfId="0" applyFont="1" applyFill="1" applyBorder="1" applyAlignment="1">
      <alignment horizontal="center" vertical="center"/>
    </xf>
    <xf numFmtId="0" fontId="192" fillId="31" borderId="128" xfId="0" applyFont="1" applyFill="1" applyBorder="1" applyAlignment="1">
      <alignment horizontal="center" vertical="center"/>
    </xf>
    <xf numFmtId="0" fontId="191" fillId="30" borderId="118" xfId="2" applyFont="1" applyFill="1" applyBorder="1" applyAlignment="1">
      <alignment vertical="center" wrapText="1"/>
    </xf>
    <xf numFmtId="173" fontId="193" fillId="25" borderId="119" xfId="0" applyNumberFormat="1" applyFont="1" applyFill="1" applyBorder="1" applyAlignment="1">
      <alignment horizontal="right"/>
    </xf>
    <xf numFmtId="169" fontId="193" fillId="25" borderId="119" xfId="0" applyNumberFormat="1" applyFont="1" applyFill="1" applyBorder="1" applyAlignment="1">
      <alignment horizontal="right"/>
    </xf>
    <xf numFmtId="170" fontId="194" fillId="25" borderId="119" xfId="0" applyNumberFormat="1" applyFont="1" applyFill="1" applyBorder="1" applyAlignment="1">
      <alignment horizontal="right"/>
    </xf>
    <xf numFmtId="179" fontId="193" fillId="25" borderId="119" xfId="0" applyNumberFormat="1" applyFont="1" applyFill="1" applyBorder="1" applyAlignment="1">
      <alignment horizontal="right"/>
    </xf>
    <xf numFmtId="1" fontId="194" fillId="25" borderId="119" xfId="0" applyNumberFormat="1" applyFont="1" applyFill="1" applyBorder="1" applyAlignment="1">
      <alignment horizontal="right"/>
    </xf>
    <xf numFmtId="179" fontId="194" fillId="25" borderId="120" xfId="0" applyNumberFormat="1" applyFont="1" applyFill="1" applyBorder="1" applyAlignment="1">
      <alignment horizontal="right"/>
    </xf>
    <xf numFmtId="173" fontId="193" fillId="2" borderId="119" xfId="0" applyNumberFormat="1" applyFont="1" applyFill="1" applyBorder="1" applyAlignment="1">
      <alignment horizontal="right"/>
    </xf>
    <xf numFmtId="169" fontId="193" fillId="2" borderId="119" xfId="0" applyNumberFormat="1" applyFont="1" applyFill="1" applyBorder="1" applyAlignment="1">
      <alignment horizontal="right"/>
    </xf>
    <xf numFmtId="0" fontId="194" fillId="2" borderId="119" xfId="0" applyFont="1" applyFill="1" applyBorder="1" applyAlignment="1">
      <alignment horizontal="center"/>
    </xf>
    <xf numFmtId="166" fontId="194" fillId="2" borderId="119" xfId="0" applyNumberFormat="1" applyFont="1" applyFill="1" applyBorder="1" applyAlignment="1">
      <alignment horizontal="right"/>
    </xf>
    <xf numFmtId="170" fontId="194" fillId="2" borderId="119" xfId="0" applyNumberFormat="1" applyFont="1" applyFill="1" applyBorder="1" applyAlignment="1">
      <alignment horizontal="right"/>
    </xf>
    <xf numFmtId="179" fontId="193" fillId="2" borderId="119" xfId="0" applyNumberFormat="1" applyFont="1" applyFill="1" applyBorder="1" applyAlignment="1">
      <alignment horizontal="right"/>
    </xf>
    <xf numFmtId="1" fontId="194" fillId="2" borderId="119" xfId="0" applyNumberFormat="1" applyFont="1" applyFill="1" applyBorder="1" applyAlignment="1">
      <alignment horizontal="right"/>
    </xf>
    <xf numFmtId="179" fontId="194" fillId="2" borderId="120" xfId="0" applyNumberFormat="1" applyFont="1" applyFill="1" applyBorder="1" applyAlignment="1">
      <alignment horizontal="right"/>
    </xf>
    <xf numFmtId="0" fontId="193" fillId="25" borderId="124" xfId="0" applyFont="1" applyFill="1" applyBorder="1"/>
    <xf numFmtId="0" fontId="193" fillId="2" borderId="124" xfId="0" applyFont="1" applyFill="1" applyBorder="1"/>
    <xf numFmtId="173" fontId="206" fillId="2" borderId="119" xfId="0" applyNumberFormat="1" applyFont="1" applyFill="1" applyBorder="1" applyAlignment="1">
      <alignment horizontal="center" vertical="center" wrapText="1"/>
    </xf>
    <xf numFmtId="166" fontId="206" fillId="2" borderId="119" xfId="0" applyNumberFormat="1" applyFont="1" applyFill="1" applyBorder="1" applyAlignment="1">
      <alignment horizontal="center" vertical="center" wrapText="1"/>
    </xf>
    <xf numFmtId="10" fontId="206" fillId="2" borderId="119" xfId="0" applyNumberFormat="1" applyFont="1" applyFill="1" applyBorder="1" applyAlignment="1">
      <alignment horizontal="center" vertical="center" wrapText="1"/>
    </xf>
    <xf numFmtId="2" fontId="206" fillId="2" borderId="119" xfId="0" applyNumberFormat="1" applyFont="1" applyFill="1" applyBorder="1" applyAlignment="1">
      <alignment horizontal="center" vertical="center" wrapText="1"/>
    </xf>
    <xf numFmtId="0" fontId="206" fillId="2" borderId="120" xfId="0" applyFont="1" applyFill="1" applyBorder="1" applyAlignment="1">
      <alignment horizontal="center" vertical="center" wrapText="1"/>
    </xf>
    <xf numFmtId="173" fontId="205" fillId="25" borderId="119" xfId="0" applyNumberFormat="1" applyFont="1" applyFill="1" applyBorder="1" applyAlignment="1">
      <alignment horizontal="center" vertical="center" wrapText="1"/>
    </xf>
    <xf numFmtId="166" fontId="205" fillId="25" borderId="119" xfId="0" applyNumberFormat="1" applyFont="1" applyFill="1" applyBorder="1" applyAlignment="1">
      <alignment horizontal="center" vertical="center" wrapText="1"/>
    </xf>
    <xf numFmtId="166" fontId="206" fillId="25" borderId="119" xfId="0" applyNumberFormat="1" applyFont="1" applyFill="1" applyBorder="1" applyAlignment="1">
      <alignment horizontal="center" vertical="center" wrapText="1"/>
    </xf>
    <xf numFmtId="10" fontId="206" fillId="25" borderId="119" xfId="0" applyNumberFormat="1" applyFont="1" applyFill="1" applyBorder="1" applyAlignment="1">
      <alignment horizontal="center" vertical="center" wrapText="1"/>
    </xf>
    <xf numFmtId="2" fontId="206" fillId="25" borderId="119" xfId="0" applyNumberFormat="1" applyFont="1" applyFill="1" applyBorder="1" applyAlignment="1">
      <alignment horizontal="center" vertical="center" wrapText="1"/>
    </xf>
    <xf numFmtId="0" fontId="206" fillId="2" borderId="124" xfId="0" applyFont="1" applyFill="1" applyBorder="1" applyAlignment="1">
      <alignment horizontal="center" vertical="center" wrapText="1"/>
    </xf>
    <xf numFmtId="0" fontId="208" fillId="31" borderId="127" xfId="0" applyFont="1" applyFill="1" applyBorder="1" applyAlignment="1">
      <alignment horizontal="center" vertical="center" wrapText="1"/>
    </xf>
    <xf numFmtId="0" fontId="189" fillId="29" borderId="0" xfId="0" applyFont="1" applyFill="1" applyAlignment="1">
      <alignment horizontal="left" vertical="center" wrapText="1"/>
    </xf>
    <xf numFmtId="0" fontId="36" fillId="25" borderId="67" xfId="0" applyFont="1" applyFill="1" applyBorder="1" applyAlignment="1">
      <alignment wrapText="1"/>
    </xf>
    <xf numFmtId="0" fontId="36" fillId="2" borderId="67" xfId="0" applyFont="1" applyFill="1" applyBorder="1" applyAlignment="1">
      <alignment wrapText="1"/>
    </xf>
    <xf numFmtId="0" fontId="182" fillId="30" borderId="117" xfId="0" applyFont="1" applyFill="1" applyBorder="1" applyAlignment="1">
      <alignment horizontal="center" vertical="center" wrapText="1"/>
    </xf>
    <xf numFmtId="0" fontId="182" fillId="30" borderId="118" xfId="0" applyFont="1" applyFill="1" applyBorder="1" applyAlignment="1">
      <alignment horizontal="center" vertical="center" wrapText="1"/>
    </xf>
    <xf numFmtId="0" fontId="182" fillId="30" borderId="119" xfId="0" applyFont="1" applyFill="1" applyBorder="1" applyAlignment="1">
      <alignment horizontal="center" vertical="center" wrapText="1"/>
    </xf>
    <xf numFmtId="0" fontId="182" fillId="30" borderId="120" xfId="0" applyFont="1" applyFill="1" applyBorder="1" applyAlignment="1">
      <alignment horizontal="center" vertical="center" wrapText="1"/>
    </xf>
    <xf numFmtId="0" fontId="63" fillId="25" borderId="119" xfId="0" applyFont="1" applyFill="1" applyBorder="1" applyAlignment="1">
      <alignment horizontal="center" vertical="center" wrapText="1"/>
    </xf>
    <xf numFmtId="0" fontId="64" fillId="25" borderId="119" xfId="0" applyFont="1" applyFill="1" applyBorder="1" applyAlignment="1">
      <alignment vertical="center" wrapText="1"/>
    </xf>
    <xf numFmtId="0" fontId="64" fillId="25" borderId="119" xfId="0" applyFont="1" applyFill="1" applyBorder="1" applyAlignment="1">
      <alignment horizontal="right" vertical="center" wrapText="1"/>
    </xf>
    <xf numFmtId="0" fontId="65" fillId="25" borderId="119" xfId="0" applyFont="1" applyFill="1" applyBorder="1" applyAlignment="1">
      <alignment horizontal="right" vertical="center" wrapText="1"/>
    </xf>
    <xf numFmtId="0" fontId="66" fillId="25" borderId="119" xfId="0" applyFont="1" applyFill="1" applyBorder="1" applyAlignment="1">
      <alignment vertical="center" wrapText="1"/>
    </xf>
    <xf numFmtId="0" fontId="66" fillId="25" borderId="119" xfId="0" applyFont="1" applyFill="1" applyBorder="1" applyAlignment="1">
      <alignment wrapText="1"/>
    </xf>
    <xf numFmtId="0" fontId="36" fillId="25" borderId="119" xfId="0" applyFont="1" applyFill="1" applyBorder="1" applyAlignment="1">
      <alignment wrapText="1"/>
    </xf>
    <xf numFmtId="0" fontId="36" fillId="25" borderId="120" xfId="0" applyFont="1" applyFill="1" applyBorder="1" applyAlignment="1">
      <alignment wrapText="1"/>
    </xf>
    <xf numFmtId="0" fontId="40" fillId="2" borderId="119" xfId="0" applyFont="1" applyFill="1" applyBorder="1" applyAlignment="1">
      <alignment horizontal="left" vertical="center" wrapText="1"/>
    </xf>
    <xf numFmtId="0" fontId="66" fillId="2" borderId="119" xfId="0" applyFont="1" applyFill="1" applyBorder="1" applyAlignment="1">
      <alignment vertical="center" wrapText="1"/>
    </xf>
    <xf numFmtId="0" fontId="66" fillId="2" borderId="119" xfId="0" applyFont="1" applyFill="1" applyBorder="1" applyAlignment="1">
      <alignment horizontal="right" vertical="center" wrapText="1"/>
    </xf>
    <xf numFmtId="0" fontId="66" fillId="2" borderId="119" xfId="0" applyFont="1" applyFill="1" applyBorder="1" applyAlignment="1">
      <alignment wrapText="1"/>
    </xf>
    <xf numFmtId="0" fontId="36" fillId="2" borderId="119" xfId="0" applyFont="1" applyFill="1" applyBorder="1" applyAlignment="1">
      <alignment wrapText="1"/>
    </xf>
    <xf numFmtId="0" fontId="36" fillId="2" borderId="120" xfId="0" applyFont="1" applyFill="1" applyBorder="1" applyAlignment="1">
      <alignment wrapText="1"/>
    </xf>
    <xf numFmtId="0" fontId="40" fillId="25" borderId="119" xfId="0" applyFont="1" applyFill="1" applyBorder="1" applyAlignment="1">
      <alignment horizontal="left" vertical="center" wrapText="1"/>
    </xf>
    <xf numFmtId="0" fontId="146" fillId="30" borderId="119" xfId="0" applyFont="1" applyFill="1" applyBorder="1" applyAlignment="1">
      <alignment vertical="center" wrapText="1"/>
    </xf>
    <xf numFmtId="0" fontId="182" fillId="30" borderId="119" xfId="0" applyFont="1" applyFill="1" applyBorder="1" applyAlignment="1">
      <alignment vertical="center" wrapText="1"/>
    </xf>
    <xf numFmtId="0" fontId="182" fillId="30" borderId="119" xfId="0" applyFont="1" applyFill="1" applyBorder="1" applyAlignment="1">
      <alignment wrapText="1"/>
    </xf>
    <xf numFmtId="0" fontId="182" fillId="30" borderId="120" xfId="0" applyFont="1" applyFill="1" applyBorder="1" applyAlignment="1">
      <alignment wrapText="1"/>
    </xf>
    <xf numFmtId="0" fontId="66" fillId="2" borderId="119" xfId="0" applyFont="1" applyFill="1" applyBorder="1" applyAlignment="1">
      <alignment horizontal="right" vertical="top" wrapText="1"/>
    </xf>
    <xf numFmtId="0" fontId="66" fillId="25" borderId="119" xfId="0" applyFont="1" applyFill="1" applyBorder="1" applyAlignment="1">
      <alignment horizontal="right" vertical="center" wrapText="1"/>
    </xf>
    <xf numFmtId="0" fontId="40" fillId="2" borderId="119" xfId="0" applyFont="1" applyFill="1" applyBorder="1" applyAlignment="1">
      <alignment vertical="center" wrapText="1"/>
    </xf>
    <xf numFmtId="0" fontId="35" fillId="2" borderId="119" xfId="0" applyFont="1" applyFill="1" applyBorder="1" applyAlignment="1">
      <alignment horizontal="center" vertical="center" wrapText="1"/>
    </xf>
    <xf numFmtId="0" fontId="38" fillId="25" borderId="119" xfId="0" applyFont="1" applyFill="1" applyBorder="1" applyAlignment="1">
      <alignment horizontal="left" vertical="top" wrapText="1"/>
    </xf>
    <xf numFmtId="0" fontId="50" fillId="25" borderId="119" xfId="0" applyFont="1" applyFill="1" applyBorder="1" applyAlignment="1">
      <alignment horizontal="center" vertical="top" wrapText="1"/>
    </xf>
    <xf numFmtId="0" fontId="46" fillId="2" borderId="119" xfId="0" applyFont="1" applyFill="1" applyBorder="1" applyAlignment="1">
      <alignment horizontal="left" vertical="top" wrapText="1"/>
    </xf>
    <xf numFmtId="0" fontId="52" fillId="2" borderId="119" xfId="0" applyFont="1" applyFill="1" applyBorder="1" applyAlignment="1">
      <alignment horizontal="center" vertical="top" wrapText="1"/>
    </xf>
    <xf numFmtId="0" fontId="51" fillId="2" borderId="119" xfId="0" applyFont="1" applyFill="1" applyBorder="1" applyAlignment="1">
      <alignment horizontal="left" vertical="top" wrapText="1"/>
    </xf>
    <xf numFmtId="0" fontId="46" fillId="25" borderId="119" xfId="0" applyFont="1" applyFill="1" applyBorder="1" applyAlignment="1">
      <alignment horizontal="left" vertical="top" wrapText="1"/>
    </xf>
    <xf numFmtId="0" fontId="52" fillId="25" borderId="119" xfId="0" applyFont="1" applyFill="1" applyBorder="1" applyAlignment="1">
      <alignment horizontal="center" vertical="top" wrapText="1"/>
    </xf>
    <xf numFmtId="0" fontId="51" fillId="25" borderId="119" xfId="0" applyFont="1" applyFill="1" applyBorder="1" applyAlignment="1">
      <alignment horizontal="left" vertical="top" wrapText="1"/>
    </xf>
    <xf numFmtId="0" fontId="5" fillId="25" borderId="119" xfId="0" applyFont="1" applyFill="1" applyBorder="1" applyAlignment="1">
      <alignment vertical="center" wrapText="1"/>
    </xf>
    <xf numFmtId="0" fontId="44" fillId="2" borderId="119" xfId="0" applyFont="1" applyFill="1" applyBorder="1" applyAlignment="1">
      <alignment horizontal="left" vertical="top" wrapText="1"/>
    </xf>
    <xf numFmtId="0" fontId="54" fillId="2" borderId="119" xfId="0" applyFont="1" applyFill="1" applyBorder="1" applyAlignment="1">
      <alignment horizontal="center" vertical="top" wrapText="1"/>
    </xf>
    <xf numFmtId="0" fontId="53" fillId="2" borderId="119" xfId="0" applyFont="1" applyFill="1" applyBorder="1" applyAlignment="1">
      <alignment horizontal="left" vertical="top" wrapText="1"/>
    </xf>
    <xf numFmtId="0" fontId="67" fillId="2" borderId="119" xfId="0" applyFont="1" applyFill="1" applyBorder="1" applyAlignment="1">
      <alignment vertical="center" wrapText="1"/>
    </xf>
    <xf numFmtId="0" fontId="68" fillId="25" borderId="119" xfId="0" applyFont="1" applyFill="1" applyBorder="1" applyAlignment="1">
      <alignment wrapText="1"/>
    </xf>
    <xf numFmtId="0" fontId="5" fillId="2" borderId="119" xfId="0" applyFont="1" applyFill="1" applyBorder="1" applyAlignment="1">
      <alignment horizontal="center" vertical="center" wrapText="1"/>
    </xf>
    <xf numFmtId="0" fontId="5" fillId="2" borderId="119" xfId="0" applyFont="1" applyFill="1" applyBorder="1" applyAlignment="1">
      <alignment horizontal="center" wrapText="1"/>
    </xf>
    <xf numFmtId="0" fontId="67" fillId="2" borderId="119" xfId="0" applyFont="1" applyFill="1" applyBorder="1" applyAlignment="1">
      <alignment wrapText="1"/>
    </xf>
    <xf numFmtId="0" fontId="55" fillId="2" borderId="119" xfId="0" applyFont="1" applyFill="1" applyBorder="1" applyAlignment="1">
      <alignment wrapText="1"/>
    </xf>
    <xf numFmtId="0" fontId="55" fillId="2" borderId="120" xfId="0" applyFont="1" applyFill="1" applyBorder="1" applyAlignment="1">
      <alignment wrapText="1"/>
    </xf>
    <xf numFmtId="0" fontId="40" fillId="25" borderId="119" xfId="0" applyFont="1" applyFill="1" applyBorder="1" applyAlignment="1">
      <alignment horizontal="center" vertical="center" wrapText="1"/>
    </xf>
    <xf numFmtId="0" fontId="40" fillId="25" borderId="119" xfId="0" applyFont="1" applyFill="1" applyBorder="1" applyAlignment="1">
      <alignment horizontal="left" vertical="top" wrapText="1"/>
    </xf>
    <xf numFmtId="0" fontId="42" fillId="25" borderId="119" xfId="0" applyFont="1" applyFill="1" applyBorder="1" applyAlignment="1">
      <alignment wrapText="1"/>
    </xf>
    <xf numFmtId="0" fontId="40" fillId="2" borderId="119" xfId="0" applyFont="1" applyFill="1" applyBorder="1" applyAlignment="1">
      <alignment horizontal="center" vertical="center" wrapText="1"/>
    </xf>
    <xf numFmtId="0" fontId="40" fillId="2" borderId="119" xfId="0" applyFont="1" applyFill="1" applyBorder="1" applyAlignment="1">
      <alignment horizontal="left" vertical="top" wrapText="1"/>
    </xf>
    <xf numFmtId="0" fontId="42" fillId="2" borderId="119" xfId="0" applyFont="1" applyFill="1" applyBorder="1" applyAlignment="1">
      <alignment wrapText="1"/>
    </xf>
    <xf numFmtId="0" fontId="42" fillId="25" borderId="119" xfId="0" applyFont="1" applyFill="1" applyBorder="1" applyAlignment="1">
      <alignment horizontal="left" vertical="top" wrapText="1"/>
    </xf>
    <xf numFmtId="0" fontId="42" fillId="2" borderId="119" xfId="0" applyFont="1" applyFill="1" applyBorder="1" applyAlignment="1">
      <alignment horizontal="left" vertical="top" wrapText="1"/>
    </xf>
    <xf numFmtId="0" fontId="43" fillId="25" borderId="119" xfId="0" applyFont="1" applyFill="1" applyBorder="1" applyAlignment="1">
      <alignment horizontal="right" vertical="center" wrapText="1"/>
    </xf>
    <xf numFmtId="0" fontId="70" fillId="25" borderId="119" xfId="0" applyFont="1" applyFill="1" applyBorder="1" applyAlignment="1">
      <alignment horizontal="center" vertical="center" wrapText="1"/>
    </xf>
    <xf numFmtId="0" fontId="48" fillId="2" borderId="119" xfId="0" applyFont="1" applyFill="1" applyBorder="1" applyAlignment="1">
      <alignment horizontal="right" vertical="center" wrapText="1"/>
    </xf>
    <xf numFmtId="0" fontId="67" fillId="2" borderId="119" xfId="0" applyFont="1" applyFill="1" applyBorder="1" applyAlignment="1">
      <alignment horizontal="center" vertical="center" wrapText="1"/>
    </xf>
    <xf numFmtId="0" fontId="40" fillId="25" borderId="119" xfId="0" applyFont="1" applyFill="1" applyBorder="1" applyAlignment="1">
      <alignment horizontal="right" vertical="center" wrapText="1"/>
    </xf>
    <xf numFmtId="0" fontId="69" fillId="25" borderId="119" xfId="0" applyFont="1" applyFill="1" applyBorder="1" applyAlignment="1">
      <alignment horizontal="center" vertical="center" wrapText="1"/>
    </xf>
    <xf numFmtId="0" fontId="60" fillId="25" borderId="119" xfId="0" applyFont="1" applyFill="1" applyBorder="1" applyAlignment="1">
      <alignment wrapText="1"/>
    </xf>
    <xf numFmtId="0" fontId="5" fillId="2" borderId="119" xfId="0" applyFont="1" applyFill="1" applyBorder="1" applyAlignment="1">
      <alignment wrapText="1"/>
    </xf>
    <xf numFmtId="0" fontId="5" fillId="25" borderId="119" xfId="0" applyFont="1" applyFill="1" applyBorder="1" applyAlignment="1">
      <alignment wrapText="1"/>
    </xf>
    <xf numFmtId="0" fontId="67" fillId="25" borderId="119" xfId="0" applyFont="1" applyFill="1" applyBorder="1" applyAlignment="1">
      <alignment wrapText="1"/>
    </xf>
    <xf numFmtId="0" fontId="55" fillId="25" borderId="119" xfId="0" applyFont="1" applyFill="1" applyBorder="1" applyAlignment="1">
      <alignment wrapText="1"/>
    </xf>
    <xf numFmtId="0" fontId="55" fillId="25" borderId="120" xfId="0" applyFont="1" applyFill="1" applyBorder="1" applyAlignment="1">
      <alignment wrapText="1"/>
    </xf>
    <xf numFmtId="0" fontId="71" fillId="2" borderId="119" xfId="0" applyFont="1" applyFill="1" applyBorder="1" applyAlignment="1">
      <alignment horizontal="right" wrapText="1"/>
    </xf>
    <xf numFmtId="9" fontId="71" fillId="2" borderId="119" xfId="0" applyNumberFormat="1" applyFont="1" applyFill="1" applyBorder="1" applyAlignment="1">
      <alignment horizontal="right" wrapText="1"/>
    </xf>
    <xf numFmtId="0" fontId="71" fillId="2" borderId="119" xfId="0" applyFont="1" applyFill="1" applyBorder="1" applyAlignment="1">
      <alignment wrapText="1"/>
    </xf>
    <xf numFmtId="0" fontId="71" fillId="25" borderId="119" xfId="0" applyFont="1" applyFill="1" applyBorder="1" applyAlignment="1">
      <alignment horizontal="right" wrapText="1"/>
    </xf>
    <xf numFmtId="9" fontId="71" fillId="25" borderId="119" xfId="0" applyNumberFormat="1" applyFont="1" applyFill="1" applyBorder="1" applyAlignment="1">
      <alignment horizontal="right" wrapText="1"/>
    </xf>
    <xf numFmtId="0" fontId="71" fillId="25" borderId="119" xfId="0" applyFont="1" applyFill="1" applyBorder="1" applyAlignment="1">
      <alignment wrapText="1"/>
    </xf>
    <xf numFmtId="0" fontId="5" fillId="25" borderId="119" xfId="0" applyFont="1" applyFill="1" applyBorder="1" applyAlignment="1">
      <alignment horizontal="center" wrapText="1"/>
    </xf>
    <xf numFmtId="0" fontId="72" fillId="25" borderId="119" xfId="0" applyFont="1" applyFill="1" applyBorder="1" applyAlignment="1">
      <alignment wrapText="1"/>
    </xf>
    <xf numFmtId="182" fontId="71" fillId="2" borderId="119" xfId="0" applyNumberFormat="1" applyFont="1" applyFill="1" applyBorder="1" applyAlignment="1">
      <alignment horizontal="right" wrapText="1"/>
    </xf>
    <xf numFmtId="0" fontId="69" fillId="2" borderId="119" xfId="0" applyFont="1" applyFill="1" applyBorder="1" applyAlignment="1">
      <alignment horizontal="left" wrapText="1"/>
    </xf>
    <xf numFmtId="182" fontId="71" fillId="25" borderId="119" xfId="0" applyNumberFormat="1" applyFont="1" applyFill="1" applyBorder="1" applyAlignment="1">
      <alignment horizontal="right" wrapText="1"/>
    </xf>
    <xf numFmtId="0" fontId="69" fillId="25" borderId="119" xfId="0" applyFont="1" applyFill="1" applyBorder="1" applyAlignment="1">
      <alignment horizontal="left" wrapText="1"/>
    </xf>
    <xf numFmtId="0" fontId="60" fillId="2" borderId="119" xfId="0" applyFont="1" applyFill="1" applyBorder="1" applyAlignment="1">
      <alignment wrapText="1"/>
    </xf>
    <xf numFmtId="182" fontId="69" fillId="2" borderId="119" xfId="0" applyNumberFormat="1" applyFont="1" applyFill="1" applyBorder="1" applyAlignment="1">
      <alignment horizontal="center" wrapText="1"/>
    </xf>
    <xf numFmtId="0" fontId="60" fillId="2" borderId="119" xfId="0" applyFont="1" applyFill="1" applyBorder="1" applyAlignment="1">
      <alignment horizontal="center" wrapText="1"/>
    </xf>
    <xf numFmtId="182" fontId="69" fillId="25" borderId="119" xfId="0" applyNumberFormat="1" applyFont="1" applyFill="1" applyBorder="1" applyAlignment="1">
      <alignment horizontal="center" wrapText="1"/>
    </xf>
    <xf numFmtId="0" fontId="60" fillId="25" borderId="119" xfId="0" applyFont="1" applyFill="1" applyBorder="1" applyAlignment="1">
      <alignment horizontal="center" wrapText="1"/>
    </xf>
    <xf numFmtId="0" fontId="60" fillId="2" borderId="121" xfId="0" applyFont="1" applyFill="1" applyBorder="1" applyAlignment="1">
      <alignment wrapText="1"/>
    </xf>
    <xf numFmtId="182" fontId="69" fillId="2" borderId="121" xfId="0" applyNumberFormat="1" applyFont="1" applyFill="1" applyBorder="1" applyAlignment="1">
      <alignment horizontal="center" wrapText="1"/>
    </xf>
    <xf numFmtId="0" fontId="69" fillId="2" borderId="121" xfId="0" applyFont="1" applyFill="1" applyBorder="1" applyAlignment="1">
      <alignment horizontal="center" wrapText="1"/>
    </xf>
    <xf numFmtId="0" fontId="36" fillId="2" borderId="121" xfId="0" applyFont="1" applyFill="1" applyBorder="1" applyAlignment="1">
      <alignment wrapText="1"/>
    </xf>
    <xf numFmtId="0" fontId="36" fillId="2" borderId="122" xfId="0" applyFont="1" applyFill="1" applyBorder="1" applyAlignment="1">
      <alignment wrapText="1"/>
    </xf>
    <xf numFmtId="0" fontId="146" fillId="30" borderId="124" xfId="0" applyFont="1" applyFill="1" applyBorder="1" applyAlignment="1">
      <alignment horizontal="center" vertical="center" wrapText="1"/>
    </xf>
    <xf numFmtId="0" fontId="35" fillId="25" borderId="124" xfId="0" applyFont="1" applyFill="1" applyBorder="1" applyAlignment="1">
      <alignment horizontal="center" vertical="center" wrapText="1"/>
    </xf>
    <xf numFmtId="10" fontId="37" fillId="2" borderId="124" xfId="0" applyNumberFormat="1" applyFont="1" applyFill="1" applyBorder="1" applyAlignment="1">
      <alignment horizontal="center" vertical="center" wrapText="1"/>
    </xf>
    <xf numFmtId="0" fontId="41" fillId="25" borderId="124" xfId="0" applyFont="1" applyFill="1" applyBorder="1" applyAlignment="1">
      <alignment horizontal="center" vertical="top" wrapText="1"/>
    </xf>
    <xf numFmtId="0" fontId="43" fillId="2" borderId="124" xfId="0" applyFont="1" applyFill="1" applyBorder="1" applyAlignment="1">
      <alignment horizontal="center" vertical="center" wrapText="1"/>
    </xf>
    <xf numFmtId="0" fontId="48" fillId="2" borderId="124" xfId="0" applyFont="1" applyFill="1" applyBorder="1" applyAlignment="1">
      <alignment horizontal="center" vertical="top" wrapText="1"/>
    </xf>
    <xf numFmtId="0" fontId="37" fillId="25" borderId="124" xfId="0" applyFont="1" applyFill="1" applyBorder="1" applyAlignment="1">
      <alignment horizontal="center" vertical="top" wrapText="1"/>
    </xf>
    <xf numFmtId="9" fontId="43" fillId="2" borderId="124" xfId="0" applyNumberFormat="1" applyFont="1" applyFill="1" applyBorder="1" applyAlignment="1">
      <alignment horizontal="center" vertical="center" wrapText="1"/>
    </xf>
    <xf numFmtId="0" fontId="36" fillId="25" borderId="124" xfId="0" applyFont="1" applyFill="1" applyBorder="1" applyAlignment="1">
      <alignment wrapText="1"/>
    </xf>
    <xf numFmtId="0" fontId="35" fillId="2" borderId="124" xfId="0" applyFont="1" applyFill="1" applyBorder="1" applyAlignment="1">
      <alignment horizontal="center" vertical="center" wrapText="1"/>
    </xf>
    <xf numFmtId="0" fontId="49" fillId="25" borderId="124" xfId="0" applyFont="1" applyFill="1" applyBorder="1" applyAlignment="1">
      <alignment horizontal="center" vertical="top" wrapText="1"/>
    </xf>
    <xf numFmtId="0" fontId="51" fillId="2" borderId="124" xfId="0" applyFont="1" applyFill="1" applyBorder="1" applyAlignment="1">
      <alignment horizontal="center" vertical="center" wrapText="1"/>
    </xf>
    <xf numFmtId="0" fontId="51" fillId="25" borderId="124" xfId="0" applyFont="1" applyFill="1" applyBorder="1" applyAlignment="1">
      <alignment horizontal="center" vertical="center" wrapText="1"/>
    </xf>
    <xf numFmtId="0" fontId="53" fillId="2" borderId="124" xfId="0" applyFont="1" applyFill="1" applyBorder="1" applyAlignment="1">
      <alignment horizontal="center" vertical="center" wrapText="1"/>
    </xf>
    <xf numFmtId="0" fontId="5" fillId="2" borderId="124" xfId="0" applyFont="1" applyFill="1" applyBorder="1" applyAlignment="1">
      <alignment horizontal="center" vertical="center" wrapText="1"/>
    </xf>
    <xf numFmtId="0" fontId="42" fillId="25" borderId="124" xfId="0" applyFont="1" applyFill="1" applyBorder="1" applyAlignment="1">
      <alignment horizontal="left" vertical="center" wrapText="1"/>
    </xf>
    <xf numFmtId="0" fontId="42" fillId="2" borderId="124" xfId="0" applyFont="1" applyFill="1" applyBorder="1" applyAlignment="1">
      <alignment horizontal="left" vertical="center" wrapText="1"/>
    </xf>
    <xf numFmtId="0" fontId="66" fillId="2" borderId="124" xfId="0" applyFont="1" applyFill="1" applyBorder="1" applyAlignment="1">
      <alignment wrapText="1"/>
    </xf>
    <xf numFmtId="0" fontId="43" fillId="25" borderId="124" xfId="0" applyFont="1" applyFill="1" applyBorder="1" applyAlignment="1">
      <alignment horizontal="right" vertical="center" wrapText="1"/>
    </xf>
    <xf numFmtId="0" fontId="48" fillId="2" borderId="124" xfId="0" applyFont="1" applyFill="1" applyBorder="1" applyAlignment="1">
      <alignment horizontal="right" vertical="top" wrapText="1"/>
    </xf>
    <xf numFmtId="0" fontId="40" fillId="25" borderId="124" xfId="0" applyFont="1" applyFill="1" applyBorder="1" applyAlignment="1">
      <alignment horizontal="right" vertical="center" wrapText="1"/>
    </xf>
    <xf numFmtId="0" fontId="60" fillId="25" borderId="124" xfId="0" applyFont="1" applyFill="1" applyBorder="1" applyAlignment="1">
      <alignment wrapText="1"/>
    </xf>
    <xf numFmtId="0" fontId="5" fillId="25" borderId="124" xfId="0" applyFont="1" applyFill="1" applyBorder="1" applyAlignment="1">
      <alignment wrapText="1"/>
    </xf>
    <xf numFmtId="0" fontId="71" fillId="2" borderId="124" xfId="0" applyFont="1" applyFill="1" applyBorder="1" applyAlignment="1">
      <alignment horizontal="right" wrapText="1"/>
    </xf>
    <xf numFmtId="0" fontId="71" fillId="25" borderId="124" xfId="0" applyFont="1" applyFill="1" applyBorder="1" applyAlignment="1">
      <alignment horizontal="right" wrapText="1"/>
    </xf>
    <xf numFmtId="0" fontId="66" fillId="25" borderId="124" xfId="0" applyFont="1" applyFill="1" applyBorder="1" applyAlignment="1">
      <alignment wrapText="1"/>
    </xf>
    <xf numFmtId="0" fontId="5" fillId="25" borderId="124" xfId="0" applyFont="1" applyFill="1" applyBorder="1" applyAlignment="1">
      <alignment horizontal="center" wrapText="1"/>
    </xf>
    <xf numFmtId="0" fontId="71" fillId="2" borderId="124" xfId="0" applyFont="1" applyFill="1" applyBorder="1" applyAlignment="1">
      <alignment horizontal="center" wrapText="1"/>
    </xf>
    <xf numFmtId="9" fontId="71" fillId="25" borderId="124" xfId="0" applyNumberFormat="1" applyFont="1" applyFill="1" applyBorder="1" applyAlignment="1">
      <alignment horizontal="right" wrapText="1"/>
    </xf>
    <xf numFmtId="0" fontId="71" fillId="2" borderId="124" xfId="0" applyFont="1" applyFill="1" applyBorder="1" applyAlignment="1">
      <alignment wrapText="1"/>
    </xf>
    <xf numFmtId="0" fontId="71" fillId="25" borderId="124" xfId="0" applyFont="1" applyFill="1" applyBorder="1" applyAlignment="1">
      <alignment wrapText="1"/>
    </xf>
    <xf numFmtId="0" fontId="60" fillId="2" borderId="124" xfId="0" applyFont="1" applyFill="1" applyBorder="1" applyAlignment="1">
      <alignment wrapText="1"/>
    </xf>
    <xf numFmtId="0" fontId="60" fillId="2" borderId="125" xfId="0" applyFont="1" applyFill="1" applyBorder="1" applyAlignment="1">
      <alignment wrapText="1"/>
    </xf>
    <xf numFmtId="0" fontId="203" fillId="27" borderId="127" xfId="0" applyFont="1" applyFill="1" applyBorder="1" applyAlignment="1">
      <alignment horizontal="center" vertical="center" wrapText="1"/>
    </xf>
    <xf numFmtId="0" fontId="230" fillId="27" borderId="0" xfId="2" applyFont="1" applyFill="1" applyAlignment="1">
      <alignment horizontal="center" vertical="center"/>
    </xf>
    <xf numFmtId="0" fontId="153" fillId="25" borderId="51" xfId="0" applyFont="1" applyFill="1" applyBorder="1" applyAlignment="1">
      <alignment horizontal="center" vertical="center" wrapText="1"/>
    </xf>
    <xf numFmtId="2" fontId="153" fillId="25" borderId="51" xfId="0" applyNumberFormat="1" applyFont="1" applyFill="1" applyBorder="1" applyAlignment="1">
      <alignment horizontal="center" vertical="center" wrapText="1"/>
    </xf>
    <xf numFmtId="14" fontId="153" fillId="25" borderId="52" xfId="0" applyNumberFormat="1" applyFont="1" applyFill="1" applyBorder="1" applyAlignment="1">
      <alignment horizontal="center" vertical="center" wrapText="1"/>
    </xf>
    <xf numFmtId="14" fontId="154" fillId="2" borderId="52" xfId="0" applyNumberFormat="1" applyFont="1" applyFill="1" applyBorder="1" applyAlignment="1">
      <alignment horizontal="center" vertical="center" wrapText="1"/>
    </xf>
    <xf numFmtId="2" fontId="151" fillId="25" borderId="51" xfId="0" applyNumberFormat="1" applyFont="1" applyFill="1" applyBorder="1" applyAlignment="1">
      <alignment horizontal="center" vertical="center" wrapText="1"/>
    </xf>
    <xf numFmtId="14" fontId="151" fillId="25" borderId="52" xfId="0" applyNumberFormat="1" applyFont="1" applyFill="1" applyBorder="1" applyAlignment="1">
      <alignment horizontal="center" vertical="center" wrapText="1"/>
    </xf>
    <xf numFmtId="0" fontId="62" fillId="25" borderId="67" xfId="0" applyFont="1" applyFill="1" applyBorder="1" applyAlignment="1">
      <alignment horizontal="center" vertical="center" wrapText="1"/>
    </xf>
    <xf numFmtId="0" fontId="36" fillId="2" borderId="67" xfId="0" applyFont="1" applyFill="1" applyBorder="1" applyAlignment="1">
      <alignment vertical="center" wrapText="1"/>
    </xf>
    <xf numFmtId="0" fontId="36" fillId="25" borderId="67" xfId="0" applyFont="1" applyFill="1" applyBorder="1" applyAlignment="1">
      <alignment vertical="center" wrapText="1"/>
    </xf>
    <xf numFmtId="0" fontId="229" fillId="29" borderId="0" xfId="0" applyFont="1" applyFill="1" applyAlignment="1">
      <alignment horizontal="center" vertical="center" wrapText="1"/>
    </xf>
    <xf numFmtId="0" fontId="150" fillId="30" borderId="86" xfId="0" applyFont="1" applyFill="1" applyBorder="1" applyAlignment="1">
      <alignment horizontal="center" vertical="center" wrapText="1"/>
    </xf>
    <xf numFmtId="0" fontId="150" fillId="30" borderId="100" xfId="0" applyFont="1" applyFill="1" applyBorder="1" applyAlignment="1">
      <alignment horizontal="center" vertical="center" wrapText="1"/>
    </xf>
    <xf numFmtId="0" fontId="151" fillId="25" borderId="87" xfId="0" applyFont="1" applyFill="1" applyBorder="1" applyAlignment="1">
      <alignment horizontal="center" vertical="center" wrapText="1"/>
    </xf>
    <xf numFmtId="2" fontId="151" fillId="25" borderId="87" xfId="0" applyNumberFormat="1" applyFont="1" applyFill="1" applyBorder="1" applyAlignment="1">
      <alignment horizontal="center" vertical="center" wrapText="1"/>
    </xf>
    <xf numFmtId="14" fontId="151" fillId="25" borderId="101" xfId="0" applyNumberFormat="1" applyFont="1" applyFill="1" applyBorder="1" applyAlignment="1">
      <alignment horizontal="center" vertical="center" wrapText="1"/>
    </xf>
    <xf numFmtId="0" fontId="36" fillId="25" borderId="91" xfId="0" applyFont="1" applyFill="1" applyBorder="1" applyAlignment="1">
      <alignment vertical="center" wrapText="1"/>
    </xf>
    <xf numFmtId="0" fontId="36" fillId="25" borderId="92" xfId="0" applyFont="1" applyFill="1" applyBorder="1" applyAlignment="1">
      <alignment vertical="center" wrapText="1"/>
    </xf>
    <xf numFmtId="0" fontId="36" fillId="25" borderId="93" xfId="0" applyFont="1" applyFill="1" applyBorder="1" applyAlignment="1">
      <alignment vertical="center" wrapText="1"/>
    </xf>
    <xf numFmtId="0" fontId="150" fillId="30" borderId="130" xfId="0" applyFont="1" applyFill="1" applyBorder="1" applyAlignment="1">
      <alignment horizontal="center" vertical="center" wrapText="1"/>
    </xf>
    <xf numFmtId="0" fontId="153" fillId="25" borderId="131" xfId="0" applyFont="1" applyFill="1" applyBorder="1" applyAlignment="1">
      <alignment horizontal="center" vertical="center" wrapText="1"/>
    </xf>
    <xf numFmtId="0" fontId="151" fillId="2" borderId="131" xfId="0" applyFont="1" applyFill="1" applyBorder="1" applyAlignment="1">
      <alignment horizontal="center" vertical="center" wrapText="1"/>
    </xf>
    <xf numFmtId="0" fontId="151" fillId="25" borderId="131" xfId="0" applyFont="1" applyFill="1" applyBorder="1" applyAlignment="1">
      <alignment horizontal="center" vertical="center" wrapText="1"/>
    </xf>
    <xf numFmtId="0" fontId="151" fillId="25" borderId="132" xfId="0" applyFont="1" applyFill="1" applyBorder="1" applyAlignment="1">
      <alignment horizontal="center" vertical="center" wrapText="1"/>
    </xf>
    <xf numFmtId="0" fontId="208" fillId="27" borderId="133" xfId="0" applyFont="1" applyFill="1" applyBorder="1" applyAlignment="1">
      <alignment horizontal="center" vertical="center" wrapText="1"/>
    </xf>
    <xf numFmtId="0" fontId="208" fillId="27" borderId="134" xfId="0" applyFont="1" applyFill="1" applyBorder="1" applyAlignment="1">
      <alignment horizontal="center" vertical="center" wrapText="1"/>
    </xf>
    <xf numFmtId="0" fontId="208" fillId="27" borderId="135" xfId="0" applyFont="1" applyFill="1" applyBorder="1" applyAlignment="1">
      <alignment horizontal="center" vertical="center" wrapText="1"/>
    </xf>
    <xf numFmtId="0" fontId="185" fillId="2" borderId="1" xfId="0" applyFont="1" applyFill="1" applyBorder="1" applyAlignment="1">
      <alignment horizontal="left" vertical="center"/>
    </xf>
    <xf numFmtId="0" fontId="153" fillId="25" borderId="57" xfId="0" applyFont="1" applyFill="1" applyBorder="1" applyAlignment="1">
      <alignment horizontal="center" vertical="center" wrapText="1"/>
    </xf>
    <xf numFmtId="2" fontId="155" fillId="25" borderId="57" xfId="0" applyNumberFormat="1" applyFont="1" applyFill="1" applyBorder="1" applyAlignment="1">
      <alignment horizontal="center" vertical="center" wrapText="1"/>
    </xf>
    <xf numFmtId="9" fontId="153" fillId="25" borderId="57" xfId="0" applyNumberFormat="1" applyFont="1" applyFill="1" applyBorder="1" applyAlignment="1">
      <alignment horizontal="center" vertical="center" wrapText="1"/>
    </xf>
    <xf numFmtId="2" fontId="156" fillId="25" borderId="57" xfId="0" applyNumberFormat="1" applyFont="1" applyFill="1" applyBorder="1" applyAlignment="1">
      <alignment horizontal="center" vertical="center" wrapText="1"/>
    </xf>
    <xf numFmtId="2" fontId="151" fillId="25" borderId="57" xfId="0" applyNumberFormat="1" applyFont="1" applyFill="1" applyBorder="1" applyAlignment="1">
      <alignment horizontal="center" vertical="center" wrapText="1"/>
    </xf>
    <xf numFmtId="9" fontId="151" fillId="25" borderId="57" xfId="0" applyNumberFormat="1" applyFont="1" applyFill="1" applyBorder="1" applyAlignment="1">
      <alignment horizontal="center" vertical="center" wrapText="1"/>
    </xf>
    <xf numFmtId="0" fontId="157" fillId="2" borderId="57" xfId="0" applyFont="1" applyFill="1" applyBorder="1" applyAlignment="1">
      <alignment horizontal="center" vertical="center" wrapText="1"/>
    </xf>
    <xf numFmtId="0" fontId="156" fillId="25" borderId="57" xfId="0" applyFont="1" applyFill="1" applyBorder="1" applyAlignment="1">
      <alignment horizontal="center" vertical="center" wrapText="1"/>
    </xf>
    <xf numFmtId="0" fontId="153" fillId="25" borderId="110" xfId="0" applyFont="1" applyFill="1" applyBorder="1" applyAlignment="1">
      <alignment horizontal="center" vertical="center" wrapText="1"/>
    </xf>
    <xf numFmtId="0" fontId="151" fillId="2" borderId="110" xfId="0" applyFont="1" applyFill="1" applyBorder="1" applyAlignment="1">
      <alignment horizontal="center" vertical="center" wrapText="1"/>
    </xf>
    <xf numFmtId="0" fontId="151" fillId="25" borderId="110" xfId="0" applyFont="1" applyFill="1" applyBorder="1" applyAlignment="1">
      <alignment horizontal="center" vertical="center" wrapText="1"/>
    </xf>
    <xf numFmtId="0" fontId="150" fillId="30" borderId="56" xfId="0" applyFont="1" applyFill="1" applyBorder="1" applyAlignment="1">
      <alignment horizontal="center" vertical="center" wrapText="1"/>
    </xf>
    <xf numFmtId="0" fontId="150" fillId="30" borderId="111" xfId="0" applyFont="1" applyFill="1" applyBorder="1" applyAlignment="1">
      <alignment horizontal="center" vertical="center" wrapText="1"/>
    </xf>
    <xf numFmtId="0" fontId="151" fillId="2" borderId="90" xfId="0" applyFont="1" applyFill="1" applyBorder="1" applyAlignment="1">
      <alignment horizontal="center" vertical="center" wrapText="1"/>
    </xf>
    <xf numFmtId="0" fontId="158" fillId="2" borderId="90" xfId="0" applyFont="1" applyFill="1" applyBorder="1" applyAlignment="1">
      <alignment horizontal="center" vertical="center" wrapText="1"/>
    </xf>
    <xf numFmtId="0" fontId="159" fillId="2" borderId="90" xfId="0" applyFont="1" applyFill="1" applyBorder="1" applyAlignment="1">
      <alignment horizontal="center" vertical="center" wrapText="1"/>
    </xf>
    <xf numFmtId="2" fontId="160" fillId="2" borderId="90" xfId="0" applyNumberFormat="1" applyFont="1" applyFill="1" applyBorder="1" applyAlignment="1">
      <alignment horizontal="center" vertical="center" wrapText="1"/>
    </xf>
    <xf numFmtId="0" fontId="161" fillId="2" borderId="90" xfId="0" applyFont="1" applyFill="1" applyBorder="1" applyAlignment="1">
      <alignment horizontal="center" vertical="center" wrapText="1"/>
    </xf>
    <xf numFmtId="2" fontId="151" fillId="2" borderId="90" xfId="0" applyNumberFormat="1" applyFont="1" applyFill="1" applyBorder="1" applyAlignment="1">
      <alignment horizontal="center" vertical="center" wrapText="1"/>
    </xf>
    <xf numFmtId="9" fontId="151" fillId="2" borderId="90" xfId="0" applyNumberFormat="1" applyFont="1" applyFill="1" applyBorder="1" applyAlignment="1">
      <alignment horizontal="center" vertical="center" wrapText="1"/>
    </xf>
    <xf numFmtId="0" fontId="151" fillId="2" borderId="95" xfId="0" applyFont="1" applyFill="1" applyBorder="1" applyAlignment="1">
      <alignment horizontal="center" vertical="center" wrapText="1"/>
    </xf>
    <xf numFmtId="0" fontId="150" fillId="30" borderId="137" xfId="0" applyFont="1" applyFill="1" applyBorder="1" applyAlignment="1">
      <alignment horizontal="center" vertical="center" wrapText="1"/>
    </xf>
    <xf numFmtId="0" fontId="153" fillId="25" borderId="138" xfId="0" applyFont="1" applyFill="1" applyBorder="1" applyAlignment="1">
      <alignment horizontal="center" vertical="center" wrapText="1"/>
    </xf>
    <xf numFmtId="0" fontId="151" fillId="2" borderId="138" xfId="0" applyFont="1" applyFill="1" applyBorder="1" applyAlignment="1">
      <alignment horizontal="center" vertical="center" wrapText="1"/>
    </xf>
    <xf numFmtId="0" fontId="151" fillId="25" borderId="138" xfId="0" applyFont="1" applyFill="1" applyBorder="1" applyAlignment="1">
      <alignment horizontal="center" vertical="center" wrapText="1"/>
    </xf>
    <xf numFmtId="0" fontId="151" fillId="2" borderId="139" xfId="0" applyFont="1" applyFill="1" applyBorder="1" applyAlignment="1">
      <alignment horizontal="center" vertical="center" wrapText="1"/>
    </xf>
    <xf numFmtId="0" fontId="208" fillId="27" borderId="140" xfId="0" applyFont="1" applyFill="1" applyBorder="1" applyAlignment="1">
      <alignment horizontal="center" vertical="center" wrapText="1"/>
    </xf>
    <xf numFmtId="0" fontId="208" fillId="27" borderId="141" xfId="0" applyFont="1" applyFill="1" applyBorder="1" applyAlignment="1">
      <alignment horizontal="center" vertical="center" wrapText="1"/>
    </xf>
    <xf numFmtId="0" fontId="208" fillId="27" borderId="142" xfId="0" applyFont="1" applyFill="1" applyBorder="1" applyAlignment="1">
      <alignment horizontal="center" vertical="center" wrapText="1"/>
    </xf>
    <xf numFmtId="0" fontId="162" fillId="25" borderId="15" xfId="0" applyFont="1" applyFill="1" applyBorder="1" applyAlignment="1">
      <alignment horizontal="center" vertical="top" wrapText="1"/>
    </xf>
    <xf numFmtId="0" fontId="147" fillId="25" borderId="15" xfId="0" applyFont="1" applyFill="1" applyBorder="1" applyAlignment="1">
      <alignment horizontal="center" vertical="top" wrapText="1"/>
    </xf>
    <xf numFmtId="0" fontId="163" fillId="25" borderId="15" xfId="0" applyFont="1" applyFill="1" applyBorder="1" applyAlignment="1">
      <alignment horizontal="center" vertical="top" wrapText="1"/>
    </xf>
    <xf numFmtId="0" fontId="147" fillId="2" borderId="15" xfId="0" applyFont="1" applyFill="1" applyBorder="1" applyAlignment="1">
      <alignment horizontal="center" wrapText="1"/>
    </xf>
    <xf numFmtId="0" fontId="150" fillId="25" borderId="15" xfId="0" applyFont="1" applyFill="1" applyBorder="1" applyAlignment="1">
      <alignment horizontal="center" wrapText="1"/>
    </xf>
    <xf numFmtId="9" fontId="150" fillId="25" borderId="15" xfId="0" applyNumberFormat="1" applyFont="1" applyFill="1" applyBorder="1" applyAlignment="1">
      <alignment horizontal="center" wrapText="1"/>
    </xf>
    <xf numFmtId="9" fontId="150" fillId="2" borderId="15" xfId="0" applyNumberFormat="1" applyFont="1" applyFill="1" applyBorder="1" applyAlignment="1">
      <alignment horizontal="center" vertical="top" wrapText="1"/>
    </xf>
    <xf numFmtId="0" fontId="36" fillId="2" borderId="67" xfId="0" applyFont="1" applyFill="1" applyBorder="1" applyAlignment="1">
      <alignment vertical="top" wrapText="1"/>
    </xf>
    <xf numFmtId="0" fontId="36" fillId="25" borderId="67" xfId="0" applyFont="1" applyFill="1" applyBorder="1" applyAlignment="1">
      <alignment vertical="top" wrapText="1"/>
    </xf>
    <xf numFmtId="0" fontId="36" fillId="25" borderId="67" xfId="0" applyFont="1" applyFill="1" applyBorder="1"/>
    <xf numFmtId="0" fontId="36" fillId="2" borderId="67" xfId="0" applyFont="1" applyFill="1" applyBorder="1"/>
    <xf numFmtId="0" fontId="36" fillId="2" borderId="92" xfId="0" applyFont="1" applyFill="1" applyBorder="1"/>
    <xf numFmtId="0" fontId="36" fillId="2" borderId="93" xfId="0" applyFont="1" applyFill="1" applyBorder="1"/>
    <xf numFmtId="0" fontId="151" fillId="2" borderId="44" xfId="0" applyFont="1" applyFill="1" applyBorder="1" applyAlignment="1">
      <alignment horizontal="center" vertical="top" wrapText="1"/>
    </xf>
    <xf numFmtId="0" fontId="151" fillId="25" borderId="44" xfId="0" applyFont="1" applyFill="1" applyBorder="1" applyAlignment="1">
      <alignment horizontal="center" vertical="top" wrapText="1"/>
    </xf>
    <xf numFmtId="0" fontId="147" fillId="25" borderId="44" xfId="0" applyFont="1" applyFill="1" applyBorder="1" applyAlignment="1">
      <alignment horizontal="center" vertical="top" wrapText="1"/>
    </xf>
    <xf numFmtId="0" fontId="151" fillId="25" borderId="44" xfId="0" applyFont="1" applyFill="1" applyBorder="1" applyAlignment="1">
      <alignment horizontal="center" wrapText="1"/>
    </xf>
    <xf numFmtId="0" fontId="151" fillId="2" borderId="44" xfId="0" applyFont="1" applyFill="1" applyBorder="1" applyAlignment="1">
      <alignment horizontal="center" wrapText="1"/>
    </xf>
    <xf numFmtId="0" fontId="147" fillId="2" borderId="44" xfId="0" applyFont="1" applyFill="1" applyBorder="1" applyAlignment="1">
      <alignment horizontal="center" wrapText="1"/>
    </xf>
    <xf numFmtId="0" fontId="150" fillId="25" borderId="44" xfId="0" applyFont="1" applyFill="1" applyBorder="1" applyAlignment="1">
      <alignment horizontal="center" wrapText="1"/>
    </xf>
    <xf numFmtId="0" fontId="150" fillId="2" borderId="44" xfId="0" applyFont="1" applyFill="1" applyBorder="1" applyAlignment="1">
      <alignment horizontal="center" wrapText="1"/>
    </xf>
    <xf numFmtId="0" fontId="208" fillId="27" borderId="144" xfId="0" applyFont="1" applyFill="1" applyBorder="1" applyAlignment="1">
      <alignment horizontal="center" vertical="center" wrapText="1"/>
    </xf>
    <xf numFmtId="0" fontId="186" fillId="27" borderId="144" xfId="0" applyFont="1" applyFill="1" applyBorder="1" applyAlignment="1">
      <alignment horizontal="center" vertical="center" wrapText="1"/>
    </xf>
    <xf numFmtId="0" fontId="208" fillId="27" borderId="145" xfId="0" applyFont="1" applyFill="1" applyBorder="1" applyAlignment="1">
      <alignment horizontal="center" vertical="center" wrapText="1"/>
    </xf>
    <xf numFmtId="10" fontId="149" fillId="25" borderId="15" xfId="0" applyNumberFormat="1" applyFont="1" applyFill="1" applyBorder="1" applyAlignment="1">
      <alignment horizontal="center" vertical="center" wrapText="1"/>
    </xf>
    <xf numFmtId="0" fontId="153" fillId="25" borderId="67" xfId="0" applyFont="1" applyFill="1" applyBorder="1" applyAlignment="1">
      <alignment horizontal="center" vertical="center" wrapText="1"/>
    </xf>
    <xf numFmtId="0" fontId="147" fillId="2" borderId="67" xfId="0" applyFont="1" applyFill="1" applyBorder="1" applyAlignment="1">
      <alignment horizontal="center" wrapText="1"/>
    </xf>
    <xf numFmtId="0" fontId="147" fillId="25" borderId="67" xfId="0" applyFont="1" applyFill="1" applyBorder="1" applyAlignment="1">
      <alignment horizontal="center" vertical="top" wrapText="1"/>
    </xf>
    <xf numFmtId="0" fontId="147" fillId="2" borderId="67" xfId="0" applyFont="1" applyFill="1" applyBorder="1" applyAlignment="1">
      <alignment horizontal="center" vertical="top" wrapText="1"/>
    </xf>
    <xf numFmtId="0" fontId="150" fillId="30" borderId="72" xfId="0" applyFont="1" applyFill="1" applyBorder="1" applyAlignment="1">
      <alignment horizontal="center" vertical="center" wrapText="1"/>
    </xf>
    <xf numFmtId="0" fontId="149" fillId="25" borderId="92" xfId="0" applyFont="1" applyFill="1" applyBorder="1" applyAlignment="1">
      <alignment horizontal="center" vertical="center" wrapText="1"/>
    </xf>
    <xf numFmtId="10" fontId="149" fillId="25" borderId="92" xfId="0" applyNumberFormat="1" applyFont="1" applyFill="1" applyBorder="1" applyAlignment="1">
      <alignment horizontal="center" vertical="center" wrapText="1"/>
    </xf>
    <xf numFmtId="0" fontId="147" fillId="25" borderId="92" xfId="0" applyFont="1" applyFill="1" applyBorder="1" applyAlignment="1">
      <alignment horizontal="center" wrapText="1"/>
    </xf>
    <xf numFmtId="0" fontId="147" fillId="25" borderId="93" xfId="0" applyFont="1" applyFill="1" applyBorder="1" applyAlignment="1">
      <alignment horizontal="center" wrapText="1"/>
    </xf>
    <xf numFmtId="0" fontId="153" fillId="25" borderId="44" xfId="0" applyFont="1" applyFill="1" applyBorder="1" applyAlignment="1">
      <alignment horizontal="center" vertical="center" wrapText="1"/>
    </xf>
    <xf numFmtId="0" fontId="150" fillId="2" borderId="44" xfId="0" applyFont="1" applyFill="1" applyBorder="1" applyAlignment="1">
      <alignment horizontal="center" vertical="center" wrapText="1"/>
    </xf>
    <xf numFmtId="0" fontId="152" fillId="25" borderId="44" xfId="0" applyFont="1" applyFill="1" applyBorder="1" applyAlignment="1">
      <alignment horizontal="center" vertical="top" wrapText="1"/>
    </xf>
    <xf numFmtId="0" fontId="147" fillId="2" borderId="44" xfId="0" applyFont="1" applyFill="1" applyBorder="1" applyAlignment="1">
      <alignment horizontal="center" vertical="top" wrapText="1"/>
    </xf>
    <xf numFmtId="0" fontId="149" fillId="25" borderId="44" xfId="0" applyFont="1" applyFill="1" applyBorder="1" applyAlignment="1">
      <alignment horizontal="center" vertical="center" wrapText="1"/>
    </xf>
    <xf numFmtId="0" fontId="149" fillId="2" borderId="44" xfId="0" applyFont="1" applyFill="1" applyBorder="1" applyAlignment="1">
      <alignment horizontal="center" vertical="center" wrapText="1"/>
    </xf>
    <xf numFmtId="0" fontId="149" fillId="25" borderId="91" xfId="0" applyFont="1" applyFill="1" applyBorder="1" applyAlignment="1">
      <alignment horizontal="center" vertical="center" wrapText="1"/>
    </xf>
    <xf numFmtId="0" fontId="203" fillId="27" borderId="144" xfId="0" applyFont="1" applyFill="1" applyBorder="1" applyAlignment="1">
      <alignment horizontal="center" vertical="center" wrapText="1"/>
    </xf>
    <xf numFmtId="0" fontId="203" fillId="27" borderId="145" xfId="0" applyFont="1" applyFill="1" applyBorder="1" applyAlignment="1">
      <alignment horizontal="center" vertical="center" wrapText="1"/>
    </xf>
    <xf numFmtId="166" fontId="74" fillId="25" borderId="15" xfId="0" applyNumberFormat="1" applyFont="1" applyFill="1" applyBorder="1" applyAlignment="1">
      <alignment horizontal="center" vertical="center" wrapText="1"/>
    </xf>
    <xf numFmtId="173" fontId="74" fillId="25" borderId="15" xfId="1" applyNumberFormat="1" applyFont="1" applyFill="1" applyBorder="1" applyAlignment="1">
      <alignment horizontal="center" vertical="center" wrapText="1"/>
    </xf>
    <xf numFmtId="0" fontId="60" fillId="2" borderId="15" xfId="0" applyFont="1" applyFill="1" applyBorder="1"/>
    <xf numFmtId="0" fontId="76" fillId="25" borderId="15" xfId="0" applyFont="1" applyFill="1" applyBorder="1" applyAlignment="1">
      <alignment horizontal="center" vertical="center" wrapText="1"/>
    </xf>
    <xf numFmtId="166" fontId="76" fillId="25" borderId="15" xfId="0" applyNumberFormat="1" applyFont="1" applyFill="1" applyBorder="1" applyAlignment="1">
      <alignment horizontal="right" vertical="center" wrapText="1"/>
    </xf>
    <xf numFmtId="173" fontId="76" fillId="25" borderId="15" xfId="1" applyNumberFormat="1" applyFont="1" applyFill="1" applyBorder="1" applyAlignment="1">
      <alignment horizontal="center" vertical="center" wrapText="1"/>
    </xf>
    <xf numFmtId="0" fontId="30" fillId="25" borderId="15" xfId="0" applyFont="1" applyFill="1" applyBorder="1"/>
    <xf numFmtId="166" fontId="30" fillId="25" borderId="15" xfId="0" applyNumberFormat="1" applyFont="1" applyFill="1" applyBorder="1" applyAlignment="1">
      <alignment horizontal="right"/>
    </xf>
    <xf numFmtId="173" fontId="30" fillId="25" borderId="15" xfId="0" applyNumberFormat="1" applyFont="1" applyFill="1" applyBorder="1" applyAlignment="1">
      <alignment horizontal="center"/>
    </xf>
    <xf numFmtId="0" fontId="60" fillId="2" borderId="67" xfId="0" applyFont="1" applyFill="1" applyBorder="1"/>
    <xf numFmtId="0" fontId="202" fillId="30" borderId="72" xfId="0" applyFont="1" applyFill="1" applyBorder="1" applyAlignment="1">
      <alignment horizontal="center" vertical="center" wrapText="1"/>
    </xf>
    <xf numFmtId="0" fontId="35" fillId="2" borderId="92" xfId="0" applyFont="1" applyFill="1" applyBorder="1" applyAlignment="1">
      <alignment horizontal="center" vertical="top" wrapText="1"/>
    </xf>
    <xf numFmtId="165" fontId="35" fillId="2" borderId="92" xfId="0" applyNumberFormat="1" applyFont="1" applyFill="1" applyBorder="1" applyAlignment="1">
      <alignment horizontal="center" vertical="top" wrapText="1"/>
    </xf>
    <xf numFmtId="9" fontId="35" fillId="2" borderId="92" xfId="1" applyFont="1" applyFill="1" applyBorder="1" applyAlignment="1">
      <alignment horizontal="center" vertical="top" wrapText="1"/>
    </xf>
    <xf numFmtId="0" fontId="36" fillId="2" borderId="92" xfId="0" applyFont="1" applyFill="1" applyBorder="1" applyAlignment="1">
      <alignment vertical="top" wrapText="1"/>
    </xf>
    <xf numFmtId="0" fontId="36" fillId="2" borderId="93" xfId="0" applyFont="1" applyFill="1" applyBorder="1" applyAlignment="1">
      <alignment vertical="top" wrapText="1"/>
    </xf>
    <xf numFmtId="0" fontId="202" fillId="30" borderId="89" xfId="0" applyFont="1" applyFill="1" applyBorder="1" applyAlignment="1">
      <alignment horizontal="center" vertical="center" wrapText="1"/>
    </xf>
    <xf numFmtId="0" fontId="74" fillId="25" borderId="44" xfId="0" applyFont="1" applyFill="1" applyBorder="1" applyAlignment="1">
      <alignment horizontal="center" vertical="center" wrapText="1"/>
    </xf>
    <xf numFmtId="0" fontId="93" fillId="2" borderId="44" xfId="0" applyFont="1" applyFill="1" applyBorder="1" applyAlignment="1">
      <alignment horizontal="center" vertical="center" wrapText="1"/>
    </xf>
    <xf numFmtId="0" fontId="93" fillId="25" borderId="44" xfId="0" applyFont="1" applyFill="1" applyBorder="1" applyAlignment="1">
      <alignment horizontal="center" vertical="center" wrapText="1"/>
    </xf>
    <xf numFmtId="0" fontId="5" fillId="25" borderId="44" xfId="0" applyFont="1" applyFill="1" applyBorder="1"/>
    <xf numFmtId="0" fontId="35" fillId="2" borderId="91" xfId="0" applyFont="1" applyFill="1" applyBorder="1" applyAlignment="1">
      <alignment horizontal="center" vertical="top" wrapText="1"/>
    </xf>
    <xf numFmtId="0" fontId="225" fillId="27" borderId="143" xfId="0" applyFont="1" applyFill="1" applyBorder="1" applyAlignment="1">
      <alignment horizontal="center" vertical="center" wrapText="1"/>
    </xf>
    <xf numFmtId="0" fontId="225" fillId="27" borderId="144" xfId="0" applyFont="1" applyFill="1" applyBorder="1" applyAlignment="1">
      <alignment horizontal="center" vertical="center" wrapText="1"/>
    </xf>
    <xf numFmtId="0" fontId="204" fillId="27" borderId="144" xfId="0" applyFont="1" applyFill="1" applyBorder="1" applyAlignment="1">
      <alignment horizontal="center" vertical="center" wrapText="1"/>
    </xf>
    <xf numFmtId="0" fontId="195" fillId="27" borderId="144" xfId="0" applyFont="1" applyFill="1" applyBorder="1" applyAlignment="1">
      <alignment horizontal="center" vertical="center"/>
    </xf>
    <xf numFmtId="0" fontId="225" fillId="27" borderId="145" xfId="0" applyFont="1" applyFill="1" applyBorder="1" applyAlignment="1">
      <alignment horizontal="center" vertical="center" wrapText="1"/>
    </xf>
    <xf numFmtId="0" fontId="94" fillId="25" borderId="15" xfId="0" applyFont="1" applyFill="1" applyBorder="1" applyAlignment="1">
      <alignment vertical="center" wrapText="1"/>
    </xf>
    <xf numFmtId="0" fontId="94" fillId="25" borderId="15" xfId="0" applyFont="1" applyFill="1" applyBorder="1" applyAlignment="1">
      <alignment horizontal="center" vertical="center" wrapText="1"/>
    </xf>
    <xf numFmtId="0" fontId="95" fillId="25" borderId="15" xfId="0" applyFont="1" applyFill="1" applyBorder="1" applyAlignment="1">
      <alignment horizontal="center" vertical="center" wrapText="1"/>
    </xf>
    <xf numFmtId="0" fontId="96" fillId="25" borderId="15" xfId="0" applyFont="1" applyFill="1" applyBorder="1" applyAlignment="1">
      <alignment horizontal="center" vertical="center" wrapText="1"/>
    </xf>
    <xf numFmtId="0" fontId="97" fillId="25" borderId="15" xfId="0" applyFont="1" applyFill="1" applyBorder="1" applyAlignment="1">
      <alignment horizontal="center" vertical="center" wrapText="1"/>
    </xf>
    <xf numFmtId="0" fontId="98" fillId="25" borderId="15" xfId="0" applyFont="1" applyFill="1" applyBorder="1" applyAlignment="1">
      <alignment horizontal="center" vertical="center" wrapText="1"/>
    </xf>
    <xf numFmtId="0" fontId="94" fillId="25" borderId="15" xfId="0" applyFont="1" applyFill="1" applyBorder="1" applyAlignment="1">
      <alignment vertical="center"/>
    </xf>
    <xf numFmtId="0" fontId="94" fillId="25" borderId="15" xfId="0" applyFont="1" applyFill="1" applyBorder="1" applyAlignment="1">
      <alignment horizontal="center" vertical="center"/>
    </xf>
    <xf numFmtId="0" fontId="95" fillId="25" borderId="15" xfId="0" applyFont="1" applyFill="1" applyBorder="1" applyAlignment="1">
      <alignment horizontal="center" vertical="center"/>
    </xf>
    <xf numFmtId="0" fontId="96" fillId="25" borderId="15" xfId="0" applyFont="1" applyFill="1" applyBorder="1" applyAlignment="1">
      <alignment horizontal="center" vertical="center"/>
    </xf>
    <xf numFmtId="0" fontId="97" fillId="25" borderId="15" xfId="0" applyFont="1" applyFill="1" applyBorder="1" applyAlignment="1">
      <alignment horizontal="center" vertical="center"/>
    </xf>
    <xf numFmtId="0" fontId="36" fillId="25" borderId="15" xfId="0" applyFont="1" applyFill="1" applyBorder="1" applyAlignment="1">
      <alignment horizontal="center" vertical="center"/>
    </xf>
    <xf numFmtId="0" fontId="98" fillId="25" borderId="15" xfId="0" applyFont="1" applyFill="1" applyBorder="1" applyAlignment="1">
      <alignment horizontal="center" vertical="center"/>
    </xf>
    <xf numFmtId="0" fontId="101" fillId="25" borderId="15" xfId="0" applyFont="1" applyFill="1" applyBorder="1" applyAlignment="1">
      <alignment horizontal="center" vertical="center"/>
    </xf>
    <xf numFmtId="0" fontId="102" fillId="25" borderId="15" xfId="0" applyFont="1" applyFill="1" applyBorder="1" applyAlignment="1">
      <alignment horizontal="center" vertical="center"/>
    </xf>
    <xf numFmtId="0" fontId="100" fillId="25" borderId="15" xfId="0" applyFont="1" applyFill="1" applyBorder="1" applyAlignment="1">
      <alignment horizontal="center" vertical="center"/>
    </xf>
    <xf numFmtId="0" fontId="5" fillId="2" borderId="15" xfId="0" applyFont="1" applyFill="1" applyBorder="1" applyAlignment="1">
      <alignment horizontal="center" vertical="center"/>
    </xf>
    <xf numFmtId="0" fontId="58" fillId="25" borderId="0" xfId="2" applyFont="1" applyFill="1"/>
    <xf numFmtId="0" fontId="55" fillId="25" borderId="44" xfId="0" applyFont="1" applyFill="1" applyBorder="1" applyAlignment="1">
      <alignment vertical="center" wrapText="1"/>
    </xf>
    <xf numFmtId="0" fontId="94" fillId="25" borderId="44" xfId="0" applyFont="1" applyFill="1" applyBorder="1" applyAlignment="1">
      <alignment vertical="center" wrapText="1"/>
    </xf>
    <xf numFmtId="0" fontId="94" fillId="2" borderId="44" xfId="0" applyFont="1" applyFill="1" applyBorder="1" applyAlignment="1">
      <alignment vertical="center" wrapText="1"/>
    </xf>
    <xf numFmtId="0" fontId="94" fillId="25" borderId="44" xfId="0" applyFont="1" applyFill="1" applyBorder="1" applyAlignment="1">
      <alignment vertical="center"/>
    </xf>
    <xf numFmtId="0" fontId="5" fillId="2" borderId="44" xfId="0" applyFont="1" applyFill="1" applyBorder="1" applyAlignment="1">
      <alignment horizontal="center" vertical="center"/>
    </xf>
    <xf numFmtId="0" fontId="195" fillId="27" borderId="144" xfId="0" applyFont="1" applyFill="1" applyBorder="1" applyAlignment="1">
      <alignment horizontal="center" vertical="center" wrapText="1"/>
    </xf>
    <xf numFmtId="0" fontId="192" fillId="27" borderId="144" xfId="0" applyFont="1" applyFill="1" applyBorder="1" applyAlignment="1">
      <alignment horizontal="center" vertical="center" wrapText="1"/>
    </xf>
    <xf numFmtId="0" fontId="192" fillId="27" borderId="144" xfId="0" applyFont="1" applyFill="1" applyBorder="1" applyAlignment="1">
      <alignment horizontal="center" vertical="center"/>
    </xf>
    <xf numFmtId="0" fontId="107" fillId="25" borderId="15" xfId="0" applyFont="1" applyFill="1" applyBorder="1" applyAlignment="1">
      <alignment horizontal="center" vertical="center" wrapText="1"/>
    </xf>
    <xf numFmtId="0" fontId="42" fillId="25" borderId="15" xfId="0" applyFont="1" applyFill="1" applyBorder="1" applyAlignment="1">
      <alignment horizontal="center" vertical="center" wrapText="1"/>
    </xf>
    <xf numFmtId="0" fontId="42" fillId="25" borderId="15" xfId="0" applyFont="1" applyFill="1" applyBorder="1" applyAlignment="1">
      <alignment vertical="top" wrapText="1"/>
    </xf>
    <xf numFmtId="0" fontId="76" fillId="2" borderId="92" xfId="0" applyFont="1" applyFill="1" applyBorder="1" applyAlignment="1">
      <alignment horizontal="center" vertical="top" wrapText="1"/>
    </xf>
    <xf numFmtId="0" fontId="76" fillId="2" borderId="92" xfId="0" applyFont="1" applyFill="1" applyBorder="1" applyAlignment="1">
      <alignment vertical="top" wrapText="1"/>
    </xf>
    <xf numFmtId="0" fontId="107" fillId="25" borderId="44" xfId="0" applyFont="1" applyFill="1" applyBorder="1" applyAlignment="1">
      <alignment horizontal="center" vertical="center" wrapText="1"/>
    </xf>
    <xf numFmtId="0" fontId="76" fillId="2" borderId="44" xfId="0" applyFont="1" applyFill="1" applyBorder="1" applyAlignment="1">
      <alignment horizontal="center" vertical="top" wrapText="1"/>
    </xf>
    <xf numFmtId="0" fontId="76" fillId="25" borderId="44" xfId="0" applyFont="1" applyFill="1" applyBorder="1" applyAlignment="1">
      <alignment horizontal="center" vertical="top" wrapText="1"/>
    </xf>
    <xf numFmtId="0" fontId="76" fillId="2" borderId="91" xfId="0" applyFont="1" applyFill="1" applyBorder="1" applyAlignment="1">
      <alignment horizontal="center" vertical="top" wrapText="1"/>
    </xf>
    <xf numFmtId="0" fontId="204" fillId="27" borderId="145" xfId="0" applyFont="1" applyFill="1" applyBorder="1" applyAlignment="1">
      <alignment horizontal="center" vertical="center" wrapText="1"/>
    </xf>
    <xf numFmtId="166" fontId="62" fillId="25" borderId="15" xfId="0" applyNumberFormat="1" applyFont="1" applyFill="1" applyBorder="1" applyAlignment="1">
      <alignment horizontal="center" vertical="center" wrapText="1"/>
    </xf>
    <xf numFmtId="10" fontId="62" fillId="25" borderId="15" xfId="0" applyNumberFormat="1" applyFont="1" applyFill="1" applyBorder="1" applyAlignment="1">
      <alignment horizontal="center" vertical="center" wrapText="1"/>
    </xf>
    <xf numFmtId="0" fontId="109" fillId="25" borderId="15" xfId="0" applyFont="1" applyFill="1" applyBorder="1" applyAlignment="1">
      <alignment horizontal="center" vertical="center" wrapText="1"/>
    </xf>
    <xf numFmtId="166" fontId="66" fillId="25" borderId="15" xfId="0" applyNumberFormat="1" applyFont="1" applyFill="1" applyBorder="1" applyAlignment="1">
      <alignment horizontal="right" vertical="center" wrapText="1"/>
    </xf>
    <xf numFmtId="10" fontId="66" fillId="25" borderId="15" xfId="0" applyNumberFormat="1" applyFont="1" applyFill="1" applyBorder="1" applyAlignment="1">
      <alignment horizontal="center" vertical="center" wrapText="1"/>
    </xf>
    <xf numFmtId="10" fontId="66" fillId="25" borderId="15" xfId="0" applyNumberFormat="1" applyFont="1" applyFill="1" applyBorder="1" applyAlignment="1">
      <alignment vertical="center" wrapText="1"/>
    </xf>
    <xf numFmtId="178" fontId="69" fillId="25" borderId="15" xfId="0" applyNumberFormat="1" applyFont="1" applyFill="1" applyBorder="1" applyAlignment="1">
      <alignment horizontal="center" vertical="center" wrapText="1"/>
    </xf>
    <xf numFmtId="166" fontId="69" fillId="25" borderId="15" xfId="0" applyNumberFormat="1" applyFont="1" applyFill="1" applyBorder="1" applyAlignment="1">
      <alignment horizontal="center" vertical="center" wrapText="1"/>
    </xf>
    <xf numFmtId="10" fontId="69" fillId="25" borderId="15" xfId="0" applyNumberFormat="1" applyFont="1" applyFill="1" applyBorder="1" applyAlignment="1">
      <alignment horizontal="center" vertical="center" wrapText="1"/>
    </xf>
    <xf numFmtId="0" fontId="60" fillId="25" borderId="15" xfId="0" applyFont="1" applyFill="1" applyBorder="1" applyAlignment="1">
      <alignment horizontal="center" vertical="center" wrapText="1"/>
    </xf>
    <xf numFmtId="0" fontId="67" fillId="25" borderId="15" xfId="0" applyFont="1" applyFill="1" applyBorder="1" applyAlignment="1">
      <alignment horizontal="center" vertical="center" wrapText="1"/>
    </xf>
    <xf numFmtId="10" fontId="67" fillId="25" borderId="15" xfId="0" applyNumberFormat="1" applyFont="1" applyFill="1" applyBorder="1" applyAlignment="1">
      <alignment horizontal="center" vertical="center" wrapText="1"/>
    </xf>
    <xf numFmtId="178" fontId="66" fillId="25" borderId="15" xfId="0" applyNumberFormat="1" applyFont="1" applyFill="1" applyBorder="1" applyAlignment="1">
      <alignment vertical="center"/>
    </xf>
    <xf numFmtId="166" fontId="66" fillId="25" borderId="15" xfId="0" applyNumberFormat="1" applyFont="1" applyFill="1" applyBorder="1" applyAlignment="1">
      <alignment horizontal="right" vertical="center"/>
    </xf>
    <xf numFmtId="166" fontId="67" fillId="25" borderId="15" xfId="0" applyNumberFormat="1" applyFont="1" applyFill="1" applyBorder="1" applyAlignment="1">
      <alignment horizontal="left" vertical="top" wrapText="1"/>
    </xf>
    <xf numFmtId="166" fontId="66" fillId="25" borderId="15" xfId="0" applyNumberFormat="1" applyFont="1" applyFill="1" applyBorder="1" applyAlignment="1">
      <alignment horizontal="left" vertical="top" wrapText="1"/>
    </xf>
    <xf numFmtId="10" fontId="67" fillId="25" borderId="15" xfId="0" applyNumberFormat="1" applyFont="1" applyFill="1" applyBorder="1" applyAlignment="1">
      <alignment horizontal="left" vertical="top" wrapText="1"/>
    </xf>
    <xf numFmtId="10" fontId="66" fillId="25" borderId="15" xfId="0" applyNumberFormat="1" applyFont="1" applyFill="1" applyBorder="1" applyAlignment="1">
      <alignment horizontal="left" vertical="top" wrapText="1"/>
    </xf>
    <xf numFmtId="0" fontId="66" fillId="25" borderId="15" xfId="0" applyFont="1" applyFill="1" applyBorder="1" applyAlignment="1">
      <alignment vertical="center"/>
    </xf>
    <xf numFmtId="0" fontId="60" fillId="25" borderId="67" xfId="0" applyFont="1" applyFill="1" applyBorder="1" applyAlignment="1">
      <alignment horizontal="center" vertical="center" wrapText="1"/>
    </xf>
    <xf numFmtId="0" fontId="36" fillId="25" borderId="67" xfId="0" applyFont="1" applyFill="1" applyBorder="1" applyAlignment="1">
      <alignment vertical="center"/>
    </xf>
    <xf numFmtId="0" fontId="36" fillId="2" borderId="67" xfId="0" applyFont="1" applyFill="1" applyBorder="1" applyAlignment="1">
      <alignment vertical="center"/>
    </xf>
    <xf numFmtId="166" fontId="4" fillId="30" borderId="72" xfId="0" applyNumberFormat="1" applyFont="1" applyFill="1" applyBorder="1" applyAlignment="1">
      <alignment horizontal="center" vertical="center" wrapText="1"/>
    </xf>
    <xf numFmtId="10" fontId="4" fillId="30" borderId="72" xfId="0" applyNumberFormat="1" applyFont="1" applyFill="1" applyBorder="1" applyAlignment="1">
      <alignment horizontal="center" vertical="center" wrapText="1"/>
    </xf>
    <xf numFmtId="178" fontId="66" fillId="2" borderId="92" xfId="0" applyNumberFormat="1" applyFont="1" applyFill="1" applyBorder="1" applyAlignment="1">
      <alignment vertical="center"/>
    </xf>
    <xf numFmtId="166" fontId="66" fillId="2" borderId="92" xfId="0" applyNumberFormat="1" applyFont="1" applyFill="1" applyBorder="1" applyAlignment="1">
      <alignment horizontal="right" vertical="center"/>
    </xf>
    <xf numFmtId="166" fontId="67" fillId="2" borderId="92" xfId="0" applyNumberFormat="1" applyFont="1" applyFill="1" applyBorder="1" applyAlignment="1">
      <alignment horizontal="left" vertical="top" wrapText="1"/>
    </xf>
    <xf numFmtId="166" fontId="66" fillId="2" borderId="92" xfId="0" applyNumberFormat="1" applyFont="1" applyFill="1" applyBorder="1" applyAlignment="1">
      <alignment horizontal="left" vertical="top" wrapText="1"/>
    </xf>
    <xf numFmtId="10" fontId="67" fillId="2" borderId="92" xfId="0" applyNumberFormat="1" applyFont="1" applyFill="1" applyBorder="1" applyAlignment="1">
      <alignment horizontal="left" vertical="top" wrapText="1"/>
    </xf>
    <xf numFmtId="10" fontId="66" fillId="2" borderId="92" xfId="0" applyNumberFormat="1" applyFont="1" applyFill="1" applyBorder="1" applyAlignment="1">
      <alignment horizontal="left" vertical="top" wrapText="1"/>
    </xf>
    <xf numFmtId="0" fontId="66" fillId="2" borderId="92" xfId="0" applyFont="1" applyFill="1" applyBorder="1" applyAlignment="1">
      <alignment vertical="center"/>
    </xf>
    <xf numFmtId="0" fontId="36" fillId="2" borderId="92" xfId="0" applyFont="1" applyFill="1" applyBorder="1" applyAlignment="1">
      <alignment vertical="center"/>
    </xf>
    <xf numFmtId="0" fontId="36" fillId="2" borderId="93" xfId="0" applyFont="1" applyFill="1" applyBorder="1" applyAlignment="1">
      <alignment vertical="center"/>
    </xf>
    <xf numFmtId="0" fontId="66" fillId="2" borderId="44" xfId="0" applyFont="1" applyFill="1" applyBorder="1" applyAlignment="1">
      <alignment vertical="center" wrapText="1"/>
    </xf>
    <xf numFmtId="0" fontId="66" fillId="25" borderId="44" xfId="0" applyFont="1" applyFill="1" applyBorder="1" applyAlignment="1">
      <alignment vertical="center" wrapText="1"/>
    </xf>
    <xf numFmtId="0" fontId="69" fillId="25" borderId="44" xfId="0" applyFont="1" applyFill="1" applyBorder="1" applyAlignment="1">
      <alignment horizontal="center" vertical="center" wrapText="1"/>
    </xf>
    <xf numFmtId="0" fontId="66" fillId="2" borderId="44" xfId="0" applyFont="1" applyFill="1" applyBorder="1" applyAlignment="1">
      <alignment horizontal="center" vertical="center" wrapText="1"/>
    </xf>
    <xf numFmtId="0" fontId="66" fillId="25" borderId="44" xfId="0" applyFont="1" applyFill="1" applyBorder="1" applyAlignment="1">
      <alignment horizontal="center" vertical="center"/>
    </xf>
    <xf numFmtId="0" fontId="66" fillId="2" borderId="44" xfId="0" applyFont="1" applyFill="1" applyBorder="1" applyAlignment="1">
      <alignment horizontal="center" vertical="center"/>
    </xf>
    <xf numFmtId="0" fontId="66" fillId="2" borderId="91" xfId="0" applyFont="1" applyFill="1" applyBorder="1" applyAlignment="1">
      <alignment horizontal="center" vertical="center"/>
    </xf>
    <xf numFmtId="0" fontId="195" fillId="27" borderId="143" xfId="0" applyFont="1" applyFill="1" applyBorder="1" applyAlignment="1">
      <alignment horizontal="center" vertical="center" wrapText="1"/>
    </xf>
    <xf numFmtId="0" fontId="195" fillId="27" borderId="145" xfId="0" applyFont="1" applyFill="1" applyBorder="1" applyAlignment="1">
      <alignment horizontal="center" vertical="center"/>
    </xf>
    <xf numFmtId="0" fontId="228" fillId="27" borderId="0" xfId="2" applyFont="1" applyFill="1" applyAlignment="1">
      <alignment wrapText="1"/>
    </xf>
    <xf numFmtId="0" fontId="152" fillId="25" borderId="15" xfId="0" applyFont="1" applyFill="1" applyBorder="1" applyAlignment="1">
      <alignment vertical="top" wrapText="1"/>
    </xf>
    <xf numFmtId="0" fontId="144" fillId="25" borderId="15" xfId="0" applyFont="1" applyFill="1" applyBorder="1" applyAlignment="1">
      <alignment vertical="center" wrapText="1"/>
    </xf>
    <xf numFmtId="0" fontId="150" fillId="25" borderId="15" xfId="0" applyFont="1" applyFill="1" applyBorder="1" applyAlignment="1">
      <alignment horizontal="center" vertical="center" wrapText="1"/>
    </xf>
    <xf numFmtId="0" fontId="66" fillId="2" borderId="67" xfId="0" applyFont="1" applyFill="1" applyBorder="1" applyAlignment="1">
      <alignment vertical="top" wrapText="1"/>
    </xf>
    <xf numFmtId="0" fontId="66" fillId="25" borderId="67" xfId="0" applyFont="1" applyFill="1" applyBorder="1" applyAlignment="1">
      <alignment vertical="top" wrapText="1"/>
    </xf>
    <xf numFmtId="0" fontId="66" fillId="25" borderId="67" xfId="0" applyFont="1" applyFill="1" applyBorder="1" applyAlignment="1">
      <alignment wrapText="1"/>
    </xf>
    <xf numFmtId="0" fontId="66" fillId="2" borderId="67" xfId="0" applyFont="1" applyFill="1" applyBorder="1" applyAlignment="1">
      <alignment wrapText="1"/>
    </xf>
    <xf numFmtId="0" fontId="66" fillId="25" borderId="92" xfId="0" applyFont="1" applyFill="1" applyBorder="1" applyAlignment="1">
      <alignment wrapText="1"/>
    </xf>
    <xf numFmtId="0" fontId="151" fillId="2" borderId="44" xfId="0" applyFont="1" applyFill="1" applyBorder="1" applyAlignment="1">
      <alignment vertical="top" wrapText="1"/>
    </xf>
    <xf numFmtId="0" fontId="151" fillId="25" borderId="44" xfId="0" applyFont="1" applyFill="1" applyBorder="1" applyAlignment="1">
      <alignment vertical="top" wrapText="1"/>
    </xf>
    <xf numFmtId="0" fontId="151" fillId="2" borderId="44" xfId="0" applyFont="1" applyFill="1" applyBorder="1" applyAlignment="1">
      <alignment horizontal="center" vertical="center" wrapText="1"/>
    </xf>
    <xf numFmtId="0" fontId="151" fillId="25" borderId="44" xfId="0" applyFont="1" applyFill="1" applyBorder="1" applyAlignment="1">
      <alignment horizontal="center" vertical="center" wrapText="1"/>
    </xf>
    <xf numFmtId="173" fontId="148" fillId="25" borderId="15" xfId="0" applyNumberFormat="1" applyFont="1" applyFill="1" applyBorder="1" applyAlignment="1">
      <alignment horizontal="center" vertical="center" wrapText="1"/>
    </xf>
    <xf numFmtId="164" fontId="148" fillId="25" borderId="15" xfId="0" applyNumberFormat="1" applyFont="1" applyFill="1" applyBorder="1" applyAlignment="1">
      <alignment horizontal="center" vertical="center" wrapText="1"/>
    </xf>
    <xf numFmtId="173" fontId="148" fillId="2" borderId="15" xfId="0" applyNumberFormat="1" applyFont="1" applyFill="1" applyBorder="1" applyAlignment="1">
      <alignment horizontal="center" vertical="center" wrapText="1"/>
    </xf>
    <xf numFmtId="164" fontId="148" fillId="2" borderId="15" xfId="0" applyNumberFormat="1" applyFont="1" applyFill="1" applyBorder="1" applyAlignment="1">
      <alignment horizontal="center" vertical="center" wrapText="1"/>
    </xf>
    <xf numFmtId="0" fontId="148" fillId="2" borderId="15" xfId="0" applyFont="1" applyFill="1" applyBorder="1" applyAlignment="1">
      <alignment vertical="top" wrapText="1"/>
    </xf>
    <xf numFmtId="0" fontId="69" fillId="2" borderId="15" xfId="0" applyFont="1" applyFill="1" applyBorder="1" applyAlignment="1">
      <alignment vertical="top" wrapText="1"/>
    </xf>
    <xf numFmtId="0" fontId="148" fillId="25" borderId="15" xfId="0" applyFont="1" applyFill="1" applyBorder="1" applyAlignment="1">
      <alignment vertical="top" wrapText="1"/>
    </xf>
    <xf numFmtId="0" fontId="69" fillId="25" borderId="15" xfId="0" applyFont="1" applyFill="1" applyBorder="1" applyAlignment="1">
      <alignment vertical="top" wrapText="1"/>
    </xf>
    <xf numFmtId="0" fontId="60" fillId="25" borderId="15" xfId="0" applyFont="1" applyFill="1" applyBorder="1" applyAlignment="1">
      <alignment vertical="top" wrapText="1"/>
    </xf>
    <xf numFmtId="0" fontId="60" fillId="2" borderId="15" xfId="0" applyFont="1" applyFill="1" applyBorder="1" applyAlignment="1">
      <alignment vertical="top" wrapText="1"/>
    </xf>
    <xf numFmtId="0" fontId="149" fillId="2" borderId="15" xfId="0" applyFont="1" applyFill="1" applyBorder="1" applyAlignment="1">
      <alignment vertical="center" wrapText="1"/>
    </xf>
    <xf numFmtId="0" fontId="149" fillId="25" borderId="15" xfId="0" applyFont="1" applyFill="1" applyBorder="1" applyAlignment="1">
      <alignment vertical="center" wrapText="1"/>
    </xf>
    <xf numFmtId="0" fontId="60" fillId="25" borderId="15" xfId="0" applyFont="1" applyFill="1" applyBorder="1" applyAlignment="1">
      <alignment vertical="center" wrapText="1"/>
    </xf>
    <xf numFmtId="0" fontId="5" fillId="2" borderId="67" xfId="0" applyFont="1" applyFill="1" applyBorder="1" applyAlignment="1">
      <alignment vertical="top" wrapText="1"/>
    </xf>
    <xf numFmtId="0" fontId="5" fillId="25" borderId="67" xfId="0" applyFont="1" applyFill="1" applyBorder="1" applyAlignment="1">
      <alignment vertical="top" wrapText="1"/>
    </xf>
    <xf numFmtId="0" fontId="11" fillId="2" borderId="67" xfId="0" applyFont="1" applyFill="1" applyBorder="1" applyAlignment="1">
      <alignment vertical="top" wrapText="1"/>
    </xf>
    <xf numFmtId="0" fontId="11" fillId="25" borderId="92" xfId="0" applyFont="1" applyFill="1" applyBorder="1" applyAlignment="1">
      <alignment vertical="top" wrapText="1"/>
    </xf>
    <xf numFmtId="0" fontId="11" fillId="25" borderId="93" xfId="0" applyFont="1" applyFill="1" applyBorder="1" applyAlignment="1">
      <alignment vertical="top" wrapText="1"/>
    </xf>
    <xf numFmtId="0" fontId="150" fillId="30" borderId="89" xfId="0" applyFont="1" applyFill="1" applyBorder="1" applyAlignment="1">
      <alignment horizontal="center" vertical="center" wrapText="1"/>
    </xf>
    <xf numFmtId="173" fontId="148" fillId="25" borderId="44" xfId="0" applyNumberFormat="1" applyFont="1" applyFill="1" applyBorder="1" applyAlignment="1">
      <alignment horizontal="center" vertical="center" wrapText="1"/>
    </xf>
    <xf numFmtId="173" fontId="148" fillId="2" borderId="44" xfId="0" applyNumberFormat="1" applyFont="1" applyFill="1" applyBorder="1" applyAlignment="1">
      <alignment horizontal="center" vertical="center" wrapText="1"/>
    </xf>
    <xf numFmtId="0" fontId="148" fillId="25" borderId="44" xfId="0" applyFont="1" applyFill="1" applyBorder="1" applyAlignment="1">
      <alignment horizontal="center" vertical="center" wrapText="1"/>
    </xf>
    <xf numFmtId="0" fontId="147" fillId="2" borderId="44" xfId="0" applyFont="1" applyFill="1" applyBorder="1" applyAlignment="1">
      <alignment vertical="top" wrapText="1"/>
    </xf>
    <xf numFmtId="0" fontId="149" fillId="25" borderId="44" xfId="0" applyFont="1" applyFill="1" applyBorder="1" applyAlignment="1">
      <alignment vertical="center" wrapText="1"/>
    </xf>
    <xf numFmtId="0" fontId="149" fillId="2" borderId="44" xfId="0" applyFont="1" applyFill="1" applyBorder="1" applyAlignment="1">
      <alignment vertical="center" wrapText="1"/>
    </xf>
    <xf numFmtId="0" fontId="11" fillId="2" borderId="44" xfId="0" applyFont="1" applyFill="1" applyBorder="1" applyAlignment="1">
      <alignment vertical="top" wrapText="1"/>
    </xf>
    <xf numFmtId="0" fontId="11" fillId="25" borderId="91" xfId="0" applyFont="1" applyFill="1" applyBorder="1" applyAlignment="1">
      <alignment vertical="top" wrapText="1"/>
    </xf>
    <xf numFmtId="0" fontId="208" fillId="27" borderId="143" xfId="0" applyFont="1" applyFill="1" applyBorder="1" applyAlignment="1">
      <alignment horizontal="center" vertical="center" wrapText="1"/>
    </xf>
    <xf numFmtId="0" fontId="192" fillId="27" borderId="145" xfId="0" applyFont="1" applyFill="1" applyBorder="1" applyAlignment="1">
      <alignment horizontal="center" vertical="center" wrapText="1"/>
    </xf>
    <xf numFmtId="0" fontId="5" fillId="25" borderId="15" xfId="0" applyFont="1" applyFill="1" applyBorder="1" applyAlignment="1">
      <alignment horizontal="center" vertical="center" wrapText="1"/>
    </xf>
    <xf numFmtId="0" fontId="67" fillId="2" borderId="15" xfId="0" applyFont="1" applyFill="1" applyBorder="1" applyAlignment="1">
      <alignment vertical="top" wrapText="1"/>
    </xf>
    <xf numFmtId="0" fontId="5" fillId="25" borderId="15" xfId="0" applyFont="1" applyFill="1" applyBorder="1" applyAlignment="1">
      <alignment horizontal="left" vertical="top" wrapText="1"/>
    </xf>
    <xf numFmtId="0" fontId="67" fillId="2" borderId="15" xfId="0" applyFont="1" applyFill="1" applyBorder="1" applyAlignment="1">
      <alignment horizontal="left" vertical="top" wrapText="1"/>
    </xf>
    <xf numFmtId="0" fontId="5" fillId="2" borderId="15" xfId="0" applyFont="1" applyFill="1" applyBorder="1" applyAlignment="1">
      <alignment horizontal="left" vertical="top" wrapText="1"/>
    </xf>
    <xf numFmtId="0" fontId="67" fillId="25" borderId="15" xfId="0" applyFont="1" applyFill="1" applyBorder="1" applyAlignment="1">
      <alignment horizontal="left" vertical="top" wrapText="1"/>
    </xf>
    <xf numFmtId="0" fontId="36" fillId="25" borderId="67" xfId="0" applyFont="1" applyFill="1" applyBorder="1" applyAlignment="1">
      <alignment horizontal="center" vertical="top" wrapText="1"/>
    </xf>
    <xf numFmtId="0" fontId="36" fillId="25" borderId="68" xfId="0" applyFont="1" applyFill="1" applyBorder="1"/>
    <xf numFmtId="0" fontId="36" fillId="25" borderId="92" xfId="0" applyFont="1" applyFill="1" applyBorder="1" applyAlignment="1">
      <alignment horizontal="left" vertical="top" wrapText="1"/>
    </xf>
    <xf numFmtId="0" fontId="36" fillId="25" borderId="92" xfId="0" applyFont="1" applyFill="1" applyBorder="1" applyAlignment="1">
      <alignment wrapText="1"/>
    </xf>
    <xf numFmtId="0" fontId="36" fillId="25" borderId="92" xfId="0" applyFont="1" applyFill="1" applyBorder="1"/>
    <xf numFmtId="0" fontId="36" fillId="25" borderId="93" xfId="0" applyFont="1" applyFill="1" applyBorder="1"/>
    <xf numFmtId="0" fontId="55" fillId="2" borderId="44" xfId="0" applyFont="1" applyFill="1" applyBorder="1" applyAlignment="1">
      <alignment horizontal="right" vertical="top" wrapText="1"/>
    </xf>
    <xf numFmtId="0" fontId="114" fillId="25" borderId="44" xfId="0" applyFont="1" applyFill="1" applyBorder="1" applyAlignment="1">
      <alignment vertical="top" wrapText="1"/>
    </xf>
    <xf numFmtId="0" fontId="5" fillId="25" borderId="44" xfId="0" applyFont="1" applyFill="1" applyBorder="1" applyAlignment="1">
      <alignment horizontal="center" vertical="top" wrapText="1"/>
    </xf>
    <xf numFmtId="0" fontId="36" fillId="2" borderId="44" xfId="0" applyFont="1" applyFill="1" applyBorder="1" applyAlignment="1">
      <alignment horizontal="right" vertical="top" wrapText="1"/>
    </xf>
    <xf numFmtId="0" fontId="36" fillId="25" borderId="44" xfId="0" applyFont="1" applyFill="1" applyBorder="1" applyAlignment="1">
      <alignment horizontal="center" vertical="top" wrapText="1"/>
    </xf>
    <xf numFmtId="0" fontId="36" fillId="2" borderId="44" xfId="0" applyFont="1" applyFill="1" applyBorder="1" applyAlignment="1">
      <alignment horizontal="center" vertical="top" wrapText="1"/>
    </xf>
    <xf numFmtId="0" fontId="5" fillId="2" borderId="44" xfId="0" applyFont="1" applyFill="1" applyBorder="1" applyAlignment="1">
      <alignment horizontal="center" wrapText="1"/>
    </xf>
    <xf numFmtId="0" fontId="114" fillId="2" borderId="44" xfId="0" applyFont="1" applyFill="1" applyBorder="1" applyAlignment="1">
      <alignment wrapText="1"/>
    </xf>
    <xf numFmtId="0" fontId="36" fillId="25" borderId="44" xfId="0" applyFont="1" applyFill="1" applyBorder="1" applyAlignment="1">
      <alignment wrapText="1"/>
    </xf>
    <xf numFmtId="0" fontId="36" fillId="2" borderId="44" xfId="0" applyFont="1" applyFill="1" applyBorder="1" applyAlignment="1">
      <alignment wrapText="1"/>
    </xf>
    <xf numFmtId="0" fontId="36" fillId="2" borderId="44" xfId="0" applyFont="1" applyFill="1" applyBorder="1" applyAlignment="1">
      <alignment horizontal="left" vertical="top" wrapText="1"/>
    </xf>
    <xf numFmtId="0" fontId="36" fillId="25" borderId="91" xfId="0" applyFont="1" applyFill="1" applyBorder="1" applyAlignment="1">
      <alignment horizontal="left" vertical="top" wrapText="1"/>
    </xf>
    <xf numFmtId="0" fontId="195" fillId="27" borderId="145" xfId="0" applyFont="1" applyFill="1" applyBorder="1" applyAlignment="1">
      <alignment horizontal="center" vertical="center" wrapText="1"/>
    </xf>
    <xf numFmtId="165" fontId="62" fillId="25" borderId="15" xfId="0" applyNumberFormat="1" applyFont="1" applyFill="1" applyBorder="1" applyAlignment="1">
      <alignment horizontal="center" vertical="center" wrapText="1"/>
    </xf>
    <xf numFmtId="0" fontId="123" fillId="2" borderId="15" xfId="0" applyFont="1" applyFill="1" applyBorder="1" applyAlignment="1">
      <alignment vertical="center"/>
    </xf>
    <xf numFmtId="0" fontId="123" fillId="2" borderId="15" xfId="0" applyFont="1" applyFill="1" applyBorder="1" applyAlignment="1">
      <alignment horizontal="center" vertical="center"/>
    </xf>
    <xf numFmtId="165" fontId="124" fillId="2" borderId="15" xfId="0" applyNumberFormat="1" applyFont="1" applyFill="1" applyBorder="1" applyAlignment="1">
      <alignment horizontal="center" vertical="center"/>
    </xf>
    <xf numFmtId="0" fontId="125" fillId="25" borderId="15" xfId="0" applyFont="1" applyFill="1" applyBorder="1" applyAlignment="1">
      <alignment horizontal="center" vertical="center"/>
    </xf>
    <xf numFmtId="165" fontId="124" fillId="25" borderId="15" xfId="0" applyNumberFormat="1" applyFont="1" applyFill="1" applyBorder="1" applyAlignment="1">
      <alignment horizontal="center" vertical="center"/>
    </xf>
    <xf numFmtId="0" fontId="124" fillId="25" borderId="15" xfId="0" applyFont="1" applyFill="1" applyBorder="1" applyAlignment="1">
      <alignment vertical="center"/>
    </xf>
    <xf numFmtId="0" fontId="125" fillId="2" borderId="15" xfId="0" applyFont="1" applyFill="1" applyBorder="1" applyAlignment="1">
      <alignment horizontal="center" vertical="center"/>
    </xf>
    <xf numFmtId="0" fontId="126" fillId="2" borderId="15" xfId="0" applyFont="1" applyFill="1" applyBorder="1" applyAlignment="1">
      <alignment vertical="center"/>
    </xf>
    <xf numFmtId="165" fontId="36" fillId="25" borderId="15" xfId="0" applyNumberFormat="1" applyFont="1" applyFill="1" applyBorder="1" applyAlignment="1">
      <alignment horizontal="center" vertical="center"/>
    </xf>
    <xf numFmtId="0" fontId="126" fillId="25" borderId="15" xfId="0" applyFont="1" applyFill="1" applyBorder="1" applyAlignment="1">
      <alignment vertical="center"/>
    </xf>
    <xf numFmtId="0" fontId="127" fillId="2" borderId="15" xfId="0" applyFont="1" applyFill="1" applyBorder="1" applyAlignment="1">
      <alignment vertical="center"/>
    </xf>
    <xf numFmtId="165" fontId="128" fillId="2" borderId="15" xfId="0" applyNumberFormat="1" applyFont="1" applyFill="1" applyBorder="1" applyAlignment="1">
      <alignment horizontal="center" vertical="center"/>
    </xf>
    <xf numFmtId="0" fontId="128" fillId="2" borderId="15" xfId="0" applyFont="1" applyFill="1" applyBorder="1" applyAlignment="1">
      <alignment vertical="center"/>
    </xf>
    <xf numFmtId="0" fontId="128" fillId="25" borderId="15" xfId="0" applyFont="1" applyFill="1" applyBorder="1" applyAlignment="1">
      <alignment horizontal="center" vertical="center"/>
    </xf>
    <xf numFmtId="0" fontId="128" fillId="25" borderId="15" xfId="0" applyFont="1" applyFill="1" applyBorder="1" applyAlignment="1">
      <alignment vertical="center"/>
    </xf>
    <xf numFmtId="165" fontId="4" fillId="30" borderId="72" xfId="0" applyNumberFormat="1" applyFont="1" applyFill="1" applyBorder="1" applyAlignment="1">
      <alignment horizontal="center" vertical="center" wrapText="1"/>
    </xf>
    <xf numFmtId="0" fontId="30" fillId="2" borderId="92" xfId="0" applyFont="1" applyFill="1" applyBorder="1" applyAlignment="1">
      <alignment vertical="center"/>
    </xf>
    <xf numFmtId="165" fontId="30" fillId="2" borderId="92" xfId="0" applyNumberFormat="1" applyFont="1" applyFill="1" applyBorder="1" applyAlignment="1">
      <alignment horizontal="center" vertical="center"/>
    </xf>
    <xf numFmtId="0" fontId="129" fillId="2" borderId="92" xfId="0" applyFont="1" applyFill="1" applyBorder="1" applyAlignment="1">
      <alignment vertical="center"/>
    </xf>
    <xf numFmtId="0" fontId="123" fillId="2" borderId="44" xfId="0" applyFont="1" applyFill="1" applyBorder="1" applyAlignment="1">
      <alignment vertical="center"/>
    </xf>
    <xf numFmtId="0" fontId="55" fillId="25" borderId="44" xfId="0" applyFont="1" applyFill="1" applyBorder="1" applyAlignment="1">
      <alignment vertical="center"/>
    </xf>
    <xf numFmtId="0" fontId="67" fillId="2" borderId="44" xfId="0" applyFont="1" applyFill="1" applyBorder="1" applyAlignment="1">
      <alignment vertical="center"/>
    </xf>
    <xf numFmtId="0" fontId="36" fillId="2" borderId="91" xfId="0" applyFont="1" applyFill="1" applyBorder="1" applyAlignment="1">
      <alignment vertical="center"/>
    </xf>
    <xf numFmtId="0" fontId="196" fillId="27" borderId="144" xfId="0" applyFont="1" applyFill="1" applyBorder="1" applyAlignment="1">
      <alignment horizontal="center" vertical="center" wrapText="1"/>
    </xf>
    <xf numFmtId="0" fontId="227" fillId="27" borderId="0" xfId="0" applyFont="1" applyFill="1" applyAlignment="1">
      <alignment wrapText="1"/>
    </xf>
    <xf numFmtId="0" fontId="185" fillId="2" borderId="0" xfId="0" applyFont="1" applyFill="1" applyAlignment="1">
      <alignment wrapText="1"/>
    </xf>
    <xf numFmtId="0" fontId="223" fillId="29" borderId="0" xfId="0" applyFont="1" applyFill="1" applyAlignment="1">
      <alignment wrapText="1"/>
    </xf>
    <xf numFmtId="0" fontId="208" fillId="27" borderId="0" xfId="0" applyFont="1" applyFill="1" applyAlignment="1">
      <alignment horizontal="center" wrapText="1"/>
    </xf>
    <xf numFmtId="0" fontId="208" fillId="27" borderId="0" xfId="0" applyFont="1" applyFill="1" applyAlignment="1">
      <alignment horizontal="center" vertical="center" wrapText="1"/>
    </xf>
    <xf numFmtId="0" fontId="147" fillId="25" borderId="0" xfId="0" applyFont="1" applyFill="1" applyAlignment="1">
      <alignment wrapText="1"/>
    </xf>
    <xf numFmtId="0" fontId="36" fillId="25" borderId="0" xfId="0" applyFont="1" applyFill="1" applyAlignment="1">
      <alignment wrapText="1"/>
    </xf>
    <xf numFmtId="0" fontId="147" fillId="2" borderId="0" xfId="0" applyFont="1" applyFill="1" applyAlignment="1">
      <alignment wrapText="1"/>
    </xf>
    <xf numFmtId="0" fontId="36" fillId="2" borderId="0" xfId="0" applyFont="1" applyFill="1" applyAlignment="1">
      <alignment wrapText="1"/>
    </xf>
    <xf numFmtId="0" fontId="36" fillId="25" borderId="69" xfId="0" applyFont="1" applyFill="1" applyBorder="1" applyAlignment="1">
      <alignment wrapText="1"/>
    </xf>
    <xf numFmtId="0" fontId="36" fillId="2" borderId="69" xfId="0" applyFont="1" applyFill="1" applyBorder="1" applyAlignment="1">
      <alignment wrapText="1"/>
    </xf>
    <xf numFmtId="0" fontId="36" fillId="2" borderId="74" xfId="0" applyFont="1" applyFill="1" applyBorder="1" applyAlignment="1">
      <alignment wrapText="1"/>
    </xf>
    <xf numFmtId="0" fontId="36" fillId="2" borderId="75" xfId="0" applyFont="1" applyFill="1" applyBorder="1" applyAlignment="1">
      <alignment wrapText="1"/>
    </xf>
    <xf numFmtId="0" fontId="203" fillId="27" borderId="146" xfId="0" applyFont="1" applyFill="1" applyBorder="1" applyAlignment="1">
      <alignment horizontal="center" vertical="center" wrapText="1"/>
    </xf>
    <xf numFmtId="0" fontId="171" fillId="25" borderId="15" xfId="0" applyFont="1" applyFill="1" applyBorder="1" applyAlignment="1">
      <alignment horizontal="center" vertical="center" wrapText="1"/>
    </xf>
    <xf numFmtId="0" fontId="161" fillId="2" borderId="15" xfId="0" applyFont="1" applyFill="1" applyBorder="1" applyAlignment="1">
      <alignment horizontal="center" vertical="center" wrapText="1"/>
    </xf>
    <xf numFmtId="0" fontId="172" fillId="2" borderId="15" xfId="0" applyFont="1" applyFill="1" applyBorder="1" applyAlignment="1">
      <alignment horizontal="center" vertical="center" wrapText="1"/>
    </xf>
    <xf numFmtId="0" fontId="172" fillId="2" borderId="15" xfId="0" applyFont="1" applyFill="1" applyBorder="1" applyAlignment="1">
      <alignment horizontal="left" vertical="center" wrapText="1"/>
    </xf>
    <xf numFmtId="176" fontId="173" fillId="25" borderId="15" xfId="0" applyNumberFormat="1" applyFont="1" applyFill="1" applyBorder="1" applyAlignment="1">
      <alignment horizontal="center" vertical="center" wrapText="1"/>
    </xf>
    <xf numFmtId="176" fontId="173" fillId="25" borderId="15" xfId="0" applyNumberFormat="1" applyFont="1" applyFill="1" applyBorder="1" applyAlignment="1" applyProtection="1">
      <alignment horizontal="center" vertical="center" wrapText="1"/>
      <protection locked="0"/>
    </xf>
    <xf numFmtId="49" fontId="173" fillId="25" borderId="15" xfId="0" applyNumberFormat="1" applyFont="1" applyFill="1" applyBorder="1" applyAlignment="1">
      <alignment horizontal="left" vertical="center" wrapText="1"/>
    </xf>
    <xf numFmtId="172" fontId="174" fillId="2" borderId="15" xfId="0" applyNumberFormat="1" applyFont="1" applyFill="1" applyBorder="1" applyAlignment="1">
      <alignment horizontal="center" vertical="center" wrapText="1"/>
    </xf>
    <xf numFmtId="172" fontId="175" fillId="2" borderId="15" xfId="0" applyNumberFormat="1" applyFont="1" applyFill="1" applyBorder="1" applyAlignment="1">
      <alignment horizontal="center" vertical="center" wrapText="1"/>
    </xf>
    <xf numFmtId="49" fontId="175" fillId="2" borderId="15" xfId="0" applyNumberFormat="1" applyFont="1" applyFill="1" applyBorder="1" applyAlignment="1">
      <alignment horizontal="left" vertical="center" wrapText="1"/>
    </xf>
    <xf numFmtId="0" fontId="176" fillId="25" borderId="15" xfId="0" applyFont="1" applyFill="1" applyBorder="1" applyAlignment="1">
      <alignment horizontal="center" vertical="center" wrapText="1"/>
    </xf>
    <xf numFmtId="0" fontId="177" fillId="25" borderId="15" xfId="0" applyFont="1" applyFill="1" applyBorder="1" applyAlignment="1">
      <alignment horizontal="center" vertical="center" wrapText="1"/>
    </xf>
    <xf numFmtId="0" fontId="176" fillId="25" borderId="15" xfId="0" applyFont="1" applyFill="1" applyBorder="1" applyAlignment="1">
      <alignment horizontal="left" vertical="center" wrapText="1"/>
    </xf>
    <xf numFmtId="0" fontId="171" fillId="2" borderId="15" xfId="0" applyFont="1" applyFill="1" applyBorder="1" applyAlignment="1">
      <alignment horizontal="center" vertical="top" wrapText="1"/>
    </xf>
    <xf numFmtId="0" fontId="179" fillId="25" borderId="15" xfId="0" applyFont="1" applyFill="1" applyBorder="1" applyAlignment="1">
      <alignment horizontal="center" vertical="top" wrapText="1"/>
    </xf>
    <xf numFmtId="0" fontId="180" fillId="25" borderId="15" xfId="0" applyFont="1" applyFill="1" applyBorder="1" applyAlignment="1">
      <alignment horizontal="center" vertical="top" wrapText="1"/>
    </xf>
    <xf numFmtId="0" fontId="166" fillId="2" borderId="15" xfId="0" applyFont="1" applyFill="1" applyBorder="1" applyAlignment="1">
      <alignment horizontal="center" vertical="top" wrapText="1"/>
    </xf>
    <xf numFmtId="0" fontId="161" fillId="2" borderId="15" xfId="0" applyFont="1" applyFill="1" applyBorder="1" applyAlignment="1">
      <alignment horizontal="center" vertical="top" wrapText="1"/>
    </xf>
    <xf numFmtId="172" fontId="162" fillId="2" borderId="15" xfId="0" applyNumberFormat="1" applyFont="1" applyFill="1" applyBorder="1" applyAlignment="1">
      <alignment horizontal="center" vertical="center" wrapText="1"/>
    </xf>
    <xf numFmtId="172" fontId="152" fillId="2" borderId="15" xfId="0" applyNumberFormat="1" applyFont="1" applyFill="1" applyBorder="1" applyAlignment="1">
      <alignment horizontal="center" vertical="center" wrapText="1"/>
    </xf>
    <xf numFmtId="0" fontId="164" fillId="25" borderId="92" xfId="0" applyFont="1" applyFill="1" applyBorder="1" applyAlignment="1">
      <alignment vertical="center" wrapText="1"/>
    </xf>
    <xf numFmtId="0" fontId="165" fillId="25" borderId="92" xfId="0" applyFont="1" applyFill="1" applyBorder="1" applyAlignment="1">
      <alignment vertical="center" wrapText="1"/>
    </xf>
    <xf numFmtId="0" fontId="150" fillId="25" borderId="92" xfId="0" applyFont="1" applyFill="1" applyBorder="1" applyAlignment="1">
      <alignment vertical="top" wrapText="1"/>
    </xf>
    <xf numFmtId="0" fontId="147" fillId="25" borderId="92" xfId="0" applyFont="1" applyFill="1" applyBorder="1" applyAlignment="1">
      <alignment vertical="top" wrapText="1"/>
    </xf>
    <xf numFmtId="0" fontId="36" fillId="25" borderId="92" xfId="0" applyFont="1" applyFill="1" applyBorder="1" applyAlignment="1">
      <alignment vertical="top" wrapText="1"/>
    </xf>
    <xf numFmtId="0" fontId="36" fillId="25" borderId="93" xfId="0" applyFont="1" applyFill="1" applyBorder="1" applyAlignment="1">
      <alignment vertical="top" wrapText="1"/>
    </xf>
    <xf numFmtId="0" fontId="171" fillId="25" borderId="44" xfId="0" applyFont="1" applyFill="1" applyBorder="1" applyAlignment="1">
      <alignment horizontal="center" vertical="center" wrapText="1"/>
    </xf>
    <xf numFmtId="0" fontId="161" fillId="2" borderId="44" xfId="0" applyFont="1" applyFill="1" applyBorder="1" applyAlignment="1">
      <alignment horizontal="center" vertical="center" wrapText="1"/>
    </xf>
    <xf numFmtId="176" fontId="173" fillId="25" borderId="44" xfId="0" applyNumberFormat="1" applyFont="1" applyFill="1" applyBorder="1" applyAlignment="1">
      <alignment horizontal="center" vertical="center" wrapText="1"/>
    </xf>
    <xf numFmtId="172" fontId="174" fillId="2" borderId="44" xfId="0" applyNumberFormat="1" applyFont="1" applyFill="1" applyBorder="1" applyAlignment="1">
      <alignment horizontal="center" vertical="center" wrapText="1"/>
    </xf>
    <xf numFmtId="0" fontId="176" fillId="25" borderId="44" xfId="0" applyFont="1" applyFill="1" applyBorder="1" applyAlignment="1">
      <alignment horizontal="center" vertical="center" wrapText="1"/>
    </xf>
    <xf numFmtId="0" fontId="171" fillId="2" borderId="44" xfId="0" applyFont="1" applyFill="1" applyBorder="1" applyAlignment="1">
      <alignment horizontal="center" vertical="top" wrapText="1"/>
    </xf>
    <xf numFmtId="0" fontId="171" fillId="25" borderId="44" xfId="0" applyFont="1" applyFill="1" applyBorder="1" applyAlignment="1">
      <alignment horizontal="center" vertical="top" wrapText="1"/>
    </xf>
    <xf numFmtId="0" fontId="172" fillId="2" borderId="44" xfId="0" applyFont="1" applyFill="1" applyBorder="1" applyAlignment="1">
      <alignment horizontal="center" vertical="top" wrapText="1"/>
    </xf>
    <xf numFmtId="172" fontId="175" fillId="2" borderId="44" xfId="0" applyNumberFormat="1" applyFont="1" applyFill="1" applyBorder="1" applyAlignment="1">
      <alignment horizontal="center" vertical="center" wrapText="1"/>
    </xf>
    <xf numFmtId="0" fontId="164" fillId="25" borderId="91" xfId="0" applyFont="1" applyFill="1" applyBorder="1" applyAlignment="1">
      <alignment vertical="center" wrapText="1"/>
    </xf>
    <xf numFmtId="177" fontId="208" fillId="27" borderId="144" xfId="0" applyNumberFormat="1" applyFont="1" applyFill="1" applyBorder="1" applyAlignment="1">
      <alignment horizontal="center" vertical="center" wrapText="1"/>
    </xf>
    <xf numFmtId="171" fontId="203" fillId="27" borderId="144" xfId="0" applyNumberFormat="1" applyFont="1" applyFill="1" applyBorder="1" applyAlignment="1">
      <alignment horizontal="center" vertical="center" wrapText="1"/>
    </xf>
    <xf numFmtId="172" fontId="208" fillId="27" borderId="144" xfId="0" applyNumberFormat="1" applyFont="1" applyFill="1" applyBorder="1" applyAlignment="1">
      <alignment horizontal="center" vertical="center" wrapText="1"/>
    </xf>
    <xf numFmtId="0" fontId="67" fillId="25" borderId="15" xfId="0" applyFont="1" applyFill="1" applyBorder="1" applyAlignment="1">
      <alignment vertical="top" wrapText="1"/>
    </xf>
    <xf numFmtId="0" fontId="5" fillId="2" borderId="15" xfId="0" applyFont="1" applyFill="1" applyBorder="1"/>
    <xf numFmtId="0" fontId="67" fillId="25" borderId="92" xfId="0" applyFont="1" applyFill="1" applyBorder="1"/>
    <xf numFmtId="0" fontId="66" fillId="25" borderId="92" xfId="0" applyFont="1" applyFill="1" applyBorder="1"/>
    <xf numFmtId="0" fontId="66" fillId="2" borderId="44" xfId="0" applyFont="1" applyFill="1" applyBorder="1" applyAlignment="1">
      <alignment vertical="top" wrapText="1"/>
    </xf>
    <xf numFmtId="0" fontId="66" fillId="25" borderId="44" xfId="0" applyFont="1" applyFill="1" applyBorder="1" applyAlignment="1">
      <alignment vertical="top" wrapText="1"/>
    </xf>
    <xf numFmtId="0" fontId="66" fillId="25" borderId="44" xfId="0" applyFont="1" applyFill="1" applyBorder="1" applyAlignment="1">
      <alignment horizontal="center" vertical="top" wrapText="1"/>
    </xf>
    <xf numFmtId="0" fontId="66" fillId="25" borderId="44" xfId="0" applyFont="1" applyFill="1" applyBorder="1" applyAlignment="1">
      <alignment wrapText="1"/>
    </xf>
    <xf numFmtId="0" fontId="66" fillId="2" borderId="44" xfId="0" applyFont="1" applyFill="1" applyBorder="1" applyAlignment="1">
      <alignment wrapText="1"/>
    </xf>
    <xf numFmtId="0" fontId="5" fillId="2" borderId="44" xfId="0" applyFont="1" applyFill="1" applyBorder="1"/>
    <xf numFmtId="0" fontId="117" fillId="25" borderId="44" xfId="0" applyFont="1" applyFill="1" applyBorder="1"/>
    <xf numFmtId="0" fontId="112" fillId="2" borderId="44" xfId="0" applyFont="1" applyFill="1" applyBorder="1"/>
    <xf numFmtId="0" fontId="5" fillId="25" borderId="91" xfId="0" applyFont="1" applyFill="1" applyBorder="1"/>
    <xf numFmtId="0" fontId="192" fillId="27" borderId="145" xfId="0" applyFont="1" applyFill="1" applyBorder="1" applyAlignment="1">
      <alignment horizontal="center" vertical="center"/>
    </xf>
    <xf numFmtId="0" fontId="5" fillId="2" borderId="15" xfId="0" applyFont="1" applyFill="1" applyBorder="1" applyAlignment="1">
      <alignment horizontal="center" vertical="top" wrapText="1"/>
    </xf>
    <xf numFmtId="9" fontId="67" fillId="2" borderId="15" xfId="0" applyNumberFormat="1" applyFont="1" applyFill="1" applyBorder="1" applyAlignment="1">
      <alignment vertical="top" wrapText="1"/>
    </xf>
    <xf numFmtId="9" fontId="5" fillId="25" borderId="15" xfId="0" applyNumberFormat="1" applyFont="1" applyFill="1" applyBorder="1" applyAlignment="1">
      <alignment vertical="top" wrapText="1"/>
    </xf>
    <xf numFmtId="9" fontId="115" fillId="25" borderId="92" xfId="0" applyNumberFormat="1" applyFont="1" applyFill="1" applyBorder="1" applyAlignment="1">
      <alignment vertical="top" wrapText="1"/>
    </xf>
    <xf numFmtId="0" fontId="36" fillId="25" borderId="93" xfId="0" applyFont="1" applyFill="1" applyBorder="1" applyAlignment="1">
      <alignment wrapText="1"/>
    </xf>
    <xf numFmtId="0" fontId="66" fillId="2" borderId="44" xfId="0" applyFont="1" applyFill="1" applyBorder="1" applyAlignment="1">
      <alignment horizontal="center" vertical="top" wrapText="1"/>
    </xf>
    <xf numFmtId="0" fontId="66" fillId="25" borderId="44" xfId="0" applyFont="1" applyFill="1" applyBorder="1" applyAlignment="1">
      <alignment horizontal="right" wrapText="1"/>
    </xf>
    <xf numFmtId="0" fontId="66" fillId="2" borderId="44" xfId="0" applyFont="1" applyFill="1" applyBorder="1" applyAlignment="1">
      <alignment horizontal="right" wrapText="1"/>
    </xf>
    <xf numFmtId="10" fontId="66" fillId="25" borderId="44" xfId="0" applyNumberFormat="1" applyFont="1" applyFill="1" applyBorder="1" applyAlignment="1">
      <alignment horizontal="right" wrapText="1"/>
    </xf>
    <xf numFmtId="16" fontId="66" fillId="2" borderId="44" xfId="0" applyNumberFormat="1" applyFont="1" applyFill="1" applyBorder="1" applyAlignment="1">
      <alignment horizontal="center" wrapText="1"/>
    </xf>
    <xf numFmtId="16" fontId="66" fillId="25" borderId="44" xfId="0" applyNumberFormat="1" applyFont="1" applyFill="1" applyBorder="1" applyAlignment="1">
      <alignment wrapText="1"/>
    </xf>
    <xf numFmtId="16" fontId="66" fillId="2" borderId="44" xfId="0" applyNumberFormat="1" applyFont="1" applyFill="1" applyBorder="1" applyAlignment="1">
      <alignment vertical="top" wrapText="1"/>
    </xf>
    <xf numFmtId="16" fontId="66" fillId="2" borderId="44" xfId="0" applyNumberFormat="1" applyFont="1" applyFill="1" applyBorder="1" applyAlignment="1">
      <alignment wrapText="1"/>
    </xf>
    <xf numFmtId="16" fontId="66" fillId="25" borderId="44" xfId="0" applyNumberFormat="1" applyFont="1" applyFill="1" applyBorder="1" applyAlignment="1">
      <alignment vertical="top" wrapText="1"/>
    </xf>
    <xf numFmtId="16" fontId="66" fillId="25" borderId="44" xfId="0" applyNumberFormat="1" applyFont="1" applyFill="1" applyBorder="1" applyAlignment="1">
      <alignment horizontal="left" vertical="top" wrapText="1"/>
    </xf>
    <xf numFmtId="16" fontId="66" fillId="25" borderId="91" xfId="0" applyNumberFormat="1" applyFont="1" applyFill="1" applyBorder="1" applyAlignment="1">
      <alignment wrapText="1"/>
    </xf>
    <xf numFmtId="0" fontId="66" fillId="2" borderId="92" xfId="0" applyFont="1" applyFill="1" applyBorder="1" applyAlignment="1">
      <alignment wrapText="1"/>
    </xf>
    <xf numFmtId="0" fontId="66" fillId="25" borderId="44" xfId="0" applyFont="1" applyFill="1" applyBorder="1" applyAlignment="1">
      <alignment horizontal="right" vertical="top" wrapText="1"/>
    </xf>
    <xf numFmtId="0" fontId="66" fillId="2" borderId="44" xfId="0" applyFont="1" applyFill="1" applyBorder="1" applyAlignment="1">
      <alignment horizontal="right" vertical="top" wrapText="1"/>
    </xf>
    <xf numFmtId="0" fontId="66" fillId="25" borderId="44" xfId="0" applyFont="1" applyFill="1" applyBorder="1" applyAlignment="1">
      <alignment horizontal="right"/>
    </xf>
    <xf numFmtId="0" fontId="66" fillId="2" borderId="44" xfId="0" applyFont="1" applyFill="1" applyBorder="1" applyAlignment="1">
      <alignment horizontal="right"/>
    </xf>
    <xf numFmtId="170" fontId="66" fillId="25" borderId="44" xfId="0" applyNumberFormat="1" applyFont="1" applyFill="1" applyBorder="1" applyAlignment="1">
      <alignment horizontal="right"/>
    </xf>
    <xf numFmtId="165" fontId="66" fillId="2" borderId="44" xfId="0" applyNumberFormat="1" applyFont="1" applyFill="1" applyBorder="1" applyAlignment="1">
      <alignment horizontal="right"/>
    </xf>
    <xf numFmtId="170" fontId="66" fillId="2" borderId="44" xfId="0" applyNumberFormat="1" applyFont="1" applyFill="1" applyBorder="1" applyAlignment="1">
      <alignment horizontal="right"/>
    </xf>
    <xf numFmtId="0" fontId="66" fillId="25" borderId="44" xfId="0" applyFont="1" applyFill="1" applyBorder="1"/>
    <xf numFmtId="0" fontId="66" fillId="2" borderId="44" xfId="0" applyFont="1" applyFill="1" applyBorder="1"/>
    <xf numFmtId="0" fontId="36" fillId="2" borderId="91" xfId="0" applyFont="1" applyFill="1" applyBorder="1" applyAlignment="1">
      <alignment vertical="top" wrapText="1"/>
    </xf>
    <xf numFmtId="0" fontId="152" fillId="25" borderId="15" xfId="0" applyFont="1" applyFill="1" applyBorder="1" applyAlignment="1">
      <alignment horizontal="center" vertical="center" wrapText="1"/>
    </xf>
    <xf numFmtId="0" fontId="152" fillId="2" borderId="15" xfId="0" applyFont="1" applyFill="1" applyBorder="1" applyAlignment="1">
      <alignment horizontal="center" vertical="center" wrapText="1"/>
    </xf>
    <xf numFmtId="0" fontId="152" fillId="2" borderId="15" xfId="0" applyFont="1" applyFill="1" applyBorder="1" applyAlignment="1">
      <alignment wrapText="1"/>
    </xf>
    <xf numFmtId="0" fontId="150" fillId="25" borderId="15" xfId="0" applyFont="1" applyFill="1" applyBorder="1" applyAlignment="1">
      <alignment wrapText="1"/>
    </xf>
    <xf numFmtId="0" fontId="152" fillId="25" borderId="15" xfId="0" applyFont="1" applyFill="1" applyBorder="1" applyAlignment="1">
      <alignment horizontal="center" wrapText="1"/>
    </xf>
    <xf numFmtId="0" fontId="150" fillId="2" borderId="15" xfId="0" applyFont="1" applyFill="1" applyBorder="1" applyAlignment="1">
      <alignment wrapText="1"/>
    </xf>
    <xf numFmtId="0" fontId="152" fillId="25" borderId="15" xfId="0" applyFont="1" applyFill="1" applyBorder="1" applyAlignment="1">
      <alignment wrapText="1"/>
    </xf>
    <xf numFmtId="0" fontId="151" fillId="25" borderId="92" xfId="0" applyFont="1" applyFill="1" applyBorder="1" applyAlignment="1">
      <alignment wrapText="1"/>
    </xf>
    <xf numFmtId="0" fontId="147" fillId="25" borderId="92" xfId="0" applyFont="1" applyFill="1" applyBorder="1" applyAlignment="1">
      <alignment wrapText="1"/>
    </xf>
    <xf numFmtId="0" fontId="181" fillId="25" borderId="44" xfId="0" applyFont="1" applyFill="1" applyBorder="1" applyAlignment="1">
      <alignment horizontal="center" vertical="center" wrapText="1"/>
    </xf>
    <xf numFmtId="0" fontId="181" fillId="2" borderId="44" xfId="0" applyFont="1" applyFill="1" applyBorder="1" applyAlignment="1">
      <alignment horizontal="center" vertical="center" wrapText="1"/>
    </xf>
    <xf numFmtId="0" fontId="152" fillId="25" borderId="44" xfId="0" applyFont="1" applyFill="1" applyBorder="1" applyAlignment="1">
      <alignment horizontal="center" vertical="center" wrapText="1"/>
    </xf>
    <xf numFmtId="0" fontId="149" fillId="2" borderId="44" xfId="0" applyFont="1" applyFill="1" applyBorder="1" applyAlignment="1">
      <alignment vertical="top" wrapText="1"/>
    </xf>
    <xf numFmtId="0" fontId="151" fillId="2" borderId="44" xfId="0" applyFont="1" applyFill="1" applyBorder="1" applyAlignment="1">
      <alignment wrapText="1"/>
    </xf>
    <xf numFmtId="0" fontId="151" fillId="25" borderId="44" xfId="0" applyFont="1" applyFill="1" applyBorder="1" applyAlignment="1">
      <alignment wrapText="1"/>
    </xf>
    <xf numFmtId="0" fontId="150" fillId="2" borderId="44" xfId="0" applyFont="1" applyFill="1" applyBorder="1" applyAlignment="1">
      <alignment vertical="top" wrapText="1"/>
    </xf>
    <xf numFmtId="0" fontId="151" fillId="2" borderId="44" xfId="0" applyFont="1" applyFill="1" applyBorder="1" applyAlignment="1">
      <alignment horizontal="left" vertical="top" wrapText="1"/>
    </xf>
    <xf numFmtId="0" fontId="151" fillId="25" borderId="91" xfId="0" applyFont="1" applyFill="1" applyBorder="1" applyAlignment="1">
      <alignment horizontal="center" wrapText="1"/>
    </xf>
    <xf numFmtId="0" fontId="147" fillId="2" borderId="15" xfId="0" applyFont="1" applyFill="1" applyBorder="1" applyAlignment="1">
      <alignment vertical="center" wrapText="1"/>
    </xf>
    <xf numFmtId="0" fontId="151" fillId="2" borderId="15" xfId="0" applyFont="1" applyFill="1" applyBorder="1" applyAlignment="1">
      <alignment horizontal="left" vertical="center" wrapText="1"/>
    </xf>
    <xf numFmtId="0" fontId="13" fillId="2" borderId="92" xfId="0" applyFont="1" applyFill="1" applyBorder="1" applyAlignment="1">
      <alignment vertical="center" wrapText="1"/>
    </xf>
    <xf numFmtId="0" fontId="0" fillId="2" borderId="92" xfId="0" applyFill="1" applyBorder="1" applyAlignment="1">
      <alignment vertical="center" wrapText="1"/>
    </xf>
    <xf numFmtId="0" fontId="0" fillId="2" borderId="93" xfId="0" applyFill="1" applyBorder="1" applyAlignment="1">
      <alignment vertical="center" wrapText="1"/>
    </xf>
    <xf numFmtId="0" fontId="151" fillId="2" borderId="44" xfId="0" applyFont="1" applyFill="1" applyBorder="1" applyAlignment="1">
      <alignment vertical="center" wrapText="1"/>
    </xf>
    <xf numFmtId="0" fontId="148" fillId="2" borderId="44" xfId="0" applyFont="1" applyFill="1" applyBorder="1" applyAlignment="1">
      <alignment horizontal="center" vertical="center" wrapText="1"/>
    </xf>
    <xf numFmtId="0" fontId="13" fillId="2" borderId="91" xfId="0" applyFont="1" applyFill="1" applyBorder="1" applyAlignment="1">
      <alignment vertical="center" wrapText="1"/>
    </xf>
    <xf numFmtId="10" fontId="150" fillId="25" borderId="15" xfId="0" applyNumberFormat="1" applyFont="1" applyFill="1" applyBorder="1" applyAlignment="1">
      <alignment horizontal="center" vertical="center" wrapText="1"/>
    </xf>
    <xf numFmtId="0" fontId="11" fillId="25" borderId="92" xfId="0" applyFont="1" applyFill="1" applyBorder="1" applyAlignment="1">
      <alignment vertical="center" wrapText="1"/>
    </xf>
    <xf numFmtId="0" fontId="11" fillId="25" borderId="92" xfId="0" applyFont="1" applyFill="1" applyBorder="1"/>
    <xf numFmtId="0" fontId="0" fillId="25" borderId="92" xfId="0" applyFill="1" applyBorder="1"/>
    <xf numFmtId="0" fontId="0" fillId="25" borderId="93" xfId="0" applyFill="1" applyBorder="1"/>
    <xf numFmtId="0" fontId="150" fillId="2" borderId="44" xfId="0" applyFont="1" applyFill="1" applyBorder="1" applyAlignment="1">
      <alignment vertical="center" wrapText="1"/>
    </xf>
    <xf numFmtId="168" fontId="151" fillId="25" borderId="44" xfId="0" applyNumberFormat="1" applyFont="1" applyFill="1" applyBorder="1" applyAlignment="1">
      <alignment horizontal="left" vertical="top" wrapText="1"/>
    </xf>
    <xf numFmtId="0" fontId="150" fillId="25" borderId="44" xfId="0" applyFont="1" applyFill="1" applyBorder="1" applyAlignment="1">
      <alignment vertical="top" wrapText="1"/>
    </xf>
    <xf numFmtId="0" fontId="11" fillId="25" borderId="91" xfId="0" applyFont="1" applyFill="1" applyBorder="1" applyAlignment="1">
      <alignment vertical="center" wrapText="1"/>
    </xf>
    <xf numFmtId="174" fontId="203" fillId="27" borderId="144" xfId="0" applyNumberFormat="1" applyFont="1" applyFill="1" applyBorder="1" applyAlignment="1">
      <alignment horizontal="center" vertical="center" wrapText="1"/>
    </xf>
    <xf numFmtId="0" fontId="152" fillId="25" borderId="15" xfId="0" applyFont="1" applyFill="1" applyBorder="1" applyAlignment="1">
      <alignment horizontal="left" vertical="top" wrapText="1"/>
    </xf>
    <xf numFmtId="0" fontId="151" fillId="25" borderId="15" xfId="0" applyFont="1" applyFill="1" applyBorder="1" applyAlignment="1">
      <alignment horizontal="left" vertical="top" wrapText="1"/>
    </xf>
    <xf numFmtId="0" fontId="152" fillId="2" borderId="92" xfId="0" applyFont="1" applyFill="1" applyBorder="1" applyAlignment="1">
      <alignment horizontal="center" vertical="top" wrapText="1"/>
    </xf>
    <xf numFmtId="0" fontId="151" fillId="2" borderId="92" xfId="0" applyFont="1" applyFill="1" applyBorder="1" applyAlignment="1">
      <alignment vertical="top" wrapText="1"/>
    </xf>
    <xf numFmtId="0" fontId="147" fillId="2" borderId="92" xfId="0" applyFont="1" applyFill="1" applyBorder="1" applyAlignment="1">
      <alignment vertical="top" wrapText="1"/>
    </xf>
    <xf numFmtId="0" fontId="152" fillId="2" borderId="44" xfId="0" applyFont="1" applyFill="1" applyBorder="1" applyAlignment="1">
      <alignment horizontal="right" vertical="top" wrapText="1"/>
    </xf>
    <xf numFmtId="0" fontId="152" fillId="25" borderId="44" xfId="0" applyFont="1" applyFill="1" applyBorder="1" applyAlignment="1">
      <alignment horizontal="right" vertical="top" wrapText="1"/>
    </xf>
    <xf numFmtId="0" fontId="152" fillId="2" borderId="44" xfId="0" applyFont="1" applyFill="1" applyBorder="1" applyAlignment="1">
      <alignment horizontal="center" vertical="top" wrapText="1"/>
    </xf>
    <xf numFmtId="0" fontId="152" fillId="2" borderId="91" xfId="0" applyFont="1" applyFill="1" applyBorder="1" applyAlignment="1">
      <alignment horizontal="center" vertical="top" wrapText="1"/>
    </xf>
    <xf numFmtId="0" fontId="192" fillId="27" borderId="0" xfId="0" applyFont="1" applyFill="1" applyAlignment="1">
      <alignment horizontal="center"/>
    </xf>
    <xf numFmtId="0" fontId="35" fillId="25" borderId="15" xfId="0" applyFont="1" applyFill="1" applyBorder="1" applyAlignment="1">
      <alignment horizontal="center" vertical="top" wrapText="1"/>
    </xf>
    <xf numFmtId="0" fontId="35" fillId="2" borderId="15" xfId="0" applyFont="1" applyFill="1" applyBorder="1" applyAlignment="1">
      <alignment horizontal="center" vertical="center"/>
    </xf>
    <xf numFmtId="0" fontId="35" fillId="25" borderId="15" xfId="0" applyFont="1" applyFill="1" applyBorder="1" applyAlignment="1">
      <alignment horizontal="center" vertical="center"/>
    </xf>
    <xf numFmtId="0" fontId="75" fillId="2" borderId="15" xfId="0" applyFont="1" applyFill="1" applyBorder="1" applyAlignment="1">
      <alignment horizontal="center" vertical="center"/>
    </xf>
    <xf numFmtId="0" fontId="75" fillId="25" borderId="15" xfId="0" applyFont="1" applyFill="1" applyBorder="1" applyAlignment="1">
      <alignment horizontal="center" vertical="center"/>
    </xf>
    <xf numFmtId="0" fontId="5" fillId="2" borderId="33" xfId="0" applyFont="1" applyFill="1" applyBorder="1" applyAlignment="1">
      <alignment horizontal="center"/>
    </xf>
    <xf numFmtId="0" fontId="5" fillId="2" borderId="34" xfId="0" applyFont="1" applyFill="1" applyBorder="1" applyAlignment="1">
      <alignment horizontal="center"/>
    </xf>
    <xf numFmtId="0" fontId="5" fillId="25" borderId="36" xfId="0" applyFont="1" applyFill="1" applyBorder="1" applyAlignment="1">
      <alignment horizontal="center"/>
    </xf>
    <xf numFmtId="0" fontId="5" fillId="2" borderId="36" xfId="0" applyFont="1" applyFill="1" applyBorder="1" applyAlignment="1">
      <alignment horizontal="center"/>
    </xf>
    <xf numFmtId="0" fontId="5" fillId="25" borderId="38" xfId="0" applyFont="1" applyFill="1" applyBorder="1" applyAlignment="1">
      <alignment horizontal="center"/>
    </xf>
    <xf numFmtId="0" fontId="5" fillId="25" borderId="32" xfId="0" applyFont="1" applyFill="1" applyBorder="1" applyAlignment="1">
      <alignment horizontal="left"/>
    </xf>
    <xf numFmtId="0" fontId="30" fillId="25" borderId="32" xfId="0" applyFont="1" applyFill="1" applyBorder="1" applyAlignment="1">
      <alignment horizontal="center"/>
    </xf>
    <xf numFmtId="0" fontId="36" fillId="2" borderId="0" xfId="0" applyFont="1" applyFill="1"/>
    <xf numFmtId="0" fontId="36" fillId="25" borderId="0" xfId="0" applyFont="1" applyFill="1"/>
    <xf numFmtId="0" fontId="36" fillId="2" borderId="69" xfId="0" applyFont="1" applyFill="1" applyBorder="1"/>
    <xf numFmtId="0" fontId="36" fillId="25" borderId="69" xfId="0" applyFont="1" applyFill="1" applyBorder="1"/>
    <xf numFmtId="0" fontId="66" fillId="2" borderId="148" xfId="0" applyFont="1" applyFill="1" applyBorder="1" applyAlignment="1">
      <alignment horizontal="left"/>
    </xf>
    <xf numFmtId="0" fontId="36" fillId="2" borderId="74" xfId="0" applyFont="1" applyFill="1" applyBorder="1"/>
    <xf numFmtId="0" fontId="91" fillId="2" borderId="148" xfId="0" applyFont="1" applyFill="1" applyBorder="1" applyAlignment="1">
      <alignment horizontal="center"/>
    </xf>
    <xf numFmtId="0" fontId="36" fillId="2" borderId="75" xfId="0" applyFont="1" applyFill="1" applyBorder="1"/>
    <xf numFmtId="0" fontId="76" fillId="2" borderId="44" xfId="0" applyFont="1" applyFill="1" applyBorder="1" applyAlignment="1">
      <alignment horizontal="left" vertical="top" wrapText="1"/>
    </xf>
    <xf numFmtId="0" fontId="76" fillId="25" borderId="44" xfId="0" applyFont="1" applyFill="1" applyBorder="1" applyAlignment="1">
      <alignment horizontal="left" vertical="top" wrapText="1"/>
    </xf>
    <xf numFmtId="0" fontId="76" fillId="2" borderId="44" xfId="0" applyFont="1" applyFill="1" applyBorder="1" applyAlignment="1">
      <alignment vertical="top" wrapText="1"/>
    </xf>
    <xf numFmtId="0" fontId="78" fillId="2" borderId="44" xfId="0" applyFont="1" applyFill="1" applyBorder="1" applyAlignment="1">
      <alignment horizontal="left" vertical="top" wrapText="1"/>
    </xf>
    <xf numFmtId="0" fontId="76" fillId="25" borderId="44" xfId="0" applyFont="1" applyFill="1" applyBorder="1" applyAlignment="1">
      <alignment horizontal="center" vertical="center"/>
    </xf>
    <xf numFmtId="0" fontId="76" fillId="2" borderId="44" xfId="0" applyFont="1" applyFill="1" applyBorder="1" applyAlignment="1">
      <alignment horizontal="center" vertical="center" wrapText="1"/>
    </xf>
    <xf numFmtId="0" fontId="76" fillId="25" borderId="44" xfId="0" applyFont="1" applyFill="1" applyBorder="1" applyAlignment="1">
      <alignment vertical="top" wrapText="1"/>
    </xf>
    <xf numFmtId="0" fontId="66" fillId="25" borderId="44" xfId="0" applyFont="1" applyFill="1" applyBorder="1" applyAlignment="1">
      <alignment horizontal="center"/>
    </xf>
    <xf numFmtId="0" fontId="66" fillId="2" borderId="44" xfId="0" applyFont="1" applyFill="1" applyBorder="1" applyAlignment="1">
      <alignment horizontal="center"/>
    </xf>
    <xf numFmtId="0" fontId="66" fillId="25" borderId="45" xfId="0" applyFont="1" applyFill="1" applyBorder="1" applyAlignment="1">
      <alignment horizontal="center"/>
    </xf>
    <xf numFmtId="0" fontId="5" fillId="2" borderId="149" xfId="0" applyFont="1" applyFill="1" applyBorder="1" applyAlignment="1">
      <alignment horizontal="center"/>
    </xf>
    <xf numFmtId="0" fontId="67" fillId="25" borderId="150" xfId="0" applyFont="1" applyFill="1" applyBorder="1"/>
    <xf numFmtId="0" fontId="67" fillId="2" borderId="150" xfId="0" applyFont="1" applyFill="1" applyBorder="1"/>
    <xf numFmtId="0" fontId="67" fillId="25" borderId="39" xfId="0" applyFont="1" applyFill="1" applyBorder="1"/>
    <xf numFmtId="0" fontId="231" fillId="27" borderId="144" xfId="0" applyFont="1" applyFill="1" applyBorder="1" applyAlignment="1">
      <alignment horizontal="center" vertical="center" wrapText="1"/>
    </xf>
    <xf numFmtId="0" fontId="204" fillId="27" borderId="144" xfId="0" applyFont="1" applyFill="1" applyBorder="1" applyAlignment="1">
      <alignment horizontal="center" vertical="center"/>
    </xf>
    <xf numFmtId="0" fontId="192" fillId="27" borderId="151" xfId="0" applyFont="1" applyFill="1" applyBorder="1" applyAlignment="1">
      <alignment horizontal="center" vertical="center"/>
    </xf>
    <xf numFmtId="0" fontId="192" fillId="27" borderId="146" xfId="0" applyFont="1" applyFill="1" applyBorder="1" applyAlignment="1">
      <alignment horizontal="center" vertical="center"/>
    </xf>
    <xf numFmtId="0" fontId="195" fillId="27" borderId="152" xfId="0" applyFont="1" applyFill="1" applyBorder="1" applyAlignment="1">
      <alignment horizontal="center" vertical="center"/>
    </xf>
    <xf numFmtId="0" fontId="195" fillId="27" borderId="153" xfId="0" applyFont="1" applyFill="1" applyBorder="1" applyAlignment="1">
      <alignment horizontal="center" vertical="center"/>
    </xf>
    <xf numFmtId="0" fontId="195" fillId="27" borderId="154" xfId="0" applyFont="1" applyFill="1" applyBorder="1" applyAlignment="1">
      <alignment horizontal="center" vertical="center"/>
    </xf>
    <xf numFmtId="0" fontId="195" fillId="27" borderId="155" xfId="0" applyFont="1" applyFill="1" applyBorder="1" applyAlignment="1">
      <alignment horizontal="center" vertical="center"/>
    </xf>
    <xf numFmtId="0" fontId="232" fillId="2" borderId="0" xfId="0" applyFont="1" applyFill="1" applyAlignment="1">
      <alignment horizontal="left" vertical="center"/>
    </xf>
    <xf numFmtId="0" fontId="76" fillId="25" borderId="15" xfId="0" applyFont="1" applyFill="1" applyBorder="1" applyAlignment="1">
      <alignment vertical="center" wrapText="1"/>
    </xf>
    <xf numFmtId="0" fontId="34" fillId="25" borderId="15" xfId="0" applyFont="1" applyFill="1" applyBorder="1" applyAlignment="1">
      <alignment vertical="center" wrapText="1"/>
    </xf>
    <xf numFmtId="0" fontId="42" fillId="25" borderId="15" xfId="0" applyFont="1" applyFill="1" applyBorder="1" applyAlignment="1">
      <alignment vertical="center" wrapText="1"/>
    </xf>
    <xf numFmtId="0" fontId="75" fillId="25" borderId="15" xfId="0" applyFont="1" applyFill="1" applyBorder="1" applyAlignment="1">
      <alignment vertical="center" wrapText="1"/>
    </xf>
    <xf numFmtId="0" fontId="34" fillId="25" borderId="15" xfId="0" applyFont="1" applyFill="1" applyBorder="1" applyAlignment="1">
      <alignment vertical="center"/>
    </xf>
    <xf numFmtId="0" fontId="34" fillId="25" borderId="15" xfId="0" applyFont="1" applyFill="1" applyBorder="1" applyAlignment="1">
      <alignment horizontal="center" vertical="center"/>
    </xf>
    <xf numFmtId="0" fontId="76" fillId="25" borderId="15" xfId="0" applyFont="1" applyFill="1" applyBorder="1" applyAlignment="1">
      <alignment vertical="center"/>
    </xf>
    <xf numFmtId="0" fontId="34" fillId="2" borderId="67" xfId="0" applyFont="1" applyFill="1" applyBorder="1" applyAlignment="1">
      <alignment vertical="center" wrapText="1"/>
    </xf>
    <xf numFmtId="0" fontId="34" fillId="25" borderId="67" xfId="0" applyFont="1" applyFill="1" applyBorder="1" applyAlignment="1">
      <alignment vertical="center" wrapText="1"/>
    </xf>
    <xf numFmtId="0" fontId="34" fillId="25" borderId="67" xfId="0" applyFont="1" applyFill="1" applyBorder="1" applyAlignment="1">
      <alignment vertical="center"/>
    </xf>
    <xf numFmtId="0" fontId="34" fillId="2" borderId="67" xfId="0" applyFont="1" applyFill="1" applyBorder="1" applyAlignment="1">
      <alignment vertical="center"/>
    </xf>
    <xf numFmtId="0" fontId="76" fillId="25" borderId="44" xfId="0" applyFont="1" applyFill="1" applyBorder="1" applyAlignment="1">
      <alignment vertical="center" wrapText="1"/>
    </xf>
    <xf numFmtId="0" fontId="34" fillId="2" borderId="44" xfId="0" applyFont="1" applyFill="1" applyBorder="1" applyAlignment="1">
      <alignment vertical="center" wrapText="1"/>
    </xf>
    <xf numFmtId="0" fontId="40" fillId="25" borderId="44" xfId="0" applyFont="1" applyFill="1" applyBorder="1" applyAlignment="1">
      <alignment vertical="center" wrapText="1"/>
    </xf>
    <xf numFmtId="0" fontId="40" fillId="2" borderId="44" xfId="0" applyFont="1" applyFill="1" applyBorder="1" applyAlignment="1">
      <alignment vertical="center" wrapText="1"/>
    </xf>
    <xf numFmtId="0" fontId="75" fillId="2" borderId="44" xfId="0" applyFont="1" applyFill="1" applyBorder="1" applyAlignment="1">
      <alignment vertical="center" wrapText="1"/>
    </xf>
    <xf numFmtId="0" fontId="75" fillId="25" borderId="44" xfId="0" applyFont="1" applyFill="1" applyBorder="1" applyAlignment="1">
      <alignment vertical="center" wrapText="1"/>
    </xf>
    <xf numFmtId="0" fontId="34" fillId="25" borderId="44" xfId="0" applyFont="1" applyFill="1" applyBorder="1" applyAlignment="1">
      <alignment vertical="center"/>
    </xf>
    <xf numFmtId="0" fontId="34" fillId="2" borderId="44" xfId="0" applyFont="1" applyFill="1" applyBorder="1" applyAlignment="1">
      <alignment vertical="center"/>
    </xf>
    <xf numFmtId="0" fontId="76" fillId="25" borderId="44" xfId="0" applyFont="1" applyFill="1" applyBorder="1" applyAlignment="1">
      <alignment vertical="center"/>
    </xf>
    <xf numFmtId="0" fontId="76" fillId="2" borderId="44" xfId="0" applyFont="1" applyFill="1" applyBorder="1" applyAlignment="1">
      <alignment vertical="center"/>
    </xf>
    <xf numFmtId="0" fontId="225" fillId="27" borderId="144" xfId="0" applyFont="1" applyFill="1" applyBorder="1" applyAlignment="1">
      <alignment horizontal="center" vertical="center"/>
    </xf>
    <xf numFmtId="0" fontId="78" fillId="25" borderId="15" xfId="0" applyFont="1" applyFill="1" applyBorder="1" applyAlignment="1">
      <alignment vertical="center" wrapText="1"/>
    </xf>
    <xf numFmtId="0" fontId="63" fillId="2" borderId="15" xfId="0" applyFont="1" applyFill="1" applyBorder="1" applyAlignment="1">
      <alignment vertical="center" wrapText="1"/>
    </xf>
    <xf numFmtId="0" fontId="35" fillId="2" borderId="15" xfId="0" applyFont="1" applyFill="1" applyBorder="1" applyAlignment="1">
      <alignment vertical="center" wrapText="1"/>
    </xf>
    <xf numFmtId="0" fontId="81" fillId="25" borderId="15" xfId="0" applyFont="1" applyFill="1" applyBorder="1" applyAlignment="1">
      <alignment vertical="center" wrapText="1"/>
    </xf>
    <xf numFmtId="0" fontId="63" fillId="25" borderId="15" xfId="0" applyFont="1" applyFill="1" applyBorder="1" applyAlignment="1">
      <alignment vertical="center" wrapText="1"/>
    </xf>
    <xf numFmtId="0" fontId="35" fillId="25" borderId="15" xfId="0" applyFont="1" applyFill="1" applyBorder="1" applyAlignment="1">
      <alignment vertical="center" wrapText="1"/>
    </xf>
    <xf numFmtId="0" fontId="63" fillId="25" borderId="15" xfId="0" applyFont="1" applyFill="1" applyBorder="1" applyAlignment="1">
      <alignment vertical="center"/>
    </xf>
    <xf numFmtId="0" fontId="35" fillId="25" borderId="15" xfId="0" applyFont="1" applyFill="1" applyBorder="1" applyAlignment="1">
      <alignment vertical="center"/>
    </xf>
    <xf numFmtId="0" fontId="78" fillId="25" borderId="15" xfId="0" applyFont="1" applyFill="1" applyBorder="1" applyAlignment="1">
      <alignment vertical="center"/>
    </xf>
    <xf numFmtId="0" fontId="75" fillId="2" borderId="15" xfId="0" applyFont="1" applyFill="1" applyBorder="1" applyAlignment="1">
      <alignment vertical="center"/>
    </xf>
    <xf numFmtId="0" fontId="83" fillId="25" borderId="15" xfId="0" applyFont="1" applyFill="1" applyBorder="1" applyAlignment="1">
      <alignment vertical="center" wrapText="1"/>
    </xf>
    <xf numFmtId="0" fontId="81" fillId="25" borderId="15" xfId="0" applyFont="1" applyFill="1" applyBorder="1" applyAlignment="1">
      <alignment vertical="center"/>
    </xf>
    <xf numFmtId="0" fontId="35" fillId="2" borderId="15" xfId="0" applyFont="1" applyFill="1" applyBorder="1" applyAlignment="1">
      <alignment vertical="center"/>
    </xf>
    <xf numFmtId="0" fontId="75" fillId="25" borderId="15" xfId="0" applyFont="1" applyFill="1" applyBorder="1" applyAlignment="1">
      <alignment vertical="center"/>
    </xf>
    <xf numFmtId="0" fontId="67" fillId="25" borderId="15" xfId="0" applyFont="1" applyFill="1" applyBorder="1" applyAlignment="1">
      <alignment horizontal="center" vertical="center"/>
    </xf>
    <xf numFmtId="0" fontId="66" fillId="25" borderId="15" xfId="0" applyFont="1" applyFill="1" applyBorder="1" applyAlignment="1">
      <alignment horizontal="center" vertical="center" wrapText="1"/>
    </xf>
    <xf numFmtId="0" fontId="36" fillId="25" borderId="92" xfId="0" applyFont="1" applyFill="1" applyBorder="1" applyAlignment="1">
      <alignment vertical="center"/>
    </xf>
    <xf numFmtId="0" fontId="36" fillId="25" borderId="93" xfId="0" applyFont="1" applyFill="1" applyBorder="1" applyAlignment="1">
      <alignment vertical="center"/>
    </xf>
    <xf numFmtId="164" fontId="35" fillId="2" borderId="44" xfId="0" applyNumberFormat="1" applyFont="1" applyFill="1" applyBorder="1" applyAlignment="1">
      <alignment horizontal="center" vertical="center" wrapText="1"/>
    </xf>
    <xf numFmtId="164" fontId="75" fillId="25" borderId="44" xfId="0" applyNumberFormat="1" applyFont="1" applyFill="1" applyBorder="1" applyAlignment="1">
      <alignment horizontal="center" vertical="center" wrapText="1"/>
    </xf>
    <xf numFmtId="173" fontId="75" fillId="25" borderId="44" xfId="0" applyNumberFormat="1" applyFont="1" applyFill="1" applyBorder="1" applyAlignment="1">
      <alignment horizontal="center" vertical="center" wrapText="1"/>
    </xf>
    <xf numFmtId="173" fontId="75" fillId="2" borderId="44" xfId="0" applyNumberFormat="1" applyFont="1" applyFill="1" applyBorder="1" applyAlignment="1">
      <alignment horizontal="center" vertical="center" wrapText="1"/>
    </xf>
    <xf numFmtId="170" fontId="75" fillId="2" borderId="44" xfId="0" applyNumberFormat="1" applyFont="1" applyFill="1" applyBorder="1" applyAlignment="1">
      <alignment horizontal="center" vertical="center" wrapText="1"/>
    </xf>
    <xf numFmtId="170" fontId="75" fillId="25" borderId="44" xfId="0" applyNumberFormat="1" applyFont="1" applyFill="1" applyBorder="1" applyAlignment="1">
      <alignment horizontal="center" vertical="center" wrapText="1"/>
    </xf>
    <xf numFmtId="165" fontId="75" fillId="2" borderId="44" xfId="0" applyNumberFormat="1" applyFont="1" applyFill="1" applyBorder="1" applyAlignment="1">
      <alignment horizontal="center" vertical="center" wrapText="1"/>
    </xf>
    <xf numFmtId="165" fontId="75" fillId="25" borderId="44" xfId="0" applyNumberFormat="1" applyFont="1" applyFill="1" applyBorder="1" applyAlignment="1">
      <alignment horizontal="center" vertical="center" wrapText="1"/>
    </xf>
    <xf numFmtId="173" fontId="35" fillId="25" borderId="44" xfId="0" applyNumberFormat="1" applyFont="1" applyFill="1" applyBorder="1" applyAlignment="1">
      <alignment horizontal="center" vertical="center" wrapText="1"/>
    </xf>
    <xf numFmtId="164" fontId="75" fillId="2" borderId="44" xfId="0" applyNumberFormat="1" applyFont="1" applyFill="1" applyBorder="1" applyAlignment="1">
      <alignment horizontal="center" vertical="center" wrapText="1"/>
    </xf>
    <xf numFmtId="164" fontId="35" fillId="25" borderId="44" xfId="0" applyNumberFormat="1" applyFont="1" applyFill="1" applyBorder="1" applyAlignment="1">
      <alignment horizontal="center" vertical="center" wrapText="1"/>
    </xf>
    <xf numFmtId="164" fontId="75" fillId="2" borderId="44" xfId="0" applyNumberFormat="1" applyFont="1" applyFill="1" applyBorder="1" applyAlignment="1">
      <alignment horizontal="center" vertical="center"/>
    </xf>
    <xf numFmtId="164" fontId="75" fillId="25" borderId="44" xfId="0" applyNumberFormat="1" applyFont="1" applyFill="1" applyBorder="1" applyAlignment="1">
      <alignment horizontal="center" vertical="center"/>
    </xf>
    <xf numFmtId="2" fontId="75" fillId="2" borderId="44" xfId="0" applyNumberFormat="1" applyFont="1" applyFill="1" applyBorder="1" applyAlignment="1">
      <alignment horizontal="center" vertical="center"/>
    </xf>
    <xf numFmtId="2" fontId="75" fillId="25" borderId="44" xfId="0" applyNumberFormat="1" applyFont="1" applyFill="1" applyBorder="1" applyAlignment="1">
      <alignment horizontal="center" vertical="center"/>
    </xf>
    <xf numFmtId="173" fontId="75" fillId="2" borderId="44" xfId="0" applyNumberFormat="1" applyFont="1" applyFill="1" applyBorder="1" applyAlignment="1">
      <alignment horizontal="center" vertical="center"/>
    </xf>
    <xf numFmtId="173" fontId="75" fillId="25" borderId="44" xfId="0" applyNumberFormat="1" applyFont="1" applyFill="1" applyBorder="1" applyAlignment="1">
      <alignment horizontal="center" vertical="center"/>
    </xf>
    <xf numFmtId="0" fontId="35" fillId="25" borderId="0" xfId="0" applyFont="1" applyFill="1" applyAlignment="1">
      <alignment horizontal="center"/>
    </xf>
    <xf numFmtId="0" fontId="34" fillId="2" borderId="0" xfId="0" applyFont="1" applyFill="1" applyAlignment="1">
      <alignment wrapText="1"/>
    </xf>
    <xf numFmtId="0" fontId="34" fillId="25" borderId="0" xfId="0" applyFont="1" applyFill="1" applyAlignment="1">
      <alignment wrapText="1"/>
    </xf>
    <xf numFmtId="0" fontId="34" fillId="25" borderId="0" xfId="0" applyFont="1" applyFill="1"/>
    <xf numFmtId="0" fontId="34" fillId="2" borderId="0" xfId="0" applyFont="1" applyFill="1"/>
    <xf numFmtId="0" fontId="0" fillId="25" borderId="67" xfId="0" applyFill="1" applyBorder="1"/>
    <xf numFmtId="0" fontId="0" fillId="2" borderId="67" xfId="0" applyFill="1" applyBorder="1"/>
    <xf numFmtId="0" fontId="0" fillId="25" borderId="74" xfId="0" applyFill="1" applyBorder="1"/>
    <xf numFmtId="0" fontId="192" fillId="27" borderId="147" xfId="0" applyFont="1" applyFill="1" applyBorder="1" applyAlignment="1">
      <alignment horizontal="center" vertical="center"/>
    </xf>
    <xf numFmtId="173" fontId="66" fillId="2" borderId="15" xfId="0" applyNumberFormat="1" applyFont="1" applyFill="1" applyBorder="1" applyAlignment="1">
      <alignment horizontal="center" vertical="center" wrapText="1"/>
    </xf>
    <xf numFmtId="166" fontId="36" fillId="25" borderId="15" xfId="0" applyNumberFormat="1" applyFont="1" applyFill="1" applyBorder="1" applyAlignment="1">
      <alignment horizontal="right" vertical="center" wrapText="1"/>
    </xf>
    <xf numFmtId="173" fontId="36" fillId="25" borderId="15" xfId="0" applyNumberFormat="1" applyFont="1" applyFill="1" applyBorder="1" applyAlignment="1">
      <alignment horizontal="center" vertical="center" wrapText="1"/>
    </xf>
    <xf numFmtId="0" fontId="91" fillId="25" borderId="15" xfId="0" applyFont="1" applyFill="1" applyBorder="1" applyAlignment="1">
      <alignment vertical="center" wrapText="1"/>
    </xf>
    <xf numFmtId="166" fontId="36" fillId="25" borderId="15" xfId="0" applyNumberFormat="1" applyFont="1" applyFill="1" applyBorder="1" applyAlignment="1">
      <alignment horizontal="right" vertical="center"/>
    </xf>
    <xf numFmtId="173" fontId="36" fillId="25" borderId="15" xfId="0" applyNumberFormat="1" applyFont="1" applyFill="1" applyBorder="1" applyAlignment="1">
      <alignment horizontal="center" vertical="center"/>
    </xf>
    <xf numFmtId="0" fontId="69" fillId="25" borderId="15" xfId="0" applyFont="1" applyFill="1" applyBorder="1" applyAlignment="1">
      <alignment horizontal="center" vertical="center"/>
    </xf>
    <xf numFmtId="166" fontId="69" fillId="25" borderId="15" xfId="0" applyNumberFormat="1" applyFont="1" applyFill="1" applyBorder="1" applyAlignment="1">
      <alignment horizontal="right" vertical="center"/>
    </xf>
    <xf numFmtId="173" fontId="69" fillId="25" borderId="15" xfId="0" applyNumberFormat="1" applyFont="1" applyFill="1" applyBorder="1" applyAlignment="1">
      <alignment horizontal="center" vertical="center"/>
    </xf>
    <xf numFmtId="0" fontId="88" fillId="25" borderId="15" xfId="0" applyFont="1" applyFill="1" applyBorder="1" applyAlignment="1">
      <alignment horizontal="center" vertical="center"/>
    </xf>
    <xf numFmtId="0" fontId="60" fillId="25" borderId="15" xfId="0" applyFont="1" applyFill="1" applyBorder="1" applyAlignment="1">
      <alignment horizontal="center"/>
    </xf>
    <xf numFmtId="0" fontId="36" fillId="2" borderId="67" xfId="0" applyFont="1" applyFill="1" applyBorder="1" applyAlignment="1">
      <alignment horizontal="center" vertical="top" wrapText="1"/>
    </xf>
    <xf numFmtId="0" fontId="60" fillId="25" borderId="67" xfId="0" applyFont="1" applyFill="1" applyBorder="1" applyAlignment="1">
      <alignment horizontal="center"/>
    </xf>
    <xf numFmtId="0" fontId="5" fillId="2" borderId="92" xfId="0" applyFont="1" applyFill="1" applyBorder="1"/>
    <xf numFmtId="0" fontId="36" fillId="2" borderId="92" xfId="0" applyFont="1" applyFill="1" applyBorder="1" applyAlignment="1">
      <alignment horizontal="center"/>
    </xf>
    <xf numFmtId="166" fontId="30" fillId="2" borderId="92" xfId="0" applyNumberFormat="1" applyFont="1" applyFill="1" applyBorder="1" applyAlignment="1">
      <alignment horizontal="right"/>
    </xf>
    <xf numFmtId="173" fontId="30" fillId="2" borderId="92" xfId="0" applyNumberFormat="1" applyFont="1" applyFill="1" applyBorder="1" applyAlignment="1">
      <alignment horizontal="center"/>
    </xf>
    <xf numFmtId="0" fontId="36" fillId="2" borderId="44" xfId="0" applyFont="1" applyFill="1" applyBorder="1" applyAlignment="1">
      <alignment horizontal="center" vertical="center" wrapText="1"/>
    </xf>
    <xf numFmtId="0" fontId="36" fillId="25" borderId="44" xfId="0" applyFont="1" applyFill="1" applyBorder="1" applyAlignment="1">
      <alignment horizontal="center" vertical="center" wrapText="1"/>
    </xf>
    <xf numFmtId="0" fontId="60" fillId="25" borderId="44" xfId="0" applyFont="1" applyFill="1" applyBorder="1" applyAlignment="1">
      <alignment horizontal="center" vertical="center" wrapText="1"/>
    </xf>
    <xf numFmtId="0" fontId="69" fillId="2" borderId="44" xfId="0" applyFont="1" applyFill="1" applyBorder="1" applyAlignment="1">
      <alignment horizontal="center" vertical="center" wrapText="1"/>
    </xf>
    <xf numFmtId="0" fontId="90" fillId="2" borderId="44" xfId="0" applyFont="1" applyFill="1" applyBorder="1" applyAlignment="1">
      <alignment horizontal="center" vertical="center" wrapText="1"/>
    </xf>
    <xf numFmtId="0" fontId="90" fillId="25" borderId="44" xfId="0" applyFont="1" applyFill="1" applyBorder="1" applyAlignment="1">
      <alignment horizontal="center" vertical="center" wrapText="1"/>
    </xf>
    <xf numFmtId="0" fontId="90" fillId="25" borderId="44" xfId="0" applyFont="1" applyFill="1" applyBorder="1" applyAlignment="1">
      <alignment horizontal="center" vertical="center"/>
    </xf>
    <xf numFmtId="0" fontId="90" fillId="2" borderId="44" xfId="0" applyFont="1" applyFill="1" applyBorder="1" applyAlignment="1">
      <alignment horizontal="center" vertical="center"/>
    </xf>
    <xf numFmtId="0" fontId="92" fillId="25" borderId="44" xfId="0" applyFont="1" applyFill="1" applyBorder="1" applyAlignment="1">
      <alignment horizontal="center" vertical="center"/>
    </xf>
    <xf numFmtId="0" fontId="5" fillId="2" borderId="91" xfId="0" applyFont="1" applyFill="1" applyBorder="1"/>
    <xf numFmtId="10" fontId="195" fillId="27" borderId="144" xfId="0" applyNumberFormat="1" applyFont="1" applyFill="1" applyBorder="1" applyAlignment="1">
      <alignment horizontal="center" vertical="center" wrapText="1"/>
    </xf>
    <xf numFmtId="10" fontId="192" fillId="27" borderId="144" xfId="0" applyNumberFormat="1" applyFont="1" applyFill="1" applyBorder="1" applyAlignment="1">
      <alignment horizontal="center" vertical="center" wrapText="1"/>
    </xf>
    <xf numFmtId="10" fontId="192" fillId="27" borderId="144" xfId="0" applyNumberFormat="1" applyFont="1" applyFill="1" applyBorder="1" applyAlignment="1">
      <alignment horizontal="center" vertical="center"/>
    </xf>
    <xf numFmtId="16" fontId="36" fillId="2" borderId="0" xfId="0" applyNumberFormat="1" applyFont="1" applyFill="1" applyAlignment="1">
      <alignment wrapText="1"/>
    </xf>
    <xf numFmtId="16" fontId="36" fillId="25" borderId="0" xfId="0" applyNumberFormat="1" applyFont="1" applyFill="1" applyAlignment="1">
      <alignment wrapText="1"/>
    </xf>
    <xf numFmtId="14" fontId="36" fillId="2" borderId="0" xfId="0" applyNumberFormat="1" applyFont="1" applyFill="1" applyAlignment="1">
      <alignment wrapText="1"/>
    </xf>
    <xf numFmtId="14" fontId="36" fillId="25" borderId="0" xfId="0" applyNumberFormat="1" applyFont="1" applyFill="1" applyAlignment="1">
      <alignment wrapText="1"/>
    </xf>
    <xf numFmtId="0" fontId="192" fillId="27" borderId="146" xfId="0" applyFont="1" applyFill="1" applyBorder="1" applyAlignment="1">
      <alignment horizontal="center" vertical="center" wrapText="1"/>
    </xf>
    <xf numFmtId="0" fontId="195" fillId="27" borderId="146" xfId="0" applyFont="1" applyFill="1" applyBorder="1" applyAlignment="1">
      <alignment horizontal="center" vertical="center" wrapText="1"/>
    </xf>
    <xf numFmtId="14" fontId="192" fillId="27" borderId="146" xfId="0" applyNumberFormat="1" applyFont="1" applyFill="1" applyBorder="1" applyAlignment="1">
      <alignment horizontal="center" vertical="center" wrapText="1"/>
    </xf>
    <xf numFmtId="0" fontId="192" fillId="27" borderId="147" xfId="0" applyFont="1" applyFill="1" applyBorder="1" applyAlignment="1">
      <alignment horizontal="center" vertical="center" wrapText="1"/>
    </xf>
    <xf numFmtId="0" fontId="203" fillId="27" borderId="127" xfId="0" applyFont="1" applyFill="1" applyBorder="1" applyAlignment="1">
      <alignment horizontal="center" vertical="center"/>
    </xf>
    <xf numFmtId="0" fontId="204" fillId="27" borderId="127" xfId="0" applyFont="1" applyFill="1" applyBorder="1" applyAlignment="1">
      <alignment horizontal="center" vertical="center" wrapText="1"/>
    </xf>
    <xf numFmtId="0" fontId="192" fillId="27" borderId="127" xfId="0" applyFont="1" applyFill="1" applyBorder="1" applyAlignment="1">
      <alignment horizontal="center" vertical="center" wrapText="1"/>
    </xf>
    <xf numFmtId="0" fontId="192" fillId="27" borderId="128" xfId="0" applyFont="1" applyFill="1" applyBorder="1" applyAlignment="1">
      <alignment horizontal="center" vertical="center" wrapText="1"/>
    </xf>
    <xf numFmtId="0" fontId="208" fillId="31" borderId="128" xfId="0" applyFont="1" applyFill="1" applyBorder="1" applyAlignment="1">
      <alignment horizontal="center" vertical="center" wrapText="1"/>
    </xf>
    <xf numFmtId="0" fontId="192" fillId="27" borderId="127" xfId="0" applyFont="1" applyFill="1" applyBorder="1" applyAlignment="1">
      <alignment horizontal="center" vertical="center"/>
    </xf>
    <xf numFmtId="0" fontId="204" fillId="27" borderId="146" xfId="0" applyFont="1" applyFill="1" applyBorder="1" applyAlignment="1">
      <alignment horizontal="center" vertical="center"/>
    </xf>
    <xf numFmtId="0" fontId="204" fillId="31" borderId="146" xfId="0" applyFont="1" applyFill="1" applyBorder="1" applyAlignment="1">
      <alignment horizontal="center" vertical="center" wrapText="1"/>
    </xf>
    <xf numFmtId="0" fontId="204" fillId="27" borderId="146" xfId="0" applyFont="1" applyFill="1" applyBorder="1" applyAlignment="1">
      <alignment horizontal="center" vertical="center" wrapText="1"/>
    </xf>
    <xf numFmtId="0" fontId="192" fillId="31" borderId="146" xfId="0" applyFont="1" applyFill="1" applyBorder="1" applyAlignment="1">
      <alignment horizontal="center" vertical="center"/>
    </xf>
    <xf numFmtId="0" fontId="204" fillId="31" borderId="146" xfId="0" applyFont="1" applyFill="1" applyBorder="1" applyAlignment="1">
      <alignment horizontal="center" vertical="center"/>
    </xf>
    <xf numFmtId="0" fontId="225" fillId="31" borderId="144" xfId="0" applyFont="1" applyFill="1" applyBorder="1" applyAlignment="1">
      <alignment horizontal="center" vertical="center" wrapText="1"/>
    </xf>
    <xf numFmtId="0" fontId="204" fillId="31" borderId="144" xfId="0" applyFont="1" applyFill="1" applyBorder="1" applyAlignment="1">
      <alignment horizontal="center" vertical="center" wrapText="1"/>
    </xf>
    <xf numFmtId="0" fontId="192" fillId="31" borderId="144" xfId="0" applyFont="1" applyFill="1" applyBorder="1" applyAlignment="1">
      <alignment horizontal="center" vertical="center"/>
    </xf>
    <xf numFmtId="0" fontId="210" fillId="27" borderId="112" xfId="0" applyFont="1" applyFill="1" applyBorder="1" applyAlignment="1">
      <alignment horizontal="left" vertical="center" indent="1"/>
    </xf>
    <xf numFmtId="0" fontId="210" fillId="27" borderId="113" xfId="0" applyFont="1" applyFill="1" applyBorder="1" applyAlignment="1">
      <alignment horizontal="left" vertical="center" indent="1"/>
    </xf>
    <xf numFmtId="0" fontId="210" fillId="27" borderId="156" xfId="0" applyFont="1" applyFill="1" applyBorder="1" applyAlignment="1">
      <alignment horizontal="left" vertical="center" indent="1"/>
    </xf>
    <xf numFmtId="0" fontId="150" fillId="31" borderId="128" xfId="0" applyFont="1" applyFill="1" applyBorder="1" applyAlignment="1">
      <alignment horizontal="center" vertical="center" wrapText="1"/>
    </xf>
    <xf numFmtId="0" fontId="203" fillId="27" borderId="61" xfId="0" applyFont="1" applyFill="1" applyBorder="1" applyAlignment="1">
      <alignment horizontal="center" vertical="center" wrapText="1"/>
    </xf>
    <xf numFmtId="0" fontId="4" fillId="31" borderId="128" xfId="0" applyFont="1" applyFill="1" applyBorder="1" applyAlignment="1">
      <alignment horizontal="center" vertical="center"/>
    </xf>
    <xf numFmtId="0" fontId="195" fillId="31" borderId="19" xfId="0" applyFont="1" applyFill="1" applyBorder="1" applyAlignment="1">
      <alignment horizontal="center"/>
    </xf>
    <xf numFmtId="0" fontId="195" fillId="27" borderId="19" xfId="0" applyFont="1" applyFill="1" applyBorder="1" applyAlignment="1">
      <alignment horizontal="center"/>
    </xf>
    <xf numFmtId="1" fontId="196" fillId="27" borderId="19" xfId="0" applyNumberFormat="1" applyFont="1" applyFill="1" applyBorder="1" applyAlignment="1">
      <alignment horizontal="center" wrapText="1"/>
    </xf>
    <xf numFmtId="0" fontId="132" fillId="2" borderId="15" xfId="0" applyFont="1" applyFill="1" applyBorder="1" applyAlignment="1">
      <alignment horizontal="center"/>
    </xf>
    <xf numFmtId="0" fontId="133" fillId="2" borderId="15" xfId="0" applyFont="1" applyFill="1" applyBorder="1" applyAlignment="1">
      <alignment horizontal="center"/>
    </xf>
    <xf numFmtId="0" fontId="134" fillId="25" borderId="15" xfId="0" applyFont="1" applyFill="1" applyBorder="1" applyAlignment="1">
      <alignment horizontal="center"/>
    </xf>
    <xf numFmtId="0" fontId="134" fillId="25" borderId="15" xfId="0" applyFont="1" applyFill="1" applyBorder="1"/>
    <xf numFmtId="169" fontId="130" fillId="25" borderId="15" xfId="0" applyNumberFormat="1" applyFont="1" applyFill="1" applyBorder="1" applyAlignment="1">
      <alignment horizontal="right"/>
    </xf>
    <xf numFmtId="179" fontId="21" fillId="25" borderId="15" xfId="0" applyNumberFormat="1" applyFont="1" applyFill="1" applyBorder="1" applyAlignment="1">
      <alignment horizontal="right"/>
    </xf>
    <xf numFmtId="0" fontId="135" fillId="2" borderId="15" xfId="0" applyFont="1" applyFill="1" applyBorder="1" applyAlignment="1">
      <alignment horizontal="center"/>
    </xf>
    <xf numFmtId="0" fontId="135" fillId="2" borderId="15" xfId="0" applyFont="1" applyFill="1" applyBorder="1"/>
    <xf numFmtId="179" fontId="135" fillId="2" borderId="15" xfId="0" applyNumberFormat="1" applyFont="1" applyFill="1" applyBorder="1" applyAlignment="1">
      <alignment horizontal="right"/>
    </xf>
    <xf numFmtId="169" fontId="135" fillId="2" borderId="15" xfId="0" applyNumberFormat="1" applyFont="1" applyFill="1" applyBorder="1" applyAlignment="1">
      <alignment horizontal="right"/>
    </xf>
    <xf numFmtId="179" fontId="24" fillId="2" borderId="15" xfId="0" applyNumberFormat="1" applyFont="1" applyFill="1" applyBorder="1" applyAlignment="1">
      <alignment horizontal="right"/>
    </xf>
    <xf numFmtId="0" fontId="136" fillId="25" borderId="15" xfId="0" applyFont="1" applyFill="1" applyBorder="1" applyAlignment="1">
      <alignment horizontal="center"/>
    </xf>
    <xf numFmtId="0" fontId="136" fillId="25" borderId="15" xfId="0" applyFont="1" applyFill="1" applyBorder="1"/>
    <xf numFmtId="179" fontId="136" fillId="25" borderId="15" xfId="0" applyNumberFormat="1" applyFont="1" applyFill="1" applyBorder="1" applyAlignment="1">
      <alignment horizontal="right"/>
    </xf>
    <xf numFmtId="169" fontId="136" fillId="25" borderId="15" xfId="0" applyNumberFormat="1" applyFont="1" applyFill="1" applyBorder="1" applyAlignment="1">
      <alignment horizontal="right"/>
    </xf>
    <xf numFmtId="179" fontId="137" fillId="25" borderId="15" xfId="0" applyNumberFormat="1" applyFont="1" applyFill="1" applyBorder="1" applyAlignment="1">
      <alignment horizontal="right"/>
    </xf>
    <xf numFmtId="1" fontId="22" fillId="2" borderId="15" xfId="0" applyNumberFormat="1" applyFont="1" applyFill="1" applyBorder="1" applyAlignment="1">
      <alignment horizontal="right"/>
    </xf>
    <xf numFmtId="0" fontId="135" fillId="25" borderId="17" xfId="0" applyFont="1" applyFill="1" applyBorder="1" applyAlignment="1">
      <alignment horizontal="center"/>
    </xf>
    <xf numFmtId="0" fontId="135" fillId="25" borderId="17" xfId="0" applyFont="1" applyFill="1" applyBorder="1"/>
    <xf numFmtId="179" fontId="135" fillId="25" borderId="17" xfId="0" applyNumberFormat="1" applyFont="1" applyFill="1" applyBorder="1" applyAlignment="1">
      <alignment horizontal="right"/>
    </xf>
    <xf numFmtId="169" fontId="135" fillId="25" borderId="17" xfId="0" applyNumberFormat="1" applyFont="1" applyFill="1" applyBorder="1" applyAlignment="1">
      <alignment horizontal="right"/>
    </xf>
    <xf numFmtId="179" fontId="24" fillId="25" borderId="17" xfId="0" applyNumberFormat="1" applyFont="1" applyFill="1" applyBorder="1" applyAlignment="1">
      <alignment horizontal="right"/>
    </xf>
    <xf numFmtId="1" fontId="22" fillId="25" borderId="17" xfId="0" applyNumberFormat="1" applyFont="1" applyFill="1" applyBorder="1" applyAlignment="1">
      <alignment horizontal="right"/>
    </xf>
    <xf numFmtId="0" fontId="5" fillId="25" borderId="17" xfId="0" applyFont="1" applyFill="1" applyBorder="1" applyAlignment="1">
      <alignment horizontal="center"/>
    </xf>
    <xf numFmtId="0" fontId="195" fillId="31" borderId="20" xfId="0" applyFont="1" applyFill="1" applyBorder="1" applyAlignment="1">
      <alignment horizontal="center"/>
    </xf>
    <xf numFmtId="0" fontId="150" fillId="32" borderId="173" xfId="0" applyFont="1" applyFill="1" applyBorder="1" applyAlignment="1">
      <alignment horizontal="center" vertical="center" wrapText="1"/>
    </xf>
    <xf numFmtId="0" fontId="150" fillId="32" borderId="113" xfId="0" applyFont="1" applyFill="1" applyBorder="1" applyAlignment="1">
      <alignment horizontal="center" vertical="center" wrapText="1"/>
    </xf>
    <xf numFmtId="0" fontId="150" fillId="32" borderId="156" xfId="0" applyFont="1" applyFill="1" applyBorder="1" applyAlignment="1">
      <alignment horizontal="center" vertical="center" wrapText="1"/>
    </xf>
    <xf numFmtId="0" fontId="150" fillId="31" borderId="127" xfId="0" applyFont="1" applyFill="1" applyBorder="1" applyAlignment="1">
      <alignment horizontal="center" vertical="center" wrapText="1"/>
    </xf>
    <xf numFmtId="0" fontId="150" fillId="31" borderId="76" xfId="0" applyFont="1" applyFill="1" applyBorder="1" applyAlignment="1">
      <alignment horizontal="center" wrapText="1"/>
    </xf>
    <xf numFmtId="0" fontId="208" fillId="30" borderId="46" xfId="0" applyFont="1" applyFill="1" applyBorder="1" applyAlignment="1">
      <alignment horizontal="center" vertical="center" wrapText="1"/>
    </xf>
    <xf numFmtId="0" fontId="167" fillId="25" borderId="0" xfId="0" applyFont="1" applyFill="1"/>
    <xf numFmtId="0" fontId="208" fillId="31" borderId="0" xfId="0" applyFont="1" applyFill="1" applyAlignment="1">
      <alignment horizontal="center"/>
    </xf>
    <xf numFmtId="0" fontId="208" fillId="27" borderId="0" xfId="0" applyFont="1" applyFill="1" applyAlignment="1">
      <alignment horizontal="center"/>
    </xf>
    <xf numFmtId="0" fontId="203" fillId="27" borderId="0" xfId="0" applyFont="1" applyFill="1" applyAlignment="1">
      <alignment horizontal="center"/>
    </xf>
    <xf numFmtId="0" fontId="74" fillId="2" borderId="44" xfId="0" applyFont="1" applyFill="1" applyBorder="1" applyAlignment="1">
      <alignment horizontal="center" vertical="center" wrapText="1"/>
    </xf>
    <xf numFmtId="0" fontId="74" fillId="2" borderId="15" xfId="0" applyFont="1" applyFill="1" applyBorder="1" applyAlignment="1">
      <alignment horizontal="center" vertical="center" wrapText="1"/>
    </xf>
    <xf numFmtId="0" fontId="74" fillId="2" borderId="67" xfId="0" applyFont="1" applyFill="1" applyBorder="1" applyAlignment="1">
      <alignment horizontal="center" vertical="center" wrapText="1"/>
    </xf>
    <xf numFmtId="10" fontId="40" fillId="2" borderId="44" xfId="0" applyNumberFormat="1" applyFont="1" applyFill="1" applyBorder="1" applyAlignment="1">
      <alignment vertical="center" wrapText="1"/>
    </xf>
    <xf numFmtId="0" fontId="40" fillId="25" borderId="44" xfId="0" applyFont="1" applyFill="1" applyBorder="1" applyAlignment="1">
      <alignment horizontal="right" vertical="center" wrapText="1"/>
    </xf>
    <xf numFmtId="0" fontId="42" fillId="25" borderId="44" xfId="0" applyFont="1" applyFill="1" applyBorder="1" applyAlignment="1">
      <alignment vertical="center" wrapText="1"/>
    </xf>
    <xf numFmtId="0" fontId="77" fillId="2" borderId="15" xfId="0" applyFont="1" applyFill="1" applyBorder="1" applyAlignment="1">
      <alignment vertical="center" wrapText="1"/>
    </xf>
    <xf numFmtId="0" fontId="225" fillId="31" borderId="144" xfId="0" applyFont="1" applyFill="1" applyBorder="1" applyAlignment="1">
      <alignment horizontal="center" vertical="center"/>
    </xf>
    <xf numFmtId="0" fontId="204" fillId="31" borderId="144" xfId="0" applyFont="1" applyFill="1" applyBorder="1" applyAlignment="1">
      <alignment horizontal="center" vertical="center"/>
    </xf>
    <xf numFmtId="0" fontId="40" fillId="25" borderId="91" xfId="0" applyFont="1" applyFill="1" applyBorder="1" applyAlignment="1">
      <alignment vertical="center" wrapText="1"/>
    </xf>
    <xf numFmtId="0" fontId="42" fillId="25" borderId="92" xfId="0" applyFont="1" applyFill="1" applyBorder="1" applyAlignment="1">
      <alignment horizontal="center" vertical="center" wrapText="1"/>
    </xf>
    <xf numFmtId="0" fontId="42" fillId="25" borderId="92" xfId="0" applyFont="1" applyFill="1" applyBorder="1" applyAlignment="1">
      <alignment vertical="center" wrapText="1"/>
    </xf>
    <xf numFmtId="0" fontId="34" fillId="25" borderId="92" xfId="0" applyFont="1" applyFill="1" applyBorder="1" applyAlignment="1">
      <alignment vertical="center"/>
    </xf>
    <xf numFmtId="0" fontId="34" fillId="25" borderId="93" xfId="0" applyFont="1" applyFill="1" applyBorder="1" applyAlignment="1">
      <alignment vertical="center"/>
    </xf>
    <xf numFmtId="0" fontId="225" fillId="31" borderId="145" xfId="0" applyFont="1" applyFill="1" applyBorder="1" applyAlignment="1">
      <alignment horizontal="center" vertical="center" wrapText="1"/>
    </xf>
    <xf numFmtId="10" fontId="146" fillId="25" borderId="44" xfId="0" applyNumberFormat="1" applyFont="1" applyFill="1" applyBorder="1" applyAlignment="1">
      <alignment horizontal="center" vertical="center" wrapText="1"/>
    </xf>
    <xf numFmtId="0" fontId="146" fillId="25" borderId="15" xfId="0" applyFont="1" applyFill="1" applyBorder="1" applyAlignment="1">
      <alignment horizontal="center" vertical="center" wrapText="1"/>
    </xf>
    <xf numFmtId="0" fontId="75" fillId="2" borderId="44" xfId="0" applyFont="1" applyFill="1" applyBorder="1" applyAlignment="1">
      <alignment horizontal="center" vertical="center" wrapText="1"/>
    </xf>
    <xf numFmtId="2" fontId="75" fillId="25" borderId="44" xfId="0" applyNumberFormat="1" applyFont="1" applyFill="1" applyBorder="1" applyAlignment="1">
      <alignment horizontal="center" vertical="center" wrapText="1"/>
    </xf>
    <xf numFmtId="173" fontId="79" fillId="2" borderId="44" xfId="0" applyNumberFormat="1" applyFont="1" applyFill="1" applyBorder="1" applyAlignment="1">
      <alignment horizontal="center" vertical="center" wrapText="1"/>
    </xf>
    <xf numFmtId="173" fontId="80" fillId="2" borderId="44" xfId="0" applyNumberFormat="1" applyFont="1" applyFill="1" applyBorder="1" applyAlignment="1">
      <alignment vertical="center" wrapText="1"/>
    </xf>
    <xf numFmtId="14" fontId="75" fillId="25" borderId="15" xfId="0" applyNumberFormat="1" applyFont="1" applyFill="1" applyBorder="1" applyAlignment="1">
      <alignment horizontal="center" vertical="center" wrapText="1"/>
    </xf>
    <xf numFmtId="0" fontId="82" fillId="25" borderId="15" xfId="0" applyFont="1" applyFill="1" applyBorder="1" applyAlignment="1">
      <alignment vertical="center" wrapText="1"/>
    </xf>
    <xf numFmtId="0" fontId="84" fillId="25" borderId="15" xfId="0" applyFont="1" applyFill="1" applyBorder="1" applyAlignment="1">
      <alignment horizontal="center" vertical="center" wrapText="1"/>
    </xf>
    <xf numFmtId="173" fontId="75" fillId="25" borderId="44" xfId="0" applyNumberFormat="1" applyFont="1" applyFill="1" applyBorder="1" applyAlignment="1">
      <alignment vertical="center" wrapText="1"/>
    </xf>
    <xf numFmtId="173" fontId="35" fillId="2" borderId="44" xfId="0" applyNumberFormat="1" applyFont="1" applyFill="1" applyBorder="1" applyAlignment="1">
      <alignment horizontal="center" vertical="center"/>
    </xf>
    <xf numFmtId="2" fontId="35" fillId="2" borderId="44" xfId="0" applyNumberFormat="1" applyFont="1" applyFill="1" applyBorder="1" applyAlignment="1">
      <alignment horizontal="center" vertical="center" wrapText="1"/>
    </xf>
    <xf numFmtId="2" fontId="35" fillId="25" borderId="44" xfId="0" applyNumberFormat="1" applyFont="1" applyFill="1" applyBorder="1" applyAlignment="1">
      <alignment horizontal="center" vertical="center"/>
    </xf>
    <xf numFmtId="2" fontId="75" fillId="2" borderId="44" xfId="0" applyNumberFormat="1" applyFont="1" applyFill="1" applyBorder="1" applyAlignment="1">
      <alignment vertical="center"/>
    </xf>
    <xf numFmtId="165" fontId="75" fillId="2" borderId="44" xfId="0" applyNumberFormat="1" applyFont="1" applyFill="1" applyBorder="1" applyAlignment="1">
      <alignment horizontal="center" vertical="center"/>
    </xf>
    <xf numFmtId="173" fontId="76" fillId="2" borderId="44" xfId="0" applyNumberFormat="1" applyFont="1" applyFill="1" applyBorder="1" applyAlignment="1">
      <alignment vertical="center"/>
    </xf>
    <xf numFmtId="173" fontId="85" fillId="2" borderId="44" xfId="0" applyNumberFormat="1" applyFont="1" applyFill="1" applyBorder="1" applyAlignment="1">
      <alignment vertical="center" wrapText="1"/>
    </xf>
    <xf numFmtId="0" fontId="85" fillId="2" borderId="44" xfId="0" applyFont="1" applyFill="1" applyBorder="1" applyAlignment="1">
      <alignment vertical="center" wrapText="1"/>
    </xf>
    <xf numFmtId="0" fontId="67" fillId="2" borderId="44" xfId="0" applyFont="1" applyFill="1" applyBorder="1" applyAlignment="1">
      <alignment horizontal="center" vertical="center"/>
    </xf>
    <xf numFmtId="0" fontId="60" fillId="25" borderId="15" xfId="0" applyFont="1" applyFill="1" applyBorder="1" applyAlignment="1">
      <alignment horizontal="center" vertical="center"/>
    </xf>
    <xf numFmtId="0" fontId="203" fillId="31" borderId="146" xfId="0" applyFont="1" applyFill="1" applyBorder="1" applyAlignment="1">
      <alignment horizontal="center" vertical="center" wrapText="1"/>
    </xf>
    <xf numFmtId="0" fontId="147" fillId="25" borderId="74" xfId="0" applyFont="1" applyFill="1" applyBorder="1" applyAlignment="1">
      <alignment wrapText="1"/>
    </xf>
    <xf numFmtId="0" fontId="36" fillId="25" borderId="74" xfId="0" applyFont="1" applyFill="1" applyBorder="1" applyAlignment="1">
      <alignment wrapText="1"/>
    </xf>
    <xf numFmtId="0" fontId="36" fillId="25" borderId="75" xfId="0" applyFont="1" applyFill="1" applyBorder="1" applyAlignment="1">
      <alignment wrapText="1"/>
    </xf>
    <xf numFmtId="0" fontId="203" fillId="31" borderId="147" xfId="0" applyFont="1" applyFill="1" applyBorder="1" applyAlignment="1">
      <alignment horizontal="center" vertical="center" wrapText="1"/>
    </xf>
    <xf numFmtId="0" fontId="206" fillId="37" borderId="168" xfId="0" applyFont="1" applyFill="1" applyBorder="1" applyAlignment="1">
      <alignment horizontal="center" vertical="center" wrapText="1"/>
    </xf>
    <xf numFmtId="0" fontId="206" fillId="37" borderId="115" xfId="0" applyFont="1" applyFill="1" applyBorder="1" applyAlignment="1">
      <alignment horizontal="center" vertical="center" wrapText="1"/>
    </xf>
    <xf numFmtId="0" fontId="206" fillId="37" borderId="115" xfId="0" applyFont="1" applyFill="1" applyBorder="1" applyAlignment="1">
      <alignment horizontal="right" vertical="center" wrapText="1"/>
    </xf>
    <xf numFmtId="0" fontId="206" fillId="37" borderId="116" xfId="0" applyFont="1" applyFill="1" applyBorder="1" applyAlignment="1">
      <alignment horizontal="center" vertical="center" wrapText="1"/>
    </xf>
    <xf numFmtId="0" fontId="206" fillId="32" borderId="173" xfId="0" applyFont="1" applyFill="1" applyBorder="1" applyAlignment="1">
      <alignment horizontal="center" vertical="center" wrapText="1"/>
    </xf>
    <xf numFmtId="0" fontId="206" fillId="32" borderId="113" xfId="0" applyFont="1" applyFill="1" applyBorder="1" applyAlignment="1">
      <alignment horizontal="center" vertical="center" wrapText="1"/>
    </xf>
    <xf numFmtId="0" fontId="206" fillId="32" borderId="156" xfId="0" applyFont="1" applyFill="1" applyBorder="1" applyAlignment="1">
      <alignment horizontal="center" vertical="center" wrapText="1"/>
    </xf>
    <xf numFmtId="0" fontId="233" fillId="35" borderId="112" xfId="0" applyFont="1" applyFill="1" applyBorder="1" applyAlignment="1">
      <alignment horizontal="left" vertical="center"/>
    </xf>
    <xf numFmtId="0" fontId="233" fillId="35" borderId="113" xfId="0" applyFont="1" applyFill="1" applyBorder="1" applyAlignment="1">
      <alignment horizontal="left" vertical="center"/>
    </xf>
    <xf numFmtId="0" fontId="233" fillId="35" borderId="156" xfId="0" applyFont="1" applyFill="1" applyBorder="1" applyAlignment="1">
      <alignment horizontal="left" vertical="center"/>
    </xf>
    <xf numFmtId="0" fontId="242" fillId="38" borderId="173" xfId="0" applyFont="1" applyFill="1" applyBorder="1" applyAlignment="1">
      <alignment horizontal="left" vertical="top" wrapText="1" indent="1"/>
    </xf>
    <xf numFmtId="0" fontId="242" fillId="38" borderId="113" xfId="0" applyFont="1" applyFill="1" applyBorder="1" applyAlignment="1">
      <alignment horizontal="left" vertical="top" wrapText="1" indent="1"/>
    </xf>
    <xf numFmtId="0" fontId="242" fillId="38" borderId="156" xfId="0" applyFont="1" applyFill="1" applyBorder="1" applyAlignment="1">
      <alignment horizontal="left" vertical="top" wrapText="1" indent="1"/>
    </xf>
    <xf numFmtId="0" fontId="243" fillId="22" borderId="114" xfId="0" applyFont="1" applyFill="1" applyBorder="1" applyAlignment="1">
      <alignment horizontal="center" vertical="center" wrapText="1"/>
    </xf>
    <xf numFmtId="0" fontId="243" fillId="22" borderId="115" xfId="0" applyFont="1" applyFill="1" applyBorder="1" applyAlignment="1">
      <alignment horizontal="center" vertical="center" wrapText="1"/>
    </xf>
    <xf numFmtId="0" fontId="243" fillId="22" borderId="116" xfId="0" applyFont="1" applyFill="1" applyBorder="1" applyAlignment="1">
      <alignment horizontal="center" vertical="center" wrapText="1"/>
    </xf>
    <xf numFmtId="0" fontId="247" fillId="28" borderId="84" xfId="0" applyFont="1" applyFill="1" applyBorder="1" applyAlignment="1">
      <alignment horizontal="center" vertical="center"/>
    </xf>
    <xf numFmtId="0" fontId="140" fillId="30" borderId="117" xfId="0" applyFont="1" applyFill="1" applyBorder="1" applyAlignment="1">
      <alignment horizontal="center" vertical="center" wrapText="1"/>
    </xf>
    <xf numFmtId="0" fontId="192" fillId="27" borderId="127" xfId="0" applyFont="1" applyFill="1" applyBorder="1" applyAlignment="1">
      <alignment horizontal="center" vertical="center" wrapText="1"/>
    </xf>
    <xf numFmtId="0" fontId="36" fillId="2" borderId="124" xfId="0" applyFont="1" applyFill="1" applyBorder="1" applyAlignment="1">
      <alignment wrapText="1"/>
    </xf>
    <xf numFmtId="0" fontId="36" fillId="2" borderId="119" xfId="0" applyFont="1" applyFill="1" applyBorder="1" applyAlignment="1">
      <alignment wrapText="1"/>
    </xf>
    <xf numFmtId="0" fontId="222" fillId="27" borderId="0" xfId="2" applyFont="1" applyFill="1" applyAlignment="1">
      <alignment horizontal="center" vertical="center" wrapText="1"/>
    </xf>
    <xf numFmtId="0" fontId="55" fillId="2" borderId="124" xfId="0" applyFont="1" applyFill="1" applyBorder="1" applyAlignment="1">
      <alignment wrapText="1"/>
    </xf>
    <xf numFmtId="0" fontId="55" fillId="2" borderId="119" xfId="0" applyFont="1" applyFill="1" applyBorder="1" applyAlignment="1">
      <alignment wrapText="1"/>
    </xf>
    <xf numFmtId="0" fontId="44" fillId="2" borderId="119" xfId="0" applyFont="1" applyFill="1" applyBorder="1" applyAlignment="1">
      <alignment horizontal="left" vertical="center" wrapText="1"/>
    </xf>
    <xf numFmtId="0" fontId="45" fillId="2" borderId="119" xfId="0" applyFont="1" applyFill="1" applyBorder="1" applyAlignment="1">
      <alignment horizontal="left" wrapText="1"/>
    </xf>
    <xf numFmtId="0" fontId="192" fillId="31" borderId="127" xfId="0" applyFont="1" applyFill="1" applyBorder="1" applyAlignment="1">
      <alignment horizontal="center" vertical="center" wrapText="1"/>
    </xf>
    <xf numFmtId="0" fontId="36" fillId="25" borderId="124" xfId="0" applyFont="1" applyFill="1" applyBorder="1" applyAlignment="1">
      <alignment wrapText="1"/>
    </xf>
    <xf numFmtId="0" fontId="36" fillId="25" borderId="119" xfId="0" applyFont="1" applyFill="1" applyBorder="1" applyAlignment="1">
      <alignment wrapText="1"/>
    </xf>
    <xf numFmtId="0" fontId="223" fillId="29" borderId="0" xfId="0" applyFont="1" applyFill="1" applyAlignment="1">
      <alignment horizontal="left" vertical="center" wrapText="1"/>
    </xf>
    <xf numFmtId="0" fontId="38" fillId="25" borderId="119" xfId="0" applyFont="1" applyFill="1" applyBorder="1" applyAlignment="1">
      <alignment horizontal="left" vertical="center" wrapText="1"/>
    </xf>
    <xf numFmtId="0" fontId="39" fillId="25" borderId="119" xfId="0" applyFont="1" applyFill="1" applyBorder="1" applyAlignment="1">
      <alignment horizontal="left" wrapText="1"/>
    </xf>
    <xf numFmtId="0" fontId="46" fillId="2" borderId="119" xfId="0" applyFont="1" applyFill="1" applyBorder="1" applyAlignment="1">
      <alignment horizontal="left" vertical="center" wrapText="1"/>
    </xf>
    <xf numFmtId="0" fontId="47" fillId="2" borderId="119" xfId="0" applyFont="1" applyFill="1" applyBorder="1" applyAlignment="1">
      <alignment horizontal="left" wrapText="1"/>
    </xf>
    <xf numFmtId="0" fontId="146" fillId="30" borderId="124" xfId="0" applyFont="1" applyFill="1" applyBorder="1" applyAlignment="1">
      <alignment horizontal="center" vertical="center" wrapText="1"/>
    </xf>
    <xf numFmtId="0" fontId="146" fillId="30" borderId="119" xfId="0" applyFont="1" applyFill="1" applyBorder="1" applyAlignment="1">
      <alignment horizontal="center" vertical="center" wrapText="1"/>
    </xf>
    <xf numFmtId="0" fontId="204" fillId="31" borderId="127" xfId="0" applyFont="1" applyFill="1" applyBorder="1" applyAlignment="1">
      <alignment horizontal="center" vertical="center" wrapText="1"/>
    </xf>
    <xf numFmtId="0" fontId="40" fillId="25" borderId="119" xfId="0" applyFont="1" applyFill="1" applyBorder="1" applyAlignment="1">
      <alignment horizontal="left" vertical="center" wrapText="1"/>
    </xf>
    <xf numFmtId="0" fontId="42" fillId="25" borderId="119" xfId="0" applyFont="1" applyFill="1" applyBorder="1" applyAlignment="1">
      <alignment horizontal="left" wrapText="1"/>
    </xf>
    <xf numFmtId="0" fontId="224" fillId="30" borderId="123" xfId="0" applyFont="1" applyFill="1" applyBorder="1" applyAlignment="1">
      <alignment horizontal="center" vertical="center" wrapText="1"/>
    </xf>
    <xf numFmtId="0" fontId="38" fillId="2" borderId="119" xfId="0" applyFont="1" applyFill="1" applyBorder="1" applyAlignment="1">
      <alignment horizontal="left" vertical="center" wrapText="1"/>
    </xf>
    <xf numFmtId="0" fontId="39" fillId="2" borderId="119" xfId="0" applyFont="1" applyFill="1" applyBorder="1" applyAlignment="1">
      <alignment horizontal="left" wrapText="1"/>
    </xf>
    <xf numFmtId="0" fontId="141" fillId="2" borderId="0" xfId="2" applyFont="1" applyFill="1"/>
    <xf numFmtId="0" fontId="145" fillId="2" borderId="8" xfId="0" applyFont="1" applyFill="1" applyBorder="1" applyAlignment="1">
      <alignment horizontal="center" vertical="center" wrapText="1"/>
    </xf>
    <xf numFmtId="0" fontId="35" fillId="25" borderId="119" xfId="0" applyFont="1" applyFill="1" applyBorder="1" applyAlignment="1">
      <alignment horizontal="center" vertical="center" wrapText="1"/>
    </xf>
    <xf numFmtId="0" fontId="35" fillId="25" borderId="119" xfId="0" applyFont="1" applyFill="1" applyBorder="1" applyAlignment="1">
      <alignment wrapText="1"/>
    </xf>
    <xf numFmtId="0" fontId="60" fillId="25" borderId="124" xfId="0" applyFont="1" applyFill="1" applyBorder="1" applyAlignment="1">
      <alignment wrapText="1"/>
    </xf>
    <xf numFmtId="0" fontId="60" fillId="25" borderId="119" xfId="0" applyFont="1" applyFill="1" applyBorder="1" applyAlignment="1">
      <alignment wrapText="1"/>
    </xf>
    <xf numFmtId="0" fontId="146" fillId="30" borderId="119" xfId="0" applyFont="1" applyFill="1" applyBorder="1" applyAlignment="1">
      <alignment horizontal="left" vertical="center" wrapText="1"/>
    </xf>
    <xf numFmtId="0" fontId="146" fillId="30" borderId="119" xfId="0" applyFont="1" applyFill="1" applyBorder="1" applyAlignment="1">
      <alignment horizontal="left" wrapText="1"/>
    </xf>
    <xf numFmtId="0" fontId="142" fillId="2" borderId="0" xfId="2" applyFont="1" applyFill="1" applyAlignment="1">
      <alignment horizontal="center"/>
    </xf>
    <xf numFmtId="0" fontId="142" fillId="2" borderId="0" xfId="0" applyFont="1" applyFill="1" applyAlignment="1">
      <alignment horizontal="center"/>
    </xf>
    <xf numFmtId="0" fontId="183" fillId="27" borderId="0" xfId="0" applyFont="1" applyFill="1" applyAlignment="1">
      <alignment horizontal="center" vertical="center"/>
    </xf>
    <xf numFmtId="0" fontId="201" fillId="27" borderId="0" xfId="2" applyFont="1" applyFill="1" applyAlignment="1">
      <alignment horizontal="center" vertical="center"/>
    </xf>
    <xf numFmtId="0" fontId="186" fillId="27" borderId="0" xfId="0" applyFont="1" applyFill="1" applyAlignment="1">
      <alignment horizontal="center" vertical="center" wrapText="1"/>
    </xf>
    <xf numFmtId="0" fontId="188" fillId="29" borderId="0" xfId="0" applyFont="1" applyFill="1" applyAlignment="1">
      <alignment horizontal="center" vertical="center" wrapText="1"/>
    </xf>
    <xf numFmtId="0" fontId="225" fillId="27" borderId="144" xfId="0" applyFont="1" applyFill="1" applyBorder="1" applyAlignment="1">
      <alignment horizontal="center" vertical="center" wrapText="1"/>
    </xf>
    <xf numFmtId="0" fontId="34" fillId="2" borderId="44" xfId="0" applyFont="1" applyFill="1" applyBorder="1" applyAlignment="1">
      <alignment vertical="center"/>
    </xf>
    <xf numFmtId="0" fontId="34" fillId="2" borderId="15" xfId="0" applyFont="1" applyFill="1" applyBorder="1" applyAlignment="1">
      <alignment horizontal="center" vertical="center"/>
    </xf>
    <xf numFmtId="0" fontId="34" fillId="2" borderId="15" xfId="0" applyFont="1" applyFill="1" applyBorder="1" applyAlignment="1">
      <alignment vertical="center"/>
    </xf>
    <xf numFmtId="0" fontId="34" fillId="2" borderId="44" xfId="0" applyFont="1" applyFill="1" applyBorder="1" applyAlignment="1">
      <alignment vertical="center" wrapText="1"/>
    </xf>
    <xf numFmtId="0" fontId="34" fillId="2" borderId="15" xfId="0" applyFont="1" applyFill="1" applyBorder="1" applyAlignment="1">
      <alignment vertical="center" wrapText="1"/>
    </xf>
    <xf numFmtId="0" fontId="225" fillId="31" borderId="144" xfId="0" applyFont="1" applyFill="1" applyBorder="1" applyAlignment="1">
      <alignment horizontal="center" vertical="center" wrapText="1"/>
    </xf>
    <xf numFmtId="0" fontId="34" fillId="25" borderId="44" xfId="0" applyFont="1" applyFill="1" applyBorder="1" applyAlignment="1">
      <alignment vertical="center" wrapText="1"/>
    </xf>
    <xf numFmtId="0" fontId="34" fillId="25" borderId="15" xfId="0" applyFont="1" applyFill="1" applyBorder="1" applyAlignment="1">
      <alignment vertical="center" wrapText="1"/>
    </xf>
    <xf numFmtId="0" fontId="34" fillId="25" borderId="44" xfId="0" applyFont="1" applyFill="1" applyBorder="1" applyAlignment="1">
      <alignment vertical="center"/>
    </xf>
    <xf numFmtId="0" fontId="34" fillId="25" borderId="15" xfId="0" applyFont="1" applyFill="1" applyBorder="1" applyAlignment="1">
      <alignment horizontal="center" vertical="center"/>
    </xf>
    <xf numFmtId="0" fontId="34" fillId="25" borderId="15" xfId="0" applyFont="1" applyFill="1" applyBorder="1" applyAlignment="1">
      <alignment vertical="center"/>
    </xf>
    <xf numFmtId="0" fontId="202" fillId="27" borderId="180" xfId="0" applyFont="1" applyFill="1" applyBorder="1" applyAlignment="1">
      <alignment horizontal="left" vertical="center" indent="1"/>
    </xf>
    <xf numFmtId="0" fontId="202" fillId="27" borderId="181" xfId="0" applyFont="1" applyFill="1" applyBorder="1" applyAlignment="1">
      <alignment horizontal="left" vertical="center" indent="1"/>
    </xf>
    <xf numFmtId="0" fontId="202" fillId="27" borderId="129" xfId="0" applyFont="1" applyFill="1" applyBorder="1" applyAlignment="1">
      <alignment horizontal="left" vertical="center" indent="1"/>
    </xf>
    <xf numFmtId="0" fontId="192" fillId="27" borderId="145" xfId="0" applyFont="1" applyFill="1" applyBorder="1" applyAlignment="1">
      <alignment horizontal="center" vertical="center" wrapText="1"/>
    </xf>
    <xf numFmtId="0" fontId="36" fillId="2" borderId="91" xfId="0" applyFont="1" applyFill="1" applyBorder="1" applyAlignment="1">
      <alignment vertical="center"/>
    </xf>
    <xf numFmtId="0" fontId="36" fillId="2" borderId="92" xfId="0" applyFont="1" applyFill="1" applyBorder="1" applyAlignment="1">
      <alignment vertical="center"/>
    </xf>
    <xf numFmtId="0" fontId="36" fillId="25" borderId="92" xfId="0" applyFont="1" applyFill="1" applyBorder="1" applyAlignment="1">
      <alignment vertical="center"/>
    </xf>
    <xf numFmtId="0" fontId="245" fillId="35" borderId="107" xfId="0" applyFont="1" applyFill="1" applyBorder="1" applyAlignment="1">
      <alignment horizontal="left" vertical="center" indent="1"/>
    </xf>
    <xf numFmtId="0" fontId="245" fillId="35" borderId="172" xfId="0" applyFont="1" applyFill="1" applyBorder="1" applyAlignment="1">
      <alignment horizontal="left" vertical="center" indent="1"/>
    </xf>
    <xf numFmtId="0" fontId="192" fillId="31" borderId="44" xfId="0" applyFont="1" applyFill="1" applyBorder="1" applyAlignment="1">
      <alignment horizontal="center" vertical="center" wrapText="1"/>
    </xf>
    <xf numFmtId="0" fontId="233" fillId="35" borderId="107" xfId="0" applyFont="1" applyFill="1" applyBorder="1" applyAlignment="1">
      <alignment horizontal="left" vertical="center" indent="1"/>
    </xf>
    <xf numFmtId="0" fontId="233" fillId="35" borderId="172" xfId="0" applyFont="1" applyFill="1" applyBorder="1" applyAlignment="1">
      <alignment horizontal="left" vertical="center" indent="1"/>
    </xf>
    <xf numFmtId="0" fontId="204" fillId="31" borderId="44" xfId="0" applyFont="1" applyFill="1" applyBorder="1" applyAlignment="1">
      <alignment horizontal="center" vertical="center" wrapText="1"/>
    </xf>
    <xf numFmtId="0" fontId="4" fillId="27" borderId="180" xfId="0" applyFont="1" applyFill="1" applyBorder="1" applyAlignment="1">
      <alignment horizontal="left" vertical="center" indent="1"/>
    </xf>
    <xf numFmtId="0" fontId="4" fillId="27" borderId="181" xfId="0" applyFont="1" applyFill="1" applyBorder="1" applyAlignment="1">
      <alignment horizontal="left" vertical="center" indent="1"/>
    </xf>
    <xf numFmtId="0" fontId="195" fillId="27" borderId="89" xfId="0" applyFont="1" applyFill="1" applyBorder="1" applyAlignment="1">
      <alignment horizontal="center" vertical="center" wrapText="1"/>
    </xf>
    <xf numFmtId="0" fontId="233" fillId="35" borderId="44" xfId="0" applyFont="1" applyFill="1" applyBorder="1" applyAlignment="1">
      <alignment horizontal="left" vertical="center" indent="1"/>
    </xf>
    <xf numFmtId="0" fontId="244" fillId="35" borderId="107" xfId="0" applyFont="1" applyFill="1" applyBorder="1" applyAlignment="1">
      <alignment horizontal="left" vertical="center" indent="1"/>
    </xf>
    <xf numFmtId="0" fontId="244" fillId="35" borderId="172" xfId="0" applyFont="1" applyFill="1" applyBorder="1" applyAlignment="1">
      <alignment horizontal="left" vertical="center" indent="1"/>
    </xf>
    <xf numFmtId="0" fontId="244" fillId="35" borderId="44" xfId="0" applyFont="1" applyFill="1" applyBorder="1" applyAlignment="1">
      <alignment horizontal="left" vertical="center" indent="1"/>
    </xf>
    <xf numFmtId="0" fontId="226" fillId="27" borderId="0" xfId="2" applyFont="1" applyFill="1" applyAlignment="1">
      <alignment horizontal="center" vertical="center" wrapText="1"/>
    </xf>
    <xf numFmtId="0" fontId="76" fillId="2" borderId="15" xfId="0" applyFont="1" applyFill="1" applyBorder="1" applyAlignment="1">
      <alignment horizontal="center" vertical="center" wrapText="1"/>
    </xf>
    <xf numFmtId="0" fontId="36" fillId="2" borderId="15" xfId="0" applyFont="1" applyFill="1" applyBorder="1" applyAlignment="1">
      <alignment vertical="center"/>
    </xf>
    <xf numFmtId="0" fontId="36" fillId="25" borderId="15" xfId="0" applyFont="1" applyFill="1" applyBorder="1" applyAlignment="1">
      <alignment vertical="center"/>
    </xf>
    <xf numFmtId="0" fontId="76" fillId="25" borderId="15" xfId="0" applyFont="1" applyFill="1" applyBorder="1" applyAlignment="1">
      <alignment horizontal="center" vertical="center" wrapText="1"/>
    </xf>
    <xf numFmtId="0" fontId="204" fillId="27" borderId="44" xfId="0" applyFont="1" applyFill="1" applyBorder="1" applyAlignment="1">
      <alignment horizontal="center" vertical="center" wrapText="1"/>
    </xf>
    <xf numFmtId="0" fontId="150" fillId="32" borderId="174" xfId="0" applyFont="1" applyFill="1" applyBorder="1" applyAlignment="1">
      <alignment horizontal="center" wrapText="1"/>
    </xf>
    <xf numFmtId="0" fontId="150" fillId="32" borderId="175" xfId="0" applyFont="1" applyFill="1" applyBorder="1" applyAlignment="1">
      <alignment horizontal="center" wrapText="1"/>
    </xf>
    <xf numFmtId="0" fontId="150" fillId="32" borderId="176" xfId="0" applyFont="1" applyFill="1" applyBorder="1" applyAlignment="1">
      <alignment horizontal="center" wrapText="1"/>
    </xf>
    <xf numFmtId="0" fontId="241" fillId="33" borderId="177" xfId="0" applyFont="1" applyFill="1" applyBorder="1" applyAlignment="1">
      <alignment horizontal="left" vertical="top" wrapText="1" indent="1"/>
    </xf>
    <xf numFmtId="0" fontId="241" fillId="33" borderId="178" xfId="0" applyFont="1" applyFill="1" applyBorder="1" applyAlignment="1">
      <alignment horizontal="left" vertical="top" wrapText="1" indent="1"/>
    </xf>
    <xf numFmtId="0" fontId="241" fillId="33" borderId="179" xfId="0" applyFont="1" applyFill="1" applyBorder="1" applyAlignment="1">
      <alignment horizontal="left" vertical="top" wrapText="1" indent="1"/>
    </xf>
    <xf numFmtId="0" fontId="202" fillId="27" borderId="112" xfId="0" applyFont="1" applyFill="1" applyBorder="1" applyAlignment="1">
      <alignment horizontal="left" vertical="center" indent="1"/>
    </xf>
    <xf numFmtId="0" fontId="202" fillId="27" borderId="113" xfId="0" applyFont="1" applyFill="1" applyBorder="1" applyAlignment="1">
      <alignment horizontal="left" vertical="center" indent="1"/>
    </xf>
    <xf numFmtId="0" fontId="202" fillId="27" borderId="156" xfId="0" applyFont="1" applyFill="1" applyBorder="1" applyAlignment="1">
      <alignment horizontal="left" vertical="center" indent="1"/>
    </xf>
    <xf numFmtId="0" fontId="188" fillId="29" borderId="77" xfId="0" applyFont="1" applyFill="1" applyBorder="1" applyAlignment="1">
      <alignment horizontal="center" vertical="center" wrapText="1"/>
    </xf>
    <xf numFmtId="0" fontId="188" fillId="29" borderId="78" xfId="0" applyFont="1" applyFill="1" applyBorder="1" applyAlignment="1">
      <alignment horizontal="center" vertical="center" wrapText="1"/>
    </xf>
    <xf numFmtId="0" fontId="188" fillId="29" borderId="79" xfId="0" applyFont="1" applyFill="1" applyBorder="1" applyAlignment="1">
      <alignment horizontal="center" vertical="center" wrapText="1"/>
    </xf>
    <xf numFmtId="0" fontId="150" fillId="32" borderId="173" xfId="0" applyFont="1" applyFill="1" applyBorder="1" applyAlignment="1">
      <alignment horizontal="center" vertical="center" wrapText="1"/>
    </xf>
    <xf numFmtId="0" fontId="150" fillId="32" borderId="113" xfId="0" applyFont="1" applyFill="1" applyBorder="1" applyAlignment="1">
      <alignment horizontal="center" vertical="center" wrapText="1"/>
    </xf>
    <xf numFmtId="0" fontId="150" fillId="32" borderId="156" xfId="0" applyFont="1" applyFill="1" applyBorder="1" applyAlignment="1">
      <alignment horizontal="center" vertical="center" wrapText="1"/>
    </xf>
    <xf numFmtId="0" fontId="201" fillId="27" borderId="7" xfId="2" applyFont="1" applyFill="1" applyBorder="1" applyAlignment="1">
      <alignment horizontal="center" vertical="center"/>
    </xf>
    <xf numFmtId="0" fontId="246" fillId="27" borderId="0" xfId="2" applyFont="1" applyFill="1" applyAlignment="1">
      <alignment horizontal="left" vertical="center" indent="1"/>
    </xf>
    <xf numFmtId="0" fontId="210" fillId="27" borderId="74" xfId="0" applyFont="1" applyFill="1" applyBorder="1" applyAlignment="1">
      <alignment horizontal="left" vertical="center" indent="1"/>
    </xf>
    <xf numFmtId="0" fontId="4" fillId="27" borderId="107" xfId="0" applyFont="1" applyFill="1" applyBorder="1" applyAlignment="1">
      <alignment horizontal="left" vertical="center" indent="1"/>
    </xf>
    <xf numFmtId="0" fontId="4" fillId="27" borderId="172" xfId="0" applyFont="1" applyFill="1" applyBorder="1" applyAlignment="1">
      <alignment horizontal="left" vertical="center" indent="1"/>
    </xf>
    <xf numFmtId="0" fontId="4" fillId="27" borderId="183" xfId="0" applyFont="1" applyFill="1" applyBorder="1" applyAlignment="1">
      <alignment horizontal="left" vertical="center" indent="1"/>
    </xf>
    <xf numFmtId="0" fontId="210" fillId="27" borderId="185" xfId="0" applyFont="1" applyFill="1" applyBorder="1" applyAlignment="1">
      <alignment horizontal="left" vertical="center" indent="1"/>
    </xf>
    <xf numFmtId="0" fontId="186" fillId="27" borderId="80" xfId="0" applyFont="1" applyFill="1" applyBorder="1" applyAlignment="1">
      <alignment horizontal="center" vertical="center" wrapText="1"/>
    </xf>
    <xf numFmtId="0" fontId="188" fillId="29" borderId="81" xfId="0" applyFont="1" applyFill="1" applyBorder="1" applyAlignment="1">
      <alignment horizontal="center" vertical="center" wrapText="1"/>
    </xf>
    <xf numFmtId="0" fontId="188" fillId="29" borderId="82" xfId="0" applyFont="1" applyFill="1" applyBorder="1" applyAlignment="1">
      <alignment horizontal="center" vertical="center" wrapText="1"/>
    </xf>
    <xf numFmtId="0" fontId="240" fillId="27" borderId="107" xfId="0" applyFont="1" applyFill="1" applyBorder="1" applyAlignment="1">
      <alignment horizontal="left" vertical="center" indent="1"/>
    </xf>
    <xf numFmtId="0" fontId="240" fillId="27" borderId="172" xfId="0" applyFont="1" applyFill="1" applyBorder="1" applyAlignment="1">
      <alignment horizontal="left" vertical="center" indent="1"/>
    </xf>
    <xf numFmtId="0" fontId="240" fillId="27" borderId="183" xfId="0" applyFont="1" applyFill="1" applyBorder="1" applyAlignment="1">
      <alignment horizontal="left" vertical="center" indent="1"/>
    </xf>
    <xf numFmtId="0" fontId="240" fillId="27" borderId="108" xfId="0" applyFont="1" applyFill="1" applyBorder="1" applyAlignment="1">
      <alignment horizontal="left" vertical="center" indent="1"/>
    </xf>
    <xf numFmtId="0" fontId="240" fillId="27" borderId="148" xfId="0" applyFont="1" applyFill="1" applyBorder="1" applyAlignment="1">
      <alignment horizontal="left" vertical="center" indent="1"/>
    </xf>
    <xf numFmtId="0" fontId="240" fillId="27" borderId="184" xfId="0" applyFont="1" applyFill="1" applyBorder="1" applyAlignment="1">
      <alignment horizontal="left" vertical="center" indent="1"/>
    </xf>
    <xf numFmtId="0" fontId="202" fillId="27" borderId="0" xfId="2" applyFont="1" applyFill="1" applyAlignment="1">
      <alignment horizontal="left" vertical="center" indent="1"/>
    </xf>
    <xf numFmtId="0" fontId="4" fillId="27" borderId="129" xfId="0" applyFont="1" applyFill="1" applyBorder="1" applyAlignment="1">
      <alignment horizontal="left" vertical="center" indent="1"/>
    </xf>
    <xf numFmtId="0" fontId="100" fillId="25" borderId="44" xfId="0" applyFont="1" applyFill="1" applyBorder="1" applyAlignment="1">
      <alignment horizontal="left" vertical="top" wrapText="1"/>
    </xf>
    <xf numFmtId="0" fontId="36" fillId="25" borderId="15" xfId="0" applyFont="1" applyFill="1" applyBorder="1"/>
    <xf numFmtId="0" fontId="186" fillId="27" borderId="136" xfId="0" applyFont="1" applyFill="1" applyBorder="1" applyAlignment="1">
      <alignment horizontal="center" vertical="center" wrapText="1"/>
    </xf>
    <xf numFmtId="0" fontId="188" fillId="29" borderId="88" xfId="0" applyFont="1" applyFill="1" applyBorder="1" applyAlignment="1">
      <alignment horizontal="center" vertical="center" wrapText="1"/>
    </xf>
    <xf numFmtId="0" fontId="188" fillId="29" borderId="94" xfId="0" applyFont="1" applyFill="1" applyBorder="1" applyAlignment="1">
      <alignment horizontal="center" vertical="center" wrapText="1"/>
    </xf>
    <xf numFmtId="0" fontId="36" fillId="0" borderId="4" xfId="0" applyFont="1" applyBorder="1"/>
    <xf numFmtId="0" fontId="246" fillId="27" borderId="6" xfId="2" applyFont="1" applyFill="1" applyBorder="1" applyAlignment="1">
      <alignment horizontal="left" vertical="center" indent="1"/>
    </xf>
    <xf numFmtId="0" fontId="149" fillId="28" borderId="59" xfId="0" applyFont="1" applyFill="1" applyBorder="1" applyAlignment="1">
      <alignment horizontal="center" vertical="center" wrapText="1"/>
    </xf>
    <xf numFmtId="0" fontId="147" fillId="28" borderId="59" xfId="0" applyFont="1" applyFill="1" applyBorder="1" applyAlignment="1">
      <alignment horizontal="center" wrapText="1"/>
    </xf>
    <xf numFmtId="0" fontId="9" fillId="25" borderId="17" xfId="0" applyFont="1" applyFill="1" applyBorder="1" applyAlignment="1">
      <alignment vertical="center"/>
    </xf>
    <xf numFmtId="0" fontId="1" fillId="25" borderId="17" xfId="0" applyFont="1" applyFill="1" applyBorder="1" applyAlignment="1">
      <alignment vertical="center"/>
    </xf>
    <xf numFmtId="0" fontId="150" fillId="25" borderId="57" xfId="0" applyFont="1" applyFill="1" applyBorder="1" applyAlignment="1">
      <alignment horizontal="center" vertical="center" wrapText="1"/>
    </xf>
    <xf numFmtId="0" fontId="147" fillId="25" borderId="57" xfId="0" applyFont="1" applyFill="1" applyBorder="1" applyAlignment="1">
      <alignment horizontal="center" vertical="center" wrapText="1"/>
    </xf>
    <xf numFmtId="0" fontId="147" fillId="25" borderId="58" xfId="0" applyFont="1" applyFill="1" applyBorder="1" applyAlignment="1">
      <alignment horizontal="center" vertical="center" wrapText="1"/>
    </xf>
    <xf numFmtId="0" fontId="36" fillId="25" borderId="44" xfId="0" applyFont="1" applyFill="1" applyBorder="1" applyAlignment="1">
      <alignment vertical="center" wrapText="1"/>
    </xf>
    <xf numFmtId="0" fontId="36" fillId="25" borderId="15" xfId="0" applyFont="1" applyFill="1" applyBorder="1" applyAlignment="1">
      <alignment vertical="center" wrapText="1"/>
    </xf>
    <xf numFmtId="0" fontId="147" fillId="28" borderId="60" xfId="0" applyFont="1" applyFill="1" applyBorder="1" applyAlignment="1">
      <alignment horizontal="center" wrapText="1"/>
    </xf>
    <xf numFmtId="0" fontId="36" fillId="25" borderId="44" xfId="0" applyFont="1" applyFill="1" applyBorder="1"/>
    <xf numFmtId="0" fontId="202" fillId="27" borderId="169" xfId="0" applyFont="1" applyFill="1" applyBorder="1" applyAlignment="1">
      <alignment horizontal="left" vertical="center" indent="1"/>
    </xf>
    <xf numFmtId="0" fontId="202" fillId="27" borderId="0" xfId="0" applyFont="1" applyFill="1" applyAlignment="1">
      <alignment horizontal="left" vertical="center" indent="1"/>
    </xf>
    <xf numFmtId="0" fontId="208" fillId="27" borderId="0" xfId="0" applyFont="1" applyFill="1" applyAlignment="1">
      <alignment horizontal="center" vertical="center" wrapText="1"/>
    </xf>
    <xf numFmtId="0" fontId="208" fillId="27" borderId="40" xfId="0" applyFont="1" applyFill="1" applyBorder="1" applyAlignment="1">
      <alignment horizontal="center" vertical="center" wrapText="1"/>
    </xf>
    <xf numFmtId="0" fontId="150" fillId="2" borderId="57" xfId="0" applyFont="1" applyFill="1" applyBorder="1" applyAlignment="1">
      <alignment horizontal="center" vertical="center" wrapText="1"/>
    </xf>
    <xf numFmtId="0" fontId="147" fillId="2" borderId="57" xfId="0" applyFont="1" applyFill="1" applyBorder="1" applyAlignment="1">
      <alignment horizontal="center" vertical="center" wrapText="1"/>
    </xf>
    <xf numFmtId="0" fontId="147" fillId="2" borderId="58" xfId="0" applyFont="1" applyFill="1" applyBorder="1" applyAlignment="1">
      <alignment horizontal="center" vertical="center" wrapText="1"/>
    </xf>
    <xf numFmtId="0" fontId="36" fillId="2" borderId="44" xfId="0" applyFont="1" applyFill="1" applyBorder="1" applyAlignment="1">
      <alignment vertical="center" wrapText="1"/>
    </xf>
    <xf numFmtId="0" fontId="36" fillId="2" borderId="15" xfId="0" applyFont="1" applyFill="1" applyBorder="1" applyAlignment="1">
      <alignment vertical="center" wrapText="1"/>
    </xf>
    <xf numFmtId="0" fontId="202" fillId="30" borderId="169" xfId="0" applyFont="1" applyFill="1" applyBorder="1" applyAlignment="1">
      <alignment horizontal="left" vertical="center" indent="1"/>
    </xf>
    <xf numFmtId="0" fontId="202" fillId="30" borderId="0" xfId="0" applyFont="1" applyFill="1" applyAlignment="1">
      <alignment horizontal="left" vertical="center" indent="1"/>
    </xf>
    <xf numFmtId="0" fontId="204" fillId="31" borderId="0" xfId="0" applyFont="1" applyFill="1" applyAlignment="1">
      <alignment horizontal="center" vertical="center" wrapText="1"/>
    </xf>
    <xf numFmtId="0" fontId="204" fillId="31" borderId="40" xfId="0" applyFont="1" applyFill="1" applyBorder="1" applyAlignment="1">
      <alignment horizontal="center" vertical="center" wrapText="1"/>
    </xf>
    <xf numFmtId="0" fontId="36" fillId="25" borderId="44" xfId="0" applyFont="1" applyFill="1" applyBorder="1" applyAlignment="1">
      <alignment vertical="center"/>
    </xf>
    <xf numFmtId="0" fontId="152" fillId="25" borderId="57" xfId="0" applyFont="1" applyFill="1" applyBorder="1" applyAlignment="1">
      <alignment horizontal="center" vertical="center" wrapText="1"/>
    </xf>
    <xf numFmtId="0" fontId="4" fillId="27" borderId="169" xfId="0" applyFont="1" applyFill="1" applyBorder="1" applyAlignment="1">
      <alignment horizontal="left" vertical="center" indent="1"/>
    </xf>
    <xf numFmtId="0" fontId="4" fillId="27" borderId="0" xfId="0" applyFont="1" applyFill="1" applyAlignment="1">
      <alignment horizontal="left" vertical="center" indent="1"/>
    </xf>
    <xf numFmtId="0" fontId="4" fillId="27" borderId="40" xfId="0" applyFont="1" applyFill="1" applyBorder="1" applyAlignment="1">
      <alignment horizontal="left" vertical="center" indent="1"/>
    </xf>
    <xf numFmtId="0" fontId="236" fillId="2" borderId="170" xfId="0" applyFont="1" applyFill="1" applyBorder="1" applyAlignment="1">
      <alignment horizontal="center" vertical="top" wrapText="1" indent="1"/>
    </xf>
    <xf numFmtId="0" fontId="236" fillId="2" borderId="0" xfId="0" applyFont="1" applyFill="1" applyAlignment="1">
      <alignment horizontal="center" vertical="top" wrapText="1" indent="1"/>
    </xf>
    <xf numFmtId="0" fontId="236" fillId="2" borderId="40" xfId="0" applyFont="1" applyFill="1" applyBorder="1" applyAlignment="1">
      <alignment horizontal="center" vertical="top" wrapText="1" indent="1"/>
    </xf>
    <xf numFmtId="0" fontId="237" fillId="25" borderId="170" xfId="0" applyFont="1" applyFill="1" applyBorder="1" applyAlignment="1">
      <alignment horizontal="center" vertical="top" wrapText="1" indent="1"/>
    </xf>
    <xf numFmtId="0" fontId="237" fillId="25" borderId="0" xfId="0" applyFont="1" applyFill="1" applyAlignment="1">
      <alignment horizontal="center" vertical="top" wrapText="1" indent="1"/>
    </xf>
    <xf numFmtId="0" fontId="237" fillId="25" borderId="40" xfId="0" applyFont="1" applyFill="1" applyBorder="1" applyAlignment="1">
      <alignment horizontal="center" vertical="top" wrapText="1" indent="1"/>
    </xf>
    <xf numFmtId="0" fontId="237" fillId="2" borderId="170" xfId="0" applyFont="1" applyFill="1" applyBorder="1" applyAlignment="1">
      <alignment horizontal="center" vertical="top" wrapText="1" indent="1"/>
    </xf>
    <xf numFmtId="0" fontId="237" fillId="2" borderId="0" xfId="0" applyFont="1" applyFill="1" applyAlignment="1">
      <alignment horizontal="center" vertical="top" wrapText="1" indent="1"/>
    </xf>
    <xf numFmtId="0" fontId="237" fillId="2" borderId="40" xfId="0" applyFont="1" applyFill="1" applyBorder="1" applyAlignment="1">
      <alignment horizontal="center" vertical="top" wrapText="1" indent="1"/>
    </xf>
    <xf numFmtId="0" fontId="201" fillId="27" borderId="0" xfId="2" applyFont="1" applyFill="1" applyAlignment="1">
      <alignment horizontal="center" vertical="center" wrapText="1"/>
    </xf>
    <xf numFmtId="0" fontId="206" fillId="32" borderId="168" xfId="0" applyFont="1" applyFill="1" applyBorder="1" applyAlignment="1">
      <alignment horizontal="center" vertical="center" wrapText="1"/>
    </xf>
    <xf numFmtId="0" fontId="206" fillId="32" borderId="115" xfId="0" applyFont="1" applyFill="1" applyBorder="1" applyAlignment="1">
      <alignment horizontal="center" vertical="center" wrapText="1"/>
    </xf>
    <xf numFmtId="0" fontId="206" fillId="32" borderId="116" xfId="0" applyFont="1" applyFill="1" applyBorder="1" applyAlignment="1">
      <alignment horizontal="center" vertical="center" wrapText="1"/>
    </xf>
    <xf numFmtId="0" fontId="202" fillId="30" borderId="40" xfId="0" applyFont="1" applyFill="1" applyBorder="1" applyAlignment="1">
      <alignment horizontal="left" vertical="center" indent="1"/>
    </xf>
    <xf numFmtId="0" fontId="36" fillId="2" borderId="44" xfId="0" applyFont="1" applyFill="1" applyBorder="1" applyAlignment="1">
      <alignment vertical="center"/>
    </xf>
    <xf numFmtId="0" fontId="188" fillId="29" borderId="80" xfId="0" applyFont="1" applyFill="1" applyBorder="1" applyAlignment="1">
      <alignment horizontal="center" vertical="center" wrapText="1"/>
    </xf>
    <xf numFmtId="0" fontId="189" fillId="29" borderId="0" xfId="0" applyFont="1" applyFill="1" applyAlignment="1">
      <alignment horizontal="left" vertical="center"/>
    </xf>
    <xf numFmtId="0" fontId="110" fillId="2" borderId="11" xfId="0" applyFont="1" applyFill="1" applyBorder="1" applyAlignment="1">
      <alignment horizontal="left" vertical="center"/>
    </xf>
    <xf numFmtId="0" fontId="4" fillId="27" borderId="112" xfId="0" applyFont="1" applyFill="1" applyBorder="1" applyAlignment="1">
      <alignment horizontal="left" vertical="center" indent="1"/>
    </xf>
    <xf numFmtId="0" fontId="4" fillId="27" borderId="113" xfId="0" applyFont="1" applyFill="1" applyBorder="1" applyAlignment="1">
      <alignment horizontal="left" vertical="center" indent="1"/>
    </xf>
    <xf numFmtId="0" fontId="4" fillId="27" borderId="156" xfId="0" applyFont="1" applyFill="1" applyBorder="1" applyAlignment="1">
      <alignment horizontal="left" vertical="center" indent="1"/>
    </xf>
    <xf numFmtId="0" fontId="193" fillId="2" borderId="124" xfId="0" applyFont="1" applyFill="1" applyBorder="1" applyAlignment="1">
      <alignment horizontal="left" vertical="top" wrapText="1"/>
    </xf>
    <xf numFmtId="0" fontId="193" fillId="2" borderId="119" xfId="0" applyFont="1" applyFill="1" applyBorder="1" applyAlignment="1">
      <alignment horizontal="left" vertical="top" wrapText="1"/>
    </xf>
    <xf numFmtId="0" fontId="193" fillId="25" borderId="124" xfId="0" applyFont="1" applyFill="1" applyBorder="1" applyAlignment="1">
      <alignment horizontal="left" vertical="top" wrapText="1"/>
    </xf>
    <xf numFmtId="0" fontId="193" fillId="25" borderId="119" xfId="0" applyFont="1" applyFill="1" applyBorder="1" applyAlignment="1">
      <alignment horizontal="left" vertical="top" wrapText="1"/>
    </xf>
    <xf numFmtId="0" fontId="188" fillId="29" borderId="109" xfId="0" applyFont="1" applyFill="1" applyBorder="1" applyAlignment="1">
      <alignment horizontal="center" vertical="center" wrapText="1"/>
    </xf>
    <xf numFmtId="0" fontId="61" fillId="2" borderId="13" xfId="0" applyFont="1" applyFill="1" applyBorder="1" applyAlignment="1">
      <alignment horizontal="left" vertical="center" wrapText="1"/>
    </xf>
    <xf numFmtId="0" fontId="201" fillId="27" borderId="5" xfId="2" applyFont="1" applyFill="1" applyBorder="1" applyAlignment="1">
      <alignment horizontal="center" vertical="center" wrapText="1"/>
    </xf>
    <xf numFmtId="176" fontId="202" fillId="27" borderId="107" xfId="0" applyNumberFormat="1" applyFont="1" applyFill="1" applyBorder="1" applyAlignment="1">
      <alignment horizontal="left" vertical="center" indent="1"/>
    </xf>
    <xf numFmtId="176" fontId="202" fillId="27" borderId="172" xfId="0" applyNumberFormat="1" applyFont="1" applyFill="1" applyBorder="1" applyAlignment="1">
      <alignment horizontal="left" vertical="center" indent="1"/>
    </xf>
    <xf numFmtId="176" fontId="202" fillId="27" borderId="183" xfId="0" applyNumberFormat="1" applyFont="1" applyFill="1" applyBorder="1" applyAlignment="1">
      <alignment horizontal="left" vertical="center" indent="1"/>
    </xf>
    <xf numFmtId="0" fontId="202" fillId="27" borderId="107" xfId="0" applyFont="1" applyFill="1" applyBorder="1" applyAlignment="1">
      <alignment horizontal="left" vertical="center" indent="1"/>
    </xf>
    <xf numFmtId="0" fontId="202" fillId="27" borderId="172" xfId="0" applyFont="1" applyFill="1" applyBorder="1" applyAlignment="1">
      <alignment horizontal="left" vertical="center" indent="1"/>
    </xf>
    <xf numFmtId="0" fontId="202" fillId="27" borderId="183" xfId="0" applyFont="1" applyFill="1" applyBorder="1" applyAlignment="1">
      <alignment horizontal="left" vertical="center" indent="1"/>
    </xf>
    <xf numFmtId="167" fontId="202" fillId="27" borderId="107" xfId="0" applyNumberFormat="1" applyFont="1" applyFill="1" applyBorder="1" applyAlignment="1">
      <alignment horizontal="left" vertical="center" indent="1"/>
    </xf>
    <xf numFmtId="167" fontId="202" fillId="27" borderId="172" xfId="0" applyNumberFormat="1" applyFont="1" applyFill="1" applyBorder="1" applyAlignment="1">
      <alignment horizontal="left" vertical="center" indent="1"/>
    </xf>
    <xf numFmtId="167" fontId="202" fillId="27" borderId="183" xfId="0" applyNumberFormat="1" applyFont="1" applyFill="1" applyBorder="1" applyAlignment="1">
      <alignment horizontal="left" vertical="center" indent="1"/>
    </xf>
    <xf numFmtId="172" fontId="202" fillId="27" borderId="107" xfId="0" applyNumberFormat="1" applyFont="1" applyFill="1" applyBorder="1" applyAlignment="1">
      <alignment horizontal="left" vertical="center" indent="1"/>
    </xf>
    <xf numFmtId="172" fontId="202" fillId="27" borderId="172" xfId="0" applyNumberFormat="1" applyFont="1" applyFill="1" applyBorder="1" applyAlignment="1">
      <alignment horizontal="left" vertical="center" indent="1"/>
    </xf>
    <xf numFmtId="172" fontId="202" fillId="27" borderId="183" xfId="0" applyNumberFormat="1" applyFont="1" applyFill="1" applyBorder="1" applyAlignment="1">
      <alignment horizontal="left" vertical="center" indent="1"/>
    </xf>
    <xf numFmtId="168" fontId="202" fillId="27" borderId="107" xfId="0" applyNumberFormat="1" applyFont="1" applyFill="1" applyBorder="1" applyAlignment="1">
      <alignment horizontal="left" vertical="center" indent="1"/>
    </xf>
    <xf numFmtId="168" fontId="202" fillId="27" borderId="172" xfId="0" applyNumberFormat="1" applyFont="1" applyFill="1" applyBorder="1" applyAlignment="1">
      <alignment horizontal="left" vertical="center" indent="1"/>
    </xf>
    <xf numFmtId="168" fontId="202" fillId="27" borderId="183" xfId="0" applyNumberFormat="1" applyFont="1" applyFill="1" applyBorder="1" applyAlignment="1">
      <alignment horizontal="left" vertical="center" indent="1"/>
    </xf>
    <xf numFmtId="0" fontId="151" fillId="2" borderId="15" xfId="0" applyFont="1" applyFill="1" applyBorder="1" applyAlignment="1">
      <alignment vertical="top" wrapText="1"/>
    </xf>
    <xf numFmtId="0" fontId="147" fillId="2" borderId="15" xfId="0" applyFont="1" applyFill="1" applyBorder="1" applyAlignment="1">
      <alignment vertical="top" wrapText="1"/>
    </xf>
    <xf numFmtId="0" fontId="150" fillId="25" borderId="15" xfId="0" applyFont="1" applyFill="1" applyBorder="1" applyAlignment="1">
      <alignment vertical="top" wrapText="1"/>
    </xf>
    <xf numFmtId="0" fontId="147" fillId="25" borderId="15" xfId="0" applyFont="1" applyFill="1" applyBorder="1" applyAlignment="1">
      <alignment vertical="top" wrapText="1"/>
    </xf>
    <xf numFmtId="0" fontId="152" fillId="25" borderId="15" xfId="0" applyFont="1" applyFill="1" applyBorder="1" applyAlignment="1">
      <alignment horizontal="center" vertical="top" wrapText="1"/>
    </xf>
    <xf numFmtId="0" fontId="150" fillId="2" borderId="15" xfId="0" applyFont="1" applyFill="1" applyBorder="1" applyAlignment="1">
      <alignment vertical="top" wrapText="1"/>
    </xf>
    <xf numFmtId="0" fontId="149" fillId="25" borderId="15" xfId="0" applyFont="1" applyFill="1" applyBorder="1" applyAlignment="1">
      <alignment vertical="center" wrapText="1"/>
    </xf>
    <xf numFmtId="0" fontId="149" fillId="2" borderId="15" xfId="0" applyFont="1" applyFill="1" applyBorder="1" applyAlignment="1">
      <alignment vertical="center" wrapText="1"/>
    </xf>
    <xf numFmtId="0" fontId="149" fillId="2" borderId="15" xfId="0" applyFont="1" applyFill="1" applyBorder="1" applyAlignment="1">
      <alignment horizontal="center" vertical="center" wrapText="1"/>
    </xf>
    <xf numFmtId="0" fontId="148" fillId="25" borderId="15" xfId="0" applyFont="1" applyFill="1" applyBorder="1" applyAlignment="1">
      <alignment vertical="center" wrapText="1"/>
    </xf>
    <xf numFmtId="0" fontId="148" fillId="25" borderId="15" xfId="0" applyFont="1" applyFill="1" applyBorder="1" applyAlignment="1">
      <alignment horizontal="center" vertical="center" wrapText="1"/>
    </xf>
    <xf numFmtId="0" fontId="149" fillId="25" borderId="15" xfId="0" applyFont="1" applyFill="1" applyBorder="1" applyAlignment="1">
      <alignment horizontal="center" vertical="center" wrapText="1"/>
    </xf>
    <xf numFmtId="0" fontId="147" fillId="2" borderId="15" xfId="0" applyFont="1" applyFill="1" applyBorder="1" applyAlignment="1">
      <alignment wrapText="1"/>
    </xf>
    <xf numFmtId="0" fontId="147" fillId="25" borderId="15" xfId="0" applyFont="1" applyFill="1" applyBorder="1" applyAlignment="1">
      <alignment wrapText="1"/>
    </xf>
    <xf numFmtId="0" fontId="152" fillId="25" borderId="15" xfId="0" applyFont="1" applyFill="1" applyBorder="1" applyAlignment="1">
      <alignment vertical="top" wrapText="1"/>
    </xf>
    <xf numFmtId="0" fontId="151" fillId="25" borderId="15" xfId="0" applyFont="1" applyFill="1" applyBorder="1" applyAlignment="1">
      <alignment vertical="top" wrapText="1"/>
    </xf>
    <xf numFmtId="0" fontId="170" fillId="2" borderId="44" xfId="0" applyFont="1" applyFill="1" applyBorder="1" applyAlignment="1">
      <alignment vertical="top" wrapText="1"/>
    </xf>
    <xf numFmtId="0" fontId="210" fillId="27" borderId="172" xfId="0" applyFont="1" applyFill="1" applyBorder="1" applyAlignment="1">
      <alignment horizontal="left" vertical="center" indent="1"/>
    </xf>
    <xf numFmtId="0" fontId="210" fillId="27" borderId="183" xfId="0" applyFont="1" applyFill="1" applyBorder="1" applyAlignment="1">
      <alignment horizontal="left" vertical="center" indent="1"/>
    </xf>
    <xf numFmtId="0" fontId="210" fillId="27" borderId="108" xfId="0" applyFont="1" applyFill="1" applyBorder="1" applyAlignment="1">
      <alignment horizontal="left" vertical="center" indent="1"/>
    </xf>
    <xf numFmtId="0" fontId="210" fillId="27" borderId="148" xfId="0" applyFont="1" applyFill="1" applyBorder="1" applyAlignment="1">
      <alignment horizontal="left" vertical="center" indent="1"/>
    </xf>
    <xf numFmtId="0" fontId="210" fillId="27" borderId="184" xfId="0" applyFont="1" applyFill="1" applyBorder="1" applyAlignment="1">
      <alignment horizontal="left" vertical="center" indent="1"/>
    </xf>
    <xf numFmtId="0" fontId="202" fillId="30" borderId="112" xfId="0" applyFont="1" applyFill="1" applyBorder="1" applyAlignment="1">
      <alignment horizontal="left" vertical="center" indent="1"/>
    </xf>
    <xf numFmtId="0" fontId="202" fillId="30" borderId="113" xfId="0" applyFont="1" applyFill="1" applyBorder="1" applyAlignment="1">
      <alignment horizontal="left" vertical="center" indent="1"/>
    </xf>
    <xf numFmtId="0" fontId="202" fillId="30" borderId="156" xfId="0" applyFont="1" applyFill="1" applyBorder="1" applyAlignment="1">
      <alignment horizontal="left" vertical="center" indent="1"/>
    </xf>
    <xf numFmtId="0" fontId="233" fillId="32" borderId="114" xfId="0" applyFont="1" applyFill="1" applyBorder="1" applyAlignment="1">
      <alignment horizontal="left" vertical="center" indent="1"/>
    </xf>
    <xf numFmtId="0" fontId="233" fillId="32" borderId="115" xfId="0" applyFont="1" applyFill="1" applyBorder="1" applyAlignment="1">
      <alignment horizontal="left" vertical="center" indent="1"/>
    </xf>
    <xf numFmtId="0" fontId="233" fillId="32" borderId="116" xfId="0" applyFont="1" applyFill="1" applyBorder="1" applyAlignment="1">
      <alignment horizontal="left" vertical="center" indent="1"/>
    </xf>
    <xf numFmtId="0" fontId="202" fillId="27" borderId="166" xfId="0" applyFont="1" applyFill="1" applyBorder="1" applyAlignment="1">
      <alignment horizontal="left" vertical="center" indent="1"/>
    </xf>
    <xf numFmtId="0" fontId="202" fillId="27" borderId="74" xfId="0" applyFont="1" applyFill="1" applyBorder="1" applyAlignment="1">
      <alignment horizontal="left" vertical="center" indent="1"/>
    </xf>
    <xf numFmtId="0" fontId="202" fillId="27" borderId="167" xfId="0" applyFont="1" applyFill="1" applyBorder="1" applyAlignment="1">
      <alignment horizontal="left" vertical="center" indent="1"/>
    </xf>
    <xf numFmtId="0" fontId="188" fillId="29" borderId="48" xfId="0" applyFont="1" applyFill="1" applyBorder="1" applyAlignment="1">
      <alignment horizontal="center" vertical="center" wrapText="1"/>
    </xf>
    <xf numFmtId="0" fontId="188" fillId="29" borderId="49" xfId="0" applyFont="1" applyFill="1" applyBorder="1" applyAlignment="1">
      <alignment horizontal="center" vertical="center" wrapText="1"/>
    </xf>
    <xf numFmtId="0" fontId="188" fillId="29" borderId="50" xfId="0" applyFont="1" applyFill="1" applyBorder="1" applyAlignment="1">
      <alignment horizontal="center" vertical="center" wrapText="1"/>
    </xf>
    <xf numFmtId="0" fontId="189" fillId="29" borderId="12" xfId="0" applyFont="1" applyFill="1" applyBorder="1" applyAlignment="1">
      <alignment horizontal="left" vertical="center"/>
    </xf>
    <xf numFmtId="0" fontId="145" fillId="2" borderId="0" xfId="0" applyFont="1" applyFill="1" applyAlignment="1">
      <alignment horizontal="center" vertical="center" wrapText="1"/>
    </xf>
    <xf numFmtId="0" fontId="218" fillId="2" borderId="0" xfId="0" applyFont="1" applyFill="1" applyAlignment="1">
      <alignment horizontal="left" vertical="center" wrapText="1"/>
    </xf>
    <xf numFmtId="0" fontId="202" fillId="27" borderId="108" xfId="0" applyFont="1" applyFill="1" applyBorder="1" applyAlignment="1">
      <alignment horizontal="left" vertical="center" indent="1"/>
    </xf>
    <xf numFmtId="0" fontId="202" fillId="27" borderId="148" xfId="0" applyFont="1" applyFill="1" applyBorder="1" applyAlignment="1">
      <alignment horizontal="left" vertical="center" indent="1"/>
    </xf>
    <xf numFmtId="0" fontId="202" fillId="27" borderId="184" xfId="0" applyFont="1" applyFill="1" applyBorder="1" applyAlignment="1">
      <alignment horizontal="left" vertical="center" indent="1"/>
    </xf>
    <xf numFmtId="0" fontId="66" fillId="2" borderId="15" xfId="0" applyFont="1" applyFill="1" applyBorder="1" applyAlignment="1">
      <alignment vertical="top" wrapText="1"/>
    </xf>
    <xf numFmtId="0" fontId="36" fillId="2" borderId="15" xfId="0" applyFont="1" applyFill="1" applyBorder="1"/>
    <xf numFmtId="0" fontId="5" fillId="25" borderId="92" xfId="0" applyFont="1" applyFill="1" applyBorder="1" applyAlignment="1">
      <alignment vertical="top" wrapText="1"/>
    </xf>
    <xf numFmtId="0" fontId="36" fillId="25" borderId="92" xfId="0" applyFont="1" applyFill="1" applyBorder="1"/>
    <xf numFmtId="0" fontId="5" fillId="2" borderId="15" xfId="0" applyFont="1" applyFill="1" applyBorder="1"/>
    <xf numFmtId="0" fontId="66" fillId="25" borderId="15" xfId="0" applyFont="1" applyFill="1" applyBorder="1" applyAlignment="1">
      <alignment vertical="top" wrapText="1"/>
    </xf>
    <xf numFmtId="0" fontId="246" fillId="27" borderId="0" xfId="2" applyFont="1" applyFill="1" applyAlignment="1" applyProtection="1">
      <alignment horizontal="left" vertical="center" indent="1"/>
      <protection locked="0"/>
    </xf>
    <xf numFmtId="0" fontId="4" fillId="27" borderId="66" xfId="0" applyFont="1" applyFill="1" applyBorder="1" applyAlignment="1">
      <alignment horizontal="left" vertical="center" indent="1"/>
    </xf>
    <xf numFmtId="0" fontId="4" fillId="27" borderId="69" xfId="0" applyFont="1" applyFill="1" applyBorder="1" applyAlignment="1">
      <alignment horizontal="left" vertical="center" indent="1"/>
    </xf>
    <xf numFmtId="0" fontId="240" fillId="27" borderId="66" xfId="0" applyFont="1" applyFill="1" applyBorder="1" applyAlignment="1">
      <alignment horizontal="left" vertical="center" indent="1"/>
    </xf>
    <xf numFmtId="0" fontId="240" fillId="27" borderId="0" xfId="0" applyFont="1" applyFill="1" applyAlignment="1">
      <alignment horizontal="left" vertical="center" indent="1"/>
    </xf>
    <xf numFmtId="0" fontId="240" fillId="27" borderId="69" xfId="0" applyFont="1" applyFill="1" applyBorder="1" applyAlignment="1">
      <alignment horizontal="left" vertical="center" indent="1"/>
    </xf>
    <xf numFmtId="0" fontId="234" fillId="27" borderId="161" xfId="0" applyFont="1" applyFill="1" applyBorder="1" applyAlignment="1">
      <alignment horizontal="left" vertical="center" indent="1"/>
    </xf>
    <xf numFmtId="0" fontId="234" fillId="27" borderId="162" xfId="0" applyFont="1" applyFill="1" applyBorder="1" applyAlignment="1">
      <alignment horizontal="left" vertical="center" indent="1"/>
    </xf>
    <xf numFmtId="0" fontId="202" fillId="36" borderId="160" xfId="0" applyFont="1" applyFill="1" applyBorder="1" applyAlignment="1">
      <alignment horizontal="left" vertical="center" indent="1"/>
    </xf>
    <xf numFmtId="0" fontId="202" fillId="36" borderId="161" xfId="0" applyFont="1" applyFill="1" applyBorder="1" applyAlignment="1">
      <alignment horizontal="left" vertical="center" indent="1"/>
    </xf>
    <xf numFmtId="0" fontId="202" fillId="36" borderId="162" xfId="0" applyFont="1" applyFill="1" applyBorder="1" applyAlignment="1">
      <alignment horizontal="left" vertical="center" indent="1"/>
    </xf>
    <xf numFmtId="0" fontId="203" fillId="31" borderId="163" xfId="0" applyFont="1" applyFill="1" applyBorder="1" applyAlignment="1">
      <alignment horizontal="center" vertical="center" wrapText="1"/>
    </xf>
    <xf numFmtId="0" fontId="235" fillId="33" borderId="164" xfId="0" applyFont="1" applyFill="1" applyBorder="1" applyAlignment="1">
      <alignment horizontal="left" vertical="top" wrapText="1" indent="1"/>
    </xf>
    <xf numFmtId="0" fontId="235" fillId="33" borderId="165" xfId="0" applyFont="1" applyFill="1" applyBorder="1" applyAlignment="1">
      <alignment horizontal="left" vertical="top" wrapText="1" indent="1"/>
    </xf>
    <xf numFmtId="0" fontId="139" fillId="27" borderId="0" xfId="0" applyFont="1" applyFill="1" applyAlignment="1">
      <alignment horizontal="center" vertical="center"/>
    </xf>
    <xf numFmtId="0" fontId="233" fillId="35" borderId="112" xfId="0" applyFont="1" applyFill="1" applyBorder="1" applyAlignment="1">
      <alignment horizontal="left" vertical="center" indent="1"/>
    </xf>
    <xf numFmtId="0" fontId="233" fillId="35" borderId="113" xfId="0" applyFont="1" applyFill="1" applyBorder="1" applyAlignment="1">
      <alignment horizontal="left" vertical="center" indent="1"/>
    </xf>
    <xf numFmtId="0" fontId="233" fillId="35" borderId="156" xfId="0" applyFont="1" applyFill="1" applyBorder="1" applyAlignment="1">
      <alignment horizontal="left" vertical="center" indent="1"/>
    </xf>
    <xf numFmtId="0" fontId="202" fillId="27" borderId="157" xfId="0" applyFont="1" applyFill="1" applyBorder="1" applyAlignment="1">
      <alignment horizontal="left" vertical="center" indent="1"/>
    </xf>
    <xf numFmtId="0" fontId="202" fillId="27" borderId="158" xfId="0" applyFont="1" applyFill="1" applyBorder="1" applyAlignment="1">
      <alignment horizontal="left" vertical="center" indent="1"/>
    </xf>
    <xf numFmtId="0" fontId="202" fillId="27" borderId="159" xfId="0" applyFont="1" applyFill="1" applyBorder="1" applyAlignment="1">
      <alignment horizontal="left" vertical="center" indent="1"/>
    </xf>
    <xf numFmtId="0" fontId="145" fillId="2" borderId="42" xfId="0" applyFont="1" applyFill="1" applyBorder="1" applyAlignment="1">
      <alignment horizontal="center" vertical="center" wrapText="1"/>
    </xf>
    <xf numFmtId="0" fontId="210" fillId="27" borderId="112" xfId="0" applyFont="1" applyFill="1" applyBorder="1" applyAlignment="1">
      <alignment horizontal="left" vertical="center" indent="1"/>
    </xf>
    <xf numFmtId="0" fontId="210" fillId="27" borderId="113" xfId="0" applyFont="1" applyFill="1" applyBorder="1" applyAlignment="1">
      <alignment horizontal="left" vertical="center" indent="1"/>
    </xf>
    <xf numFmtId="0" fontId="210" fillId="27" borderId="156" xfId="0" applyFont="1" applyFill="1" applyBorder="1" applyAlignment="1">
      <alignment horizontal="left" vertical="center" indent="1"/>
    </xf>
    <xf numFmtId="0" fontId="202" fillId="27" borderId="71" xfId="0" applyFont="1" applyFill="1" applyBorder="1" applyAlignment="1">
      <alignment horizontal="left" vertical="center" indent="1"/>
    </xf>
    <xf numFmtId="0" fontId="202" fillId="27" borderId="106" xfId="0" applyFont="1" applyFill="1" applyBorder="1" applyAlignment="1">
      <alignment horizontal="left" vertical="center" indent="1"/>
    </xf>
    <xf numFmtId="0" fontId="202" fillId="27" borderId="66" xfId="0" applyFont="1" applyFill="1" applyBorder="1" applyAlignment="1">
      <alignment horizontal="left" vertical="center" indent="1"/>
    </xf>
    <xf numFmtId="0" fontId="202" fillId="27" borderId="69" xfId="0" applyFont="1" applyFill="1" applyBorder="1" applyAlignment="1">
      <alignment horizontal="left" vertical="center" indent="1"/>
    </xf>
    <xf numFmtId="0" fontId="4" fillId="30" borderId="171" xfId="0" applyFont="1" applyFill="1" applyBorder="1" applyAlignment="1">
      <alignment horizontal="left" vertical="center" indent="1"/>
    </xf>
    <xf numFmtId="0" fontId="4" fillId="30" borderId="172" xfId="0" applyFont="1" applyFill="1" applyBorder="1" applyAlignment="1">
      <alignment horizontal="left" vertical="center" indent="1"/>
    </xf>
    <xf numFmtId="0" fontId="4" fillId="30" borderId="44" xfId="0" applyFont="1" applyFill="1" applyBorder="1" applyAlignment="1">
      <alignment horizontal="left" vertical="center" indent="1"/>
    </xf>
    <xf numFmtId="0" fontId="238" fillId="34" borderId="172" xfId="0" applyFont="1" applyFill="1" applyBorder="1" applyAlignment="1">
      <alignment horizontal="left" vertical="top" wrapText="1" indent="1"/>
    </xf>
    <xf numFmtId="0" fontId="238" fillId="34" borderId="44" xfId="0" applyFont="1" applyFill="1" applyBorder="1" applyAlignment="1">
      <alignment horizontal="left" vertical="top" wrapText="1" indent="1"/>
    </xf>
    <xf numFmtId="0" fontId="239" fillId="27" borderId="172" xfId="0" applyFont="1" applyFill="1" applyBorder="1" applyAlignment="1">
      <alignment horizontal="left" vertical="center" indent="1"/>
    </xf>
    <xf numFmtId="0" fontId="239" fillId="27" borderId="44" xfId="0" applyFont="1" applyFill="1" applyBorder="1" applyAlignment="1">
      <alignment horizontal="left" vertical="center" indent="1"/>
    </xf>
    <xf numFmtId="0" fontId="240" fillId="30" borderId="171" xfId="0" applyFont="1" applyFill="1" applyBorder="1" applyAlignment="1">
      <alignment horizontal="left" vertical="center" indent="1"/>
    </xf>
    <xf numFmtId="0" fontId="240" fillId="30" borderId="172" xfId="0" applyFont="1" applyFill="1" applyBorder="1" applyAlignment="1">
      <alignment horizontal="left" vertical="center" indent="1"/>
    </xf>
    <xf numFmtId="0" fontId="240" fillId="30" borderId="44" xfId="0" applyFont="1" applyFill="1" applyBorder="1" applyAlignment="1">
      <alignment horizontal="left" vertical="center" indent="1"/>
    </xf>
    <xf numFmtId="0" fontId="188" fillId="29" borderId="14" xfId="0" applyFont="1" applyFill="1" applyBorder="1" applyAlignment="1">
      <alignment horizontal="center" vertical="center" wrapText="1"/>
    </xf>
    <xf numFmtId="0" fontId="189" fillId="29" borderId="14" xfId="0" applyFont="1" applyFill="1" applyBorder="1" applyAlignment="1">
      <alignment horizontal="left" vertical="center"/>
    </xf>
    <xf numFmtId="0" fontId="113" fillId="26" borderId="29" xfId="0" applyFont="1" applyFill="1" applyBorder="1"/>
    <xf numFmtId="0" fontId="131" fillId="25" borderId="27" xfId="0" applyFont="1" applyFill="1" applyBorder="1"/>
    <xf numFmtId="0" fontId="190" fillId="25" borderId="105" xfId="0" applyFont="1" applyFill="1" applyBorder="1" applyAlignment="1">
      <alignment horizontal="center" vertical="center" wrapText="1"/>
    </xf>
    <xf numFmtId="0" fontId="190" fillId="25" borderId="99" xfId="0" applyFont="1" applyFill="1" applyBorder="1" applyAlignment="1">
      <alignment horizontal="center" vertical="center" wrapText="1"/>
    </xf>
    <xf numFmtId="0" fontId="194" fillId="32" borderId="168" xfId="0" applyFont="1" applyFill="1" applyBorder="1"/>
    <xf numFmtId="0" fontId="194" fillId="32" borderId="115" xfId="0" applyFont="1" applyFill="1" applyBorder="1"/>
    <xf numFmtId="0" fontId="194" fillId="32" borderId="116" xfId="0" applyFont="1" applyFill="1" applyBorder="1"/>
    <xf numFmtId="0" fontId="4" fillId="27" borderId="44" xfId="0" applyFont="1" applyFill="1" applyBorder="1" applyAlignment="1">
      <alignment horizontal="left" vertical="center" indent="1"/>
    </xf>
    <xf numFmtId="0" fontId="227" fillId="27" borderId="0" xfId="0" applyFont="1" applyFill="1" applyAlignment="1">
      <alignment wrapText="1"/>
    </xf>
    <xf numFmtId="0" fontId="234" fillId="27" borderId="66" xfId="0" applyFont="1" applyFill="1" applyBorder="1" applyAlignment="1">
      <alignment horizontal="left" vertical="center" indent="1"/>
    </xf>
    <xf numFmtId="0" fontId="234" fillId="27" borderId="0" xfId="0" applyFont="1" applyFill="1" applyAlignment="1">
      <alignment horizontal="left" vertical="center" indent="1"/>
    </xf>
    <xf numFmtId="0" fontId="234" fillId="27" borderId="69" xfId="0" applyFont="1" applyFill="1" applyBorder="1" applyAlignment="1">
      <alignment horizontal="left" vertical="center" indent="1"/>
    </xf>
    <xf numFmtId="0" fontId="242" fillId="38" borderId="182" xfId="0" applyFont="1" applyFill="1" applyBorder="1" applyAlignment="1">
      <alignment horizontal="left" vertical="top" wrapText="1" indent="1"/>
    </xf>
    <xf numFmtId="0" fontId="242" fillId="38" borderId="0" xfId="0" applyFont="1" applyFill="1" applyAlignment="1">
      <alignment horizontal="left" vertical="top" wrapText="1" indent="1"/>
    </xf>
    <xf numFmtId="0" fontId="242" fillId="38" borderId="69" xfId="0" applyFont="1" applyFill="1" applyBorder="1" applyAlignment="1">
      <alignment horizontal="left" vertical="top" wrapText="1" indent="1"/>
    </xf>
    <xf numFmtId="0" fontId="4" fillId="27" borderId="74" xfId="0" applyFont="1" applyFill="1" applyBorder="1" applyAlignment="1">
      <alignment horizontal="left" vertical="center" indent="1"/>
    </xf>
    <xf numFmtId="0" fontId="4" fillId="27" borderId="70" xfId="0" applyFont="1" applyFill="1" applyBorder="1" applyAlignment="1">
      <alignment horizontal="left" vertical="center" indent="1"/>
    </xf>
    <xf numFmtId="0" fontId="4" fillId="27" borderId="71" xfId="0" applyFont="1" applyFill="1" applyBorder="1" applyAlignment="1">
      <alignment horizontal="left" vertical="center" indent="1"/>
    </xf>
    <xf numFmtId="0" fontId="4" fillId="27" borderId="106" xfId="0" applyFont="1" applyFill="1" applyBorder="1" applyAlignment="1">
      <alignment horizontal="left" vertical="center" indent="1"/>
    </xf>
    <xf numFmtId="0" fontId="248" fillId="27" borderId="0" xfId="0" applyFont="1" applyFill="1" applyAlignment="1">
      <alignment horizontal="center" vertical="center"/>
    </xf>
    <xf numFmtId="0" fontId="249" fillId="27" borderId="0" xfId="2" applyFont="1" applyFill="1" applyAlignment="1">
      <alignment horizontal="center" vertical="center" wrapText="1"/>
    </xf>
    <xf numFmtId="0" fontId="248" fillId="27" borderId="0" xfId="0" applyFont="1" applyFill="1" applyAlignment="1">
      <alignment horizontal="center" vertical="center" indent="1"/>
    </xf>
    <xf numFmtId="0" fontId="250" fillId="27" borderId="5" xfId="2" applyFont="1" applyFill="1" applyBorder="1" applyAlignment="1">
      <alignment horizontal="left" vertical="center" wrapText="1"/>
    </xf>
    <xf numFmtId="0" fontId="251" fillId="27" borderId="126" xfId="0" applyFont="1" applyFill="1" applyBorder="1" applyAlignment="1">
      <alignment horizontal="center" vertical="center" wrapText="1"/>
    </xf>
    <xf numFmtId="0" fontId="250" fillId="27" borderId="0" xfId="2" applyFont="1" applyFill="1" applyAlignment="1">
      <alignment horizontal="center" vertical="center" wrapText="1"/>
    </xf>
    <xf numFmtId="0" fontId="250" fillId="27" borderId="0" xfId="2" applyFont="1" applyFill="1" applyAlignment="1">
      <alignment horizontal="center" vertical="center"/>
    </xf>
    <xf numFmtId="0" fontId="250" fillId="27" borderId="7" xfId="2" applyFont="1" applyFill="1" applyBorder="1" applyAlignment="1">
      <alignment horizontal="center" vertical="center"/>
    </xf>
    <xf numFmtId="0" fontId="250" fillId="27" borderId="0" xfId="2" applyFont="1" applyFill="1" applyAlignment="1">
      <alignment horizontal="center" vertical="center" indent="1"/>
    </xf>
    <xf numFmtId="0" fontId="250" fillId="27" borderId="6" xfId="2" applyFont="1" applyFill="1" applyBorder="1" applyAlignment="1">
      <alignment horizontal="center" vertical="center" indent="1"/>
    </xf>
    <xf numFmtId="0" fontId="252" fillId="27" borderId="0" xfId="2" applyFont="1" applyFill="1" applyAlignment="1">
      <alignment horizontal="left" vertical="center" indent="1"/>
    </xf>
    <xf numFmtId="0" fontId="253" fillId="27" borderId="0" xfId="2" applyFont="1" applyFill="1" applyAlignment="1">
      <alignment horizontal="left" vertical="center" indent="1"/>
    </xf>
    <xf numFmtId="0" fontId="252" fillId="27" borderId="0" xfId="2" applyFont="1" applyFill="1" applyAlignment="1">
      <alignment horizontal="left" vertical="center" wrapText="1"/>
    </xf>
    <xf numFmtId="0" fontId="252" fillId="27" borderId="0" xfId="2" applyFont="1" applyFill="1" applyAlignment="1">
      <alignment horizontal="left" vertical="center"/>
    </xf>
    <xf numFmtId="0" fontId="252" fillId="27" borderId="0" xfId="2" applyFont="1" applyFill="1" applyAlignment="1" applyProtection="1">
      <alignment horizontal="left" vertical="center" indent="1"/>
      <protection locked="0"/>
    </xf>
    <xf numFmtId="0" fontId="253" fillId="27" borderId="0" xfId="0" applyFont="1" applyFill="1" applyAlignment="1">
      <alignment horizontal="left" vertical="center" indent="1"/>
    </xf>
    <xf numFmtId="0" fontId="253" fillId="27" borderId="41" xfId="0" applyFont="1" applyFill="1" applyBorder="1" applyAlignment="1">
      <alignment horizontal="left" vertical="center"/>
    </xf>
    <xf numFmtId="0" fontId="253" fillId="27" borderId="0" xfId="0" applyFont="1" applyFill="1" applyAlignment="1">
      <alignment horizontal="left" vertical="center"/>
    </xf>
    <xf numFmtId="0" fontId="253" fillId="27" borderId="0" xfId="0" applyFont="1" applyFill="1" applyAlignment="1">
      <alignment horizontal="left" vertical="center" wrapText="1"/>
    </xf>
    <xf numFmtId="0" fontId="254" fillId="27" borderId="127" xfId="0" applyFont="1" applyFill="1" applyBorder="1" applyAlignment="1">
      <alignment horizontal="center" vertical="center" wrapText="1"/>
    </xf>
    <xf numFmtId="0" fontId="255" fillId="27" borderId="112" xfId="0" applyFont="1" applyFill="1" applyBorder="1" applyAlignment="1">
      <alignment horizontal="left" vertical="center" indent="1"/>
    </xf>
    <xf numFmtId="0" fontId="255" fillId="27" borderId="169" xfId="0" applyFont="1" applyFill="1" applyBorder="1" applyAlignment="1">
      <alignment horizontal="left" vertical="center" indent="1"/>
    </xf>
    <xf numFmtId="0" fontId="256" fillId="27" borderId="180" xfId="0" applyFont="1" applyFill="1" applyBorder="1" applyAlignment="1">
      <alignment horizontal="left" vertical="center" indent="1"/>
    </xf>
    <xf numFmtId="0" fontId="256" fillId="27" borderId="107" xfId="0" applyFont="1" applyFill="1" applyBorder="1" applyAlignment="1">
      <alignment horizontal="left" vertical="center" indent="1"/>
    </xf>
    <xf numFmtId="0" fontId="257" fillId="27" borderId="127" xfId="0" applyFont="1" applyFill="1" applyBorder="1" applyAlignment="1">
      <alignment horizontal="center" vertical="center" wrapText="1"/>
    </xf>
    <xf numFmtId="0" fontId="255" fillId="27" borderId="107" xfId="0" applyFont="1" applyFill="1" applyBorder="1" applyAlignment="1">
      <alignment horizontal="left" vertical="center" indent="1"/>
    </xf>
    <xf numFmtId="0" fontId="258" fillId="27" borderId="107" xfId="0" applyFont="1" applyFill="1" applyBorder="1" applyAlignment="1">
      <alignment horizontal="left" vertical="center" indent="1"/>
    </xf>
    <xf numFmtId="0" fontId="256" fillId="27" borderId="66" xfId="0" applyFont="1" applyFill="1" applyBorder="1" applyAlignment="1">
      <alignment horizontal="left" vertical="center" indent="1"/>
    </xf>
    <xf numFmtId="0" fontId="255" fillId="27" borderId="160" xfId="0" applyFont="1" applyFill="1" applyBorder="1" applyAlignment="1">
      <alignment horizontal="left" vertical="center" indent="1"/>
    </xf>
    <xf numFmtId="0" fontId="255" fillId="27" borderId="70" xfId="0" applyFont="1" applyFill="1" applyBorder="1" applyAlignment="1">
      <alignment horizontal="left" vertical="center" indent="1"/>
    </xf>
    <xf numFmtId="0" fontId="255" fillId="27" borderId="66" xfId="0" applyFont="1" applyFill="1" applyBorder="1" applyAlignment="1">
      <alignment horizontal="left" vertical="center" indent="1"/>
    </xf>
    <xf numFmtId="0" fontId="256" fillId="27" borderId="171" xfId="0" applyFont="1" applyFill="1" applyBorder="1" applyAlignment="1">
      <alignment horizontal="left" vertical="center" indent="1"/>
    </xf>
    <xf numFmtId="0" fontId="259" fillId="27" borderId="171" xfId="0" applyFont="1" applyFill="1" applyBorder="1" applyAlignment="1">
      <alignment horizontal="center" vertical="center" wrapText="1"/>
    </xf>
    <xf numFmtId="0" fontId="260" fillId="27" borderId="171" xfId="0" applyFont="1" applyFill="1" applyBorder="1" applyAlignment="1">
      <alignment horizontal="left" vertical="center" indent="1"/>
    </xf>
    <xf numFmtId="0" fontId="259" fillId="27" borderId="19" xfId="0" applyFont="1" applyFill="1" applyBorder="1" applyAlignment="1">
      <alignment horizontal="center" wrapText="1"/>
    </xf>
    <xf numFmtId="0" fontId="254" fillId="27" borderId="146" xfId="0" applyFont="1" applyFill="1" applyBorder="1" applyAlignment="1">
      <alignment horizontal="center" vertical="center" wrapText="1"/>
    </xf>
    <xf numFmtId="0" fontId="5" fillId="27" borderId="0" xfId="0" applyFont="1" applyFill="1" applyAlignment="1">
      <alignment wrapText="1"/>
    </xf>
    <xf numFmtId="0" fontId="251" fillId="27" borderId="146" xfId="0" applyFont="1" applyFill="1" applyBorder="1" applyAlignment="1">
      <alignment horizontal="center" vertical="center" wrapText="1"/>
    </xf>
    <xf numFmtId="0" fontId="107" fillId="25" borderId="15" xfId="0" applyFont="1" applyFill="1" applyBorder="1" applyAlignment="1">
      <alignment horizontal="left" vertical="center" wrapText="1"/>
    </xf>
  </cellXfs>
  <cellStyles count="3">
    <cellStyle name="Hipervínculo" xfId="2" builtinId="8"/>
    <cellStyle name="Normal" xfId="0" builtinId="0"/>
    <cellStyle name="Porcentaje" xfId="1" builtinId="5"/>
  </cellStyles>
  <dxfs count="46">
    <dxf>
      <font>
        <b/>
        <i val="0"/>
        <color rgb="FF1F4E79"/>
      </font>
      <fill>
        <patternFill patternType="solid">
          <fgColor indexed="64"/>
          <bgColor rgb="FFBDD7EE"/>
        </patternFill>
      </fill>
    </dxf>
    <dxf>
      <font>
        <color rgb="FF1F4E79"/>
      </font>
      <fill>
        <patternFill patternType="solid">
          <fgColor indexed="64"/>
          <bgColor rgb="FFD6E4F0"/>
        </patternFill>
      </fill>
    </dxf>
    <dxf>
      <font>
        <color rgb="FF375623"/>
      </font>
      <fill>
        <patternFill patternType="solid">
          <fgColor indexed="64"/>
          <bgColor rgb="FFE2EFDA"/>
        </patternFill>
      </fill>
    </dxf>
    <dxf>
      <font>
        <color rgb="FF7F6000"/>
      </font>
      <fill>
        <patternFill patternType="solid">
          <fgColor indexed="64"/>
          <bgColor rgb="FFFFF2CC"/>
        </patternFill>
      </fill>
    </dxf>
    <dxf>
      <font>
        <color rgb="FF9C0006"/>
      </font>
      <fill>
        <patternFill patternType="solid">
          <fgColor indexed="64"/>
          <bgColor rgb="FFFFD7D7"/>
        </patternFill>
      </fill>
    </dxf>
    <dxf>
      <font>
        <color rgb="FFFFFFFF"/>
      </font>
      <fill>
        <patternFill patternType="solid">
          <fgColor indexed="64"/>
          <bgColor rgb="FFC00000"/>
        </patternFill>
      </fill>
    </dxf>
    <dxf>
      <font>
        <b/>
        <color rgb="FF69F0AE"/>
      </font>
      <fill>
        <patternFill patternType="solid">
          <fgColor indexed="64"/>
          <bgColor rgb="FF082015"/>
        </patternFill>
      </fill>
    </dxf>
    <dxf>
      <font>
        <b/>
        <color rgb="FFFFD54F"/>
      </font>
      <fill>
        <patternFill patternType="solid">
          <fgColor indexed="64"/>
          <bgColor rgb="FF1A1200"/>
        </patternFill>
      </fill>
    </dxf>
    <dxf>
      <font>
        <b/>
        <color rgb="FF1A5726"/>
      </font>
      <fill>
        <patternFill patternType="solid">
          <fgColor indexed="64"/>
          <bgColor rgb="FFC6F0C6"/>
        </patternFill>
      </fill>
    </dxf>
    <dxf>
      <font>
        <color rgb="FF2E7D32"/>
      </font>
      <fill>
        <patternFill patternType="solid">
          <fgColor indexed="64"/>
          <bgColor rgb="FFDFFFDF"/>
        </patternFill>
      </fill>
    </dxf>
    <dxf>
      <font>
        <b/>
        <color rgb="FFB8860B"/>
      </font>
      <fill>
        <patternFill patternType="solid">
          <fgColor indexed="64"/>
          <bgColor rgb="FFFFFACC"/>
        </patternFill>
      </fill>
    </dxf>
    <dxf>
      <font>
        <b/>
        <color rgb="FFE86B00"/>
      </font>
      <fill>
        <patternFill patternType="solid">
          <fgColor indexed="64"/>
          <bgColor rgb="FFFFE5CC"/>
        </patternFill>
      </fill>
    </dxf>
    <dxf>
      <font>
        <b/>
        <color rgb="FFC00000"/>
      </font>
      <fill>
        <patternFill patternType="solid">
          <fgColor indexed="64"/>
          <bgColor rgb="FFFFD7D7"/>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276221"/>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276221"/>
      </font>
      <fill>
        <patternFill patternType="solid">
          <fgColor indexed="64"/>
          <bgColor rgb="FFC6EFCE"/>
        </patternFill>
      </fill>
    </dxf>
    <dxf>
      <font>
        <color rgb="FF9C0006"/>
      </font>
      <fill>
        <patternFill patternType="solid">
          <fgColor indexed="64"/>
          <bgColor rgb="FFFFC7CE"/>
        </patternFill>
      </fill>
    </dxf>
    <dxf>
      <font>
        <color rgb="FF276221"/>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276221"/>
      </font>
      <fill>
        <patternFill patternType="solid">
          <fgColor indexed="64"/>
          <bgColor rgb="FFC6EFCE"/>
        </patternFill>
      </fill>
    </dxf>
    <dxf>
      <font>
        <color rgb="FF1A5726"/>
      </font>
      <fill>
        <patternFill patternType="solid">
          <fgColor indexed="64"/>
          <bgColor rgb="FFC6F0C6"/>
        </patternFill>
      </fill>
    </dxf>
    <dxf>
      <font>
        <color rgb="FFB8860B"/>
      </font>
      <fill>
        <patternFill patternType="solid">
          <fgColor indexed="64"/>
          <bgColor rgb="FFFFFACC"/>
        </patternFill>
      </fill>
    </dxf>
    <dxf>
      <font>
        <color rgb="FFE86B00"/>
      </font>
      <fill>
        <patternFill patternType="solid">
          <fgColor indexed="64"/>
          <bgColor rgb="FFFFE5CC"/>
        </patternFill>
      </fill>
    </dxf>
    <dxf>
      <font>
        <color rgb="FFC00000"/>
      </font>
      <fill>
        <patternFill patternType="solid">
          <fgColor indexed="64"/>
          <bgColor rgb="FFFFD7D7"/>
        </patternFill>
      </fill>
    </dxf>
    <dxf>
      <font>
        <b/>
        <color rgb="FF1A5726"/>
      </font>
      <fill>
        <patternFill patternType="solid">
          <fgColor indexed="64"/>
          <bgColor rgb="FFC6F0C6"/>
        </patternFill>
      </fill>
    </dxf>
    <dxf>
      <font>
        <color rgb="FF2E7D32"/>
      </font>
      <fill>
        <patternFill patternType="solid">
          <fgColor indexed="64"/>
          <bgColor rgb="FFDFFFDF"/>
        </patternFill>
      </fill>
    </dxf>
    <dxf>
      <font>
        <color rgb="FFB8860B"/>
      </font>
      <fill>
        <patternFill patternType="solid">
          <fgColor indexed="64"/>
          <bgColor rgb="FFFFFACC"/>
        </patternFill>
      </fill>
    </dxf>
    <dxf>
      <font>
        <b/>
        <color rgb="FFE86B00"/>
      </font>
      <fill>
        <patternFill patternType="solid">
          <fgColor indexed="64"/>
          <bgColor rgb="FFFFE5CC"/>
        </patternFill>
      </fill>
    </dxf>
    <dxf>
      <font>
        <b/>
        <color rgb="FFC00000"/>
      </font>
      <fill>
        <patternFill patternType="solid">
          <fgColor indexed="64"/>
          <bgColor rgb="FFFFD7D7"/>
        </patternFill>
      </fill>
    </dxf>
    <dxf>
      <font>
        <color rgb="FFCC0000"/>
      </font>
      <fill>
        <patternFill patternType="solid">
          <fgColor indexed="64"/>
          <bgColor rgb="FFFFCCCC"/>
        </patternFill>
      </fill>
    </dxf>
    <dxf>
      <font>
        <color rgb="FF90CAF9"/>
      </font>
      <fill>
        <patternFill patternType="solid">
          <fgColor indexed="64"/>
          <bgColor rgb="FF0A1A2A"/>
        </patternFill>
      </fill>
    </dxf>
    <dxf>
      <font>
        <color rgb="FFFFD54F"/>
      </font>
      <fill>
        <patternFill patternType="solid">
          <fgColor indexed="64"/>
          <bgColor rgb="FF3A2A00"/>
        </patternFill>
      </fill>
    </dxf>
    <dxf>
      <font>
        <color rgb="FF00E676"/>
      </font>
      <fill>
        <patternFill patternType="solid">
          <fgColor indexed="64"/>
          <bgColor rgb="FF0A3A0A"/>
        </patternFill>
      </fill>
    </dxf>
    <dxf>
      <font>
        <color rgb="FFFF5252"/>
      </font>
      <fill>
        <patternFill patternType="solid">
          <fgColor indexed="64"/>
          <bgColor rgb="FF3A0A0A"/>
        </patternFill>
      </fill>
    </dxf>
    <dxf>
      <font>
        <color rgb="FF00E676"/>
      </font>
      <fill>
        <patternFill patternType="solid">
          <fgColor indexed="64"/>
          <bgColor rgb="FF0A3A0A"/>
        </patternFill>
      </fill>
    </dxf>
    <dxf>
      <font>
        <color rgb="FFCC0000"/>
      </font>
      <fill>
        <patternFill patternType="solid">
          <fgColor indexed="64"/>
          <bgColor rgb="FFFFCCCC"/>
        </patternFill>
      </fill>
    </dxf>
    <dxf>
      <font>
        <color rgb="FF006100"/>
      </font>
      <fill>
        <patternFill patternType="solid">
          <fgColor indexed="64"/>
          <bgColor rgb="FFC6EFCE"/>
        </patternFill>
      </fill>
    </dxf>
    <dxf>
      <font>
        <color rgb="FF9C5700"/>
      </font>
      <fill>
        <patternFill patternType="solid">
          <fgColor indexed="64"/>
          <bgColor rgb="FFFFEB9C"/>
        </patternFill>
      </fill>
    </dxf>
    <dxf>
      <font>
        <color rgb="FFCC0000"/>
      </font>
      <fill>
        <patternFill patternType="solid">
          <fgColor indexed="64"/>
          <bgColor rgb="FFFFCCCC"/>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b/>
        <color rgb="FFCC0000"/>
      </font>
      <fill>
        <patternFill patternType="solid">
          <fgColor indexed="64"/>
          <bgColor rgb="FFFFCCCC"/>
        </patternFill>
      </fill>
    </dxf>
  </dxfs>
  <tableStyles count="0" defaultTableStyle="TableStyleMedium2" defaultPivotStyle="PivotStyleLight16"/>
  <colors>
    <mruColors>
      <color rgb="FFF3E5F5"/>
      <color rgb="FFEEF2F7"/>
      <color rgb="FF44546A"/>
      <color rgb="FF000000"/>
      <color rgb="FFDDEEFF"/>
      <color rgb="FFEBF5FB"/>
      <color rgb="FF1B5E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rot="0" spcFirstLastPara="1" vertOverflow="ellipsis" vert="horz" wrap="square" anchor="ctr" anchorCtr="1"/>
          <a:lstStyle/>
          <a:p>
            <a:pPr>
              <a:defRPr sz="1000" b="1" i="0" strike="noStrike" kern="1200" spc="0" baseline="0">
                <a:solidFill>
                  <a:srgbClr val="1A2B4A"/>
                </a:solidFill>
                <a:latin typeface="Aptos Narrow"/>
                <a:ea typeface="Aptos Narrow"/>
                <a:cs typeface="Aptos Narrow"/>
              </a:defRPr>
            </a:pPr>
            <a:r>
              <a:rPr lang="en-US"/>
              <a:t>ICPI por Eje Estratégico (%)</a:t>
            </a:r>
          </a:p>
        </c:rich>
      </c:tx>
      <c:overlay val="0"/>
      <c:spPr>
        <a:solidFill>
          <a:srgbClr val="F8FAFD"/>
        </a:solidFill>
        <a:ln>
          <a:noFill/>
          <a:prstDash val="solid"/>
        </a:ln>
      </c:spPr>
    </c:title>
    <c:autoTitleDeleted val="0"/>
    <c:plotArea>
      <c:layout/>
      <c:barChart>
        <c:barDir val="bar"/>
        <c:grouping val="clustered"/>
        <c:varyColors val="0"/>
        <c:ser>
          <c:idx val="0"/>
          <c:order val="0"/>
          <c:tx>
            <c:strRef>
              <c:f>'M-DASHBOARD'!$G$10</c:f>
              <c:strCache>
                <c:ptCount val="1"/>
                <c:pt idx="0">
                  <c:v>ICPI (%)</c:v>
                </c:pt>
              </c:strCache>
            </c:strRef>
          </c:tx>
          <c:spPr>
            <a:solidFill>
              <a:srgbClr val="2E4A7A"/>
            </a:solidFill>
            <a:ln>
              <a:solidFill>
                <a:srgbClr val="2E4A7A"/>
              </a:solidFill>
              <a:prstDash val="solid"/>
            </a:ln>
          </c:spPr>
          <c:invertIfNegative val="0"/>
          <c:cat>
            <c:strRef>
              <c:f>'M-DASHBOARD'!$F$11:$F$15</c:f>
              <c:strCache>
                <c:ptCount val="5"/>
                <c:pt idx="0">
                  <c:v>TERRITORIAL</c:v>
                </c:pt>
                <c:pt idx="1">
                  <c:v>SOCIAL</c:v>
                </c:pt>
                <c:pt idx="2">
                  <c:v>AMBIENTAL</c:v>
                </c:pt>
                <c:pt idx="3">
                  <c:v>ECONÓMICO</c:v>
                </c:pt>
                <c:pt idx="4">
                  <c:v>INSTITUCIONAL</c:v>
                </c:pt>
              </c:strCache>
            </c:strRef>
          </c:cat>
          <c:val>
            <c:numRef>
              <c:f>'M-DASHBOARD'!$G$11:$G$15</c:f>
              <c:numCache>
                <c:formatCode>General</c:formatCode>
                <c:ptCount val="5"/>
                <c:pt idx="0">
                  <c:v>25.761436144843593</c:v>
                </c:pt>
                <c:pt idx="1">
                  <c:v>51.686757985993069</c:v>
                </c:pt>
                <c:pt idx="2">
                  <c:v>44.93166376639391</c:v>
                </c:pt>
                <c:pt idx="3">
                  <c:v>70</c:v>
                </c:pt>
                <c:pt idx="4">
                  <c:v>60.151290496607871</c:v>
                </c:pt>
              </c:numCache>
            </c:numRef>
          </c:val>
          <c:extLst>
            <c:ext xmlns:c16="http://schemas.microsoft.com/office/drawing/2014/chart" uri="{C3380CC4-5D6E-409C-BE32-E72D297353CC}">
              <c16:uniqueId val="{00000000-2755-4B6A-99E7-E37029599747}"/>
            </c:ext>
          </c:extLst>
        </c:ser>
        <c:dLbls>
          <c:showLegendKey val="0"/>
          <c:showVal val="0"/>
          <c:showCatName val="0"/>
          <c:showSerName val="0"/>
          <c:showPercent val="0"/>
          <c:showBubbleSize val="0"/>
        </c:dLbls>
        <c:gapWidth val="182"/>
        <c:axId val="2014106831"/>
        <c:axId val="2014105391"/>
      </c:barChart>
      <c:catAx>
        <c:axId val="2014106831"/>
        <c:scaling>
          <c:orientation val="minMax"/>
        </c:scaling>
        <c:delete val="0"/>
        <c:axPos val="l"/>
        <c:numFmt formatCode="General" sourceLinked="1"/>
        <c:majorTickMark val="none"/>
        <c:minorTickMark val="none"/>
        <c:tickLblPos val="nextTo"/>
        <c:spPr>
          <a:noFill/>
          <a:ln w="9525" cap="flat" cmpd="sng" algn="ctr">
            <a:solidFill>
              <a:srgbClr val="C5D3E8"/>
            </a:solidFill>
            <a:prstDash val="solid"/>
            <a:round/>
          </a:ln>
        </c:spPr>
        <c:txPr>
          <a:bodyPr rot="-60000000" spcFirstLastPara="1" vertOverflow="ellipsis" vert="horz" wrap="square" anchor="ctr" anchorCtr="1"/>
          <a:lstStyle/>
          <a:p>
            <a:pPr>
              <a:defRPr sz="800" b="0" i="0" strike="noStrike" kern="1200" baseline="0">
                <a:solidFill>
                  <a:srgbClr val="2E4A7A"/>
                </a:solidFill>
                <a:latin typeface="Aptos Narrow"/>
                <a:ea typeface="Aptos Narrow"/>
                <a:cs typeface="Aptos Narrow"/>
              </a:defRPr>
            </a:pPr>
            <a:endParaRPr lang="es-EC"/>
          </a:p>
        </c:txPr>
        <c:crossAx val="2014105391"/>
        <c:crosses val="autoZero"/>
        <c:auto val="1"/>
        <c:lblAlgn val="ctr"/>
        <c:lblOffset val="100"/>
        <c:noMultiLvlLbl val="0"/>
      </c:catAx>
      <c:valAx>
        <c:axId val="2014105391"/>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solidFill>
              <a:srgbClr val="C5D3E8"/>
            </a:solidFill>
            <a:prstDash val="solid"/>
          </a:ln>
        </c:spPr>
        <c:txPr>
          <a:bodyPr rot="-60000000" spcFirstLastPara="1" vertOverflow="ellipsis" vert="horz" wrap="square" anchor="ctr" anchorCtr="1"/>
          <a:lstStyle/>
          <a:p>
            <a:pPr>
              <a:defRPr sz="800" b="0" i="0" strike="noStrike" kern="1200" baseline="0">
                <a:solidFill>
                  <a:srgbClr val="2E4A7A"/>
                </a:solidFill>
                <a:latin typeface="Aptos Narrow"/>
                <a:ea typeface="Aptos Narrow"/>
                <a:cs typeface="Aptos Narrow"/>
              </a:defRPr>
            </a:pPr>
            <a:endParaRPr lang="es-EC"/>
          </a:p>
        </c:txPr>
        <c:crossAx val="2014106831"/>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800" b="0" i="0" strike="noStrike" kern="1200" baseline="0">
              <a:solidFill>
                <a:srgbClr val="1A2B4A"/>
              </a:solidFill>
              <a:latin typeface="Aptos Narrow"/>
              <a:ea typeface="Aptos Narrow"/>
              <a:cs typeface="Aptos Narrow"/>
            </a:defRPr>
          </a:pPr>
          <a:endParaRPr lang="es-EC"/>
        </a:p>
      </c:txPr>
    </c:legend>
    <c:plotVisOnly val="1"/>
    <c:dispBlanksAs val="gap"/>
    <c:showDLblsOverMax val="1"/>
  </c:chart>
  <c:spPr>
    <a:solidFill>
      <a:srgbClr val="F8FAFD"/>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rot="0" spcFirstLastPara="1" vertOverflow="ellipsis" vert="horz" wrap="square" anchor="ctr" anchorCtr="1"/>
          <a:lstStyle/>
          <a:p>
            <a:pPr>
              <a:defRPr sz="1000" b="1" i="0" strike="noStrike" kern="1200" spc="0" baseline="0">
                <a:solidFill>
                  <a:srgbClr val="1A2B4A"/>
                </a:solidFill>
                <a:latin typeface="Aptos Narrow"/>
                <a:ea typeface="Aptos Narrow"/>
                <a:cs typeface="Aptos Narrow"/>
              </a:defRPr>
            </a:pPr>
            <a:r>
              <a:rPr lang="en-US"/>
              <a:t>KPIs SIAP-ICPI — Avance vs Meta (%)</a:t>
            </a:r>
          </a:p>
        </c:rich>
      </c:tx>
      <c:overlay val="0"/>
      <c:spPr>
        <a:solidFill>
          <a:srgbClr val="F8FAFD"/>
        </a:solidFill>
        <a:ln>
          <a:noFill/>
          <a:prstDash val="solid"/>
        </a:ln>
      </c:spPr>
    </c:title>
    <c:autoTitleDeleted val="0"/>
    <c:plotArea>
      <c:layout/>
      <c:barChart>
        <c:barDir val="bar"/>
        <c:grouping val="clustered"/>
        <c:varyColors val="0"/>
        <c:ser>
          <c:idx val="0"/>
          <c:order val="0"/>
          <c:spPr>
            <a:solidFill>
              <a:srgbClr val="2E4A7A"/>
            </a:solidFill>
            <a:ln>
              <a:solidFill>
                <a:srgbClr val="2E4A7A"/>
              </a:solidFill>
              <a:prstDash val="solid"/>
            </a:ln>
          </c:spPr>
          <c:invertIfNegative val="0"/>
          <c:cat>
            <c:strRef>
              <c:f>'M-DASHBOARD'!$F$2:$F$7</c:f>
              <c:strCache>
                <c:ptCount val="6"/>
                <c:pt idx="0">
                  <c:v>M5</c:v>
                </c:pt>
                <c:pt idx="1">
                  <c:v>ICM Oficial SIGAD (%)</c:v>
                </c:pt>
                <c:pt idx="2">
                  <c:v>Ejecución completa Vi=1,Ti=1 (n)</c:v>
                </c:pt>
                <c:pt idx="3">
                  <c:v>Metas con Evidencia Vi=1 (%)</c:v>
                </c:pt>
                <c:pt idx="4">
                  <c:v>🌐 ITAM Global — Transp. (%)</c:v>
                </c:pt>
                <c:pt idx="5">
                  <c:v>Brecha de Integridad ICPI vs ICM (pp)</c:v>
                </c:pt>
              </c:strCache>
            </c:strRef>
          </c:cat>
          <c:val>
            <c:numRef>
              <c:f>'M-DASHBOARD'!$G$2:$G$7</c:f>
              <c:numCache>
                <c:formatCode>General</c:formatCode>
                <c:ptCount val="6"/>
                <c:pt idx="0">
                  <c:v>0</c:v>
                </c:pt>
                <c:pt idx="1">
                  <c:v>92.25</c:v>
                </c:pt>
                <c:pt idx="2">
                  <c:v>5</c:v>
                </c:pt>
                <c:pt idx="3">
                  <c:v>75</c:v>
                </c:pt>
                <c:pt idx="4">
                  <c:v>78.000000000000014</c:v>
                </c:pt>
                <c:pt idx="5">
                  <c:v>53.966986116437887</c:v>
                </c:pt>
              </c:numCache>
            </c:numRef>
          </c:val>
          <c:extLst>
            <c:ext xmlns:c16="http://schemas.microsoft.com/office/drawing/2014/chart" uri="{C3380CC4-5D6E-409C-BE32-E72D297353CC}">
              <c16:uniqueId val="{00000000-002E-4FDC-8BDA-1CB925F3B71F}"/>
            </c:ext>
          </c:extLst>
        </c:ser>
        <c:ser>
          <c:idx val="1"/>
          <c:order val="1"/>
          <c:spPr>
            <a:solidFill>
              <a:srgbClr val="4A7BBF"/>
            </a:solidFill>
            <a:ln>
              <a:solidFill>
                <a:srgbClr val="4A7BBF"/>
              </a:solidFill>
              <a:prstDash val="solid"/>
            </a:ln>
          </c:spPr>
          <c:invertIfNegative val="0"/>
          <c:cat>
            <c:strRef>
              <c:f>'M-DASHBOARD'!$F$2:$F$7</c:f>
              <c:strCache>
                <c:ptCount val="6"/>
                <c:pt idx="0">
                  <c:v>M5</c:v>
                </c:pt>
                <c:pt idx="1">
                  <c:v>ICM Oficial SIGAD (%)</c:v>
                </c:pt>
                <c:pt idx="2">
                  <c:v>Ejecución completa Vi=1,Ti=1 (n)</c:v>
                </c:pt>
                <c:pt idx="3">
                  <c:v>Metas con Evidencia Vi=1 (%)</c:v>
                </c:pt>
                <c:pt idx="4">
                  <c:v>🌐 ITAM Global — Transp. (%)</c:v>
                </c:pt>
                <c:pt idx="5">
                  <c:v>Brecha de Integridad ICPI vs ICM (pp)</c:v>
                </c:pt>
              </c:strCache>
            </c:strRef>
          </c:cat>
          <c:val>
            <c:numRef>
              <c:f>'M-DASHBOARD'!$H$2:$H$7</c:f>
              <c:numCache>
                <c:formatCode>General</c:formatCode>
                <c:ptCount val="6"/>
                <c:pt idx="0">
                  <c:v>0</c:v>
                </c:pt>
                <c:pt idx="1">
                  <c:v>100</c:v>
                </c:pt>
                <c:pt idx="2">
                  <c:v>20</c:v>
                </c:pt>
                <c:pt idx="3">
                  <c:v>100</c:v>
                </c:pt>
                <c:pt idx="4">
                  <c:v>100</c:v>
                </c:pt>
                <c:pt idx="5">
                  <c:v>100</c:v>
                </c:pt>
              </c:numCache>
            </c:numRef>
          </c:val>
          <c:extLst>
            <c:ext xmlns:c16="http://schemas.microsoft.com/office/drawing/2014/chart" uri="{C3380CC4-5D6E-409C-BE32-E72D297353CC}">
              <c16:uniqueId val="{00000001-002E-4FDC-8BDA-1CB925F3B71F}"/>
            </c:ext>
          </c:extLst>
        </c:ser>
        <c:dLbls>
          <c:showLegendKey val="0"/>
          <c:showVal val="0"/>
          <c:showCatName val="0"/>
          <c:showSerName val="0"/>
          <c:showPercent val="0"/>
          <c:showBubbleSize val="0"/>
        </c:dLbls>
        <c:gapWidth val="182"/>
        <c:axId val="155375471"/>
        <c:axId val="155374511"/>
      </c:barChart>
      <c:catAx>
        <c:axId val="155375471"/>
        <c:scaling>
          <c:orientation val="minMax"/>
        </c:scaling>
        <c:delete val="0"/>
        <c:axPos val="l"/>
        <c:numFmt formatCode="General" sourceLinked="1"/>
        <c:majorTickMark val="none"/>
        <c:minorTickMark val="none"/>
        <c:tickLblPos val="nextTo"/>
        <c:spPr>
          <a:noFill/>
          <a:ln w="9525" cap="flat" cmpd="sng" algn="ctr">
            <a:solidFill>
              <a:srgbClr val="C5D3E8"/>
            </a:solidFill>
            <a:prstDash val="solid"/>
            <a:round/>
          </a:ln>
        </c:spPr>
        <c:txPr>
          <a:bodyPr rot="-60000000" spcFirstLastPara="1" vertOverflow="ellipsis" vert="horz" wrap="square" anchor="ctr" anchorCtr="1"/>
          <a:lstStyle/>
          <a:p>
            <a:pPr>
              <a:defRPr sz="800" b="0" i="0" strike="noStrike" kern="1200" baseline="0">
                <a:solidFill>
                  <a:srgbClr val="2E4A7A"/>
                </a:solidFill>
                <a:latin typeface="Aptos Narrow"/>
                <a:ea typeface="Aptos Narrow"/>
                <a:cs typeface="Aptos Narrow"/>
              </a:defRPr>
            </a:pPr>
            <a:endParaRPr lang="es-EC"/>
          </a:p>
        </c:txPr>
        <c:crossAx val="155374511"/>
        <c:crosses val="autoZero"/>
        <c:auto val="1"/>
        <c:lblAlgn val="ctr"/>
        <c:lblOffset val="100"/>
        <c:noMultiLvlLbl val="0"/>
      </c:catAx>
      <c:valAx>
        <c:axId val="155374511"/>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solidFill>
              <a:srgbClr val="C5D3E8"/>
            </a:solidFill>
            <a:prstDash val="solid"/>
          </a:ln>
        </c:spPr>
        <c:txPr>
          <a:bodyPr rot="-60000000" spcFirstLastPara="1" vertOverflow="ellipsis" vert="horz" wrap="square" anchor="ctr" anchorCtr="1"/>
          <a:lstStyle/>
          <a:p>
            <a:pPr>
              <a:defRPr sz="800" b="0" i="0" strike="noStrike" kern="1200" baseline="0">
                <a:solidFill>
                  <a:srgbClr val="2E4A7A"/>
                </a:solidFill>
                <a:latin typeface="Aptos Narrow"/>
                <a:ea typeface="Aptos Narrow"/>
                <a:cs typeface="Aptos Narrow"/>
              </a:defRPr>
            </a:pPr>
            <a:endParaRPr lang="es-EC"/>
          </a:p>
        </c:txPr>
        <c:crossAx val="155375471"/>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800" b="0" i="0" strike="noStrike" kern="1200" baseline="0">
              <a:solidFill>
                <a:srgbClr val="1A2B4A"/>
              </a:solidFill>
              <a:latin typeface="Aptos Narrow"/>
              <a:ea typeface="Aptos Narrow"/>
              <a:cs typeface="Aptos Narrow"/>
            </a:defRPr>
          </a:pPr>
          <a:endParaRPr lang="es-EC"/>
        </a:p>
      </c:txPr>
    </c:legend>
    <c:plotVisOnly val="1"/>
    <c:dispBlanksAs val="gap"/>
    <c:showDLblsOverMax val="1"/>
  </c:chart>
  <c:spPr>
    <a:solidFill>
      <a:srgbClr val="F8FAFD"/>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rot="0" spcFirstLastPara="1" vertOverflow="ellipsis" vert="horz" wrap="square" anchor="ctr" anchorCtr="1"/>
          <a:lstStyle/>
          <a:p>
            <a:pPr>
              <a:defRPr sz="1000" b="1" i="0" strike="noStrike" kern="1200" spc="0" baseline="0">
                <a:solidFill>
                  <a:srgbClr val="1A2B4A"/>
                </a:solidFill>
                <a:latin typeface="Aptos Narrow"/>
                <a:ea typeface="Aptos Narrow"/>
                <a:cs typeface="Aptos Narrow"/>
              </a:defRPr>
            </a:pPr>
            <a:r>
              <a:rPr lang="en-US"/>
              <a:t>Estado Evidencia Forense (n=20)</a:t>
            </a:r>
          </a:p>
        </c:rich>
      </c:tx>
      <c:overlay val="0"/>
      <c:spPr>
        <a:solidFill>
          <a:srgbClr val="F8FAFD"/>
        </a:solidFill>
        <a:ln>
          <a:noFill/>
          <a:prstDash val="solid"/>
        </a:ln>
      </c:spPr>
    </c:title>
    <c:autoTitleDeleted val="0"/>
    <c:plotArea>
      <c:layout/>
      <c:doughnutChart>
        <c:varyColors val="1"/>
        <c:ser>
          <c:idx val="0"/>
          <c:order val="0"/>
          <c:tx>
            <c:strRef>
              <c:f>'M-DASHBOARD'!$G$17</c:f>
              <c:strCache>
                <c:ptCount val="1"/>
                <c:pt idx="0">
                  <c:v>n</c:v>
                </c:pt>
              </c:strCache>
            </c:strRef>
          </c:tx>
          <c:spPr>
            <a:ln>
              <a:prstDash val="solid"/>
            </a:ln>
          </c:spPr>
          <c:dPt>
            <c:idx val="0"/>
            <c:bubble3D val="0"/>
            <c:spPr>
              <a:solidFill>
                <a:schemeClr val="accent1">
                  <a:shade val="65000"/>
                </a:schemeClr>
              </a:solidFill>
              <a:ln w="19050">
                <a:solidFill>
                  <a:schemeClr val="lt1"/>
                </a:solidFill>
                <a:prstDash val="solid"/>
              </a:ln>
            </c:spPr>
            <c:extLst>
              <c:ext xmlns:c16="http://schemas.microsoft.com/office/drawing/2014/chart" uri="{C3380CC4-5D6E-409C-BE32-E72D297353CC}">
                <c16:uniqueId val="{00000001-2C5D-4E8B-B40F-D0E7F1EAB124}"/>
              </c:ext>
            </c:extLst>
          </c:dPt>
          <c:dPt>
            <c:idx val="1"/>
            <c:bubble3D val="0"/>
            <c:spPr>
              <a:solidFill>
                <a:schemeClr val="accent1"/>
              </a:solidFill>
              <a:ln w="19050">
                <a:solidFill>
                  <a:schemeClr val="lt1"/>
                </a:solidFill>
                <a:prstDash val="solid"/>
              </a:ln>
            </c:spPr>
            <c:extLst>
              <c:ext xmlns:c16="http://schemas.microsoft.com/office/drawing/2014/chart" uri="{C3380CC4-5D6E-409C-BE32-E72D297353CC}">
                <c16:uniqueId val="{00000003-2C5D-4E8B-B40F-D0E7F1EAB124}"/>
              </c:ext>
            </c:extLst>
          </c:dPt>
          <c:dPt>
            <c:idx val="2"/>
            <c:bubble3D val="0"/>
            <c:spPr>
              <a:solidFill>
                <a:schemeClr val="accent1">
                  <a:tint val="65000"/>
                </a:schemeClr>
              </a:solidFill>
              <a:ln w="19050">
                <a:solidFill>
                  <a:schemeClr val="lt1"/>
                </a:solidFill>
                <a:prstDash val="solid"/>
              </a:ln>
            </c:spPr>
            <c:extLst>
              <c:ext xmlns:c16="http://schemas.microsoft.com/office/drawing/2014/chart" uri="{C3380CC4-5D6E-409C-BE32-E72D297353CC}">
                <c16:uniqueId val="{00000005-2C5D-4E8B-B40F-D0E7F1EAB124}"/>
              </c:ext>
            </c:extLst>
          </c:dPt>
          <c:cat>
            <c:strRef>
              <c:f>'M-DASHBOARD'!$F$18:$F$20</c:f>
              <c:strCache>
                <c:ptCount val="3"/>
                <c:pt idx="0">
                  <c:v>✅ Evidencia completa</c:v>
                </c:pt>
                <c:pt idx="1">
                  <c:v>⚠️ Evidencia parcial</c:v>
                </c:pt>
                <c:pt idx="2">
                  <c:v>❌ Sin evidencia</c:v>
                </c:pt>
              </c:strCache>
            </c:strRef>
          </c:cat>
          <c:val>
            <c:numRef>
              <c:f>'M-DASHBOARD'!$G$18:$G$20</c:f>
              <c:numCache>
                <c:formatCode>General</c:formatCode>
                <c:ptCount val="3"/>
                <c:pt idx="0">
                  <c:v>1</c:v>
                </c:pt>
                <c:pt idx="1">
                  <c:v>7</c:v>
                </c:pt>
                <c:pt idx="2">
                  <c:v>12</c:v>
                </c:pt>
              </c:numCache>
            </c:numRef>
          </c:val>
          <c:extLst>
            <c:ext xmlns:c16="http://schemas.microsoft.com/office/drawing/2014/chart" uri="{C3380CC4-5D6E-409C-BE32-E72D297353CC}">
              <c16:uniqueId val="{00000006-2C5D-4E8B-B40F-D0E7F1EAB124}"/>
            </c:ext>
          </c:extLst>
        </c:ser>
        <c:dLbls>
          <c:showLegendKey val="0"/>
          <c:showVal val="0"/>
          <c:showCatName val="0"/>
          <c:showSerName val="0"/>
          <c:showPercent val="0"/>
          <c:showBubbleSize val="0"/>
          <c:showLeaderLines val="1"/>
        </c:dLbls>
        <c:firstSliceAng val="0"/>
        <c:holeSize val="75"/>
      </c:doughnutChart>
    </c:plotArea>
    <c:legend>
      <c:legendPos val="b"/>
      <c:overlay val="0"/>
      <c:spPr>
        <a:noFill/>
        <a:ln>
          <a:noFill/>
          <a:prstDash val="solid"/>
        </a:ln>
      </c:spPr>
      <c:txPr>
        <a:bodyPr rot="0" spcFirstLastPara="1" vertOverflow="ellipsis" vert="horz" wrap="square" anchor="ctr" anchorCtr="1"/>
        <a:lstStyle/>
        <a:p>
          <a:pPr>
            <a:defRPr sz="800" b="0" i="0" strike="noStrike" kern="1200" baseline="0">
              <a:solidFill>
                <a:srgbClr val="1A2B4A"/>
              </a:solidFill>
              <a:latin typeface="Aptos Narrow"/>
              <a:ea typeface="Aptos Narrow"/>
              <a:cs typeface="Aptos Narrow"/>
            </a:defRPr>
          </a:pPr>
          <a:endParaRPr lang="es-EC"/>
        </a:p>
      </c:txPr>
    </c:legend>
    <c:plotVisOnly val="1"/>
    <c:dispBlanksAs val="gap"/>
    <c:showDLblsOverMax val="1"/>
  </c:chart>
  <c:spPr>
    <a:solidFill>
      <a:srgbClr val="F8FAFD"/>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4732913</xdr:colOff>
      <xdr:row>7</xdr:row>
      <xdr:rowOff>126497</xdr:rowOff>
    </xdr:from>
    <xdr:to>
      <xdr:col>9</xdr:col>
      <xdr:colOff>507445</xdr:colOff>
      <xdr:row>24</xdr:row>
      <xdr:rowOff>41184</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503809</xdr:colOff>
      <xdr:row>7</xdr:row>
      <xdr:rowOff>140294</xdr:rowOff>
    </xdr:from>
    <xdr:to>
      <xdr:col>20</xdr:col>
      <xdr:colOff>740833</xdr:colOff>
      <xdr:row>45</xdr:row>
      <xdr:rowOff>66502</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4724964</xdr:colOff>
      <xdr:row>24</xdr:row>
      <xdr:rowOff>56187</xdr:rowOff>
    </xdr:from>
    <xdr:to>
      <xdr:col>9</xdr:col>
      <xdr:colOff>511914</xdr:colOff>
      <xdr:row>45</xdr:row>
      <xdr:rowOff>35230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DELL" id="{DB437DA0-0E80-4A2A-9155-B8475FCDF35F}" userId="DELL" providerId="Non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4" dT="2026-03-08T14:57:19.27" personId="{DB437DA0-0E80-4A2A-9155-B8475FCDF35F}" id="{BA55E3F4-A4F1-4C0C-8C0D-A42BA50D23BB}">
    <text>ENCABEZADO CRITICO — 'Vi'
Motor ICPI y MVCI lo localizan via MATCH('Vi', A4:P4, 0).
Si se renombra, todos los Vi devuelven 1 (default), inflando el ICPI.
No renombrar sin actualizar ICPI!E5:E24 y MVCI!E6:E25.</text>
  </threadedComment>
  <threadedComment ref="H4" dT="2026-03-08T14:57:19.27" personId="{DB437DA0-0E80-4A2A-9155-B8475FCDF35F}" id="{E6B999E2-DBC4-4277-A875-8E425395E778}">
    <text>ENCABEZADO CRITICO — 'Ti (H)'
Motor ICPI y MVCI lo localizan via MATCH('Ti (H)', A4:P4, 0).
Si se renombra, todos los Ti devuelven 0, desinflando el ICPI.
No renombrar sin actualizar ICPI!F5:F24 y MVCI!I6:I24.</text>
  </threadedComment>
  <threadedComment ref="P4" dT="2026-03-08T14:57:19.28" personId="{DB437DA0-0E80-4A2A-9155-B8475FCDF35F}" id="{BB1CD930-C0A4-4BCD-BABB-F20EC54FB3EE}">
    <text>ENCABEZADO CRITICO — 'Pi / Ci'
Motor ICPI localiza Ci via MATCH('Pi / Ci', A4:P4, 0).
Si se renombra, todos los Ci devuelven 1 (default).
No renombrar sin actualizar ICPI!I5:I24.</text>
  </threadedComment>
  <threadedComment ref="A23" dT="2026-03-08T14:57:19.27" personId="{DB437DA0-0E80-4A2A-9155-B8475FCDF35F}" id="{ACFB83D3-C8D3-478B-B6E0-5FF303726E58}">
    <text>CELDA CRITICA — Codigo meta PDOT.AS.VL.M1.01
Formula: =PDOT!B4
HISTORIAL: Contuvo =PDOT!B24 haciendo invisible la meta de mayor
peso (Pi=33%) al motor ICPI. Corregida en Fase 1.
No editar manualmente. Regenerar como =PDOT!B4 si se pierde.</text>
  </threadedComment>
</ThreadedComments>
</file>

<file path=xl/threadedComments/threadedComment2.xml><?xml version="1.0" encoding="utf-8"?>
<ThreadedComments xmlns="http://schemas.microsoft.com/office/spreadsheetml/2018/threadedcomments" xmlns:x="http://schemas.openxmlformats.org/spreadsheetml/2006/main">
  <threadedComment ref="C4" dT="2026-03-08T14:57:19.22" personId="{DB437DA0-0E80-4A2A-9155-B8475FCDF35F}" id="{86098437-C4F7-418E-BA06-91DC1589F0D5}">
    <text>REFERENCIA POSICIONAL — Pi (Peso Presupuestario)
Fuente: PONDER!F14:F33, mismo orden que PDOT!B4:B23.
ADVERTENCIA: Si se inserta fila en PONDER entre F13 y F14, TODOS los Pi
se desplazan sin generar error. Verificar PONDER!B14 = PDOT!B4 antes de modificar.</text>
  </threadedComment>
  <threadedComment ref="D4" dT="2026-03-08T14:57:19.22" personId="{DB437DA0-0E80-4A2A-9155-B8475FCDF35F}" id="{D23ACA4F-06BB-47C0-8C91-B92CA906D742}">
    <text>REFERENCIA POSICIONAL — Ri (Factor de Riesgo)
Fuente: TFR!F5:F24, mismo orden que PDOT!B4:B23.
ADVERTENCIA: Sin VLOOKUP por codigo. Si TFR se reordena, Ri cambia sin aviso.
Verificar TFR!B5 = PDOT!B4 antes de modificar TFR.</text>
  </threadedComment>
  <threadedComment ref="E4" dT="2026-03-08T14:57:19.22" personId="{DB437DA0-0E80-4A2A-9155-B8475FCDF35F}" id="{59986E91-D1AD-4D99-BA5D-6A5CCE04D9CB}">
    <text>FUENTE DINAMICA — Vi (Verificacion Documental)
Formula: VLOOKUP(Cod.PDOT, MAD!A5:P24, MATCH('Vi',MAD!A4:P4,0), 0)
Indice resuelto por encabezado, NO numero fijo. Default si cod no existe: 1.
Riesgo residual: si MAD!F4 cambia de nombre, MATCH falla silenciosamente.</text>
  </threadedComment>
  <threadedComment ref="F4" dT="2026-03-08T14:57:19.22" personId="{DB437DA0-0E80-4A2A-9155-B8475FCDF35F}" id="{808840C7-17C9-4FC5-B899-0C72DC88F1BD}">
    <text>FUENTE DINAMICA — Ti (Oportunidad Temporal)
Formula: VLOOKUP(Cod.PDOT, MAD!A5:P24, MATCH('Ti (H)',MAD!A4:P4,0), 0)
Default si cod no existe: 0. Encabezado exacto requerido: 'Ti (H)' en MAD!H4.</text>
  </threadedComment>
  <threadedComment ref="I4" dT="2026-03-08T14:57:19.22" personId="{DB437DA0-0E80-4A2A-9155-B8475FCDF35F}" id="{D9344873-6140-40A1-A950-9F862F09D0D2}">
    <text>FUENTE DINAMICA — Ci (Control Institucional)
Formula: VLOOKUP(Cod.PDOT, MAD!A5:P24, MATCH('Pi / Ci',MAD!A4:P4,0), 0)
Default si cod no existe: 1. Encabezado exacto: 'Pi / Ci' en MAD!P4.</text>
  </threadedComment>
  <threadedComment ref="A5" dT="2026-03-08T14:57:19.23" personId="{DB437DA0-0E80-4A2A-9155-B8475FCDF35F}" id="{1E151C8E-BFDD-4857-9A70-85FBE0EAA733}">
    <text>CELDA CRITICA — Primera meta, mayor peso Pi=33%
Formula correcta: =PDOT!B4
HISTORIAL: Contuvo =PDOT!B24 ('TOTAL MUESTRA') causando perdida silenciosa
de PDOT.AS.VL.M1.01 en el ICPI. Corregida en Fase 1.
No editar manualmente. Si se pierde: regenerar como =PDOT!B4.</text>
  </threadedComment>
</ThreadedComments>
</file>

<file path=xl/threadedComments/threadedComment3.xml><?xml version="1.0" encoding="utf-8"?>
<ThreadedComments xmlns="http://schemas.microsoft.com/office/spreadsheetml/2018/threadedcomments" xmlns:x="http://schemas.openxmlformats.org/spreadsheetml/2006/main">
  <threadedComment ref="E5" dT="2026-03-08T14:57:19.28" personId="{DB437DA0-0E80-4A2A-9155-B8475FCDF35F}" id="{DA1CC246-670E-44C7-9A2C-4E67507A7645}">
    <text>FUENTE DINAMICA — Vi por VLOOKUP (blindado Fase 3)
Formula: VLOOKUP(B?, MAD!A5:H24, MATCH('Vi',MAD!A4:H4,0), 0)
Reemplaza referencias posicionales MAD!F5:F24 (riesgo critico eliminado).
Metas fuera de muestra n=20 devuelven vacio (IFERROR) — correcto.</text>
  </threadedComment>
  <threadedComment ref="I5" dT="2026-03-08T14:57:19.29" personId="{DB437DA0-0E80-4A2A-9155-B8475FCDF35F}" id="{760DC41A-09E9-4532-A10D-4DA0737DE8AE}">
    <text>FUENTE DINAMICA — Ti por VLOOKUP (blindado Fase 3)
Formula: VLOOKUP(B?, MAD!A5:H24, MATCH('Ti (H)',MAD!A4:H4,0), 0)
Reemplaza referencias posicionales MAD!H5:H23 (riesgo critico eliminado).
Metas fuera de muestra n=20 devuelven vacio (IFERROR) — correcto.</text>
  </threadedComment>
</ThreadedComments>
</file>

<file path=xl/threadedComments/threadedComment4.xml><?xml version="1.0" encoding="utf-8"?>
<ThreadedComments xmlns="http://schemas.microsoft.com/office/spreadsheetml/2018/threadedcomments" xmlns:x="http://schemas.openxmlformats.org/spreadsheetml/2006/main">
  <threadedComment ref="B4" dT="2026-03-08T14:57:19.28" personId="{DB437DA0-0E80-4A2A-9155-B8475FCDF35F}" id="{26D8493D-462E-4BB1-BDB6-CC7CC3C750BE}">
    <text>CRITERIOS SUMIF — Eje TERRITORIAL (2 sistemas)
Incluye: 'Asentamientos Humanos' + 'Fisico Ambiental'
Criterios deben coincidir EXACTAMENTE con PDOT!C4:C23.
Si PDOT cambia nombre del sistema, SUMIF devuelve 0 sin error visible.</text>
  </threadedComment>
  <threadedComment ref="B6" dT="2026-03-08T14:57:19.28" personId="{DB437DA0-0E80-4A2A-9155-B8475FCDF35F}" id="{F65F974F-EFBF-4479-B009-25D23CBFBAD7}">
    <text>CRITERIO SUMIF — Eje AMBIENTAL
Criterio actual: 'AMBIENTAL' (en mayusculas).
Si PDOT!C usa variante diferente, SUMIF retorna 0 sin aviso.
Verificar coincidencia exacta con columna C de PDOT.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5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5841AE7-9436-4E05-B381-B00567FA6E04}">
  <we:reference id="wa200009404" version="1.0.0.8" store="es-MX" storeType="OMEX"/>
  <we:alternateReferences>
    <we:reference id="wa200009404" version="1.0.0.8" store="es-MX" storeType="OMEX"/>
  </we:alternateReferences>
  <we:properties>
    <we:property name="Office.AutoShowTaskpaneWithDocument" value="true"/>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8CCE4"/>
  </sheetPr>
  <dimension ref="A1:Z55"/>
  <sheetViews>
    <sheetView showGridLines="0" topLeftCell="D1" zoomScale="94" zoomScaleNormal="94" workbookViewId="0">
      <pane ySplit="8" topLeftCell="A34" activePane="bottomLeft" state="frozen"/>
      <selection pane="bottomLeft" activeCell="C3" sqref="C3"/>
    </sheetView>
  </sheetViews>
  <sheetFormatPr baseColWidth="10" defaultRowHeight="14.4" x14ac:dyDescent="0.3"/>
  <cols>
    <col min="1" max="1" width="10.5546875" style="41" customWidth="1"/>
    <col min="2" max="2" width="22.109375" bestFit="1" customWidth="1"/>
    <col min="3" max="3" width="33.21875" bestFit="1" customWidth="1"/>
    <col min="4" max="4" width="96.5546875" style="4" bestFit="1" customWidth="1"/>
    <col min="5" max="5" width="45.77734375" style="3" bestFit="1" customWidth="1"/>
    <col min="6" max="6" width="21.109375" bestFit="1" customWidth="1"/>
    <col min="7" max="7" width="36" customWidth="1"/>
    <col min="8" max="8" width="47.6640625" customWidth="1"/>
  </cols>
  <sheetData>
    <row r="1" spans="1:26" ht="28.05" customHeight="1" x14ac:dyDescent="0.3">
      <c r="A1" s="1915" t="s">
        <v>4768</v>
      </c>
      <c r="B1" s="1655"/>
      <c r="C1" s="1655"/>
      <c r="D1" s="1655"/>
      <c r="E1" s="1655"/>
      <c r="F1" s="1655"/>
      <c r="G1" s="1655"/>
      <c r="H1" s="1655"/>
      <c r="I1" s="1655"/>
      <c r="J1" s="1655"/>
      <c r="K1" s="1655"/>
      <c r="L1" s="1655"/>
      <c r="M1" s="48"/>
      <c r="N1" s="48"/>
      <c r="O1" s="48"/>
      <c r="P1" s="48"/>
      <c r="Q1" s="48"/>
      <c r="R1" s="48"/>
      <c r="S1" s="48"/>
      <c r="T1" s="48"/>
      <c r="U1" s="48"/>
      <c r="V1" s="48"/>
      <c r="W1" s="48"/>
      <c r="X1" s="48"/>
      <c r="Y1" s="48"/>
      <c r="Z1" s="48"/>
    </row>
    <row r="2" spans="1:26" s="7" customFormat="1" ht="19.95" customHeight="1" x14ac:dyDescent="0.35">
      <c r="A2" s="1653" t="s">
        <v>4627</v>
      </c>
      <c r="B2" s="1654"/>
      <c r="C2" s="1654"/>
      <c r="D2" s="1654"/>
      <c r="E2" s="1654"/>
      <c r="F2" s="1654"/>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47"/>
      <c r="N2" s="47"/>
      <c r="O2" s="47"/>
      <c r="P2" s="47"/>
      <c r="Q2" s="47"/>
      <c r="R2" s="47"/>
      <c r="S2" s="47"/>
      <c r="T2" s="47"/>
      <c r="U2" s="47"/>
      <c r="V2" s="47"/>
      <c r="W2" s="47"/>
      <c r="X2" s="47"/>
      <c r="Y2" s="47"/>
      <c r="Z2" s="47"/>
    </row>
    <row r="3" spans="1:26" s="5" customFormat="1" ht="19.95" customHeight="1" thickBot="1" x14ac:dyDescent="0.35">
      <c r="A3" s="1221" t="s">
        <v>4211</v>
      </c>
      <c r="B3" s="526" t="s">
        <v>4212</v>
      </c>
      <c r="C3" s="526"/>
      <c r="D3" s="526" t="s">
        <v>4213</v>
      </c>
      <c r="E3" s="526" t="s">
        <v>4214</v>
      </c>
      <c r="F3" s="526"/>
      <c r="G3" s="527"/>
      <c r="H3" s="527"/>
      <c r="I3" s="528"/>
      <c r="J3" s="528"/>
      <c r="K3" s="528"/>
      <c r="L3" s="528"/>
      <c r="M3" s="91"/>
      <c r="N3" s="91"/>
      <c r="O3" s="91"/>
      <c r="P3" s="91"/>
      <c r="Q3" s="91"/>
      <c r="R3" s="91"/>
      <c r="S3" s="91"/>
      <c r="T3" s="91"/>
      <c r="U3" s="91"/>
      <c r="V3" s="91"/>
      <c r="W3" s="91"/>
      <c r="X3" s="91"/>
      <c r="Y3" s="91"/>
      <c r="Z3" s="91"/>
    </row>
    <row r="4" spans="1:26" ht="19.95" customHeight="1" thickTop="1" x14ac:dyDescent="0.3">
      <c r="A4" s="1560" t="s">
        <v>4215</v>
      </c>
      <c r="B4" s="534" t="s">
        <v>4216</v>
      </c>
      <c r="C4" s="534"/>
      <c r="D4" s="1559" t="s">
        <v>4217</v>
      </c>
      <c r="E4" s="534" t="s">
        <v>4218</v>
      </c>
      <c r="F4" s="534"/>
      <c r="G4" s="535"/>
      <c r="H4" s="535"/>
      <c r="I4" s="86"/>
      <c r="J4" s="86"/>
      <c r="K4" s="86"/>
      <c r="L4" s="86"/>
      <c r="M4" s="86"/>
      <c r="N4" s="86"/>
      <c r="O4" s="86"/>
      <c r="P4" s="86"/>
      <c r="Q4" s="86"/>
      <c r="R4" s="86"/>
      <c r="S4" s="86"/>
      <c r="T4" s="86"/>
      <c r="U4" s="86"/>
      <c r="V4" s="86"/>
      <c r="W4" s="86"/>
      <c r="X4" s="86"/>
      <c r="Y4" s="86"/>
      <c r="Z4" s="87"/>
    </row>
    <row r="5" spans="1:26" ht="19.95" customHeight="1" x14ac:dyDescent="0.3">
      <c r="A5" s="1561" t="s">
        <v>4219</v>
      </c>
      <c r="B5" s="530" t="s">
        <v>166</v>
      </c>
      <c r="C5" s="530"/>
      <c r="D5" s="529" t="s">
        <v>4220</v>
      </c>
      <c r="E5" s="532">
        <v>32990353.02</v>
      </c>
      <c r="F5" s="530"/>
      <c r="G5" s="531"/>
      <c r="H5" s="531"/>
      <c r="I5" s="533"/>
      <c r="J5" s="533"/>
      <c r="K5" s="533"/>
      <c r="L5" s="533"/>
      <c r="M5" s="66"/>
      <c r="N5" s="66"/>
      <c r="O5" s="66"/>
      <c r="P5" s="66"/>
      <c r="Q5" s="66"/>
      <c r="R5" s="66"/>
      <c r="S5" s="66"/>
      <c r="T5" s="66"/>
      <c r="U5" s="66"/>
      <c r="V5" s="66"/>
      <c r="W5" s="66"/>
      <c r="X5" s="66"/>
      <c r="Y5" s="66"/>
      <c r="Z5" s="67"/>
    </row>
    <row r="6" spans="1:26" ht="19.95" customHeight="1" x14ac:dyDescent="0.3">
      <c r="A6" s="1560" t="s">
        <v>4168</v>
      </c>
      <c r="B6" s="534" t="s">
        <v>4221</v>
      </c>
      <c r="C6" s="534"/>
      <c r="D6" s="1559" t="s">
        <v>4222</v>
      </c>
      <c r="E6" s="534" t="s">
        <v>4469</v>
      </c>
      <c r="F6" s="534" t="s">
        <v>4469</v>
      </c>
      <c r="G6" s="535"/>
      <c r="H6" s="535"/>
      <c r="I6" s="60"/>
      <c r="J6" s="60"/>
      <c r="K6" s="60"/>
      <c r="L6" s="60"/>
      <c r="M6" s="50"/>
      <c r="N6" s="50"/>
      <c r="O6" s="50"/>
      <c r="P6" s="50"/>
      <c r="Q6" s="50"/>
      <c r="R6" s="50"/>
      <c r="S6" s="50"/>
      <c r="T6" s="50"/>
      <c r="U6" s="50"/>
      <c r="V6" s="50"/>
      <c r="W6" s="50"/>
      <c r="X6" s="50"/>
      <c r="Y6" s="50"/>
      <c r="Z6" s="51"/>
    </row>
    <row r="7" spans="1:26" ht="19.95" customHeight="1" thickBot="1" x14ac:dyDescent="0.35">
      <c r="A7" s="1562"/>
      <c r="B7" s="530"/>
      <c r="C7" s="530"/>
      <c r="D7" s="530"/>
      <c r="E7" s="530"/>
      <c r="F7" s="530"/>
      <c r="G7" s="531"/>
      <c r="H7" s="531"/>
      <c r="I7" s="549"/>
      <c r="J7" s="549"/>
      <c r="K7" s="549"/>
      <c r="L7" s="549"/>
      <c r="M7" s="60"/>
      <c r="N7" s="60"/>
      <c r="O7" s="60"/>
      <c r="P7" s="60"/>
      <c r="Q7" s="60"/>
      <c r="R7" s="60"/>
      <c r="S7" s="60"/>
      <c r="T7" s="60"/>
      <c r="U7" s="60"/>
      <c r="V7" s="60"/>
      <c r="W7" s="60"/>
      <c r="X7" s="60"/>
      <c r="Y7" s="60"/>
      <c r="Z7" s="61"/>
    </row>
    <row r="8" spans="1:26" ht="28.05" customHeight="1" thickTop="1" x14ac:dyDescent="0.3">
      <c r="A8" s="610" t="s">
        <v>661</v>
      </c>
      <c r="B8" s="606" t="s">
        <v>4223</v>
      </c>
      <c r="C8" s="584" t="s">
        <v>3483</v>
      </c>
      <c r="D8" s="584" t="s">
        <v>122</v>
      </c>
      <c r="E8" s="584" t="s">
        <v>4224</v>
      </c>
      <c r="F8" s="584" t="s">
        <v>4225</v>
      </c>
      <c r="G8" s="585"/>
      <c r="H8" s="585"/>
      <c r="I8" s="585"/>
      <c r="J8" s="585"/>
      <c r="K8" s="585"/>
      <c r="L8" s="586"/>
      <c r="M8" s="544"/>
      <c r="N8" s="50"/>
      <c r="O8" s="50"/>
      <c r="P8" s="50"/>
      <c r="Q8" s="50"/>
      <c r="R8" s="50"/>
      <c r="S8" s="50"/>
      <c r="T8" s="50"/>
      <c r="U8" s="50"/>
      <c r="V8" s="50"/>
      <c r="W8" s="50"/>
      <c r="X8" s="50"/>
      <c r="Y8" s="50"/>
      <c r="Z8" s="51"/>
    </row>
    <row r="9" spans="1:26" ht="25.95" customHeight="1" x14ac:dyDescent="0.3">
      <c r="A9" s="1505">
        <v>1</v>
      </c>
      <c r="B9" s="607" t="s">
        <v>4226</v>
      </c>
      <c r="C9" s="588" t="str">
        <f>HYPERLINK("#'M-DASHBOARD'!A1","M-DASHBOARD")</f>
        <v>M-DASHBOARD</v>
      </c>
      <c r="D9" s="587" t="s">
        <v>4227</v>
      </c>
      <c r="E9" s="587" t="s">
        <v>4228</v>
      </c>
      <c r="F9" s="589" t="str">
        <f>HYPERLINK("#'M-DASHBOARD'!A1","Ir →")</f>
        <v>Ir →</v>
      </c>
      <c r="G9" s="590"/>
      <c r="H9" s="590"/>
      <c r="I9" s="590"/>
      <c r="J9" s="590"/>
      <c r="K9" s="590"/>
      <c r="L9" s="591"/>
      <c r="M9" s="545"/>
      <c r="N9" s="60"/>
      <c r="O9" s="60"/>
      <c r="P9" s="60"/>
      <c r="Q9" s="60"/>
      <c r="R9" s="60"/>
      <c r="S9" s="60"/>
      <c r="T9" s="60"/>
      <c r="U9" s="60"/>
      <c r="V9" s="60"/>
      <c r="W9" s="60"/>
      <c r="X9" s="60"/>
      <c r="Y9" s="60"/>
      <c r="Z9" s="61"/>
    </row>
    <row r="10" spans="1:26" ht="25.95" customHeight="1" x14ac:dyDescent="0.3">
      <c r="A10" s="611">
        <v>2</v>
      </c>
      <c r="B10" s="608" t="s">
        <v>4229</v>
      </c>
      <c r="C10" s="593" t="str">
        <f>HYPERLINK("#'M-TECH-GAD'!A1","M-TECH-GAD")</f>
        <v>M-TECH-GAD</v>
      </c>
      <c r="D10" s="592" t="s">
        <v>4230</v>
      </c>
      <c r="E10" s="592" t="s">
        <v>4231</v>
      </c>
      <c r="F10" s="594" t="str">
        <f>HYPERLINK("#'M-TECH-GAD'!A1","Ir →")</f>
        <v>Ir →</v>
      </c>
      <c r="G10" s="595"/>
      <c r="H10" s="595"/>
      <c r="I10" s="595"/>
      <c r="J10" s="595"/>
      <c r="K10" s="595"/>
      <c r="L10" s="596"/>
      <c r="M10" s="544"/>
      <c r="N10" s="50"/>
      <c r="O10" s="50"/>
      <c r="P10" s="50"/>
      <c r="Q10" s="50"/>
      <c r="R10" s="50"/>
      <c r="S10" s="50"/>
      <c r="T10" s="50"/>
      <c r="U10" s="50"/>
      <c r="V10" s="50"/>
      <c r="W10" s="50"/>
      <c r="X10" s="50"/>
      <c r="Y10" s="50"/>
      <c r="Z10" s="51"/>
    </row>
    <row r="11" spans="1:26" ht="25.95" customHeight="1" x14ac:dyDescent="0.3">
      <c r="A11" s="1505">
        <v>3</v>
      </c>
      <c r="B11" s="607" t="s">
        <v>4229</v>
      </c>
      <c r="C11" s="588" t="str">
        <f>HYPERLINK("#'M-TECH-PARAMS'!A1","M-TECH-PARAMS")</f>
        <v>M-TECH-PARAMS</v>
      </c>
      <c r="D11" s="587" t="s">
        <v>4232</v>
      </c>
      <c r="E11" s="587" t="s">
        <v>4233</v>
      </c>
      <c r="F11" s="589" t="str">
        <f>HYPERLINK("#'M-TECH-PARAMS'!A1","Ir →")</f>
        <v>Ir →</v>
      </c>
      <c r="G11" s="590"/>
      <c r="H11" s="590"/>
      <c r="I11" s="590"/>
      <c r="J11" s="590"/>
      <c r="K11" s="590"/>
      <c r="L11" s="591"/>
      <c r="M11" s="545"/>
      <c r="N11" s="60"/>
      <c r="O11" s="60"/>
      <c r="P11" s="60"/>
      <c r="Q11" s="60"/>
      <c r="R11" s="60"/>
      <c r="S11" s="60"/>
      <c r="T11" s="60"/>
      <c r="U11" s="60"/>
      <c r="V11" s="60"/>
      <c r="W11" s="60"/>
      <c r="X11" s="60"/>
      <c r="Y11" s="60"/>
      <c r="Z11" s="61"/>
    </row>
    <row r="12" spans="1:26" ht="25.95" customHeight="1" x14ac:dyDescent="0.3">
      <c r="A12" s="611">
        <v>4</v>
      </c>
      <c r="B12" s="608" t="s">
        <v>4234</v>
      </c>
      <c r="C12" s="593" t="str">
        <f>HYPERLINK("#'M1-ITME'!A1","M1-ITME")</f>
        <v>M1-ITME</v>
      </c>
      <c r="D12" s="592" t="s">
        <v>4235</v>
      </c>
      <c r="E12" s="592" t="s">
        <v>4236</v>
      </c>
      <c r="F12" s="594" t="str">
        <f>HYPERLINK("#'M1-ITME'!A1","Ir →")</f>
        <v>Ir →</v>
      </c>
      <c r="G12" s="595"/>
      <c r="H12" s="595"/>
      <c r="I12" s="595"/>
      <c r="J12" s="595"/>
      <c r="K12" s="595"/>
      <c r="L12" s="596"/>
      <c r="M12" s="544"/>
      <c r="N12" s="50"/>
      <c r="O12" s="50"/>
      <c r="P12" s="50"/>
      <c r="Q12" s="50"/>
      <c r="R12" s="50"/>
      <c r="S12" s="50"/>
      <c r="T12" s="50"/>
      <c r="U12" s="50"/>
      <c r="V12" s="50"/>
      <c r="W12" s="50"/>
      <c r="X12" s="50"/>
      <c r="Y12" s="50"/>
      <c r="Z12" s="51"/>
    </row>
    <row r="13" spans="1:26" ht="25.95" customHeight="1" x14ac:dyDescent="0.3">
      <c r="A13" s="1505">
        <v>5</v>
      </c>
      <c r="B13" s="607" t="s">
        <v>4229</v>
      </c>
      <c r="C13" s="588" t="str">
        <f>HYPERLINK("#'M2-PDOT'!A1","M2-PDOT")</f>
        <v>M2-PDOT</v>
      </c>
      <c r="D13" s="587" t="s">
        <v>4462</v>
      </c>
      <c r="E13" s="587" t="s">
        <v>4237</v>
      </c>
      <c r="F13" s="589" t="str">
        <f>HYPERLINK("#'M2-PDOT'!A1","Ir →")</f>
        <v>Ir →</v>
      </c>
      <c r="G13" s="590"/>
      <c r="H13" s="590"/>
      <c r="I13" s="590"/>
      <c r="J13" s="590"/>
      <c r="K13" s="590"/>
      <c r="L13" s="591"/>
      <c r="M13" s="545"/>
      <c r="N13" s="60"/>
      <c r="O13" s="60"/>
      <c r="P13" s="60"/>
      <c r="Q13" s="60"/>
      <c r="R13" s="60"/>
      <c r="S13" s="60"/>
      <c r="T13" s="60"/>
      <c r="U13" s="60"/>
      <c r="V13" s="60"/>
      <c r="W13" s="60"/>
      <c r="X13" s="60"/>
      <c r="Y13" s="60"/>
      <c r="Z13" s="61"/>
    </row>
    <row r="14" spans="1:26" ht="25.95" customHeight="1" x14ac:dyDescent="0.3">
      <c r="A14" s="611">
        <v>6</v>
      </c>
      <c r="B14" s="608" t="s">
        <v>4229</v>
      </c>
      <c r="C14" s="593" t="str">
        <f>HYPERLINK("#'M2-PLAN-Pi'!A1","M2-PLAN-Pi")</f>
        <v>M2-PLAN-Pi</v>
      </c>
      <c r="D14" s="592" t="s">
        <v>4238</v>
      </c>
      <c r="E14" s="592" t="s">
        <v>4239</v>
      </c>
      <c r="F14" s="594" t="str">
        <f>HYPERLINK("#'M2-PLAN-Pi'!A1","Ir →")</f>
        <v>Ir →</v>
      </c>
      <c r="G14" s="595"/>
      <c r="H14" s="595"/>
      <c r="I14" s="595"/>
      <c r="J14" s="595"/>
      <c r="K14" s="595"/>
      <c r="L14" s="596"/>
      <c r="M14" s="544"/>
      <c r="N14" s="50"/>
      <c r="O14" s="50"/>
      <c r="P14" s="50"/>
      <c r="Q14" s="50"/>
      <c r="R14" s="50"/>
      <c r="S14" s="50"/>
      <c r="T14" s="50"/>
      <c r="U14" s="50"/>
      <c r="V14" s="50"/>
      <c r="W14" s="50"/>
      <c r="X14" s="50"/>
      <c r="Y14" s="50"/>
      <c r="Z14" s="51"/>
    </row>
    <row r="15" spans="1:26" ht="25.95" customHeight="1" x14ac:dyDescent="0.3">
      <c r="A15" s="1505">
        <v>7</v>
      </c>
      <c r="B15" s="607" t="s">
        <v>4234</v>
      </c>
      <c r="C15" s="588" t="str">
        <f>HYPERLINK("#'DATA-TFR'!A1","DATA-TFR")</f>
        <v>DATA-TFR</v>
      </c>
      <c r="D15" s="587" t="s">
        <v>4240</v>
      </c>
      <c r="E15" s="587" t="s">
        <v>4241</v>
      </c>
      <c r="F15" s="589" t="str">
        <f>HYPERLINK("#'DATA-TFR'!A1","Ir →")</f>
        <v>Ir →</v>
      </c>
      <c r="G15" s="590"/>
      <c r="H15" s="590"/>
      <c r="I15" s="590"/>
      <c r="J15" s="590"/>
      <c r="K15" s="590"/>
      <c r="L15" s="591"/>
      <c r="M15" s="545"/>
      <c r="N15" s="60"/>
      <c r="O15" s="60"/>
      <c r="P15" s="60"/>
      <c r="Q15" s="60"/>
      <c r="R15" s="60"/>
      <c r="S15" s="60"/>
      <c r="T15" s="60"/>
      <c r="U15" s="60"/>
      <c r="V15" s="60"/>
      <c r="W15" s="60"/>
      <c r="X15" s="60"/>
      <c r="Y15" s="60"/>
      <c r="Z15" s="61"/>
    </row>
    <row r="16" spans="1:26" ht="25.95" customHeight="1" x14ac:dyDescent="0.3">
      <c r="A16" s="611">
        <v>8</v>
      </c>
      <c r="B16" s="608" t="s">
        <v>4234</v>
      </c>
      <c r="C16" s="593" t="str">
        <f>HYPERLINK("#'M3-MAO'!A1","M3-MAO")</f>
        <v>M3-MAO</v>
      </c>
      <c r="D16" s="592" t="s">
        <v>4242</v>
      </c>
      <c r="E16" s="592" t="s">
        <v>4243</v>
      </c>
      <c r="F16" s="594" t="str">
        <f>HYPERLINK("#'M3-MAO'!A1","Ir →")</f>
        <v>Ir →</v>
      </c>
      <c r="G16" s="595"/>
      <c r="H16" s="595"/>
      <c r="I16" s="595"/>
      <c r="J16" s="595"/>
      <c r="K16" s="595"/>
      <c r="L16" s="596"/>
      <c r="M16" s="544"/>
      <c r="N16" s="50"/>
      <c r="O16" s="50"/>
      <c r="P16" s="50"/>
      <c r="Q16" s="50"/>
      <c r="R16" s="50"/>
      <c r="S16" s="50"/>
      <c r="T16" s="50"/>
      <c r="U16" s="50"/>
      <c r="V16" s="50"/>
      <c r="W16" s="50"/>
      <c r="X16" s="50"/>
      <c r="Y16" s="50"/>
      <c r="Z16" s="51"/>
    </row>
    <row r="17" spans="1:26" ht="25.95" customHeight="1" x14ac:dyDescent="0.3">
      <c r="A17" s="1505">
        <v>9</v>
      </c>
      <c r="B17" s="607" t="s">
        <v>4244</v>
      </c>
      <c r="C17" s="588" t="str">
        <f>HYPERLINK("#'DATA-SSC'!A1","DATA-SSC")</f>
        <v>DATA-SSC</v>
      </c>
      <c r="D17" s="587" t="s">
        <v>4245</v>
      </c>
      <c r="E17" s="587" t="s">
        <v>4246</v>
      </c>
      <c r="F17" s="589" t="str">
        <f>HYPERLINK("#'DATA-SSC'!A1","Ir →")</f>
        <v>Ir →</v>
      </c>
      <c r="G17" s="590"/>
      <c r="H17" s="590"/>
      <c r="I17" s="590"/>
      <c r="J17" s="590"/>
      <c r="K17" s="590"/>
      <c r="L17" s="591"/>
      <c r="M17" s="545"/>
      <c r="N17" s="60"/>
      <c r="O17" s="60"/>
      <c r="P17" s="60"/>
      <c r="Q17" s="60"/>
      <c r="R17" s="60"/>
      <c r="S17" s="60"/>
      <c r="T17" s="60"/>
      <c r="U17" s="60"/>
      <c r="V17" s="60"/>
      <c r="W17" s="60"/>
      <c r="X17" s="60"/>
      <c r="Y17" s="60"/>
      <c r="Z17" s="61"/>
    </row>
    <row r="18" spans="1:26" ht="25.95" customHeight="1" x14ac:dyDescent="0.3">
      <c r="A18" s="611">
        <v>10</v>
      </c>
      <c r="B18" s="608" t="s">
        <v>4234</v>
      </c>
      <c r="C18" s="593" t="str">
        <f>HYPERLINK("#'M4-AUDIT'!A1","M4-AUDIT")</f>
        <v>M4-AUDIT</v>
      </c>
      <c r="D18" s="592" t="s">
        <v>4247</v>
      </c>
      <c r="E18" s="592" t="s">
        <v>4248</v>
      </c>
      <c r="F18" s="594" t="str">
        <f>HYPERLINK("#'M4-AUDIT'!A1","Ir →")</f>
        <v>Ir →</v>
      </c>
      <c r="G18" s="595"/>
      <c r="H18" s="595"/>
      <c r="I18" s="595"/>
      <c r="J18" s="595"/>
      <c r="K18" s="595"/>
      <c r="L18" s="596"/>
      <c r="M18" s="544"/>
      <c r="N18" s="50"/>
      <c r="O18" s="50"/>
      <c r="P18" s="50"/>
      <c r="Q18" s="50"/>
      <c r="R18" s="50"/>
      <c r="S18" s="50"/>
      <c r="T18" s="50"/>
      <c r="U18" s="50"/>
      <c r="V18" s="50"/>
      <c r="W18" s="50"/>
      <c r="X18" s="50"/>
      <c r="Y18" s="50"/>
      <c r="Z18" s="51"/>
    </row>
    <row r="19" spans="1:26" ht="25.95" customHeight="1" x14ac:dyDescent="0.3">
      <c r="A19" s="1505">
        <v>11</v>
      </c>
      <c r="B19" s="607" t="s">
        <v>4234</v>
      </c>
      <c r="C19" s="588" t="str">
        <f>HYPERLINK("#'DATA-MEC'!A1","DATA-MEC")</f>
        <v>DATA-MEC</v>
      </c>
      <c r="D19" s="587" t="s">
        <v>4249</v>
      </c>
      <c r="E19" s="587" t="s">
        <v>4250</v>
      </c>
      <c r="F19" s="589" t="str">
        <f>HYPERLINK("#'DATA-MEC'!A1","Ir →")</f>
        <v>Ir →</v>
      </c>
      <c r="G19" s="590"/>
      <c r="H19" s="590"/>
      <c r="I19" s="590"/>
      <c r="J19" s="590"/>
      <c r="K19" s="590"/>
      <c r="L19" s="591"/>
      <c r="M19" s="545"/>
      <c r="N19" s="60"/>
      <c r="O19" s="60"/>
      <c r="P19" s="60"/>
      <c r="Q19" s="60"/>
      <c r="R19" s="60"/>
      <c r="S19" s="60"/>
      <c r="T19" s="60"/>
      <c r="U19" s="60"/>
      <c r="V19" s="60"/>
      <c r="W19" s="60"/>
      <c r="X19" s="60"/>
      <c r="Y19" s="60"/>
      <c r="Z19" s="61"/>
    </row>
    <row r="20" spans="1:26" ht="25.95" customHeight="1" x14ac:dyDescent="0.3">
      <c r="A20" s="611">
        <v>12</v>
      </c>
      <c r="B20" s="608" t="s">
        <v>4251</v>
      </c>
      <c r="C20" s="593" t="str">
        <f>HYPERLINK("#'DATA-CED'!A1","DATA-CED")</f>
        <v>DATA-CED</v>
      </c>
      <c r="D20" s="592" t="s">
        <v>110</v>
      </c>
      <c r="E20" s="592" t="s">
        <v>4252</v>
      </c>
      <c r="F20" s="594" t="str">
        <f>HYPERLINK("#'DATA-CED'!A1","Ir →")</f>
        <v>Ir →</v>
      </c>
      <c r="G20" s="595"/>
      <c r="H20" s="595"/>
      <c r="I20" s="595"/>
      <c r="J20" s="595"/>
      <c r="K20" s="595"/>
      <c r="L20" s="596"/>
      <c r="M20" s="544"/>
      <c r="N20" s="50"/>
      <c r="O20" s="50"/>
      <c r="P20" s="50"/>
      <c r="Q20" s="50"/>
      <c r="R20" s="50"/>
      <c r="S20" s="50"/>
      <c r="T20" s="50"/>
      <c r="U20" s="50"/>
      <c r="V20" s="50"/>
      <c r="W20" s="50"/>
      <c r="X20" s="50"/>
      <c r="Y20" s="50"/>
      <c r="Z20" s="51"/>
    </row>
    <row r="21" spans="1:26" ht="25.95" customHeight="1" x14ac:dyDescent="0.3">
      <c r="A21" s="1505">
        <v>13</v>
      </c>
      <c r="B21" s="607" t="s">
        <v>4251</v>
      </c>
      <c r="C21" s="588" t="str">
        <f>HYPERLINK("#'DATA-POA'!A1","DATA-POA")</f>
        <v>DATA-POA</v>
      </c>
      <c r="D21" s="587" t="s">
        <v>4253</v>
      </c>
      <c r="E21" s="587" t="s">
        <v>4254</v>
      </c>
      <c r="F21" s="589" t="str">
        <f>HYPERLINK("#'DATA-POA'!A1","Ir →")</f>
        <v>Ir →</v>
      </c>
      <c r="G21" s="590"/>
      <c r="H21" s="590"/>
      <c r="I21" s="590"/>
      <c r="J21" s="590"/>
      <c r="K21" s="590"/>
      <c r="L21" s="591"/>
      <c r="M21" s="545"/>
      <c r="N21" s="60"/>
      <c r="O21" s="60"/>
      <c r="P21" s="60"/>
      <c r="Q21" s="60"/>
      <c r="R21" s="60"/>
      <c r="S21" s="60"/>
      <c r="T21" s="60"/>
      <c r="U21" s="60"/>
      <c r="V21" s="60"/>
      <c r="W21" s="60"/>
      <c r="X21" s="60"/>
      <c r="Y21" s="60"/>
      <c r="Z21" s="61"/>
    </row>
    <row r="22" spans="1:26" ht="25.95" customHeight="1" x14ac:dyDescent="0.3">
      <c r="A22" s="611">
        <v>14</v>
      </c>
      <c r="B22" s="608" t="s">
        <v>4251</v>
      </c>
      <c r="C22" s="593" t="str">
        <f>HYPERLINK("#'DATA-PAC'!A1","DATA-PAC")</f>
        <v>DATA-PAC</v>
      </c>
      <c r="D22" s="592" t="s">
        <v>4255</v>
      </c>
      <c r="E22" s="592" t="s">
        <v>4256</v>
      </c>
      <c r="F22" s="594" t="str">
        <f>HYPERLINK("#'DATA-PAC'!A1","Ir →")</f>
        <v>Ir →</v>
      </c>
      <c r="G22" s="595"/>
      <c r="H22" s="595"/>
      <c r="I22" s="595"/>
      <c r="J22" s="595"/>
      <c r="K22" s="595"/>
      <c r="L22" s="596"/>
      <c r="M22" s="544"/>
      <c r="N22" s="50"/>
      <c r="O22" s="50"/>
      <c r="P22" s="50"/>
      <c r="Q22" s="50"/>
      <c r="R22" s="50"/>
      <c r="S22" s="50"/>
      <c r="T22" s="50"/>
      <c r="U22" s="50"/>
      <c r="V22" s="50"/>
      <c r="W22" s="50"/>
      <c r="X22" s="50"/>
      <c r="Y22" s="50"/>
      <c r="Z22" s="51"/>
    </row>
    <row r="23" spans="1:26" ht="25.95" customHeight="1" x14ac:dyDescent="0.3">
      <c r="A23" s="1505">
        <v>15</v>
      </c>
      <c r="B23" s="607" t="s">
        <v>4244</v>
      </c>
      <c r="C23" s="588" t="str">
        <f>HYPERLINK("#'M5-ICPI'!A1","M5-ICPI")</f>
        <v>M5-ICPI</v>
      </c>
      <c r="D23" s="587" t="s">
        <v>4257</v>
      </c>
      <c r="E23" s="587" t="s">
        <v>4258</v>
      </c>
      <c r="F23" s="589" t="str">
        <f>HYPERLINK("#'M5-ICPI'!A1","Ir →")</f>
        <v>Ir →</v>
      </c>
      <c r="G23" s="590"/>
      <c r="H23" s="590"/>
      <c r="I23" s="590"/>
      <c r="J23" s="590"/>
      <c r="K23" s="590"/>
      <c r="L23" s="591"/>
      <c r="M23" s="545"/>
      <c r="N23" s="60"/>
      <c r="O23" s="60"/>
      <c r="P23" s="60"/>
      <c r="Q23" s="60"/>
      <c r="R23" s="60"/>
      <c r="S23" s="60"/>
      <c r="T23" s="60"/>
      <c r="U23" s="60"/>
      <c r="V23" s="60"/>
      <c r="W23" s="60"/>
      <c r="X23" s="60"/>
      <c r="Y23" s="60"/>
      <c r="Z23" s="61"/>
    </row>
    <row r="24" spans="1:26" ht="25.95" customHeight="1" x14ac:dyDescent="0.3">
      <c r="A24" s="611">
        <v>16</v>
      </c>
      <c r="B24" s="608" t="s">
        <v>4244</v>
      </c>
      <c r="C24" s="593" t="str">
        <f>HYPERLINK("#'DATA-RESULTADOS'!A1","DATA-RESULTADOS")</f>
        <v>DATA-RESULTADOS</v>
      </c>
      <c r="D24" s="592" t="s">
        <v>4463</v>
      </c>
      <c r="E24" s="592" t="s">
        <v>4464</v>
      </c>
      <c r="F24" s="594" t="str">
        <f>HYPERLINK("#'DATA-RESULTADOS'!A1","Ir →")</f>
        <v>Ir →</v>
      </c>
      <c r="G24" s="595"/>
      <c r="H24" s="595"/>
      <c r="I24" s="595"/>
      <c r="J24" s="595"/>
      <c r="K24" s="595"/>
      <c r="L24" s="596"/>
      <c r="M24" s="544"/>
      <c r="N24" s="50"/>
      <c r="O24" s="50"/>
      <c r="P24" s="50"/>
      <c r="Q24" s="50"/>
      <c r="R24" s="50"/>
      <c r="S24" s="50"/>
      <c r="T24" s="50"/>
      <c r="U24" s="50"/>
      <c r="V24" s="50"/>
      <c r="W24" s="50"/>
      <c r="X24" s="50"/>
      <c r="Y24" s="50"/>
      <c r="Z24" s="51"/>
    </row>
    <row r="25" spans="1:26" ht="25.95" customHeight="1" x14ac:dyDescent="0.3">
      <c r="A25" s="1505">
        <v>17</v>
      </c>
      <c r="B25" s="607" t="s">
        <v>4244</v>
      </c>
      <c r="C25" s="588" t="str">
        <f>HYPERLINK("#'SUPPORT-INTERP'!A1","SUPPORT-INTERP")</f>
        <v>SUPPORT-INTERP</v>
      </c>
      <c r="D25" s="587" t="s">
        <v>4259</v>
      </c>
      <c r="E25" s="587" t="s">
        <v>4260</v>
      </c>
      <c r="F25" s="589" t="str">
        <f>HYPERLINK("#'SUPPORT-INTERP'!A1","Ir →")</f>
        <v>Ir →</v>
      </c>
      <c r="G25" s="590"/>
      <c r="H25" s="590"/>
      <c r="I25" s="590"/>
      <c r="J25" s="590"/>
      <c r="K25" s="590"/>
      <c r="L25" s="591"/>
      <c r="M25" s="545"/>
      <c r="N25" s="60"/>
      <c r="O25" s="60"/>
      <c r="P25" s="60"/>
      <c r="Q25" s="60"/>
      <c r="R25" s="60"/>
      <c r="S25" s="60"/>
      <c r="T25" s="60"/>
      <c r="U25" s="60"/>
      <c r="V25" s="60"/>
      <c r="W25" s="60"/>
      <c r="X25" s="60"/>
      <c r="Y25" s="60"/>
      <c r="Z25" s="61"/>
    </row>
    <row r="26" spans="1:26" ht="25.95" customHeight="1" x14ac:dyDescent="0.3">
      <c r="A26" s="611">
        <v>18</v>
      </c>
      <c r="B26" s="608" t="s">
        <v>4244</v>
      </c>
      <c r="C26" s="593" t="str">
        <f>HYPERLINK("#'VALID-CST'!A1","VALID-CST")</f>
        <v>VALID-CST</v>
      </c>
      <c r="D26" s="592" t="s">
        <v>4261</v>
      </c>
      <c r="E26" s="592" t="s">
        <v>4262</v>
      </c>
      <c r="F26" s="594" t="str">
        <f>HYPERLINK("#'VALID-CST'!A1","Ir →")</f>
        <v>Ir →</v>
      </c>
      <c r="G26" s="595"/>
      <c r="H26" s="595"/>
      <c r="I26" s="595"/>
      <c r="J26" s="595"/>
      <c r="K26" s="595"/>
      <c r="L26" s="596"/>
      <c r="M26" s="544"/>
      <c r="N26" s="50"/>
      <c r="O26" s="50"/>
      <c r="P26" s="50"/>
      <c r="Q26" s="50"/>
      <c r="R26" s="50"/>
      <c r="S26" s="50"/>
      <c r="T26" s="50"/>
      <c r="U26" s="50"/>
      <c r="V26" s="50"/>
      <c r="W26" s="50"/>
      <c r="X26" s="50"/>
      <c r="Y26" s="50"/>
      <c r="Z26" s="51"/>
    </row>
    <row r="27" spans="1:26" ht="25.95" customHeight="1" x14ac:dyDescent="0.3">
      <c r="A27" s="1505">
        <v>19</v>
      </c>
      <c r="B27" s="607" t="s">
        <v>4244</v>
      </c>
      <c r="C27" s="588" t="str">
        <f>HYPERLINK("#'M7-PROSP'!A1","M7-PROSP")</f>
        <v>M7-PROSP</v>
      </c>
      <c r="D27" s="587" t="s">
        <v>4263</v>
      </c>
      <c r="E27" s="587" t="s">
        <v>4264</v>
      </c>
      <c r="F27" s="589" t="str">
        <f>HYPERLINK("#'M7-PROSP'!A1","Ir →")</f>
        <v>Ir →</v>
      </c>
      <c r="G27" s="590"/>
      <c r="H27" s="590"/>
      <c r="I27" s="590"/>
      <c r="J27" s="590"/>
      <c r="K27" s="590"/>
      <c r="L27" s="591"/>
      <c r="M27" s="545"/>
      <c r="N27" s="60"/>
      <c r="O27" s="60"/>
      <c r="P27" s="60"/>
      <c r="Q27" s="60"/>
      <c r="R27" s="60"/>
      <c r="S27" s="60"/>
      <c r="T27" s="60"/>
      <c r="U27" s="60"/>
      <c r="V27" s="60"/>
      <c r="W27" s="60"/>
      <c r="X27" s="60"/>
      <c r="Y27" s="60"/>
      <c r="Z27" s="61"/>
    </row>
    <row r="28" spans="1:26" ht="25.95" customHeight="1" x14ac:dyDescent="0.3">
      <c r="A28" s="611">
        <v>20</v>
      </c>
      <c r="B28" s="608" t="s">
        <v>4244</v>
      </c>
      <c r="C28" s="593" t="str">
        <f>HYPERLINK("#'VALID-MVCI'!A1","VALID-MVCI")</f>
        <v>VALID-MVCI</v>
      </c>
      <c r="D28" s="592" t="s">
        <v>4265</v>
      </c>
      <c r="E28" s="592" t="s">
        <v>4266</v>
      </c>
      <c r="F28" s="594" t="str">
        <f>HYPERLINK("#'VALID-MVCI'!A1","Ir →")</f>
        <v>Ir →</v>
      </c>
      <c r="G28" s="595"/>
      <c r="H28" s="595"/>
      <c r="I28" s="595"/>
      <c r="J28" s="595"/>
      <c r="K28" s="595"/>
      <c r="L28" s="596"/>
      <c r="M28" s="544"/>
      <c r="N28" s="50"/>
      <c r="O28" s="50"/>
      <c r="P28" s="50"/>
      <c r="Q28" s="50"/>
      <c r="R28" s="50"/>
      <c r="S28" s="50"/>
      <c r="T28" s="50"/>
      <c r="U28" s="50"/>
      <c r="V28" s="50"/>
      <c r="W28" s="50"/>
      <c r="X28" s="50"/>
      <c r="Y28" s="50"/>
      <c r="Z28" s="51"/>
    </row>
    <row r="29" spans="1:26" ht="25.95" customHeight="1" x14ac:dyDescent="0.3">
      <c r="A29" s="1505">
        <v>21</v>
      </c>
      <c r="B29" s="607" t="s">
        <v>4244</v>
      </c>
      <c r="C29" s="588" t="str">
        <f>HYPERLINK("#'DATA-EJES'!A1","DATA-EJES")</f>
        <v>DATA-EJES</v>
      </c>
      <c r="D29" s="587" t="s">
        <v>4267</v>
      </c>
      <c r="E29" s="587" t="s">
        <v>4268</v>
      </c>
      <c r="F29" s="589" t="str">
        <f>HYPERLINK("#'DATA-EJES'!A1","Ir →")</f>
        <v>Ir →</v>
      </c>
      <c r="G29" s="590"/>
      <c r="H29" s="590"/>
      <c r="I29" s="590"/>
      <c r="J29" s="590"/>
      <c r="K29" s="590"/>
      <c r="L29" s="591"/>
      <c r="M29" s="545"/>
      <c r="N29" s="60"/>
      <c r="O29" s="60"/>
      <c r="P29" s="60"/>
      <c r="Q29" s="60"/>
      <c r="R29" s="60"/>
      <c r="S29" s="60"/>
      <c r="T29" s="60"/>
      <c r="U29" s="60"/>
      <c r="V29" s="60"/>
      <c r="W29" s="60"/>
      <c r="X29" s="60"/>
      <c r="Y29" s="60"/>
      <c r="Z29" s="61"/>
    </row>
    <row r="30" spans="1:26" ht="25.95" customHeight="1" x14ac:dyDescent="0.3">
      <c r="A30" s="611">
        <v>22</v>
      </c>
      <c r="B30" s="608" t="s">
        <v>4244</v>
      </c>
      <c r="C30" s="593" t="str">
        <f>HYPERLINK("#'VALID-SENS'!A1","VALID-SENS")</f>
        <v>VALID-SENS</v>
      </c>
      <c r="D30" s="592" t="s">
        <v>4269</v>
      </c>
      <c r="E30" s="592" t="s">
        <v>4270</v>
      </c>
      <c r="F30" s="594" t="str">
        <f>HYPERLINK("#'VALID-SENS'!A1","Ir →")</f>
        <v>Ir →</v>
      </c>
      <c r="G30" s="595"/>
      <c r="H30" s="595"/>
      <c r="I30" s="595"/>
      <c r="J30" s="595"/>
      <c r="K30" s="595"/>
      <c r="L30" s="596"/>
      <c r="M30" s="544"/>
      <c r="N30" s="50"/>
      <c r="O30" s="50"/>
      <c r="P30" s="50"/>
      <c r="Q30" s="50"/>
      <c r="R30" s="50"/>
      <c r="S30" s="50"/>
      <c r="T30" s="50"/>
      <c r="U30" s="50"/>
      <c r="V30" s="50"/>
      <c r="W30" s="50"/>
      <c r="X30" s="50"/>
      <c r="Y30" s="50"/>
      <c r="Z30" s="51"/>
    </row>
    <row r="31" spans="1:26" ht="25.95" customHeight="1" x14ac:dyDescent="0.3">
      <c r="A31" s="1505">
        <v>23</v>
      </c>
      <c r="B31" s="607" t="s">
        <v>4226</v>
      </c>
      <c r="C31" s="588" t="str">
        <f>HYPERLINK("#'DATA-BRECHA'!A1","DATA-BRECHA")</f>
        <v>DATA-BRECHA</v>
      </c>
      <c r="D31" s="587" t="s">
        <v>4271</v>
      </c>
      <c r="E31" s="587" t="s">
        <v>4272</v>
      </c>
      <c r="F31" s="589" t="str">
        <f>HYPERLINK("#'DATA-BRECHA'!A1","Ir →")</f>
        <v>Ir →</v>
      </c>
      <c r="G31" s="590"/>
      <c r="H31" s="590"/>
      <c r="I31" s="590"/>
      <c r="J31" s="590"/>
      <c r="K31" s="590"/>
      <c r="L31" s="591"/>
      <c r="M31" s="545"/>
      <c r="N31" s="60"/>
      <c r="O31" s="60"/>
      <c r="P31" s="60"/>
      <c r="Q31" s="60"/>
      <c r="R31" s="60"/>
      <c r="S31" s="60"/>
      <c r="T31" s="60"/>
      <c r="U31" s="60"/>
      <c r="V31" s="60"/>
      <c r="W31" s="60"/>
      <c r="X31" s="60"/>
      <c r="Y31" s="60"/>
      <c r="Z31" s="61"/>
    </row>
    <row r="32" spans="1:26" ht="25.95" customHeight="1" x14ac:dyDescent="0.3">
      <c r="A32" s="611">
        <v>24</v>
      </c>
      <c r="B32" s="608" t="s">
        <v>4226</v>
      </c>
      <c r="C32" s="593" t="str">
        <f>HYPERLINK("#'DATA-ORG'!A1","DATA-ORG")</f>
        <v>DATA-ORG</v>
      </c>
      <c r="D32" s="592" t="s">
        <v>4273</v>
      </c>
      <c r="E32" s="592" t="s">
        <v>4274</v>
      </c>
      <c r="F32" s="594" t="str">
        <f>HYPERLINK("#'DATA-ORG'!A1","Ir →")</f>
        <v>Ir →</v>
      </c>
      <c r="G32" s="595"/>
      <c r="H32" s="595"/>
      <c r="I32" s="595"/>
      <c r="J32" s="595"/>
      <c r="K32" s="595"/>
      <c r="L32" s="596"/>
      <c r="M32" s="544"/>
      <c r="N32" s="50"/>
      <c r="O32" s="50"/>
      <c r="P32" s="50"/>
      <c r="Q32" s="50"/>
      <c r="R32" s="50"/>
      <c r="S32" s="50"/>
      <c r="T32" s="50"/>
      <c r="U32" s="50"/>
      <c r="V32" s="50"/>
      <c r="W32" s="50"/>
      <c r="X32" s="50"/>
      <c r="Y32" s="50"/>
      <c r="Z32" s="51"/>
    </row>
    <row r="33" spans="1:26" ht="25.95" customHeight="1" x14ac:dyDescent="0.3">
      <c r="A33" s="1505">
        <v>25</v>
      </c>
      <c r="B33" s="607" t="s">
        <v>4244</v>
      </c>
      <c r="C33" s="588" t="str">
        <f>HYPERLINK("#'M6-FEDS'!A1","M6-FEDS")</f>
        <v>M6-FEDS</v>
      </c>
      <c r="D33" s="587" t="s">
        <v>4275</v>
      </c>
      <c r="E33" s="587" t="s">
        <v>4276</v>
      </c>
      <c r="F33" s="589" t="str">
        <f>HYPERLINK("#'M6-FEDS'!A1","Ir →")</f>
        <v>Ir →</v>
      </c>
      <c r="G33" s="590"/>
      <c r="H33" s="590"/>
      <c r="I33" s="590"/>
      <c r="J33" s="590"/>
      <c r="K33" s="590"/>
      <c r="L33" s="591"/>
      <c r="M33" s="545"/>
      <c r="N33" s="60"/>
      <c r="O33" s="60"/>
      <c r="P33" s="60"/>
      <c r="Q33" s="60"/>
      <c r="R33" s="60"/>
      <c r="S33" s="60"/>
      <c r="T33" s="60"/>
      <c r="U33" s="60"/>
      <c r="V33" s="60"/>
      <c r="W33" s="60"/>
      <c r="X33" s="60"/>
      <c r="Y33" s="60"/>
      <c r="Z33" s="61"/>
    </row>
    <row r="34" spans="1:26" ht="25.95" customHeight="1" x14ac:dyDescent="0.3">
      <c r="A34" s="611">
        <v>26</v>
      </c>
      <c r="B34" s="608" t="s">
        <v>4226</v>
      </c>
      <c r="C34" s="593" t="str">
        <f>HYPERLINK("#'SUPPORT-EVALDIR'!A1","SUPPORT-EVALDIR")</f>
        <v>SUPPORT-EVALDIR</v>
      </c>
      <c r="D34" s="592" t="s">
        <v>4277</v>
      </c>
      <c r="E34" s="592" t="s">
        <v>4278</v>
      </c>
      <c r="F34" s="594" t="str">
        <f>HYPERLINK("#'SUPPORT-EVALDIR'!A1","Ir →")</f>
        <v>Ir →</v>
      </c>
      <c r="G34" s="595"/>
      <c r="H34" s="595"/>
      <c r="I34" s="595"/>
      <c r="J34" s="595"/>
      <c r="K34" s="595"/>
      <c r="L34" s="596"/>
      <c r="M34" s="544"/>
      <c r="N34" s="50"/>
      <c r="O34" s="50"/>
      <c r="P34" s="50"/>
      <c r="Q34" s="50"/>
      <c r="R34" s="50"/>
      <c r="S34" s="50"/>
      <c r="T34" s="50"/>
      <c r="U34" s="50"/>
      <c r="V34" s="50"/>
      <c r="W34" s="50"/>
      <c r="X34" s="50"/>
      <c r="Y34" s="50"/>
      <c r="Z34" s="51"/>
    </row>
    <row r="35" spans="1:26" ht="25.95" customHeight="1" x14ac:dyDescent="0.3">
      <c r="A35" s="1505">
        <v>27</v>
      </c>
      <c r="B35" s="607" t="s">
        <v>4226</v>
      </c>
      <c r="C35" s="588" t="str">
        <f>HYPERLINK("#'SUPPORT-SEM'!A1","SUPPORT-SEM")</f>
        <v>SUPPORT-SEM</v>
      </c>
      <c r="D35" s="587" t="s">
        <v>4279</v>
      </c>
      <c r="E35" s="587" t="s">
        <v>4280</v>
      </c>
      <c r="F35" s="589" t="str">
        <f>HYPERLINK("#'SUPPORT-SEM'!A1","Ir →")</f>
        <v>Ir →</v>
      </c>
      <c r="G35" s="590"/>
      <c r="H35" s="590"/>
      <c r="I35" s="590"/>
      <c r="J35" s="590"/>
      <c r="K35" s="590"/>
      <c r="L35" s="591"/>
      <c r="M35" s="545"/>
      <c r="N35" s="60"/>
      <c r="O35" s="60"/>
      <c r="P35" s="60"/>
      <c r="Q35" s="60"/>
      <c r="R35" s="60"/>
      <c r="S35" s="60"/>
      <c r="T35" s="60"/>
      <c r="U35" s="60"/>
      <c r="V35" s="60"/>
      <c r="W35" s="60"/>
      <c r="X35" s="60"/>
      <c r="Y35" s="60"/>
      <c r="Z35" s="61"/>
    </row>
    <row r="36" spans="1:26" ht="25.95" customHeight="1" x14ac:dyDescent="0.3">
      <c r="A36" s="611">
        <v>28</v>
      </c>
      <c r="B36" s="608" t="s">
        <v>4244</v>
      </c>
      <c r="C36" s="593" t="str">
        <f>HYPERLINK("#'DATA-ITAM'!A1","DATA-ITAM")</f>
        <v>DATA-ITAM</v>
      </c>
      <c r="D36" s="592" t="s">
        <v>4281</v>
      </c>
      <c r="E36" s="592" t="s">
        <v>4282</v>
      </c>
      <c r="F36" s="594" t="str">
        <f>HYPERLINK("#'DATA-ITAM'!A1","Ir →")</f>
        <v>Ir →</v>
      </c>
      <c r="G36" s="595"/>
      <c r="H36" s="595"/>
      <c r="I36" s="595"/>
      <c r="J36" s="595"/>
      <c r="K36" s="595"/>
      <c r="L36" s="596"/>
      <c r="M36" s="544"/>
      <c r="N36" s="50"/>
      <c r="O36" s="50"/>
      <c r="P36" s="50"/>
      <c r="Q36" s="50"/>
      <c r="R36" s="50"/>
      <c r="S36" s="50"/>
      <c r="T36" s="50"/>
      <c r="U36" s="50"/>
      <c r="V36" s="50"/>
      <c r="W36" s="50"/>
      <c r="X36" s="50"/>
      <c r="Y36" s="50"/>
      <c r="Z36" s="51"/>
    </row>
    <row r="37" spans="1:26" s="16" customFormat="1" ht="25.95" customHeight="1" x14ac:dyDescent="0.25">
      <c r="A37" s="1505">
        <v>29</v>
      </c>
      <c r="B37" s="607" t="s">
        <v>4226</v>
      </c>
      <c r="C37" s="588" t="str">
        <f>HYPERLINK("#'SUPPORT-SIL'!A1","SUPPORT-SIL")</f>
        <v>SUPPORT-SIL</v>
      </c>
      <c r="D37" s="587" t="s">
        <v>4283</v>
      </c>
      <c r="E37" s="587" t="s">
        <v>4284</v>
      </c>
      <c r="F37" s="589" t="str">
        <f>HYPERLINK("#'SUPPORT-SIL'!A1","Ir →")</f>
        <v>Ir →</v>
      </c>
      <c r="G37" s="590"/>
      <c r="H37" s="590"/>
      <c r="I37" s="597"/>
      <c r="J37" s="597"/>
      <c r="K37" s="597"/>
      <c r="L37" s="598"/>
      <c r="M37" s="546"/>
      <c r="N37" s="82"/>
      <c r="O37" s="82"/>
      <c r="P37" s="82"/>
      <c r="Q37" s="82"/>
      <c r="R37" s="82"/>
      <c r="S37" s="82"/>
      <c r="T37" s="82"/>
      <c r="U37" s="82"/>
      <c r="V37" s="82"/>
      <c r="W37" s="82"/>
      <c r="X37" s="82"/>
      <c r="Y37" s="82"/>
      <c r="Z37" s="83"/>
    </row>
    <row r="38" spans="1:26" s="16" customFormat="1" ht="25.95" customHeight="1" x14ac:dyDescent="0.25">
      <c r="A38" s="611">
        <v>30</v>
      </c>
      <c r="B38" s="608" t="s">
        <v>4226</v>
      </c>
      <c r="C38" s="593" t="str">
        <f>HYPERLINK("#'SUPPORT-ALERT'!A1","SUPPORT-ALERT")</f>
        <v>SUPPORT-ALERT</v>
      </c>
      <c r="D38" s="592" t="s">
        <v>4285</v>
      </c>
      <c r="E38" s="592" t="s">
        <v>4286</v>
      </c>
      <c r="F38" s="594" t="str">
        <f>HYPERLINK("#'SUPPORT-ALERT'!A1","Ir →")</f>
        <v>Ir →</v>
      </c>
      <c r="G38" s="595"/>
      <c r="H38" s="595"/>
      <c r="I38" s="599"/>
      <c r="J38" s="599"/>
      <c r="K38" s="599"/>
      <c r="L38" s="600"/>
      <c r="M38" s="547"/>
      <c r="N38" s="84"/>
      <c r="O38" s="84"/>
      <c r="P38" s="84"/>
      <c r="Q38" s="84"/>
      <c r="R38" s="84"/>
      <c r="S38" s="84"/>
      <c r="T38" s="84"/>
      <c r="U38" s="84"/>
      <c r="V38" s="84"/>
      <c r="W38" s="84"/>
      <c r="X38" s="84"/>
      <c r="Y38" s="84"/>
      <c r="Z38" s="85"/>
    </row>
    <row r="39" spans="1:26" ht="25.95" customHeight="1" x14ac:dyDescent="0.3">
      <c r="A39" s="1505">
        <v>31</v>
      </c>
      <c r="B39" s="607" t="s">
        <v>4234</v>
      </c>
      <c r="C39" s="588" t="str">
        <f>HYPERLINK("#'VALID-VER'!A1","VALID-VER")</f>
        <v>VALID-VER</v>
      </c>
      <c r="D39" s="587" t="s">
        <v>4287</v>
      </c>
      <c r="E39" s="587" t="s">
        <v>4288</v>
      </c>
      <c r="F39" s="589" t="str">
        <f>HYPERLINK("#'VALID-VER'!A1","Ir →")</f>
        <v>Ir →</v>
      </c>
      <c r="G39" s="590"/>
      <c r="H39" s="590"/>
      <c r="I39" s="590"/>
      <c r="J39" s="590"/>
      <c r="K39" s="590"/>
      <c r="L39" s="591"/>
      <c r="M39" s="545"/>
      <c r="N39" s="60"/>
      <c r="O39" s="60"/>
      <c r="P39" s="60"/>
      <c r="Q39" s="60"/>
      <c r="R39" s="60"/>
      <c r="S39" s="60"/>
      <c r="T39" s="60"/>
      <c r="U39" s="60"/>
      <c r="V39" s="60"/>
      <c r="W39" s="60"/>
      <c r="X39" s="60"/>
      <c r="Y39" s="60"/>
      <c r="Z39" s="61"/>
    </row>
    <row r="40" spans="1:26" ht="25.95" customHeight="1" x14ac:dyDescent="0.3">
      <c r="A40" s="611">
        <v>32</v>
      </c>
      <c r="B40" s="608" t="s">
        <v>4251</v>
      </c>
      <c r="C40" s="593" t="str">
        <f>HYPERLINK("#'DATA-CPCCS'!A1","DATA-CPCCS")</f>
        <v>DATA-CPCCS</v>
      </c>
      <c r="D40" s="592" t="s">
        <v>4289</v>
      </c>
      <c r="E40" s="592" t="s">
        <v>4290</v>
      </c>
      <c r="F40" s="594" t="str">
        <f>HYPERLINK("#'DATA-CPCCS'!A1","Ir →")</f>
        <v>Ir →</v>
      </c>
      <c r="G40" s="595"/>
      <c r="H40" s="595"/>
      <c r="I40" s="595"/>
      <c r="J40" s="595"/>
      <c r="K40" s="595"/>
      <c r="L40" s="596"/>
      <c r="M40" s="544"/>
      <c r="N40" s="50"/>
      <c r="O40" s="50"/>
      <c r="P40" s="50"/>
      <c r="Q40" s="50"/>
      <c r="R40" s="50"/>
      <c r="S40" s="50"/>
      <c r="T40" s="50"/>
      <c r="U40" s="50"/>
      <c r="V40" s="50"/>
      <c r="W40" s="50"/>
      <c r="X40" s="50"/>
      <c r="Y40" s="50"/>
      <c r="Z40" s="51"/>
    </row>
    <row r="41" spans="1:26" ht="25.95" customHeight="1" x14ac:dyDescent="0.3">
      <c r="A41" s="1505">
        <v>33</v>
      </c>
      <c r="B41" s="607" t="s">
        <v>4251</v>
      </c>
      <c r="C41" s="588" t="str">
        <f>HYPERLINK("#'DATA-CNE'!A1","DATA-CNE")</f>
        <v>DATA-CNE</v>
      </c>
      <c r="D41" s="587" t="s">
        <v>4291</v>
      </c>
      <c r="E41" s="587" t="s">
        <v>4292</v>
      </c>
      <c r="F41" s="589" t="str">
        <f>HYPERLINK("#'DATA-CNE'!A1","Ir →")</f>
        <v>Ir →</v>
      </c>
      <c r="G41" s="590"/>
      <c r="H41" s="590"/>
      <c r="I41" s="590"/>
      <c r="J41" s="590"/>
      <c r="K41" s="590"/>
      <c r="L41" s="591"/>
      <c r="M41" s="545"/>
      <c r="N41" s="60"/>
      <c r="O41" s="60"/>
      <c r="P41" s="60"/>
      <c r="Q41" s="60"/>
      <c r="R41" s="60"/>
      <c r="S41" s="60"/>
      <c r="T41" s="60"/>
      <c r="U41" s="60"/>
      <c r="V41" s="60"/>
      <c r="W41" s="60"/>
      <c r="X41" s="60"/>
      <c r="Y41" s="60"/>
      <c r="Z41" s="61"/>
    </row>
    <row r="42" spans="1:26" ht="25.95" customHeight="1" x14ac:dyDescent="0.3">
      <c r="A42" s="611">
        <v>34</v>
      </c>
      <c r="B42" s="608" t="s">
        <v>4251</v>
      </c>
      <c r="C42" s="593" t="str">
        <f>HYPERLINK("#'DATA-SIGAD'!A1","DATA-SIGAD")</f>
        <v>DATA-SIGAD</v>
      </c>
      <c r="D42" s="592" t="s">
        <v>4293</v>
      </c>
      <c r="E42" s="592" t="s">
        <v>4294</v>
      </c>
      <c r="F42" s="594" t="str">
        <f>HYPERLINK("#'DATA-SIGAD'!A1","Ir →")</f>
        <v>Ir →</v>
      </c>
      <c r="G42" s="595"/>
      <c r="H42" s="595"/>
      <c r="I42" s="595"/>
      <c r="J42" s="595"/>
      <c r="K42" s="595"/>
      <c r="L42" s="596"/>
      <c r="M42" s="544"/>
      <c r="N42" s="50"/>
      <c r="O42" s="50"/>
      <c r="P42" s="50"/>
      <c r="Q42" s="50"/>
      <c r="R42" s="50"/>
      <c r="S42" s="50"/>
      <c r="T42" s="50"/>
      <c r="U42" s="50"/>
      <c r="V42" s="50"/>
      <c r="W42" s="50"/>
      <c r="X42" s="50"/>
      <c r="Y42" s="50"/>
      <c r="Z42" s="51"/>
    </row>
    <row r="43" spans="1:26" ht="25.95" customHeight="1" x14ac:dyDescent="0.3">
      <c r="A43" s="1505">
        <v>35</v>
      </c>
      <c r="B43" s="607" t="s">
        <v>4229</v>
      </c>
      <c r="C43" s="588" t="str">
        <f>HYPERLINK("#'M-TECH-VARS'!A1","M-TECH-VARS")</f>
        <v>M-TECH-VARS</v>
      </c>
      <c r="D43" s="587" t="s">
        <v>4295</v>
      </c>
      <c r="E43" s="587" t="s">
        <v>4296</v>
      </c>
      <c r="F43" s="589" t="str">
        <f>HYPERLINK("#'M-TECH-VARS'!A1","Ir →")</f>
        <v>Ir →</v>
      </c>
      <c r="G43" s="590"/>
      <c r="H43" s="590"/>
      <c r="I43" s="590"/>
      <c r="J43" s="590"/>
      <c r="K43" s="590"/>
      <c r="L43" s="591"/>
      <c r="M43" s="545"/>
      <c r="N43" s="60"/>
      <c r="O43" s="60"/>
      <c r="P43" s="60"/>
      <c r="Q43" s="60"/>
      <c r="R43" s="60"/>
      <c r="S43" s="60"/>
      <c r="T43" s="60"/>
      <c r="U43" s="60"/>
      <c r="V43" s="60"/>
      <c r="W43" s="60"/>
      <c r="X43" s="60"/>
      <c r="Y43" s="60"/>
      <c r="Z43" s="61"/>
    </row>
    <row r="44" spans="1:26" ht="25.95" customHeight="1" x14ac:dyDescent="0.3">
      <c r="A44" s="611">
        <v>36</v>
      </c>
      <c r="B44" s="608" t="s">
        <v>4251</v>
      </c>
      <c r="C44" s="593" t="str">
        <f>HYPERLINK("#'DATA-MONIT'!A1","DATA-MONIT")</f>
        <v>DATA-MONIT</v>
      </c>
      <c r="D44" s="592" t="s">
        <v>4297</v>
      </c>
      <c r="E44" s="592" t="s">
        <v>4298</v>
      </c>
      <c r="F44" s="594" t="str">
        <f>HYPERLINK("#'DATA-MONIT'!A1","Ir →")</f>
        <v>Ir →</v>
      </c>
      <c r="G44" s="595"/>
      <c r="H44" s="595"/>
      <c r="I44" s="595"/>
      <c r="J44" s="595"/>
      <c r="K44" s="595"/>
      <c r="L44" s="596"/>
      <c r="M44" s="544"/>
      <c r="N44" s="50"/>
      <c r="O44" s="50"/>
      <c r="P44" s="50"/>
      <c r="Q44" s="50"/>
      <c r="R44" s="50"/>
      <c r="S44" s="50"/>
      <c r="T44" s="50"/>
      <c r="U44" s="50"/>
      <c r="V44" s="50"/>
      <c r="W44" s="50"/>
      <c r="X44" s="50"/>
      <c r="Y44" s="50"/>
      <c r="Z44" s="51"/>
    </row>
    <row r="45" spans="1:26" ht="25.95" customHeight="1" x14ac:dyDescent="0.3">
      <c r="A45" s="1505">
        <v>37</v>
      </c>
      <c r="B45" s="607" t="s">
        <v>4465</v>
      </c>
      <c r="C45" s="588" t="str">
        <f>HYPERLINK("#'M-DOCS'!A1","M-DOCS")</f>
        <v>M-DOCS</v>
      </c>
      <c r="D45" s="587" t="s">
        <v>4466</v>
      </c>
      <c r="E45" s="587" t="s">
        <v>4467</v>
      </c>
      <c r="F45" s="589" t="str">
        <f>HYPERLINK("#'M-DOCS'!A1","Ir →")</f>
        <v>Ir →</v>
      </c>
      <c r="G45" s="590"/>
      <c r="H45" s="590"/>
      <c r="I45" s="590"/>
      <c r="J45" s="590"/>
      <c r="K45" s="590"/>
      <c r="L45" s="591"/>
      <c r="M45" s="548"/>
      <c r="N45" s="64"/>
      <c r="O45" s="64"/>
      <c r="P45" s="64"/>
      <c r="Q45" s="64"/>
      <c r="R45" s="64"/>
      <c r="S45" s="64"/>
      <c r="T45" s="64"/>
      <c r="U45" s="64"/>
      <c r="V45" s="64"/>
      <c r="W45" s="64"/>
      <c r="X45" s="64"/>
      <c r="Y45" s="64"/>
      <c r="Z45" s="65"/>
    </row>
    <row r="46" spans="1:26" ht="25.95" customHeight="1" thickBot="1" x14ac:dyDescent="0.35">
      <c r="A46" s="612">
        <v>38</v>
      </c>
      <c r="B46" s="609" t="s">
        <v>4229</v>
      </c>
      <c r="C46" s="602" t="str">
        <f>HYPERLINK("#'M-INDEX'!A1","M-INDEX")</f>
        <v>M-INDEX</v>
      </c>
      <c r="D46" s="601" t="s">
        <v>4468</v>
      </c>
      <c r="E46" s="601" t="s">
        <v>4299</v>
      </c>
      <c r="F46" s="603" t="str">
        <f>HYPERLINK("#'M-INDEX'!A1","Ir →")</f>
        <v>Ir →</v>
      </c>
      <c r="G46" s="604"/>
      <c r="H46" s="604"/>
      <c r="I46" s="604"/>
      <c r="J46" s="604"/>
      <c r="K46" s="604"/>
      <c r="L46" s="605"/>
    </row>
    <row r="47" spans="1:26" ht="18" customHeight="1" thickTop="1" x14ac:dyDescent="0.3">
      <c r="A47"/>
      <c r="D47"/>
      <c r="E47"/>
    </row>
    <row r="48" spans="1:26" ht="18" customHeight="1" x14ac:dyDescent="0.3">
      <c r="A48"/>
      <c r="D48"/>
      <c r="E48"/>
    </row>
    <row r="49" customFormat="1" ht="18" customHeight="1" x14ac:dyDescent="0.3"/>
    <row r="50" customFormat="1" ht="18" customHeight="1" x14ac:dyDescent="0.3"/>
    <row r="51" customFormat="1" ht="18" customHeight="1" x14ac:dyDescent="0.3"/>
    <row r="52" customFormat="1" ht="18" customHeight="1" x14ac:dyDescent="0.3"/>
    <row r="53" customFormat="1" ht="18" customHeight="1" x14ac:dyDescent="0.3"/>
    <row r="54" customFormat="1" x14ac:dyDescent="0.3"/>
    <row r="55" customFormat="1" x14ac:dyDescent="0.3"/>
  </sheetData>
  <mergeCells count="2">
    <mergeCell ref="A2:F2"/>
    <mergeCell ref="A1:L1"/>
  </mergeCells>
  <hyperlinks>
    <hyperlink ref="F9" location="'M-DASHBOARD'!A1" tooltip="Ir a M-DASHBOARD" display="Ir →" xr:uid="{AE39EC45-051A-4F69-B976-2E8DCEAC8B86}"/>
    <hyperlink ref="F10" location="'M-TECH-GAD'!A1" tooltip="Ir a M-TECH-GAD" display="Ir →" xr:uid="{33B93569-4276-4B4A-86C0-8A969A929338}"/>
    <hyperlink ref="F11" location="'M-TECH-PARAMS'!A1" tooltip="Ir a M-TECH-PARAMS" display="Ir →" xr:uid="{CBF30764-A039-4D19-980C-9B7CBFD28BB5}"/>
    <hyperlink ref="F12" location="'M1-ITME'!A1" tooltip="Ir a M1-ITME" display="Ir →" xr:uid="{AD9E09C2-4381-429E-9A97-5EFF7BCFA2D2}"/>
    <hyperlink ref="F13" location="'M2-PDOT Base Legal'!A1" tooltip="Ir a M2-PDOT Base Legal" display="Ir →" xr:uid="{478F9348-4902-49A3-A705-2FE21DE543E7}"/>
    <hyperlink ref="F14" location="'M2-PLAN Ponderacion Pi'!A1" tooltip="Ir a M2-PLAN Ponderacion Pi" display="Ir →" xr:uid="{D907575C-ADCA-4663-AB23-6470D6FBC819}"/>
    <hyperlink ref="F15" location="'M-DATA-TFR'!A1" tooltip="Ir a M-DATA-TFR" display="Ir →" xr:uid="{46498D50-0C29-4479-B09B-083B7C499430}"/>
    <hyperlink ref="F16" location="'M3-MAO'!A1" tooltip="Ir a M3-MAO" display="Ir →" xr:uid="{5916B804-696A-49EE-8891-2411486D4A92}"/>
    <hyperlink ref="F17" location="'M-DATA-SSC'!A1" tooltip="Ir a M-DATA-SSC" display="Ir →" xr:uid="{185DDAC4-25BE-4A67-B4FC-3D3F701533E2}"/>
    <hyperlink ref="F18" location="'M4-AUDIT'!A1" tooltip="Ir a M4-AUDIT" display="Ir →" xr:uid="{07F73FF5-EC4C-4399-B7FB-E58E239D2CAB}"/>
    <hyperlink ref="F19" location="'M-DATA-MEC'!A1" tooltip="Ir a M-DATA-MEC" display="Ir →" xr:uid="{06C67307-57C5-4A39-AF65-75DB89A5D22F}"/>
    <hyperlink ref="F20" location="'M-DATA-CED'!A1" tooltip="Ir a M-DATA-CED" display="Ir →" xr:uid="{88131314-DE97-41C3-A319-E29953880A4F}"/>
    <hyperlink ref="F21" location="'M-DATA-POA'!A1" tooltip="Ir a M-DATA-POA" display="Ir →" xr:uid="{45AC3F81-385D-4A2B-AE58-7B1F7E2FC6A1}"/>
    <hyperlink ref="F22" location="'M-DATA-PAC'!A1" tooltip="Ir a M-DATA-PAC" display="Ir →" xr:uid="{C3448C7A-B18D-4E63-9C8B-C547C158CB0E}"/>
    <hyperlink ref="F23" location="'M5-ICPI'!A1" tooltip="Ir a M5-ICPI" display="Ir →" xr:uid="{E8FE273F-6E5F-4DE8-877C-AAA6B42B8C06}"/>
    <hyperlink ref="F24" location="'M-DATA-RESULTADOS'!A1" tooltip="Ir a M-DATA-RESULTADOS" display="Ir →" xr:uid="{09660515-BC7B-4013-B81F-A5C0AC2C034C}"/>
    <hyperlink ref="F25" location="'M-SUPPORT-INTERP'!A1" tooltip="Ir a M-SUPPORT-INTERP" display="Ir →" xr:uid="{BF7C253A-D515-407C-A1F3-E50CE60140DB}"/>
    <hyperlink ref="F26" location="'M-VALID-CST'!A1" tooltip="Ir a M-VALID-CST" display="Ir →" xr:uid="{CC462C76-0E0D-4091-B03F-D159DC95C9E8}"/>
    <hyperlink ref="F27" location="'M7-QUADRUM'!A1" tooltip="Ir a M7-QUADRUM" display="Ir →" xr:uid="{0251F8CC-C7B1-474C-B499-24142C904A22}"/>
    <hyperlink ref="F28" location="'M-VALID-MVCI'!A1" tooltip="Ir a M-VALID-MVCI" display="Ir →" xr:uid="{930081F9-9066-4369-AF69-E603D0900157}"/>
    <hyperlink ref="F29" location="'M-DATA-EJES'!A1" tooltip="Ir a M-DATA-EJES" display="Ir →" xr:uid="{F0E82AA6-EC41-4225-BD66-B2EEA2E02AE7}"/>
    <hyperlink ref="F30" location="'M-VALID-SENS'!A1" tooltip="Ir a M-VALID-SENS" display="Ir →" xr:uid="{983373EF-0A94-4C54-9359-EFB6204064B6}"/>
    <hyperlink ref="F31" location="'M-DATA-BRECHA'!A1" tooltip="Ir a M-DATA-BRECHA" display="Ir →" xr:uid="{0B70E417-D04F-48DA-9BA9-0C5DF24EE5A6}"/>
    <hyperlink ref="F32" location="'M-DATA-ORG'!A1" tooltip="Ir a M-DATA-ORG" display="Ir →" xr:uid="{F85892B0-AD16-4E0B-B530-F443B330B023}"/>
    <hyperlink ref="F33" location="'M6-FEDS'!A1" tooltip="Ir a M6-FEDS" display="Ir →" xr:uid="{0B64CA43-1784-46DC-8946-16611D55D17F}"/>
    <hyperlink ref="F34" location="'M-SUPPORT-EVALDIR'!A1" tooltip="Ir a M-SUPPORT-EVALDIR" display="Ir →" xr:uid="{70254AB7-8C54-4308-BDEB-5F3B3171BFE9}"/>
    <hyperlink ref="F35" location="'M-SUPPORT-SEM'!A1" tooltip="Ir a M-SUPPORT-SEM" display="Ir →" xr:uid="{3185F3EC-8999-4575-9180-C7A8C9F77E9B}"/>
    <hyperlink ref="F36" location="'M-DATA-ITAM'!A1" tooltip="Ir a M-DATA-ITAM" display="Ir →" xr:uid="{43A84636-CEFD-47D8-BADF-C016B6693BA7}"/>
    <hyperlink ref="F37" location="'M-SUPPORT-SIL'!A1" tooltip="Ir a M-SUPPORT-SIL" display="Ir →" xr:uid="{CEA1E858-2D4B-4BB6-8609-24A90681F4DB}"/>
    <hyperlink ref="F38" location="'M-SUPPORT-ALERT'!A1" tooltip="Ir a M-SUPPORT-ALERT" display="Ir →" xr:uid="{FB17E0D1-E43D-41C1-B3B9-8CF25F23C1A9}"/>
    <hyperlink ref="F39" location="'M-VALID-VER'!A1" tooltip="Ir a M-VALID-VER" display="Ir →" xr:uid="{AE3AD974-AAB0-4E37-8D2E-B6C2801FEA27}"/>
    <hyperlink ref="F40" location="'M-DATA-CPCCS'!A1" tooltip="Ir a M-DATA-CPCCS" display="Ir →" xr:uid="{3EFB479D-BF52-4335-B471-90FEE9B96E19}"/>
    <hyperlink ref="F41" location="'M-DATA-CNE'!A1" tooltip="Ir a M-DATA-CNE" display="Ir →" xr:uid="{DB87D36F-8103-4389-AA59-EF766FE52B72}"/>
    <hyperlink ref="F42" location="'M-DATA-SIGAD'!A1" tooltip="Ir a M-DATA-SIGAD" display="Ir →" xr:uid="{E34E2C12-8AE3-4AD4-9627-0A995CBEE585}"/>
    <hyperlink ref="F43" location="'M-TECH-VARS'!A1" tooltip="Ir a M-TECH-VARS" display="Ir →" xr:uid="{67333FDE-5AA5-4E41-9634-730A3F0FE27A}"/>
    <hyperlink ref="F44" location="'M-DATA-MONIT'!A1" tooltip="Ir a M-DATA-MONIT" display="Ir →" xr:uid="{33008930-44F2-4D99-B1DB-363F6F9D4F51}"/>
    <hyperlink ref="F45" location="'M-DOCS Marco Metodologico'!A1" tooltip="Ir a M-DOCS Marco Metodologico" display="Ir →" xr:uid="{E4E558A9-A6DC-4537-BE5B-54CB28761305}"/>
    <hyperlink ref="F46" location="'M-INDEX'!A1" tooltip="Ir a M-INDEX" display="Ir →" xr:uid="{731F0DB2-C781-4B84-8544-A562A34F4B5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2CC"/>
  </sheetPr>
  <dimension ref="A1:Z70"/>
  <sheetViews>
    <sheetView showGridLines="0" zoomScale="72" zoomScaleNormal="72" workbookViewId="0">
      <pane ySplit="3" topLeftCell="A4" activePane="bottomLeft" state="frozen"/>
      <selection pane="bottomLeft" activeCell="K2" sqref="K2"/>
    </sheetView>
  </sheetViews>
  <sheetFormatPr baseColWidth="10" defaultRowHeight="14.4" outlineLevelCol="1" x14ac:dyDescent="0.3"/>
  <cols>
    <col min="1" max="1" width="5.21875" style="1357" customWidth="1"/>
    <col min="2" max="2" width="32.6640625" bestFit="1" customWidth="1"/>
    <col min="3" max="3" width="37.44140625" bestFit="1" customWidth="1"/>
    <col min="4" max="4" width="53.21875" bestFit="1" customWidth="1"/>
    <col min="5" max="5" width="69.44140625" customWidth="1"/>
    <col min="6" max="6" width="35.88671875" bestFit="1" customWidth="1" outlineLevel="1"/>
    <col min="7" max="7" width="13.88671875" bestFit="1" customWidth="1" outlineLevel="1"/>
    <col min="8" max="8" width="8" bestFit="1" customWidth="1" outlineLevel="1"/>
    <col min="9" max="9" width="11.5546875" customWidth="1" outlineLevel="1"/>
    <col min="10" max="10" width="8.109375" bestFit="1" customWidth="1" outlineLevel="1"/>
    <col min="11" max="11" width="6.44140625" bestFit="1" customWidth="1" outlineLevel="1"/>
    <col min="26" max="26" width="11.21875" bestFit="1" customWidth="1"/>
  </cols>
  <sheetData>
    <row r="1" spans="1:26" ht="30" customHeight="1" thickBot="1" x14ac:dyDescent="0.35">
      <c r="A1" s="1916" t="s">
        <v>4769</v>
      </c>
      <c r="B1" s="1624"/>
      <c r="C1" s="1624"/>
      <c r="D1" s="1624"/>
      <c r="E1" s="1624"/>
      <c r="F1" s="1624"/>
      <c r="G1" s="1624"/>
      <c r="H1" s="1624"/>
      <c r="I1" s="1624"/>
      <c r="J1" s="1624"/>
      <c r="K1" s="1624"/>
      <c r="L1" s="1624"/>
      <c r="M1" s="1624"/>
      <c r="N1" s="1624"/>
      <c r="O1" s="1624"/>
      <c r="P1" s="1624"/>
      <c r="Q1" s="1624"/>
      <c r="R1" s="1624"/>
      <c r="S1" s="1624"/>
      <c r="T1" s="1624"/>
      <c r="U1" s="1624"/>
      <c r="V1" s="1624"/>
      <c r="W1" s="1624"/>
      <c r="X1" s="1624"/>
      <c r="Y1" s="1624"/>
      <c r="Z1" s="1624"/>
    </row>
    <row r="2" spans="1:26" ht="19.95" customHeight="1" thickBot="1" x14ac:dyDescent="0.35">
      <c r="A2" s="1645" t="str">
        <f>HYPERLINK("#'M-INDEX'!A1","⌂ INDICE")</f>
        <v>⌂ INDICE</v>
      </c>
      <c r="B2" s="1646"/>
      <c r="C2" s="1646"/>
      <c r="D2" s="1646"/>
      <c r="E2" s="1646"/>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536"/>
      <c r="N2" s="536"/>
      <c r="O2" s="536"/>
      <c r="P2" s="536"/>
      <c r="Q2" s="536"/>
      <c r="R2" s="536"/>
      <c r="S2" s="536"/>
      <c r="T2" s="536"/>
      <c r="U2" s="536"/>
      <c r="V2" s="536"/>
      <c r="W2" s="536"/>
      <c r="X2" s="536"/>
      <c r="Y2" s="536"/>
      <c r="Z2" s="536"/>
    </row>
    <row r="3" spans="1:26" ht="16.05" customHeight="1" thickBot="1" x14ac:dyDescent="0.35">
      <c r="A3" s="1632" t="str">
        <f>"Capa: Documentación &gt; Panel Ejecutivo ICPI · ICPI Global = "&amp;TEXT('M5-ICPI'!G29,"0,00")&amp;"% · "&amp;'DATA-RESULTADOS'!B8&amp;" · Actualización: mensual"</f>
        <v>Capa: Documentación &gt; Panel Ejecutivo ICPI · ICPI Global = 38,28% · Transición Crítica 🟡 · Actualización: mensual</v>
      </c>
      <c r="B3" s="1632"/>
      <c r="C3" s="1632"/>
      <c r="D3" s="1632"/>
      <c r="E3" s="1632"/>
      <c r="F3" s="796" t="s">
        <v>0</v>
      </c>
      <c r="G3" s="796">
        <v>92.25</v>
      </c>
      <c r="H3" s="796">
        <v>100</v>
      </c>
      <c r="I3" s="796"/>
      <c r="J3" s="796"/>
      <c r="K3" s="796"/>
      <c r="L3" s="796"/>
      <c r="M3" s="796"/>
      <c r="N3" s="796"/>
      <c r="O3" s="796"/>
      <c r="P3" s="796"/>
      <c r="Q3" s="796"/>
      <c r="R3" s="796"/>
      <c r="S3" s="796"/>
      <c r="T3" s="796"/>
      <c r="U3" s="796"/>
      <c r="V3" s="796"/>
      <c r="W3" s="796"/>
      <c r="X3" s="796"/>
      <c r="Y3" s="796"/>
      <c r="Z3" s="796"/>
    </row>
    <row r="4" spans="1:26" ht="30" customHeight="1" thickTop="1" x14ac:dyDescent="0.3">
      <c r="A4" s="1919" t="s">
        <v>4775</v>
      </c>
      <c r="B4" s="1642"/>
      <c r="C4" s="1620" t="str">
        <f>TEXT('M5-ICPI'!G29,"0,00")&amp;" %"</f>
        <v>38,28 %</v>
      </c>
      <c r="D4" s="1620" t="str">
        <f>IF('M5-ICPI'!G29&gt;=85,"🔵 EXCELENCIA",IF('M5-ICPI'!G29&gt;=70,"🟢 GESTIÓN POR MANDATO",IF('M5-ICPI'!G29&gt;=40,"🟠 TRANSICIÓN CRÍTICA",IF('M5-ICPI'!G29&gt;=20,"🔴 GESTIÓN POR OCURRENCIA","⬛ RUPTURA TOTAL"))))</f>
        <v>🔴 GESTIÓN POR OCURRENCIA</v>
      </c>
      <c r="E4" s="1620" t="str">
        <f>"Brecha vs ICM: "&amp;TEXT('M5-ICPI'!G29-92.25,"0,00")&amp;" pp  ·  Meta 2027: 92,5%"</f>
        <v>Brecha vs ICM: -53,97 pp  ·  Meta 2027: 92,5%</v>
      </c>
      <c r="F4" s="799" t="s">
        <v>1</v>
      </c>
      <c r="G4" s="799">
        <f>COUNTIFS('M5-ICPI'!E5:E24,1,'M5-ICPI'!F5:F24,"&gt;="&amp;0.8)</f>
        <v>5</v>
      </c>
      <c r="H4" s="799">
        <v>20</v>
      </c>
      <c r="I4" s="799"/>
      <c r="J4" s="799"/>
      <c r="K4" s="799"/>
      <c r="L4" s="799"/>
      <c r="M4" s="799"/>
      <c r="N4" s="799"/>
      <c r="O4" s="799"/>
      <c r="P4" s="799"/>
      <c r="Q4" s="799"/>
      <c r="R4" s="799"/>
      <c r="S4" s="799"/>
      <c r="T4" s="799"/>
      <c r="U4" s="799"/>
      <c r="V4" s="799"/>
      <c r="W4" s="799"/>
      <c r="X4" s="799"/>
      <c r="Y4" s="799"/>
      <c r="Z4" s="800"/>
    </row>
    <row r="5" spans="1:26" ht="22.05" customHeight="1" x14ac:dyDescent="0.3">
      <c r="A5" s="1934" t="s">
        <v>2</v>
      </c>
      <c r="B5" s="1637"/>
      <c r="C5" s="1638"/>
      <c r="D5" s="1638"/>
      <c r="E5" s="1638"/>
      <c r="F5" s="801" t="s">
        <v>3</v>
      </c>
      <c r="G5" s="801">
        <f>COUNTIF('M5-ICPI'!E5:E24,1)/20*100</f>
        <v>75</v>
      </c>
      <c r="H5" s="801">
        <v>100</v>
      </c>
      <c r="I5" s="801"/>
      <c r="J5" s="801"/>
      <c r="K5" s="801"/>
      <c r="L5" s="801"/>
      <c r="M5" s="801"/>
      <c r="N5" s="801"/>
      <c r="O5" s="801"/>
      <c r="P5" s="801"/>
      <c r="Q5" s="801"/>
      <c r="R5" s="801"/>
      <c r="S5" s="801"/>
      <c r="T5" s="801"/>
      <c r="U5" s="801"/>
      <c r="V5" s="801"/>
      <c r="W5" s="801"/>
      <c r="X5" s="801"/>
      <c r="Y5" s="801"/>
      <c r="Z5" s="802"/>
    </row>
    <row r="6" spans="1:26" ht="22.05" customHeight="1" x14ac:dyDescent="0.3">
      <c r="A6" s="1506" t="s">
        <v>4</v>
      </c>
      <c r="B6" s="888" t="s">
        <v>5</v>
      </c>
      <c r="C6" s="1647" t="s">
        <v>6</v>
      </c>
      <c r="D6" s="1648"/>
      <c r="E6" s="803" t="s">
        <v>7</v>
      </c>
      <c r="F6" s="804" t="s">
        <v>8</v>
      </c>
      <c r="G6" s="805">
        <f>'DATA-ITAM'!B6*100</f>
        <v>78.000000000000014</v>
      </c>
      <c r="H6" s="806">
        <v>100</v>
      </c>
      <c r="I6" s="807"/>
      <c r="J6" s="807"/>
      <c r="K6" s="807"/>
      <c r="L6" s="808"/>
      <c r="M6" s="808"/>
      <c r="N6" s="808"/>
      <c r="O6" s="808"/>
      <c r="P6" s="808"/>
      <c r="Q6" s="808"/>
      <c r="R6" s="808"/>
      <c r="S6" s="808"/>
      <c r="T6" s="808"/>
      <c r="U6" s="808"/>
      <c r="V6" s="809"/>
      <c r="W6" s="809"/>
      <c r="X6" s="809"/>
      <c r="Y6" s="809"/>
      <c r="Z6" s="810"/>
    </row>
    <row r="7" spans="1:26" ht="19.95" customHeight="1" x14ac:dyDescent="0.3">
      <c r="A7" s="1506" t="s">
        <v>9</v>
      </c>
      <c r="B7" s="889" t="str">
        <f>TEXT('M5-ICPI'!G29,"0,00")&amp;" %"</f>
        <v>38,28 %</v>
      </c>
      <c r="C7" s="1643" t="str">
        <f>REPT("█",ROUND('M5-ICPI'!G29/5,0))&amp;REPT("░",20-ROUND('M5-ICPI'!G29/5,0))&amp;"  "&amp;TEXT('M5-ICPI'!G29,"0,00")&amp;" %"</f>
        <v>████████░░░░░░░░░░░░  38,28 %</v>
      </c>
      <c r="D7" s="1644"/>
      <c r="E7" s="811" t="str">
        <f>"Meta: 92,5 % · "&amp;IF('M5-ICPI'!G29&gt;=85,"🔵 EXCELENCIA",IF('M5-ICPI'!G29&gt;=70,"🟢 GESTIÓN POR MANDATO",IF('M5-ICPI'!G29&gt;=40,"🟠 TRANSICIÓN CRÍTICA",IF('M5-ICPI'!G29&gt;=20,"🔴 GESTIÓN POR OCURRENCIA","⬛ RUPTURA TOTAL"))))&amp;" · Motor ICPI"</f>
        <v>Meta: 92,5 % · 🔴 GESTIÓN POR OCURRENCIA · Motor ICPI</v>
      </c>
      <c r="F7" s="812" t="s">
        <v>10</v>
      </c>
      <c r="G7" s="813">
        <f>ABS('M5-ICPI'!G29-92.25)</f>
        <v>53.966986116437887</v>
      </c>
      <c r="H7" s="813">
        <v>100</v>
      </c>
      <c r="I7" s="812"/>
      <c r="J7" s="812"/>
      <c r="K7" s="812"/>
      <c r="L7" s="814"/>
      <c r="M7" s="814"/>
      <c r="N7" s="814"/>
      <c r="O7" s="814"/>
      <c r="P7" s="814"/>
      <c r="Q7" s="814"/>
      <c r="R7" s="814"/>
      <c r="S7" s="814"/>
      <c r="T7" s="814"/>
      <c r="U7" s="814"/>
      <c r="V7" s="815"/>
      <c r="W7" s="815"/>
      <c r="X7" s="815"/>
      <c r="Y7" s="815"/>
      <c r="Z7" s="816"/>
    </row>
    <row r="8" spans="1:26" ht="19.95" customHeight="1" x14ac:dyDescent="0.3">
      <c r="A8" s="1506" t="s">
        <v>11</v>
      </c>
      <c r="B8" s="890" t="str">
        <f>IF('M5-ICPI'!G29&gt;=85,"🔵 EXCELENCIA",IF('M5-ICPI'!G29&gt;=70,"🟢 GESTIÓN POR MANDATO",IF('M5-ICPI'!G29&gt;=40,"🟠 TRANSICIÓN CRÍTICA",IF('M5-ICPI'!G29&gt;=20,"🔴 GESTIÓN POR OCURRENCIA","⬛ RUPTURA TOTAL"))))</f>
        <v>🔴 GESTIÓN POR OCURRENCIA</v>
      </c>
      <c r="C8" s="1640" t="str">
        <f>"Nivel "&amp;IF('M5-ICPI'!G29&gt;=85,"1",IF('M5-ICPI'!G29&gt;=70,"2",IF('M5-ICPI'!G29&gt;=40,"3",IF('M5-ICPI'!G29&gt;=20,"4","5"))))&amp;" de 5 — §3.7 SIAP-ICPI"</f>
        <v>Nivel 4 de 5 — §3.7 SIAP-ICPI</v>
      </c>
      <c r="D8" s="1641"/>
      <c r="E8" s="817" t="s">
        <v>12</v>
      </c>
      <c r="F8" s="807"/>
      <c r="G8" s="807"/>
      <c r="H8" s="807"/>
      <c r="I8" s="807"/>
      <c r="J8" s="807"/>
      <c r="K8" s="807"/>
      <c r="L8" s="808"/>
      <c r="M8" s="808"/>
      <c r="N8" s="808"/>
      <c r="O8" s="808"/>
      <c r="P8" s="808"/>
      <c r="Q8" s="808"/>
      <c r="R8" s="808"/>
      <c r="S8" s="808"/>
      <c r="T8" s="808"/>
      <c r="U8" s="808"/>
      <c r="V8" s="809"/>
      <c r="W8" s="809"/>
      <c r="X8" s="809"/>
      <c r="Y8" s="809"/>
      <c r="Z8" s="810"/>
    </row>
    <row r="9" spans="1:26" ht="19.95" customHeight="1" x14ac:dyDescent="0.3">
      <c r="A9" s="1506" t="s">
        <v>0</v>
      </c>
      <c r="B9" s="891" t="str">
        <f>TEXT(92.25,"0,00")&amp;" %"</f>
        <v>92,25 %</v>
      </c>
      <c r="C9" s="1627" t="str">
        <f>REPT("█",ROUND(92.25/5,0))&amp;REPT("░",20-ROUND(92.25/5,0))&amp;"  "&amp;TEXT(92.25,"0,00")&amp;" %"</f>
        <v>██████████████████░░  92,25 %</v>
      </c>
      <c r="D9" s="1628"/>
      <c r="E9" s="811" t="str">
        <f>"Mandato OK · SIGAD · Brecha integridad: "&amp;TEXT('M5-ICPI'!G29-92.25,"0,00")&amp;" pp"</f>
        <v>Mandato OK · SIGAD · Brecha integridad: -53,97 pp</v>
      </c>
      <c r="F9" s="812"/>
      <c r="G9" s="812"/>
      <c r="H9" s="812"/>
      <c r="I9" s="812"/>
      <c r="J9" s="812"/>
      <c r="K9" s="812"/>
      <c r="L9" s="814"/>
      <c r="M9" s="814"/>
      <c r="N9" s="814"/>
      <c r="O9" s="814"/>
      <c r="P9" s="814"/>
      <c r="Q9" s="814"/>
      <c r="R9" s="814"/>
      <c r="S9" s="814"/>
      <c r="T9" s="814"/>
      <c r="U9" s="814"/>
      <c r="V9" s="815"/>
      <c r="W9" s="815"/>
      <c r="X9" s="815"/>
      <c r="Y9" s="815"/>
      <c r="Z9" s="816"/>
    </row>
    <row r="10" spans="1:26" ht="19.95" customHeight="1" x14ac:dyDescent="0.3">
      <c r="A10" s="1506" t="s">
        <v>13</v>
      </c>
      <c r="B10" s="887" t="str">
        <f>TEXT('M5-ICPI'!G29-92.25,"0,00")&amp;" pp"</f>
        <v>-53,97 pp</v>
      </c>
      <c r="C10" s="1651" t="str">
        <f>REPT("█",ROUND(ABS('M5-ICPI'!G29-92.25)/5,0))&amp;REPT("░",20-ROUND(ABS('M5-ICPI'!G29-92.25)/5,0))&amp;"  "&amp;TEXT('M5-ICPI'!G29-92.25,"0,00")&amp;" pp"</f>
        <v>███████████░░░░░░░░░  -53,97 pp</v>
      </c>
      <c r="D10" s="1652"/>
      <c r="E10" s="818" t="s">
        <v>14</v>
      </c>
      <c r="F10" s="819" t="s">
        <v>15</v>
      </c>
      <c r="G10" s="819" t="s">
        <v>16</v>
      </c>
      <c r="H10" s="819"/>
      <c r="I10" s="819"/>
      <c r="J10" s="819"/>
      <c r="K10" s="819"/>
      <c r="L10" s="820"/>
      <c r="M10" s="820"/>
      <c r="N10" s="820"/>
      <c r="O10" s="820"/>
      <c r="P10" s="820"/>
      <c r="Q10" s="820"/>
      <c r="R10" s="820"/>
      <c r="S10" s="820"/>
      <c r="T10" s="820"/>
      <c r="U10" s="820"/>
      <c r="V10" s="820"/>
      <c r="W10" s="820"/>
      <c r="X10" s="820"/>
      <c r="Y10" s="820"/>
      <c r="Z10" s="821"/>
    </row>
    <row r="11" spans="1:26" ht="19.95" customHeight="1" x14ac:dyDescent="0.3">
      <c r="A11" s="1506" t="s">
        <v>17</v>
      </c>
      <c r="B11" s="892" t="str">
        <f>COUNTIF('M5-ICPI'!E5:E24,1)&amp;" / 20  ("&amp;TEXT(COUNTIF('M5-ICPI'!E5:E24,1)/20,"0%")&amp;")"</f>
        <v>15 / 20  (75%)</v>
      </c>
      <c r="C11" s="1635" t="str">
        <f>REPT("█",ROUND(COUNTIF('M5-ICPI'!E5:E24,1),0))&amp;REPT("░",20-ROUND(COUNTIF('M5-ICPI'!E5:E24,1),0))&amp;"  "&amp;COUNTIF('M5-ICPI'!E5:E24,1)&amp;" / 20"</f>
        <v>███████████████░░░░░  15 / 20</v>
      </c>
      <c r="D11" s="1636"/>
      <c r="E11" s="811" t="s">
        <v>18</v>
      </c>
      <c r="F11" s="812" t="s">
        <v>19</v>
      </c>
      <c r="G11" s="822">
        <f>'DATA-EJES'!D4</f>
        <v>25.761436144843593</v>
      </c>
      <c r="H11" s="812"/>
      <c r="I11" s="812"/>
      <c r="J11" s="812"/>
      <c r="K11" s="812"/>
      <c r="L11" s="814"/>
      <c r="M11" s="814"/>
      <c r="N11" s="814"/>
      <c r="O11" s="814"/>
      <c r="P11" s="814"/>
      <c r="Q11" s="814"/>
      <c r="R11" s="814"/>
      <c r="S11" s="814"/>
      <c r="T11" s="814"/>
      <c r="U11" s="814"/>
      <c r="V11" s="815"/>
      <c r="W11" s="815"/>
      <c r="X11" s="815"/>
      <c r="Y11" s="815"/>
      <c r="Z11" s="816"/>
    </row>
    <row r="12" spans="1:26" ht="19.95" customHeight="1" x14ac:dyDescent="0.3">
      <c r="A12" s="1506" t="s">
        <v>20</v>
      </c>
      <c r="B12" s="893" t="str">
        <f>COUNTIFS('M5-ICPI'!E5:E24,1,'M5-ICPI'!F5:F24,"&gt;="&amp;0.8)&amp;" / 20  ("&amp;TEXT(COUNTIFS('M5-ICPI'!E5:E24,1,'M5-ICPI'!F5:F24,"&gt;="&amp;0.8)/20,"0%")&amp;")"</f>
        <v>5 / 20  (25%)</v>
      </c>
      <c r="C12" s="1633" t="str">
        <f>REPT("█",COUNTIFS('M5-ICPI'!E5:E24,1,'M5-ICPI'!F5:F24,"&gt;="&amp;0.8))&amp;REPT("░",20-COUNTIFS('M5-ICPI'!E5:E24,1,'M5-ICPI'!F5:F24,"&gt;="&amp;0.8))&amp;"  "&amp;COUNTIFS('M5-ICPI'!E5:E24,1,'M5-ICPI'!F5:F24,"&gt;="&amp;0.8)&amp;" / 20"</f>
        <v>█████░░░░░░░░░░░░░░░  5 / 20</v>
      </c>
      <c r="D12" s="1634"/>
      <c r="E12" s="817" t="s">
        <v>21</v>
      </c>
      <c r="F12" s="807" t="s">
        <v>22</v>
      </c>
      <c r="G12" s="823">
        <f>'DATA-EJES'!D5</f>
        <v>51.686757985993069</v>
      </c>
      <c r="H12" s="807"/>
      <c r="I12" s="807"/>
      <c r="J12" s="807"/>
      <c r="K12" s="807"/>
      <c r="L12" s="808"/>
      <c r="M12" s="808"/>
      <c r="N12" s="808"/>
      <c r="O12" s="808"/>
      <c r="P12" s="808"/>
      <c r="Q12" s="808"/>
      <c r="R12" s="808"/>
      <c r="S12" s="808"/>
      <c r="T12" s="808"/>
      <c r="U12" s="808"/>
      <c r="V12" s="809"/>
      <c r="W12" s="809"/>
      <c r="X12" s="809"/>
      <c r="Y12" s="809"/>
      <c r="Z12" s="810"/>
    </row>
    <row r="13" spans="1:26" ht="19.95" customHeight="1" x14ac:dyDescent="0.3">
      <c r="A13" s="1506" t="s">
        <v>23</v>
      </c>
      <c r="B13" s="894" t="str">
        <f>TEXT('DATA-ITAM'!B6*100,"0,0")&amp;" %"</f>
        <v>78,0 %</v>
      </c>
      <c r="C13" s="1627" t="str">
        <f>REPT("█",ROUND('DATA-ITAM'!B6*20,0))&amp;REPT("░",20-ROUND('DATA-ITAM'!B6*20,0))&amp;"  "&amp;TEXT('DATA-ITAM'!B6*100,"0,0")&amp;" %"</f>
        <v>████████████████░░░░  78,0 %</v>
      </c>
      <c r="D13" s="1628"/>
      <c r="E13" s="824" t="s">
        <v>24</v>
      </c>
      <c r="F13" s="812" t="s">
        <v>25</v>
      </c>
      <c r="G13" s="813">
        <f>'DATA-EJES'!D6</f>
        <v>44.93166376639391</v>
      </c>
      <c r="H13" s="812"/>
      <c r="I13" s="812"/>
      <c r="J13" s="812"/>
      <c r="K13" s="812"/>
      <c r="L13" s="814"/>
      <c r="M13" s="814"/>
      <c r="N13" s="814"/>
      <c r="O13" s="814"/>
      <c r="P13" s="814"/>
      <c r="Q13" s="814"/>
      <c r="R13" s="814"/>
      <c r="S13" s="814"/>
      <c r="T13" s="814"/>
      <c r="U13" s="814"/>
      <c r="V13" s="815"/>
      <c r="W13" s="815"/>
      <c r="X13" s="815"/>
      <c r="Y13" s="815"/>
      <c r="Z13" s="816"/>
    </row>
    <row r="14" spans="1:26" ht="22.05" customHeight="1" x14ac:dyDescent="0.3">
      <c r="A14" s="1639" t="s">
        <v>26</v>
      </c>
      <c r="B14" s="1630"/>
      <c r="C14" s="1631"/>
      <c r="D14" s="1631"/>
      <c r="E14" s="1631"/>
      <c r="F14" s="807" t="s">
        <v>27</v>
      </c>
      <c r="G14" s="823">
        <f>'DATA-EJES'!D7</f>
        <v>70</v>
      </c>
      <c r="H14" s="807"/>
      <c r="I14" s="807"/>
      <c r="J14" s="807"/>
      <c r="K14" s="807"/>
      <c r="L14" s="808"/>
      <c r="M14" s="808"/>
      <c r="N14" s="808"/>
      <c r="O14" s="808"/>
      <c r="P14" s="808"/>
      <c r="Q14" s="808"/>
      <c r="R14" s="808"/>
      <c r="S14" s="808"/>
      <c r="T14" s="808"/>
      <c r="U14" s="808"/>
      <c r="V14" s="809"/>
      <c r="W14" s="809"/>
      <c r="X14" s="809"/>
      <c r="Y14" s="809"/>
      <c r="Z14" s="810"/>
    </row>
    <row r="15" spans="1:26" ht="22.05" customHeight="1" x14ac:dyDescent="0.3">
      <c r="A15" s="1506" t="s">
        <v>28</v>
      </c>
      <c r="B15" s="896" t="s">
        <v>16</v>
      </c>
      <c r="C15" s="825" t="s">
        <v>6</v>
      </c>
      <c r="D15" s="825" t="s">
        <v>29</v>
      </c>
      <c r="E15" s="825" t="s">
        <v>30</v>
      </c>
      <c r="F15" s="812" t="s">
        <v>31</v>
      </c>
      <c r="G15" s="813">
        <f>'DATA-EJES'!D8</f>
        <v>60.151290496607871</v>
      </c>
      <c r="H15" s="812"/>
      <c r="I15" s="812"/>
      <c r="J15" s="812"/>
      <c r="K15" s="812"/>
      <c r="L15" s="814"/>
      <c r="M15" s="814"/>
      <c r="N15" s="814"/>
      <c r="O15" s="814"/>
      <c r="P15" s="814"/>
      <c r="Q15" s="814"/>
      <c r="R15" s="814"/>
      <c r="S15" s="814"/>
      <c r="T15" s="814"/>
      <c r="U15" s="814"/>
      <c r="V15" s="815"/>
      <c r="W15" s="815"/>
      <c r="X15" s="815"/>
      <c r="Y15" s="815"/>
      <c r="Z15" s="816"/>
    </row>
    <row r="16" spans="1:26" ht="19.95" customHeight="1" x14ac:dyDescent="0.3">
      <c r="A16" s="1506" t="s">
        <v>19</v>
      </c>
      <c r="B16" s="897" t="str">
        <f>TEXT('DATA-EJES'!D4,"0,0")&amp;" %"</f>
        <v>25,8 %</v>
      </c>
      <c r="C16" s="826" t="str">
        <f>REPT("█",ROUND('DATA-EJES'!D4/5,0))&amp;REPT("░",20-ROUND('DATA-EJES'!D4/5,0))&amp;"  "&amp;TEXT('DATA-EJES'!D4,"0,0")&amp;" %"</f>
        <v>█████░░░░░░░░░░░░░░░  25,8 %</v>
      </c>
      <c r="D16" s="827" t="str">
        <f>TEXT(SUMIF('M5-ICPI'!B5:B24,"TERRITORIAL",'M5-ICPI'!H5:H24)/SUMIF('M5-ICPI'!H5:H24,"&gt;0",'M5-ICPI'!H5:H24),"0,0%")</f>
        <v>0,0%</v>
      </c>
      <c r="E16" s="826" t="str">
        <f>IF('DATA-EJES'!D4&gt;=85,"🔵 EXCELENCIA",IF('DATA-EJES'!D4&gt;=70,"🟢 GESTIÓN POR MANDATO",IF('DATA-EJES'!D4&gt;=40,"🟠 TRANSICIÓN CRÍTICA",IF('DATA-EJES'!D4&gt;=20,"🔴 GESTIÓN POR OCURRENCIA","⬛ RUPTURA TOTAL"))))</f>
        <v>🔴 GESTIÓN POR OCURRENCIA</v>
      </c>
      <c r="F16" s="807"/>
      <c r="G16" s="807"/>
      <c r="H16" s="807"/>
      <c r="I16" s="807"/>
      <c r="J16" s="807"/>
      <c r="K16" s="807"/>
      <c r="L16" s="808"/>
      <c r="M16" s="808"/>
      <c r="N16" s="808"/>
      <c r="O16" s="808"/>
      <c r="P16" s="808"/>
      <c r="Q16" s="808"/>
      <c r="R16" s="808"/>
      <c r="S16" s="808"/>
      <c r="T16" s="808"/>
      <c r="U16" s="808"/>
      <c r="V16" s="809"/>
      <c r="W16" s="809"/>
      <c r="X16" s="809"/>
      <c r="Y16" s="809"/>
      <c r="Z16" s="810"/>
    </row>
    <row r="17" spans="1:26" ht="19.95" customHeight="1" x14ac:dyDescent="0.3">
      <c r="A17" s="1506" t="s">
        <v>22</v>
      </c>
      <c r="B17" s="898" t="str">
        <f>TEXT('DATA-EJES'!D5,"0,0")&amp;" %"</f>
        <v>51,7 %</v>
      </c>
      <c r="C17" s="828" t="str">
        <f>REPT("█",ROUND('DATA-EJES'!D5/5,0))&amp;REPT("░",20-ROUND('DATA-EJES'!D5/5,0))&amp;"  "&amp;TEXT('DATA-EJES'!D5,"0,0")&amp;" %"</f>
        <v>██████████░░░░░░░░░░  51,7 %</v>
      </c>
      <c r="D17" s="829" t="str">
        <f>TEXT(SUMIF('M5-ICPI'!B5:B24,"SOCIAL",'M5-ICPI'!H5:H24)/SUMIF('M5-ICPI'!H5:H24,"&gt;0",'M5-ICPI'!H5:H24),"0,0%")</f>
        <v>0,0%</v>
      </c>
      <c r="E17" s="830" t="str">
        <f>IF('DATA-EJES'!D5&gt;=85,"🔵 EXCELENCIA",IF('DATA-EJES'!D5&gt;=70,"🟢 GESTIÓN POR MANDATO",IF('DATA-EJES'!D5&gt;=40,"🟠 TRANSICIÓN CRÍTICA",IF('DATA-EJES'!D5&gt;=20,"🔴 GESTIÓN POR OCURRENCIA","⬛ RUPTURA TOTAL"))))</f>
        <v>🟠 TRANSICIÓN CRÍTICA</v>
      </c>
      <c r="F17" s="812" t="s">
        <v>32</v>
      </c>
      <c r="G17" s="812" t="s">
        <v>33</v>
      </c>
      <c r="H17" s="812"/>
      <c r="I17" s="812"/>
      <c r="J17" s="812"/>
      <c r="K17" s="812"/>
      <c r="L17" s="814"/>
      <c r="M17" s="814"/>
      <c r="N17" s="814"/>
      <c r="O17" s="814"/>
      <c r="P17" s="814"/>
      <c r="Q17" s="814"/>
      <c r="R17" s="814"/>
      <c r="S17" s="814"/>
      <c r="T17" s="814"/>
      <c r="U17" s="814"/>
      <c r="V17" s="815"/>
      <c r="W17" s="815"/>
      <c r="X17" s="815"/>
      <c r="Y17" s="815"/>
      <c r="Z17" s="816"/>
    </row>
    <row r="18" spans="1:26" ht="19.95" customHeight="1" x14ac:dyDescent="0.3">
      <c r="A18" s="1506" t="s">
        <v>25</v>
      </c>
      <c r="B18" s="899" t="str">
        <f>TEXT('DATA-EJES'!D6,"0,0")&amp;" %"</f>
        <v>44,9 %</v>
      </c>
      <c r="C18" s="831" t="str">
        <f>REPT("█",ROUND('DATA-EJES'!D6/5,0))&amp;REPT("░",20-ROUND('DATA-EJES'!D6/5,0))&amp;"  "&amp;TEXT('DATA-EJES'!D6,"0,0")&amp;" %"</f>
        <v>█████████░░░░░░░░░░░  44,9 %</v>
      </c>
      <c r="D18" s="832" t="str">
        <f>TEXT(SUMIF('M5-ICPI'!B5:B24,"AMBIENTAL",'M5-ICPI'!H5:H24)/SUMIF('M5-ICPI'!H5:H24,"&gt;0",'M5-ICPI'!H5:H24),"0,0%")</f>
        <v>17,8%</v>
      </c>
      <c r="E18" s="833" t="str">
        <f>IF('DATA-EJES'!D6&gt;=85,"🔵 EXCELENCIA",IF('DATA-EJES'!D6&gt;=70,"🟢 GESTIÓN POR MANDATO",IF('DATA-EJES'!D6&gt;=40,"🟠 TRANSICIÓN CRÍTICA",IF('DATA-EJES'!D6&gt;=20,"🔴 GESTIÓN POR OCURRENCIA","⬛ RUPTURA TOTAL"))))</f>
        <v>🟠 TRANSICIÓN CRÍTICA</v>
      </c>
      <c r="F18" s="834" t="s">
        <v>34</v>
      </c>
      <c r="G18" s="823">
        <f>COUNTIFS('M4-AUDIT'!X5:X24,1,'M4-AUDIT'!Y5:Y24,"&gt;="&amp;0.8)</f>
        <v>1</v>
      </c>
      <c r="H18" s="823">
        <f>COUNTIFS('M4-AUDIT'!X5:X24,1,'M4-AUDIT'!Y5:Y24,"&gt;="&amp;0.99)</f>
        <v>0</v>
      </c>
      <c r="I18" s="807"/>
      <c r="J18" s="807"/>
      <c r="K18" s="807"/>
      <c r="L18" s="808"/>
      <c r="M18" s="808"/>
      <c r="N18" s="808"/>
      <c r="O18" s="808"/>
      <c r="P18" s="808"/>
      <c r="Q18" s="808"/>
      <c r="R18" s="808"/>
      <c r="S18" s="808"/>
      <c r="T18" s="808"/>
      <c r="U18" s="808"/>
      <c r="V18" s="809"/>
      <c r="W18" s="809"/>
      <c r="X18" s="809"/>
      <c r="Y18" s="809"/>
      <c r="Z18" s="810"/>
    </row>
    <row r="19" spans="1:26" ht="19.95" customHeight="1" x14ac:dyDescent="0.3">
      <c r="A19" s="1506" t="s">
        <v>27</v>
      </c>
      <c r="B19" s="900" t="str">
        <f>TEXT('DATA-EJES'!D7,"0,0")&amp;" %"</f>
        <v>70,0 %</v>
      </c>
      <c r="C19" s="835" t="str">
        <f>REPT("█",ROUND('DATA-EJES'!D7/5,0))&amp;REPT("░",20-ROUND('DATA-EJES'!D7/5,0))&amp;"  "&amp;TEXT('DATA-EJES'!D7,"0,0")&amp;" %"</f>
        <v>██████████████░░░░░░  70,0 %</v>
      </c>
      <c r="D19" s="836" t="str">
        <f>TEXT(SUMIF('M5-ICPI'!B5:B24,"ECONÓMICO",'M5-ICPI'!H5:H24)/SUMIF('M5-ICPI'!H5:H24,"&gt;0",'M5-ICPI'!H5:H24),"0,0%")</f>
        <v>0,0%</v>
      </c>
      <c r="E19" s="837" t="str">
        <f>IF('DATA-EJES'!D7&gt;=85,"🔵 EXCELENCIA",IF('DATA-EJES'!D7&gt;=70,"🟢 GESTIÓN POR MANDATO",IF('DATA-EJES'!D7&gt;=40,"🟠 TRANSICIÓN CRÍTICA",IF('DATA-EJES'!D7&gt;=20,"🔴 GESTIÓN POR OCURRENCIA","⬛ RUPTURA TOTAL"))))</f>
        <v>🟢 GESTIÓN POR MANDATO</v>
      </c>
      <c r="F19" s="838" t="s">
        <v>35</v>
      </c>
      <c r="G19" s="822">
        <f>COUNTIF('M4-AUDIT'!X5:X24,1)-COUNTIFS('M4-AUDIT'!X5:X24,1,'M4-AUDIT'!Y5:Y24,"&gt;="&amp;0.8)</f>
        <v>7</v>
      </c>
      <c r="H19" s="822">
        <f>COUNTIF('M4-AUDIT'!X5:X24,1)-COUNTIFS('M4-AUDIT'!X5:X24,1,'M4-AUDIT'!Y5:Y24,"&gt;="&amp;0.99)</f>
        <v>8</v>
      </c>
      <c r="I19" s="812"/>
      <c r="J19" s="812"/>
      <c r="K19" s="812"/>
      <c r="L19" s="814"/>
      <c r="M19" s="814"/>
      <c r="N19" s="814"/>
      <c r="O19" s="814"/>
      <c r="P19" s="814"/>
      <c r="Q19" s="814"/>
      <c r="R19" s="814"/>
      <c r="S19" s="814"/>
      <c r="T19" s="814"/>
      <c r="U19" s="814"/>
      <c r="V19" s="815"/>
      <c r="W19" s="815"/>
      <c r="X19" s="815"/>
      <c r="Y19" s="815"/>
      <c r="Z19" s="816"/>
    </row>
    <row r="20" spans="1:26" ht="19.95" customHeight="1" x14ac:dyDescent="0.3">
      <c r="A20" s="1506" t="s">
        <v>31</v>
      </c>
      <c r="B20" s="899" t="str">
        <f>TEXT('DATA-EJES'!D8,"0,0")&amp;" %"</f>
        <v>60,2 %</v>
      </c>
      <c r="C20" s="831" t="str">
        <f>REPT("█",ROUND('DATA-EJES'!D8/5,0))&amp;REPT("░",20-ROUND('DATA-EJES'!D8/5,0))&amp;"  "&amp;TEXT('DATA-EJES'!D8,"0,0")&amp;" %"</f>
        <v>████████████░░░░░░░░  60,2 %</v>
      </c>
      <c r="D20" s="832" t="str">
        <f>TEXT(SUMIF('M5-ICPI'!B5:B24,"INSTITUCIONAL",'M5-ICPI'!H5:H24)/SUMIF('M5-ICPI'!H5:H24,"&gt;0",'M5-ICPI'!H5:H24),"0,0%")</f>
        <v>0,0%</v>
      </c>
      <c r="E20" s="833" t="str">
        <f>IF('DATA-EJES'!D8&gt;=85,"🔵 EXCELENCIA",IF('DATA-EJES'!D8&gt;=70,"🟢 GESTIÓN POR MANDATO",IF('DATA-EJES'!D8&gt;=40,"🟠 TRANSICIÓN CRÍTICA",IF('DATA-EJES'!D8&gt;=20,"🔴 GESTIÓN POR OCURRENCIA","⬛ RUPTURA TOTAL"))))</f>
        <v>🟠 TRANSICIÓN CRÍTICA</v>
      </c>
      <c r="F20" s="807" t="s">
        <v>36</v>
      </c>
      <c r="G20" s="823">
        <f>20-COUNTIF('M4-AUDIT'!X5:X24,1)</f>
        <v>12</v>
      </c>
      <c r="H20" s="823">
        <f>20-COUNTIF('M4-AUDIT'!X5:X24,1)</f>
        <v>12</v>
      </c>
      <c r="I20" s="807"/>
      <c r="J20" s="807"/>
      <c r="K20" s="807"/>
      <c r="L20" s="808"/>
      <c r="M20" s="808"/>
      <c r="N20" s="808"/>
      <c r="O20" s="808"/>
      <c r="P20" s="808"/>
      <c r="Q20" s="808"/>
      <c r="R20" s="808"/>
      <c r="S20" s="808"/>
      <c r="T20" s="808"/>
      <c r="U20" s="808"/>
      <c r="V20" s="809"/>
      <c r="W20" s="809"/>
      <c r="X20" s="809"/>
      <c r="Y20" s="809"/>
      <c r="Z20" s="810"/>
    </row>
    <row r="21" spans="1:26" s="44" customFormat="1" ht="6" customHeight="1" x14ac:dyDescent="0.3">
      <c r="A21" s="1621" t="s">
        <v>37</v>
      </c>
      <c r="B21" s="1622"/>
      <c r="C21" s="1623"/>
      <c r="D21" s="1623"/>
      <c r="E21" s="1623"/>
      <c r="F21" s="814"/>
      <c r="G21" s="814"/>
      <c r="H21" s="814"/>
      <c r="I21" s="814"/>
      <c r="J21" s="814"/>
      <c r="K21" s="814"/>
      <c r="L21" s="814"/>
      <c r="M21" s="814"/>
      <c r="N21" s="814"/>
      <c r="O21" s="814"/>
      <c r="P21" s="814"/>
      <c r="Q21" s="814"/>
      <c r="R21" s="814"/>
      <c r="S21" s="814"/>
      <c r="T21" s="814"/>
      <c r="U21" s="814"/>
      <c r="V21" s="815"/>
      <c r="W21" s="815"/>
      <c r="X21" s="815"/>
      <c r="Y21" s="815"/>
      <c r="Z21" s="816"/>
    </row>
    <row r="22" spans="1:26" ht="22.05" customHeight="1" x14ac:dyDescent="0.3">
      <c r="A22" s="1629"/>
      <c r="B22" s="1630"/>
      <c r="C22" s="1631"/>
      <c r="D22" s="1631"/>
      <c r="E22" s="1631"/>
      <c r="F22" s="839"/>
      <c r="G22" s="839"/>
      <c r="H22" s="839"/>
      <c r="I22" s="839"/>
      <c r="J22" s="839"/>
      <c r="K22" s="839"/>
      <c r="L22" s="839"/>
      <c r="M22" s="839"/>
      <c r="N22" s="839"/>
      <c r="O22" s="839"/>
      <c r="P22" s="839"/>
      <c r="Q22" s="839"/>
      <c r="R22" s="839"/>
      <c r="S22" s="839"/>
      <c r="T22" s="839"/>
      <c r="U22" s="839"/>
      <c r="V22" s="809"/>
      <c r="W22" s="809"/>
      <c r="X22" s="809"/>
      <c r="Y22" s="809"/>
      <c r="Z22" s="810"/>
    </row>
    <row r="23" spans="1:26" s="13" customFormat="1" ht="16.05" customHeight="1" x14ac:dyDescent="0.3">
      <c r="A23" s="1507" t="s">
        <v>38</v>
      </c>
      <c r="B23" s="901" t="s">
        <v>39</v>
      </c>
      <c r="C23" s="840" t="s">
        <v>40</v>
      </c>
      <c r="D23" s="840" t="s">
        <v>41</v>
      </c>
      <c r="E23" s="841" t="s">
        <v>42</v>
      </c>
      <c r="F23" s="842"/>
      <c r="G23" s="842"/>
      <c r="H23" s="842"/>
      <c r="I23" s="842"/>
      <c r="J23" s="842"/>
      <c r="K23" s="842"/>
      <c r="L23" s="842"/>
      <c r="M23" s="842"/>
      <c r="N23" s="842"/>
      <c r="O23" s="842"/>
      <c r="P23" s="842"/>
      <c r="Q23" s="842"/>
      <c r="R23" s="842"/>
      <c r="S23" s="842"/>
      <c r="T23" s="842"/>
      <c r="U23" s="842"/>
      <c r="V23" s="843"/>
      <c r="W23" s="843"/>
      <c r="X23" s="843"/>
      <c r="Y23" s="843"/>
      <c r="Z23" s="844"/>
    </row>
    <row r="24" spans="1:26" ht="18" customHeight="1" x14ac:dyDescent="0.3">
      <c r="A24" s="1506">
        <v>1</v>
      </c>
      <c r="B24" s="902" t="s">
        <v>43</v>
      </c>
      <c r="C24" s="845" t="s">
        <v>44</v>
      </c>
      <c r="D24" s="846" t="s">
        <v>45</v>
      </c>
      <c r="E24" s="847" t="s">
        <v>46</v>
      </c>
      <c r="F24" s="808"/>
      <c r="G24" s="808"/>
      <c r="H24" s="808"/>
      <c r="I24" s="808"/>
      <c r="J24" s="808"/>
      <c r="K24" s="808"/>
      <c r="L24" s="808"/>
      <c r="M24" s="808"/>
      <c r="N24" s="808"/>
      <c r="O24" s="808"/>
      <c r="P24" s="808"/>
      <c r="Q24" s="808"/>
      <c r="R24" s="808"/>
      <c r="S24" s="808"/>
      <c r="T24" s="808"/>
      <c r="U24" s="808"/>
      <c r="V24" s="809"/>
      <c r="W24" s="809"/>
      <c r="X24" s="809"/>
      <c r="Y24" s="809"/>
      <c r="Z24" s="810"/>
    </row>
    <row r="25" spans="1:26" ht="18" customHeight="1" x14ac:dyDescent="0.3">
      <c r="A25" s="1506">
        <v>2</v>
      </c>
      <c r="B25" s="903" t="s">
        <v>47</v>
      </c>
      <c r="C25" s="848" t="s">
        <v>44</v>
      </c>
      <c r="D25" s="849" t="s">
        <v>48</v>
      </c>
      <c r="E25" s="850" t="s">
        <v>49</v>
      </c>
      <c r="F25" s="814"/>
      <c r="G25" s="814"/>
      <c r="H25" s="814"/>
      <c r="I25" s="814"/>
      <c r="J25" s="814"/>
      <c r="K25" s="814"/>
      <c r="L25" s="814"/>
      <c r="M25" s="814"/>
      <c r="N25" s="814"/>
      <c r="O25" s="814"/>
      <c r="P25" s="814"/>
      <c r="Q25" s="814"/>
      <c r="R25" s="814"/>
      <c r="S25" s="814"/>
      <c r="T25" s="814"/>
      <c r="U25" s="814"/>
      <c r="V25" s="815"/>
      <c r="W25" s="815"/>
      <c r="X25" s="815"/>
      <c r="Y25" s="815"/>
      <c r="Z25" s="816"/>
    </row>
    <row r="26" spans="1:26" ht="18" customHeight="1" x14ac:dyDescent="0.3">
      <c r="A26" s="1506">
        <v>3</v>
      </c>
      <c r="B26" s="902" t="s">
        <v>50</v>
      </c>
      <c r="C26" s="845" t="s">
        <v>44</v>
      </c>
      <c r="D26" s="851" t="s">
        <v>51</v>
      </c>
      <c r="E26" s="847" t="s">
        <v>52</v>
      </c>
      <c r="F26" s="808"/>
      <c r="G26" s="808"/>
      <c r="H26" s="808"/>
      <c r="I26" s="808"/>
      <c r="J26" s="808"/>
      <c r="K26" s="808"/>
      <c r="L26" s="808"/>
      <c r="M26" s="808"/>
      <c r="N26" s="808"/>
      <c r="O26" s="808"/>
      <c r="P26" s="808"/>
      <c r="Q26" s="808"/>
      <c r="R26" s="808"/>
      <c r="S26" s="808"/>
      <c r="T26" s="808"/>
      <c r="U26" s="808"/>
      <c r="V26" s="809"/>
      <c r="W26" s="809"/>
      <c r="X26" s="809"/>
      <c r="Y26" s="809"/>
      <c r="Z26" s="810"/>
    </row>
    <row r="27" spans="1:26" ht="18" customHeight="1" x14ac:dyDescent="0.3">
      <c r="A27" s="1506">
        <v>4</v>
      </c>
      <c r="B27" s="903" t="s">
        <v>53</v>
      </c>
      <c r="C27" s="848" t="s">
        <v>54</v>
      </c>
      <c r="D27" s="852" t="s">
        <v>55</v>
      </c>
      <c r="E27" s="850" t="s">
        <v>56</v>
      </c>
      <c r="F27" s="814"/>
      <c r="G27" s="814"/>
      <c r="H27" s="814"/>
      <c r="I27" s="814"/>
      <c r="J27" s="814"/>
      <c r="K27" s="814"/>
      <c r="L27" s="814"/>
      <c r="M27" s="814"/>
      <c r="N27" s="814"/>
      <c r="O27" s="814"/>
      <c r="P27" s="814"/>
      <c r="Q27" s="814"/>
      <c r="R27" s="814"/>
      <c r="S27" s="814"/>
      <c r="T27" s="814"/>
      <c r="U27" s="814"/>
      <c r="V27" s="815"/>
      <c r="W27" s="815"/>
      <c r="X27" s="815"/>
      <c r="Y27" s="815"/>
      <c r="Z27" s="816"/>
    </row>
    <row r="28" spans="1:26" ht="18" customHeight="1" x14ac:dyDescent="0.3">
      <c r="A28" s="1506">
        <v>5</v>
      </c>
      <c r="B28" s="902" t="s">
        <v>57</v>
      </c>
      <c r="C28" s="845" t="s">
        <v>58</v>
      </c>
      <c r="D28" s="851" t="s">
        <v>59</v>
      </c>
      <c r="E28" s="847" t="s">
        <v>60</v>
      </c>
      <c r="F28" s="808"/>
      <c r="G28" s="808"/>
      <c r="H28" s="808"/>
      <c r="I28" s="808"/>
      <c r="J28" s="808"/>
      <c r="K28" s="808"/>
      <c r="L28" s="808"/>
      <c r="M28" s="808"/>
      <c r="N28" s="808"/>
      <c r="O28" s="808"/>
      <c r="P28" s="808"/>
      <c r="Q28" s="808"/>
      <c r="R28" s="808"/>
      <c r="S28" s="808"/>
      <c r="T28" s="808"/>
      <c r="U28" s="808"/>
      <c r="V28" s="809"/>
      <c r="W28" s="809"/>
      <c r="X28" s="809"/>
      <c r="Y28" s="809"/>
      <c r="Z28" s="810"/>
    </row>
    <row r="29" spans="1:26" s="44" customFormat="1" ht="6" customHeight="1" x14ac:dyDescent="0.3">
      <c r="A29" s="1507"/>
      <c r="B29" s="904"/>
      <c r="C29" s="814"/>
      <c r="D29" s="814"/>
      <c r="E29" s="814"/>
      <c r="F29" s="814"/>
      <c r="G29" s="814"/>
      <c r="H29" s="814"/>
      <c r="I29" s="814"/>
      <c r="J29" s="814"/>
      <c r="K29" s="814"/>
      <c r="L29" s="814"/>
      <c r="M29" s="814"/>
      <c r="N29" s="814"/>
      <c r="O29" s="814"/>
      <c r="P29" s="814"/>
      <c r="Q29" s="814"/>
      <c r="R29" s="814"/>
      <c r="S29" s="814"/>
      <c r="T29" s="814"/>
      <c r="U29" s="814"/>
      <c r="V29" s="815"/>
      <c r="W29" s="815"/>
      <c r="X29" s="815"/>
      <c r="Y29" s="815"/>
      <c r="Z29" s="816"/>
    </row>
    <row r="30" spans="1:26" ht="18" customHeight="1" x14ac:dyDescent="0.3">
      <c r="A30" s="1629" t="s">
        <v>61</v>
      </c>
      <c r="B30" s="1630"/>
      <c r="C30" s="1631"/>
      <c r="D30" s="1631"/>
      <c r="E30" s="1631"/>
      <c r="F30" s="808"/>
      <c r="G30" s="808"/>
      <c r="H30" s="808"/>
      <c r="I30" s="808"/>
      <c r="J30" s="808"/>
      <c r="K30" s="808"/>
      <c r="L30" s="808"/>
      <c r="M30" s="808"/>
      <c r="N30" s="808"/>
      <c r="O30" s="808"/>
      <c r="P30" s="808"/>
      <c r="Q30" s="808"/>
      <c r="R30" s="808"/>
      <c r="S30" s="808"/>
      <c r="T30" s="808"/>
      <c r="U30" s="808"/>
      <c r="V30" s="809"/>
      <c r="W30" s="809"/>
      <c r="X30" s="809"/>
      <c r="Y30" s="809"/>
      <c r="Z30" s="810"/>
    </row>
    <row r="31" spans="1:26" s="13" customFormat="1" ht="16.05" customHeight="1" x14ac:dyDescent="0.3">
      <c r="A31" s="1507" t="s">
        <v>62</v>
      </c>
      <c r="B31" s="901" t="s">
        <v>63</v>
      </c>
      <c r="C31" s="840" t="s">
        <v>64</v>
      </c>
      <c r="D31" s="840" t="s">
        <v>65</v>
      </c>
      <c r="E31" s="842"/>
      <c r="F31" s="842"/>
      <c r="G31" s="842"/>
      <c r="H31" s="842"/>
      <c r="I31" s="842"/>
      <c r="J31" s="842"/>
      <c r="K31" s="842"/>
      <c r="L31" s="842"/>
      <c r="M31" s="842"/>
      <c r="N31" s="842"/>
      <c r="O31" s="842"/>
      <c r="P31" s="842"/>
      <c r="Q31" s="842"/>
      <c r="R31" s="842"/>
      <c r="S31" s="842"/>
      <c r="T31" s="842"/>
      <c r="U31" s="842"/>
      <c r="V31" s="843"/>
      <c r="W31" s="843"/>
      <c r="X31" s="843"/>
      <c r="Y31" s="843"/>
      <c r="Z31" s="844"/>
    </row>
    <row r="32" spans="1:26" ht="16.05" customHeight="1" x14ac:dyDescent="0.3">
      <c r="A32" s="1507" t="s">
        <v>66</v>
      </c>
      <c r="B32" s="905">
        <f>COUNTIFS('M5-ICPI'!E5:E24,1,'M5-ICPI'!F5:F24,"&gt;="&amp;0.8)</f>
        <v>5</v>
      </c>
      <c r="C32" s="853">
        <v>20</v>
      </c>
      <c r="D32" s="854" t="str">
        <f>"Ejección plena · "&amp;TEXT(COUNTIFS('M4-AUDIT'!X5:X24,1,'M4-AUDIT'!Y5:Y24,"&gt;="&amp;0.8)/20,"0,0%")&amp;" de la muestra · Ver MAD"</f>
        <v>Ejección plena · 5,0% de la muestra · Ver MAD</v>
      </c>
      <c r="E32" s="808"/>
      <c r="F32" s="808"/>
      <c r="G32" s="808"/>
      <c r="H32" s="808"/>
      <c r="I32" s="808"/>
      <c r="J32" s="808"/>
      <c r="K32" s="808"/>
      <c r="L32" s="808"/>
      <c r="M32" s="808"/>
      <c r="N32" s="808"/>
      <c r="O32" s="808"/>
      <c r="P32" s="808"/>
      <c r="Q32" s="808"/>
      <c r="R32" s="808"/>
      <c r="S32" s="808"/>
      <c r="T32" s="808"/>
      <c r="U32" s="808"/>
      <c r="V32" s="809"/>
      <c r="W32" s="809"/>
      <c r="X32" s="809"/>
      <c r="Y32" s="809"/>
      <c r="Z32" s="810"/>
    </row>
    <row r="33" spans="1:26" ht="16.05" customHeight="1" x14ac:dyDescent="0.3">
      <c r="A33" s="1507" t="s">
        <v>67</v>
      </c>
      <c r="B33" s="906">
        <f>COUNTIF('M5-ICPI'!E5:E24,1)-COUNTIFS('M5-ICPI'!E5:E24,1,'M5-ICPI'!F5:F24,"&gt;="&amp;0.8)</f>
        <v>10</v>
      </c>
      <c r="C33" s="855">
        <v>0</v>
      </c>
      <c r="D33" s="856" t="str">
        <f>"Avance parcial · "&amp;TEXT((COUNTIF('M4-AUDIT'!X5:X24,1)-COUNTIFS('M4-AUDIT'!X5:X24,1,'M4-AUDIT'!Y5:Y24,"&gt;="&amp;0.8))/20,"0,0%")&amp;" · Ti pendiente · Ver CEDULAS"</f>
        <v>Avance parcial · 35,0% · Ti pendiente · Ver CEDULAS</v>
      </c>
      <c r="E33" s="814"/>
      <c r="F33" s="814"/>
      <c r="G33" s="814"/>
      <c r="H33" s="814"/>
      <c r="I33" s="814"/>
      <c r="J33" s="814"/>
      <c r="K33" s="814"/>
      <c r="L33" s="814"/>
      <c r="M33" s="814"/>
      <c r="N33" s="814"/>
      <c r="O33" s="814"/>
      <c r="P33" s="814"/>
      <c r="Q33" s="814"/>
      <c r="R33" s="814"/>
      <c r="S33" s="814"/>
      <c r="T33" s="814"/>
      <c r="U33" s="814"/>
      <c r="V33" s="815"/>
      <c r="W33" s="815"/>
      <c r="X33" s="815"/>
      <c r="Y33" s="815"/>
      <c r="Z33" s="816"/>
    </row>
    <row r="34" spans="1:26" ht="16.05" customHeight="1" x14ac:dyDescent="0.3">
      <c r="A34" s="1507" t="s">
        <v>68</v>
      </c>
      <c r="B34" s="907">
        <f>20-COUNTIF('M5-ICPI'!E5:E24,1)</f>
        <v>5</v>
      </c>
      <c r="C34" s="857">
        <v>0</v>
      </c>
      <c r="D34" s="858" t="str">
        <f>"Sin trazabilidad · "&amp;TEXT((20-COUNTIF('M4-AUDIT'!X5:X24,1))/20,"0,0%")&amp;" · Riesgo ICPI · Ver VERIF"</f>
        <v>Sin trazabilidad · 60,0% · Riesgo ICPI · Ver VERIF</v>
      </c>
      <c r="E34" s="808"/>
      <c r="F34" s="808"/>
      <c r="G34" s="808"/>
      <c r="H34" s="808"/>
      <c r="I34" s="808"/>
      <c r="J34" s="808"/>
      <c r="K34" s="808"/>
      <c r="L34" s="808"/>
      <c r="M34" s="808"/>
      <c r="N34" s="808"/>
      <c r="O34" s="808"/>
      <c r="P34" s="808"/>
      <c r="Q34" s="808"/>
      <c r="R34" s="808"/>
      <c r="S34" s="808"/>
      <c r="T34" s="808"/>
      <c r="U34" s="808"/>
      <c r="V34" s="809"/>
      <c r="W34" s="809"/>
      <c r="X34" s="809"/>
      <c r="Y34" s="809"/>
      <c r="Z34" s="810"/>
    </row>
    <row r="35" spans="1:26" s="44" customFormat="1" ht="6" customHeight="1" x14ac:dyDescent="0.3">
      <c r="A35" s="1507"/>
      <c r="B35" s="904"/>
      <c r="C35" s="814"/>
      <c r="D35" s="814"/>
      <c r="E35" s="814"/>
      <c r="F35" s="814"/>
      <c r="G35" s="814"/>
      <c r="H35" s="814"/>
      <c r="I35" s="814"/>
      <c r="J35" s="814"/>
      <c r="K35" s="814"/>
      <c r="L35" s="814"/>
      <c r="M35" s="814"/>
      <c r="N35" s="814"/>
      <c r="O35" s="814"/>
      <c r="P35" s="814"/>
      <c r="Q35" s="814"/>
      <c r="R35" s="814"/>
      <c r="S35" s="814"/>
      <c r="T35" s="814"/>
      <c r="U35" s="814"/>
      <c r="V35" s="815"/>
      <c r="W35" s="815"/>
      <c r="X35" s="815"/>
      <c r="Y35" s="815"/>
      <c r="Z35" s="816"/>
    </row>
    <row r="36" spans="1:26" ht="22.05" customHeight="1" x14ac:dyDescent="0.3">
      <c r="A36" s="1629" t="str">
        <f>"◈ SIAP-ICPI · GAD Municipal Montecristi · ICPI = "&amp;TEXT('M5-ICPI'!G29,"0,00")&amp;" % · "&amp;IF('M5-ICPI'!G29&gt;=85,"🔵 EXCELENCIA",IF('M5-ICPI'!G29&gt;=70,"🟢 GESTIÓN POR MANDATO",IF('M5-ICPI'!G29&gt;=40,"🟠 TRANSICIÓN CRÍTICA",IF('M5-ICPI'!G29&gt;=20,"🔴 GESTIÓN POR OCURRENCIA","⬛ RUPTURA TOTAL"))))&amp;" · Meta 2027: 100 % · Brecha: "&amp;TEXT('M5-ICPI'!G29-100,"0,00")&amp;" pp"</f>
        <v>◈ SIAP-ICPI · GAD Municipal Montecristi · ICPI = 38,28 % · 🔴 GESTIÓN POR OCURRENCIA · Meta 2027: 100 % · Brecha: -61,72 pp</v>
      </c>
      <c r="B36" s="1649"/>
      <c r="C36" s="1650"/>
      <c r="D36" s="1650"/>
      <c r="E36" s="1650"/>
      <c r="F36" s="839"/>
      <c r="G36" s="839"/>
      <c r="H36" s="839"/>
      <c r="I36" s="839"/>
      <c r="J36" s="839"/>
      <c r="K36" s="839"/>
      <c r="L36" s="839"/>
      <c r="M36" s="839"/>
      <c r="N36" s="839"/>
      <c r="O36" s="839"/>
      <c r="P36" s="839"/>
      <c r="Q36" s="839"/>
      <c r="R36" s="839"/>
      <c r="S36" s="839"/>
      <c r="T36" s="839"/>
      <c r="U36" s="839"/>
      <c r="V36" s="809"/>
      <c r="W36" s="809"/>
      <c r="X36" s="809"/>
      <c r="Y36" s="809"/>
      <c r="Z36" s="810"/>
    </row>
    <row r="37" spans="1:26" s="44" customFormat="1" ht="6" customHeight="1" x14ac:dyDescent="0.3">
      <c r="A37" s="1507"/>
      <c r="B37" s="904"/>
      <c r="C37" s="814"/>
      <c r="D37" s="814"/>
      <c r="E37" s="814"/>
      <c r="F37" s="814"/>
      <c r="G37" s="814"/>
      <c r="H37" s="814"/>
      <c r="I37" s="814"/>
      <c r="J37" s="814"/>
      <c r="K37" s="814"/>
      <c r="L37" s="814"/>
      <c r="M37" s="814"/>
      <c r="N37" s="814"/>
      <c r="O37" s="814"/>
      <c r="P37" s="814"/>
      <c r="Q37" s="814"/>
      <c r="R37" s="814"/>
      <c r="S37" s="814"/>
      <c r="T37" s="814"/>
      <c r="U37" s="814"/>
      <c r="V37" s="815"/>
      <c r="W37" s="815"/>
      <c r="X37" s="815"/>
      <c r="Y37" s="815"/>
      <c r="Z37" s="816"/>
    </row>
    <row r="38" spans="1:26" s="44" customFormat="1" ht="6" customHeight="1" x14ac:dyDescent="0.3">
      <c r="A38" s="1507"/>
      <c r="B38" s="895"/>
      <c r="C38" s="809"/>
      <c r="D38" s="809"/>
      <c r="E38" s="809"/>
      <c r="F38" s="809"/>
      <c r="G38" s="809"/>
      <c r="H38" s="809"/>
      <c r="I38" s="809"/>
      <c r="J38" s="809"/>
      <c r="K38" s="809"/>
      <c r="L38" s="809"/>
      <c r="M38" s="809"/>
      <c r="N38" s="809"/>
      <c r="O38" s="809"/>
      <c r="P38" s="809"/>
      <c r="Q38" s="809"/>
      <c r="R38" s="809"/>
      <c r="S38" s="809"/>
      <c r="T38" s="809"/>
      <c r="U38" s="809"/>
      <c r="V38" s="809"/>
      <c r="W38" s="809"/>
      <c r="X38" s="809"/>
      <c r="Y38" s="809"/>
      <c r="Z38" s="810"/>
    </row>
    <row r="39" spans="1:26" s="14" customFormat="1" ht="19.95" customHeight="1" x14ac:dyDescent="0.3">
      <c r="A39" s="1621" t="s">
        <v>69</v>
      </c>
      <c r="B39" s="1622"/>
      <c r="C39" s="1623"/>
      <c r="D39" s="1623"/>
      <c r="E39" s="1623"/>
      <c r="F39" s="860"/>
      <c r="G39" s="860"/>
      <c r="H39" s="860"/>
      <c r="I39" s="843"/>
      <c r="J39" s="843"/>
      <c r="K39" s="843"/>
      <c r="L39" s="843"/>
      <c r="M39" s="843"/>
      <c r="N39" s="843"/>
      <c r="O39" s="843"/>
      <c r="P39" s="843"/>
      <c r="Q39" s="843"/>
      <c r="R39" s="843"/>
      <c r="S39" s="843"/>
      <c r="T39" s="843"/>
      <c r="U39" s="843"/>
      <c r="V39" s="843"/>
      <c r="W39" s="843"/>
      <c r="X39" s="843"/>
      <c r="Y39" s="843"/>
      <c r="Z39" s="844"/>
    </row>
    <row r="40" spans="1:26" s="42" customFormat="1" ht="16.05" customHeight="1" x14ac:dyDescent="0.3">
      <c r="A40" s="1507" t="s">
        <v>70</v>
      </c>
      <c r="B40" s="909" t="s">
        <v>71</v>
      </c>
      <c r="C40" s="861" t="s">
        <v>72</v>
      </c>
      <c r="D40" s="861" t="s">
        <v>73</v>
      </c>
      <c r="E40" s="861" t="s">
        <v>30</v>
      </c>
      <c r="F40" s="862"/>
      <c r="G40" s="862"/>
      <c r="H40" s="862"/>
      <c r="I40" s="862"/>
      <c r="J40" s="862"/>
      <c r="K40" s="862"/>
      <c r="L40" s="862"/>
      <c r="M40" s="862"/>
      <c r="N40" s="862"/>
      <c r="O40" s="862"/>
      <c r="P40" s="862"/>
      <c r="Q40" s="862"/>
      <c r="R40" s="862"/>
      <c r="S40" s="862"/>
      <c r="T40" s="862"/>
      <c r="U40" s="862"/>
      <c r="V40" s="863"/>
      <c r="W40" s="863"/>
      <c r="X40" s="863"/>
      <c r="Y40" s="863"/>
      <c r="Z40" s="864"/>
    </row>
    <row r="41" spans="1:26" s="43" customFormat="1" ht="16.05" customHeight="1" x14ac:dyDescent="0.3">
      <c r="A41" s="1507">
        <v>2023</v>
      </c>
      <c r="B41" s="910">
        <v>12</v>
      </c>
      <c r="C41" s="865">
        <v>6</v>
      </c>
      <c r="D41" s="866">
        <f>IF(B41=0,0,C41/B41)</f>
        <v>0.5</v>
      </c>
      <c r="E41" s="867" t="str">
        <f>IF(C41=0,"Sin ejecución — "&amp;B41&amp;" metas programadas",IF(D41&gt;=1,"✅ Completado — "&amp;C41&amp;"/"&amp;B41&amp;" metas al 100%",IF(D41&gt;=0.8,"🟢 En buen ritmo — "&amp;C41&amp;"/"&amp;B41&amp;" (±80%)",IF(D41&gt;=0.5,"En curso — "&amp;TEXT(D41,"0%")&amp;" metas completadas","🔴 Rezago — "&amp;TEXT(D41,"0%")&amp;" · Requiere acción"))))</f>
        <v>En curso — 50% metas completadas</v>
      </c>
      <c r="F41" s="814"/>
      <c r="G41" s="814"/>
      <c r="H41" s="814"/>
      <c r="I41" s="814"/>
      <c r="J41" s="814"/>
      <c r="K41" s="814"/>
      <c r="L41" s="814"/>
      <c r="M41" s="814"/>
      <c r="N41" s="814"/>
      <c r="O41" s="814"/>
      <c r="P41" s="814"/>
      <c r="Q41" s="814"/>
      <c r="R41" s="814"/>
      <c r="S41" s="814"/>
      <c r="T41" s="814"/>
      <c r="U41" s="814"/>
      <c r="V41" s="815"/>
      <c r="W41" s="815"/>
      <c r="X41" s="815"/>
      <c r="Y41" s="815"/>
      <c r="Z41" s="816"/>
    </row>
    <row r="42" spans="1:26" s="43" customFormat="1" ht="16.05" customHeight="1" x14ac:dyDescent="0.3">
      <c r="A42" s="1507">
        <v>2024</v>
      </c>
      <c r="B42" s="911">
        <v>16</v>
      </c>
      <c r="C42" s="868">
        <v>8</v>
      </c>
      <c r="D42" s="869">
        <f>IF(B42=0,0,C42/B42)</f>
        <v>0.5</v>
      </c>
      <c r="E42" s="870" t="str">
        <f>IF(C42=0,"Sin ejecución — "&amp;B42&amp;" metas programadas",IF(D42&gt;=1,"✅ Completado — "&amp;C42&amp;"/"&amp;B42&amp;" metas al 100%",IF(D42&gt;=0.8,"🟢 En buen ritmo — "&amp;C42&amp;"/"&amp;B42&amp;" (±80%)",IF(D42&gt;=0.5,"En curso — "&amp;TEXT(D42,"0%")&amp;" metas completadas","🔴 Rezago — "&amp;TEXT(D42,"0%")&amp;" · Requiere acción"))))</f>
        <v>En curso — 50% metas completadas</v>
      </c>
      <c r="F42" s="808"/>
      <c r="G42" s="808"/>
      <c r="H42" s="808"/>
      <c r="I42" s="808"/>
      <c r="J42" s="808"/>
      <c r="K42" s="808"/>
      <c r="L42" s="808"/>
      <c r="M42" s="808"/>
      <c r="N42" s="808"/>
      <c r="O42" s="808"/>
      <c r="P42" s="808"/>
      <c r="Q42" s="808"/>
      <c r="R42" s="808"/>
      <c r="S42" s="808"/>
      <c r="T42" s="808"/>
      <c r="U42" s="808"/>
      <c r="V42" s="809"/>
      <c r="W42" s="809"/>
      <c r="X42" s="809"/>
      <c r="Y42" s="809"/>
      <c r="Z42" s="810"/>
    </row>
    <row r="43" spans="1:26" s="43" customFormat="1" ht="16.05" customHeight="1" x14ac:dyDescent="0.3">
      <c r="A43" s="1507">
        <v>2025</v>
      </c>
      <c r="B43" s="910">
        <v>18</v>
      </c>
      <c r="C43" s="865">
        <v>0</v>
      </c>
      <c r="D43" s="866">
        <f>IF(B43=0,0,C43/B43)</f>
        <v>0</v>
      </c>
      <c r="E43" s="867" t="str">
        <f>IF(C43=0,"Por iniciar — "&amp;B43&amp;" metas planificadas",IF(D43&gt;=1,"✅ Completado — "&amp;C43&amp;"/"&amp;B43&amp;" metas al 100%",IF(D43&gt;=0.5,"En curso — "&amp;TEXT(D43,"0%")&amp;" metas completadas","🔴 Rezago — Requiere acción urgente")))</f>
        <v>Por iniciar — 18 metas planificadas</v>
      </c>
      <c r="F43" s="814"/>
      <c r="G43" s="814"/>
      <c r="H43" s="814"/>
      <c r="I43" s="814"/>
      <c r="J43" s="814"/>
      <c r="K43" s="814"/>
      <c r="L43" s="814"/>
      <c r="M43" s="814"/>
      <c r="N43" s="814"/>
      <c r="O43" s="814"/>
      <c r="P43" s="814"/>
      <c r="Q43" s="814"/>
      <c r="R43" s="814"/>
      <c r="S43" s="814"/>
      <c r="T43" s="814"/>
      <c r="U43" s="814"/>
      <c r="V43" s="815"/>
      <c r="W43" s="815"/>
      <c r="X43" s="815"/>
      <c r="Y43" s="815"/>
      <c r="Z43" s="816"/>
    </row>
    <row r="44" spans="1:26" s="43" customFormat="1" ht="16.05" customHeight="1" x14ac:dyDescent="0.3">
      <c r="A44" s="1507">
        <v>2026</v>
      </c>
      <c r="B44" s="911">
        <v>10</v>
      </c>
      <c r="C44" s="868">
        <v>0</v>
      </c>
      <c r="D44" s="869">
        <f>IF(B44=0,0,C44/B44)</f>
        <v>0</v>
      </c>
      <c r="E44" s="870" t="str">
        <f>IF(C44=0,"Por iniciar — "&amp;B44&amp;" metas planificadas","En curso — "&amp;C44&amp;"/"&amp;B44&amp;" completadas")</f>
        <v>Por iniciar — 10 metas planificadas</v>
      </c>
      <c r="F44" s="808"/>
      <c r="G44" s="808"/>
      <c r="H44" s="808"/>
      <c r="I44" s="808"/>
      <c r="J44" s="808"/>
      <c r="K44" s="808"/>
      <c r="L44" s="808"/>
      <c r="M44" s="808"/>
      <c r="N44" s="808"/>
      <c r="O44" s="808"/>
      <c r="P44" s="808"/>
      <c r="Q44" s="808"/>
      <c r="R44" s="808"/>
      <c r="S44" s="808"/>
      <c r="T44" s="808"/>
      <c r="U44" s="808"/>
      <c r="V44" s="809"/>
      <c r="W44" s="809"/>
      <c r="X44" s="809"/>
      <c r="Y44" s="809"/>
      <c r="Z44" s="810"/>
    </row>
    <row r="45" spans="1:26" s="43" customFormat="1" ht="16.05" customHeight="1" x14ac:dyDescent="0.3">
      <c r="A45" s="1507">
        <v>2027</v>
      </c>
      <c r="B45" s="910">
        <v>8</v>
      </c>
      <c r="C45" s="865">
        <v>0</v>
      </c>
      <c r="D45" s="866">
        <f>IF(B45=0,0,C45/B45)</f>
        <v>0</v>
      </c>
      <c r="E45" s="867" t="str">
        <f>IF(C45=0,"Cierre PDOT Plan Bicentenario — "&amp;B45&amp;" metas","Ejecutado — "&amp;C45&amp;"/"&amp;B45&amp;" completadas")</f>
        <v>Cierre PDOT Plan Bicentenario — 8 metas</v>
      </c>
      <c r="F45" s="814"/>
      <c r="G45" s="814"/>
      <c r="H45" s="814"/>
      <c r="I45" s="814"/>
      <c r="J45" s="814"/>
      <c r="K45" s="814"/>
      <c r="L45" s="814"/>
      <c r="M45" s="814"/>
      <c r="N45" s="814"/>
      <c r="O45" s="814"/>
      <c r="P45" s="814"/>
      <c r="Q45" s="814"/>
      <c r="R45" s="814"/>
      <c r="S45" s="814"/>
      <c r="T45" s="814"/>
      <c r="U45" s="814"/>
      <c r="V45" s="815"/>
      <c r="W45" s="815"/>
      <c r="X45" s="815"/>
      <c r="Y45" s="815"/>
      <c r="Z45" s="816"/>
    </row>
    <row r="46" spans="1:26" s="44" customFormat="1" ht="6" customHeight="1" x14ac:dyDescent="0.3">
      <c r="A46" s="1507"/>
      <c r="B46" s="912"/>
      <c r="C46" s="808"/>
      <c r="D46" s="808"/>
      <c r="E46" s="808"/>
      <c r="F46" s="808"/>
      <c r="G46" s="808"/>
      <c r="H46" s="808"/>
      <c r="I46" s="808"/>
      <c r="J46" s="808"/>
      <c r="K46" s="808"/>
      <c r="L46" s="808"/>
      <c r="M46" s="808"/>
      <c r="N46" s="808"/>
      <c r="O46" s="808"/>
      <c r="P46" s="808"/>
      <c r="Q46" s="808"/>
      <c r="R46" s="808"/>
      <c r="S46" s="808"/>
      <c r="T46" s="808"/>
      <c r="U46" s="808"/>
      <c r="V46" s="809"/>
      <c r="W46" s="809"/>
      <c r="X46" s="809"/>
      <c r="Y46" s="809"/>
      <c r="Z46" s="810"/>
    </row>
    <row r="47" spans="1:26" s="14" customFormat="1" ht="19.95" customHeight="1" x14ac:dyDescent="0.3">
      <c r="A47" s="1621" t="s">
        <v>74</v>
      </c>
      <c r="B47" s="1625"/>
      <c r="C47" s="1626"/>
      <c r="D47" s="1626"/>
      <c r="E47" s="1626"/>
      <c r="F47" s="860"/>
      <c r="G47" s="860"/>
      <c r="H47" s="860"/>
      <c r="I47" s="843"/>
      <c r="J47" s="843"/>
      <c r="K47" s="843"/>
      <c r="L47" s="843"/>
      <c r="M47" s="843"/>
      <c r="N47" s="843"/>
      <c r="O47" s="843"/>
      <c r="P47" s="843"/>
      <c r="Q47" s="843"/>
      <c r="R47" s="843"/>
      <c r="S47" s="843"/>
      <c r="T47" s="843"/>
      <c r="U47" s="843"/>
      <c r="V47" s="843"/>
      <c r="W47" s="843"/>
      <c r="X47" s="843"/>
      <c r="Y47" s="843"/>
      <c r="Z47" s="844"/>
    </row>
    <row r="48" spans="1:26" s="42" customFormat="1" ht="16.05" customHeight="1" x14ac:dyDescent="0.3">
      <c r="A48" s="1507" t="s">
        <v>75</v>
      </c>
      <c r="B48" s="913" t="str">
        <f>"Últ. actualiz.: "&amp;'SUPPORT-SIL'!L6</f>
        <v>Últ. actualiz.: Fri Feb 27 2026</v>
      </c>
      <c r="C48" s="862"/>
      <c r="D48" s="862"/>
      <c r="E48" s="862"/>
      <c r="F48" s="862"/>
      <c r="G48" s="862"/>
      <c r="H48" s="862"/>
      <c r="I48" s="862"/>
      <c r="J48" s="862"/>
      <c r="K48" s="862"/>
      <c r="L48" s="862"/>
      <c r="M48" s="862"/>
      <c r="N48" s="862"/>
      <c r="O48" s="862"/>
      <c r="P48" s="862"/>
      <c r="Q48" s="862"/>
      <c r="R48" s="862"/>
      <c r="S48" s="862"/>
      <c r="T48" s="862"/>
      <c r="U48" s="862"/>
      <c r="V48" s="863"/>
      <c r="W48" s="863"/>
      <c r="X48" s="863"/>
      <c r="Y48" s="863"/>
      <c r="Z48" s="864"/>
    </row>
    <row r="49" spans="1:26" s="43" customFormat="1" ht="16.05" customHeight="1" x14ac:dyDescent="0.3">
      <c r="A49" s="1507" t="s">
        <v>76</v>
      </c>
      <c r="B49" s="914" t="str">
        <f>COUNTIF('SUPPORT-SIL'!K6:K25,"✅ Completado")&amp;" / "&amp;COUNTA('SUPPORT-SIL'!A6:A25)</f>
        <v>6 / 20</v>
      </c>
      <c r="C49" s="814"/>
      <c r="D49" s="814"/>
      <c r="E49" s="814"/>
      <c r="F49" s="814"/>
      <c r="G49" s="814"/>
      <c r="H49" s="814"/>
      <c r="I49" s="814"/>
      <c r="J49" s="814"/>
      <c r="K49" s="814"/>
      <c r="L49" s="814"/>
      <c r="M49" s="814"/>
      <c r="N49" s="814"/>
      <c r="O49" s="814"/>
      <c r="P49" s="814"/>
      <c r="Q49" s="814"/>
      <c r="R49" s="814"/>
      <c r="S49" s="814"/>
      <c r="T49" s="814"/>
      <c r="U49" s="814"/>
      <c r="V49" s="815"/>
      <c r="W49" s="815"/>
      <c r="X49" s="815"/>
      <c r="Y49" s="815"/>
      <c r="Z49" s="816"/>
    </row>
    <row r="50" spans="1:26" s="43" customFormat="1" ht="16.05" customHeight="1" x14ac:dyDescent="0.3">
      <c r="A50" s="1507" t="s">
        <v>77</v>
      </c>
      <c r="B50" s="911">
        <f>COUNTA('SUPPORT-SIL'!A6:A25)</f>
        <v>20</v>
      </c>
      <c r="C50" s="808"/>
      <c r="D50" s="808"/>
      <c r="E50" s="808"/>
      <c r="F50" s="808"/>
      <c r="G50" s="808"/>
      <c r="H50" s="808"/>
      <c r="I50" s="808"/>
      <c r="J50" s="808"/>
      <c r="K50" s="808"/>
      <c r="L50" s="808"/>
      <c r="M50" s="808"/>
      <c r="N50" s="808"/>
      <c r="O50" s="808"/>
      <c r="P50" s="808"/>
      <c r="Q50" s="808"/>
      <c r="R50" s="808"/>
      <c r="S50" s="808"/>
      <c r="T50" s="808"/>
      <c r="U50" s="808"/>
      <c r="V50" s="809"/>
      <c r="W50" s="809"/>
      <c r="X50" s="809"/>
      <c r="Y50" s="809"/>
      <c r="Z50" s="810"/>
    </row>
    <row r="51" spans="1:26" s="43" customFormat="1" ht="16.05" customHeight="1" x14ac:dyDescent="0.3">
      <c r="A51" s="1507" t="s">
        <v>78</v>
      </c>
      <c r="B51" s="910">
        <f>COUNTIF('SUPPORT-SIL'!J6:J25,1)</f>
        <v>15</v>
      </c>
      <c r="C51" s="814"/>
      <c r="D51" s="814"/>
      <c r="E51" s="814"/>
      <c r="F51" s="814"/>
      <c r="G51" s="814"/>
      <c r="H51" s="814"/>
      <c r="I51" s="814"/>
      <c r="J51" s="814"/>
      <c r="K51" s="814"/>
      <c r="L51" s="814"/>
      <c r="M51" s="814"/>
      <c r="N51" s="814"/>
      <c r="O51" s="814"/>
      <c r="P51" s="814"/>
      <c r="Q51" s="814"/>
      <c r="R51" s="814"/>
      <c r="S51" s="814"/>
      <c r="T51" s="814"/>
      <c r="U51" s="814"/>
      <c r="V51" s="815"/>
      <c r="W51" s="815"/>
      <c r="X51" s="815"/>
      <c r="Y51" s="815"/>
      <c r="Z51" s="816"/>
    </row>
    <row r="52" spans="1:26" s="43" customFormat="1" ht="16.05" customHeight="1" x14ac:dyDescent="0.3">
      <c r="A52" s="1507" t="s">
        <v>79</v>
      </c>
      <c r="B52" s="915" t="str">
        <f>TEXT(AVERAGE('SUPPORT-SIL'!I6:I25),"0,0%")</f>
        <v>53,0%</v>
      </c>
      <c r="C52" s="808"/>
      <c r="D52" s="808"/>
      <c r="E52" s="808"/>
      <c r="F52" s="808"/>
      <c r="G52" s="808"/>
      <c r="H52" s="808"/>
      <c r="I52" s="808"/>
      <c r="J52" s="808"/>
      <c r="K52" s="808"/>
      <c r="L52" s="808"/>
      <c r="M52" s="808"/>
      <c r="N52" s="808"/>
      <c r="O52" s="808"/>
      <c r="P52" s="808"/>
      <c r="Q52" s="808"/>
      <c r="R52" s="808"/>
      <c r="S52" s="808"/>
      <c r="T52" s="808"/>
      <c r="U52" s="808"/>
      <c r="V52" s="809"/>
      <c r="W52" s="809"/>
      <c r="X52" s="809"/>
      <c r="Y52" s="809"/>
      <c r="Z52" s="810"/>
    </row>
    <row r="53" spans="1:26" s="44" customFormat="1" ht="6" customHeight="1" x14ac:dyDescent="0.3">
      <c r="A53" s="1507"/>
      <c r="B53" s="904"/>
      <c r="C53" s="814"/>
      <c r="D53" s="814"/>
      <c r="E53" s="814"/>
      <c r="F53" s="814"/>
      <c r="G53" s="814"/>
      <c r="H53" s="814"/>
      <c r="I53" s="814"/>
      <c r="J53" s="814"/>
      <c r="K53" s="814"/>
      <c r="L53" s="814"/>
      <c r="M53" s="814"/>
      <c r="N53" s="814"/>
      <c r="O53" s="814"/>
      <c r="P53" s="814"/>
      <c r="Q53" s="814"/>
      <c r="R53" s="814"/>
      <c r="S53" s="814"/>
      <c r="T53" s="814"/>
      <c r="U53" s="814"/>
      <c r="V53" s="815"/>
      <c r="W53" s="815"/>
      <c r="X53" s="815"/>
      <c r="Y53" s="815"/>
      <c r="Z53" s="816"/>
    </row>
    <row r="54" spans="1:26" s="43" customFormat="1" ht="28.05" customHeight="1" x14ac:dyDescent="0.3">
      <c r="A54" s="1629" t="s">
        <v>80</v>
      </c>
      <c r="B54" s="1630"/>
      <c r="C54" s="1631"/>
      <c r="D54" s="1631"/>
      <c r="E54" s="1631"/>
      <c r="F54" s="872"/>
      <c r="G54" s="872"/>
      <c r="H54" s="872"/>
      <c r="I54" s="809"/>
      <c r="J54" s="809"/>
      <c r="K54" s="809"/>
      <c r="L54" s="809"/>
      <c r="M54" s="809"/>
      <c r="N54" s="809"/>
      <c r="O54" s="809"/>
      <c r="P54" s="809"/>
      <c r="Q54" s="809"/>
      <c r="R54" s="809"/>
      <c r="S54" s="809"/>
      <c r="T54" s="809"/>
      <c r="U54" s="809"/>
      <c r="V54" s="809"/>
      <c r="W54" s="809"/>
      <c r="X54" s="809"/>
      <c r="Y54" s="809"/>
      <c r="Z54" s="810"/>
    </row>
    <row r="55" spans="1:26" s="44" customFormat="1" ht="6" customHeight="1" x14ac:dyDescent="0.3">
      <c r="A55" s="1507"/>
      <c r="B55" s="904"/>
      <c r="C55" s="814"/>
      <c r="D55" s="814"/>
      <c r="E55" s="814"/>
      <c r="F55" s="814"/>
      <c r="G55" s="814"/>
      <c r="H55" s="814"/>
      <c r="I55" s="814"/>
      <c r="J55" s="814"/>
      <c r="K55" s="814"/>
      <c r="L55" s="814"/>
      <c r="M55" s="814"/>
      <c r="N55" s="814"/>
      <c r="O55" s="814"/>
      <c r="P55" s="814"/>
      <c r="Q55" s="814"/>
      <c r="R55" s="814"/>
      <c r="S55" s="814"/>
      <c r="T55" s="814"/>
      <c r="U55" s="814"/>
      <c r="V55" s="815"/>
      <c r="W55" s="815"/>
      <c r="X55" s="815"/>
      <c r="Y55" s="815"/>
      <c r="Z55" s="816"/>
    </row>
    <row r="56" spans="1:26" s="44" customFormat="1" ht="6" customHeight="1" x14ac:dyDescent="0.3">
      <c r="A56" s="1507"/>
      <c r="B56" s="895"/>
      <c r="C56" s="809"/>
      <c r="D56" s="809"/>
      <c r="E56" s="809"/>
      <c r="F56" s="809"/>
      <c r="G56" s="809"/>
      <c r="H56" s="809"/>
      <c r="I56" s="809"/>
      <c r="J56" s="809"/>
      <c r="K56" s="809"/>
      <c r="L56" s="809"/>
      <c r="M56" s="809"/>
      <c r="N56" s="809"/>
      <c r="O56" s="809"/>
      <c r="P56" s="809"/>
      <c r="Q56" s="809"/>
      <c r="R56" s="809"/>
      <c r="S56" s="809"/>
      <c r="T56" s="809"/>
      <c r="U56" s="809"/>
      <c r="V56" s="809"/>
      <c r="W56" s="809"/>
      <c r="X56" s="809"/>
      <c r="Y56" s="809"/>
      <c r="Z56" s="810"/>
    </row>
    <row r="57" spans="1:26" s="14" customFormat="1" ht="19.95" customHeight="1" x14ac:dyDescent="0.3">
      <c r="A57" s="1621" t="s">
        <v>81</v>
      </c>
      <c r="B57" s="1625"/>
      <c r="C57" s="1626"/>
      <c r="D57" s="1626"/>
      <c r="E57" s="1626"/>
      <c r="F57" s="843"/>
      <c r="G57" s="843"/>
      <c r="H57" s="843"/>
      <c r="I57" s="843"/>
      <c r="J57" s="843"/>
      <c r="K57" s="843"/>
      <c r="L57" s="843"/>
      <c r="M57" s="843"/>
      <c r="N57" s="843"/>
      <c r="O57" s="843"/>
      <c r="P57" s="843"/>
      <c r="Q57" s="843"/>
      <c r="R57" s="843"/>
      <c r="S57" s="843"/>
      <c r="T57" s="843"/>
      <c r="U57" s="843"/>
      <c r="V57" s="843"/>
      <c r="W57" s="843"/>
      <c r="X57" s="843"/>
      <c r="Y57" s="843"/>
      <c r="Z57" s="844"/>
    </row>
    <row r="58" spans="1:26" s="42" customFormat="1" ht="16.05" customHeight="1" x14ac:dyDescent="0.3">
      <c r="A58" s="1507" t="s">
        <v>82</v>
      </c>
      <c r="B58" s="909" t="s">
        <v>83</v>
      </c>
      <c r="C58" s="871" t="s">
        <v>84</v>
      </c>
      <c r="D58" s="861" t="s">
        <v>85</v>
      </c>
      <c r="E58" s="862"/>
      <c r="F58" s="862"/>
      <c r="G58" s="862"/>
      <c r="H58" s="862"/>
      <c r="I58" s="862"/>
      <c r="J58" s="862"/>
      <c r="K58" s="862"/>
      <c r="L58" s="862"/>
      <c r="M58" s="862"/>
      <c r="N58" s="862"/>
      <c r="O58" s="862"/>
      <c r="P58" s="862"/>
      <c r="Q58" s="862"/>
      <c r="R58" s="862"/>
      <c r="S58" s="862"/>
      <c r="T58" s="862"/>
      <c r="U58" s="862"/>
      <c r="V58" s="863"/>
      <c r="W58" s="863"/>
      <c r="X58" s="863"/>
      <c r="Y58" s="863"/>
      <c r="Z58" s="864"/>
    </row>
    <row r="59" spans="1:26" s="43" customFormat="1" ht="16.05" customHeight="1" x14ac:dyDescent="0.3">
      <c r="A59" s="1507" t="s">
        <v>86</v>
      </c>
      <c r="B59" s="916" t="str">
        <f>INDEX('SUPPORT-EVALDIR'!B28:B39,MATCH(LARGE('SUPPORT-EVALDIR'!H28:H39,1),'SUPPORT-EVALDIR'!H28:H39,0))</f>
        <v>Dir. Desarrollo Social y Cultural</v>
      </c>
      <c r="C59" s="873">
        <f>LARGE('SUPPORT-EVALDIR'!H28:H39,1)</f>
        <v>150</v>
      </c>
      <c r="D59" s="874" t="str">
        <f>IF(LARGE('SUPPORT-EVALDIR'!H28:H39,1)&gt;=96,"⭐ EXCELENCIA",IF(LARGE('SUPPORT-EVALDIR'!H28:H39,1)&gt;=85,"✅ MUY BUENO",IF(LARGE('SUPPORT-EVALDIR'!H28:H39,1)&gt;=70,"🟢 GESTIÓN POR MANDATO",IF(LARGE('SUPPORT-EVALDIR'!H28:H39,1)&gt;=60,"🟡 REGULAR","🔴 INACEPTABLE"))))</f>
        <v>⭐ EXCELENCIA</v>
      </c>
      <c r="E59" s="814"/>
      <c r="F59" s="814"/>
      <c r="G59" s="814"/>
      <c r="H59" s="814"/>
      <c r="I59" s="814"/>
      <c r="J59" s="814"/>
      <c r="K59" s="814"/>
      <c r="L59" s="814"/>
      <c r="M59" s="814"/>
      <c r="N59" s="814"/>
      <c r="O59" s="814"/>
      <c r="P59" s="814"/>
      <c r="Q59" s="814"/>
      <c r="R59" s="814"/>
      <c r="S59" s="814"/>
      <c r="T59" s="814"/>
      <c r="U59" s="814"/>
      <c r="V59" s="815"/>
      <c r="W59" s="815"/>
      <c r="X59" s="815"/>
      <c r="Y59" s="815"/>
      <c r="Z59" s="816"/>
    </row>
    <row r="60" spans="1:26" s="43" customFormat="1" ht="16.05" customHeight="1" x14ac:dyDescent="0.3">
      <c r="A60" s="1507" t="s">
        <v>88</v>
      </c>
      <c r="B60" s="917" t="str">
        <f>INDEX('SUPPORT-EVALDIR'!B28:B39,MATCH(LARGE('SUPPORT-EVALDIR'!H28:H39,2),'SUPPORT-EVALDIR'!H28:H39,0))</f>
        <v>Dir. Agua Potable y Saneamiento</v>
      </c>
      <c r="C60" s="875">
        <f>LARGE('SUPPORT-EVALDIR'!H28:H39,2)</f>
        <v>82.5</v>
      </c>
      <c r="D60" s="876" t="str">
        <f>IF(LARGE('SUPPORT-EVALDIR'!H28:H39,2)&gt;=96,"⭐ EXCELENCIA",IF(LARGE('SUPPORT-EVALDIR'!H28:H39,2)&gt;=85,"✅ MUY BUENO",IF(LARGE('SUPPORT-EVALDIR'!H28:H39,2)&gt;=70,"🟢 GESTIÓN POR MANDATO",IF(LARGE('SUPPORT-EVALDIR'!H28:H39,2)&gt;=60,"🟡 REGULAR","🔴 INACEPTABLE"))))</f>
        <v>🟢 GESTIÓN POR MANDATO</v>
      </c>
      <c r="E60" s="808"/>
      <c r="F60" s="808"/>
      <c r="G60" s="808"/>
      <c r="H60" s="808"/>
      <c r="I60" s="808"/>
      <c r="J60" s="808"/>
      <c r="K60" s="808"/>
      <c r="L60" s="808"/>
      <c r="M60" s="808"/>
      <c r="N60" s="808"/>
      <c r="O60" s="808"/>
      <c r="P60" s="808"/>
      <c r="Q60" s="808"/>
      <c r="R60" s="808"/>
      <c r="S60" s="808"/>
      <c r="T60" s="808"/>
      <c r="U60" s="808"/>
      <c r="V60" s="809"/>
      <c r="W60" s="809"/>
      <c r="X60" s="809"/>
      <c r="Y60" s="809"/>
      <c r="Z60" s="810"/>
    </row>
    <row r="61" spans="1:26" s="43" customFormat="1" ht="16.05" customHeight="1" x14ac:dyDescent="0.3">
      <c r="A61" s="1507" t="s">
        <v>90</v>
      </c>
      <c r="B61" s="916" t="str">
        <f>INDEX('SUPPORT-EVALDIR'!B28:B39,MATCH(LARGE('SUPPORT-EVALDIR'!H28:H39,3),'SUPPORT-EVALDIR'!H28:H39,0))</f>
        <v>Dir. Obras Publicas</v>
      </c>
      <c r="C61" s="873">
        <f>LARGE('SUPPORT-EVALDIR'!H28:H39,3)</f>
        <v>80.5</v>
      </c>
      <c r="D61" s="874" t="str">
        <f>IF(LARGE('SUPPORT-EVALDIR'!H28:H39,3)&gt;=96,"⭐ EXCELENCIA",IF(LARGE('SUPPORT-EVALDIR'!H28:H39,3)&gt;=85,"✅ MUY BUENO",IF(LARGE('SUPPORT-EVALDIR'!H28:H39,3)&gt;=70,"🟢 GESTIÓN POR MANDATO",IF(LARGE('SUPPORT-EVALDIR'!H28:H39,3)&gt;=60,"🟡 REGULAR","🔴 INACEPTABLE"))))</f>
        <v>🟢 GESTIÓN POR MANDATO</v>
      </c>
      <c r="E61" s="814"/>
      <c r="F61" s="814"/>
      <c r="G61" s="814"/>
      <c r="H61" s="814"/>
      <c r="I61" s="814"/>
      <c r="J61" s="814"/>
      <c r="K61" s="814"/>
      <c r="L61" s="814"/>
      <c r="M61" s="814"/>
      <c r="N61" s="814"/>
      <c r="O61" s="814"/>
      <c r="P61" s="814"/>
      <c r="Q61" s="814"/>
      <c r="R61" s="814"/>
      <c r="S61" s="814"/>
      <c r="T61" s="814"/>
      <c r="U61" s="814"/>
      <c r="V61" s="815"/>
      <c r="W61" s="815"/>
      <c r="X61" s="815"/>
      <c r="Y61" s="815"/>
      <c r="Z61" s="816"/>
    </row>
    <row r="62" spans="1:26" s="44" customFormat="1" ht="6" customHeight="1" x14ac:dyDescent="0.3">
      <c r="A62" s="1507"/>
      <c r="B62" s="912"/>
      <c r="C62" s="808"/>
      <c r="D62" s="808"/>
      <c r="E62" s="808"/>
      <c r="F62" s="808"/>
      <c r="G62" s="808"/>
      <c r="H62" s="808"/>
      <c r="I62" s="808"/>
      <c r="J62" s="808"/>
      <c r="K62" s="808"/>
      <c r="L62" s="808"/>
      <c r="M62" s="808"/>
      <c r="N62" s="808"/>
      <c r="O62" s="808"/>
      <c r="P62" s="808"/>
      <c r="Q62" s="808"/>
      <c r="R62" s="808"/>
      <c r="S62" s="808"/>
      <c r="T62" s="808"/>
      <c r="U62" s="808"/>
      <c r="V62" s="809"/>
      <c r="W62" s="809"/>
      <c r="X62" s="809"/>
      <c r="Y62" s="809"/>
      <c r="Z62" s="810"/>
    </row>
    <row r="63" spans="1:26" s="14" customFormat="1" ht="19.95" customHeight="1" x14ac:dyDescent="0.3">
      <c r="A63" s="1621" t="s">
        <v>92</v>
      </c>
      <c r="B63" s="1625"/>
      <c r="C63" s="1626"/>
      <c r="D63" s="1626"/>
      <c r="E63" s="1626"/>
      <c r="F63" s="843"/>
      <c r="G63" s="843"/>
      <c r="H63" s="843"/>
      <c r="I63" s="843"/>
      <c r="J63" s="843"/>
      <c r="K63" s="843"/>
      <c r="L63" s="843"/>
      <c r="M63" s="843"/>
      <c r="N63" s="843"/>
      <c r="O63" s="843"/>
      <c r="P63" s="843"/>
      <c r="Q63" s="843"/>
      <c r="R63" s="843"/>
      <c r="S63" s="843"/>
      <c r="T63" s="843"/>
      <c r="U63" s="843"/>
      <c r="V63" s="843"/>
      <c r="W63" s="843"/>
      <c r="X63" s="843"/>
      <c r="Y63" s="843"/>
      <c r="Z63" s="844"/>
    </row>
    <row r="64" spans="1:26" s="42" customFormat="1" ht="16.05" customHeight="1" x14ac:dyDescent="0.3">
      <c r="A64" s="1507" t="s">
        <v>93</v>
      </c>
      <c r="B64" s="909" t="s">
        <v>83</v>
      </c>
      <c r="C64" s="871" t="s">
        <v>84</v>
      </c>
      <c r="D64" s="871" t="s">
        <v>42</v>
      </c>
      <c r="E64" s="862"/>
      <c r="F64" s="862"/>
      <c r="G64" s="862"/>
      <c r="H64" s="862"/>
      <c r="I64" s="862"/>
      <c r="J64" s="862"/>
      <c r="K64" s="862"/>
      <c r="L64" s="862"/>
      <c r="M64" s="862"/>
      <c r="N64" s="862"/>
      <c r="O64" s="862"/>
      <c r="P64" s="862"/>
      <c r="Q64" s="862"/>
      <c r="R64" s="862"/>
      <c r="S64" s="862"/>
      <c r="T64" s="862"/>
      <c r="U64" s="862"/>
      <c r="V64" s="863"/>
      <c r="W64" s="863"/>
      <c r="X64" s="863"/>
      <c r="Y64" s="863"/>
      <c r="Z64" s="864"/>
    </row>
    <row r="65" spans="1:26" s="43" customFormat="1" ht="16.05" customHeight="1" x14ac:dyDescent="0.3">
      <c r="A65" s="1507" t="str">
        <f>IF(SMALL('SUPPORT-EVALDIR'!H28:H39,1)=0,"⬛ CRÍTICA",IF(SMALL('SUPPORT-EVALDIR'!H28:H39,1)&lt;30,"🔴 CRÍTICA",IF(SMALL('SUPPORT-EVALDIR'!H28:H39,1)&lt;50,"🟠 ALTA","🟡 MEDIA")))</f>
        <v>⬛ CRÍTICA</v>
      </c>
      <c r="B65" s="918" t="str">
        <f>INDEX('SUPPORT-EVALDIR'!B28:B39,MATCH(SMALL('SUPPORT-EVALDIR'!H28:H39,1),'SUPPORT-EVALDIR'!H28:H39,0))</f>
        <v>Dir. Servicios Publicos y Gestion</v>
      </c>
      <c r="C65" s="878">
        <f>SMALL('SUPPORT-EVALDIR'!H28:H39,1)</f>
        <v>0</v>
      </c>
      <c r="D65" s="879" t="str">
        <f>IF(SMALL('SUPPORT-EVALDIR'!H28:H39,1)=0,"SUMARIO — LOSEP Art.80 (IED=0)",IF(SMALL('SUPPORT-EVALDIR'!H28:H39,1)&lt;30,"SUMARIO — LOSEP Art.80",IF(SMALL('SUPPORT-EVALDIR'!H28:H39,1)&lt;50,"MEMORANDO FORMAL — Plan 30 días","SEGUIMIENTO — Plan de mejora")))</f>
        <v>SUMARIO — LOSEP Art.80 (IED=0)</v>
      </c>
      <c r="E65" s="877"/>
      <c r="F65" s="814"/>
      <c r="G65" s="814"/>
      <c r="H65" s="814"/>
      <c r="I65" s="814"/>
      <c r="J65" s="814"/>
      <c r="K65" s="814"/>
      <c r="L65" s="814"/>
      <c r="M65" s="814"/>
      <c r="N65" s="814"/>
      <c r="O65" s="814"/>
      <c r="P65" s="814"/>
      <c r="Q65" s="814"/>
      <c r="R65" s="814"/>
      <c r="S65" s="814"/>
      <c r="T65" s="814"/>
      <c r="U65" s="814"/>
      <c r="V65" s="815"/>
      <c r="W65" s="815"/>
      <c r="X65" s="815"/>
      <c r="Y65" s="815"/>
      <c r="Z65" s="816"/>
    </row>
    <row r="66" spans="1:26" s="43" customFormat="1" ht="16.05" customHeight="1" x14ac:dyDescent="0.3">
      <c r="A66" s="1507" t="str">
        <f>IF(SMALL('SUPPORT-EVALDIR'!H28:H39,2)=0,"⬛ CRÍTICA",IF(SMALL('SUPPORT-EVALDIR'!H28:H39,2)&lt;30,"🔴 CRÍTICA",IF(SMALL('SUPPORT-EVALDIR'!H28:H39,2)&lt;50,"🟠 ALTA","🟡 MEDIA")))</f>
        <v>🔴 CRÍTICA</v>
      </c>
      <c r="B66" s="908" t="str">
        <f>INDEX('SUPPORT-EVALDIR'!B28:B39,MATCH(SMALL('SUPPORT-EVALDIR'!H28:H39,2),'SUPPORT-EVALDIR'!H28:H39,0))</f>
        <v>Unidad de Turismo</v>
      </c>
      <c r="C66" s="880">
        <f>SMALL('SUPPORT-EVALDIR'!H28:H39,2)</f>
        <v>13.5</v>
      </c>
      <c r="D66" s="881" t="str">
        <f>IF(SMALL('SUPPORT-EVALDIR'!H28:H39,2)=0,"SUMARIO — LOSEP Art.80 (IED=0)",IF(SMALL('SUPPORT-EVALDIR'!H28:H39,2)&lt;30,"SUMARIO — LOSEP Art.80",IF(SMALL('SUPPORT-EVALDIR'!H28:H39,2)&lt;50,"MEMORANDO FORMAL — Plan 30 días","SEGUIMIENTO — Plan de mejora")))</f>
        <v>SUMARIO — LOSEP Art.80</v>
      </c>
      <c r="E66" s="859"/>
      <c r="F66" s="808"/>
      <c r="G66" s="808"/>
      <c r="H66" s="808"/>
      <c r="I66" s="808"/>
      <c r="J66" s="808"/>
      <c r="K66" s="808"/>
      <c r="L66" s="808"/>
      <c r="M66" s="808"/>
      <c r="N66" s="808"/>
      <c r="O66" s="808"/>
      <c r="P66" s="808"/>
      <c r="Q66" s="808"/>
      <c r="R66" s="808"/>
      <c r="S66" s="808"/>
      <c r="T66" s="808"/>
      <c r="U66" s="808"/>
      <c r="V66" s="809"/>
      <c r="W66" s="809"/>
      <c r="X66" s="809"/>
      <c r="Y66" s="809"/>
      <c r="Z66" s="810"/>
    </row>
    <row r="67" spans="1:26" s="43" customFormat="1" ht="16.05" customHeight="1" x14ac:dyDescent="0.3">
      <c r="A67" s="1507" t="str">
        <f>IF(SMALL('SUPPORT-EVALDIR'!H28:H39,3)=0,"⬛ CRÍTICA",IF(SMALL('SUPPORT-EVALDIR'!H28:H39,3)&lt;30,"🔴 CRÍTICA",IF(SMALL('SUPPORT-EVALDIR'!H28:H39,3)&lt;50,"🟠 ALTA","🟡 MEDIA")))</f>
        <v>🔴 CRÍTICA</v>
      </c>
      <c r="B67" s="918" t="str">
        <f>INDEX('SUPPORT-EVALDIR'!B28:B39,MATCH(SMALL('SUPPORT-EVALDIR'!H28:H39,3),'SUPPORT-EVALDIR'!H28:H39,0))</f>
        <v>Unidad Gestion Sanitaria/MSP</v>
      </c>
      <c r="C67" s="878">
        <f>SMALL('SUPPORT-EVALDIR'!H28:H39,3)</f>
        <v>15.8</v>
      </c>
      <c r="D67" s="879" t="str">
        <f>IF(SMALL('SUPPORT-EVALDIR'!H28:H39,3)=0,"SUMARIO — LOSEP Art.80 (IED=0)",IF(SMALL('SUPPORT-EVALDIR'!H28:H39,3)&lt;30,"SUMARIO — LOSEP Art.80",IF(SMALL('SUPPORT-EVALDIR'!H28:H39,3)&lt;50,"MEMORANDO FORMAL — Plan 30 días","SEGUIMIENTO — Plan de mejora")))</f>
        <v>SUMARIO — LOSEP Art.80</v>
      </c>
      <c r="E67" s="877"/>
      <c r="F67" s="815"/>
      <c r="G67" s="815"/>
      <c r="H67" s="815"/>
      <c r="I67" s="815"/>
      <c r="J67" s="815"/>
      <c r="K67" s="815"/>
      <c r="L67" s="815"/>
      <c r="M67" s="815"/>
      <c r="N67" s="815"/>
      <c r="O67" s="815"/>
      <c r="P67" s="815"/>
      <c r="Q67" s="815"/>
      <c r="R67" s="815"/>
      <c r="S67" s="815"/>
      <c r="T67" s="815"/>
      <c r="U67" s="815"/>
      <c r="V67" s="815"/>
      <c r="W67" s="815"/>
      <c r="X67" s="815"/>
      <c r="Y67" s="815"/>
      <c r="Z67" s="816"/>
    </row>
    <row r="68" spans="1:26" s="43" customFormat="1" ht="16.05" customHeight="1" x14ac:dyDescent="0.3">
      <c r="A68" s="1507" t="str">
        <f>IF(SMALL('SUPPORT-EVALDIR'!H28:H39,4)=0,"⬛ CRÍTICA",IF(SMALL('SUPPORT-EVALDIR'!H28:H39,4)&lt;30,"🔴 CRÍTICA",IF(SMALL('SUPPORT-EVALDIR'!H28:H39,4)&lt;50,"🟠 ALTA","🟡 MEDIA")))</f>
        <v>🔴 CRÍTICA</v>
      </c>
      <c r="B68" s="908" t="str">
        <f>INDEX('SUPPORT-EVALDIR'!B28:B39,MATCH(SMALL('SUPPORT-EVALDIR'!H28:H39,4),'SUPPORT-EVALDIR'!H28:H39,0))</f>
        <v>Patronato Municipal de Amparo Social</v>
      </c>
      <c r="C68" s="880">
        <f>SMALL('SUPPORT-EVALDIR'!H28:H39,4)</f>
        <v>18</v>
      </c>
      <c r="D68" s="881" t="str">
        <f>IF(SMALL('SUPPORT-EVALDIR'!H28:H39,4)=0,"SUMARIO — LOSEP Art.80 (IED=0)",IF(SMALL('SUPPORT-EVALDIR'!H28:H39,4)&lt;30,"SUMARIO — LOSEP Art.80",IF(SMALL('SUPPORT-EVALDIR'!H28:H39,4)&lt;50,"MEMORANDO FORMAL — Plan 30 días","SEGUIMIENTO — Plan de mejora")))</f>
        <v>SUMARIO — LOSEP Art.80</v>
      </c>
      <c r="E68" s="859"/>
      <c r="F68" s="809"/>
      <c r="G68" s="809"/>
      <c r="H68" s="809"/>
      <c r="I68" s="809"/>
      <c r="J68" s="809"/>
      <c r="K68" s="809"/>
      <c r="L68" s="809"/>
      <c r="M68" s="809"/>
      <c r="N68" s="809"/>
      <c r="O68" s="809"/>
      <c r="P68" s="809"/>
      <c r="Q68" s="809"/>
      <c r="R68" s="809"/>
      <c r="S68" s="809"/>
      <c r="T68" s="809"/>
      <c r="U68" s="809"/>
      <c r="V68" s="809"/>
      <c r="W68" s="809"/>
      <c r="X68" s="809"/>
      <c r="Y68" s="809"/>
      <c r="Z68" s="810"/>
    </row>
    <row r="69" spans="1:26" s="43" customFormat="1" ht="16.05" customHeight="1" thickBot="1" x14ac:dyDescent="0.35">
      <c r="A69" s="1508" t="str">
        <f>IF(SMALL('SUPPORT-EVALDIR'!H28:H39,5)=0,"⬛ CRÍTICA",IF(SMALL('SUPPORT-EVALDIR'!H28:H39,5)&lt;30,"🔴 CRÍTICA",IF(SMALL('SUPPORT-EVALDIR'!H28:H39,5)&lt;50,"🟠 ALTA","🟡 MEDIA")))</f>
        <v>🔴 CRÍTICA</v>
      </c>
      <c r="B69" s="919" t="str">
        <f>INDEX('SUPPORT-EVALDIR'!B28:B39,MATCH(SMALL('SUPPORT-EVALDIR'!H28:H39,5),'SUPPORT-EVALDIR'!H28:H39,0))</f>
        <v>Dir. Planificacion y Desarrollo</v>
      </c>
      <c r="C69" s="883">
        <f>SMALL('SUPPORT-EVALDIR'!H28:H39,5)</f>
        <v>20</v>
      </c>
      <c r="D69" s="884" t="str">
        <f>IF(SMALL('SUPPORT-EVALDIR'!H28:H39,5)=0,"SUMARIO — LOSEP Art.80 (IED=0)",IF(SMALL('SUPPORT-EVALDIR'!H28:H39,5)&lt;30,"SUMARIO — LOSEP Art.80",IF(SMALL('SUPPORT-EVALDIR'!H28:H39,5)&lt;50,"MEMORANDO FORMAL — Plan 30 días","SEGUIMIENTO — Plan de mejora")))</f>
        <v>SUMARIO — LOSEP Art.80</v>
      </c>
      <c r="E69" s="882"/>
      <c r="F69" s="885"/>
      <c r="G69" s="885"/>
      <c r="H69" s="885"/>
      <c r="I69" s="885"/>
      <c r="J69" s="885"/>
      <c r="K69" s="885"/>
      <c r="L69" s="885"/>
      <c r="M69" s="885"/>
      <c r="N69" s="885"/>
      <c r="O69" s="885"/>
      <c r="P69" s="885"/>
      <c r="Q69" s="885"/>
      <c r="R69" s="885"/>
      <c r="S69" s="885"/>
      <c r="T69" s="885"/>
      <c r="U69" s="885"/>
      <c r="V69" s="885"/>
      <c r="W69" s="885"/>
      <c r="X69" s="885"/>
      <c r="Y69" s="885"/>
      <c r="Z69" s="886"/>
    </row>
    <row r="70" spans="1:26" ht="15" thickTop="1" x14ac:dyDescent="0.3"/>
  </sheetData>
  <mergeCells count="22">
    <mergeCell ref="A2:E2"/>
    <mergeCell ref="A30:E30"/>
    <mergeCell ref="C6:D6"/>
    <mergeCell ref="A36:E36"/>
    <mergeCell ref="A21:E22"/>
    <mergeCell ref="C10:D10"/>
    <mergeCell ref="A39:E39"/>
    <mergeCell ref="A1:Z1"/>
    <mergeCell ref="A63:E63"/>
    <mergeCell ref="C13:D13"/>
    <mergeCell ref="A54:E54"/>
    <mergeCell ref="C9:D9"/>
    <mergeCell ref="A3:E3"/>
    <mergeCell ref="C12:D12"/>
    <mergeCell ref="A57:E57"/>
    <mergeCell ref="C11:D11"/>
    <mergeCell ref="A47:E47"/>
    <mergeCell ref="A5:E5"/>
    <mergeCell ref="A14:E14"/>
    <mergeCell ref="C8:D8"/>
    <mergeCell ref="A4:B4"/>
    <mergeCell ref="C7:D7"/>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8CCE4"/>
  </sheetPr>
  <dimension ref="A1:Z51"/>
  <sheetViews>
    <sheetView showGridLines="0" zoomScale="34" zoomScaleNormal="34" workbookViewId="0">
      <selection sqref="A1:Z1"/>
    </sheetView>
  </sheetViews>
  <sheetFormatPr baseColWidth="10" defaultRowHeight="15" x14ac:dyDescent="0.3"/>
  <cols>
    <col min="1" max="1" width="5.21875" style="21" customWidth="1"/>
    <col min="2" max="2" width="41.33203125" style="21" bestFit="1" customWidth="1"/>
    <col min="3" max="3" width="47.21875" style="45" bestFit="1" customWidth="1"/>
    <col min="4" max="4" width="93.33203125" style="21" bestFit="1" customWidth="1"/>
    <col min="5" max="5" width="32.6640625" style="21" bestFit="1" customWidth="1"/>
    <col min="6" max="6" width="36.88671875" style="21" bestFit="1" customWidth="1"/>
    <col min="7" max="7" width="19.6640625" style="21" bestFit="1" customWidth="1"/>
    <col min="8" max="8" width="21.88671875" style="21" bestFit="1" customWidth="1"/>
    <col min="9" max="11" width="11.5546875" style="21" customWidth="1"/>
    <col min="12" max="25" width="11.5546875" style="21"/>
    <col min="26" max="26" width="11.21875" style="21" bestFit="1" customWidth="1"/>
    <col min="27" max="16384" width="11.5546875" style="21"/>
  </cols>
  <sheetData>
    <row r="1" spans="1:26" s="20" customFormat="1" ht="28.05" customHeight="1" x14ac:dyDescent="0.3">
      <c r="A1" s="1928" t="s">
        <v>4808</v>
      </c>
      <c r="B1" s="1656"/>
      <c r="C1" s="1656"/>
      <c r="D1" s="1656"/>
      <c r="E1" s="1656"/>
      <c r="F1" s="1656"/>
      <c r="G1" s="1656"/>
      <c r="H1" s="1656"/>
      <c r="I1" s="1656"/>
      <c r="J1" s="1656"/>
      <c r="K1" s="1656"/>
      <c r="L1" s="1656"/>
      <c r="M1" s="1656"/>
      <c r="N1" s="1656"/>
      <c r="O1" s="1656"/>
      <c r="P1" s="1656"/>
      <c r="Q1" s="1656"/>
      <c r="R1" s="1656"/>
      <c r="S1" s="1656"/>
      <c r="T1" s="1656"/>
      <c r="U1" s="1656"/>
      <c r="V1" s="1656"/>
      <c r="W1" s="1656"/>
      <c r="X1" s="1656"/>
      <c r="Y1" s="1656"/>
      <c r="Z1" s="1656"/>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1400"/>
      <c r="N2" s="1400"/>
      <c r="O2" s="1400"/>
      <c r="P2" s="1400"/>
      <c r="Q2" s="1400"/>
      <c r="R2" s="1400"/>
      <c r="S2" s="1400"/>
      <c r="T2" s="1400"/>
      <c r="U2" s="1400"/>
      <c r="V2" s="1400"/>
      <c r="W2" s="1400"/>
      <c r="X2" s="1400"/>
      <c r="Y2" s="1400"/>
      <c r="Z2" s="1400"/>
    </row>
    <row r="3" spans="1:26" ht="16.05" customHeight="1" thickBot="1" x14ac:dyDescent="0.35">
      <c r="A3" s="1657" t="s">
        <v>4055</v>
      </c>
      <c r="B3" s="1658"/>
      <c r="C3" s="1658"/>
      <c r="D3" s="1658"/>
      <c r="E3" s="1658"/>
      <c r="F3" s="1658"/>
      <c r="G3" s="1658"/>
      <c r="H3" s="1658"/>
      <c r="I3" s="931"/>
      <c r="J3" s="931"/>
      <c r="K3" s="931"/>
      <c r="L3" s="931"/>
      <c r="M3" s="931"/>
      <c r="N3" s="931"/>
      <c r="O3" s="931"/>
      <c r="P3" s="931"/>
      <c r="Q3" s="931"/>
      <c r="R3" s="931"/>
      <c r="S3" s="931"/>
      <c r="T3" s="931"/>
      <c r="U3" s="931"/>
      <c r="V3" s="931"/>
      <c r="W3" s="931"/>
      <c r="X3" s="931"/>
      <c r="Y3" s="931"/>
      <c r="Z3" s="931"/>
    </row>
    <row r="4" spans="1:26" ht="19.95" customHeight="1" thickTop="1" x14ac:dyDescent="0.3">
      <c r="A4" s="1671" t="s">
        <v>118</v>
      </c>
      <c r="B4" s="1672"/>
      <c r="C4" s="1672"/>
      <c r="D4" s="1672"/>
      <c r="E4" s="1672"/>
      <c r="F4" s="1672"/>
      <c r="G4" s="1672"/>
      <c r="H4" s="1672"/>
      <c r="I4" s="1672"/>
      <c r="J4" s="1672"/>
      <c r="K4" s="1672"/>
      <c r="L4" s="1672"/>
      <c r="M4" s="1672"/>
      <c r="N4" s="1672"/>
      <c r="O4" s="1672"/>
      <c r="P4" s="1672"/>
      <c r="Q4" s="1672"/>
      <c r="R4" s="1672"/>
      <c r="S4" s="1672"/>
      <c r="T4" s="1672"/>
      <c r="U4" s="1672"/>
      <c r="V4" s="1672"/>
      <c r="W4" s="1672"/>
      <c r="X4" s="1672"/>
      <c r="Y4" s="1672"/>
      <c r="Z4" s="1673"/>
    </row>
    <row r="5" spans="1:26" ht="30" customHeight="1" x14ac:dyDescent="0.3">
      <c r="A5" s="1044" t="s">
        <v>119</v>
      </c>
      <c r="B5" s="1563" t="s">
        <v>120</v>
      </c>
      <c r="C5" s="1564" t="s">
        <v>121</v>
      </c>
      <c r="D5" s="1564" t="s">
        <v>122</v>
      </c>
      <c r="E5" s="1564" t="s">
        <v>123</v>
      </c>
      <c r="F5" s="1564" t="s">
        <v>124</v>
      </c>
      <c r="G5" s="1564" t="s">
        <v>125</v>
      </c>
      <c r="H5" s="1564" t="s">
        <v>126</v>
      </c>
      <c r="I5" s="1564"/>
      <c r="J5" s="1564"/>
      <c r="K5" s="1564"/>
      <c r="L5" s="1564"/>
      <c r="M5" s="1564"/>
      <c r="N5" s="1564"/>
      <c r="O5" s="1564"/>
      <c r="P5" s="1564"/>
      <c r="Q5" s="1564"/>
      <c r="R5" s="1564"/>
      <c r="S5" s="1564"/>
      <c r="T5" s="1564"/>
      <c r="U5" s="1564"/>
      <c r="V5" s="1564"/>
      <c r="W5" s="1564"/>
      <c r="X5" s="1564"/>
      <c r="Y5" s="1564"/>
      <c r="Z5" s="1565"/>
    </row>
    <row r="6" spans="1:26" s="22" customFormat="1" ht="37.950000000000003" customHeight="1" x14ac:dyDescent="0.3">
      <c r="A6" s="1516" t="s">
        <v>127</v>
      </c>
      <c r="B6" s="1412" t="s">
        <v>128</v>
      </c>
      <c r="C6" s="1024" t="s">
        <v>129</v>
      </c>
      <c r="D6" s="1401" t="s">
        <v>130</v>
      </c>
      <c r="E6" s="1401" t="s">
        <v>131</v>
      </c>
      <c r="F6" s="1401" t="s">
        <v>132</v>
      </c>
      <c r="G6" s="1401" t="s">
        <v>133</v>
      </c>
      <c r="H6" s="1401" t="s">
        <v>134</v>
      </c>
      <c r="I6" s="1402"/>
      <c r="J6" s="1402"/>
      <c r="K6" s="1402"/>
      <c r="L6" s="1402"/>
      <c r="M6" s="1402"/>
      <c r="N6" s="1402"/>
      <c r="O6" s="1402"/>
      <c r="P6" s="1402"/>
      <c r="Q6" s="1402"/>
      <c r="R6" s="1402"/>
      <c r="S6" s="1402"/>
      <c r="T6" s="1402"/>
      <c r="U6" s="1402"/>
      <c r="V6" s="1402"/>
      <c r="W6" s="1402"/>
      <c r="X6" s="1402"/>
      <c r="Y6" s="1402"/>
      <c r="Z6" s="1409"/>
    </row>
    <row r="7" spans="1:26" s="22" customFormat="1" ht="37.950000000000003" customHeight="1" x14ac:dyDescent="0.3">
      <c r="A7" s="1044" t="s">
        <v>135</v>
      </c>
      <c r="B7" s="395" t="s">
        <v>136</v>
      </c>
      <c r="C7" s="114" t="s">
        <v>129</v>
      </c>
      <c r="D7" s="113" t="s">
        <v>137</v>
      </c>
      <c r="E7" s="113" t="s">
        <v>138</v>
      </c>
      <c r="F7" s="113" t="s">
        <v>139</v>
      </c>
      <c r="G7" s="113" t="s">
        <v>133</v>
      </c>
      <c r="H7" s="113" t="s">
        <v>134</v>
      </c>
      <c r="I7" s="115"/>
      <c r="J7" s="115"/>
      <c r="K7" s="115"/>
      <c r="L7" s="115"/>
      <c r="M7" s="115"/>
      <c r="N7" s="115"/>
      <c r="O7" s="115"/>
      <c r="P7" s="115"/>
      <c r="Q7" s="115"/>
      <c r="R7" s="115"/>
      <c r="S7" s="115"/>
      <c r="T7" s="115"/>
      <c r="U7" s="115"/>
      <c r="V7" s="115"/>
      <c r="W7" s="115"/>
      <c r="X7" s="115"/>
      <c r="Y7" s="115"/>
      <c r="Z7" s="1408"/>
    </row>
    <row r="8" spans="1:26" s="22" customFormat="1" ht="37.950000000000003" customHeight="1" x14ac:dyDescent="0.3">
      <c r="A8" s="1516" t="s">
        <v>140</v>
      </c>
      <c r="B8" s="1412" t="s">
        <v>141</v>
      </c>
      <c r="C8" s="1024" t="s">
        <v>129</v>
      </c>
      <c r="D8" s="1401" t="s">
        <v>142</v>
      </c>
      <c r="E8" s="1401" t="s">
        <v>143</v>
      </c>
      <c r="F8" s="1401" t="s">
        <v>144</v>
      </c>
      <c r="G8" s="1401" t="s">
        <v>133</v>
      </c>
      <c r="H8" s="1401" t="s">
        <v>134</v>
      </c>
      <c r="I8" s="1402"/>
      <c r="J8" s="1402"/>
      <c r="K8" s="1402"/>
      <c r="L8" s="1402"/>
      <c r="M8" s="1402"/>
      <c r="N8" s="1402"/>
      <c r="O8" s="1402"/>
      <c r="P8" s="1402"/>
      <c r="Q8" s="1402"/>
      <c r="R8" s="1402"/>
      <c r="S8" s="1402"/>
      <c r="T8" s="1402"/>
      <c r="U8" s="1402"/>
      <c r="V8" s="1402"/>
      <c r="W8" s="1402"/>
      <c r="X8" s="1402"/>
      <c r="Y8" s="1402"/>
      <c r="Z8" s="1409"/>
    </row>
    <row r="9" spans="1:26" s="22" customFormat="1" ht="37.950000000000003" customHeight="1" x14ac:dyDescent="0.3">
      <c r="A9" s="1044" t="s">
        <v>145</v>
      </c>
      <c r="B9" s="395" t="s">
        <v>146</v>
      </c>
      <c r="C9" s="114" t="s">
        <v>147</v>
      </c>
      <c r="D9" s="113" t="s">
        <v>148</v>
      </c>
      <c r="E9" s="113" t="s">
        <v>103</v>
      </c>
      <c r="F9" s="113" t="s">
        <v>149</v>
      </c>
      <c r="G9" s="113" t="s">
        <v>133</v>
      </c>
      <c r="H9" s="113" t="s">
        <v>103</v>
      </c>
      <c r="I9" s="115"/>
      <c r="J9" s="115"/>
      <c r="K9" s="115"/>
      <c r="L9" s="115"/>
      <c r="M9" s="115"/>
      <c r="N9" s="115"/>
      <c r="O9" s="115"/>
      <c r="P9" s="115"/>
      <c r="Q9" s="115"/>
      <c r="R9" s="115"/>
      <c r="S9" s="115"/>
      <c r="T9" s="115"/>
      <c r="U9" s="115"/>
      <c r="V9" s="115"/>
      <c r="W9" s="115"/>
      <c r="X9" s="115"/>
      <c r="Y9" s="115"/>
      <c r="Z9" s="1408"/>
    </row>
    <row r="10" spans="1:26" s="22" customFormat="1" ht="37.950000000000003" customHeight="1" x14ac:dyDescent="0.3">
      <c r="A10" s="1516" t="s">
        <v>150</v>
      </c>
      <c r="B10" s="1412" t="s">
        <v>151</v>
      </c>
      <c r="C10" s="1024" t="s">
        <v>147</v>
      </c>
      <c r="D10" s="1401" t="s">
        <v>152</v>
      </c>
      <c r="E10" s="1401" t="s">
        <v>138</v>
      </c>
      <c r="F10" s="1401" t="s">
        <v>153</v>
      </c>
      <c r="G10" s="1401" t="s">
        <v>133</v>
      </c>
      <c r="H10" s="1401" t="s">
        <v>103</v>
      </c>
      <c r="I10" s="1402"/>
      <c r="J10" s="1402"/>
      <c r="K10" s="1402"/>
      <c r="L10" s="1402"/>
      <c r="M10" s="1402"/>
      <c r="N10" s="1402"/>
      <c r="O10" s="1402"/>
      <c r="P10" s="1402"/>
      <c r="Q10" s="1402"/>
      <c r="R10" s="1402"/>
      <c r="S10" s="1402"/>
      <c r="T10" s="1402"/>
      <c r="U10" s="1402"/>
      <c r="V10" s="1402"/>
      <c r="W10" s="1402"/>
      <c r="X10" s="1402"/>
      <c r="Y10" s="1402"/>
      <c r="Z10" s="1409"/>
    </row>
    <row r="11" spans="1:26" s="22" customFormat="1" ht="37.950000000000003" customHeight="1" x14ac:dyDescent="0.3">
      <c r="A11" s="1044" t="s">
        <v>154</v>
      </c>
      <c r="B11" s="395">
        <v>130101</v>
      </c>
      <c r="C11" s="114" t="s">
        <v>129</v>
      </c>
      <c r="D11" s="113" t="s">
        <v>155</v>
      </c>
      <c r="E11" s="113" t="s">
        <v>156</v>
      </c>
      <c r="F11" s="113" t="s">
        <v>157</v>
      </c>
      <c r="G11" s="113" t="s">
        <v>133</v>
      </c>
      <c r="H11" s="113" t="s">
        <v>134</v>
      </c>
      <c r="I11" s="115"/>
      <c r="J11" s="115"/>
      <c r="K11" s="115"/>
      <c r="L11" s="115"/>
      <c r="M11" s="115"/>
      <c r="N11" s="115"/>
      <c r="O11" s="115"/>
      <c r="P11" s="115"/>
      <c r="Q11" s="115"/>
      <c r="R11" s="115"/>
      <c r="S11" s="115"/>
      <c r="T11" s="115"/>
      <c r="U11" s="115"/>
      <c r="V11" s="115"/>
      <c r="W11" s="115"/>
      <c r="X11" s="115"/>
      <c r="Y11" s="115"/>
      <c r="Z11" s="1408"/>
    </row>
    <row r="12" spans="1:26" s="22" customFormat="1" ht="37.950000000000003" customHeight="1" x14ac:dyDescent="0.3">
      <c r="A12" s="1516" t="s">
        <v>158</v>
      </c>
      <c r="B12" s="1412" t="s">
        <v>159</v>
      </c>
      <c r="C12" s="1024" t="s">
        <v>129</v>
      </c>
      <c r="D12" s="1401" t="s">
        <v>160</v>
      </c>
      <c r="E12" s="1401" t="s">
        <v>161</v>
      </c>
      <c r="F12" s="1401" t="s">
        <v>162</v>
      </c>
      <c r="G12" s="1401" t="s">
        <v>133</v>
      </c>
      <c r="H12" s="1401" t="s">
        <v>163</v>
      </c>
      <c r="I12" s="1402"/>
      <c r="J12" s="1402"/>
      <c r="K12" s="1402"/>
      <c r="L12" s="1402"/>
      <c r="M12" s="1402"/>
      <c r="N12" s="1402"/>
      <c r="O12" s="1402"/>
      <c r="P12" s="1402"/>
      <c r="Q12" s="1402"/>
      <c r="R12" s="1402"/>
      <c r="S12" s="1402"/>
      <c r="T12" s="1402"/>
      <c r="U12" s="1402"/>
      <c r="V12" s="1402"/>
      <c r="W12" s="1402"/>
      <c r="X12" s="1402"/>
      <c r="Y12" s="1402"/>
      <c r="Z12" s="1409"/>
    </row>
    <row r="13" spans="1:26" s="22" customFormat="1" ht="37.950000000000003" customHeight="1" x14ac:dyDescent="0.3">
      <c r="A13" s="1045"/>
      <c r="B13" s="1413"/>
      <c r="C13" s="116"/>
      <c r="D13" s="115"/>
      <c r="E13" s="115"/>
      <c r="F13" s="115"/>
      <c r="G13" s="115"/>
      <c r="H13" s="115"/>
      <c r="I13" s="115"/>
      <c r="J13" s="115"/>
      <c r="K13" s="115"/>
      <c r="L13" s="115"/>
      <c r="M13" s="115"/>
      <c r="N13" s="115"/>
      <c r="O13" s="115"/>
      <c r="P13" s="115"/>
      <c r="Q13" s="115"/>
      <c r="R13" s="115"/>
      <c r="S13" s="115"/>
      <c r="T13" s="115"/>
      <c r="U13" s="115"/>
      <c r="V13" s="115"/>
      <c r="W13" s="115"/>
      <c r="X13" s="115"/>
      <c r="Y13" s="115"/>
      <c r="Z13" s="1408"/>
    </row>
    <row r="14" spans="1:26" s="22" customFormat="1" ht="37.950000000000003" customHeight="1" x14ac:dyDescent="0.3">
      <c r="A14" s="1665" t="s">
        <v>164</v>
      </c>
      <c r="B14" s="1666"/>
      <c r="C14" s="1667"/>
      <c r="D14" s="1667"/>
      <c r="E14" s="1667"/>
      <c r="F14" s="1667"/>
      <c r="G14" s="1667"/>
      <c r="H14" s="1667"/>
      <c r="I14" s="1402"/>
      <c r="J14" s="1402"/>
      <c r="K14" s="1402"/>
      <c r="L14" s="1402"/>
      <c r="M14" s="1402"/>
      <c r="N14" s="1402"/>
      <c r="O14" s="1402"/>
      <c r="P14" s="1402"/>
      <c r="Q14" s="1402"/>
      <c r="R14" s="1402"/>
      <c r="S14" s="1402"/>
      <c r="T14" s="1402"/>
      <c r="U14" s="1402"/>
      <c r="V14" s="1402"/>
      <c r="W14" s="1402"/>
      <c r="X14" s="1402"/>
      <c r="Y14" s="1402"/>
      <c r="Z14" s="1409"/>
    </row>
    <row r="15" spans="1:26" s="22" customFormat="1" ht="37.950000000000003" customHeight="1" x14ac:dyDescent="0.3">
      <c r="A15" s="1044" t="s">
        <v>165</v>
      </c>
      <c r="B15" s="1415" t="s">
        <v>166</v>
      </c>
      <c r="C15" s="117" t="s">
        <v>129</v>
      </c>
      <c r="D15" s="118" t="s">
        <v>167</v>
      </c>
      <c r="E15" s="118" t="s">
        <v>168</v>
      </c>
      <c r="F15" s="118" t="s">
        <v>169</v>
      </c>
      <c r="G15" s="118" t="s">
        <v>133</v>
      </c>
      <c r="H15" s="118" t="s">
        <v>134</v>
      </c>
      <c r="I15" s="115"/>
      <c r="J15" s="115"/>
      <c r="K15" s="115"/>
      <c r="L15" s="115"/>
      <c r="M15" s="115"/>
      <c r="N15" s="115"/>
      <c r="O15" s="115"/>
      <c r="P15" s="115"/>
      <c r="Q15" s="115"/>
      <c r="R15" s="115"/>
      <c r="S15" s="115"/>
      <c r="T15" s="115"/>
      <c r="U15" s="115"/>
      <c r="V15" s="115"/>
      <c r="W15" s="115"/>
      <c r="X15" s="115"/>
      <c r="Y15" s="115"/>
      <c r="Z15" s="1408"/>
    </row>
    <row r="16" spans="1:26" s="22" customFormat="1" ht="37.950000000000003" customHeight="1" x14ac:dyDescent="0.3">
      <c r="A16" s="1516" t="s">
        <v>170</v>
      </c>
      <c r="B16" s="1414">
        <v>20</v>
      </c>
      <c r="C16" s="1075" t="s">
        <v>129</v>
      </c>
      <c r="D16" s="1403" t="s">
        <v>171</v>
      </c>
      <c r="E16" s="1403" t="s">
        <v>172</v>
      </c>
      <c r="F16" s="1403" t="s">
        <v>173</v>
      </c>
      <c r="G16" s="1403" t="s">
        <v>133</v>
      </c>
      <c r="H16" s="1403" t="s">
        <v>134</v>
      </c>
      <c r="I16" s="1402"/>
      <c r="J16" s="1402"/>
      <c r="K16" s="1402"/>
      <c r="L16" s="1402"/>
      <c r="M16" s="1402"/>
      <c r="N16" s="1402"/>
      <c r="O16" s="1402"/>
      <c r="P16" s="1402"/>
      <c r="Q16" s="1402"/>
      <c r="R16" s="1402"/>
      <c r="S16" s="1402"/>
      <c r="T16" s="1402"/>
      <c r="U16" s="1402"/>
      <c r="V16" s="1402"/>
      <c r="W16" s="1402"/>
      <c r="X16" s="1402"/>
      <c r="Y16" s="1402"/>
      <c r="Z16" s="1409"/>
    </row>
    <row r="17" spans="1:26" s="22" customFormat="1" ht="37.950000000000003" customHeight="1" x14ac:dyDescent="0.3">
      <c r="A17" s="1044" t="s">
        <v>174</v>
      </c>
      <c r="B17" s="1415">
        <v>5</v>
      </c>
      <c r="C17" s="117" t="s">
        <v>129</v>
      </c>
      <c r="D17" s="118" t="s">
        <v>175</v>
      </c>
      <c r="E17" s="118" t="s">
        <v>168</v>
      </c>
      <c r="F17" s="118" t="s">
        <v>176</v>
      </c>
      <c r="G17" s="118" t="s">
        <v>133</v>
      </c>
      <c r="H17" s="118" t="s">
        <v>134</v>
      </c>
      <c r="I17" s="115"/>
      <c r="J17" s="115"/>
      <c r="K17" s="115"/>
      <c r="L17" s="115"/>
      <c r="M17" s="115"/>
      <c r="N17" s="115"/>
      <c r="O17" s="115"/>
      <c r="P17" s="115"/>
      <c r="Q17" s="115"/>
      <c r="R17" s="115"/>
      <c r="S17" s="115"/>
      <c r="T17" s="115"/>
      <c r="U17" s="115"/>
      <c r="V17" s="115"/>
      <c r="W17" s="115"/>
      <c r="X17" s="115"/>
      <c r="Y17" s="115"/>
      <c r="Z17" s="1408"/>
    </row>
    <row r="18" spans="1:26" s="22" customFormat="1" ht="75" customHeight="1" x14ac:dyDescent="0.3">
      <c r="A18" s="1516" t="s">
        <v>177</v>
      </c>
      <c r="B18" s="1414">
        <v>1</v>
      </c>
      <c r="C18" s="1075" t="s">
        <v>178</v>
      </c>
      <c r="D18" s="1403"/>
      <c r="E18" s="1403"/>
      <c r="F18" s="1403"/>
      <c r="G18" s="1403"/>
      <c r="H18" s="1403"/>
      <c r="I18" s="1402"/>
      <c r="J18" s="1402"/>
      <c r="K18" s="1402"/>
      <c r="L18" s="1402"/>
      <c r="M18" s="1402"/>
      <c r="N18" s="1402"/>
      <c r="O18" s="1402"/>
      <c r="P18" s="1402"/>
      <c r="Q18" s="1402"/>
      <c r="R18" s="1402"/>
      <c r="S18" s="1402"/>
      <c r="T18" s="1402"/>
      <c r="U18" s="1402"/>
      <c r="V18" s="1402"/>
      <c r="W18" s="1402"/>
      <c r="X18" s="1402"/>
      <c r="Y18" s="1402"/>
      <c r="Z18" s="1409"/>
    </row>
    <row r="19" spans="1:26" s="22" customFormat="1" ht="75" customHeight="1" x14ac:dyDescent="0.3">
      <c r="A19" s="1044" t="s">
        <v>179</v>
      </c>
      <c r="B19" s="1566">
        <v>0.92249999999999999</v>
      </c>
      <c r="C19" s="117" t="s">
        <v>180</v>
      </c>
      <c r="D19" s="118" t="s">
        <v>181</v>
      </c>
      <c r="E19" s="118" t="s">
        <v>182</v>
      </c>
      <c r="F19" s="118" t="s">
        <v>183</v>
      </c>
      <c r="G19" s="118" t="s">
        <v>133</v>
      </c>
      <c r="H19" s="118" t="s">
        <v>134</v>
      </c>
      <c r="I19" s="115"/>
      <c r="J19" s="115"/>
      <c r="K19" s="115"/>
      <c r="L19" s="115"/>
      <c r="M19" s="115"/>
      <c r="N19" s="115"/>
      <c r="O19" s="115"/>
      <c r="P19" s="115"/>
      <c r="Q19" s="115"/>
      <c r="R19" s="115"/>
      <c r="S19" s="115"/>
      <c r="T19" s="115"/>
      <c r="U19" s="115"/>
      <c r="V19" s="115"/>
      <c r="W19" s="115"/>
      <c r="X19" s="115"/>
      <c r="Y19" s="115"/>
      <c r="Z19" s="1408"/>
    </row>
    <row r="20" spans="1:26" s="22" customFormat="1" ht="37.950000000000003" customHeight="1" x14ac:dyDescent="0.3">
      <c r="A20" s="1516" t="s">
        <v>184</v>
      </c>
      <c r="B20" s="1414">
        <v>2023</v>
      </c>
      <c r="C20" s="1075" t="s">
        <v>185</v>
      </c>
      <c r="D20" s="1403" t="s">
        <v>186</v>
      </c>
      <c r="E20" s="1403" t="s">
        <v>182</v>
      </c>
      <c r="F20" s="1403" t="s">
        <v>187</v>
      </c>
      <c r="G20" s="1403" t="s">
        <v>133</v>
      </c>
      <c r="H20" s="1403" t="s">
        <v>134</v>
      </c>
      <c r="I20" s="1402"/>
      <c r="J20" s="1402"/>
      <c r="K20" s="1402"/>
      <c r="L20" s="1402"/>
      <c r="M20" s="1402"/>
      <c r="N20" s="1402"/>
      <c r="O20" s="1402"/>
      <c r="P20" s="1402"/>
      <c r="Q20" s="1402"/>
      <c r="R20" s="1402"/>
      <c r="S20" s="1402"/>
      <c r="T20" s="1402"/>
      <c r="U20" s="1402"/>
      <c r="V20" s="1402"/>
      <c r="W20" s="1402"/>
      <c r="X20" s="1402"/>
      <c r="Y20" s="1402"/>
      <c r="Z20" s="1409"/>
    </row>
    <row r="21" spans="1:26" s="22" customFormat="1" ht="37.950000000000003" customHeight="1" x14ac:dyDescent="0.3">
      <c r="A21" s="1044" t="s">
        <v>188</v>
      </c>
      <c r="B21" s="1415">
        <v>13</v>
      </c>
      <c r="C21" s="117" t="s">
        <v>185</v>
      </c>
      <c r="D21" s="118" t="s">
        <v>189</v>
      </c>
      <c r="E21" s="118" t="s">
        <v>190</v>
      </c>
      <c r="F21" s="118" t="s">
        <v>191</v>
      </c>
      <c r="G21" s="118" t="s">
        <v>133</v>
      </c>
      <c r="H21" s="118" t="s">
        <v>134</v>
      </c>
      <c r="I21" s="115"/>
      <c r="J21" s="115"/>
      <c r="K21" s="115"/>
      <c r="L21" s="115"/>
      <c r="M21" s="115"/>
      <c r="N21" s="115"/>
      <c r="O21" s="115"/>
      <c r="P21" s="115"/>
      <c r="Q21" s="115"/>
      <c r="R21" s="115"/>
      <c r="S21" s="115"/>
      <c r="T21" s="115"/>
      <c r="U21" s="115"/>
      <c r="V21" s="115"/>
      <c r="W21" s="115"/>
      <c r="X21" s="115"/>
      <c r="Y21" s="115"/>
      <c r="Z21" s="1408"/>
    </row>
    <row r="22" spans="1:26" s="22" customFormat="1" ht="37.950000000000003" customHeight="1" x14ac:dyDescent="0.3">
      <c r="A22" s="1516" t="s">
        <v>192</v>
      </c>
      <c r="B22" s="1567" t="s">
        <v>193</v>
      </c>
      <c r="C22" s="1075" t="s">
        <v>185</v>
      </c>
      <c r="D22" s="1403" t="s">
        <v>194</v>
      </c>
      <c r="E22" s="1403" t="s">
        <v>195</v>
      </c>
      <c r="F22" s="1403" t="s">
        <v>196</v>
      </c>
      <c r="G22" s="1403" t="s">
        <v>133</v>
      </c>
      <c r="H22" s="1403" t="s">
        <v>197</v>
      </c>
      <c r="I22" s="1402"/>
      <c r="J22" s="1402"/>
      <c r="K22" s="1402"/>
      <c r="L22" s="1402"/>
      <c r="M22" s="1402"/>
      <c r="N22" s="1402"/>
      <c r="O22" s="1402"/>
      <c r="P22" s="1402"/>
      <c r="Q22" s="1402"/>
      <c r="R22" s="1402"/>
      <c r="S22" s="1402"/>
      <c r="T22" s="1402"/>
      <c r="U22" s="1402"/>
      <c r="V22" s="1402"/>
      <c r="W22" s="1402"/>
      <c r="X22" s="1402"/>
      <c r="Y22" s="1402"/>
      <c r="Z22" s="1409"/>
    </row>
    <row r="23" spans="1:26" s="22" customFormat="1" ht="37.950000000000003" customHeight="1" x14ac:dyDescent="0.3">
      <c r="A23" s="1044" t="s">
        <v>198</v>
      </c>
      <c r="B23" s="1415">
        <v>122857648</v>
      </c>
      <c r="C23" s="117" t="s">
        <v>185</v>
      </c>
      <c r="D23" s="118" t="s">
        <v>199</v>
      </c>
      <c r="E23" s="118" t="s">
        <v>200</v>
      </c>
      <c r="F23" s="118" t="s">
        <v>201</v>
      </c>
      <c r="G23" s="118" t="s">
        <v>133</v>
      </c>
      <c r="H23" s="118" t="s">
        <v>202</v>
      </c>
      <c r="I23" s="115"/>
      <c r="J23" s="115"/>
      <c r="K23" s="115"/>
      <c r="L23" s="115"/>
      <c r="M23" s="115"/>
      <c r="N23" s="115"/>
      <c r="O23" s="115"/>
      <c r="P23" s="115"/>
      <c r="Q23" s="115"/>
      <c r="R23" s="115"/>
      <c r="S23" s="115"/>
      <c r="T23" s="115"/>
      <c r="U23" s="115"/>
      <c r="V23" s="115"/>
      <c r="W23" s="115"/>
      <c r="X23" s="115"/>
      <c r="Y23" s="115"/>
      <c r="Z23" s="1408"/>
    </row>
    <row r="24" spans="1:26" s="22" customFormat="1" ht="37.950000000000003" customHeight="1" x14ac:dyDescent="0.3">
      <c r="A24" s="1517"/>
      <c r="B24" s="1568"/>
      <c r="C24" s="1075"/>
      <c r="D24" s="1403"/>
      <c r="E24" s="1403"/>
      <c r="F24" s="1403"/>
      <c r="G24" s="1403"/>
      <c r="H24" s="1403"/>
      <c r="I24" s="1402"/>
      <c r="J24" s="1402"/>
      <c r="K24" s="1402"/>
      <c r="L24" s="1402"/>
      <c r="M24" s="1402"/>
      <c r="N24" s="1402"/>
      <c r="O24" s="1402"/>
      <c r="P24" s="1402"/>
      <c r="Q24" s="1402"/>
      <c r="R24" s="1402"/>
      <c r="S24" s="1402"/>
      <c r="T24" s="1402"/>
      <c r="U24" s="1402"/>
      <c r="V24" s="1402"/>
      <c r="W24" s="1402"/>
      <c r="X24" s="1402"/>
      <c r="Y24" s="1402"/>
      <c r="Z24" s="1409"/>
    </row>
    <row r="25" spans="1:26" s="22" customFormat="1" ht="37.950000000000003" customHeight="1" x14ac:dyDescent="0.3">
      <c r="A25" s="1659" t="s">
        <v>203</v>
      </c>
      <c r="B25" s="1663"/>
      <c r="C25" s="1664"/>
      <c r="D25" s="1664"/>
      <c r="E25" s="1664"/>
      <c r="F25" s="1664"/>
      <c r="G25" s="1664"/>
      <c r="H25" s="1664"/>
      <c r="I25" s="115"/>
      <c r="J25" s="115"/>
      <c r="K25" s="115"/>
      <c r="L25" s="115"/>
      <c r="M25" s="115"/>
      <c r="N25" s="115"/>
      <c r="O25" s="115"/>
      <c r="P25" s="115"/>
      <c r="Q25" s="115"/>
      <c r="R25" s="115"/>
      <c r="S25" s="115"/>
      <c r="T25" s="115"/>
      <c r="U25" s="115"/>
      <c r="V25" s="115"/>
      <c r="W25" s="115"/>
      <c r="X25" s="115"/>
      <c r="Y25" s="115"/>
      <c r="Z25" s="1408"/>
    </row>
    <row r="26" spans="1:26" s="22" customFormat="1" ht="37.950000000000003" customHeight="1" x14ac:dyDescent="0.3">
      <c r="A26" s="1516" t="s">
        <v>204</v>
      </c>
      <c r="B26" s="1417">
        <v>0.96</v>
      </c>
      <c r="C26" s="1024" t="s">
        <v>147</v>
      </c>
      <c r="D26" s="1401" t="s">
        <v>205</v>
      </c>
      <c r="E26" s="1401" t="s">
        <v>206</v>
      </c>
      <c r="F26" s="1401" t="s">
        <v>207</v>
      </c>
      <c r="G26" s="1401" t="s">
        <v>133</v>
      </c>
      <c r="H26" s="1401" t="s">
        <v>103</v>
      </c>
      <c r="I26" s="1402"/>
      <c r="J26" s="1402"/>
      <c r="K26" s="1402"/>
      <c r="L26" s="1402"/>
      <c r="M26" s="1402"/>
      <c r="N26" s="1402"/>
      <c r="O26" s="1402"/>
      <c r="P26" s="1402"/>
      <c r="Q26" s="1402"/>
      <c r="R26" s="1402"/>
      <c r="S26" s="1402"/>
      <c r="T26" s="1402"/>
      <c r="U26" s="1402"/>
      <c r="V26" s="1402"/>
      <c r="W26" s="1402"/>
      <c r="X26" s="1402"/>
      <c r="Y26" s="1402"/>
      <c r="Z26" s="1409"/>
    </row>
    <row r="27" spans="1:26" s="22" customFormat="1" ht="37.950000000000003" customHeight="1" x14ac:dyDescent="0.3">
      <c r="A27" s="1044" t="s">
        <v>208</v>
      </c>
      <c r="B27" s="1416">
        <v>0.85</v>
      </c>
      <c r="C27" s="114" t="s">
        <v>147</v>
      </c>
      <c r="D27" s="113" t="s">
        <v>209</v>
      </c>
      <c r="E27" s="113" t="s">
        <v>210</v>
      </c>
      <c r="F27" s="113" t="s">
        <v>211</v>
      </c>
      <c r="G27" s="113" t="s">
        <v>133</v>
      </c>
      <c r="H27" s="113" t="s">
        <v>103</v>
      </c>
      <c r="I27" s="115"/>
      <c r="J27" s="115"/>
      <c r="K27" s="115"/>
      <c r="L27" s="115"/>
      <c r="M27" s="115"/>
      <c r="N27" s="115"/>
      <c r="O27" s="115"/>
      <c r="P27" s="115"/>
      <c r="Q27" s="115"/>
      <c r="R27" s="115"/>
      <c r="S27" s="115"/>
      <c r="T27" s="115"/>
      <c r="U27" s="115"/>
      <c r="V27" s="115"/>
      <c r="W27" s="115"/>
      <c r="X27" s="115"/>
      <c r="Y27" s="115"/>
      <c r="Z27" s="1408"/>
    </row>
    <row r="28" spans="1:26" s="22" customFormat="1" ht="37.950000000000003" customHeight="1" x14ac:dyDescent="0.3">
      <c r="A28" s="1516" t="s">
        <v>212</v>
      </c>
      <c r="B28" s="1417">
        <v>0.7</v>
      </c>
      <c r="C28" s="1024" t="s">
        <v>147</v>
      </c>
      <c r="D28" s="1401" t="s">
        <v>213</v>
      </c>
      <c r="E28" s="1401" t="s">
        <v>214</v>
      </c>
      <c r="F28" s="1401" t="s">
        <v>211</v>
      </c>
      <c r="G28" s="1401" t="s">
        <v>133</v>
      </c>
      <c r="H28" s="1401" t="s">
        <v>103</v>
      </c>
      <c r="I28" s="1402"/>
      <c r="J28" s="1402"/>
      <c r="K28" s="1402"/>
      <c r="L28" s="1402"/>
      <c r="M28" s="1402"/>
      <c r="N28" s="1402"/>
      <c r="O28" s="1402"/>
      <c r="P28" s="1402"/>
      <c r="Q28" s="1402"/>
      <c r="R28" s="1402"/>
      <c r="S28" s="1402"/>
      <c r="T28" s="1402"/>
      <c r="U28" s="1402"/>
      <c r="V28" s="1402"/>
      <c r="W28" s="1402"/>
      <c r="X28" s="1402"/>
      <c r="Y28" s="1402"/>
      <c r="Z28" s="1409"/>
    </row>
    <row r="29" spans="1:26" s="22" customFormat="1" ht="37.950000000000003" customHeight="1" x14ac:dyDescent="0.3">
      <c r="A29" s="1044" t="s">
        <v>215</v>
      </c>
      <c r="B29" s="1416">
        <v>0.6</v>
      </c>
      <c r="C29" s="114" t="s">
        <v>147</v>
      </c>
      <c r="D29" s="113" t="s">
        <v>216</v>
      </c>
      <c r="E29" s="113" t="s">
        <v>210</v>
      </c>
      <c r="F29" s="113" t="s">
        <v>211</v>
      </c>
      <c r="G29" s="113" t="s">
        <v>133</v>
      </c>
      <c r="H29" s="113" t="s">
        <v>103</v>
      </c>
      <c r="I29" s="115"/>
      <c r="J29" s="115"/>
      <c r="K29" s="115"/>
      <c r="L29" s="115"/>
      <c r="M29" s="115"/>
      <c r="N29" s="115"/>
      <c r="O29" s="115"/>
      <c r="P29" s="115"/>
      <c r="Q29" s="115"/>
      <c r="R29" s="115"/>
      <c r="S29" s="115"/>
      <c r="T29" s="115"/>
      <c r="U29" s="115"/>
      <c r="V29" s="115"/>
      <c r="W29" s="115"/>
      <c r="X29" s="115"/>
      <c r="Y29" s="115"/>
      <c r="Z29" s="1408"/>
    </row>
    <row r="30" spans="1:26" s="22" customFormat="1" ht="37.950000000000003" customHeight="1" x14ac:dyDescent="0.3">
      <c r="A30" s="1516" t="s">
        <v>217</v>
      </c>
      <c r="B30" s="1417">
        <v>0</v>
      </c>
      <c r="C30" s="1024" t="s">
        <v>147</v>
      </c>
      <c r="D30" s="1401" t="s">
        <v>218</v>
      </c>
      <c r="E30" s="1401" t="s">
        <v>219</v>
      </c>
      <c r="F30" s="1401" t="s">
        <v>211</v>
      </c>
      <c r="G30" s="1401" t="s">
        <v>133</v>
      </c>
      <c r="H30" s="1401" t="s">
        <v>103</v>
      </c>
      <c r="I30" s="1402"/>
      <c r="J30" s="1402"/>
      <c r="K30" s="1402"/>
      <c r="L30" s="1402"/>
      <c r="M30" s="1402"/>
      <c r="N30" s="1402"/>
      <c r="O30" s="1402"/>
      <c r="P30" s="1402"/>
      <c r="Q30" s="1402"/>
      <c r="R30" s="1402"/>
      <c r="S30" s="1402"/>
      <c r="T30" s="1402"/>
      <c r="U30" s="1402"/>
      <c r="V30" s="1402"/>
      <c r="W30" s="1402"/>
      <c r="X30" s="1402"/>
      <c r="Y30" s="1402"/>
      <c r="Z30" s="1409"/>
    </row>
    <row r="31" spans="1:26" ht="18" customHeight="1" x14ac:dyDescent="0.3">
      <c r="A31" s="1393"/>
      <c r="B31" s="1419"/>
      <c r="C31" s="121"/>
      <c r="D31" s="120"/>
      <c r="E31" s="120"/>
      <c r="F31" s="120"/>
      <c r="G31" s="120"/>
      <c r="H31" s="120"/>
      <c r="I31" s="120"/>
      <c r="J31" s="120"/>
      <c r="K31" s="120"/>
      <c r="L31" s="120"/>
      <c r="M31" s="120"/>
      <c r="N31" s="120"/>
      <c r="O31" s="120"/>
      <c r="P31" s="120"/>
      <c r="Q31" s="120"/>
      <c r="R31" s="120"/>
      <c r="S31" s="120"/>
      <c r="T31" s="120"/>
      <c r="U31" s="120"/>
      <c r="V31" s="120"/>
      <c r="W31" s="120"/>
      <c r="X31" s="120"/>
      <c r="Y31" s="120"/>
      <c r="Z31" s="1411"/>
    </row>
    <row r="32" spans="1:26" ht="42" customHeight="1" x14ac:dyDescent="0.3">
      <c r="A32" s="1665" t="s">
        <v>220</v>
      </c>
      <c r="B32" s="1668"/>
      <c r="C32" s="1669"/>
      <c r="D32" s="1670"/>
      <c r="E32" s="1670"/>
      <c r="F32" s="1670"/>
      <c r="G32" s="1670"/>
      <c r="H32" s="1670"/>
      <c r="I32" s="1405"/>
      <c r="J32" s="1405"/>
      <c r="K32" s="1405"/>
      <c r="L32" s="1405"/>
      <c r="M32" s="1405"/>
      <c r="N32" s="1405"/>
      <c r="O32" s="1405"/>
      <c r="P32" s="1405"/>
      <c r="Q32" s="1405"/>
      <c r="R32" s="1405"/>
      <c r="S32" s="1405"/>
      <c r="T32" s="1405"/>
      <c r="U32" s="1405"/>
      <c r="V32" s="1405"/>
      <c r="W32" s="1405"/>
      <c r="X32" s="1405"/>
      <c r="Y32" s="1405"/>
      <c r="Z32" s="1410"/>
    </row>
    <row r="33" spans="1:26" ht="28.05" customHeight="1" x14ac:dyDescent="0.3">
      <c r="A33" s="1422" t="s">
        <v>221</v>
      </c>
      <c r="B33" s="1421">
        <v>6</v>
      </c>
      <c r="C33" s="123" t="s">
        <v>147</v>
      </c>
      <c r="D33" s="1569" t="s">
        <v>222</v>
      </c>
      <c r="E33" s="122" t="s">
        <v>223</v>
      </c>
      <c r="F33" s="122" t="s">
        <v>224</v>
      </c>
      <c r="G33" s="122" t="s">
        <v>133</v>
      </c>
      <c r="H33" s="122" t="s">
        <v>225</v>
      </c>
      <c r="I33" s="120"/>
      <c r="J33" s="120"/>
      <c r="K33" s="120"/>
      <c r="L33" s="120"/>
      <c r="M33" s="120"/>
      <c r="N33" s="120"/>
      <c r="O33" s="120"/>
      <c r="P33" s="120"/>
      <c r="Q33" s="120"/>
      <c r="R33" s="120"/>
      <c r="S33" s="120"/>
      <c r="T33" s="120"/>
      <c r="U33" s="120"/>
      <c r="V33" s="120"/>
      <c r="W33" s="120"/>
      <c r="X33" s="120"/>
      <c r="Y33" s="120"/>
      <c r="Z33" s="1411"/>
    </row>
    <row r="34" spans="1:26" ht="42" customHeight="1" x14ac:dyDescent="0.3">
      <c r="A34" s="1516" t="s">
        <v>226</v>
      </c>
      <c r="B34" s="1412" t="s">
        <v>227</v>
      </c>
      <c r="C34" s="1024" t="s">
        <v>185</v>
      </c>
      <c r="D34" s="1401" t="s">
        <v>228</v>
      </c>
      <c r="E34" s="1401" t="s">
        <v>223</v>
      </c>
      <c r="F34" s="1401" t="s">
        <v>229</v>
      </c>
      <c r="G34" s="1401" t="s">
        <v>133</v>
      </c>
      <c r="H34" s="1401" t="s">
        <v>134</v>
      </c>
      <c r="I34" s="1405"/>
      <c r="J34" s="1405"/>
      <c r="K34" s="1405"/>
      <c r="L34" s="1405"/>
      <c r="M34" s="1405"/>
      <c r="N34" s="1405"/>
      <c r="O34" s="1405"/>
      <c r="P34" s="1405"/>
      <c r="Q34" s="1405"/>
      <c r="R34" s="1405"/>
      <c r="S34" s="1405"/>
      <c r="T34" s="1405"/>
      <c r="U34" s="1405"/>
      <c r="V34" s="1405"/>
      <c r="W34" s="1405"/>
      <c r="X34" s="1405"/>
      <c r="Y34" s="1405"/>
      <c r="Z34" s="1410"/>
    </row>
    <row r="35" spans="1:26" ht="28.05" customHeight="1" x14ac:dyDescent="0.3">
      <c r="A35" s="1422" t="s">
        <v>230</v>
      </c>
      <c r="B35" s="1421" t="s">
        <v>231</v>
      </c>
      <c r="C35" s="123" t="s">
        <v>147</v>
      </c>
      <c r="D35" s="113" t="s">
        <v>232</v>
      </c>
      <c r="E35" s="122" t="s">
        <v>233</v>
      </c>
      <c r="F35" s="122" t="s">
        <v>234</v>
      </c>
      <c r="G35" s="122" t="s">
        <v>133</v>
      </c>
      <c r="H35" s="122" t="s">
        <v>202</v>
      </c>
      <c r="I35" s="120"/>
      <c r="J35" s="120"/>
      <c r="K35" s="120"/>
      <c r="L35" s="120"/>
      <c r="M35" s="120"/>
      <c r="N35" s="120"/>
      <c r="O35" s="120"/>
      <c r="P35" s="120"/>
      <c r="Q35" s="120"/>
      <c r="R35" s="120"/>
      <c r="S35" s="120"/>
      <c r="T35" s="120"/>
      <c r="U35" s="120"/>
      <c r="V35" s="120"/>
      <c r="W35" s="120"/>
      <c r="X35" s="120"/>
      <c r="Y35" s="120"/>
      <c r="Z35" s="1411"/>
    </row>
    <row r="36" spans="1:26" ht="28.05" customHeight="1" x14ac:dyDescent="0.3">
      <c r="A36" s="1570" t="s">
        <v>235</v>
      </c>
      <c r="B36" s="1420" t="s">
        <v>236</v>
      </c>
      <c r="C36" s="315" t="s">
        <v>185</v>
      </c>
      <c r="D36" s="1401" t="s">
        <v>237</v>
      </c>
      <c r="E36" s="1407" t="s">
        <v>238</v>
      </c>
      <c r="F36" s="1407" t="s">
        <v>239</v>
      </c>
      <c r="G36" s="1407" t="s">
        <v>133</v>
      </c>
      <c r="H36" s="1407" t="s">
        <v>197</v>
      </c>
      <c r="I36" s="1405"/>
      <c r="J36" s="1405"/>
      <c r="K36" s="1405"/>
      <c r="L36" s="1405"/>
      <c r="M36" s="1405"/>
      <c r="N36" s="1405"/>
      <c r="O36" s="1405"/>
      <c r="P36" s="1405"/>
      <c r="Q36" s="1405"/>
      <c r="R36" s="1405"/>
      <c r="S36" s="1405"/>
      <c r="T36" s="1405"/>
      <c r="U36" s="1405"/>
      <c r="V36" s="1405"/>
      <c r="W36" s="1405"/>
      <c r="X36" s="1405"/>
      <c r="Y36" s="1405"/>
      <c r="Z36" s="1410"/>
    </row>
    <row r="37" spans="1:26" ht="18" customHeight="1" x14ac:dyDescent="0.3">
      <c r="A37" s="1422" t="s">
        <v>240</v>
      </c>
      <c r="B37" s="1421" t="s">
        <v>241</v>
      </c>
      <c r="C37" s="123" t="s">
        <v>147</v>
      </c>
      <c r="D37" s="122" t="s">
        <v>242</v>
      </c>
      <c r="E37" s="122" t="s">
        <v>238</v>
      </c>
      <c r="F37" s="122" t="s">
        <v>239</v>
      </c>
      <c r="G37" s="122" t="s">
        <v>133</v>
      </c>
      <c r="H37" s="122" t="s">
        <v>103</v>
      </c>
      <c r="I37" s="120"/>
      <c r="J37" s="120"/>
      <c r="K37" s="120"/>
      <c r="L37" s="120"/>
      <c r="M37" s="120"/>
      <c r="N37" s="120"/>
      <c r="O37" s="120"/>
      <c r="P37" s="120"/>
      <c r="Q37" s="120"/>
      <c r="R37" s="120"/>
      <c r="S37" s="120"/>
      <c r="T37" s="120"/>
      <c r="U37" s="120"/>
      <c r="V37" s="120"/>
      <c r="W37" s="120"/>
      <c r="X37" s="120"/>
      <c r="Y37" s="120"/>
      <c r="Z37" s="1411"/>
    </row>
    <row r="38" spans="1:26" ht="18" customHeight="1" x14ac:dyDescent="0.3">
      <c r="A38" s="1571"/>
      <c r="B38" s="1418"/>
      <c r="C38" s="1406"/>
      <c r="D38" s="1405"/>
      <c r="E38" s="1405"/>
      <c r="F38" s="1405"/>
      <c r="G38" s="1405"/>
      <c r="H38" s="1405"/>
      <c r="I38" s="1405"/>
      <c r="J38" s="1405"/>
      <c r="K38" s="1405"/>
      <c r="L38" s="1405"/>
      <c r="M38" s="1405"/>
      <c r="N38" s="1405"/>
      <c r="O38" s="1405"/>
      <c r="P38" s="1405"/>
      <c r="Q38" s="1405"/>
      <c r="R38" s="1405"/>
      <c r="S38" s="1405"/>
      <c r="T38" s="1405"/>
      <c r="U38" s="1405"/>
      <c r="V38" s="1405"/>
      <c r="W38" s="1405"/>
      <c r="X38" s="1405"/>
      <c r="Y38" s="1405"/>
      <c r="Z38" s="1410"/>
    </row>
    <row r="39" spans="1:26" ht="42" customHeight="1" x14ac:dyDescent="0.3">
      <c r="A39" s="1659" t="s">
        <v>243</v>
      </c>
      <c r="B39" s="1660"/>
      <c r="C39" s="1661"/>
      <c r="D39" s="1662"/>
      <c r="E39" s="1662"/>
      <c r="F39" s="1662"/>
      <c r="G39" s="1662"/>
      <c r="H39" s="1662"/>
      <c r="I39" s="120"/>
      <c r="J39" s="120"/>
      <c r="K39" s="120"/>
      <c r="L39" s="120"/>
      <c r="M39" s="120"/>
      <c r="N39" s="120"/>
      <c r="O39" s="120"/>
      <c r="P39" s="120"/>
      <c r="Q39" s="120"/>
      <c r="R39" s="120"/>
      <c r="S39" s="120"/>
      <c r="T39" s="120"/>
      <c r="U39" s="120"/>
      <c r="V39" s="120"/>
      <c r="W39" s="120"/>
      <c r="X39" s="120"/>
      <c r="Y39" s="120"/>
      <c r="Z39" s="1411"/>
    </row>
    <row r="40" spans="1:26" ht="42" customHeight="1" x14ac:dyDescent="0.3">
      <c r="A40" s="1516" t="s">
        <v>244</v>
      </c>
      <c r="B40" s="1414"/>
      <c r="C40" s="1075" t="s">
        <v>245</v>
      </c>
      <c r="D40" s="1403" t="s">
        <v>246</v>
      </c>
      <c r="E40" s="1403" t="s">
        <v>247</v>
      </c>
      <c r="F40" s="1403" t="s">
        <v>248</v>
      </c>
      <c r="G40" s="1403" t="s">
        <v>249</v>
      </c>
      <c r="H40" s="1403"/>
      <c r="I40" s="1405"/>
      <c r="J40" s="1405"/>
      <c r="K40" s="1405"/>
      <c r="L40" s="1405"/>
      <c r="M40" s="1405"/>
      <c r="N40" s="1405"/>
      <c r="O40" s="1405"/>
      <c r="P40" s="1405"/>
      <c r="Q40" s="1405"/>
      <c r="R40" s="1405"/>
      <c r="S40" s="1405"/>
      <c r="T40" s="1405"/>
      <c r="U40" s="1405"/>
      <c r="V40" s="1405"/>
      <c r="W40" s="1405"/>
      <c r="X40" s="1405"/>
      <c r="Y40" s="1405"/>
      <c r="Z40" s="1410"/>
    </row>
    <row r="41" spans="1:26" ht="42" customHeight="1" x14ac:dyDescent="0.3">
      <c r="A41" s="1044" t="s">
        <v>250</v>
      </c>
      <c r="B41" s="1415"/>
      <c r="C41" s="117" t="s">
        <v>251</v>
      </c>
      <c r="D41" s="118" t="s">
        <v>252</v>
      </c>
      <c r="E41" s="118" t="s">
        <v>253</v>
      </c>
      <c r="F41" s="118" t="s">
        <v>248</v>
      </c>
      <c r="G41" s="118" t="s">
        <v>254</v>
      </c>
      <c r="H41" s="118"/>
      <c r="I41" s="120"/>
      <c r="J41" s="120"/>
      <c r="K41" s="120"/>
      <c r="L41" s="120"/>
      <c r="M41" s="120"/>
      <c r="N41" s="120"/>
      <c r="O41" s="120"/>
      <c r="P41" s="120"/>
      <c r="Q41" s="120"/>
      <c r="R41" s="120"/>
      <c r="S41" s="120"/>
      <c r="T41" s="120"/>
      <c r="U41" s="120"/>
      <c r="V41" s="120"/>
      <c r="W41" s="120"/>
      <c r="X41" s="120"/>
      <c r="Y41" s="120"/>
      <c r="Z41" s="1411"/>
    </row>
    <row r="42" spans="1:26" ht="42" customHeight="1" x14ac:dyDescent="0.3">
      <c r="A42" s="1516" t="s">
        <v>255</v>
      </c>
      <c r="B42" s="1414"/>
      <c r="C42" s="1075" t="s">
        <v>245</v>
      </c>
      <c r="D42" s="1403" t="s">
        <v>256</v>
      </c>
      <c r="E42" s="1403" t="s">
        <v>257</v>
      </c>
      <c r="F42" s="1403" t="s">
        <v>248</v>
      </c>
      <c r="G42" s="1403" t="s">
        <v>134</v>
      </c>
      <c r="H42" s="1403"/>
      <c r="I42" s="1405"/>
      <c r="J42" s="1405"/>
      <c r="K42" s="1405"/>
      <c r="L42" s="1405"/>
      <c r="M42" s="1405"/>
      <c r="N42" s="1405"/>
      <c r="O42" s="1405"/>
      <c r="P42" s="1405"/>
      <c r="Q42" s="1405"/>
      <c r="R42" s="1405"/>
      <c r="S42" s="1405"/>
      <c r="T42" s="1405"/>
      <c r="U42" s="1405"/>
      <c r="V42" s="1405"/>
      <c r="W42" s="1405"/>
      <c r="X42" s="1405"/>
      <c r="Y42" s="1405"/>
      <c r="Z42" s="1410"/>
    </row>
    <row r="43" spans="1:26" ht="42" customHeight="1" x14ac:dyDescent="0.3">
      <c r="A43" s="1044" t="s">
        <v>258</v>
      </c>
      <c r="B43" s="1415"/>
      <c r="C43" s="117" t="s">
        <v>245</v>
      </c>
      <c r="D43" s="118" t="s">
        <v>259</v>
      </c>
      <c r="E43" s="118" t="s">
        <v>260</v>
      </c>
      <c r="F43" s="118" t="s">
        <v>248</v>
      </c>
      <c r="G43" s="118" t="s">
        <v>202</v>
      </c>
      <c r="H43" s="118"/>
      <c r="I43" s="120"/>
      <c r="J43" s="120"/>
      <c r="K43" s="120"/>
      <c r="L43" s="120"/>
      <c r="M43" s="120"/>
      <c r="N43" s="120"/>
      <c r="O43" s="120"/>
      <c r="P43" s="120"/>
      <c r="Q43" s="120"/>
      <c r="R43" s="120"/>
      <c r="S43" s="120"/>
      <c r="T43" s="120"/>
      <c r="U43" s="120"/>
      <c r="V43" s="120"/>
      <c r="W43" s="120"/>
      <c r="X43" s="120"/>
      <c r="Y43" s="120"/>
      <c r="Z43" s="1411"/>
    </row>
    <row r="44" spans="1:26" ht="42" customHeight="1" x14ac:dyDescent="0.3">
      <c r="A44" s="1516" t="s">
        <v>261</v>
      </c>
      <c r="B44" s="1414"/>
      <c r="C44" s="1075" t="s">
        <v>251</v>
      </c>
      <c r="D44" s="1403" t="s">
        <v>262</v>
      </c>
      <c r="E44" s="1403" t="s">
        <v>263</v>
      </c>
      <c r="F44" s="1403" t="s">
        <v>264</v>
      </c>
      <c r="G44" s="1403" t="s">
        <v>197</v>
      </c>
      <c r="H44" s="1403"/>
      <c r="I44" s="1405"/>
      <c r="J44" s="1405"/>
      <c r="K44" s="1405"/>
      <c r="L44" s="1405"/>
      <c r="M44" s="1405"/>
      <c r="N44" s="1405"/>
      <c r="O44" s="1405"/>
      <c r="P44" s="1405"/>
      <c r="Q44" s="1405"/>
      <c r="R44" s="1405"/>
      <c r="S44" s="1405"/>
      <c r="T44" s="1405"/>
      <c r="U44" s="1405"/>
      <c r="V44" s="1405"/>
      <c r="W44" s="1405"/>
      <c r="X44" s="1405"/>
      <c r="Y44" s="1405"/>
      <c r="Z44" s="1410"/>
    </row>
    <row r="45" spans="1:26" ht="28.05" customHeight="1" x14ac:dyDescent="0.3">
      <c r="A45" s="1044" t="s">
        <v>265</v>
      </c>
      <c r="B45" s="1415"/>
      <c r="C45" s="117" t="s">
        <v>251</v>
      </c>
      <c r="D45" s="118" t="s">
        <v>266</v>
      </c>
      <c r="E45" s="118" t="s">
        <v>253</v>
      </c>
      <c r="F45" s="118" t="s">
        <v>264</v>
      </c>
      <c r="G45" s="118" t="s">
        <v>197</v>
      </c>
      <c r="H45" s="118"/>
      <c r="I45" s="120"/>
      <c r="J45" s="120"/>
      <c r="K45" s="120"/>
      <c r="L45" s="120"/>
      <c r="M45" s="120"/>
      <c r="N45" s="120"/>
      <c r="O45" s="120"/>
      <c r="P45" s="120"/>
      <c r="Q45" s="120"/>
      <c r="R45" s="120"/>
      <c r="S45" s="120"/>
      <c r="T45" s="120"/>
      <c r="U45" s="120"/>
      <c r="V45" s="120"/>
      <c r="W45" s="120"/>
      <c r="X45" s="120"/>
      <c r="Y45" s="120"/>
      <c r="Z45" s="1411"/>
    </row>
    <row r="46" spans="1:26" ht="42" customHeight="1" x14ac:dyDescent="0.3">
      <c r="A46" s="1516" t="s">
        <v>267</v>
      </c>
      <c r="B46" s="1414" t="s">
        <v>268</v>
      </c>
      <c r="C46" s="1075" t="s">
        <v>103</v>
      </c>
      <c r="D46" s="1403" t="s">
        <v>269</v>
      </c>
      <c r="E46" s="1403" t="s">
        <v>270</v>
      </c>
      <c r="F46" s="1403" t="s">
        <v>103</v>
      </c>
      <c r="G46" s="1403" t="s">
        <v>103</v>
      </c>
      <c r="H46" s="1403"/>
      <c r="I46" s="1405"/>
      <c r="J46" s="1405"/>
      <c r="K46" s="1405"/>
      <c r="L46" s="1405"/>
      <c r="M46" s="1405"/>
      <c r="N46" s="1405"/>
      <c r="O46" s="1405"/>
      <c r="P46" s="1405"/>
      <c r="Q46" s="1405"/>
      <c r="R46" s="1405"/>
      <c r="S46" s="1405"/>
      <c r="T46" s="1405"/>
      <c r="U46" s="1405"/>
      <c r="V46" s="1405"/>
      <c r="W46" s="1405"/>
      <c r="X46" s="1405"/>
      <c r="Y46" s="1405"/>
      <c r="Z46" s="1410"/>
    </row>
    <row r="47" spans="1:26" ht="42" customHeight="1" x14ac:dyDescent="0.3">
      <c r="A47" s="1044" t="s">
        <v>271</v>
      </c>
      <c r="B47" s="1415" t="s">
        <v>268</v>
      </c>
      <c r="C47" s="117" t="s">
        <v>103</v>
      </c>
      <c r="D47" s="118" t="s">
        <v>272</v>
      </c>
      <c r="E47" s="118" t="s">
        <v>273</v>
      </c>
      <c r="F47" s="118" t="s">
        <v>103</v>
      </c>
      <c r="G47" s="118" t="s">
        <v>103</v>
      </c>
      <c r="H47" s="118"/>
      <c r="I47" s="120"/>
      <c r="J47" s="120"/>
      <c r="K47" s="120"/>
      <c r="L47" s="120"/>
      <c r="M47" s="120"/>
      <c r="N47" s="120"/>
      <c r="O47" s="120"/>
      <c r="P47" s="120"/>
      <c r="Q47" s="120"/>
      <c r="R47" s="120"/>
      <c r="S47" s="120"/>
      <c r="T47" s="120"/>
      <c r="U47" s="120"/>
      <c r="V47" s="120"/>
      <c r="W47" s="120"/>
      <c r="X47" s="120"/>
      <c r="Y47" s="120"/>
      <c r="Z47" s="1411"/>
    </row>
    <row r="48" spans="1:26" ht="28.05" customHeight="1" x14ac:dyDescent="0.3">
      <c r="A48" s="1516" t="s">
        <v>274</v>
      </c>
      <c r="B48" s="1414" t="s">
        <v>268</v>
      </c>
      <c r="C48" s="1075" t="s">
        <v>103</v>
      </c>
      <c r="D48" s="1403" t="s">
        <v>275</v>
      </c>
      <c r="E48" s="1403" t="s">
        <v>109</v>
      </c>
      <c r="F48" s="1403" t="s">
        <v>103</v>
      </c>
      <c r="G48" s="1403" t="s">
        <v>103</v>
      </c>
      <c r="H48" s="1403"/>
      <c r="I48" s="1405"/>
      <c r="J48" s="1405"/>
      <c r="K48" s="1405"/>
      <c r="L48" s="1405"/>
      <c r="M48" s="1405"/>
      <c r="N48" s="1405"/>
      <c r="O48" s="1405"/>
      <c r="P48" s="1405"/>
      <c r="Q48" s="1405"/>
      <c r="R48" s="1405"/>
      <c r="S48" s="1405"/>
      <c r="T48" s="1405"/>
      <c r="U48" s="1405"/>
      <c r="V48" s="1405"/>
      <c r="W48" s="1405"/>
      <c r="X48" s="1405"/>
      <c r="Y48" s="1405"/>
      <c r="Z48" s="1410"/>
    </row>
    <row r="49" spans="1:26" ht="28.05" customHeight="1" x14ac:dyDescent="0.3">
      <c r="A49" s="1044" t="s">
        <v>276</v>
      </c>
      <c r="B49" s="1415" t="s">
        <v>268</v>
      </c>
      <c r="C49" s="117" t="s">
        <v>103</v>
      </c>
      <c r="D49" s="118" t="s">
        <v>277</v>
      </c>
      <c r="E49" s="118" t="s">
        <v>260</v>
      </c>
      <c r="F49" s="118" t="s">
        <v>103</v>
      </c>
      <c r="G49" s="118" t="s">
        <v>103</v>
      </c>
      <c r="H49" s="118"/>
      <c r="I49" s="120"/>
      <c r="J49" s="120"/>
      <c r="K49" s="120"/>
      <c r="L49" s="120"/>
      <c r="M49" s="120"/>
      <c r="N49" s="120"/>
      <c r="O49" s="120"/>
      <c r="P49" s="120"/>
      <c r="Q49" s="120"/>
      <c r="R49" s="120"/>
      <c r="S49" s="120"/>
      <c r="T49" s="120"/>
      <c r="U49" s="120"/>
      <c r="V49" s="120"/>
      <c r="W49" s="120"/>
      <c r="X49" s="120"/>
      <c r="Y49" s="120"/>
      <c r="Z49" s="1411"/>
    </row>
    <row r="50" spans="1:26" ht="42" customHeight="1" thickBot="1" x14ac:dyDescent="0.35">
      <c r="A50" s="1577" t="s">
        <v>278</v>
      </c>
      <c r="B50" s="1572" t="s">
        <v>268</v>
      </c>
      <c r="C50" s="1573" t="s">
        <v>103</v>
      </c>
      <c r="D50" s="1574" t="s">
        <v>279</v>
      </c>
      <c r="E50" s="1574" t="s">
        <v>273</v>
      </c>
      <c r="F50" s="1574" t="s">
        <v>103</v>
      </c>
      <c r="G50" s="1574" t="s">
        <v>103</v>
      </c>
      <c r="H50" s="1574"/>
      <c r="I50" s="1575"/>
      <c r="J50" s="1575"/>
      <c r="K50" s="1575"/>
      <c r="L50" s="1575"/>
      <c r="M50" s="1575"/>
      <c r="N50" s="1575"/>
      <c r="O50" s="1575"/>
      <c r="P50" s="1575"/>
      <c r="Q50" s="1575"/>
      <c r="R50" s="1575"/>
      <c r="S50" s="1575"/>
      <c r="T50" s="1575"/>
      <c r="U50" s="1575"/>
      <c r="V50" s="1575"/>
      <c r="W50" s="1575"/>
      <c r="X50" s="1575"/>
      <c r="Y50" s="1575"/>
      <c r="Z50" s="1576"/>
    </row>
    <row r="51" spans="1:26" ht="15.6" thickTop="1" x14ac:dyDescent="0.3"/>
  </sheetData>
  <mergeCells count="7">
    <mergeCell ref="A1:Z1"/>
    <mergeCell ref="A3:H3"/>
    <mergeCell ref="A39:H39"/>
    <mergeCell ref="A25:H25"/>
    <mergeCell ref="A14:H14"/>
    <mergeCell ref="A32:H32"/>
    <mergeCell ref="A4:Z4"/>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8CCE4"/>
  </sheetPr>
  <dimension ref="A1:Z66"/>
  <sheetViews>
    <sheetView showGridLines="0" zoomScale="91" zoomScaleNormal="91" workbookViewId="0">
      <pane ySplit="3" topLeftCell="A8" activePane="bottomLeft" state="frozen"/>
      <selection pane="bottomLeft" sqref="A1:Z1"/>
    </sheetView>
  </sheetViews>
  <sheetFormatPr baseColWidth="10" defaultRowHeight="14.4" x14ac:dyDescent="0.3"/>
  <cols>
    <col min="1" max="1" width="5.21875" style="4" customWidth="1"/>
    <col min="2" max="2" width="32.44140625" style="4" bestFit="1" customWidth="1"/>
    <col min="3" max="3" width="44.109375" style="4" bestFit="1" customWidth="1"/>
    <col min="4" max="4" width="77.33203125" style="4" bestFit="1" customWidth="1"/>
    <col min="5" max="5" width="23.109375" style="4" bestFit="1" customWidth="1"/>
    <col min="6" max="6" width="29.6640625" style="4" bestFit="1" customWidth="1"/>
    <col min="7" max="8" width="11.5546875" style="4" customWidth="1"/>
    <col min="9" max="25" width="11.5546875" style="4"/>
    <col min="26" max="26" width="10" style="4" bestFit="1" customWidth="1"/>
    <col min="27" max="16384" width="11.5546875" style="4"/>
  </cols>
  <sheetData>
    <row r="1" spans="1:26" ht="25.95" customHeight="1" x14ac:dyDescent="0.3">
      <c r="A1" s="1920" t="s">
        <v>4776</v>
      </c>
      <c r="B1" s="1691"/>
      <c r="C1" s="1691"/>
      <c r="D1" s="1691"/>
      <c r="E1" s="1691"/>
      <c r="F1" s="1691"/>
      <c r="G1" s="1691"/>
      <c r="H1" s="1691"/>
      <c r="I1" s="1691"/>
      <c r="J1" s="1691"/>
      <c r="K1" s="1691"/>
      <c r="L1" s="1691"/>
      <c r="M1" s="1691"/>
      <c r="N1" s="1691"/>
      <c r="O1" s="1691"/>
      <c r="P1" s="1691"/>
      <c r="Q1" s="1691"/>
      <c r="R1" s="1691"/>
      <c r="S1" s="1691"/>
      <c r="T1" s="1691"/>
      <c r="U1" s="1691"/>
      <c r="V1" s="1691"/>
      <c r="W1" s="1691"/>
      <c r="X1" s="1691"/>
      <c r="Y1" s="1691"/>
      <c r="Z1" s="1691"/>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473"/>
      <c r="N2" s="473"/>
      <c r="O2" s="473"/>
      <c r="P2" s="473"/>
      <c r="Q2" s="473"/>
      <c r="R2" s="473"/>
      <c r="S2" s="473"/>
      <c r="T2" s="473"/>
      <c r="U2" s="473"/>
      <c r="V2" s="473"/>
      <c r="W2" s="473"/>
      <c r="X2" s="473"/>
      <c r="Y2" s="473"/>
      <c r="Z2" s="473"/>
    </row>
    <row r="3" spans="1:26" ht="16.05" customHeight="1" thickBot="1" x14ac:dyDescent="0.35">
      <c r="A3" s="1657" t="s">
        <v>4056</v>
      </c>
      <c r="B3" s="1658"/>
      <c r="C3" s="1658"/>
      <c r="D3" s="1658"/>
      <c r="E3" s="1658"/>
      <c r="F3" s="1658"/>
      <c r="G3" s="578"/>
      <c r="H3" s="578"/>
      <c r="I3" s="578"/>
      <c r="J3" s="578"/>
      <c r="K3" s="931"/>
      <c r="L3" s="931"/>
      <c r="M3" s="931"/>
      <c r="N3" s="931"/>
      <c r="O3" s="931"/>
      <c r="P3" s="931"/>
      <c r="Q3" s="931"/>
      <c r="R3" s="931"/>
      <c r="S3" s="931"/>
      <c r="T3" s="931"/>
      <c r="U3" s="931"/>
      <c r="V3" s="931"/>
      <c r="W3" s="931"/>
      <c r="X3" s="931"/>
      <c r="Y3" s="931"/>
      <c r="Z3" s="931"/>
    </row>
    <row r="4" spans="1:26" ht="19.95" customHeight="1" thickTop="1" x14ac:dyDescent="0.3">
      <c r="A4" s="1684" t="s">
        <v>4049</v>
      </c>
      <c r="B4" s="1685"/>
      <c r="C4" s="1685"/>
      <c r="D4" s="1685"/>
      <c r="E4" s="1685"/>
      <c r="F4" s="1686"/>
      <c r="G4" s="565"/>
      <c r="H4" s="565"/>
      <c r="I4" s="565"/>
      <c r="J4" s="565"/>
      <c r="K4" s="565"/>
      <c r="L4" s="565"/>
      <c r="M4" s="565"/>
      <c r="N4" s="565"/>
      <c r="O4" s="565"/>
      <c r="P4" s="565"/>
      <c r="Q4" s="565"/>
      <c r="R4" s="565"/>
      <c r="S4" s="565"/>
      <c r="T4" s="565"/>
      <c r="U4" s="565"/>
      <c r="V4" s="565"/>
      <c r="W4" s="565"/>
      <c r="X4" s="565"/>
      <c r="Y4" s="565"/>
      <c r="Z4" s="566"/>
    </row>
    <row r="5" spans="1:26" ht="18" customHeight="1" x14ac:dyDescent="0.3">
      <c r="A5" s="1681" t="s">
        <v>280</v>
      </c>
      <c r="B5" s="1682"/>
      <c r="C5" s="1682"/>
      <c r="D5" s="1682"/>
      <c r="E5" s="1682"/>
      <c r="F5" s="1696"/>
      <c r="G5" s="184"/>
      <c r="H5" s="184"/>
      <c r="I5" s="184"/>
      <c r="J5" s="184"/>
      <c r="K5" s="184"/>
      <c r="L5" s="184"/>
      <c r="M5" s="184"/>
      <c r="N5" s="184"/>
      <c r="O5" s="184"/>
      <c r="P5" s="184"/>
      <c r="Q5" s="184"/>
      <c r="R5" s="184"/>
      <c r="S5" s="184"/>
      <c r="T5" s="184"/>
      <c r="U5" s="184"/>
      <c r="V5" s="184"/>
      <c r="W5" s="184"/>
      <c r="X5" s="184"/>
      <c r="Y5" s="184"/>
      <c r="Z5" s="928"/>
    </row>
    <row r="6" spans="1:26" s="19" customFormat="1" ht="24" customHeight="1" x14ac:dyDescent="0.3">
      <c r="A6" s="1517" t="s">
        <v>281</v>
      </c>
      <c r="B6" s="1578">
        <v>1</v>
      </c>
      <c r="C6" s="1579" t="s">
        <v>282</v>
      </c>
      <c r="D6" s="1579" t="s">
        <v>283</v>
      </c>
      <c r="E6" s="537" t="s">
        <v>284</v>
      </c>
      <c r="F6" s="539"/>
      <c r="G6" s="144"/>
      <c r="H6" s="144"/>
      <c r="I6" s="144"/>
      <c r="J6" s="144"/>
      <c r="K6" s="144"/>
      <c r="L6" s="144"/>
      <c r="M6" s="144"/>
      <c r="N6" s="144"/>
      <c r="O6" s="144"/>
      <c r="P6" s="144"/>
      <c r="Q6" s="144"/>
      <c r="R6" s="144"/>
      <c r="S6" s="144"/>
      <c r="T6" s="144"/>
      <c r="U6" s="144"/>
      <c r="V6" s="144"/>
      <c r="W6" s="144"/>
      <c r="X6" s="144"/>
      <c r="Y6" s="144"/>
      <c r="Z6" s="929"/>
    </row>
    <row r="7" spans="1:26" s="19" customFormat="1" ht="24" customHeight="1" x14ac:dyDescent="0.3">
      <c r="A7" s="1045" t="s">
        <v>285</v>
      </c>
      <c r="B7" s="1580" t="str">
        <f>92.25&amp;" %"</f>
        <v>92,25 %</v>
      </c>
      <c r="C7" s="125" t="s">
        <v>286</v>
      </c>
      <c r="D7" s="113" t="s">
        <v>287</v>
      </c>
      <c r="E7" s="114"/>
      <c r="F7" s="1401"/>
      <c r="G7" s="189"/>
      <c r="H7" s="189"/>
      <c r="I7" s="189"/>
      <c r="J7" s="189"/>
      <c r="K7" s="189"/>
      <c r="L7" s="189"/>
      <c r="M7" s="189"/>
      <c r="N7" s="189"/>
      <c r="O7" s="189"/>
      <c r="P7" s="189"/>
      <c r="Q7" s="189"/>
      <c r="R7" s="189"/>
      <c r="S7" s="189"/>
      <c r="T7" s="189"/>
      <c r="U7" s="189"/>
      <c r="V7" s="189"/>
      <c r="W7" s="189"/>
      <c r="X7" s="189"/>
      <c r="Y7" s="189"/>
      <c r="Z7" s="930"/>
    </row>
    <row r="8" spans="1:26" s="19" customFormat="1" ht="24" customHeight="1" x14ac:dyDescent="0.3">
      <c r="A8" s="1517" t="s">
        <v>288</v>
      </c>
      <c r="B8" s="1451" t="str">
        <f>TEXT(('M5-ICPI'!G26-1)*100,"0,00")&amp;" pp"</f>
        <v>-100,00 pp</v>
      </c>
      <c r="C8" s="1427" t="s">
        <v>289</v>
      </c>
      <c r="D8" s="1428" t="s">
        <v>290</v>
      </c>
      <c r="E8" s="537" t="s">
        <v>284</v>
      </c>
      <c r="F8" s="1425"/>
      <c r="G8" s="144"/>
      <c r="H8" s="144"/>
      <c r="I8" s="144"/>
      <c r="J8" s="144"/>
      <c r="K8" s="144"/>
      <c r="L8" s="144"/>
      <c r="M8" s="144"/>
      <c r="N8" s="144"/>
      <c r="O8" s="144"/>
      <c r="P8" s="144"/>
      <c r="Q8" s="144"/>
      <c r="R8" s="144"/>
      <c r="S8" s="144"/>
      <c r="T8" s="144"/>
      <c r="U8" s="144"/>
      <c r="V8" s="144"/>
      <c r="W8" s="144"/>
      <c r="X8" s="144"/>
      <c r="Y8" s="144"/>
      <c r="Z8" s="929"/>
    </row>
    <row r="9" spans="1:26" s="19" customFormat="1" ht="24" customHeight="1" x14ac:dyDescent="0.3">
      <c r="A9" s="1045" t="s">
        <v>291</v>
      </c>
      <c r="B9" s="1450">
        <f>'M5-ICPI'!G29</f>
        <v>38.283013883562113</v>
      </c>
      <c r="C9" s="125" t="s">
        <v>292</v>
      </c>
      <c r="D9" s="119" t="s">
        <v>293</v>
      </c>
      <c r="E9" s="114" t="s">
        <v>284</v>
      </c>
      <c r="F9" s="1401"/>
      <c r="G9" s="189"/>
      <c r="H9" s="189"/>
      <c r="I9" s="189"/>
      <c r="J9" s="189"/>
      <c r="K9" s="189"/>
      <c r="L9" s="189"/>
      <c r="M9" s="189"/>
      <c r="N9" s="189"/>
      <c r="O9" s="189"/>
      <c r="P9" s="189"/>
      <c r="Q9" s="189"/>
      <c r="R9" s="189"/>
      <c r="S9" s="189"/>
      <c r="T9" s="189"/>
      <c r="U9" s="189"/>
      <c r="V9" s="189"/>
      <c r="W9" s="189"/>
      <c r="X9" s="189"/>
      <c r="Y9" s="189"/>
      <c r="Z9" s="930"/>
    </row>
    <row r="10" spans="1:26" s="19" customFormat="1" ht="18" customHeight="1" x14ac:dyDescent="0.3">
      <c r="A10" s="1681" t="s">
        <v>294</v>
      </c>
      <c r="B10" s="1682"/>
      <c r="C10" s="1682"/>
      <c r="D10" s="1682"/>
      <c r="E10" s="1687"/>
      <c r="F10" s="1425"/>
      <c r="G10" s="144"/>
      <c r="H10" s="144"/>
      <c r="I10" s="144"/>
      <c r="J10" s="144"/>
      <c r="K10" s="144"/>
      <c r="L10" s="144"/>
      <c r="M10" s="144"/>
      <c r="N10" s="144"/>
      <c r="O10" s="144"/>
      <c r="P10" s="144"/>
      <c r="Q10" s="144"/>
      <c r="R10" s="144"/>
      <c r="S10" s="144"/>
      <c r="T10" s="144"/>
      <c r="U10" s="144"/>
      <c r="V10" s="144"/>
      <c r="W10" s="144"/>
      <c r="X10" s="144"/>
      <c r="Y10" s="144"/>
      <c r="Z10" s="929"/>
    </row>
    <row r="11" spans="1:26" s="19" customFormat="1" ht="24" customHeight="1" x14ac:dyDescent="0.3">
      <c r="A11" s="1045" t="s">
        <v>295</v>
      </c>
      <c r="B11" s="1444">
        <f>'DATA-RESULTADOS'!C6</f>
        <v>0.40003606491564098</v>
      </c>
      <c r="C11" s="125" t="s">
        <v>296</v>
      </c>
      <c r="D11" s="113" t="s">
        <v>297</v>
      </c>
      <c r="E11" s="114" t="s">
        <v>284</v>
      </c>
      <c r="F11" s="1401"/>
      <c r="G11" s="189"/>
      <c r="H11" s="189"/>
      <c r="I11" s="189"/>
      <c r="J11" s="189"/>
      <c r="K11" s="189"/>
      <c r="L11" s="189"/>
      <c r="M11" s="189"/>
      <c r="N11" s="189"/>
      <c r="O11" s="189"/>
      <c r="P11" s="189"/>
      <c r="Q11" s="189"/>
      <c r="R11" s="189"/>
      <c r="S11" s="189"/>
      <c r="T11" s="189"/>
      <c r="U11" s="189"/>
      <c r="V11" s="189"/>
      <c r="W11" s="189"/>
      <c r="X11" s="189"/>
      <c r="Y11" s="189"/>
      <c r="Z11" s="930"/>
    </row>
    <row r="12" spans="1:26" s="19" customFormat="1" ht="24" customHeight="1" x14ac:dyDescent="0.3">
      <c r="A12" s="1517" t="s">
        <v>298</v>
      </c>
      <c r="B12" s="1581">
        <f>'DATA-RESULTADOS'!C6*100</f>
        <v>40.003606491564099</v>
      </c>
      <c r="C12" s="1423" t="s">
        <v>292</v>
      </c>
      <c r="D12" s="1401" t="s">
        <v>4050</v>
      </c>
      <c r="E12" s="1024" t="s">
        <v>284</v>
      </c>
      <c r="F12" s="113"/>
      <c r="G12" s="144"/>
      <c r="H12" s="144"/>
      <c r="I12" s="144"/>
      <c r="J12" s="144"/>
      <c r="K12" s="144"/>
      <c r="L12" s="144"/>
      <c r="M12" s="144"/>
      <c r="N12" s="144"/>
      <c r="O12" s="144"/>
      <c r="P12" s="144"/>
      <c r="Q12" s="144"/>
      <c r="R12" s="144"/>
      <c r="S12" s="144"/>
      <c r="T12" s="144"/>
      <c r="U12" s="144"/>
      <c r="V12" s="144"/>
      <c r="W12" s="144"/>
      <c r="X12" s="144"/>
      <c r="Y12" s="144"/>
      <c r="Z12" s="929"/>
    </row>
    <row r="13" spans="1:26" s="19" customFormat="1" ht="24" customHeight="1" x14ac:dyDescent="0.3">
      <c r="A13" s="1045" t="s">
        <v>4042</v>
      </c>
      <c r="B13" s="1582" t="s">
        <v>299</v>
      </c>
      <c r="C13" s="125" t="s">
        <v>300</v>
      </c>
      <c r="D13" s="1569" t="s">
        <v>4051</v>
      </c>
      <c r="E13" s="114" t="s">
        <v>284</v>
      </c>
      <c r="F13" s="1401"/>
      <c r="G13" s="189"/>
      <c r="H13" s="189"/>
      <c r="I13" s="189"/>
      <c r="J13" s="189"/>
      <c r="K13" s="189"/>
      <c r="L13" s="189"/>
      <c r="M13" s="189"/>
      <c r="N13" s="189"/>
      <c r="O13" s="189"/>
      <c r="P13" s="189"/>
      <c r="Q13" s="189"/>
      <c r="R13" s="189"/>
      <c r="S13" s="189"/>
      <c r="T13" s="189"/>
      <c r="U13" s="189"/>
      <c r="V13" s="189"/>
      <c r="W13" s="189"/>
      <c r="X13" s="189"/>
      <c r="Y13" s="189"/>
      <c r="Z13" s="930"/>
    </row>
    <row r="14" spans="1:26" s="19" customFormat="1" ht="24" customHeight="1" x14ac:dyDescent="0.3">
      <c r="A14" s="1517" t="s">
        <v>301</v>
      </c>
      <c r="B14" s="1443">
        <f>'M5-ICPI'!G25</f>
        <v>0.40896482364446052</v>
      </c>
      <c r="C14" s="1423" t="s">
        <v>302</v>
      </c>
      <c r="D14" s="1401" t="s">
        <v>303</v>
      </c>
      <c r="E14" s="1024" t="s">
        <v>284</v>
      </c>
      <c r="F14" s="113"/>
      <c r="G14" s="144"/>
      <c r="H14" s="144"/>
      <c r="I14" s="144"/>
      <c r="J14" s="144"/>
      <c r="K14" s="144"/>
      <c r="L14" s="144"/>
      <c r="M14" s="144"/>
      <c r="N14" s="144"/>
      <c r="O14" s="144"/>
      <c r="P14" s="144"/>
      <c r="Q14" s="144"/>
      <c r="R14" s="144"/>
      <c r="S14" s="144"/>
      <c r="T14" s="144"/>
      <c r="U14" s="144"/>
      <c r="V14" s="144"/>
      <c r="W14" s="144"/>
      <c r="X14" s="144"/>
      <c r="Y14" s="144"/>
      <c r="Z14" s="929"/>
    </row>
    <row r="15" spans="1:26" s="19" customFormat="1" ht="24" customHeight="1" x14ac:dyDescent="0.3">
      <c r="A15" s="1045" t="s">
        <v>304</v>
      </c>
      <c r="B15" s="1444">
        <f>SUM('M5-ICPI'!H5:H24)</f>
        <v>1.0682670515135724</v>
      </c>
      <c r="C15" s="125" t="s">
        <v>305</v>
      </c>
      <c r="D15" s="113" t="s">
        <v>306</v>
      </c>
      <c r="E15" s="114" t="s">
        <v>284</v>
      </c>
      <c r="F15" s="1401"/>
      <c r="G15" s="189"/>
      <c r="H15" s="189"/>
      <c r="I15" s="189"/>
      <c r="J15" s="189"/>
      <c r="K15" s="189"/>
      <c r="L15" s="189"/>
      <c r="M15" s="189"/>
      <c r="N15" s="189"/>
      <c r="O15" s="189"/>
      <c r="P15" s="189"/>
      <c r="Q15" s="189"/>
      <c r="R15" s="189"/>
      <c r="S15" s="189"/>
      <c r="T15" s="189"/>
      <c r="U15" s="189"/>
      <c r="V15" s="189"/>
      <c r="W15" s="189"/>
      <c r="X15" s="189"/>
      <c r="Y15" s="189"/>
      <c r="Z15" s="930"/>
    </row>
    <row r="16" spans="1:26" s="19" customFormat="1" ht="24" customHeight="1" x14ac:dyDescent="0.3">
      <c r="A16" s="1517" t="s">
        <v>307</v>
      </c>
      <c r="B16" s="1443" t="str">
        <f>'DATA-RESULTADOS'!B8</f>
        <v>Transición Crítica 🟡</v>
      </c>
      <c r="C16" s="1423" t="s">
        <v>308</v>
      </c>
      <c r="D16" s="1401" t="s">
        <v>4052</v>
      </c>
      <c r="E16" s="1024" t="s">
        <v>284</v>
      </c>
      <c r="F16" s="113"/>
      <c r="G16" s="144"/>
      <c r="H16" s="144"/>
      <c r="I16" s="144"/>
      <c r="J16" s="144"/>
      <c r="K16" s="144"/>
      <c r="L16" s="144"/>
      <c r="M16" s="144"/>
      <c r="N16" s="144"/>
      <c r="O16" s="144"/>
      <c r="P16" s="144"/>
      <c r="Q16" s="144"/>
      <c r="R16" s="144"/>
      <c r="S16" s="144"/>
      <c r="T16" s="144"/>
      <c r="U16" s="144"/>
      <c r="V16" s="144"/>
      <c r="W16" s="144"/>
      <c r="X16" s="144"/>
      <c r="Y16" s="144"/>
      <c r="Z16" s="929"/>
    </row>
    <row r="17" spans="1:26" s="19" customFormat="1" ht="24" customHeight="1" x14ac:dyDescent="0.3">
      <c r="A17" s="1045"/>
      <c r="B17" s="1583"/>
      <c r="C17" s="126"/>
      <c r="D17" s="126"/>
      <c r="E17" s="126"/>
      <c r="F17" s="1426"/>
      <c r="G17" s="189"/>
      <c r="H17" s="189"/>
      <c r="I17" s="189"/>
      <c r="J17" s="189"/>
      <c r="K17" s="189"/>
      <c r="L17" s="189"/>
      <c r="M17" s="189"/>
      <c r="N17" s="189"/>
      <c r="O17" s="189"/>
      <c r="P17" s="189"/>
      <c r="Q17" s="189"/>
      <c r="R17" s="189"/>
      <c r="S17" s="189"/>
      <c r="T17" s="189"/>
      <c r="U17" s="189"/>
      <c r="V17" s="189"/>
      <c r="W17" s="189"/>
      <c r="X17" s="189"/>
      <c r="Y17" s="189"/>
      <c r="Z17" s="930"/>
    </row>
    <row r="18" spans="1:26" s="19" customFormat="1" ht="18" customHeight="1" x14ac:dyDescent="0.3">
      <c r="A18" s="1681" t="s">
        <v>309</v>
      </c>
      <c r="B18" s="1682"/>
      <c r="C18" s="1682"/>
      <c r="D18" s="1682"/>
      <c r="E18" s="1687"/>
      <c r="F18" s="1425"/>
      <c r="G18" s="144"/>
      <c r="H18" s="144"/>
      <c r="I18" s="144"/>
      <c r="J18" s="144"/>
      <c r="K18" s="144"/>
      <c r="L18" s="144"/>
      <c r="M18" s="144"/>
      <c r="N18" s="144"/>
      <c r="O18" s="144"/>
      <c r="P18" s="144"/>
      <c r="Q18" s="144"/>
      <c r="R18" s="144"/>
      <c r="S18" s="144"/>
      <c r="T18" s="144"/>
      <c r="U18" s="144"/>
      <c r="V18" s="144"/>
      <c r="W18" s="144"/>
      <c r="X18" s="144"/>
      <c r="Y18" s="144"/>
      <c r="Z18" s="929"/>
    </row>
    <row r="19" spans="1:26" s="19" customFormat="1" ht="24" customHeight="1" x14ac:dyDescent="0.3">
      <c r="A19" s="1045" t="s">
        <v>310</v>
      </c>
      <c r="B19" s="1444">
        <v>20</v>
      </c>
      <c r="C19" s="125" t="s">
        <v>311</v>
      </c>
      <c r="D19" s="113" t="s">
        <v>312</v>
      </c>
      <c r="E19" s="114" t="s">
        <v>313</v>
      </c>
      <c r="F19" s="1401"/>
      <c r="G19" s="189"/>
      <c r="H19" s="189"/>
      <c r="I19" s="189"/>
      <c r="J19" s="189"/>
      <c r="K19" s="189"/>
      <c r="L19" s="189"/>
      <c r="M19" s="189"/>
      <c r="N19" s="189"/>
      <c r="O19" s="189"/>
      <c r="P19" s="189"/>
      <c r="Q19" s="189"/>
      <c r="R19" s="189"/>
      <c r="S19" s="189"/>
      <c r="T19" s="189"/>
      <c r="U19" s="189"/>
      <c r="V19" s="189"/>
      <c r="W19" s="189"/>
      <c r="X19" s="189"/>
      <c r="Y19" s="189"/>
      <c r="Z19" s="930"/>
    </row>
    <row r="20" spans="1:26" s="19" customFormat="1" ht="24" customHeight="1" x14ac:dyDescent="0.3">
      <c r="A20" s="1517" t="s">
        <v>314</v>
      </c>
      <c r="B20" s="1446">
        <f>COUNTA('M4-AUDIT'!A5:A24)</f>
        <v>20</v>
      </c>
      <c r="C20" s="1423" t="s">
        <v>315</v>
      </c>
      <c r="D20" s="1401" t="s">
        <v>316</v>
      </c>
      <c r="E20" s="1024" t="s">
        <v>313</v>
      </c>
      <c r="F20" s="113"/>
      <c r="G20" s="144"/>
      <c r="H20" s="144"/>
      <c r="I20" s="144"/>
      <c r="J20" s="144"/>
      <c r="K20" s="144"/>
      <c r="L20" s="144"/>
      <c r="M20" s="144"/>
      <c r="N20" s="144"/>
      <c r="O20" s="144"/>
      <c r="P20" s="144"/>
      <c r="Q20" s="144"/>
      <c r="R20" s="144"/>
      <c r="S20" s="144"/>
      <c r="T20" s="144"/>
      <c r="U20" s="144"/>
      <c r="V20" s="144"/>
      <c r="W20" s="144"/>
      <c r="X20" s="144"/>
      <c r="Y20" s="144"/>
      <c r="Z20" s="929"/>
    </row>
    <row r="21" spans="1:26" s="19" customFormat="1" ht="24" customHeight="1" x14ac:dyDescent="0.3">
      <c r="A21" s="1045" t="s">
        <v>317</v>
      </c>
      <c r="B21" s="1445">
        <f>IFERROR(B23/B22, 0)</f>
        <v>0</v>
      </c>
      <c r="C21" s="125" t="s">
        <v>318</v>
      </c>
      <c r="D21" s="113" t="s">
        <v>319</v>
      </c>
      <c r="E21" s="114" t="s">
        <v>313</v>
      </c>
      <c r="F21" s="1401"/>
      <c r="G21" s="189"/>
      <c r="H21" s="189"/>
      <c r="I21" s="189"/>
      <c r="J21" s="189"/>
      <c r="K21" s="189"/>
      <c r="L21" s="189"/>
      <c r="M21" s="189"/>
      <c r="N21" s="189"/>
      <c r="O21" s="189"/>
      <c r="P21" s="189"/>
      <c r="Q21" s="189"/>
      <c r="R21" s="189"/>
      <c r="S21" s="189"/>
      <c r="T21" s="189"/>
      <c r="U21" s="189"/>
      <c r="V21" s="189"/>
      <c r="W21" s="189"/>
      <c r="X21" s="189"/>
      <c r="Y21" s="189"/>
      <c r="Z21" s="930"/>
    </row>
    <row r="22" spans="1:26" s="19" customFormat="1" ht="24" customHeight="1" x14ac:dyDescent="0.3">
      <c r="A22" s="1517" t="s">
        <v>320</v>
      </c>
      <c r="B22" s="1448">
        <f t="array" ref="B22">IFERROR(SUMPRODUCT(('M2-PLAN-Pi'!E13:E32&gt;0)*'M2-PLAN-Pi'!E13:E32),0)</f>
        <v>0</v>
      </c>
      <c r="C22" s="1404" t="s">
        <v>321</v>
      </c>
      <c r="D22" s="1404" t="s">
        <v>322</v>
      </c>
      <c r="E22" s="1584">
        <v>46075</v>
      </c>
      <c r="F22" s="113"/>
      <c r="G22" s="144"/>
      <c r="H22" s="144"/>
      <c r="I22" s="144"/>
      <c r="J22" s="144"/>
      <c r="K22" s="144"/>
      <c r="L22" s="144"/>
      <c r="M22" s="144"/>
      <c r="N22" s="144"/>
      <c r="O22" s="144"/>
      <c r="P22" s="144"/>
      <c r="Q22" s="144"/>
      <c r="R22" s="144"/>
      <c r="S22" s="144"/>
      <c r="T22" s="144"/>
      <c r="U22" s="144"/>
      <c r="V22" s="144"/>
      <c r="W22" s="144"/>
      <c r="X22" s="144"/>
      <c r="Y22" s="144"/>
      <c r="Z22" s="929"/>
    </row>
    <row r="23" spans="1:26" s="19" customFormat="1" ht="24" customHeight="1" x14ac:dyDescent="0.3">
      <c r="A23" s="1045" t="s">
        <v>323</v>
      </c>
      <c r="B23" s="1447">
        <f t="array" ref="B23">IFERROR(SUMPRODUCT(('M4-AUDIT'!F5:F24=1)*('M2-PLAN-Pi'!E13:E32&gt;0)*'M2-PLAN-Pi'!E13:E32),0)</f>
        <v>0</v>
      </c>
      <c r="C23" s="125" t="s">
        <v>324</v>
      </c>
      <c r="D23" s="113" t="s">
        <v>325</v>
      </c>
      <c r="E23" s="114" t="s">
        <v>284</v>
      </c>
      <c r="F23" s="1401"/>
      <c r="G23" s="189"/>
      <c r="H23" s="189"/>
      <c r="I23" s="189"/>
      <c r="J23" s="189"/>
      <c r="K23" s="189"/>
      <c r="L23" s="189"/>
      <c r="M23" s="189"/>
      <c r="N23" s="189"/>
      <c r="O23" s="189"/>
      <c r="P23" s="189"/>
      <c r="Q23" s="189"/>
      <c r="R23" s="189"/>
      <c r="S23" s="189"/>
      <c r="T23" s="189"/>
      <c r="U23" s="189"/>
      <c r="V23" s="189"/>
      <c r="W23" s="189"/>
      <c r="X23" s="189"/>
      <c r="Y23" s="189"/>
      <c r="Z23" s="930"/>
    </row>
    <row r="24" spans="1:26" s="19" customFormat="1" ht="24" customHeight="1" x14ac:dyDescent="0.3">
      <c r="A24" s="1517"/>
      <c r="B24" s="1449"/>
      <c r="C24" s="1585"/>
      <c r="D24" s="1433"/>
      <c r="E24" s="1586"/>
      <c r="F24" s="127"/>
      <c r="G24" s="144"/>
      <c r="H24" s="144"/>
      <c r="I24" s="144"/>
      <c r="J24" s="144"/>
      <c r="K24" s="144"/>
      <c r="L24" s="144"/>
      <c r="M24" s="144"/>
      <c r="N24" s="144"/>
      <c r="O24" s="144"/>
      <c r="P24" s="144"/>
      <c r="Q24" s="144"/>
      <c r="R24" s="144"/>
      <c r="S24" s="144"/>
      <c r="T24" s="144"/>
      <c r="U24" s="144"/>
      <c r="V24" s="144"/>
      <c r="W24" s="144"/>
      <c r="X24" s="144"/>
      <c r="Y24" s="144"/>
      <c r="Z24" s="929"/>
    </row>
    <row r="25" spans="1:26" s="19" customFormat="1" ht="18" customHeight="1" x14ac:dyDescent="0.3">
      <c r="A25" s="1681" t="s">
        <v>326</v>
      </c>
      <c r="B25" s="1682"/>
      <c r="C25" s="1682"/>
      <c r="D25" s="1682"/>
      <c r="E25" s="1687"/>
      <c r="F25" s="1428"/>
      <c r="G25" s="189"/>
      <c r="H25" s="189"/>
      <c r="I25" s="189"/>
      <c r="J25" s="189"/>
      <c r="K25" s="189"/>
      <c r="L25" s="189"/>
      <c r="M25" s="189"/>
      <c r="N25" s="189"/>
      <c r="O25" s="189"/>
      <c r="P25" s="189"/>
      <c r="Q25" s="189"/>
      <c r="R25" s="189"/>
      <c r="S25" s="189"/>
      <c r="T25" s="189"/>
      <c r="U25" s="189"/>
      <c r="V25" s="189"/>
      <c r="W25" s="189"/>
      <c r="X25" s="189"/>
      <c r="Y25" s="189"/>
      <c r="Z25" s="930"/>
    </row>
    <row r="26" spans="1:26" s="19" customFormat="1" ht="24" customHeight="1" x14ac:dyDescent="0.3">
      <c r="A26" s="1517" t="s">
        <v>327</v>
      </c>
      <c r="B26" s="1443">
        <f>COUNTIF('M4-AUDIT'!F5:F24,1)</f>
        <v>15</v>
      </c>
      <c r="C26" s="1423" t="s">
        <v>328</v>
      </c>
      <c r="D26" s="1401" t="s">
        <v>329</v>
      </c>
      <c r="E26" s="1024" t="s">
        <v>284</v>
      </c>
      <c r="F26" s="113"/>
      <c r="G26" s="144"/>
      <c r="H26" s="144"/>
      <c r="I26" s="144"/>
      <c r="J26" s="144"/>
      <c r="K26" s="144"/>
      <c r="L26" s="144"/>
      <c r="M26" s="144"/>
      <c r="N26" s="144"/>
      <c r="O26" s="144"/>
      <c r="P26" s="144"/>
      <c r="Q26" s="144"/>
      <c r="R26" s="144"/>
      <c r="S26" s="144"/>
      <c r="T26" s="144"/>
      <c r="U26" s="144"/>
      <c r="V26" s="144"/>
      <c r="W26" s="144"/>
      <c r="X26" s="144"/>
      <c r="Y26" s="144"/>
      <c r="Z26" s="929"/>
    </row>
    <row r="27" spans="1:26" s="19" customFormat="1" ht="24" customHeight="1" x14ac:dyDescent="0.3">
      <c r="A27" s="1045" t="s">
        <v>330</v>
      </c>
      <c r="B27" s="1444">
        <f>COUNTIF('M4-AUDIT'!F5:F24,0)</f>
        <v>5</v>
      </c>
      <c r="C27" s="125" t="s">
        <v>331</v>
      </c>
      <c r="D27" s="113" t="s">
        <v>332</v>
      </c>
      <c r="E27" s="114" t="s">
        <v>284</v>
      </c>
      <c r="F27" s="1401"/>
      <c r="G27" s="189"/>
      <c r="H27" s="189"/>
      <c r="I27" s="189"/>
      <c r="J27" s="189"/>
      <c r="K27" s="189"/>
      <c r="L27" s="189"/>
      <c r="M27" s="189"/>
      <c r="N27" s="189"/>
      <c r="O27" s="189"/>
      <c r="P27" s="189"/>
      <c r="Q27" s="189"/>
      <c r="R27" s="189"/>
      <c r="S27" s="189"/>
      <c r="T27" s="189"/>
      <c r="U27" s="189"/>
      <c r="V27" s="189"/>
      <c r="W27" s="189"/>
      <c r="X27" s="189"/>
      <c r="Y27" s="189"/>
      <c r="Z27" s="930"/>
    </row>
    <row r="28" spans="1:26" s="19" customFormat="1" ht="24" customHeight="1" x14ac:dyDescent="0.3">
      <c r="A28" s="1517" t="s">
        <v>333</v>
      </c>
      <c r="B28" s="1587">
        <f t="array" ref="B28">SUMPRODUCT(('M4-AUDIT'!F5:F24=1)*('M4-AUDIT'!H5:H24&gt;=1))</f>
        <v>4</v>
      </c>
      <c r="C28" s="1404" t="s">
        <v>109</v>
      </c>
      <c r="D28" s="1404" t="s">
        <v>334</v>
      </c>
      <c r="E28" s="1404" t="s">
        <v>284</v>
      </c>
      <c r="F28" s="113"/>
      <c r="G28" s="144"/>
      <c r="H28" s="144"/>
      <c r="I28" s="144"/>
      <c r="J28" s="144"/>
      <c r="K28" s="144"/>
      <c r="L28" s="144"/>
      <c r="M28" s="144"/>
      <c r="N28" s="144"/>
      <c r="O28" s="144"/>
      <c r="P28" s="144"/>
      <c r="Q28" s="144"/>
      <c r="R28" s="144"/>
      <c r="S28" s="144"/>
      <c r="T28" s="144"/>
      <c r="U28" s="144"/>
      <c r="V28" s="144"/>
      <c r="W28" s="144"/>
      <c r="X28" s="144"/>
      <c r="Y28" s="144"/>
      <c r="Z28" s="929"/>
    </row>
    <row r="29" spans="1:26" s="19" customFormat="1" ht="24" customHeight="1" x14ac:dyDescent="0.3">
      <c r="A29" s="1045" t="s">
        <v>335</v>
      </c>
      <c r="B29" s="1450">
        <f t="array" ref="B29">SUMPRODUCT(('M4-AUDIT'!F5:F24=1)*('M4-AUDIT'!H5:H24&lt;1))</f>
        <v>11</v>
      </c>
      <c r="C29" s="125" t="s">
        <v>109</v>
      </c>
      <c r="D29" s="113" t="s">
        <v>336</v>
      </c>
      <c r="E29" s="114" t="s">
        <v>284</v>
      </c>
      <c r="F29" s="1401"/>
      <c r="G29" s="189"/>
      <c r="H29" s="189"/>
      <c r="I29" s="189"/>
      <c r="J29" s="189"/>
      <c r="K29" s="189"/>
      <c r="L29" s="189"/>
      <c r="M29" s="189"/>
      <c r="N29" s="189"/>
      <c r="O29" s="189"/>
      <c r="P29" s="189"/>
      <c r="Q29" s="189"/>
      <c r="R29" s="189"/>
      <c r="S29" s="189"/>
      <c r="T29" s="189"/>
      <c r="U29" s="189"/>
      <c r="V29" s="189"/>
      <c r="W29" s="189"/>
      <c r="X29" s="189"/>
      <c r="Y29" s="189"/>
      <c r="Z29" s="930"/>
    </row>
    <row r="30" spans="1:26" s="19" customFormat="1" ht="24" customHeight="1" x14ac:dyDescent="0.3">
      <c r="A30" s="1517" t="s">
        <v>337</v>
      </c>
      <c r="B30" s="1442">
        <f>COUNTIF('M4-AUDIT'!P5:P24,"&lt;1")</f>
        <v>3</v>
      </c>
      <c r="C30" s="1423" t="s">
        <v>338</v>
      </c>
      <c r="D30" s="1401" t="s">
        <v>339</v>
      </c>
      <c r="E30" s="1024" t="s">
        <v>340</v>
      </c>
      <c r="F30" s="113"/>
      <c r="G30" s="144"/>
      <c r="H30" s="144"/>
      <c r="I30" s="144"/>
      <c r="J30" s="144"/>
      <c r="K30" s="144"/>
      <c r="L30" s="144"/>
      <c r="M30" s="144"/>
      <c r="N30" s="144"/>
      <c r="O30" s="144"/>
      <c r="P30" s="144"/>
      <c r="Q30" s="144"/>
      <c r="R30" s="144"/>
      <c r="S30" s="144"/>
      <c r="T30" s="144"/>
      <c r="U30" s="144"/>
      <c r="V30" s="144"/>
      <c r="W30" s="144"/>
      <c r="X30" s="144"/>
      <c r="Y30" s="144"/>
      <c r="Z30" s="929"/>
    </row>
    <row r="31" spans="1:26" ht="24" customHeight="1" x14ac:dyDescent="0.3">
      <c r="A31" s="1045" t="s">
        <v>341</v>
      </c>
      <c r="B31" s="1441">
        <f>IFERROR(AVERAGE('M6-FEDS'!J7:J26),"-")</f>
        <v>30.462499999999999</v>
      </c>
      <c r="C31" s="1424" t="s">
        <v>342</v>
      </c>
      <c r="D31" s="1425" t="s">
        <v>343</v>
      </c>
      <c r="E31" s="539" t="s">
        <v>340</v>
      </c>
      <c r="F31" s="1428"/>
      <c r="G31" s="192"/>
      <c r="H31" s="192"/>
      <c r="I31" s="192"/>
      <c r="J31" s="192"/>
      <c r="K31" s="192"/>
      <c r="L31" s="192"/>
      <c r="M31" s="192"/>
      <c r="N31" s="192"/>
      <c r="O31" s="192"/>
      <c r="P31" s="192"/>
      <c r="Q31" s="192"/>
      <c r="R31" s="192"/>
      <c r="S31" s="192"/>
      <c r="T31" s="192"/>
      <c r="U31" s="192"/>
      <c r="V31" s="192"/>
      <c r="W31" s="192"/>
      <c r="X31" s="192"/>
      <c r="Y31" s="192"/>
      <c r="Z31" s="1104"/>
    </row>
    <row r="32" spans="1:26" ht="24" customHeight="1" x14ac:dyDescent="0.3">
      <c r="A32" s="1517" t="s">
        <v>344</v>
      </c>
      <c r="B32" s="1442">
        <f>COUNTIF('M6-FEDS'!F30:F41,"RUPTURA TOTAL")</f>
        <v>0</v>
      </c>
      <c r="C32" s="1423" t="s">
        <v>345</v>
      </c>
      <c r="D32" s="1401" t="s">
        <v>346</v>
      </c>
      <c r="E32" s="1024" t="s">
        <v>340</v>
      </c>
      <c r="F32" s="113"/>
      <c r="G32" s="151"/>
      <c r="H32" s="151"/>
      <c r="I32" s="151"/>
      <c r="J32" s="151"/>
      <c r="K32" s="151"/>
      <c r="L32" s="151"/>
      <c r="M32" s="151"/>
      <c r="N32" s="151"/>
      <c r="O32" s="151"/>
      <c r="P32" s="151"/>
      <c r="Q32" s="151"/>
      <c r="R32" s="151"/>
      <c r="S32" s="151"/>
      <c r="T32" s="151"/>
      <c r="U32" s="151"/>
      <c r="V32" s="151"/>
      <c r="W32" s="151"/>
      <c r="X32" s="151"/>
      <c r="Y32" s="151"/>
      <c r="Z32" s="1105"/>
    </row>
    <row r="33" spans="1:26" ht="18" customHeight="1" x14ac:dyDescent="0.3">
      <c r="A33" s="1681" t="s">
        <v>347</v>
      </c>
      <c r="B33" s="1682"/>
      <c r="C33" s="1682"/>
      <c r="D33" s="1682"/>
      <c r="E33" s="1687"/>
      <c r="F33" s="1430"/>
      <c r="G33" s="192"/>
      <c r="H33" s="192"/>
      <c r="I33" s="192"/>
      <c r="J33" s="192"/>
      <c r="K33" s="192"/>
      <c r="L33" s="192"/>
      <c r="M33" s="192"/>
      <c r="N33" s="192"/>
      <c r="O33" s="192"/>
      <c r="P33" s="192"/>
      <c r="Q33" s="192"/>
      <c r="R33" s="192"/>
      <c r="S33" s="192"/>
      <c r="T33" s="192"/>
      <c r="U33" s="192"/>
      <c r="V33" s="192"/>
      <c r="W33" s="192"/>
      <c r="X33" s="192"/>
      <c r="Y33" s="192"/>
      <c r="Z33" s="1104"/>
    </row>
    <row r="34" spans="1:26" ht="24" customHeight="1" x14ac:dyDescent="0.3">
      <c r="A34" s="1517" t="s">
        <v>348</v>
      </c>
      <c r="B34" s="1453">
        <f>'DATA-EJES'!D4</f>
        <v>25.761436144843593</v>
      </c>
      <c r="C34" s="1431" t="s">
        <v>349</v>
      </c>
      <c r="D34" s="1401" t="s">
        <v>350</v>
      </c>
      <c r="E34" s="315" t="s">
        <v>284</v>
      </c>
      <c r="F34" s="122"/>
      <c r="G34" s="151"/>
      <c r="H34" s="151"/>
      <c r="I34" s="151"/>
      <c r="J34" s="151"/>
      <c r="K34" s="151"/>
      <c r="L34" s="151"/>
      <c r="M34" s="151"/>
      <c r="N34" s="151"/>
      <c r="O34" s="151"/>
      <c r="P34" s="151"/>
      <c r="Q34" s="151"/>
      <c r="R34" s="151"/>
      <c r="S34" s="151"/>
      <c r="T34" s="151"/>
      <c r="U34" s="151"/>
      <c r="V34" s="151"/>
      <c r="W34" s="151"/>
      <c r="X34" s="151"/>
      <c r="Y34" s="151"/>
      <c r="Z34" s="1105"/>
    </row>
    <row r="35" spans="1:26" ht="24" customHeight="1" x14ac:dyDescent="0.3">
      <c r="A35" s="1045" t="s">
        <v>351</v>
      </c>
      <c r="B35" s="1452">
        <f>'DATA-EJES'!D5</f>
        <v>51.686757985993069</v>
      </c>
      <c r="C35" s="129" t="s">
        <v>352</v>
      </c>
      <c r="D35" s="113" t="s">
        <v>353</v>
      </c>
      <c r="E35" s="123" t="s">
        <v>284</v>
      </c>
      <c r="F35" s="1407"/>
      <c r="G35" s="192"/>
      <c r="H35" s="192"/>
      <c r="I35" s="192"/>
      <c r="J35" s="192"/>
      <c r="K35" s="192"/>
      <c r="L35" s="192"/>
      <c r="M35" s="192"/>
      <c r="N35" s="192"/>
      <c r="O35" s="192"/>
      <c r="P35" s="192"/>
      <c r="Q35" s="192"/>
      <c r="R35" s="192"/>
      <c r="S35" s="192"/>
      <c r="T35" s="192"/>
      <c r="U35" s="192"/>
      <c r="V35" s="192"/>
      <c r="W35" s="192"/>
      <c r="X35" s="192"/>
      <c r="Y35" s="192"/>
      <c r="Z35" s="1104"/>
    </row>
    <row r="36" spans="1:26" ht="24" customHeight="1" x14ac:dyDescent="0.3">
      <c r="A36" s="1517" t="s">
        <v>354</v>
      </c>
      <c r="B36" s="1455">
        <f>'DATA-EJES'!D6</f>
        <v>44.93166376639391</v>
      </c>
      <c r="C36" s="1436" t="s">
        <v>355</v>
      </c>
      <c r="D36" s="1404" t="s">
        <v>356</v>
      </c>
      <c r="E36" s="1436" t="s">
        <v>284</v>
      </c>
      <c r="F36" s="122"/>
      <c r="G36" s="151"/>
      <c r="H36" s="151"/>
      <c r="I36" s="151"/>
      <c r="J36" s="151"/>
      <c r="K36" s="151"/>
      <c r="L36" s="151"/>
      <c r="M36" s="151"/>
      <c r="N36" s="151"/>
      <c r="O36" s="151"/>
      <c r="P36" s="151"/>
      <c r="Q36" s="151"/>
      <c r="R36" s="151"/>
      <c r="S36" s="151"/>
      <c r="T36" s="151"/>
      <c r="U36" s="151"/>
      <c r="V36" s="151"/>
      <c r="W36" s="151"/>
      <c r="X36" s="151"/>
      <c r="Y36" s="151"/>
      <c r="Z36" s="1105"/>
    </row>
    <row r="37" spans="1:26" ht="24" customHeight="1" x14ac:dyDescent="0.3">
      <c r="A37" s="1045" t="s">
        <v>357</v>
      </c>
      <c r="B37" s="1454">
        <f>'DATA-EJES'!D7</f>
        <v>70</v>
      </c>
      <c r="C37" s="129" t="s">
        <v>358</v>
      </c>
      <c r="D37" s="113" t="s">
        <v>359</v>
      </c>
      <c r="E37" s="123" t="s">
        <v>284</v>
      </c>
      <c r="F37" s="1407"/>
      <c r="G37" s="192"/>
      <c r="H37" s="192"/>
      <c r="I37" s="192"/>
      <c r="J37" s="192"/>
      <c r="K37" s="192"/>
      <c r="L37" s="192"/>
      <c r="M37" s="192"/>
      <c r="N37" s="192"/>
      <c r="O37" s="192"/>
      <c r="P37" s="192"/>
      <c r="Q37" s="192"/>
      <c r="R37" s="192"/>
      <c r="S37" s="192"/>
      <c r="T37" s="192"/>
      <c r="U37" s="192"/>
      <c r="V37" s="192"/>
      <c r="W37" s="192"/>
      <c r="X37" s="192"/>
      <c r="Y37" s="192"/>
      <c r="Z37" s="1104"/>
    </row>
    <row r="38" spans="1:26" ht="24" customHeight="1" x14ac:dyDescent="0.3">
      <c r="A38" s="1517" t="s">
        <v>360</v>
      </c>
      <c r="B38" s="1455">
        <f>'DATA-EJES'!D8</f>
        <v>60.151290496607871</v>
      </c>
      <c r="C38" s="1431" t="s">
        <v>361</v>
      </c>
      <c r="D38" s="1401" t="s">
        <v>362</v>
      </c>
      <c r="E38" s="315" t="s">
        <v>284</v>
      </c>
      <c r="F38" s="122"/>
      <c r="G38" s="151"/>
      <c r="H38" s="151"/>
      <c r="I38" s="151"/>
      <c r="J38" s="151"/>
      <c r="K38" s="151"/>
      <c r="L38" s="151"/>
      <c r="M38" s="151"/>
      <c r="N38" s="151"/>
      <c r="O38" s="151"/>
      <c r="P38" s="151"/>
      <c r="Q38" s="151"/>
      <c r="R38" s="151"/>
      <c r="S38" s="151"/>
      <c r="T38" s="151"/>
      <c r="U38" s="151"/>
      <c r="V38" s="151"/>
      <c r="W38" s="151"/>
      <c r="X38" s="151"/>
      <c r="Y38" s="151"/>
      <c r="Z38" s="1105"/>
    </row>
    <row r="39" spans="1:26" ht="24" customHeight="1" x14ac:dyDescent="0.3">
      <c r="A39" s="1045"/>
      <c r="B39" s="1588"/>
      <c r="C39" s="130"/>
      <c r="D39" s="128"/>
      <c r="E39" s="131"/>
      <c r="F39" s="1434"/>
      <c r="G39" s="192"/>
      <c r="H39" s="192"/>
      <c r="I39" s="192"/>
      <c r="J39" s="192"/>
      <c r="K39" s="192"/>
      <c r="L39" s="192"/>
      <c r="M39" s="192"/>
      <c r="N39" s="192"/>
      <c r="O39" s="192"/>
      <c r="P39" s="192"/>
      <c r="Q39" s="192"/>
      <c r="R39" s="192"/>
      <c r="S39" s="192"/>
      <c r="T39" s="192"/>
      <c r="U39" s="192"/>
      <c r="V39" s="192"/>
      <c r="W39" s="192"/>
      <c r="X39" s="192"/>
      <c r="Y39" s="192"/>
      <c r="Z39" s="1104"/>
    </row>
    <row r="40" spans="1:26" ht="18" customHeight="1" x14ac:dyDescent="0.3">
      <c r="A40" s="1681" t="s">
        <v>363</v>
      </c>
      <c r="B40" s="1682"/>
      <c r="C40" s="1682"/>
      <c r="D40" s="1682"/>
      <c r="E40" s="1682"/>
      <c r="F40" s="1683"/>
      <c r="G40" s="151"/>
      <c r="H40" s="151"/>
      <c r="I40" s="151"/>
      <c r="J40" s="151"/>
      <c r="K40" s="151"/>
      <c r="L40" s="151"/>
      <c r="M40" s="151"/>
      <c r="N40" s="151"/>
      <c r="O40" s="151"/>
      <c r="P40" s="151"/>
      <c r="Q40" s="151"/>
      <c r="R40" s="151"/>
      <c r="S40" s="151"/>
      <c r="T40" s="151"/>
      <c r="U40" s="151"/>
      <c r="V40" s="151"/>
      <c r="W40" s="151"/>
      <c r="X40" s="151"/>
      <c r="Y40" s="151"/>
      <c r="Z40" s="1105"/>
    </row>
    <row r="41" spans="1:26" ht="24" customHeight="1" x14ac:dyDescent="0.3">
      <c r="A41" s="1045" t="s">
        <v>364</v>
      </c>
      <c r="B41" s="1589" t="str">
        <f>TEXT(('M5-ICPI'!G26-1)*100,"0,00")&amp;" pp"</f>
        <v>-100,00 pp</v>
      </c>
      <c r="C41" s="1424" t="s">
        <v>365</v>
      </c>
      <c r="D41" s="1425" t="s">
        <v>4090</v>
      </c>
      <c r="E41" s="539" t="s">
        <v>284</v>
      </c>
      <c r="F41" s="1428"/>
      <c r="G41" s="192"/>
      <c r="H41" s="192"/>
      <c r="I41" s="192"/>
      <c r="J41" s="192"/>
      <c r="K41" s="192"/>
      <c r="L41" s="192"/>
      <c r="M41" s="192"/>
      <c r="N41" s="192"/>
      <c r="O41" s="192"/>
      <c r="P41" s="192"/>
      <c r="Q41" s="192"/>
      <c r="R41" s="192"/>
      <c r="S41" s="192"/>
      <c r="T41" s="192"/>
      <c r="U41" s="192"/>
      <c r="V41" s="192"/>
      <c r="W41" s="192"/>
      <c r="X41" s="192"/>
      <c r="Y41" s="192"/>
      <c r="Z41" s="1104"/>
    </row>
    <row r="42" spans="1:26" ht="24" customHeight="1" x14ac:dyDescent="0.3">
      <c r="A42" s="1517" t="s">
        <v>366</v>
      </c>
      <c r="B42" s="1590" t="str">
        <f>TEXT(('M5-ICPI'!G26-1)*100/20,"0,00")&amp;" pp"</f>
        <v>-5,00 pp</v>
      </c>
      <c r="C42" s="1428" t="s">
        <v>367</v>
      </c>
      <c r="D42" s="1428" t="s">
        <v>368</v>
      </c>
      <c r="E42" s="1430" t="s">
        <v>284</v>
      </c>
      <c r="F42" s="1435"/>
      <c r="G42" s="151"/>
      <c r="H42" s="151"/>
      <c r="I42" s="151"/>
      <c r="J42" s="151"/>
      <c r="K42" s="151"/>
      <c r="L42" s="151"/>
      <c r="M42" s="151"/>
      <c r="N42" s="151"/>
      <c r="O42" s="151"/>
      <c r="P42" s="151"/>
      <c r="Q42" s="151"/>
      <c r="R42" s="151"/>
      <c r="S42" s="151"/>
      <c r="T42" s="151"/>
      <c r="U42" s="151"/>
      <c r="V42" s="151"/>
      <c r="W42" s="151"/>
      <c r="X42" s="151"/>
      <c r="Y42" s="151"/>
      <c r="Z42" s="1105"/>
    </row>
    <row r="43" spans="1:26" ht="24" customHeight="1" x14ac:dyDescent="0.3">
      <c r="A43" s="1045" t="s">
        <v>369</v>
      </c>
      <c r="B43" s="1444" t="str">
        <f>TEXT((0.9225-'M5-ICPI'!G26)*100,"0,00")&amp;" pp"</f>
        <v>92,25 pp</v>
      </c>
      <c r="C43" s="125" t="s">
        <v>4091</v>
      </c>
      <c r="D43" s="113" t="s">
        <v>370</v>
      </c>
      <c r="E43" s="114" t="s">
        <v>284</v>
      </c>
      <c r="F43" s="1401"/>
      <c r="G43" s="192"/>
      <c r="H43" s="192"/>
      <c r="I43" s="192"/>
      <c r="J43" s="192"/>
      <c r="K43" s="192"/>
      <c r="L43" s="192"/>
      <c r="M43" s="192"/>
      <c r="N43" s="192"/>
      <c r="O43" s="192"/>
      <c r="P43" s="192"/>
      <c r="Q43" s="192"/>
      <c r="R43" s="192"/>
      <c r="S43" s="192"/>
      <c r="T43" s="192"/>
      <c r="U43" s="192"/>
      <c r="V43" s="192"/>
      <c r="W43" s="192"/>
      <c r="X43" s="192"/>
      <c r="Y43" s="192"/>
      <c r="Z43" s="1104"/>
    </row>
    <row r="44" spans="1:26" ht="24" customHeight="1" x14ac:dyDescent="0.3">
      <c r="A44" s="1517" t="s">
        <v>371</v>
      </c>
      <c r="B44" s="1457" t="str">
        <f>COUNTIF('M4-AUDIT'!I5:I24,1)&amp;" / 20"</f>
        <v>4 / 20</v>
      </c>
      <c r="C44" s="1423" t="s">
        <v>372</v>
      </c>
      <c r="D44" s="1401" t="s">
        <v>373</v>
      </c>
      <c r="E44" s="315" t="s">
        <v>284</v>
      </c>
      <c r="F44" s="123"/>
      <c r="G44" s="151"/>
      <c r="H44" s="151"/>
      <c r="I44" s="151"/>
      <c r="J44" s="151"/>
      <c r="K44" s="151"/>
      <c r="L44" s="151"/>
      <c r="M44" s="151"/>
      <c r="N44" s="151"/>
      <c r="O44" s="151"/>
      <c r="P44" s="151"/>
      <c r="Q44" s="151"/>
      <c r="R44" s="151"/>
      <c r="S44" s="151"/>
      <c r="T44" s="151"/>
      <c r="U44" s="151"/>
      <c r="V44" s="151"/>
      <c r="W44" s="151"/>
      <c r="X44" s="151"/>
      <c r="Y44" s="151"/>
      <c r="Z44" s="1105"/>
    </row>
    <row r="45" spans="1:26" ht="18" customHeight="1" x14ac:dyDescent="0.3">
      <c r="A45" s="1681" t="s">
        <v>374</v>
      </c>
      <c r="B45" s="1682"/>
      <c r="C45" s="1682"/>
      <c r="D45" s="1682"/>
      <c r="E45" s="1682"/>
      <c r="F45" s="1696"/>
      <c r="G45" s="192"/>
      <c r="H45" s="192"/>
      <c r="I45" s="192"/>
      <c r="J45" s="192"/>
      <c r="K45" s="192"/>
      <c r="L45" s="192"/>
      <c r="M45" s="192"/>
      <c r="N45" s="192"/>
      <c r="O45" s="192"/>
      <c r="P45" s="192"/>
      <c r="Q45" s="192"/>
      <c r="R45" s="192"/>
      <c r="S45" s="192"/>
      <c r="T45" s="192"/>
      <c r="U45" s="192"/>
      <c r="V45" s="192"/>
      <c r="W45" s="192"/>
      <c r="X45" s="192"/>
      <c r="Y45" s="192"/>
      <c r="Z45" s="1104"/>
    </row>
    <row r="46" spans="1:26" ht="24" customHeight="1" x14ac:dyDescent="0.3">
      <c r="A46" s="1517" t="s">
        <v>375</v>
      </c>
      <c r="B46" s="1455">
        <f>'VALID-SENS'!F7</f>
        <v>5.18</v>
      </c>
      <c r="C46" s="1431" t="s">
        <v>376</v>
      </c>
      <c r="D46" s="1401" t="s">
        <v>377</v>
      </c>
      <c r="E46" s="315" t="s">
        <v>284</v>
      </c>
      <c r="F46" s="123"/>
      <c r="G46" s="151"/>
      <c r="H46" s="151"/>
      <c r="I46" s="151"/>
      <c r="J46" s="151"/>
      <c r="K46" s="151"/>
      <c r="L46" s="151"/>
      <c r="M46" s="151"/>
      <c r="N46" s="151"/>
      <c r="O46" s="151"/>
      <c r="P46" s="151"/>
      <c r="Q46" s="151"/>
      <c r="R46" s="151"/>
      <c r="S46" s="151"/>
      <c r="T46" s="151"/>
      <c r="U46" s="151"/>
      <c r="V46" s="151"/>
      <c r="W46" s="151"/>
      <c r="X46" s="151"/>
      <c r="Y46" s="151"/>
      <c r="Z46" s="1105"/>
    </row>
    <row r="47" spans="1:26" ht="24" customHeight="1" x14ac:dyDescent="0.3">
      <c r="A47" s="1045" t="s">
        <v>378</v>
      </c>
      <c r="B47" s="1591">
        <f>'VALID-SENS'!E7</f>
        <v>52.2</v>
      </c>
      <c r="C47" s="1432" t="s">
        <v>379</v>
      </c>
      <c r="D47" s="119" t="s">
        <v>380</v>
      </c>
      <c r="E47" s="1432" t="s">
        <v>284</v>
      </c>
      <c r="F47" s="1407"/>
      <c r="G47" s="192"/>
      <c r="H47" s="192"/>
      <c r="I47" s="192"/>
      <c r="J47" s="192"/>
      <c r="K47" s="192"/>
      <c r="L47" s="192"/>
      <c r="M47" s="192"/>
      <c r="N47" s="192"/>
      <c r="O47" s="192"/>
      <c r="P47" s="192"/>
      <c r="Q47" s="192"/>
      <c r="R47" s="192"/>
      <c r="S47" s="192"/>
      <c r="T47" s="192"/>
      <c r="U47" s="192"/>
      <c r="V47" s="192"/>
      <c r="W47" s="192"/>
      <c r="X47" s="192"/>
      <c r="Y47" s="192"/>
      <c r="Z47" s="1104"/>
    </row>
    <row r="48" spans="1:26" ht="24" customHeight="1" x14ac:dyDescent="0.3">
      <c r="A48" s="1517" t="s">
        <v>381</v>
      </c>
      <c r="B48" s="1590" t="str">
        <f>'VALID-SENS'!C18</f>
        <v>+52,98 pp</v>
      </c>
      <c r="C48" s="1429" t="s">
        <v>382</v>
      </c>
      <c r="D48" s="1428" t="s">
        <v>383</v>
      </c>
      <c r="E48" s="1360" t="s">
        <v>284</v>
      </c>
      <c r="F48" s="1435"/>
      <c r="G48" s="151"/>
      <c r="H48" s="151"/>
      <c r="I48" s="151"/>
      <c r="J48" s="151"/>
      <c r="K48" s="151"/>
      <c r="L48" s="151"/>
      <c r="M48" s="151"/>
      <c r="N48" s="151"/>
      <c r="O48" s="151"/>
      <c r="P48" s="151"/>
      <c r="Q48" s="151"/>
      <c r="R48" s="151"/>
      <c r="S48" s="151"/>
      <c r="T48" s="151"/>
      <c r="U48" s="151"/>
      <c r="V48" s="151"/>
      <c r="W48" s="151"/>
      <c r="X48" s="151"/>
      <c r="Y48" s="151"/>
      <c r="Z48" s="1105"/>
    </row>
    <row r="49" spans="1:26" ht="24" customHeight="1" x14ac:dyDescent="0.3">
      <c r="A49" s="1045" t="s">
        <v>384</v>
      </c>
      <c r="B49" s="1592" t="str">
        <f>'VALID-SENS'!C19</f>
        <v>+9,1 pp</v>
      </c>
      <c r="C49" s="129" t="s">
        <v>385</v>
      </c>
      <c r="D49" s="113" t="s">
        <v>386</v>
      </c>
      <c r="E49" s="123" t="s">
        <v>284</v>
      </c>
      <c r="F49" s="315"/>
      <c r="G49" s="192"/>
      <c r="H49" s="192"/>
      <c r="I49" s="192"/>
      <c r="J49" s="192"/>
      <c r="K49" s="192"/>
      <c r="L49" s="192"/>
      <c r="M49" s="192"/>
      <c r="N49" s="192"/>
      <c r="O49" s="192"/>
      <c r="P49" s="192"/>
      <c r="Q49" s="192"/>
      <c r="R49" s="192"/>
      <c r="S49" s="192"/>
      <c r="T49" s="192"/>
      <c r="U49" s="192"/>
      <c r="V49" s="192"/>
      <c r="W49" s="192"/>
      <c r="X49" s="192"/>
      <c r="Y49" s="192"/>
      <c r="Z49" s="1104"/>
    </row>
    <row r="50" spans="1:26" ht="18" customHeight="1" x14ac:dyDescent="0.3">
      <c r="A50" s="1681" t="s">
        <v>387</v>
      </c>
      <c r="B50" s="1682"/>
      <c r="C50" s="1682"/>
      <c r="D50" s="1682"/>
      <c r="E50" s="1682"/>
      <c r="F50" s="1683"/>
      <c r="G50" s="151"/>
      <c r="H50" s="151"/>
      <c r="I50" s="151"/>
      <c r="J50" s="151"/>
      <c r="K50" s="151"/>
      <c r="L50" s="151"/>
      <c r="M50" s="151"/>
      <c r="N50" s="151"/>
      <c r="O50" s="151"/>
      <c r="P50" s="151"/>
      <c r="Q50" s="151"/>
      <c r="R50" s="151"/>
      <c r="S50" s="151"/>
      <c r="T50" s="151"/>
      <c r="U50" s="151"/>
      <c r="V50" s="151"/>
      <c r="W50" s="151"/>
      <c r="X50" s="151"/>
      <c r="Y50" s="151"/>
      <c r="Z50" s="1105"/>
    </row>
    <row r="51" spans="1:26" ht="24" customHeight="1" x14ac:dyDescent="0.3">
      <c r="A51" s="1045" t="s">
        <v>388</v>
      </c>
      <c r="B51" s="1456">
        <f>COUNTA('VALID-VER'!B6:B15)</f>
        <v>10</v>
      </c>
      <c r="C51" s="129" t="s">
        <v>389</v>
      </c>
      <c r="D51" s="113" t="s">
        <v>390</v>
      </c>
      <c r="E51" s="123" t="s">
        <v>313</v>
      </c>
      <c r="F51" s="315"/>
      <c r="G51" s="192"/>
      <c r="H51" s="192"/>
      <c r="I51" s="192"/>
      <c r="J51" s="192"/>
      <c r="K51" s="192"/>
      <c r="L51" s="192"/>
      <c r="M51" s="192"/>
      <c r="N51" s="192"/>
      <c r="O51" s="192"/>
      <c r="P51" s="192"/>
      <c r="Q51" s="192"/>
      <c r="R51" s="192"/>
      <c r="S51" s="192"/>
      <c r="T51" s="192"/>
      <c r="U51" s="192"/>
      <c r="V51" s="192"/>
      <c r="W51" s="192"/>
      <c r="X51" s="192"/>
      <c r="Y51" s="192"/>
      <c r="Z51" s="1104"/>
    </row>
    <row r="52" spans="1:26" ht="24" customHeight="1" x14ac:dyDescent="0.3">
      <c r="A52" s="1517" t="s">
        <v>391</v>
      </c>
      <c r="B52" s="1457">
        <f>10-B51</f>
        <v>0</v>
      </c>
      <c r="C52" s="1431" t="s">
        <v>389</v>
      </c>
      <c r="D52" s="1401" t="s">
        <v>392</v>
      </c>
      <c r="E52" s="315"/>
      <c r="F52" s="123"/>
      <c r="G52" s="151"/>
      <c r="H52" s="151"/>
      <c r="I52" s="151"/>
      <c r="J52" s="151"/>
      <c r="K52" s="151"/>
      <c r="L52" s="151"/>
      <c r="M52" s="151"/>
      <c r="N52" s="151"/>
      <c r="O52" s="151"/>
      <c r="P52" s="151"/>
      <c r="Q52" s="151"/>
      <c r="R52" s="151"/>
      <c r="S52" s="151"/>
      <c r="T52" s="151"/>
      <c r="U52" s="151"/>
      <c r="V52" s="151"/>
      <c r="W52" s="151"/>
      <c r="X52" s="151"/>
      <c r="Y52" s="151"/>
      <c r="Z52" s="1105"/>
    </row>
    <row r="53" spans="1:26" ht="24" customHeight="1" x14ac:dyDescent="0.3">
      <c r="A53" s="1045" t="s">
        <v>393</v>
      </c>
      <c r="B53" s="1593" t="s">
        <v>394</v>
      </c>
      <c r="C53" s="122" t="s">
        <v>395</v>
      </c>
      <c r="D53" s="113" t="s">
        <v>396</v>
      </c>
      <c r="E53" s="123"/>
      <c r="F53" s="315"/>
      <c r="G53" s="192"/>
      <c r="H53" s="192"/>
      <c r="I53" s="192"/>
      <c r="J53" s="192"/>
      <c r="K53" s="192"/>
      <c r="L53" s="192"/>
      <c r="M53" s="192"/>
      <c r="N53" s="192"/>
      <c r="O53" s="192"/>
      <c r="P53" s="192"/>
      <c r="Q53" s="192"/>
      <c r="R53" s="192"/>
      <c r="S53" s="192"/>
      <c r="T53" s="192"/>
      <c r="U53" s="192"/>
      <c r="V53" s="192"/>
      <c r="W53" s="192"/>
      <c r="X53" s="192"/>
      <c r="Y53" s="192"/>
      <c r="Z53" s="1104"/>
    </row>
    <row r="54" spans="1:26" ht="18" customHeight="1" x14ac:dyDescent="0.3">
      <c r="A54" s="1688" t="s">
        <v>397</v>
      </c>
      <c r="B54" s="1689"/>
      <c r="C54" s="1689"/>
      <c r="D54" s="1689"/>
      <c r="E54" s="1690"/>
      <c r="F54" s="1425"/>
      <c r="G54" s="151"/>
      <c r="H54" s="151"/>
      <c r="I54" s="151"/>
      <c r="J54" s="151"/>
      <c r="K54" s="151"/>
      <c r="L54" s="151"/>
      <c r="M54" s="151"/>
      <c r="N54" s="151"/>
      <c r="O54" s="151"/>
      <c r="P54" s="151"/>
      <c r="Q54" s="151"/>
      <c r="R54" s="151"/>
      <c r="S54" s="151"/>
      <c r="T54" s="151"/>
      <c r="U54" s="151"/>
      <c r="V54" s="151"/>
      <c r="W54" s="151"/>
      <c r="X54" s="151"/>
      <c r="Y54" s="151"/>
      <c r="Z54" s="1105"/>
    </row>
    <row r="55" spans="1:26" ht="24" customHeight="1" x14ac:dyDescent="0.3">
      <c r="A55" s="1045" t="s">
        <v>398</v>
      </c>
      <c r="B55" s="1594" t="s">
        <v>399</v>
      </c>
      <c r="C55" s="1692" t="s">
        <v>400</v>
      </c>
      <c r="D55" s="1693"/>
      <c r="E55" s="1693"/>
      <c r="F55" s="1694"/>
      <c r="G55" s="192"/>
      <c r="H55" s="192"/>
      <c r="I55" s="192"/>
      <c r="J55" s="192"/>
      <c r="K55" s="192"/>
      <c r="L55" s="192"/>
      <c r="M55" s="192"/>
      <c r="N55" s="192"/>
      <c r="O55" s="192"/>
      <c r="P55" s="192"/>
      <c r="Q55" s="192"/>
      <c r="R55" s="192"/>
      <c r="S55" s="192"/>
      <c r="T55" s="192"/>
      <c r="U55" s="192"/>
      <c r="V55" s="192"/>
      <c r="W55" s="192"/>
      <c r="X55" s="192"/>
      <c r="Y55" s="192"/>
      <c r="Z55" s="1104"/>
    </row>
    <row r="56" spans="1:26" ht="24" customHeight="1" x14ac:dyDescent="0.3">
      <c r="A56" s="1517" t="s">
        <v>401</v>
      </c>
      <c r="B56" s="1412" t="str">
        <f>IF(ABS(('M5-ICPI'!G26-1)*100)&lt;=10,"✅ CONGRUENTE","❌ FUERA DEL RANGO UCM")</f>
        <v>❌ FUERA DEL RANGO UCM</v>
      </c>
      <c r="C56" s="1695" t="s">
        <v>402</v>
      </c>
      <c r="D56" s="1694"/>
      <c r="E56" s="1694"/>
      <c r="F56" s="1693"/>
      <c r="G56" s="151"/>
      <c r="H56" s="151"/>
      <c r="I56" s="151"/>
      <c r="J56" s="151"/>
      <c r="K56" s="151"/>
      <c r="L56" s="151"/>
      <c r="M56" s="151"/>
      <c r="N56" s="151"/>
      <c r="O56" s="151"/>
      <c r="P56" s="151"/>
      <c r="Q56" s="151"/>
      <c r="R56" s="151"/>
      <c r="S56" s="151"/>
      <c r="T56" s="151"/>
      <c r="U56" s="151"/>
      <c r="V56" s="151"/>
      <c r="W56" s="151"/>
      <c r="X56" s="151"/>
      <c r="Y56" s="151"/>
      <c r="Z56" s="1105"/>
    </row>
    <row r="57" spans="1:26" ht="24" customHeight="1" x14ac:dyDescent="0.3">
      <c r="A57" s="1393" t="s">
        <v>403</v>
      </c>
      <c r="B57" s="1595" t="s">
        <v>404</v>
      </c>
      <c r="C57" s="122"/>
      <c r="D57" s="122"/>
      <c r="E57" s="122"/>
      <c r="F57" s="1407"/>
      <c r="G57" s="192"/>
      <c r="H57" s="192"/>
      <c r="I57" s="192"/>
      <c r="J57" s="192"/>
      <c r="K57" s="192"/>
      <c r="L57" s="192"/>
      <c r="M57" s="192"/>
      <c r="N57" s="192"/>
      <c r="O57" s="192"/>
      <c r="P57" s="192"/>
      <c r="Q57" s="192"/>
      <c r="R57" s="192"/>
      <c r="S57" s="192"/>
      <c r="T57" s="192"/>
      <c r="U57" s="192"/>
      <c r="V57" s="192"/>
      <c r="W57" s="192"/>
      <c r="X57" s="192"/>
      <c r="Y57" s="192"/>
      <c r="Z57" s="1104"/>
    </row>
    <row r="58" spans="1:26" ht="18" customHeight="1" x14ac:dyDescent="0.3">
      <c r="A58" s="1678" t="s">
        <v>405</v>
      </c>
      <c r="B58" s="1679"/>
      <c r="C58" s="1679"/>
      <c r="D58" s="1679"/>
      <c r="E58" s="1679"/>
      <c r="F58" s="1680"/>
      <c r="G58" s="151"/>
      <c r="H58" s="151"/>
      <c r="I58" s="151"/>
      <c r="J58" s="151"/>
      <c r="K58" s="151"/>
      <c r="L58" s="151"/>
      <c r="M58" s="151"/>
      <c r="N58" s="151"/>
      <c r="O58" s="151"/>
      <c r="P58" s="151"/>
      <c r="Q58" s="151"/>
      <c r="R58" s="151"/>
      <c r="S58" s="151"/>
      <c r="T58" s="151"/>
      <c r="U58" s="151"/>
      <c r="V58" s="151"/>
      <c r="W58" s="151"/>
      <c r="X58" s="151"/>
      <c r="Y58" s="151"/>
      <c r="Z58" s="1105"/>
    </row>
    <row r="59" spans="1:26" ht="24" customHeight="1" x14ac:dyDescent="0.3">
      <c r="A59" s="1073" t="s">
        <v>406</v>
      </c>
      <c r="B59" s="1596" t="s">
        <v>407</v>
      </c>
      <c r="C59" s="132" t="s">
        <v>408</v>
      </c>
      <c r="D59" s="132" t="s">
        <v>409</v>
      </c>
      <c r="E59" s="132" t="s">
        <v>123</v>
      </c>
      <c r="F59" s="1437" t="s">
        <v>410</v>
      </c>
      <c r="G59" s="192"/>
      <c r="H59" s="192"/>
      <c r="I59" s="192"/>
      <c r="J59" s="192"/>
      <c r="K59" s="192"/>
      <c r="L59" s="192"/>
      <c r="M59" s="192"/>
      <c r="N59" s="192"/>
      <c r="O59" s="192"/>
      <c r="P59" s="192"/>
      <c r="Q59" s="192"/>
      <c r="R59" s="192"/>
      <c r="S59" s="192"/>
      <c r="T59" s="192"/>
      <c r="U59" s="192"/>
      <c r="V59" s="192"/>
      <c r="W59" s="192"/>
      <c r="X59" s="192"/>
      <c r="Y59" s="192"/>
      <c r="Z59" s="1104"/>
    </row>
    <row r="60" spans="1:26" ht="24" customHeight="1" x14ac:dyDescent="0.3">
      <c r="A60" s="1518" t="s">
        <v>411</v>
      </c>
      <c r="B60" s="1121">
        <v>0.96</v>
      </c>
      <c r="C60" s="316" t="s">
        <v>412</v>
      </c>
      <c r="D60" s="1438" t="s">
        <v>413</v>
      </c>
      <c r="E60" s="316" t="s">
        <v>414</v>
      </c>
      <c r="F60" s="133" t="s">
        <v>415</v>
      </c>
      <c r="G60" s="151"/>
      <c r="H60" s="151"/>
      <c r="I60" s="151"/>
      <c r="J60" s="151"/>
      <c r="K60" s="151"/>
      <c r="L60" s="151"/>
      <c r="M60" s="151"/>
      <c r="N60" s="151"/>
      <c r="O60" s="151"/>
      <c r="P60" s="151"/>
      <c r="Q60" s="151"/>
      <c r="R60" s="151"/>
      <c r="S60" s="151"/>
      <c r="T60" s="151"/>
      <c r="U60" s="151"/>
      <c r="V60" s="151"/>
      <c r="W60" s="151"/>
      <c r="X60" s="151"/>
      <c r="Y60" s="151"/>
      <c r="Z60" s="1105"/>
    </row>
    <row r="61" spans="1:26" ht="24" customHeight="1" x14ac:dyDescent="0.3">
      <c r="A61" s="1073" t="s">
        <v>416</v>
      </c>
      <c r="B61" s="1122">
        <v>0.85</v>
      </c>
      <c r="C61" s="133" t="s">
        <v>417</v>
      </c>
      <c r="D61" s="134" t="s">
        <v>418</v>
      </c>
      <c r="E61" s="133" t="s">
        <v>419</v>
      </c>
      <c r="F61" s="316" t="s">
        <v>415</v>
      </c>
      <c r="G61" s="192"/>
      <c r="H61" s="192"/>
      <c r="I61" s="192"/>
      <c r="J61" s="192"/>
      <c r="K61" s="192"/>
      <c r="L61" s="192"/>
      <c r="M61" s="192"/>
      <c r="N61" s="192"/>
      <c r="O61" s="192"/>
      <c r="P61" s="192"/>
      <c r="Q61" s="192"/>
      <c r="R61" s="192"/>
      <c r="S61" s="192"/>
      <c r="T61" s="192"/>
      <c r="U61" s="192"/>
      <c r="V61" s="192"/>
      <c r="W61" s="192"/>
      <c r="X61" s="192"/>
      <c r="Y61" s="192"/>
      <c r="Z61" s="1104"/>
    </row>
    <row r="62" spans="1:26" ht="24" customHeight="1" x14ac:dyDescent="0.3">
      <c r="A62" s="1518" t="s">
        <v>420</v>
      </c>
      <c r="B62" s="1121">
        <v>0.7</v>
      </c>
      <c r="C62" s="316" t="s">
        <v>421</v>
      </c>
      <c r="D62" s="1438" t="s">
        <v>422</v>
      </c>
      <c r="E62" s="316" t="s">
        <v>423</v>
      </c>
      <c r="F62" s="133" t="s">
        <v>415</v>
      </c>
      <c r="G62" s="151"/>
      <c r="H62" s="151"/>
      <c r="I62" s="151"/>
      <c r="J62" s="151"/>
      <c r="K62" s="151"/>
      <c r="L62" s="151"/>
      <c r="M62" s="151"/>
      <c r="N62" s="151"/>
      <c r="O62" s="151"/>
      <c r="P62" s="151"/>
      <c r="Q62" s="151"/>
      <c r="R62" s="151"/>
      <c r="S62" s="151"/>
      <c r="T62" s="151"/>
      <c r="U62" s="151"/>
      <c r="V62" s="151"/>
      <c r="W62" s="151"/>
      <c r="X62" s="151"/>
      <c r="Y62" s="151"/>
      <c r="Z62" s="1105"/>
    </row>
    <row r="63" spans="1:26" ht="24" customHeight="1" x14ac:dyDescent="0.3">
      <c r="A63" s="1073" t="s">
        <v>424</v>
      </c>
      <c r="B63" s="1122">
        <v>0.6</v>
      </c>
      <c r="C63" s="133" t="s">
        <v>425</v>
      </c>
      <c r="D63" s="134" t="s">
        <v>426</v>
      </c>
      <c r="E63" s="133" t="s">
        <v>419</v>
      </c>
      <c r="F63" s="316" t="s">
        <v>415</v>
      </c>
      <c r="G63" s="192"/>
      <c r="H63" s="192"/>
      <c r="I63" s="192"/>
      <c r="J63" s="192"/>
      <c r="K63" s="192"/>
      <c r="L63" s="192"/>
      <c r="M63" s="192"/>
      <c r="N63" s="192"/>
      <c r="O63" s="192"/>
      <c r="P63" s="192"/>
      <c r="Q63" s="192"/>
      <c r="R63" s="192"/>
      <c r="S63" s="192"/>
      <c r="T63" s="192"/>
      <c r="U63" s="192"/>
      <c r="V63" s="192"/>
      <c r="W63" s="192"/>
      <c r="X63" s="192"/>
      <c r="Y63" s="192"/>
      <c r="Z63" s="1104"/>
    </row>
    <row r="64" spans="1:26" ht="24" customHeight="1" x14ac:dyDescent="0.3">
      <c r="A64" s="1518" t="s">
        <v>427</v>
      </c>
      <c r="B64" s="1121">
        <v>0</v>
      </c>
      <c r="C64" s="1597" t="s">
        <v>428</v>
      </c>
      <c r="D64" s="1438" t="s">
        <v>429</v>
      </c>
      <c r="E64" s="316" t="s">
        <v>219</v>
      </c>
      <c r="F64" s="133" t="s">
        <v>415</v>
      </c>
      <c r="G64" s="151"/>
      <c r="H64" s="151"/>
      <c r="I64" s="151"/>
      <c r="J64" s="151"/>
      <c r="K64" s="151"/>
      <c r="L64" s="151"/>
      <c r="M64" s="151"/>
      <c r="N64" s="151"/>
      <c r="O64" s="151"/>
      <c r="P64" s="151"/>
      <c r="Q64" s="151"/>
      <c r="R64" s="151"/>
      <c r="S64" s="151"/>
      <c r="T64" s="151"/>
      <c r="U64" s="151"/>
      <c r="V64" s="151"/>
      <c r="W64" s="151"/>
      <c r="X64" s="151"/>
      <c r="Y64" s="151"/>
      <c r="Z64" s="1105"/>
    </row>
    <row r="65" spans="1:26" ht="24" customHeight="1" thickBot="1" x14ac:dyDescent="0.35">
      <c r="A65" s="1674" t="s">
        <v>4773</v>
      </c>
      <c r="B65" s="1675"/>
      <c r="C65" s="1676"/>
      <c r="D65" s="1676"/>
      <c r="E65" s="1676"/>
      <c r="F65" s="1677"/>
      <c r="G65" s="1439"/>
      <c r="H65" s="1439"/>
      <c r="I65" s="1439"/>
      <c r="J65" s="1439"/>
      <c r="K65" s="1439"/>
      <c r="L65" s="1439"/>
      <c r="M65" s="1439"/>
      <c r="N65" s="1439"/>
      <c r="O65" s="1439"/>
      <c r="P65" s="1439"/>
      <c r="Q65" s="1439"/>
      <c r="R65" s="1439"/>
      <c r="S65" s="1439"/>
      <c r="T65" s="1439"/>
      <c r="U65" s="1439"/>
      <c r="V65" s="1439"/>
      <c r="W65" s="1439"/>
      <c r="X65" s="1439"/>
      <c r="Y65" s="1439"/>
      <c r="Z65" s="1440"/>
    </row>
    <row r="66" spans="1:26" ht="15" thickTop="1" x14ac:dyDescent="0.3"/>
  </sheetData>
  <mergeCells count="16">
    <mergeCell ref="A1:Z1"/>
    <mergeCell ref="A3:F3"/>
    <mergeCell ref="C55:F55"/>
    <mergeCell ref="C56:F56"/>
    <mergeCell ref="A45:F45"/>
    <mergeCell ref="A5:F5"/>
    <mergeCell ref="A65:F65"/>
    <mergeCell ref="A58:F58"/>
    <mergeCell ref="A40:F40"/>
    <mergeCell ref="A50:F50"/>
    <mergeCell ref="A4:F4"/>
    <mergeCell ref="A10:E10"/>
    <mergeCell ref="A18:E18"/>
    <mergeCell ref="A25:E25"/>
    <mergeCell ref="A33:E33"/>
    <mergeCell ref="A54:E54"/>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6E0B4"/>
  </sheetPr>
  <dimension ref="A1:Z64"/>
  <sheetViews>
    <sheetView showGridLines="0" topLeftCell="B1" zoomScale="29" zoomScaleNormal="29" workbookViewId="0">
      <pane xSplit="1" ySplit="4" topLeftCell="C5" activePane="bottomRight" state="frozen"/>
      <selection activeCell="B1" sqref="B1"/>
      <selection pane="topRight" activeCell="C1" sqref="C1"/>
      <selection pane="bottomLeft" activeCell="B5" sqref="B5"/>
      <selection pane="bottomRight" activeCell="AA32" sqref="AA32"/>
    </sheetView>
  </sheetViews>
  <sheetFormatPr baseColWidth="10" defaultRowHeight="14.4" x14ac:dyDescent="0.3"/>
  <cols>
    <col min="1" max="1" width="5.21875" customWidth="1"/>
    <col min="2" max="2" width="17.5546875" customWidth="1"/>
    <col min="3" max="3" width="13" customWidth="1"/>
    <col min="4" max="4" width="18.5546875" customWidth="1"/>
    <col min="5" max="5" width="22.21875" customWidth="1"/>
    <col min="6" max="6" width="14.77734375" customWidth="1"/>
    <col min="7" max="7" width="16.6640625" customWidth="1"/>
    <col min="8" max="8" width="22.21875" customWidth="1"/>
    <col min="9" max="9" width="24.109375" customWidth="1"/>
    <col min="10" max="10" width="11.109375" customWidth="1"/>
    <col min="11" max="11" width="10.21875" customWidth="1"/>
    <col min="12" max="12" width="13" customWidth="1"/>
    <col min="13" max="13" width="12" customWidth="1"/>
    <col min="14" max="14" width="33.33203125" customWidth="1"/>
  </cols>
  <sheetData>
    <row r="1" spans="1:26" ht="28.05" customHeight="1" x14ac:dyDescent="0.3">
      <c r="A1" s="1921" t="s">
        <v>4777</v>
      </c>
      <c r="B1" s="1656"/>
      <c r="C1" s="1656"/>
      <c r="D1" s="1656"/>
      <c r="E1" s="1656"/>
      <c r="F1" s="1656"/>
      <c r="G1" s="1656"/>
      <c r="H1" s="1656"/>
      <c r="I1" s="1656"/>
      <c r="J1" s="1656"/>
      <c r="K1" s="1656"/>
      <c r="L1" s="1656"/>
      <c r="M1" s="1656"/>
      <c r="N1" s="1656"/>
      <c r="O1" s="92"/>
      <c r="P1" s="92"/>
      <c r="Q1" s="92"/>
      <c r="R1" s="92"/>
      <c r="S1" s="92"/>
      <c r="T1" s="92"/>
      <c r="U1" s="92"/>
      <c r="V1" s="92"/>
      <c r="W1" s="92"/>
      <c r="X1" s="92"/>
      <c r="Y1" s="92"/>
      <c r="Z1" s="93" t="s">
        <v>4300</v>
      </c>
    </row>
    <row r="2" spans="1:26" ht="19.95" customHeight="1" thickBot="1" x14ac:dyDescent="0.35">
      <c r="A2" s="472" t="str">
        <f>HYPERLINK("#'M-INDEX'!A1","⌂ INDICE")</f>
        <v>⌂ INDICE</v>
      </c>
      <c r="B2" s="472" t="str">
        <f>HYPERLINK("#'M1-ITME'!A1","◉ M1")</f>
        <v>◉ 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HYPERLINK("#'DATA-RESULTADOS'!A1","RESULT")</f>
        <v>RESULT</v>
      </c>
      <c r="M2" s="472" t="str">
        <f>HYPERLINK("#'M-DASHBOARD'!A1","DASH")</f>
        <v>DASH</v>
      </c>
      <c r="N2" s="496"/>
      <c r="O2" s="94"/>
      <c r="P2" s="94"/>
      <c r="Q2" s="94"/>
      <c r="R2" s="94"/>
      <c r="S2" s="94"/>
      <c r="T2" s="94"/>
      <c r="U2" s="94"/>
      <c r="V2" s="94"/>
      <c r="W2" s="94"/>
      <c r="X2" s="94"/>
      <c r="Y2" s="94"/>
      <c r="Z2" s="94"/>
    </row>
    <row r="3" spans="1:26" ht="16.05" customHeight="1" thickBot="1" x14ac:dyDescent="0.35">
      <c r="A3" s="1706" t="s">
        <v>661</v>
      </c>
      <c r="B3" s="1707"/>
      <c r="C3" s="1707"/>
      <c r="D3" s="1707"/>
      <c r="E3" s="1707"/>
      <c r="F3" s="1707"/>
      <c r="G3" s="1707"/>
      <c r="H3" s="1707"/>
      <c r="I3" s="1707"/>
      <c r="J3" s="1707"/>
      <c r="K3" s="1707"/>
      <c r="L3" s="1707"/>
      <c r="M3" s="1707"/>
      <c r="N3" s="1708"/>
      <c r="O3" s="135"/>
      <c r="P3" s="135"/>
      <c r="Q3" s="135"/>
      <c r="R3" s="135"/>
      <c r="S3" s="135"/>
      <c r="T3" s="135"/>
      <c r="U3" s="135"/>
      <c r="V3" s="135"/>
      <c r="W3" s="135"/>
      <c r="X3" s="135"/>
      <c r="Y3" s="135"/>
      <c r="Z3" s="135"/>
    </row>
    <row r="4" spans="1:26" ht="34.049999999999997" customHeight="1" thickTop="1" x14ac:dyDescent="0.3">
      <c r="A4" s="643" t="s">
        <v>430</v>
      </c>
      <c r="B4" s="606" t="s">
        <v>431</v>
      </c>
      <c r="C4" s="584" t="s">
        <v>432</v>
      </c>
      <c r="D4" s="584" t="s">
        <v>28</v>
      </c>
      <c r="E4" s="584" t="s">
        <v>433</v>
      </c>
      <c r="F4" s="584" t="s">
        <v>434</v>
      </c>
      <c r="G4" s="584" t="s">
        <v>435</v>
      </c>
      <c r="H4" s="584" t="s">
        <v>436</v>
      </c>
      <c r="I4" s="584" t="s">
        <v>437</v>
      </c>
      <c r="J4" s="584" t="s">
        <v>438</v>
      </c>
      <c r="K4" s="584" t="s">
        <v>439</v>
      </c>
      <c r="L4" s="584" t="s">
        <v>440</v>
      </c>
      <c r="M4" s="584" t="s">
        <v>441</v>
      </c>
      <c r="N4" s="613" t="s">
        <v>442</v>
      </c>
      <c r="O4" s="371"/>
      <c r="P4" s="95"/>
      <c r="Q4" s="95"/>
      <c r="R4" s="95"/>
      <c r="S4" s="95"/>
      <c r="T4" s="95"/>
      <c r="U4" s="95"/>
      <c r="V4" s="95"/>
      <c r="W4" s="95"/>
      <c r="X4" s="95"/>
      <c r="Y4" s="95"/>
      <c r="Z4" s="96"/>
    </row>
    <row r="5" spans="1:26" s="90" customFormat="1" ht="37.950000000000003" customHeight="1" x14ac:dyDescent="0.3">
      <c r="A5" s="1506">
        <v>1</v>
      </c>
      <c r="B5" s="636" t="s">
        <v>443</v>
      </c>
      <c r="C5" s="614" t="s">
        <v>444</v>
      </c>
      <c r="D5" s="614" t="s">
        <v>25</v>
      </c>
      <c r="E5" s="614" t="s">
        <v>445</v>
      </c>
      <c r="F5" s="614" t="s">
        <v>446</v>
      </c>
      <c r="G5" s="614" t="s">
        <v>447</v>
      </c>
      <c r="H5" s="614" t="s">
        <v>448</v>
      </c>
      <c r="I5" s="614" t="s">
        <v>449</v>
      </c>
      <c r="J5" s="615">
        <v>709999.54</v>
      </c>
      <c r="K5" s="614" t="s">
        <v>450</v>
      </c>
      <c r="L5" s="614" t="s">
        <v>103</v>
      </c>
      <c r="M5" s="614" t="s">
        <v>451</v>
      </c>
      <c r="N5" s="616" t="s">
        <v>4628</v>
      </c>
      <c r="O5" s="372"/>
      <c r="P5" s="136"/>
      <c r="Q5" s="136"/>
      <c r="R5" s="136"/>
      <c r="S5" s="136"/>
      <c r="T5" s="136"/>
      <c r="U5" s="136"/>
      <c r="V5" s="136"/>
      <c r="W5" s="136"/>
      <c r="X5" s="136"/>
      <c r="Y5" s="136"/>
      <c r="Z5" s="137"/>
    </row>
    <row r="6" spans="1:26" ht="37.950000000000003" customHeight="1" x14ac:dyDescent="0.3">
      <c r="A6" s="644">
        <v>2</v>
      </c>
      <c r="B6" s="637" t="s">
        <v>452</v>
      </c>
      <c r="C6" s="617" t="s">
        <v>444</v>
      </c>
      <c r="D6" s="617" t="s">
        <v>25</v>
      </c>
      <c r="E6" s="617" t="s">
        <v>445</v>
      </c>
      <c r="F6" s="617" t="s">
        <v>453</v>
      </c>
      <c r="G6" s="617" t="s">
        <v>454</v>
      </c>
      <c r="H6" s="617" t="s">
        <v>455</v>
      </c>
      <c r="I6" s="617" t="s">
        <v>449</v>
      </c>
      <c r="J6" s="618">
        <v>25000</v>
      </c>
      <c r="K6" s="617" t="s">
        <v>450</v>
      </c>
      <c r="L6" s="617" t="s">
        <v>103</v>
      </c>
      <c r="M6" s="617" t="s">
        <v>456</v>
      </c>
      <c r="N6" s="619" t="s">
        <v>4629</v>
      </c>
      <c r="O6" s="373"/>
      <c r="P6" s="97"/>
      <c r="Q6" s="97"/>
      <c r="R6" s="97"/>
      <c r="S6" s="97"/>
      <c r="T6" s="97"/>
      <c r="U6" s="97"/>
      <c r="V6" s="97"/>
      <c r="W6" s="97"/>
      <c r="X6" s="97"/>
      <c r="Y6" s="97"/>
      <c r="Z6" s="98"/>
    </row>
    <row r="7" spans="1:26" ht="37.950000000000003" customHeight="1" x14ac:dyDescent="0.3">
      <c r="A7" s="1506">
        <v>3</v>
      </c>
      <c r="B7" s="638" t="s">
        <v>457</v>
      </c>
      <c r="C7" s="620" t="s">
        <v>444</v>
      </c>
      <c r="D7" s="620" t="s">
        <v>25</v>
      </c>
      <c r="E7" s="620" t="s">
        <v>458</v>
      </c>
      <c r="F7" s="620" t="s">
        <v>459</v>
      </c>
      <c r="G7" s="620" t="s">
        <v>460</v>
      </c>
      <c r="H7" s="620" t="s">
        <v>461</v>
      </c>
      <c r="I7" s="620" t="s">
        <v>449</v>
      </c>
      <c r="J7" s="621">
        <v>75000</v>
      </c>
      <c r="K7" s="622" t="s">
        <v>462</v>
      </c>
      <c r="L7" s="620" t="s">
        <v>463</v>
      </c>
      <c r="M7" s="620" t="s">
        <v>456</v>
      </c>
      <c r="N7" s="616" t="s">
        <v>4630</v>
      </c>
      <c r="O7" s="373"/>
      <c r="P7" s="97"/>
      <c r="Q7" s="97"/>
      <c r="R7" s="97"/>
      <c r="S7" s="97"/>
      <c r="T7" s="97"/>
      <c r="U7" s="97"/>
      <c r="V7" s="97"/>
      <c r="W7" s="97"/>
      <c r="X7" s="97"/>
      <c r="Y7" s="97"/>
      <c r="Z7" s="98"/>
    </row>
    <row r="8" spans="1:26" ht="37.950000000000003" customHeight="1" x14ac:dyDescent="0.3">
      <c r="A8" s="644">
        <v>4</v>
      </c>
      <c r="B8" s="637" t="s">
        <v>464</v>
      </c>
      <c r="C8" s="617" t="s">
        <v>444</v>
      </c>
      <c r="D8" s="617" t="s">
        <v>25</v>
      </c>
      <c r="E8" s="617" t="s">
        <v>465</v>
      </c>
      <c r="F8" s="617" t="s">
        <v>466</v>
      </c>
      <c r="G8" s="617" t="s">
        <v>467</v>
      </c>
      <c r="H8" s="617" t="s">
        <v>468</v>
      </c>
      <c r="I8" s="617" t="s">
        <v>469</v>
      </c>
      <c r="J8" s="618">
        <v>137136.64000000001</v>
      </c>
      <c r="K8" s="623" t="s">
        <v>462</v>
      </c>
      <c r="L8" s="617" t="s">
        <v>470</v>
      </c>
      <c r="M8" s="617" t="s">
        <v>451</v>
      </c>
      <c r="N8" s="619" t="s">
        <v>4631</v>
      </c>
      <c r="O8" s="373"/>
      <c r="P8" s="97"/>
      <c r="Q8" s="97"/>
      <c r="R8" s="97"/>
      <c r="S8" s="97"/>
      <c r="T8" s="97"/>
      <c r="U8" s="97"/>
      <c r="V8" s="97"/>
      <c r="W8" s="97"/>
      <c r="X8" s="97"/>
      <c r="Y8" s="97"/>
      <c r="Z8" s="98"/>
    </row>
    <row r="9" spans="1:26" ht="37.950000000000003" customHeight="1" x14ac:dyDescent="0.3">
      <c r="A9" s="1506">
        <v>5</v>
      </c>
      <c r="B9" s="638" t="s">
        <v>471</v>
      </c>
      <c r="C9" s="620" t="s">
        <v>444</v>
      </c>
      <c r="D9" s="620" t="s">
        <v>25</v>
      </c>
      <c r="E9" s="620" t="s">
        <v>472</v>
      </c>
      <c r="F9" s="620" t="s">
        <v>473</v>
      </c>
      <c r="G9" s="620" t="s">
        <v>474</v>
      </c>
      <c r="H9" s="620" t="s">
        <v>475</v>
      </c>
      <c r="I9" s="620" t="s">
        <v>476</v>
      </c>
      <c r="J9" s="621">
        <v>950000</v>
      </c>
      <c r="K9" s="620" t="s">
        <v>450</v>
      </c>
      <c r="L9" s="620" t="s">
        <v>103</v>
      </c>
      <c r="M9" s="620" t="s">
        <v>451</v>
      </c>
      <c r="N9" s="616" t="s">
        <v>4632</v>
      </c>
      <c r="O9" s="373"/>
      <c r="P9" s="97"/>
      <c r="Q9" s="97"/>
      <c r="R9" s="97"/>
      <c r="S9" s="97"/>
      <c r="T9" s="97"/>
      <c r="U9" s="97"/>
      <c r="V9" s="97"/>
      <c r="W9" s="97"/>
      <c r="X9" s="97"/>
      <c r="Y9" s="97"/>
      <c r="Z9" s="98"/>
    </row>
    <row r="10" spans="1:26" ht="37.950000000000003" customHeight="1" x14ac:dyDescent="0.3">
      <c r="A10" s="644">
        <v>6</v>
      </c>
      <c r="B10" s="637" t="s">
        <v>477</v>
      </c>
      <c r="C10" s="617" t="s">
        <v>444</v>
      </c>
      <c r="D10" s="617" t="s">
        <v>25</v>
      </c>
      <c r="E10" s="617" t="s">
        <v>478</v>
      </c>
      <c r="F10" s="617" t="s">
        <v>479</v>
      </c>
      <c r="G10" s="617" t="s">
        <v>480</v>
      </c>
      <c r="H10" s="617" t="s">
        <v>481</v>
      </c>
      <c r="I10" s="617" t="s">
        <v>482</v>
      </c>
      <c r="J10" s="618">
        <v>5001962.76</v>
      </c>
      <c r="K10" s="617" t="s">
        <v>450</v>
      </c>
      <c r="L10" s="617" t="s">
        <v>103</v>
      </c>
      <c r="M10" s="617" t="s">
        <v>456</v>
      </c>
      <c r="N10" s="619" t="s">
        <v>4633</v>
      </c>
      <c r="O10" s="373"/>
      <c r="P10" s="97"/>
      <c r="Q10" s="97"/>
      <c r="R10" s="97"/>
      <c r="S10" s="97"/>
      <c r="T10" s="97"/>
      <c r="U10" s="97"/>
      <c r="V10" s="97"/>
      <c r="W10" s="97"/>
      <c r="X10" s="97"/>
      <c r="Y10" s="97"/>
      <c r="Z10" s="98"/>
    </row>
    <row r="11" spans="1:26" ht="37.950000000000003" customHeight="1" x14ac:dyDescent="0.3">
      <c r="A11" s="1506">
        <v>7</v>
      </c>
      <c r="B11" s="638" t="s">
        <v>483</v>
      </c>
      <c r="C11" s="620" t="s">
        <v>444</v>
      </c>
      <c r="D11" s="620" t="s">
        <v>25</v>
      </c>
      <c r="E11" s="620" t="s">
        <v>478</v>
      </c>
      <c r="F11" s="620" t="s">
        <v>484</v>
      </c>
      <c r="G11" s="620" t="s">
        <v>485</v>
      </c>
      <c r="H11" s="620" t="s">
        <v>486</v>
      </c>
      <c r="I11" s="620" t="s">
        <v>482</v>
      </c>
      <c r="J11" s="621">
        <v>748782.57</v>
      </c>
      <c r="K11" s="622" t="s">
        <v>462</v>
      </c>
      <c r="L11" s="620" t="s">
        <v>487</v>
      </c>
      <c r="M11" s="620" t="s">
        <v>451</v>
      </c>
      <c r="N11" s="616" t="s">
        <v>4634</v>
      </c>
      <c r="O11" s="373"/>
      <c r="P11" s="97"/>
      <c r="Q11" s="97"/>
      <c r="R11" s="97"/>
      <c r="S11" s="97"/>
      <c r="T11" s="97"/>
      <c r="U11" s="97"/>
      <c r="V11" s="97"/>
      <c r="W11" s="97"/>
      <c r="X11" s="97"/>
      <c r="Y11" s="97"/>
      <c r="Z11" s="98"/>
    </row>
    <row r="12" spans="1:26" ht="37.950000000000003" customHeight="1" x14ac:dyDescent="0.3">
      <c r="A12" s="644">
        <v>8</v>
      </c>
      <c r="B12" s="637" t="s">
        <v>488</v>
      </c>
      <c r="C12" s="617" t="s">
        <v>489</v>
      </c>
      <c r="D12" s="617" t="s">
        <v>19</v>
      </c>
      <c r="E12" s="617" t="s">
        <v>490</v>
      </c>
      <c r="F12" s="617" t="s">
        <v>491</v>
      </c>
      <c r="G12" s="617" t="s">
        <v>492</v>
      </c>
      <c r="H12" s="617" t="s">
        <v>493</v>
      </c>
      <c r="I12" s="617" t="s">
        <v>494</v>
      </c>
      <c r="J12" s="618">
        <v>46904873.780000001</v>
      </c>
      <c r="K12" s="623" t="s">
        <v>462</v>
      </c>
      <c r="L12" s="617" t="s">
        <v>495</v>
      </c>
      <c r="M12" s="617" t="s">
        <v>456</v>
      </c>
      <c r="N12" s="619" t="s">
        <v>4635</v>
      </c>
      <c r="O12" s="373"/>
      <c r="P12" s="97"/>
      <c r="Q12" s="97"/>
      <c r="R12" s="97"/>
      <c r="S12" s="97"/>
      <c r="T12" s="97"/>
      <c r="U12" s="97"/>
      <c r="V12" s="97"/>
      <c r="W12" s="97"/>
      <c r="X12" s="97"/>
      <c r="Y12" s="97"/>
      <c r="Z12" s="98"/>
    </row>
    <row r="13" spans="1:26" ht="37.950000000000003" customHeight="1" x14ac:dyDescent="0.3">
      <c r="A13" s="1506">
        <v>9</v>
      </c>
      <c r="B13" s="638" t="s">
        <v>496</v>
      </c>
      <c r="C13" s="620" t="s">
        <v>489</v>
      </c>
      <c r="D13" s="620" t="s">
        <v>19</v>
      </c>
      <c r="E13" s="620" t="s">
        <v>490</v>
      </c>
      <c r="F13" s="620" t="s">
        <v>497</v>
      </c>
      <c r="G13" s="620" t="s">
        <v>498</v>
      </c>
      <c r="H13" s="620" t="s">
        <v>499</v>
      </c>
      <c r="I13" s="620" t="s">
        <v>500</v>
      </c>
      <c r="J13" s="621">
        <v>0</v>
      </c>
      <c r="K13" s="622" t="s">
        <v>462</v>
      </c>
      <c r="L13" s="620" t="s">
        <v>501</v>
      </c>
      <c r="M13" s="620" t="s">
        <v>502</v>
      </c>
      <c r="N13" s="616" t="s">
        <v>4636</v>
      </c>
      <c r="O13" s="373"/>
      <c r="P13" s="97"/>
      <c r="Q13" s="97"/>
      <c r="R13" s="97"/>
      <c r="S13" s="97"/>
      <c r="T13" s="97"/>
      <c r="U13" s="97"/>
      <c r="V13" s="97"/>
      <c r="W13" s="97"/>
      <c r="X13" s="97"/>
      <c r="Y13" s="97"/>
      <c r="Z13" s="98"/>
    </row>
    <row r="14" spans="1:26" ht="37.950000000000003" customHeight="1" x14ac:dyDescent="0.3">
      <c r="A14" s="644">
        <v>10</v>
      </c>
      <c r="B14" s="637" t="s">
        <v>503</v>
      </c>
      <c r="C14" s="617" t="s">
        <v>489</v>
      </c>
      <c r="D14" s="617" t="s">
        <v>19</v>
      </c>
      <c r="E14" s="617" t="s">
        <v>490</v>
      </c>
      <c r="F14" s="617" t="s">
        <v>504</v>
      </c>
      <c r="G14" s="617" t="s">
        <v>505</v>
      </c>
      <c r="H14" s="617" t="s">
        <v>506</v>
      </c>
      <c r="I14" s="617" t="s">
        <v>500</v>
      </c>
      <c r="J14" s="618">
        <v>1269859.46</v>
      </c>
      <c r="K14" s="623" t="s">
        <v>462</v>
      </c>
      <c r="L14" s="617" t="s">
        <v>507</v>
      </c>
      <c r="M14" s="617" t="s">
        <v>456</v>
      </c>
      <c r="N14" s="619" t="s">
        <v>4637</v>
      </c>
      <c r="O14" s="373"/>
      <c r="P14" s="97"/>
      <c r="Q14" s="97"/>
      <c r="R14" s="97"/>
      <c r="S14" s="97"/>
      <c r="T14" s="97"/>
      <c r="U14" s="97"/>
      <c r="V14" s="97"/>
      <c r="W14" s="97"/>
      <c r="X14" s="97"/>
      <c r="Y14" s="97"/>
      <c r="Z14" s="98"/>
    </row>
    <row r="15" spans="1:26" ht="37.950000000000003" customHeight="1" x14ac:dyDescent="0.3">
      <c r="A15" s="1506">
        <v>11</v>
      </c>
      <c r="B15" s="638" t="s">
        <v>508</v>
      </c>
      <c r="C15" s="620" t="s">
        <v>509</v>
      </c>
      <c r="D15" s="620" t="s">
        <v>25</v>
      </c>
      <c r="E15" s="620" t="s">
        <v>510</v>
      </c>
      <c r="F15" s="620" t="s">
        <v>511</v>
      </c>
      <c r="G15" s="620" t="s">
        <v>512</v>
      </c>
      <c r="H15" s="620" t="s">
        <v>513</v>
      </c>
      <c r="I15" s="620" t="s">
        <v>514</v>
      </c>
      <c r="J15" s="621">
        <v>0</v>
      </c>
      <c r="K15" s="622" t="s">
        <v>462</v>
      </c>
      <c r="L15" s="620" t="s">
        <v>515</v>
      </c>
      <c r="M15" s="620" t="s">
        <v>451</v>
      </c>
      <c r="N15" s="616" t="s">
        <v>4638</v>
      </c>
      <c r="O15" s="373"/>
      <c r="P15" s="97"/>
      <c r="Q15" s="97"/>
      <c r="R15" s="97"/>
      <c r="S15" s="97"/>
      <c r="T15" s="97"/>
      <c r="U15" s="97"/>
      <c r="V15" s="97"/>
      <c r="W15" s="97"/>
      <c r="X15" s="97"/>
      <c r="Y15" s="97"/>
      <c r="Z15" s="98"/>
    </row>
    <row r="16" spans="1:26" ht="37.950000000000003" customHeight="1" x14ac:dyDescent="0.3">
      <c r="A16" s="644">
        <v>12</v>
      </c>
      <c r="B16" s="637" t="s">
        <v>516</v>
      </c>
      <c r="C16" s="617" t="s">
        <v>489</v>
      </c>
      <c r="D16" s="617" t="s">
        <v>19</v>
      </c>
      <c r="E16" s="617" t="s">
        <v>490</v>
      </c>
      <c r="F16" s="617" t="s">
        <v>517</v>
      </c>
      <c r="G16" s="617" t="s">
        <v>518</v>
      </c>
      <c r="H16" s="617" t="s">
        <v>519</v>
      </c>
      <c r="I16" s="617" t="s">
        <v>500</v>
      </c>
      <c r="J16" s="618">
        <v>10000</v>
      </c>
      <c r="K16" s="623" t="s">
        <v>450</v>
      </c>
      <c r="L16" s="617" t="s">
        <v>103</v>
      </c>
      <c r="M16" s="617" t="s">
        <v>451</v>
      </c>
      <c r="N16" s="619" t="s">
        <v>4639</v>
      </c>
      <c r="O16" s="373"/>
      <c r="P16" s="97"/>
      <c r="Q16" s="97"/>
      <c r="R16" s="97"/>
      <c r="S16" s="97"/>
      <c r="T16" s="97"/>
      <c r="U16" s="97"/>
      <c r="V16" s="97"/>
      <c r="W16" s="97"/>
      <c r="X16" s="97"/>
      <c r="Y16" s="97"/>
      <c r="Z16" s="98"/>
    </row>
    <row r="17" spans="1:26" ht="37.950000000000003" customHeight="1" x14ac:dyDescent="0.3">
      <c r="A17" s="1506">
        <v>13</v>
      </c>
      <c r="B17" s="638" t="s">
        <v>520</v>
      </c>
      <c r="C17" s="620" t="s">
        <v>489</v>
      </c>
      <c r="D17" s="620" t="s">
        <v>19</v>
      </c>
      <c r="E17" s="620" t="s">
        <v>521</v>
      </c>
      <c r="F17" s="620" t="s">
        <v>522</v>
      </c>
      <c r="G17" s="620" t="s">
        <v>523</v>
      </c>
      <c r="H17" s="620" t="s">
        <v>524</v>
      </c>
      <c r="I17" s="620" t="s">
        <v>525</v>
      </c>
      <c r="J17" s="621">
        <v>894755.8</v>
      </c>
      <c r="K17" s="622" t="s">
        <v>462</v>
      </c>
      <c r="L17" s="620" t="s">
        <v>526</v>
      </c>
      <c r="M17" s="620" t="s">
        <v>451</v>
      </c>
      <c r="N17" s="616" t="s">
        <v>4640</v>
      </c>
      <c r="O17" s="373"/>
      <c r="P17" s="97"/>
      <c r="Q17" s="97"/>
      <c r="R17" s="97"/>
      <c r="S17" s="97"/>
      <c r="T17" s="97"/>
      <c r="U17" s="97"/>
      <c r="V17" s="97"/>
      <c r="W17" s="97"/>
      <c r="X17" s="97"/>
      <c r="Y17" s="97"/>
      <c r="Z17" s="98"/>
    </row>
    <row r="18" spans="1:26" ht="37.950000000000003" customHeight="1" x14ac:dyDescent="0.3">
      <c r="A18" s="644">
        <v>14</v>
      </c>
      <c r="B18" s="637" t="s">
        <v>527</v>
      </c>
      <c r="C18" s="617" t="s">
        <v>489</v>
      </c>
      <c r="D18" s="617" t="s">
        <v>19</v>
      </c>
      <c r="E18" s="617" t="s">
        <v>521</v>
      </c>
      <c r="F18" s="617" t="s">
        <v>528</v>
      </c>
      <c r="G18" s="617" t="s">
        <v>529</v>
      </c>
      <c r="H18" s="617" t="s">
        <v>530</v>
      </c>
      <c r="I18" s="617" t="s">
        <v>531</v>
      </c>
      <c r="J18" s="618">
        <v>1693800</v>
      </c>
      <c r="K18" s="623" t="s">
        <v>462</v>
      </c>
      <c r="L18" s="617" t="s">
        <v>532</v>
      </c>
      <c r="M18" s="617" t="s">
        <v>451</v>
      </c>
      <c r="N18" s="619" t="s">
        <v>4641</v>
      </c>
      <c r="O18" s="373"/>
      <c r="P18" s="97"/>
      <c r="Q18" s="97"/>
      <c r="R18" s="97"/>
      <c r="S18" s="97"/>
      <c r="T18" s="97"/>
      <c r="U18" s="97"/>
      <c r="V18" s="97"/>
      <c r="W18" s="97"/>
      <c r="X18" s="97"/>
      <c r="Y18" s="97"/>
      <c r="Z18" s="98"/>
    </row>
    <row r="19" spans="1:26" ht="37.950000000000003" customHeight="1" x14ac:dyDescent="0.3">
      <c r="A19" s="1506">
        <v>15</v>
      </c>
      <c r="B19" s="638" t="s">
        <v>533</v>
      </c>
      <c r="C19" s="620" t="s">
        <v>489</v>
      </c>
      <c r="D19" s="620" t="s">
        <v>19</v>
      </c>
      <c r="E19" s="620" t="s">
        <v>534</v>
      </c>
      <c r="F19" s="620" t="s">
        <v>535</v>
      </c>
      <c r="G19" s="620" t="s">
        <v>536</v>
      </c>
      <c r="H19" s="620" t="s">
        <v>537</v>
      </c>
      <c r="I19" s="620" t="s">
        <v>538</v>
      </c>
      <c r="J19" s="621">
        <v>10917760.76</v>
      </c>
      <c r="K19" s="622" t="s">
        <v>462</v>
      </c>
      <c r="L19" s="620" t="s">
        <v>539</v>
      </c>
      <c r="M19" s="620" t="s">
        <v>456</v>
      </c>
      <c r="N19" s="616" t="s">
        <v>4642</v>
      </c>
      <c r="O19" s="373"/>
      <c r="P19" s="97"/>
      <c r="Q19" s="97"/>
      <c r="R19" s="97"/>
      <c r="S19" s="97"/>
      <c r="T19" s="97"/>
      <c r="U19" s="97"/>
      <c r="V19" s="97"/>
      <c r="W19" s="97"/>
      <c r="X19" s="97"/>
      <c r="Y19" s="97"/>
      <c r="Z19" s="98"/>
    </row>
    <row r="20" spans="1:26" ht="37.950000000000003" customHeight="1" x14ac:dyDescent="0.3">
      <c r="A20" s="644">
        <v>16</v>
      </c>
      <c r="B20" s="637" t="s">
        <v>540</v>
      </c>
      <c r="C20" s="617" t="s">
        <v>489</v>
      </c>
      <c r="D20" s="617" t="s">
        <v>19</v>
      </c>
      <c r="E20" s="617" t="s">
        <v>534</v>
      </c>
      <c r="F20" s="617" t="s">
        <v>541</v>
      </c>
      <c r="G20" s="617" t="s">
        <v>542</v>
      </c>
      <c r="H20" s="617" t="s">
        <v>543</v>
      </c>
      <c r="I20" s="617" t="s">
        <v>544</v>
      </c>
      <c r="J20" s="618">
        <v>600000</v>
      </c>
      <c r="K20" s="623" t="s">
        <v>462</v>
      </c>
      <c r="L20" s="617" t="s">
        <v>545</v>
      </c>
      <c r="M20" s="617" t="s">
        <v>456</v>
      </c>
      <c r="N20" s="619" t="s">
        <v>4643</v>
      </c>
      <c r="O20" s="373"/>
      <c r="P20" s="97"/>
      <c r="Q20" s="97"/>
      <c r="R20" s="97"/>
      <c r="S20" s="97"/>
      <c r="T20" s="97"/>
      <c r="U20" s="97"/>
      <c r="V20" s="97"/>
      <c r="W20" s="97"/>
      <c r="X20" s="97"/>
      <c r="Y20" s="97"/>
      <c r="Z20" s="98"/>
    </row>
    <row r="21" spans="1:26" ht="37.950000000000003" customHeight="1" x14ac:dyDescent="0.3">
      <c r="A21" s="1506">
        <v>17</v>
      </c>
      <c r="B21" s="638" t="s">
        <v>546</v>
      </c>
      <c r="C21" s="620" t="s">
        <v>489</v>
      </c>
      <c r="D21" s="620" t="s">
        <v>19</v>
      </c>
      <c r="E21" s="620" t="s">
        <v>534</v>
      </c>
      <c r="F21" s="620" t="s">
        <v>547</v>
      </c>
      <c r="G21" s="620" t="s">
        <v>548</v>
      </c>
      <c r="H21" s="620" t="s">
        <v>549</v>
      </c>
      <c r="I21" s="620" t="s">
        <v>538</v>
      </c>
      <c r="J21" s="621">
        <v>25000</v>
      </c>
      <c r="K21" s="622" t="s">
        <v>450</v>
      </c>
      <c r="L21" s="620" t="s">
        <v>103</v>
      </c>
      <c r="M21" s="620" t="s">
        <v>451</v>
      </c>
      <c r="N21" s="616" t="s">
        <v>4644</v>
      </c>
      <c r="O21" s="373"/>
      <c r="P21" s="97"/>
      <c r="Q21" s="97"/>
      <c r="R21" s="97"/>
      <c r="S21" s="97"/>
      <c r="T21" s="97"/>
      <c r="U21" s="97"/>
      <c r="V21" s="97"/>
      <c r="W21" s="97"/>
      <c r="X21" s="97"/>
      <c r="Y21" s="97"/>
      <c r="Z21" s="98"/>
    </row>
    <row r="22" spans="1:26" ht="37.950000000000003" customHeight="1" x14ac:dyDescent="0.3">
      <c r="A22" s="644">
        <v>18</v>
      </c>
      <c r="B22" s="637" t="s">
        <v>550</v>
      </c>
      <c r="C22" s="617" t="s">
        <v>489</v>
      </c>
      <c r="D22" s="617" t="s">
        <v>19</v>
      </c>
      <c r="E22" s="617" t="s">
        <v>551</v>
      </c>
      <c r="F22" s="617" t="s">
        <v>552</v>
      </c>
      <c r="G22" s="617" t="s">
        <v>553</v>
      </c>
      <c r="H22" s="617" t="s">
        <v>554</v>
      </c>
      <c r="I22" s="617" t="s">
        <v>555</v>
      </c>
      <c r="J22" s="618">
        <v>270900</v>
      </c>
      <c r="K22" s="623" t="s">
        <v>462</v>
      </c>
      <c r="L22" s="617" t="s">
        <v>556</v>
      </c>
      <c r="M22" s="617" t="s">
        <v>451</v>
      </c>
      <c r="N22" s="619" t="s">
        <v>4645</v>
      </c>
      <c r="O22" s="373"/>
      <c r="P22" s="97"/>
      <c r="Q22" s="97"/>
      <c r="R22" s="97"/>
      <c r="S22" s="97"/>
      <c r="T22" s="97"/>
      <c r="U22" s="97"/>
      <c r="V22" s="97"/>
      <c r="W22" s="97"/>
      <c r="X22" s="97"/>
      <c r="Y22" s="97"/>
      <c r="Z22" s="98"/>
    </row>
    <row r="23" spans="1:26" ht="37.950000000000003" customHeight="1" x14ac:dyDescent="0.3">
      <c r="A23" s="1506">
        <v>19</v>
      </c>
      <c r="B23" s="638" t="s">
        <v>557</v>
      </c>
      <c r="C23" s="620" t="s">
        <v>489</v>
      </c>
      <c r="D23" s="620" t="s">
        <v>19</v>
      </c>
      <c r="E23" s="620" t="s">
        <v>558</v>
      </c>
      <c r="F23" s="620" t="s">
        <v>559</v>
      </c>
      <c r="G23" s="620" t="s">
        <v>560</v>
      </c>
      <c r="H23" s="620" t="s">
        <v>561</v>
      </c>
      <c r="I23" s="620" t="s">
        <v>562</v>
      </c>
      <c r="J23" s="621">
        <v>324000</v>
      </c>
      <c r="K23" s="622" t="s">
        <v>450</v>
      </c>
      <c r="L23" s="620" t="s">
        <v>103</v>
      </c>
      <c r="M23" s="620" t="s">
        <v>451</v>
      </c>
      <c r="N23" s="616" t="s">
        <v>4646</v>
      </c>
      <c r="O23" s="373"/>
      <c r="P23" s="97"/>
      <c r="Q23" s="97"/>
      <c r="R23" s="97"/>
      <c r="S23" s="97"/>
      <c r="T23" s="97"/>
      <c r="U23" s="97"/>
      <c r="V23" s="97"/>
      <c r="W23" s="97"/>
      <c r="X23" s="97"/>
      <c r="Y23" s="97"/>
      <c r="Z23" s="98"/>
    </row>
    <row r="24" spans="1:26" ht="37.950000000000003" customHeight="1" x14ac:dyDescent="0.3">
      <c r="A24" s="644">
        <v>20</v>
      </c>
      <c r="B24" s="637" t="s">
        <v>563</v>
      </c>
      <c r="C24" s="617" t="s">
        <v>564</v>
      </c>
      <c r="D24" s="617" t="s">
        <v>22</v>
      </c>
      <c r="E24" s="617" t="s">
        <v>565</v>
      </c>
      <c r="F24" s="617" t="s">
        <v>566</v>
      </c>
      <c r="G24" s="617" t="s">
        <v>567</v>
      </c>
      <c r="H24" s="617" t="s">
        <v>568</v>
      </c>
      <c r="I24" s="617" t="s">
        <v>569</v>
      </c>
      <c r="J24" s="618">
        <v>5882644.4000000004</v>
      </c>
      <c r="K24" s="623" t="s">
        <v>462</v>
      </c>
      <c r="L24" s="617" t="s">
        <v>43</v>
      </c>
      <c r="M24" s="617" t="s">
        <v>451</v>
      </c>
      <c r="N24" s="619" t="s">
        <v>4647</v>
      </c>
      <c r="O24" s="373"/>
      <c r="P24" s="97"/>
      <c r="Q24" s="97"/>
      <c r="R24" s="97"/>
      <c r="S24" s="97"/>
      <c r="T24" s="97"/>
      <c r="U24" s="97"/>
      <c r="V24" s="97"/>
      <c r="W24" s="97"/>
      <c r="X24" s="97"/>
      <c r="Y24" s="97"/>
      <c r="Z24" s="98"/>
    </row>
    <row r="25" spans="1:26" ht="37.950000000000003" customHeight="1" x14ac:dyDescent="0.3">
      <c r="A25" s="1506">
        <v>21</v>
      </c>
      <c r="B25" s="638" t="s">
        <v>570</v>
      </c>
      <c r="C25" s="620" t="s">
        <v>564</v>
      </c>
      <c r="D25" s="620" t="s">
        <v>22</v>
      </c>
      <c r="E25" s="620" t="s">
        <v>565</v>
      </c>
      <c r="F25" s="620" t="s">
        <v>571</v>
      </c>
      <c r="G25" s="620" t="s">
        <v>572</v>
      </c>
      <c r="H25" s="620" t="s">
        <v>573</v>
      </c>
      <c r="I25" s="620" t="s">
        <v>569</v>
      </c>
      <c r="J25" s="621">
        <v>55167.4</v>
      </c>
      <c r="K25" s="622" t="s">
        <v>462</v>
      </c>
      <c r="L25" s="620" t="s">
        <v>47</v>
      </c>
      <c r="M25" s="620" t="s">
        <v>451</v>
      </c>
      <c r="N25" s="616" t="s">
        <v>4648</v>
      </c>
      <c r="O25" s="373"/>
      <c r="P25" s="97"/>
      <c r="Q25" s="97"/>
      <c r="R25" s="97"/>
      <c r="S25" s="97"/>
      <c r="T25" s="97"/>
      <c r="U25" s="97"/>
      <c r="V25" s="97"/>
      <c r="W25" s="97"/>
      <c r="X25" s="97"/>
      <c r="Y25" s="97"/>
      <c r="Z25" s="98"/>
    </row>
    <row r="26" spans="1:26" ht="37.950000000000003" customHeight="1" x14ac:dyDescent="0.3">
      <c r="A26" s="644">
        <v>22</v>
      </c>
      <c r="B26" s="637" t="s">
        <v>574</v>
      </c>
      <c r="C26" s="617" t="s">
        <v>564</v>
      </c>
      <c r="D26" s="617" t="s">
        <v>22</v>
      </c>
      <c r="E26" s="617" t="s">
        <v>575</v>
      </c>
      <c r="F26" s="617" t="s">
        <v>576</v>
      </c>
      <c r="G26" s="617" t="s">
        <v>577</v>
      </c>
      <c r="H26" s="617" t="s">
        <v>578</v>
      </c>
      <c r="I26" s="617" t="s">
        <v>579</v>
      </c>
      <c r="J26" s="618">
        <v>113895.64</v>
      </c>
      <c r="K26" s="623" t="s">
        <v>450</v>
      </c>
      <c r="L26" s="617" t="s">
        <v>103</v>
      </c>
      <c r="M26" s="617" t="s">
        <v>451</v>
      </c>
      <c r="N26" s="619" t="s">
        <v>4649</v>
      </c>
      <c r="O26" s="373"/>
      <c r="P26" s="97"/>
      <c r="Q26" s="97"/>
      <c r="R26" s="97"/>
      <c r="S26" s="97"/>
      <c r="T26" s="97"/>
      <c r="U26" s="97"/>
      <c r="V26" s="97"/>
      <c r="W26" s="97"/>
      <c r="X26" s="97"/>
      <c r="Y26" s="97"/>
      <c r="Z26" s="98"/>
    </row>
    <row r="27" spans="1:26" ht="37.950000000000003" customHeight="1" x14ac:dyDescent="0.3">
      <c r="A27" s="1506">
        <v>23</v>
      </c>
      <c r="B27" s="638" t="s">
        <v>580</v>
      </c>
      <c r="C27" s="620" t="s">
        <v>564</v>
      </c>
      <c r="D27" s="620" t="s">
        <v>22</v>
      </c>
      <c r="E27" s="620" t="s">
        <v>581</v>
      </c>
      <c r="F27" s="620" t="s">
        <v>582</v>
      </c>
      <c r="G27" s="620" t="s">
        <v>583</v>
      </c>
      <c r="H27" s="620" t="s">
        <v>584</v>
      </c>
      <c r="I27" s="620" t="s">
        <v>585</v>
      </c>
      <c r="J27" s="621">
        <v>1755066</v>
      </c>
      <c r="K27" s="622" t="s">
        <v>462</v>
      </c>
      <c r="L27" s="620" t="s">
        <v>586</v>
      </c>
      <c r="M27" s="620" t="s">
        <v>451</v>
      </c>
      <c r="N27" s="616" t="s">
        <v>4650</v>
      </c>
      <c r="O27" s="373"/>
      <c r="P27" s="97"/>
      <c r="Q27" s="97"/>
      <c r="R27" s="97"/>
      <c r="S27" s="97"/>
      <c r="T27" s="97"/>
      <c r="U27" s="97"/>
      <c r="V27" s="97"/>
      <c r="W27" s="97"/>
      <c r="X27" s="97"/>
      <c r="Y27" s="97"/>
      <c r="Z27" s="98"/>
    </row>
    <row r="28" spans="1:26" ht="37.950000000000003" customHeight="1" x14ac:dyDescent="0.3">
      <c r="A28" s="644">
        <v>24</v>
      </c>
      <c r="B28" s="637" t="s">
        <v>587</v>
      </c>
      <c r="C28" s="617" t="s">
        <v>564</v>
      </c>
      <c r="D28" s="617" t="s">
        <v>22</v>
      </c>
      <c r="E28" s="617" t="s">
        <v>588</v>
      </c>
      <c r="F28" s="617" t="s">
        <v>589</v>
      </c>
      <c r="G28" s="617" t="s">
        <v>590</v>
      </c>
      <c r="H28" s="617" t="s">
        <v>591</v>
      </c>
      <c r="I28" s="617" t="s">
        <v>592</v>
      </c>
      <c r="J28" s="618">
        <v>498448.93</v>
      </c>
      <c r="K28" s="623" t="s">
        <v>450</v>
      </c>
      <c r="L28" s="617" t="s">
        <v>103</v>
      </c>
      <c r="M28" s="617" t="s">
        <v>451</v>
      </c>
      <c r="N28" s="619" t="s">
        <v>4651</v>
      </c>
      <c r="O28" s="373"/>
      <c r="P28" s="97"/>
      <c r="Q28" s="97"/>
      <c r="R28" s="97"/>
      <c r="S28" s="97"/>
      <c r="T28" s="97"/>
      <c r="U28" s="97"/>
      <c r="V28" s="97"/>
      <c r="W28" s="97"/>
      <c r="X28" s="97"/>
      <c r="Y28" s="97"/>
      <c r="Z28" s="98"/>
    </row>
    <row r="29" spans="1:26" ht="37.950000000000003" customHeight="1" x14ac:dyDescent="0.3">
      <c r="A29" s="1506">
        <v>25</v>
      </c>
      <c r="B29" s="638" t="s">
        <v>593</v>
      </c>
      <c r="C29" s="620" t="s">
        <v>564</v>
      </c>
      <c r="D29" s="620" t="s">
        <v>22</v>
      </c>
      <c r="E29" s="620" t="s">
        <v>588</v>
      </c>
      <c r="F29" s="620" t="s">
        <v>594</v>
      </c>
      <c r="G29" s="620" t="s">
        <v>595</v>
      </c>
      <c r="H29" s="620" t="s">
        <v>596</v>
      </c>
      <c r="I29" s="620" t="s">
        <v>592</v>
      </c>
      <c r="J29" s="621">
        <v>214401.43</v>
      </c>
      <c r="K29" s="622" t="s">
        <v>450</v>
      </c>
      <c r="L29" s="620" t="s">
        <v>103</v>
      </c>
      <c r="M29" s="620" t="s">
        <v>451</v>
      </c>
      <c r="N29" s="616" t="s">
        <v>4652</v>
      </c>
      <c r="O29" s="373"/>
      <c r="P29" s="97"/>
      <c r="Q29" s="97"/>
      <c r="R29" s="97"/>
      <c r="S29" s="97"/>
      <c r="T29" s="97"/>
      <c r="U29" s="97"/>
      <c r="V29" s="97"/>
      <c r="W29" s="97"/>
      <c r="X29" s="97"/>
      <c r="Y29" s="97"/>
      <c r="Z29" s="98"/>
    </row>
    <row r="30" spans="1:26" ht="37.950000000000003" customHeight="1" x14ac:dyDescent="0.3">
      <c r="A30" s="644">
        <v>26</v>
      </c>
      <c r="B30" s="637" t="s">
        <v>597</v>
      </c>
      <c r="C30" s="617" t="s">
        <v>598</v>
      </c>
      <c r="D30" s="617" t="s">
        <v>27</v>
      </c>
      <c r="E30" s="617" t="s">
        <v>599</v>
      </c>
      <c r="F30" s="617" t="s">
        <v>600</v>
      </c>
      <c r="G30" s="617" t="s">
        <v>601</v>
      </c>
      <c r="H30" s="617" t="s">
        <v>602</v>
      </c>
      <c r="I30" s="617" t="s">
        <v>603</v>
      </c>
      <c r="J30" s="618">
        <v>109763.4</v>
      </c>
      <c r="K30" s="623" t="s">
        <v>450</v>
      </c>
      <c r="L30" s="617" t="s">
        <v>103</v>
      </c>
      <c r="M30" s="617" t="s">
        <v>451</v>
      </c>
      <c r="N30" s="619" t="s">
        <v>4653</v>
      </c>
      <c r="O30" s="373"/>
      <c r="P30" s="97"/>
      <c r="Q30" s="97"/>
      <c r="R30" s="97"/>
      <c r="S30" s="97"/>
      <c r="T30" s="97"/>
      <c r="U30" s="97"/>
      <c r="V30" s="97"/>
      <c r="W30" s="97"/>
      <c r="X30" s="97"/>
      <c r="Y30" s="97"/>
      <c r="Z30" s="98"/>
    </row>
    <row r="31" spans="1:26" ht="37.950000000000003" customHeight="1" x14ac:dyDescent="0.3">
      <c r="A31" s="1506">
        <v>27</v>
      </c>
      <c r="B31" s="638" t="s">
        <v>604</v>
      </c>
      <c r="C31" s="620" t="s">
        <v>598</v>
      </c>
      <c r="D31" s="620" t="s">
        <v>27</v>
      </c>
      <c r="E31" s="620" t="s">
        <v>605</v>
      </c>
      <c r="F31" s="620" t="s">
        <v>606</v>
      </c>
      <c r="G31" s="620" t="s">
        <v>607</v>
      </c>
      <c r="H31" s="620" t="s">
        <v>608</v>
      </c>
      <c r="I31" s="620" t="s">
        <v>603</v>
      </c>
      <c r="J31" s="621">
        <v>120600</v>
      </c>
      <c r="K31" s="622" t="s">
        <v>450</v>
      </c>
      <c r="L31" s="620" t="s">
        <v>103</v>
      </c>
      <c r="M31" s="620" t="s">
        <v>451</v>
      </c>
      <c r="N31" s="616" t="s">
        <v>4654</v>
      </c>
      <c r="O31" s="373"/>
      <c r="P31" s="97"/>
      <c r="Q31" s="97"/>
      <c r="R31" s="97"/>
      <c r="S31" s="97"/>
      <c r="T31" s="97"/>
      <c r="U31" s="97"/>
      <c r="V31" s="97"/>
      <c r="W31" s="97"/>
      <c r="X31" s="97"/>
      <c r="Y31" s="97"/>
      <c r="Z31" s="98"/>
    </row>
    <row r="32" spans="1:26" ht="37.950000000000003" customHeight="1" x14ac:dyDescent="0.3">
      <c r="A32" s="644">
        <v>28</v>
      </c>
      <c r="B32" s="637" t="s">
        <v>609</v>
      </c>
      <c r="C32" s="617" t="s">
        <v>598</v>
      </c>
      <c r="D32" s="617" t="s">
        <v>27</v>
      </c>
      <c r="E32" s="617" t="s">
        <v>610</v>
      </c>
      <c r="F32" s="617" t="s">
        <v>611</v>
      </c>
      <c r="G32" s="617" t="s">
        <v>612</v>
      </c>
      <c r="H32" s="617" t="s">
        <v>613</v>
      </c>
      <c r="I32" s="617" t="s">
        <v>614</v>
      </c>
      <c r="J32" s="618">
        <v>350074.91</v>
      </c>
      <c r="K32" s="623" t="s">
        <v>462</v>
      </c>
      <c r="L32" s="617" t="s">
        <v>463</v>
      </c>
      <c r="M32" s="617" t="s">
        <v>451</v>
      </c>
      <c r="N32" s="619" t="s">
        <v>4630</v>
      </c>
      <c r="O32" s="373"/>
      <c r="P32" s="97"/>
      <c r="Q32" s="97"/>
      <c r="R32" s="97"/>
      <c r="S32" s="97"/>
      <c r="T32" s="97"/>
      <c r="U32" s="97"/>
      <c r="V32" s="97"/>
      <c r="W32" s="97"/>
      <c r="X32" s="97"/>
      <c r="Y32" s="97"/>
      <c r="Z32" s="98"/>
    </row>
    <row r="33" spans="1:26" ht="37.950000000000003" customHeight="1" x14ac:dyDescent="0.3">
      <c r="A33" s="1506">
        <v>29</v>
      </c>
      <c r="B33" s="638" t="s">
        <v>615</v>
      </c>
      <c r="C33" s="620" t="s">
        <v>616</v>
      </c>
      <c r="D33" s="620" t="s">
        <v>31</v>
      </c>
      <c r="E33" s="620" t="s">
        <v>617</v>
      </c>
      <c r="F33" s="620" t="s">
        <v>618</v>
      </c>
      <c r="G33" s="620" t="s">
        <v>619</v>
      </c>
      <c r="H33" s="620" t="s">
        <v>620</v>
      </c>
      <c r="I33" s="620" t="s">
        <v>621</v>
      </c>
      <c r="J33" s="621">
        <v>472973</v>
      </c>
      <c r="K33" s="622" t="s">
        <v>462</v>
      </c>
      <c r="L33" s="620" t="s">
        <v>622</v>
      </c>
      <c r="M33" s="620" t="s">
        <v>456</v>
      </c>
      <c r="N33" s="616" t="s">
        <v>4655</v>
      </c>
      <c r="O33" s="373"/>
      <c r="P33" s="97"/>
      <c r="Q33" s="97"/>
      <c r="R33" s="97"/>
      <c r="S33" s="97"/>
      <c r="T33" s="97"/>
      <c r="U33" s="97"/>
      <c r="V33" s="97"/>
      <c r="W33" s="97"/>
      <c r="X33" s="97"/>
      <c r="Y33" s="97"/>
      <c r="Z33" s="98"/>
    </row>
    <row r="34" spans="1:26" ht="37.950000000000003" customHeight="1" x14ac:dyDescent="0.3">
      <c r="A34" s="644">
        <v>30</v>
      </c>
      <c r="B34" s="637" t="s">
        <v>623</v>
      </c>
      <c r="C34" s="617" t="s">
        <v>616</v>
      </c>
      <c r="D34" s="617" t="s">
        <v>31</v>
      </c>
      <c r="E34" s="617" t="s">
        <v>617</v>
      </c>
      <c r="F34" s="617" t="s">
        <v>624</v>
      </c>
      <c r="G34" s="617" t="s">
        <v>625</v>
      </c>
      <c r="H34" s="617" t="s">
        <v>626</v>
      </c>
      <c r="I34" s="617" t="s">
        <v>627</v>
      </c>
      <c r="J34" s="618">
        <v>600955.82999999996</v>
      </c>
      <c r="K34" s="623" t="s">
        <v>450</v>
      </c>
      <c r="L34" s="617" t="s">
        <v>103</v>
      </c>
      <c r="M34" s="617" t="s">
        <v>456</v>
      </c>
      <c r="N34" s="619" t="s">
        <v>4656</v>
      </c>
      <c r="O34" s="373"/>
      <c r="P34" s="97"/>
      <c r="Q34" s="97"/>
      <c r="R34" s="97"/>
      <c r="S34" s="97"/>
      <c r="T34" s="97"/>
      <c r="U34" s="97"/>
      <c r="V34" s="97"/>
      <c r="W34" s="97"/>
      <c r="X34" s="97"/>
      <c r="Y34" s="97"/>
      <c r="Z34" s="98"/>
    </row>
    <row r="35" spans="1:26" ht="37.950000000000003" customHeight="1" x14ac:dyDescent="0.3">
      <c r="A35" s="1506">
        <v>31</v>
      </c>
      <c r="B35" s="638" t="s">
        <v>628</v>
      </c>
      <c r="C35" s="620" t="s">
        <v>616</v>
      </c>
      <c r="D35" s="620" t="s">
        <v>31</v>
      </c>
      <c r="E35" s="620" t="s">
        <v>617</v>
      </c>
      <c r="F35" s="620" t="s">
        <v>629</v>
      </c>
      <c r="G35" s="620" t="s">
        <v>630</v>
      </c>
      <c r="H35" s="620" t="s">
        <v>631</v>
      </c>
      <c r="I35" s="620" t="s">
        <v>632</v>
      </c>
      <c r="J35" s="621">
        <v>1219611.33</v>
      </c>
      <c r="K35" s="622" t="s">
        <v>462</v>
      </c>
      <c r="L35" s="620" t="s">
        <v>633</v>
      </c>
      <c r="M35" s="620" t="s">
        <v>456</v>
      </c>
      <c r="N35" s="616" t="s">
        <v>4657</v>
      </c>
      <c r="O35" s="373"/>
      <c r="P35" s="97"/>
      <c r="Q35" s="97"/>
      <c r="R35" s="97"/>
      <c r="S35" s="97"/>
      <c r="T35" s="97"/>
      <c r="U35" s="97"/>
      <c r="V35" s="97"/>
      <c r="W35" s="97"/>
      <c r="X35" s="97"/>
      <c r="Y35" s="97"/>
      <c r="Z35" s="98"/>
    </row>
    <row r="36" spans="1:26" ht="37.950000000000003" customHeight="1" x14ac:dyDescent="0.3">
      <c r="A36" s="644">
        <v>32</v>
      </c>
      <c r="B36" s="637" t="s">
        <v>634</v>
      </c>
      <c r="C36" s="617" t="s">
        <v>616</v>
      </c>
      <c r="D36" s="617" t="s">
        <v>31</v>
      </c>
      <c r="E36" s="617" t="s">
        <v>617</v>
      </c>
      <c r="F36" s="617" t="s">
        <v>635</v>
      </c>
      <c r="G36" s="617" t="s">
        <v>636</v>
      </c>
      <c r="H36" s="617" t="s">
        <v>637</v>
      </c>
      <c r="I36" s="617" t="s">
        <v>638</v>
      </c>
      <c r="J36" s="618">
        <v>20205706.210000001</v>
      </c>
      <c r="K36" s="623" t="s">
        <v>450</v>
      </c>
      <c r="L36" s="617" t="s">
        <v>103</v>
      </c>
      <c r="M36" s="617" t="s">
        <v>456</v>
      </c>
      <c r="N36" s="619" t="s">
        <v>4658</v>
      </c>
      <c r="O36" s="373"/>
      <c r="P36" s="97"/>
      <c r="Q36" s="97"/>
      <c r="R36" s="97"/>
      <c r="S36" s="97"/>
      <c r="T36" s="97"/>
      <c r="U36" s="97"/>
      <c r="V36" s="97"/>
      <c r="W36" s="97"/>
      <c r="X36" s="97"/>
      <c r="Y36" s="97"/>
      <c r="Z36" s="98"/>
    </row>
    <row r="37" spans="1:26" ht="37.950000000000003" customHeight="1" x14ac:dyDescent="0.3">
      <c r="A37" s="1506">
        <v>33</v>
      </c>
      <c r="B37" s="638" t="s">
        <v>639</v>
      </c>
      <c r="C37" s="620" t="s">
        <v>616</v>
      </c>
      <c r="D37" s="620" t="s">
        <v>31</v>
      </c>
      <c r="E37" s="620" t="s">
        <v>617</v>
      </c>
      <c r="F37" s="620" t="s">
        <v>640</v>
      </c>
      <c r="G37" s="620" t="s">
        <v>641</v>
      </c>
      <c r="H37" s="620" t="s">
        <v>642</v>
      </c>
      <c r="I37" s="620" t="s">
        <v>643</v>
      </c>
      <c r="J37" s="621">
        <v>52776878.280000001</v>
      </c>
      <c r="K37" s="622" t="s">
        <v>450</v>
      </c>
      <c r="L37" s="620" t="s">
        <v>103</v>
      </c>
      <c r="M37" s="620" t="s">
        <v>456</v>
      </c>
      <c r="N37" s="616" t="s">
        <v>4659</v>
      </c>
      <c r="O37" s="373"/>
      <c r="P37" s="97"/>
      <c r="Q37" s="97"/>
      <c r="R37" s="97"/>
      <c r="S37" s="97"/>
      <c r="T37" s="97"/>
      <c r="U37" s="97"/>
      <c r="V37" s="97"/>
      <c r="W37" s="97"/>
      <c r="X37" s="97"/>
      <c r="Y37" s="97"/>
      <c r="Z37" s="98"/>
    </row>
    <row r="38" spans="1:26" ht="37.950000000000003" customHeight="1" x14ac:dyDescent="0.3">
      <c r="A38" s="644">
        <v>34</v>
      </c>
      <c r="B38" s="637" t="s">
        <v>644</v>
      </c>
      <c r="C38" s="617" t="s">
        <v>616</v>
      </c>
      <c r="D38" s="617" t="s">
        <v>31</v>
      </c>
      <c r="E38" s="617" t="s">
        <v>645</v>
      </c>
      <c r="F38" s="617" t="s">
        <v>646</v>
      </c>
      <c r="G38" s="617" t="s">
        <v>647</v>
      </c>
      <c r="H38" s="617" t="s">
        <v>648</v>
      </c>
      <c r="I38" s="617" t="s">
        <v>649</v>
      </c>
      <c r="J38" s="618">
        <v>1083597.95</v>
      </c>
      <c r="K38" s="623" t="s">
        <v>450</v>
      </c>
      <c r="L38" s="617" t="s">
        <v>103</v>
      </c>
      <c r="M38" s="617" t="s">
        <v>456</v>
      </c>
      <c r="N38" s="619" t="s">
        <v>4660</v>
      </c>
      <c r="O38" s="373"/>
      <c r="P38" s="97"/>
      <c r="Q38" s="97"/>
      <c r="R38" s="97"/>
      <c r="S38" s="97"/>
      <c r="T38" s="97"/>
      <c r="U38" s="97"/>
      <c r="V38" s="97"/>
      <c r="W38" s="97"/>
      <c r="X38" s="97"/>
      <c r="Y38" s="97"/>
      <c r="Z38" s="98"/>
    </row>
    <row r="39" spans="1:26" ht="37.950000000000003" customHeight="1" x14ac:dyDescent="0.3">
      <c r="A39" s="1506">
        <v>35</v>
      </c>
      <c r="B39" s="638" t="s">
        <v>650</v>
      </c>
      <c r="C39" s="620" t="s">
        <v>616</v>
      </c>
      <c r="D39" s="620" t="s">
        <v>31</v>
      </c>
      <c r="E39" s="620" t="s">
        <v>651</v>
      </c>
      <c r="F39" s="620" t="s">
        <v>652</v>
      </c>
      <c r="G39" s="620" t="s">
        <v>653</v>
      </c>
      <c r="H39" s="620" t="s">
        <v>654</v>
      </c>
      <c r="I39" s="620" t="s">
        <v>655</v>
      </c>
      <c r="J39" s="621">
        <v>137900</v>
      </c>
      <c r="K39" s="622" t="s">
        <v>450</v>
      </c>
      <c r="L39" s="620" t="s">
        <v>103</v>
      </c>
      <c r="M39" s="620" t="s">
        <v>456</v>
      </c>
      <c r="N39" s="616" t="s">
        <v>4661</v>
      </c>
      <c r="O39" s="373"/>
      <c r="P39" s="97"/>
      <c r="Q39" s="97"/>
      <c r="R39" s="97"/>
      <c r="S39" s="97"/>
      <c r="T39" s="97"/>
      <c r="U39" s="97"/>
      <c r="V39" s="97"/>
      <c r="W39" s="97"/>
      <c r="X39" s="97"/>
      <c r="Y39" s="97"/>
      <c r="Z39" s="98"/>
    </row>
    <row r="40" spans="1:26" s="10" customFormat="1" ht="24" customHeight="1" x14ac:dyDescent="0.3">
      <c r="A40" s="1556" t="s">
        <v>656</v>
      </c>
      <c r="B40" s="1709" t="s">
        <v>657</v>
      </c>
      <c r="C40" s="1710"/>
      <c r="D40" s="1710"/>
      <c r="E40" s="1710"/>
      <c r="F40" s="1710"/>
      <c r="G40" s="1710"/>
      <c r="H40" s="1710"/>
      <c r="I40" s="1710"/>
      <c r="J40" s="1710"/>
      <c r="K40" s="1710"/>
      <c r="L40" s="1710"/>
      <c r="M40" s="1710"/>
      <c r="N40" s="1711"/>
      <c r="O40" s="374"/>
      <c r="P40" s="108"/>
      <c r="Q40" s="108"/>
      <c r="R40" s="108"/>
      <c r="S40" s="108"/>
      <c r="T40" s="108"/>
      <c r="U40" s="108"/>
      <c r="V40" s="108"/>
      <c r="W40" s="108"/>
      <c r="X40" s="108"/>
      <c r="Y40" s="108"/>
      <c r="Z40" s="140"/>
    </row>
    <row r="41" spans="1:26" ht="22.05" customHeight="1" x14ac:dyDescent="0.3">
      <c r="A41" s="1935" t="s">
        <v>3721</v>
      </c>
      <c r="B41" s="1704"/>
      <c r="C41" s="1704"/>
      <c r="D41" s="1704"/>
      <c r="E41" s="1704"/>
      <c r="F41" s="1704"/>
      <c r="G41" s="1704"/>
      <c r="H41" s="1704"/>
      <c r="I41" s="1704"/>
      <c r="J41" s="1704"/>
      <c r="K41" s="1704"/>
      <c r="L41" s="1704"/>
      <c r="M41" s="1704"/>
      <c r="N41" s="1705"/>
      <c r="O41" s="373"/>
      <c r="P41" s="97"/>
      <c r="Q41" s="97"/>
      <c r="R41" s="97"/>
      <c r="S41" s="97"/>
      <c r="T41" s="97"/>
      <c r="U41" s="97"/>
      <c r="V41" s="97"/>
      <c r="W41" s="97"/>
      <c r="X41" s="97"/>
      <c r="Y41" s="97"/>
      <c r="Z41" s="98"/>
    </row>
    <row r="42" spans="1:26" ht="34.049999999999997" customHeight="1" x14ac:dyDescent="0.3">
      <c r="A42" s="644" t="s">
        <v>38</v>
      </c>
      <c r="B42" s="639" t="s">
        <v>3722</v>
      </c>
      <c r="C42" s="624" t="s">
        <v>3723</v>
      </c>
      <c r="D42" s="624" t="s">
        <v>3724</v>
      </c>
      <c r="E42" s="624" t="s">
        <v>3725</v>
      </c>
      <c r="F42" s="624" t="s">
        <v>3726</v>
      </c>
      <c r="G42" s="624" t="s">
        <v>3727</v>
      </c>
      <c r="H42" s="624" t="s">
        <v>3728</v>
      </c>
      <c r="I42" s="624" t="s">
        <v>3729</v>
      </c>
      <c r="J42" s="624" t="s">
        <v>3730</v>
      </c>
      <c r="K42" s="624" t="s">
        <v>3731</v>
      </c>
      <c r="L42" s="624" t="s">
        <v>3732</v>
      </c>
      <c r="M42" s="624" t="s">
        <v>3733</v>
      </c>
      <c r="N42" s="625" t="s">
        <v>3734</v>
      </c>
      <c r="O42" s="373"/>
      <c r="P42" s="97"/>
      <c r="Q42" s="97"/>
      <c r="R42" s="97"/>
      <c r="S42" s="97"/>
      <c r="T42" s="97"/>
      <c r="U42" s="97"/>
      <c r="V42" s="97"/>
      <c r="W42" s="97"/>
      <c r="X42" s="97"/>
      <c r="Y42" s="97"/>
      <c r="Z42" s="98"/>
    </row>
    <row r="43" spans="1:26" ht="43.95" customHeight="1" x14ac:dyDescent="0.3">
      <c r="A43" s="1506">
        <v>1</v>
      </c>
      <c r="B43" s="640" t="str">
        <f>'M2-PDOT'!B4</f>
        <v>PDOT.AS.VL.M1.01</v>
      </c>
      <c r="C43" s="626" t="str">
        <f>'M2-PDOT'!C4</f>
        <v>Asentamientos Humanos</v>
      </c>
      <c r="D43" s="626" t="str">
        <f>'M2-PDOT'!D4</f>
        <v>Mantenimiento de vías urbanas para el acceso de los barrios del cantón</v>
      </c>
      <c r="E43" s="627">
        <f>'M2-PDOT'!E4</f>
        <v>0.3315584274613419</v>
      </c>
      <c r="F43" s="626">
        <f>'M2-PDOT'!F4</f>
        <v>1</v>
      </c>
      <c r="G43" s="626">
        <f>'M2-PDOT'!G4</f>
        <v>1</v>
      </c>
      <c r="H43" s="626">
        <f>'M2-PDOT'!H4</f>
        <v>0.25</v>
      </c>
      <c r="I43" s="626" t="s">
        <v>3735</v>
      </c>
      <c r="J43" s="628">
        <f>'M2-PDOT'!L4</f>
        <v>10892760.76</v>
      </c>
      <c r="K43" s="626" t="s">
        <v>3736</v>
      </c>
      <c r="L43" s="626" t="str">
        <f>'M2-PDOT'!K4</f>
        <v>Dir. Obras Públicas</v>
      </c>
      <c r="M43" s="626" t="str">
        <f>'M2-PDOT'!N4</f>
        <v>✅ ALINEADA</v>
      </c>
      <c r="N43" s="616" t="s">
        <v>4662</v>
      </c>
      <c r="O43" s="373"/>
      <c r="P43" s="97"/>
      <c r="Q43" s="97"/>
      <c r="R43" s="97"/>
      <c r="S43" s="97"/>
      <c r="T43" s="97"/>
      <c r="U43" s="97"/>
      <c r="V43" s="97"/>
      <c r="W43" s="97"/>
      <c r="X43" s="97"/>
      <c r="Y43" s="97"/>
      <c r="Z43" s="98"/>
    </row>
    <row r="44" spans="1:26" ht="43.95" customHeight="1" x14ac:dyDescent="0.3">
      <c r="A44" s="644">
        <v>2</v>
      </c>
      <c r="B44" s="641" t="str">
        <f>'M2-PDOT'!B5</f>
        <v>PDOT.SC.OE2.M1.01</v>
      </c>
      <c r="C44" s="629" t="str">
        <f>'M2-PDOT'!C5</f>
        <v>Socio Cultural</v>
      </c>
      <c r="D44" s="629" t="str">
        <f>'M2-PDOT'!D5</f>
        <v>Desarrollo del Bienestar Integral para Montecristi</v>
      </c>
      <c r="E44" s="630">
        <f>'M2-PDOT'!E5</f>
        <v>0.17737919272791763</v>
      </c>
      <c r="F44" s="629">
        <f>'M2-PDOT'!F5</f>
        <v>1</v>
      </c>
      <c r="G44" s="629">
        <f>'M2-PDOT'!G5</f>
        <v>1</v>
      </c>
      <c r="H44" s="629">
        <f>'M2-PDOT'!H5</f>
        <v>0.65</v>
      </c>
      <c r="I44" s="629" t="s">
        <v>3737</v>
      </c>
      <c r="J44" s="631">
        <f>'M2-PDOT'!L5</f>
        <v>5827477</v>
      </c>
      <c r="K44" s="629" t="s">
        <v>3706</v>
      </c>
      <c r="L44" s="629" t="str">
        <f>'M2-PDOT'!K5</f>
        <v>Patronato Municipal</v>
      </c>
      <c r="M44" s="629" t="str">
        <f>'M2-PDOT'!N5</f>
        <v>✅ ALINEADA</v>
      </c>
      <c r="N44" s="619" t="s">
        <v>4663</v>
      </c>
      <c r="O44" s="373"/>
      <c r="P44" s="97"/>
      <c r="Q44" s="97"/>
      <c r="R44" s="97"/>
      <c r="S44" s="97"/>
      <c r="T44" s="97"/>
      <c r="U44" s="97"/>
      <c r="V44" s="97"/>
      <c r="W44" s="97"/>
      <c r="X44" s="97"/>
      <c r="Y44" s="97"/>
      <c r="Z44" s="98"/>
    </row>
    <row r="45" spans="1:26" ht="43.95" customHeight="1" x14ac:dyDescent="0.3">
      <c r="A45" s="1506">
        <v>3</v>
      </c>
      <c r="B45" s="640" t="str">
        <f>'M2-PDOT'!B6</f>
        <v>PDOT.AM.OE3.M2.01</v>
      </c>
      <c r="C45" s="626" t="str">
        <f>'M2-PDOT'!C6</f>
        <v>Ambiental</v>
      </c>
      <c r="D45" s="626" t="str">
        <f>'M2-PDOT'!D6</f>
        <v>Gestión Integral de Desechos Sólidos</v>
      </c>
      <c r="E45" s="627">
        <f>'M2-PDOT'!E6</f>
        <v>0.152251843537762</v>
      </c>
      <c r="F45" s="626">
        <f>'M2-PDOT'!F6</f>
        <v>1</v>
      </c>
      <c r="G45" s="626">
        <f>'M2-PDOT'!G6</f>
        <v>1</v>
      </c>
      <c r="H45" s="626">
        <f>'M2-PDOT'!H6</f>
        <v>0.75</v>
      </c>
      <c r="I45" s="626" t="s">
        <v>3738</v>
      </c>
      <c r="J45" s="628">
        <f>'M2-PDOT'!L6</f>
        <v>5001962.76</v>
      </c>
      <c r="K45" s="626" t="s">
        <v>3739</v>
      </c>
      <c r="L45" s="626" t="str">
        <f>'M2-PDOT'!K6</f>
        <v>Dir. Gestión Ambiental</v>
      </c>
      <c r="M45" s="626" t="str">
        <f>'M2-PDOT'!N6</f>
        <v>✅ ALINEADA</v>
      </c>
      <c r="N45" s="616" t="s">
        <v>4664</v>
      </c>
      <c r="O45" s="373"/>
      <c r="P45" s="97"/>
      <c r="Q45" s="97"/>
      <c r="R45" s="97"/>
      <c r="S45" s="97"/>
      <c r="T45" s="97"/>
      <c r="U45" s="97"/>
      <c r="V45" s="97"/>
      <c r="W45" s="97"/>
      <c r="X45" s="97"/>
      <c r="Y45" s="97"/>
      <c r="Z45" s="98"/>
    </row>
    <row r="46" spans="1:26" ht="43.95" customHeight="1" x14ac:dyDescent="0.3">
      <c r="A46" s="644">
        <v>4</v>
      </c>
      <c r="B46" s="641" t="str">
        <f>'M2-PDOT'!B7</f>
        <v>PDOT.AS.OE1.M2.01</v>
      </c>
      <c r="C46" s="629" t="str">
        <f>'M2-PDOT'!C7</f>
        <v>Asentamientos Humanos</v>
      </c>
      <c r="D46" s="629" t="str">
        <f>'M2-PDOT'!D7</f>
        <v>Fortalecimiento estratégico de equipamiento público comercial y administrativo</v>
      </c>
      <c r="E46" s="630">
        <f>'M2-PDOT'!E7</f>
        <v>5.1556595872029501E-2</v>
      </c>
      <c r="F46" s="629">
        <f>'M2-PDOT'!F7</f>
        <v>1</v>
      </c>
      <c r="G46" s="629">
        <f>'M2-PDOT'!G7</f>
        <v>0</v>
      </c>
      <c r="H46" s="629">
        <f>'M2-PDOT'!H7</f>
        <v>0.1</v>
      </c>
      <c r="I46" s="629" t="s">
        <v>3740</v>
      </c>
      <c r="J46" s="631">
        <f>'M2-PDOT'!L7</f>
        <v>1693800</v>
      </c>
      <c r="K46" s="629" t="s">
        <v>3707</v>
      </c>
      <c r="L46" s="629" t="str">
        <f>'M2-PDOT'!K7</f>
        <v>Dir. Planificación</v>
      </c>
      <c r="M46" s="629" t="str">
        <f>'M2-PDOT'!N7</f>
        <v>⚠️ PARCIAL</v>
      </c>
      <c r="N46" s="619" t="s">
        <v>4665</v>
      </c>
      <c r="O46" s="373"/>
      <c r="P46" s="97"/>
      <c r="Q46" s="97"/>
      <c r="R46" s="97"/>
      <c r="S46" s="97"/>
      <c r="T46" s="97"/>
      <c r="U46" s="97"/>
      <c r="V46" s="97"/>
      <c r="W46" s="97"/>
      <c r="X46" s="97"/>
      <c r="Y46" s="97"/>
      <c r="Z46" s="98"/>
    </row>
    <row r="47" spans="1:26" ht="43.95" customHeight="1" x14ac:dyDescent="0.3">
      <c r="A47" s="1506">
        <v>5</v>
      </c>
      <c r="B47" s="640" t="str">
        <f>'M2-PDOT'!B8</f>
        <v>PDOT.SC.OE2.M4.01</v>
      </c>
      <c r="C47" s="626" t="str">
        <f>'M2-PDOT'!C8</f>
        <v>Socio Cultural</v>
      </c>
      <c r="D47" s="626" t="str">
        <f>'M2-PDOT'!D8</f>
        <v>Proyecto Integral de Desarrollo y Apoyo Comunitario</v>
      </c>
      <c r="E47" s="627">
        <f>'M2-PDOT'!E8</f>
        <v>4.903830362803583E-2</v>
      </c>
      <c r="F47" s="626">
        <f>'M2-PDOT'!F8</f>
        <v>1</v>
      </c>
      <c r="G47" s="626">
        <f>'M2-PDOT'!G8</f>
        <v>1</v>
      </c>
      <c r="H47" s="626">
        <f>'M2-PDOT'!H8</f>
        <v>0.2</v>
      </c>
      <c r="I47" s="626" t="s">
        <v>3741</v>
      </c>
      <c r="J47" s="628">
        <f>'M2-PDOT'!L8</f>
        <v>1611066</v>
      </c>
      <c r="K47" s="626" t="s">
        <v>3708</v>
      </c>
      <c r="L47" s="626" t="str">
        <f>'M2-PDOT'!K8</f>
        <v>Dir. Planificación</v>
      </c>
      <c r="M47" s="626" t="str">
        <f>'M2-PDOT'!N8</f>
        <v>⚠️ PARCIAL</v>
      </c>
      <c r="N47" s="616" t="s">
        <v>4666</v>
      </c>
      <c r="O47" s="373"/>
      <c r="P47" s="97"/>
      <c r="Q47" s="97"/>
      <c r="R47" s="97"/>
      <c r="S47" s="97"/>
      <c r="T47" s="97"/>
      <c r="U47" s="97"/>
      <c r="V47" s="97"/>
      <c r="W47" s="97"/>
      <c r="X47" s="97"/>
      <c r="Y47" s="97"/>
      <c r="Z47" s="98"/>
    </row>
    <row r="48" spans="1:26" ht="43.95" customHeight="1" x14ac:dyDescent="0.3">
      <c r="A48" s="644">
        <v>6</v>
      </c>
      <c r="B48" s="641" t="str">
        <f>'M2-PDOT'!B9</f>
        <v>PDOT.AS.OE1.M1.02</v>
      </c>
      <c r="C48" s="629" t="str">
        <f>'M2-PDOT'!C9</f>
        <v>Asentamientos Humanos</v>
      </c>
      <c r="D48" s="629" t="str">
        <f>'M2-PDOT'!D9</f>
        <v>Gestión para la construcción de nueva infraestructura de tratamiento de aguas residuales</v>
      </c>
      <c r="E48" s="630">
        <f>'M2-PDOT'!E9</f>
        <v>3.8652515641453306E-2</v>
      </c>
      <c r="F48" s="629">
        <f>'M2-PDOT'!F9</f>
        <v>1.5</v>
      </c>
      <c r="G48" s="629">
        <f>'M2-PDOT'!G9</f>
        <v>0</v>
      </c>
      <c r="H48" s="629">
        <f>'M2-PDOT'!H9</f>
        <v>0</v>
      </c>
      <c r="I48" s="629" t="s">
        <v>3742</v>
      </c>
      <c r="J48" s="631">
        <f>'M2-PDOT'!L9</f>
        <v>1269859.46</v>
      </c>
      <c r="K48" s="629" t="s">
        <v>3743</v>
      </c>
      <c r="L48" s="629" t="str">
        <f>'M2-PDOT'!K9</f>
        <v>Dir. Agua Potable y Alcantarillado</v>
      </c>
      <c r="M48" s="629" t="str">
        <f>'M2-PDOT'!N9</f>
        <v>🔴 BAJA</v>
      </c>
      <c r="N48" s="619" t="s">
        <v>4667</v>
      </c>
      <c r="O48" s="373"/>
      <c r="P48" s="97"/>
      <c r="Q48" s="97"/>
      <c r="R48" s="97"/>
      <c r="S48" s="97"/>
      <c r="T48" s="97"/>
      <c r="U48" s="97"/>
      <c r="V48" s="97"/>
      <c r="W48" s="97"/>
      <c r="X48" s="97"/>
      <c r="Y48" s="97"/>
      <c r="Z48" s="98"/>
    </row>
    <row r="49" spans="1:26" ht="43.95" customHeight="1" x14ac:dyDescent="0.3">
      <c r="A49" s="1506">
        <v>7</v>
      </c>
      <c r="B49" s="640" t="str">
        <f>'M2-PDOT'!B10</f>
        <v>PDOT.PI.OE4.M1.01</v>
      </c>
      <c r="C49" s="626" t="str">
        <f>'M2-PDOT'!C10</f>
        <v>Político Institucional</v>
      </c>
      <c r="D49" s="626" t="str">
        <f>'M2-PDOT'!D10</f>
        <v>Implementación de la Transformación digital de los procedimientos institucionales</v>
      </c>
      <c r="E49" s="627">
        <f>'M2-PDOT'!E10</f>
        <v>3.7123041954043229E-2</v>
      </c>
      <c r="F49" s="626">
        <f>'M2-PDOT'!F10</f>
        <v>1</v>
      </c>
      <c r="G49" s="626">
        <f>'M2-PDOT'!G10</f>
        <v>1</v>
      </c>
      <c r="H49" s="626">
        <f>'M2-PDOT'!H10</f>
        <v>1</v>
      </c>
      <c r="I49" s="626" t="s">
        <v>3744</v>
      </c>
      <c r="J49" s="628">
        <f>'M2-PDOT'!L10</f>
        <v>1219611.33</v>
      </c>
      <c r="K49" s="626" t="s">
        <v>3709</v>
      </c>
      <c r="L49" s="626" t="str">
        <f>'M2-PDOT'!K10</f>
        <v>Dir. TICs</v>
      </c>
      <c r="M49" s="626" t="str">
        <f>'M2-PDOT'!N10</f>
        <v>✅ ALINEADA</v>
      </c>
      <c r="N49" s="616" t="s">
        <v>4668</v>
      </c>
      <c r="O49" s="373"/>
      <c r="P49" s="97"/>
      <c r="Q49" s="97"/>
      <c r="R49" s="97"/>
      <c r="S49" s="97"/>
      <c r="T49" s="97"/>
      <c r="U49" s="97"/>
      <c r="V49" s="97"/>
      <c r="W49" s="97"/>
      <c r="X49" s="97"/>
      <c r="Y49" s="97"/>
      <c r="Z49" s="98"/>
    </row>
    <row r="50" spans="1:26" ht="43.95" customHeight="1" x14ac:dyDescent="0.3">
      <c r="A50" s="644">
        <v>8</v>
      </c>
      <c r="B50" s="641" t="str">
        <f>'M2-PDOT'!B11</f>
        <v>PDOT.AV.OE1.M1.01</v>
      </c>
      <c r="C50" s="629" t="str">
        <f>'M2-PDOT'!C11</f>
        <v>Asentamientos Humanos</v>
      </c>
      <c r="D50" s="629" t="str">
        <f>'M2-PDOT'!D11</f>
        <v>Recuperación integral de los espacios públicos</v>
      </c>
      <c r="E50" s="630">
        <f>'M2-PDOT'!E11</f>
        <v>2.7234952877998854E-2</v>
      </c>
      <c r="F50" s="629">
        <f>'M2-PDOT'!F11</f>
        <v>1</v>
      </c>
      <c r="G50" s="629">
        <f>'M2-PDOT'!G11</f>
        <v>1</v>
      </c>
      <c r="H50" s="629">
        <f>'M2-PDOT'!H11</f>
        <v>0.9</v>
      </c>
      <c r="I50" s="629" t="s">
        <v>3745</v>
      </c>
      <c r="J50" s="631">
        <f>'M2-PDOT'!L11</f>
        <v>894755.8</v>
      </c>
      <c r="K50" s="629" t="s">
        <v>3710</v>
      </c>
      <c r="L50" s="629" t="str">
        <f>'M2-PDOT'!K11</f>
        <v>Dir. Planificación</v>
      </c>
      <c r="M50" s="629" t="str">
        <f>'M2-PDOT'!N11</f>
        <v>✅ ALINEADA</v>
      </c>
      <c r="N50" s="619" t="s">
        <v>4669</v>
      </c>
      <c r="O50" s="373"/>
      <c r="P50" s="97"/>
      <c r="Q50" s="97"/>
      <c r="R50" s="97"/>
      <c r="S50" s="97"/>
      <c r="T50" s="97"/>
      <c r="U50" s="97"/>
      <c r="V50" s="97"/>
      <c r="W50" s="97"/>
      <c r="X50" s="97"/>
      <c r="Y50" s="97"/>
      <c r="Z50" s="98"/>
    </row>
    <row r="51" spans="1:26" ht="43.95" customHeight="1" x14ac:dyDescent="0.3">
      <c r="A51" s="1506">
        <v>9</v>
      </c>
      <c r="B51" s="640" t="str">
        <f>'M2-PDOT'!B12</f>
        <v>PDOT.AM.OE3.M1.01</v>
      </c>
      <c r="C51" s="626" t="str">
        <f>'M2-PDOT'!C12</f>
        <v>Ambiental</v>
      </c>
      <c r="D51" s="626" t="str">
        <f>'M2-PDOT'!D12</f>
        <v>Implementación de Infraestructura civil para la mitigación y reducción de impactos ante la susceptib</v>
      </c>
      <c r="E51" s="627">
        <f>'M2-PDOT'!E12</f>
        <v>2.5568272837705033E-2</v>
      </c>
      <c r="F51" s="626">
        <f>'M2-PDOT'!F12</f>
        <v>1.5</v>
      </c>
      <c r="G51" s="626">
        <f>'M2-PDOT'!G12</f>
        <v>0</v>
      </c>
      <c r="H51" s="626">
        <f>'M2-PDOT'!H12</f>
        <v>0.3</v>
      </c>
      <c r="I51" s="626" t="s">
        <v>3746</v>
      </c>
      <c r="J51" s="628">
        <f>'M2-PDOT'!L12</f>
        <v>840000</v>
      </c>
      <c r="K51" s="626" t="s">
        <v>3711</v>
      </c>
      <c r="L51" s="626" t="str">
        <f>'M2-PDOT'!K12</f>
        <v>Dir. Planificación</v>
      </c>
      <c r="M51" s="626" t="str">
        <f>'M2-PDOT'!N12</f>
        <v>🔴 BAJA</v>
      </c>
      <c r="N51" s="616" t="s">
        <v>4670</v>
      </c>
      <c r="O51" s="373"/>
      <c r="P51" s="97"/>
      <c r="Q51" s="97"/>
      <c r="R51" s="97"/>
      <c r="S51" s="97"/>
      <c r="T51" s="97"/>
      <c r="U51" s="97"/>
      <c r="V51" s="97"/>
      <c r="W51" s="97"/>
      <c r="X51" s="97"/>
      <c r="Y51" s="97"/>
      <c r="Z51" s="98"/>
    </row>
    <row r="52" spans="1:26" ht="43.95" customHeight="1" x14ac:dyDescent="0.3">
      <c r="A52" s="644">
        <v>10</v>
      </c>
      <c r="B52" s="641" t="str">
        <f>'M2-PDOT'!B13</f>
        <v>PDOT.FA.OE4.AH.02</v>
      </c>
      <c r="C52" s="629" t="str">
        <f>'M2-PDOT'!C13</f>
        <v>Físico Ambiental</v>
      </c>
      <c r="D52" s="629" t="str">
        <f>'M2-PDOT'!D13</f>
        <v>Mejorando la capacidad de
disposición final de desechos sólidos</v>
      </c>
      <c r="E52" s="630">
        <f>'M2-PDOT'!E13</f>
        <v>2.2791758387949959E-2</v>
      </c>
      <c r="F52" s="629">
        <f>'M2-PDOT'!F13</f>
        <v>1</v>
      </c>
      <c r="G52" s="629">
        <f>'M2-PDOT'!G13</f>
        <v>1</v>
      </c>
      <c r="H52" s="629">
        <f>'M2-PDOT'!H13</f>
        <v>0.4</v>
      </c>
      <c r="I52" s="629" t="s">
        <v>3747</v>
      </c>
      <c r="J52" s="631">
        <f>'M2-PDOT'!L13</f>
        <v>748782.57</v>
      </c>
      <c r="K52" s="629" t="s">
        <v>3712</v>
      </c>
      <c r="L52" s="629" t="str">
        <f>'M2-PDOT'!K13</f>
        <v>Dir. Gestión Ambiental</v>
      </c>
      <c r="M52" s="629" t="str">
        <f>'M2-PDOT'!N13</f>
        <v>⚠️ PARCIAL</v>
      </c>
      <c r="N52" s="619" t="s">
        <v>4671</v>
      </c>
      <c r="O52" s="373"/>
      <c r="P52" s="97"/>
      <c r="Q52" s="97"/>
      <c r="R52" s="97"/>
      <c r="S52" s="97"/>
      <c r="T52" s="97"/>
      <c r="U52" s="97"/>
      <c r="V52" s="97"/>
      <c r="W52" s="97"/>
      <c r="X52" s="97"/>
      <c r="Y52" s="97"/>
      <c r="Z52" s="98"/>
    </row>
    <row r="53" spans="1:26" ht="43.95" customHeight="1" x14ac:dyDescent="0.3">
      <c r="A53" s="1506">
        <v>11</v>
      </c>
      <c r="B53" s="640" t="str">
        <f>'M2-PDOT'!B14</f>
        <v>PDOT.FA.OE1.PV.01</v>
      </c>
      <c r="C53" s="626" t="str">
        <f>'M2-PDOT'!C14</f>
        <v>Físico Ambiental</v>
      </c>
      <c r="D53" s="626" t="str">
        <f>'M2-PDOT'!D14</f>
        <v>Desarrollo de la red Verde y recuperación del espacio público</v>
      </c>
      <c r="E53" s="627">
        <f>'M2-PDOT'!E14</f>
        <v>1.8567422225707814E-2</v>
      </c>
      <c r="F53" s="626">
        <f>'M2-PDOT'!F14</f>
        <v>1</v>
      </c>
      <c r="G53" s="626">
        <f>'M2-PDOT'!G14</f>
        <v>1</v>
      </c>
      <c r="H53" s="626">
        <f>'M2-PDOT'!H14</f>
        <v>0.5</v>
      </c>
      <c r="I53" s="626" t="s">
        <v>447</v>
      </c>
      <c r="J53" s="628">
        <f>'M2-PDOT'!L14</f>
        <v>609999.54</v>
      </c>
      <c r="K53" s="626" t="s">
        <v>3748</v>
      </c>
      <c r="L53" s="626" t="str">
        <f>'M2-PDOT'!K14</f>
        <v>Dir. Gestión Ambiental</v>
      </c>
      <c r="M53" s="626" t="str">
        <f>'M2-PDOT'!N14</f>
        <v>⚠️ PARCIAL</v>
      </c>
      <c r="N53" s="616" t="s">
        <v>4672</v>
      </c>
      <c r="O53" s="373"/>
      <c r="P53" s="97"/>
      <c r="Q53" s="97"/>
      <c r="R53" s="97"/>
      <c r="S53" s="97"/>
      <c r="T53" s="97"/>
      <c r="U53" s="97"/>
      <c r="V53" s="97"/>
      <c r="W53" s="97"/>
      <c r="X53" s="97"/>
      <c r="Y53" s="97"/>
      <c r="Z53" s="98"/>
    </row>
    <row r="54" spans="1:26" ht="43.95" customHeight="1" x14ac:dyDescent="0.3">
      <c r="A54" s="644">
        <v>12</v>
      </c>
      <c r="B54" s="641" t="str">
        <f>'M2-PDOT'!B15</f>
        <v>PDOT.PI.OE4.M2.01</v>
      </c>
      <c r="C54" s="629" t="str">
        <f>'M2-PDOT'!C15</f>
        <v>Político Institucional</v>
      </c>
      <c r="D54" s="629" t="str">
        <f>'M2-PDOT'!D15</f>
        <v>Fortalecimiento del Sistema de Información Territorial Municipal</v>
      </c>
      <c r="E54" s="630">
        <f>'M2-PDOT'!E15</f>
        <v>1.8292145981963669E-2</v>
      </c>
      <c r="F54" s="629">
        <f>'M2-PDOT'!F15</f>
        <v>1</v>
      </c>
      <c r="G54" s="629">
        <f>'M2-PDOT'!G15</f>
        <v>0</v>
      </c>
      <c r="H54" s="629">
        <f>'M2-PDOT'!H15</f>
        <v>0</v>
      </c>
      <c r="I54" s="629" t="s">
        <v>3749</v>
      </c>
      <c r="J54" s="631">
        <f>'M2-PDOT'!L15</f>
        <v>600955.82999999996</v>
      </c>
      <c r="K54" s="629" t="s">
        <v>3713</v>
      </c>
      <c r="L54" s="629" t="str">
        <f>'M2-PDOT'!K15</f>
        <v>Dir. TICs</v>
      </c>
      <c r="M54" s="629" t="str">
        <f>'M2-PDOT'!N15</f>
        <v>🔴 BAJA</v>
      </c>
      <c r="N54" s="619" t="s">
        <v>4673</v>
      </c>
      <c r="O54" s="373"/>
      <c r="P54" s="97"/>
      <c r="Q54" s="97"/>
      <c r="R54" s="97"/>
      <c r="S54" s="97"/>
      <c r="T54" s="97"/>
      <c r="U54" s="97"/>
      <c r="V54" s="97"/>
      <c r="W54" s="97"/>
      <c r="X54" s="97"/>
      <c r="Y54" s="97"/>
      <c r="Z54" s="98"/>
    </row>
    <row r="55" spans="1:26" ht="43.95" customHeight="1" x14ac:dyDescent="0.3">
      <c r="A55" s="1506">
        <v>13</v>
      </c>
      <c r="B55" s="640" t="str">
        <f>'M2-PDOT'!B16</f>
        <v>PDOT.PI.OE4.FI.01</v>
      </c>
      <c r="C55" s="626" t="str">
        <f>'M2-PDOT'!C16</f>
        <v>Político Institucional</v>
      </c>
      <c r="D55" s="626" t="str">
        <f>'M2-PDOT'!D16</f>
        <v>Desarrollo e implementación de Planes Estratégicos Institucionales</v>
      </c>
      <c r="E55" s="627">
        <f>'M2-PDOT'!E16</f>
        <v>1.2570245641197094E-2</v>
      </c>
      <c r="F55" s="626">
        <f>'M2-PDOT'!F16</f>
        <v>1</v>
      </c>
      <c r="G55" s="626">
        <f>'M2-PDOT'!G16</f>
        <v>1</v>
      </c>
      <c r="H55" s="626">
        <f>'M2-PDOT'!H16</f>
        <v>0.3</v>
      </c>
      <c r="I55" s="626" t="s">
        <v>620</v>
      </c>
      <c r="J55" s="628">
        <f>'M2-PDOT'!L16</f>
        <v>412973</v>
      </c>
      <c r="K55" s="626" t="s">
        <v>3714</v>
      </c>
      <c r="L55" s="626" t="str">
        <f>'M2-PDOT'!K16</f>
        <v>Dir. Planificación</v>
      </c>
      <c r="M55" s="626" t="str">
        <f>'M2-PDOT'!N16</f>
        <v>⚠️ PARCIAL</v>
      </c>
      <c r="N55" s="616" t="s">
        <v>4674</v>
      </c>
      <c r="O55" s="373"/>
      <c r="P55" s="97"/>
      <c r="Q55" s="97"/>
      <c r="R55" s="97"/>
      <c r="S55" s="97"/>
      <c r="T55" s="97"/>
      <c r="U55" s="97"/>
      <c r="V55" s="97"/>
      <c r="W55" s="97"/>
      <c r="X55" s="97"/>
      <c r="Y55" s="97"/>
      <c r="Z55" s="98"/>
    </row>
    <row r="56" spans="1:26" ht="43.95" customHeight="1" x14ac:dyDescent="0.3">
      <c r="A56" s="644">
        <v>14</v>
      </c>
      <c r="B56" s="641" t="str">
        <f>'M2-PDOT'!B17</f>
        <v>PDOT.AS.VV.HB.01</v>
      </c>
      <c r="C56" s="629" t="str">
        <f>'M2-PDOT'!C17</f>
        <v>Asentamientos Humanos</v>
      </c>
      <c r="D56" s="629" t="str">
        <f>'M2-PDOT'!D17</f>
        <v>Repoteciación de viviendas en
condiciones precarias</v>
      </c>
      <c r="E56" s="630">
        <f>'M2-PDOT'!E17</f>
        <v>9.8620480945433697E-3</v>
      </c>
      <c r="F56" s="629">
        <f>'M2-PDOT'!F17</f>
        <v>1</v>
      </c>
      <c r="G56" s="629">
        <f>'M2-PDOT'!G17</f>
        <v>1</v>
      </c>
      <c r="H56" s="629">
        <f>'M2-PDOT'!H17</f>
        <v>1</v>
      </c>
      <c r="I56" s="629" t="s">
        <v>3750</v>
      </c>
      <c r="J56" s="631">
        <f>'M2-PDOT'!L17</f>
        <v>324000</v>
      </c>
      <c r="K56" s="629" t="s">
        <v>3715</v>
      </c>
      <c r="L56" s="629" t="str">
        <f>'M2-PDOT'!K17</f>
        <v>Dir. Planificación Territorial</v>
      </c>
      <c r="M56" s="629" t="str">
        <f>'M2-PDOT'!N17</f>
        <v>✅ ALINEADA</v>
      </c>
      <c r="N56" s="619" t="s">
        <v>4675</v>
      </c>
      <c r="O56" s="373"/>
      <c r="P56" s="97"/>
      <c r="Q56" s="97"/>
      <c r="R56" s="97"/>
      <c r="S56" s="97"/>
      <c r="T56" s="97"/>
      <c r="U56" s="97"/>
      <c r="V56" s="97"/>
      <c r="W56" s="97"/>
      <c r="X56" s="97"/>
      <c r="Y56" s="97"/>
      <c r="Z56" s="98"/>
    </row>
    <row r="57" spans="1:26" ht="43.95" customHeight="1" x14ac:dyDescent="0.3">
      <c r="A57" s="1506">
        <v>15</v>
      </c>
      <c r="B57" s="640" t="str">
        <f>'M2-PDOT'!B18</f>
        <v>PDOT.SC.PA.CP.01</v>
      </c>
      <c r="C57" s="626" t="str">
        <f>'M2-PDOT'!C18</f>
        <v>Socio Cultural</v>
      </c>
      <c r="D57" s="626" t="str">
        <f>'M2-PDOT'!D18</f>
        <v>Generación del Catastro
y clasificación de artistas y gestores culturales en el RUAC (Registro Único</v>
      </c>
      <c r="E57" s="627">
        <f>'M2-PDOT'!E18</f>
        <v>8.6459571177000243E-3</v>
      </c>
      <c r="F57" s="626">
        <f>'M2-PDOT'!F18</f>
        <v>0.5</v>
      </c>
      <c r="G57" s="626">
        <f>'M2-PDOT'!G18</f>
        <v>0</v>
      </c>
      <c r="H57" s="626">
        <f>'M2-PDOT'!H18</f>
        <v>0.2</v>
      </c>
      <c r="I57" s="626" t="s">
        <v>3751</v>
      </c>
      <c r="J57" s="628">
        <f>'M2-PDOT'!L18</f>
        <v>284047.5</v>
      </c>
      <c r="K57" s="626" t="s">
        <v>3752</v>
      </c>
      <c r="L57" s="626" t="str">
        <f>'M2-PDOT'!K18</f>
        <v>Dir. Cultura</v>
      </c>
      <c r="M57" s="626" t="str">
        <f>'M2-PDOT'!N18</f>
        <v>🔴 BAJA</v>
      </c>
      <c r="N57" s="616" t="s">
        <v>4676</v>
      </c>
      <c r="O57" s="373"/>
      <c r="P57" s="97"/>
      <c r="Q57" s="97"/>
      <c r="R57" s="97"/>
      <c r="S57" s="97"/>
      <c r="T57" s="97"/>
      <c r="U57" s="97"/>
      <c r="V57" s="97"/>
      <c r="W57" s="97"/>
      <c r="X57" s="97"/>
      <c r="Y57" s="97"/>
      <c r="Z57" s="98"/>
    </row>
    <row r="58" spans="1:26" ht="43.95" customHeight="1" x14ac:dyDescent="0.3">
      <c r="A58" s="644">
        <v>16</v>
      </c>
      <c r="B58" s="641" t="str">
        <f>'M2-PDOT'!B19</f>
        <v>PDOT.EP.OE5.PD.01</v>
      </c>
      <c r="C58" s="629" t="str">
        <f>'M2-PDOT'!C19</f>
        <v>Económico Productivo</v>
      </c>
      <c r="D58" s="629" t="str">
        <f>'M2-PDOT'!D19</f>
        <v>Implementación de Ferias Productivas
y Feria de Negocios para Emprendedores del Cantón Montecristi</v>
      </c>
      <c r="E58" s="630">
        <f>'M2-PDOT'!E19</f>
        <v>3.3410244747549434E-3</v>
      </c>
      <c r="F58" s="629">
        <f>'M2-PDOT'!F19</f>
        <v>0.5</v>
      </c>
      <c r="G58" s="629">
        <f>'M2-PDOT'!G19</f>
        <v>1</v>
      </c>
      <c r="H58" s="629">
        <f>'M2-PDOT'!H19</f>
        <v>0.7</v>
      </c>
      <c r="I58" s="629" t="s">
        <v>3753</v>
      </c>
      <c r="J58" s="631">
        <f>'M2-PDOT'!L19</f>
        <v>109763.4</v>
      </c>
      <c r="K58" s="629" t="s">
        <v>3716</v>
      </c>
      <c r="L58" s="629" t="str">
        <f>'M2-PDOT'!K19</f>
        <v>Dir. Desarrollo Económico</v>
      </c>
      <c r="M58" s="629" t="str">
        <f>'M2-PDOT'!N19</f>
        <v>✅ ALINEADA</v>
      </c>
      <c r="N58" s="619" t="s">
        <v>4677</v>
      </c>
      <c r="O58" s="373"/>
      <c r="P58" s="97"/>
      <c r="Q58" s="97"/>
      <c r="R58" s="97"/>
      <c r="S58" s="97"/>
      <c r="T58" s="97"/>
      <c r="U58" s="97"/>
      <c r="V58" s="97"/>
      <c r="W58" s="97"/>
      <c r="X58" s="97"/>
      <c r="Y58" s="97"/>
      <c r="Z58" s="98"/>
    </row>
    <row r="59" spans="1:26" ht="43.95" customHeight="1" x14ac:dyDescent="0.3">
      <c r="A59" s="1506">
        <v>17</v>
      </c>
      <c r="B59" s="640" t="str">
        <f>'M2-PDOT'!B20</f>
        <v>PDOT.SC.PA.CP.02</v>
      </c>
      <c r="C59" s="626" t="str">
        <f>'M2-PDOT'!C20</f>
        <v>Socio Cultural</v>
      </c>
      <c r="D59" s="626" t="str">
        <f>'M2-PDOT'!D20</f>
        <v>Creación del Inventario del Patrimonio Cultural de Montecristi</v>
      </c>
      <c r="E59" s="627">
        <f>'M2-PDOT'!E20</f>
        <v>6.5260407845644242E-3</v>
      </c>
      <c r="F59" s="626">
        <f>'M2-PDOT'!F20</f>
        <v>0.5</v>
      </c>
      <c r="G59" s="626">
        <f>'M2-PDOT'!G20</f>
        <v>1</v>
      </c>
      <c r="H59" s="626">
        <f>'M2-PDOT'!H20</f>
        <v>1</v>
      </c>
      <c r="I59" s="626" t="s">
        <v>596</v>
      </c>
      <c r="J59" s="628">
        <f>'M2-PDOT'!L20</f>
        <v>214401.43</v>
      </c>
      <c r="K59" s="626" t="s">
        <v>3754</v>
      </c>
      <c r="L59" s="626" t="str">
        <f>'M2-PDOT'!K20</f>
        <v>Dir. Cultura</v>
      </c>
      <c r="M59" s="626" t="str">
        <f>'M2-PDOT'!N20</f>
        <v>✅ ALINEADA</v>
      </c>
      <c r="N59" s="616" t="s">
        <v>4678</v>
      </c>
      <c r="O59" s="373"/>
      <c r="P59" s="97"/>
      <c r="Q59" s="97"/>
      <c r="R59" s="97"/>
      <c r="S59" s="97"/>
      <c r="T59" s="97"/>
      <c r="U59" s="97"/>
      <c r="V59" s="97"/>
      <c r="W59" s="97"/>
      <c r="X59" s="97"/>
      <c r="Y59" s="97"/>
      <c r="Z59" s="98"/>
    </row>
    <row r="60" spans="1:26" ht="43.95" customHeight="1" x14ac:dyDescent="0.3">
      <c r="A60" s="644">
        <v>18</v>
      </c>
      <c r="B60" s="641" t="str">
        <f>'M2-PDOT'!B21</f>
        <v>PDOT.AS.VL.SV.01</v>
      </c>
      <c r="C60" s="629" t="str">
        <f>'M2-PDOT'!C21</f>
        <v>Asentamientos Humanos</v>
      </c>
      <c r="D60" s="629" t="str">
        <f>'M2-PDOT'!D21</f>
        <v>Mejora del servicio deTransporte Público</v>
      </c>
      <c r="E60" s="630">
        <f>'M2-PDOT'!E21</f>
        <v>4.6570782668677018E-3</v>
      </c>
      <c r="F60" s="629">
        <f>'M2-PDOT'!F21</f>
        <v>1</v>
      </c>
      <c r="G60" s="629">
        <f>'M2-PDOT'!G21</f>
        <v>1</v>
      </c>
      <c r="H60" s="629">
        <f>'M2-PDOT'!H21</f>
        <v>0.35</v>
      </c>
      <c r="I60" s="629" t="s">
        <v>3755</v>
      </c>
      <c r="J60" s="631">
        <f>'M2-PDOT'!L21</f>
        <v>153000</v>
      </c>
      <c r="K60" s="629" t="s">
        <v>3717</v>
      </c>
      <c r="L60" s="629" t="str">
        <f>'M2-PDOT'!K21</f>
        <v>Dir. Tránsito y Transporte</v>
      </c>
      <c r="M60" s="629" t="str">
        <f>'M2-PDOT'!N21</f>
        <v>⚠️ PARCIAL</v>
      </c>
      <c r="N60" s="619" t="s">
        <v>4679</v>
      </c>
      <c r="O60" s="373"/>
      <c r="P60" s="97"/>
      <c r="Q60" s="97"/>
      <c r="R60" s="97"/>
      <c r="S60" s="97"/>
      <c r="T60" s="97"/>
      <c r="U60" s="97"/>
      <c r="V60" s="97"/>
      <c r="W60" s="97"/>
      <c r="X60" s="97"/>
      <c r="Y60" s="97"/>
      <c r="Z60" s="98"/>
    </row>
    <row r="61" spans="1:26" ht="43.95" customHeight="1" x14ac:dyDescent="0.3">
      <c r="A61" s="1506">
        <v>19</v>
      </c>
      <c r="B61" s="640" t="str">
        <f>'M2-PDOT'!B22</f>
        <v>PDOT.SC.OE2.M2.01</v>
      </c>
      <c r="C61" s="626" t="str">
        <f>'M2-PDOT'!C22</f>
        <v>Socio Cultural</v>
      </c>
      <c r="D61" s="626" t="str">
        <f>'M2-PDOT'!D22</f>
        <v>Fortalecimiento para la reducción de indicadores territoriales del cantón Montecristi relacionados a</v>
      </c>
      <c r="E61" s="627">
        <f>'M2-PDOT'!E22</f>
        <v>4.3831324864637197E-3</v>
      </c>
      <c r="F61" s="626">
        <f>'M2-PDOT'!F22</f>
        <v>1</v>
      </c>
      <c r="G61" s="626">
        <f>'M2-PDOT'!G22</f>
        <v>1</v>
      </c>
      <c r="H61" s="626">
        <f>'M2-PDOT'!H22</f>
        <v>0.3</v>
      </c>
      <c r="I61" s="626" t="s">
        <v>3756</v>
      </c>
      <c r="J61" s="628">
        <f>'M2-PDOT'!L22</f>
        <v>144000</v>
      </c>
      <c r="K61" s="626" t="s">
        <v>3718</v>
      </c>
      <c r="L61" s="626" t="str">
        <f>'M2-PDOT'!K22</f>
        <v>Dir. Planificación</v>
      </c>
      <c r="M61" s="626" t="str">
        <f>'M2-PDOT'!N22</f>
        <v>⚠️ PARCIAL</v>
      </c>
      <c r="N61" s="616" t="s">
        <v>4680</v>
      </c>
      <c r="O61" s="373"/>
      <c r="P61" s="97"/>
      <c r="Q61" s="97"/>
      <c r="R61" s="97"/>
      <c r="S61" s="97"/>
      <c r="T61" s="97"/>
      <c r="U61" s="97"/>
      <c r="V61" s="97"/>
      <c r="W61" s="97"/>
      <c r="X61" s="97"/>
      <c r="Y61" s="97"/>
      <c r="Z61" s="98"/>
    </row>
    <row r="62" spans="1:26" s="23" customFormat="1" ht="43.95" customHeight="1" thickBot="1" x14ac:dyDescent="0.35">
      <c r="A62" s="645">
        <v>20</v>
      </c>
      <c r="B62" s="642" t="str">
        <f>'M2-PDOT'!B23</f>
        <v>PDOT.FA.OE2.MA.01</v>
      </c>
      <c r="C62" s="632">
        <f>'M2-PDOT'!C23</f>
        <v>0</v>
      </c>
      <c r="D62" s="632">
        <f>'M2-PDOT'!D23</f>
        <v>0</v>
      </c>
      <c r="E62" s="633">
        <f>'M2-PDOT'!E23</f>
        <v>0</v>
      </c>
      <c r="F62" s="632">
        <f>'M2-PDOT'!F23</f>
        <v>0</v>
      </c>
      <c r="G62" s="632">
        <f>'M2-PDOT'!G23</f>
        <v>0</v>
      </c>
      <c r="H62" s="632">
        <f>'M2-PDOT'!H23</f>
        <v>0</v>
      </c>
      <c r="I62" s="632" t="s">
        <v>3757</v>
      </c>
      <c r="J62" s="634">
        <f>'M2-PDOT'!L23</f>
        <v>0</v>
      </c>
      <c r="K62" s="632" t="s">
        <v>3758</v>
      </c>
      <c r="L62" s="632">
        <f>'M2-PDOT'!K23</f>
        <v>0</v>
      </c>
      <c r="M62" s="632">
        <f>'M2-PDOT'!N23</f>
        <v>0</v>
      </c>
      <c r="N62" s="635" t="s">
        <v>4681</v>
      </c>
      <c r="O62" s="375"/>
      <c r="P62" s="141"/>
      <c r="Q62" s="141"/>
      <c r="R62" s="141"/>
      <c r="S62" s="141"/>
      <c r="T62" s="141"/>
      <c r="U62" s="141"/>
      <c r="V62" s="141"/>
      <c r="W62" s="141"/>
      <c r="X62" s="141"/>
      <c r="Y62" s="141"/>
      <c r="Z62" s="142"/>
    </row>
    <row r="63" spans="1:26" ht="24" customHeight="1" thickTop="1" thickBot="1" x14ac:dyDescent="0.35">
      <c r="A63" s="1557" t="s">
        <v>656</v>
      </c>
      <c r="B63" s="1697" t="s">
        <v>3759</v>
      </c>
      <c r="C63" s="1698"/>
      <c r="D63" s="1698"/>
      <c r="E63" s="1698"/>
      <c r="F63" s="1698"/>
      <c r="G63" s="1698"/>
      <c r="H63" s="1698"/>
      <c r="I63" s="1698"/>
      <c r="J63" s="1698"/>
      <c r="K63" s="1698"/>
      <c r="L63" s="1698"/>
      <c r="M63" s="1698"/>
      <c r="N63" s="1699"/>
      <c r="O63" s="373"/>
      <c r="P63" s="97"/>
      <c r="Q63" s="97"/>
      <c r="R63" s="97"/>
      <c r="S63" s="97"/>
      <c r="T63" s="97"/>
      <c r="U63" s="97"/>
      <c r="V63" s="97"/>
      <c r="W63" s="97"/>
      <c r="X63" s="97"/>
      <c r="Y63" s="97"/>
      <c r="Z63" s="98"/>
    </row>
    <row r="64" spans="1:26" ht="55.05" customHeight="1" thickTop="1" x14ac:dyDescent="0.3">
      <c r="A64" s="1558" t="s">
        <v>3719</v>
      </c>
      <c r="B64" s="1700" t="s">
        <v>3720</v>
      </c>
      <c r="C64" s="1701"/>
      <c r="D64" s="1701"/>
      <c r="E64" s="1701"/>
      <c r="F64" s="1701"/>
      <c r="G64" s="1701"/>
      <c r="H64" s="1701"/>
      <c r="I64" s="1701"/>
      <c r="J64" s="1701"/>
      <c r="K64" s="1701"/>
      <c r="L64" s="1701"/>
      <c r="M64" s="1701"/>
      <c r="N64" s="1702"/>
      <c r="O64" s="376"/>
      <c r="P64" s="109"/>
      <c r="Q64" s="109"/>
      <c r="R64" s="109"/>
      <c r="S64" s="109"/>
      <c r="T64" s="109"/>
      <c r="U64" s="109"/>
      <c r="V64" s="109"/>
      <c r="W64" s="109"/>
      <c r="X64" s="109"/>
      <c r="Y64" s="109"/>
      <c r="Z64" s="110"/>
    </row>
  </sheetData>
  <mergeCells count="6">
    <mergeCell ref="B63:N63"/>
    <mergeCell ref="B64:N64"/>
    <mergeCell ref="A1:N1"/>
    <mergeCell ref="A41:N41"/>
    <mergeCell ref="A3:N3"/>
    <mergeCell ref="B40:N40"/>
  </mergeCells>
  <hyperlinks>
    <hyperlink ref="Z1" location="'M-INDEX'!A1" tooltip="Volver al Índice Principal" display="⌂ ÍNDICE" xr:uid="{5FE4A030-C123-48F1-B456-7AAE6F99A987}"/>
  </hyperlink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6E0B4"/>
  </sheetPr>
  <dimension ref="A1:N28"/>
  <sheetViews>
    <sheetView showGridLines="0" zoomScale="50" zoomScaleNormal="50" workbookViewId="0">
      <pane ySplit="4" topLeftCell="A5" activePane="bottomLeft" state="frozen"/>
      <selection pane="bottomLeft" sqref="A1:Z1"/>
    </sheetView>
  </sheetViews>
  <sheetFormatPr baseColWidth="10" defaultRowHeight="14.4" x14ac:dyDescent="0.3"/>
  <cols>
    <col min="1" max="1" width="5.21875" style="4" customWidth="1"/>
    <col min="2" max="2" width="17.5546875" style="2" customWidth="1"/>
    <col min="3" max="3" width="13.88671875" style="4" customWidth="1"/>
    <col min="4" max="4" width="29.6640625" style="4" customWidth="1"/>
    <col min="5" max="5" width="9.21875" customWidth="1"/>
    <col min="6" max="10" width="8.33203125" customWidth="1"/>
    <col min="11" max="11" width="18.5546875" customWidth="1"/>
    <col min="12" max="12" width="13" customWidth="1"/>
    <col min="13" max="13" width="16.6640625" style="4" customWidth="1"/>
    <col min="14" max="14" width="13.88671875" style="4" customWidth="1"/>
    <col min="15" max="16384" width="11.5546875" style="4"/>
  </cols>
  <sheetData>
    <row r="1" spans="1:14" ht="28.05" customHeight="1" thickBot="1" x14ac:dyDescent="0.35">
      <c r="A1" s="1922" t="s">
        <v>4778</v>
      </c>
      <c r="B1" s="1712"/>
      <c r="C1" s="1712"/>
      <c r="D1" s="1712"/>
      <c r="E1" s="1712"/>
      <c r="F1" s="1712"/>
      <c r="G1" s="1712"/>
      <c r="H1" s="1712"/>
      <c r="I1" s="1712"/>
      <c r="J1" s="1712"/>
      <c r="K1" s="1712"/>
      <c r="L1" s="1712"/>
      <c r="M1" s="1712"/>
      <c r="N1" s="1712"/>
    </row>
    <row r="2" spans="1:14" ht="19.95" customHeight="1" x14ac:dyDescent="0.3">
      <c r="A2" s="472" t="str">
        <f>HYPERLINK("#'M-INDEX'!A1","⌂ INDICE")</f>
        <v>⌂ INDICE</v>
      </c>
      <c r="B2" s="472" t="str">
        <f>HYPERLINK("#'M1-ITME'!A1","M1")</f>
        <v>M1</v>
      </c>
      <c r="C2" s="472" t="str">
        <f>HYPERLINK("#'M2-PDOT'!A1","◉ M2-PDOT")</f>
        <v>◉ M2-PDOT</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497"/>
      <c r="N2" s="497"/>
    </row>
    <row r="3" spans="1:14" s="89" customFormat="1" ht="16.05" customHeight="1" thickBot="1" x14ac:dyDescent="0.35">
      <c r="A3" s="550" t="s">
        <v>4057</v>
      </c>
      <c r="B3" s="551" t="s">
        <v>4087</v>
      </c>
      <c r="C3" s="551" t="s">
        <v>3705</v>
      </c>
      <c r="D3" s="551" t="s">
        <v>664</v>
      </c>
      <c r="E3" s="551" t="s">
        <v>665</v>
      </c>
      <c r="F3" s="551" t="s">
        <v>666</v>
      </c>
      <c r="G3" s="551" t="s">
        <v>667</v>
      </c>
      <c r="H3" s="551" t="s">
        <v>668</v>
      </c>
      <c r="I3" s="551" t="s">
        <v>669</v>
      </c>
      <c r="J3" s="551" t="s">
        <v>670</v>
      </c>
      <c r="K3" s="551" t="s">
        <v>671</v>
      </c>
      <c r="L3" s="551" t="s">
        <v>672</v>
      </c>
      <c r="M3" s="551" t="s">
        <v>673</v>
      </c>
      <c r="N3" s="552" t="s">
        <v>441</v>
      </c>
    </row>
    <row r="4" spans="1:14" s="88" customFormat="1" ht="30" customHeight="1" thickTop="1" x14ac:dyDescent="0.3">
      <c r="A4" s="610">
        <v>1</v>
      </c>
      <c r="B4" s="606" t="s">
        <v>539</v>
      </c>
      <c r="C4" s="584" t="s">
        <v>489</v>
      </c>
      <c r="D4" s="584" t="s">
        <v>674</v>
      </c>
      <c r="E4" s="646">
        <f t="shared" ref="E4:E22" si="0">L4/L$24</f>
        <v>0.3315584274613419</v>
      </c>
      <c r="F4" s="646">
        <v>1</v>
      </c>
      <c r="G4" s="646">
        <f>IFERROR(VLOOKUP(B4,'M4-AUDIT'!$A$5:$H$24,MATCH("Vi",'M4-AUDIT'!$A$4:$H$4,0),0),0)</f>
        <v>1</v>
      </c>
      <c r="H4" s="646">
        <f>IFERROR(VLOOKUP(B4,'M4-AUDIT'!$A$5:$H$24,MATCH("Ti (H)",'M4-AUDIT'!$A$4:$H$4,0),0),0)</f>
        <v>0.25</v>
      </c>
      <c r="I4" s="646">
        <v>1</v>
      </c>
      <c r="J4" s="646">
        <v>1</v>
      </c>
      <c r="K4" s="584" t="s">
        <v>675</v>
      </c>
      <c r="L4" s="647">
        <v>10892760.76</v>
      </c>
      <c r="M4" s="584" t="s">
        <v>676</v>
      </c>
      <c r="N4" s="613" t="s">
        <v>456</v>
      </c>
    </row>
    <row r="5" spans="1:14" s="24" customFormat="1" ht="31.95" customHeight="1" x14ac:dyDescent="0.3">
      <c r="A5" s="920">
        <v>2</v>
      </c>
      <c r="B5" s="636" t="s">
        <v>43</v>
      </c>
      <c r="C5" s="614" t="s">
        <v>564</v>
      </c>
      <c r="D5" s="614" t="s">
        <v>677</v>
      </c>
      <c r="E5" s="648">
        <f t="shared" si="0"/>
        <v>0.17737919272791763</v>
      </c>
      <c r="F5" s="648">
        <v>1</v>
      </c>
      <c r="G5" s="648">
        <f>IFERROR(VLOOKUP(B5,'M4-AUDIT'!$A$5:$H$24,MATCH("Vi",'M4-AUDIT'!$A$4:$H$4,0),0),0)</f>
        <v>1</v>
      </c>
      <c r="H5" s="648">
        <f>IFERROR(VLOOKUP(B5,'M4-AUDIT'!$A$5:$H$24,MATCH("Ti (H)",'M4-AUDIT'!$A$4:$H$4,0),0),0)</f>
        <v>0.65</v>
      </c>
      <c r="I5" s="648">
        <v>0.9</v>
      </c>
      <c r="J5" s="648">
        <v>1</v>
      </c>
      <c r="K5" s="614" t="s">
        <v>678</v>
      </c>
      <c r="L5" s="649">
        <v>5827477</v>
      </c>
      <c r="M5" s="615" t="s">
        <v>679</v>
      </c>
      <c r="N5" s="650" t="s">
        <v>456</v>
      </c>
    </row>
    <row r="6" spans="1:14" s="25" customFormat="1" ht="31.95" customHeight="1" x14ac:dyDescent="0.25">
      <c r="A6" s="658">
        <v>3</v>
      </c>
      <c r="B6" s="657" t="s">
        <v>487</v>
      </c>
      <c r="C6" s="629" t="s">
        <v>680</v>
      </c>
      <c r="D6" s="629" t="s">
        <v>681</v>
      </c>
      <c r="E6" s="630">
        <f t="shared" si="0"/>
        <v>0.152251843537762</v>
      </c>
      <c r="F6" s="630">
        <v>1</v>
      </c>
      <c r="G6" s="630">
        <f>IFERROR(VLOOKUP(B6,'M4-AUDIT'!$A$5:$H$24,MATCH("Vi",'M4-AUDIT'!$A$4:$H$4,0),0),0)</f>
        <v>1</v>
      </c>
      <c r="H6" s="630">
        <f>IFERROR(VLOOKUP(B6,'M4-AUDIT'!$A$5:$H$24,MATCH("Ti (H)",'M4-AUDIT'!$A$4:$H$4,0),0),0)</f>
        <v>0.75</v>
      </c>
      <c r="I6" s="630">
        <v>1</v>
      </c>
      <c r="J6" s="630">
        <v>1</v>
      </c>
      <c r="K6" s="629" t="s">
        <v>682</v>
      </c>
      <c r="L6" s="631">
        <v>5001962.76</v>
      </c>
      <c r="M6" s="652" t="s">
        <v>683</v>
      </c>
      <c r="N6" s="653" t="s">
        <v>456</v>
      </c>
    </row>
    <row r="7" spans="1:14" s="19" customFormat="1" ht="31.95" customHeight="1" x14ac:dyDescent="0.25">
      <c r="A7" s="920">
        <v>4</v>
      </c>
      <c r="B7" s="636" t="s">
        <v>687</v>
      </c>
      <c r="C7" s="626" t="s">
        <v>489</v>
      </c>
      <c r="D7" s="626" t="s">
        <v>684</v>
      </c>
      <c r="E7" s="627">
        <f t="shared" si="0"/>
        <v>5.1556595872029501E-2</v>
      </c>
      <c r="F7" s="627">
        <v>1</v>
      </c>
      <c r="G7" s="627">
        <f>IFERROR(VLOOKUP(B7,'M4-AUDIT'!$A$5:$H$24,MATCH("Vi",'M4-AUDIT'!$A$4:$H$4,0),0),0)</f>
        <v>0</v>
      </c>
      <c r="H7" s="627">
        <f>IFERROR(VLOOKUP(B7,'M4-AUDIT'!$A$5:$H$24,MATCH("Ti (H)",'M4-AUDIT'!$A$4:$H$4,0),0),0)</f>
        <v>0.1</v>
      </c>
      <c r="I7" s="627">
        <v>1</v>
      </c>
      <c r="J7" s="627">
        <v>1</v>
      </c>
      <c r="K7" s="626" t="s">
        <v>134</v>
      </c>
      <c r="L7" s="628">
        <v>1693800</v>
      </c>
      <c r="M7" s="654" t="s">
        <v>679</v>
      </c>
      <c r="N7" s="650" t="s">
        <v>451</v>
      </c>
    </row>
    <row r="8" spans="1:14" s="19" customFormat="1" ht="31.95" customHeight="1" x14ac:dyDescent="0.25">
      <c r="A8" s="658">
        <v>5</v>
      </c>
      <c r="B8" s="657" t="s">
        <v>53</v>
      </c>
      <c r="C8" s="629" t="s">
        <v>564</v>
      </c>
      <c r="D8" s="629" t="s">
        <v>686</v>
      </c>
      <c r="E8" s="630">
        <f t="shared" si="0"/>
        <v>4.903830362803583E-2</v>
      </c>
      <c r="F8" s="630">
        <v>1</v>
      </c>
      <c r="G8" s="630">
        <f>IFERROR(VLOOKUP(B8,'M4-AUDIT'!$A$5:$H$24,MATCH("Vi",'M4-AUDIT'!$A$4:$H$4,0),0),0)</f>
        <v>1</v>
      </c>
      <c r="H8" s="630">
        <f>IFERROR(VLOOKUP(B8,'M4-AUDIT'!$A$5:$H$24,MATCH("Ti (H)",'M4-AUDIT'!$A$4:$H$4,0),0),0)</f>
        <v>0.2</v>
      </c>
      <c r="I8" s="630">
        <v>1</v>
      </c>
      <c r="J8" s="630">
        <v>1</v>
      </c>
      <c r="K8" s="629" t="s">
        <v>134</v>
      </c>
      <c r="L8" s="631">
        <v>1611066</v>
      </c>
      <c r="M8" s="652" t="s">
        <v>679</v>
      </c>
      <c r="N8" s="653" t="s">
        <v>451</v>
      </c>
    </row>
    <row r="9" spans="1:14" s="19" customFormat="1" ht="31.95" customHeight="1" x14ac:dyDescent="0.25">
      <c r="A9" s="920">
        <v>6</v>
      </c>
      <c r="B9" s="636" t="s">
        <v>507</v>
      </c>
      <c r="C9" s="626" t="s">
        <v>489</v>
      </c>
      <c r="D9" s="626" t="s">
        <v>688</v>
      </c>
      <c r="E9" s="627">
        <f t="shared" si="0"/>
        <v>3.8652515641453306E-2</v>
      </c>
      <c r="F9" s="627">
        <v>1.5</v>
      </c>
      <c r="G9" s="627">
        <f>IFERROR(VLOOKUP(B9,'M4-AUDIT'!$A$5:$H$24,MATCH("Vi",'M4-AUDIT'!$A$4:$H$4,0),0),0)</f>
        <v>0</v>
      </c>
      <c r="H9" s="627">
        <f>IFERROR(VLOOKUP(B9,'M4-AUDIT'!$A$5:$H$24,MATCH("Ti (H)",'M4-AUDIT'!$A$4:$H$4,0),0),0)</f>
        <v>0</v>
      </c>
      <c r="I9" s="627">
        <v>1</v>
      </c>
      <c r="J9" s="627">
        <v>1</v>
      </c>
      <c r="K9" s="626" t="s">
        <v>689</v>
      </c>
      <c r="L9" s="628">
        <v>1269859.46</v>
      </c>
      <c r="M9" s="654" t="s">
        <v>690</v>
      </c>
      <c r="N9" s="650" t="s">
        <v>502</v>
      </c>
    </row>
    <row r="10" spans="1:14" s="19" customFormat="1" ht="31.95" customHeight="1" x14ac:dyDescent="0.25">
      <c r="A10" s="658">
        <v>7</v>
      </c>
      <c r="B10" s="657" t="s">
        <v>633</v>
      </c>
      <c r="C10" s="629" t="s">
        <v>616</v>
      </c>
      <c r="D10" s="629" t="s">
        <v>691</v>
      </c>
      <c r="E10" s="630">
        <f t="shared" si="0"/>
        <v>3.7123041954043229E-2</v>
      </c>
      <c r="F10" s="630">
        <v>1</v>
      </c>
      <c r="G10" s="630">
        <f>IFERROR(VLOOKUP(B10,'M4-AUDIT'!$A$5:$H$24,MATCH("Vi",'M4-AUDIT'!$A$4:$H$4,0),0),0)</f>
        <v>1</v>
      </c>
      <c r="H10" s="630">
        <f>IFERROR(VLOOKUP(B10,'M4-AUDIT'!$A$5:$H$24,MATCH("Ti (H)",'M4-AUDIT'!$A$4:$H$4,0),0),0)</f>
        <v>1</v>
      </c>
      <c r="I10" s="630">
        <v>1</v>
      </c>
      <c r="J10" s="630">
        <v>1</v>
      </c>
      <c r="K10" s="629" t="s">
        <v>692</v>
      </c>
      <c r="L10" s="631">
        <v>1219611.33</v>
      </c>
      <c r="M10" s="655" t="s">
        <v>679</v>
      </c>
      <c r="N10" s="653" t="s">
        <v>456</v>
      </c>
    </row>
    <row r="11" spans="1:14" s="19" customFormat="1" ht="31.95" customHeight="1" x14ac:dyDescent="0.25">
      <c r="A11" s="920">
        <v>8</v>
      </c>
      <c r="B11" s="636" t="s">
        <v>526</v>
      </c>
      <c r="C11" s="626" t="s">
        <v>489</v>
      </c>
      <c r="D11" s="626" t="s">
        <v>694</v>
      </c>
      <c r="E11" s="627">
        <f t="shared" si="0"/>
        <v>2.7234952877998854E-2</v>
      </c>
      <c r="F11" s="627">
        <v>1</v>
      </c>
      <c r="G11" s="627">
        <f>IFERROR(VLOOKUP(B11,'M4-AUDIT'!$A$5:$H$24,MATCH("Vi",'M4-AUDIT'!$A$4:$H$4,0),0),0)</f>
        <v>1</v>
      </c>
      <c r="H11" s="627">
        <f>IFERROR(VLOOKUP(B11,'M4-AUDIT'!$A$5:$H$24,MATCH("Ti (H)",'M4-AUDIT'!$A$4:$H$4,0),0),0)</f>
        <v>0.9</v>
      </c>
      <c r="I11" s="627">
        <v>1</v>
      </c>
      <c r="J11" s="627">
        <v>1</v>
      </c>
      <c r="K11" s="626" t="s">
        <v>134</v>
      </c>
      <c r="L11" s="628">
        <v>894755.8</v>
      </c>
      <c r="M11" s="654" t="s">
        <v>679</v>
      </c>
      <c r="N11" s="650" t="s">
        <v>456</v>
      </c>
    </row>
    <row r="12" spans="1:14" s="19" customFormat="1" ht="31.95" customHeight="1" x14ac:dyDescent="0.25">
      <c r="A12" s="658">
        <v>9</v>
      </c>
      <c r="B12" s="657" t="s">
        <v>515</v>
      </c>
      <c r="C12" s="629" t="s">
        <v>680</v>
      </c>
      <c r="D12" s="629" t="s">
        <v>695</v>
      </c>
      <c r="E12" s="630">
        <f t="shared" si="0"/>
        <v>2.5568272837705033E-2</v>
      </c>
      <c r="F12" s="630">
        <v>1.5</v>
      </c>
      <c r="G12" s="630">
        <f>IFERROR(VLOOKUP(B12,'M4-AUDIT'!$A$5:$H$24,MATCH("Vi",'M4-AUDIT'!$A$4:$H$4,0),0),0)</f>
        <v>0</v>
      </c>
      <c r="H12" s="630">
        <f>IFERROR(VLOOKUP(B12,'M4-AUDIT'!$A$5:$H$24,MATCH("Ti (H)",'M4-AUDIT'!$A$4:$H$4,0),0),0)</f>
        <v>0.3</v>
      </c>
      <c r="I12" s="630">
        <v>1</v>
      </c>
      <c r="J12" s="630">
        <v>1</v>
      </c>
      <c r="K12" s="629" t="s">
        <v>134</v>
      </c>
      <c r="L12" s="631">
        <v>840000</v>
      </c>
      <c r="M12" s="655" t="s">
        <v>679</v>
      </c>
      <c r="N12" s="653" t="s">
        <v>502</v>
      </c>
    </row>
    <row r="13" spans="1:14" s="19" customFormat="1" ht="31.95" customHeight="1" x14ac:dyDescent="0.25">
      <c r="A13" s="920">
        <v>10</v>
      </c>
      <c r="B13" s="636" t="s">
        <v>483</v>
      </c>
      <c r="C13" s="626" t="s">
        <v>444</v>
      </c>
      <c r="D13" s="626" t="s">
        <v>696</v>
      </c>
      <c r="E13" s="627">
        <f t="shared" si="0"/>
        <v>2.2791758387949959E-2</v>
      </c>
      <c r="F13" s="627">
        <v>1</v>
      </c>
      <c r="G13" s="627">
        <f>IFERROR(VLOOKUP(B13,'M4-AUDIT'!$A$5:$H$24,MATCH("Vi",'M4-AUDIT'!$A$4:$H$4,0),0),0)</f>
        <v>1</v>
      </c>
      <c r="H13" s="627">
        <f>IFERROR(VLOOKUP(B13,'M4-AUDIT'!$A$5:$H$24,MATCH("Ti (H)",'M4-AUDIT'!$A$4:$H$4,0),0),0)</f>
        <v>0.4</v>
      </c>
      <c r="I13" s="627">
        <v>1</v>
      </c>
      <c r="J13" s="627">
        <v>1</v>
      </c>
      <c r="K13" s="626" t="s">
        <v>682</v>
      </c>
      <c r="L13" s="628">
        <v>748782.57</v>
      </c>
      <c r="M13" s="656" t="s">
        <v>683</v>
      </c>
      <c r="N13" s="650" t="s">
        <v>451</v>
      </c>
    </row>
    <row r="14" spans="1:14" s="19" customFormat="1" ht="31.95" customHeight="1" x14ac:dyDescent="0.25">
      <c r="A14" s="658">
        <v>11</v>
      </c>
      <c r="B14" s="657" t="s">
        <v>443</v>
      </c>
      <c r="C14" s="629" t="s">
        <v>444</v>
      </c>
      <c r="D14" s="629" t="s">
        <v>697</v>
      </c>
      <c r="E14" s="630">
        <f t="shared" si="0"/>
        <v>1.8567422225707814E-2</v>
      </c>
      <c r="F14" s="630">
        <v>1</v>
      </c>
      <c r="G14" s="630">
        <f>IFERROR(VLOOKUP(B14,'M4-AUDIT'!$A$5:$H$24,MATCH("Vi",'M4-AUDIT'!$A$4:$H$4,0),0),0)</f>
        <v>1</v>
      </c>
      <c r="H14" s="630">
        <f>IFERROR(VLOOKUP(B14,'M4-AUDIT'!$A$5:$H$24,MATCH("Ti (H)",'M4-AUDIT'!$A$4:$H$4,0),0),0)</f>
        <v>0.5</v>
      </c>
      <c r="I14" s="630">
        <v>1</v>
      </c>
      <c r="J14" s="630">
        <v>1</v>
      </c>
      <c r="K14" s="629" t="s">
        <v>682</v>
      </c>
      <c r="L14" s="631">
        <v>609999.54</v>
      </c>
      <c r="M14" s="652" t="s">
        <v>679</v>
      </c>
      <c r="N14" s="653" t="s">
        <v>451</v>
      </c>
    </row>
    <row r="15" spans="1:14" s="19" customFormat="1" ht="31.95" customHeight="1" x14ac:dyDescent="0.25">
      <c r="A15" s="920">
        <v>12</v>
      </c>
      <c r="B15" s="636" t="s">
        <v>622</v>
      </c>
      <c r="C15" s="626" t="s">
        <v>616</v>
      </c>
      <c r="D15" s="626" t="s">
        <v>698</v>
      </c>
      <c r="E15" s="627">
        <f t="shared" si="0"/>
        <v>1.8292145981963669E-2</v>
      </c>
      <c r="F15" s="627">
        <v>1</v>
      </c>
      <c r="G15" s="627">
        <f>IFERROR(VLOOKUP(B15,'M4-AUDIT'!$A$5:$H$24,MATCH("Vi",'M4-AUDIT'!$A$4:$H$4,0),0),0)</f>
        <v>0</v>
      </c>
      <c r="H15" s="627">
        <f>IFERROR(VLOOKUP(B15,'M4-AUDIT'!$A$5:$H$24,MATCH("Ti (H)",'M4-AUDIT'!$A$4:$H$4,0),0),0)</f>
        <v>0</v>
      </c>
      <c r="I15" s="627">
        <v>1</v>
      </c>
      <c r="J15" s="627">
        <v>1</v>
      </c>
      <c r="K15" s="626" t="s">
        <v>692</v>
      </c>
      <c r="L15" s="628">
        <v>600955.82999999996</v>
      </c>
      <c r="M15" s="656" t="s">
        <v>679</v>
      </c>
      <c r="N15" s="650" t="s">
        <v>502</v>
      </c>
    </row>
    <row r="16" spans="1:14" s="19" customFormat="1" ht="31.95" customHeight="1" x14ac:dyDescent="0.25">
      <c r="A16" s="658">
        <v>13</v>
      </c>
      <c r="B16" s="657" t="s">
        <v>615</v>
      </c>
      <c r="C16" s="629" t="s">
        <v>616</v>
      </c>
      <c r="D16" s="629" t="s">
        <v>699</v>
      </c>
      <c r="E16" s="630">
        <f t="shared" si="0"/>
        <v>1.2570245641197094E-2</v>
      </c>
      <c r="F16" s="630">
        <v>1</v>
      </c>
      <c r="G16" s="630">
        <f>IFERROR(VLOOKUP(B16,'M4-AUDIT'!$A$5:$H$24,MATCH("Vi",'M4-AUDIT'!$A$4:$H$4,0),0),0)</f>
        <v>1</v>
      </c>
      <c r="H16" s="630">
        <f>IFERROR(VLOOKUP(B16,'M4-AUDIT'!$A$5:$H$24,MATCH("Ti (H)",'M4-AUDIT'!$A$4:$H$4,0),0),0)</f>
        <v>0.3</v>
      </c>
      <c r="I16" s="630">
        <v>1</v>
      </c>
      <c r="J16" s="630">
        <v>1</v>
      </c>
      <c r="K16" s="629" t="s">
        <v>134</v>
      </c>
      <c r="L16" s="631">
        <v>412973</v>
      </c>
      <c r="M16" s="652" t="s">
        <v>679</v>
      </c>
      <c r="N16" s="653" t="s">
        <v>451</v>
      </c>
    </row>
    <row r="17" spans="1:14" s="19" customFormat="1" ht="31.95" customHeight="1" x14ac:dyDescent="0.25">
      <c r="A17" s="920">
        <v>14</v>
      </c>
      <c r="B17" s="636" t="s">
        <v>557</v>
      </c>
      <c r="C17" s="626" t="s">
        <v>489</v>
      </c>
      <c r="D17" s="626" t="s">
        <v>700</v>
      </c>
      <c r="E17" s="627">
        <f t="shared" si="0"/>
        <v>9.8620480945433697E-3</v>
      </c>
      <c r="F17" s="627">
        <v>1</v>
      </c>
      <c r="G17" s="627">
        <f>IFERROR(VLOOKUP(B17,'M4-AUDIT'!$A$5:$H$24,MATCH("Vi",'M4-AUDIT'!$A$4:$H$4,0),0),0)</f>
        <v>1</v>
      </c>
      <c r="H17" s="627">
        <f>IFERROR(VLOOKUP(B17,'M4-AUDIT'!$A$5:$H$24,MATCH("Ti (H)",'M4-AUDIT'!$A$4:$H$4,0),0),0)</f>
        <v>1</v>
      </c>
      <c r="I17" s="627">
        <v>1</v>
      </c>
      <c r="J17" s="627">
        <v>1</v>
      </c>
      <c r="K17" s="626" t="s">
        <v>701</v>
      </c>
      <c r="L17" s="628">
        <v>324000</v>
      </c>
      <c r="M17" s="654" t="s">
        <v>679</v>
      </c>
      <c r="N17" s="650" t="s">
        <v>456</v>
      </c>
    </row>
    <row r="18" spans="1:14" s="19" customFormat="1" ht="31.95" customHeight="1" x14ac:dyDescent="0.25">
      <c r="A18" s="658">
        <v>15</v>
      </c>
      <c r="B18" s="657" t="s">
        <v>587</v>
      </c>
      <c r="C18" s="629" t="s">
        <v>564</v>
      </c>
      <c r="D18" s="629" t="s">
        <v>702</v>
      </c>
      <c r="E18" s="630">
        <f t="shared" si="0"/>
        <v>8.6459571177000243E-3</v>
      </c>
      <c r="F18" s="630">
        <v>0.5</v>
      </c>
      <c r="G18" s="630">
        <f>IFERROR(VLOOKUP(B18,'M4-AUDIT'!$A$5:$H$24,MATCH("Vi",'M4-AUDIT'!$A$4:$H$4,0),0),0)</f>
        <v>0</v>
      </c>
      <c r="H18" s="630">
        <f>IFERROR(VLOOKUP(B18,'M4-AUDIT'!$A$5:$H$24,MATCH("Ti (H)",'M4-AUDIT'!$A$4:$H$4,0),0),0)</f>
        <v>0.2</v>
      </c>
      <c r="I18" s="630">
        <v>1</v>
      </c>
      <c r="J18" s="630">
        <v>1</v>
      </c>
      <c r="K18" s="629" t="s">
        <v>703</v>
      </c>
      <c r="L18" s="631">
        <v>284047.5</v>
      </c>
      <c r="M18" s="652" t="s">
        <v>704</v>
      </c>
      <c r="N18" s="653" t="s">
        <v>502</v>
      </c>
    </row>
    <row r="19" spans="1:14" s="19" customFormat="1" ht="31.95" customHeight="1" x14ac:dyDescent="0.25">
      <c r="A19" s="920">
        <v>16</v>
      </c>
      <c r="B19" s="636" t="s">
        <v>597</v>
      </c>
      <c r="C19" s="626" t="s">
        <v>598</v>
      </c>
      <c r="D19" s="626" t="s">
        <v>705</v>
      </c>
      <c r="E19" s="627">
        <f t="shared" si="0"/>
        <v>3.3410244747549434E-3</v>
      </c>
      <c r="F19" s="627">
        <v>0.5</v>
      </c>
      <c r="G19" s="627">
        <f>IFERROR(VLOOKUP(B19,'M4-AUDIT'!$A$5:$H$24,MATCH("Vi",'M4-AUDIT'!$A$4:$H$4,0),0),0)</f>
        <v>1</v>
      </c>
      <c r="H19" s="627">
        <f>IFERROR(VLOOKUP(B19,'M4-AUDIT'!$A$5:$H$24,MATCH("Ti (H)",'M4-AUDIT'!$A$4:$H$4,0),0),0)</f>
        <v>0.7</v>
      </c>
      <c r="I19" s="627">
        <v>1</v>
      </c>
      <c r="J19" s="627">
        <v>1</v>
      </c>
      <c r="K19" s="626" t="s">
        <v>706</v>
      </c>
      <c r="L19" s="628">
        <v>109763.4</v>
      </c>
      <c r="M19" s="656" t="s">
        <v>679</v>
      </c>
      <c r="N19" s="650" t="s">
        <v>456</v>
      </c>
    </row>
    <row r="20" spans="1:14" s="19" customFormat="1" ht="31.95" customHeight="1" x14ac:dyDescent="0.25">
      <c r="A20" s="658">
        <v>17</v>
      </c>
      <c r="B20" s="657" t="s">
        <v>593</v>
      </c>
      <c r="C20" s="629" t="s">
        <v>564</v>
      </c>
      <c r="D20" s="629" t="s">
        <v>707</v>
      </c>
      <c r="E20" s="630">
        <f t="shared" si="0"/>
        <v>6.5260407845644242E-3</v>
      </c>
      <c r="F20" s="630">
        <v>0.5</v>
      </c>
      <c r="G20" s="630">
        <f>IFERROR(VLOOKUP(B20,'M4-AUDIT'!$A$5:$H$24,MATCH("Vi",'M4-AUDIT'!$A$4:$H$4,0),0),0)</f>
        <v>1</v>
      </c>
      <c r="H20" s="630">
        <f>IFERROR(VLOOKUP(B20,'M4-AUDIT'!$A$5:$H$24,MATCH("Ti (H)",'M4-AUDIT'!$A$4:$H$4,0),0),0)</f>
        <v>1</v>
      </c>
      <c r="I20" s="630">
        <v>1</v>
      </c>
      <c r="J20" s="630">
        <v>1</v>
      </c>
      <c r="K20" s="629" t="s">
        <v>703</v>
      </c>
      <c r="L20" s="631">
        <v>214401.43</v>
      </c>
      <c r="M20" s="655" t="s">
        <v>704</v>
      </c>
      <c r="N20" s="653" t="s">
        <v>456</v>
      </c>
    </row>
    <row r="21" spans="1:14" s="19" customFormat="1" ht="31.95" customHeight="1" x14ac:dyDescent="0.25">
      <c r="A21" s="920">
        <v>18</v>
      </c>
      <c r="B21" s="636" t="s">
        <v>550</v>
      </c>
      <c r="C21" s="626" t="s">
        <v>489</v>
      </c>
      <c r="D21" s="626" t="s">
        <v>708</v>
      </c>
      <c r="E21" s="627">
        <f t="shared" si="0"/>
        <v>4.6570782668677018E-3</v>
      </c>
      <c r="F21" s="627">
        <v>1</v>
      </c>
      <c r="G21" s="627">
        <f>IFERROR(VLOOKUP(B21,'M4-AUDIT'!$A$5:$H$24,MATCH("Vi",'M4-AUDIT'!$A$4:$H$4,0),0),0)</f>
        <v>1</v>
      </c>
      <c r="H21" s="627">
        <f>IFERROR(VLOOKUP(B21,'M4-AUDIT'!$A$5:$H$24,MATCH("Ti (H)",'M4-AUDIT'!$A$4:$H$4,0),0),0)</f>
        <v>0.35</v>
      </c>
      <c r="I21" s="627">
        <v>1</v>
      </c>
      <c r="J21" s="627">
        <v>1</v>
      </c>
      <c r="K21" s="626" t="s">
        <v>709</v>
      </c>
      <c r="L21" s="628">
        <v>153000</v>
      </c>
      <c r="M21" s="656" t="s">
        <v>679</v>
      </c>
      <c r="N21" s="650" t="s">
        <v>451</v>
      </c>
    </row>
    <row r="22" spans="1:14" s="19" customFormat="1" ht="31.95" customHeight="1" x14ac:dyDescent="0.25">
      <c r="A22" s="658">
        <v>19</v>
      </c>
      <c r="B22" s="657" t="s">
        <v>693</v>
      </c>
      <c r="C22" s="629" t="s">
        <v>564</v>
      </c>
      <c r="D22" s="629" t="s">
        <v>710</v>
      </c>
      <c r="E22" s="630">
        <f t="shared" si="0"/>
        <v>4.3831324864637197E-3</v>
      </c>
      <c r="F22" s="630">
        <v>1</v>
      </c>
      <c r="G22" s="630">
        <f>IFERROR(VLOOKUP(B22,'M4-AUDIT'!$A$5:$H$24,MATCH("Vi",'M4-AUDIT'!$A$4:$H$4,0),0),0)</f>
        <v>1</v>
      </c>
      <c r="H22" s="630">
        <f>IFERROR(VLOOKUP(B22,'M4-AUDIT'!$A$5:$H$24,MATCH("Ti (H)",'M4-AUDIT'!$A$4:$H$4,0),0),0)</f>
        <v>0.3</v>
      </c>
      <c r="I22" s="630">
        <v>1</v>
      </c>
      <c r="J22" s="630">
        <v>1</v>
      </c>
      <c r="K22" s="629" t="s">
        <v>134</v>
      </c>
      <c r="L22" s="631">
        <v>144000</v>
      </c>
      <c r="M22" s="655" t="s">
        <v>679</v>
      </c>
      <c r="N22" s="653" t="s">
        <v>451</v>
      </c>
    </row>
    <row r="23" spans="1:14" s="19" customFormat="1" ht="25.95" customHeight="1" x14ac:dyDescent="0.3">
      <c r="A23" s="795">
        <v>20</v>
      </c>
      <c r="B23" s="1607" t="s">
        <v>464</v>
      </c>
      <c r="C23" s="1608"/>
      <c r="D23" s="1608"/>
      <c r="E23" s="1608"/>
      <c r="F23" s="1608"/>
      <c r="G23" s="1608"/>
      <c r="H23" s="1608"/>
      <c r="I23" s="1608"/>
      <c r="J23" s="1608"/>
      <c r="K23" s="1608"/>
      <c r="L23" s="1608"/>
      <c r="M23" s="1608"/>
      <c r="N23" s="1609"/>
    </row>
    <row r="24" spans="1:14" s="19" customFormat="1" ht="24" customHeight="1" thickBot="1" x14ac:dyDescent="0.35">
      <c r="A24" s="1509" t="s">
        <v>656</v>
      </c>
      <c r="B24" s="1603" t="s">
        <v>3704</v>
      </c>
      <c r="C24" s="1604"/>
      <c r="D24" s="1604"/>
      <c r="E24" s="1604"/>
      <c r="F24" s="1604"/>
      <c r="G24" s="1604"/>
      <c r="H24" s="1604"/>
      <c r="I24" s="1604"/>
      <c r="J24" s="1604"/>
      <c r="K24" s="1604"/>
      <c r="L24" s="1605">
        <f>SUM(L4:L23)</f>
        <v>32853216.379999999</v>
      </c>
      <c r="M24" s="1604"/>
      <c r="N24" s="1606"/>
    </row>
    <row r="25" spans="1:14" s="46" customFormat="1" ht="16.05" customHeight="1" thickTop="1" x14ac:dyDescent="0.3">
      <c r="A25" s="553" t="s">
        <v>656</v>
      </c>
      <c r="B25" s="554" t="s">
        <v>714</v>
      </c>
      <c r="C25" s="555" t="s">
        <v>715</v>
      </c>
      <c r="D25" s="554" t="str">
        <f>IF(ABS(E24-1)&lt;0.0001,"✅ ΣPi=1.000","❌ ERROR")</f>
        <v>❌ ERROR</v>
      </c>
      <c r="E25" s="554" t="s">
        <v>716</v>
      </c>
      <c r="F25" s="554" t="s">
        <v>103</v>
      </c>
      <c r="G25" s="554" t="str">
        <f>"Vi=1: "&amp;COUNTIF(G4:G23,1)&amp;" · Vi=0: "&amp;COUNTIF(G4:G23,0)</f>
        <v>Vi=1: 14 · Vi=0: 5</v>
      </c>
      <c r="H25" s="554" t="str">
        <f>"Tī = "&amp;ROUND(AVERAGE(H4:H23),3)</f>
        <v>Tī = 0,468</v>
      </c>
      <c r="I25" s="554" t="s">
        <v>103</v>
      </c>
      <c r="J25" s="554" t="s">
        <v>103</v>
      </c>
      <c r="K25" s="554" t="s">
        <v>103</v>
      </c>
      <c r="L25" s="554" t="s">
        <v>103</v>
      </c>
      <c r="M25" s="554" t="s">
        <v>717</v>
      </c>
      <c r="N25" s="556" t="s">
        <v>718</v>
      </c>
    </row>
    <row r="26" spans="1:14" ht="18" customHeight="1" x14ac:dyDescent="0.3"/>
    <row r="27" spans="1:14" ht="18" customHeight="1" x14ac:dyDescent="0.3"/>
    <row r="28" spans="1:14" ht="18" customHeight="1" x14ac:dyDescent="0.3"/>
  </sheetData>
  <mergeCells count="1">
    <mergeCell ref="A1:N1"/>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6E0B4"/>
  </sheetPr>
  <dimension ref="A1:Z35"/>
  <sheetViews>
    <sheetView showGridLines="0" topLeftCell="B4" zoomScale="75" zoomScaleNormal="75" workbookViewId="0">
      <selection sqref="A1:Z1"/>
    </sheetView>
  </sheetViews>
  <sheetFormatPr baseColWidth="10" defaultRowHeight="14.4" x14ac:dyDescent="0.3"/>
  <cols>
    <col min="1" max="1" width="5.21875" customWidth="1"/>
    <col min="2" max="2" width="20.44140625" bestFit="1" customWidth="1"/>
    <col min="3" max="3" width="87.109375" bestFit="1" customWidth="1"/>
    <col min="4" max="4" width="20.44140625" style="1" bestFit="1" customWidth="1"/>
    <col min="5" max="5" width="23.6640625" bestFit="1" customWidth="1"/>
    <col min="6" max="6" width="31.33203125" bestFit="1" customWidth="1"/>
    <col min="7" max="7" width="32.88671875" bestFit="1" customWidth="1"/>
    <col min="8" max="8" width="29.21875" bestFit="1" customWidth="1"/>
    <col min="26" max="26" width="8.44140625" bestFit="1" customWidth="1"/>
  </cols>
  <sheetData>
    <row r="1" spans="1:26" ht="19.95" customHeight="1" x14ac:dyDescent="0.3">
      <c r="A1" s="1925" t="s">
        <v>4809</v>
      </c>
      <c r="B1" s="1713"/>
      <c r="C1" s="1713"/>
      <c r="D1" s="1713"/>
      <c r="E1" s="1713"/>
      <c r="F1" s="1713"/>
      <c r="G1" s="1713"/>
      <c r="H1" s="1713"/>
      <c r="I1" s="1713"/>
      <c r="J1" s="1713"/>
      <c r="K1" s="1713"/>
      <c r="L1" s="1713"/>
      <c r="M1" s="1713"/>
      <c r="N1" s="1713"/>
      <c r="O1" s="1713"/>
      <c r="P1" s="1713"/>
      <c r="Q1" s="1713"/>
      <c r="R1" s="1713"/>
      <c r="S1" s="1713"/>
      <c r="T1" s="1713"/>
      <c r="U1" s="1713"/>
      <c r="V1" s="1713"/>
      <c r="W1" s="1713"/>
      <c r="X1" s="1713"/>
      <c r="Y1" s="1713"/>
      <c r="Z1" s="1713"/>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473"/>
      <c r="N2" s="473"/>
      <c r="O2" s="473"/>
      <c r="P2" s="473"/>
      <c r="Q2" s="473"/>
      <c r="R2" s="473"/>
      <c r="S2" s="473"/>
      <c r="T2" s="473"/>
      <c r="U2" s="473"/>
      <c r="V2" s="473"/>
      <c r="W2" s="473"/>
      <c r="X2" s="473"/>
      <c r="Y2" s="473"/>
      <c r="Z2" s="473"/>
    </row>
    <row r="3" spans="1:26" ht="19.95" customHeight="1" thickBot="1" x14ac:dyDescent="0.35">
      <c r="A3" s="1714" t="s">
        <v>4058</v>
      </c>
      <c r="B3" s="1714"/>
      <c r="C3" s="1714"/>
      <c r="D3" s="1714"/>
      <c r="E3" s="1714"/>
      <c r="F3" s="1714"/>
      <c r="G3" s="1714"/>
      <c r="H3" s="1714"/>
      <c r="I3" s="1714"/>
      <c r="J3" s="1714"/>
      <c r="K3" s="1714"/>
      <c r="L3" s="1714"/>
      <c r="M3" s="1714"/>
      <c r="N3" s="1714"/>
      <c r="O3" s="1714"/>
      <c r="P3" s="1714"/>
      <c r="Q3" s="1714"/>
      <c r="R3" s="1714"/>
      <c r="S3" s="1714"/>
      <c r="T3" s="1714"/>
      <c r="U3" s="1714"/>
      <c r="V3" s="1714"/>
      <c r="W3" s="1714"/>
      <c r="X3" s="1714"/>
      <c r="Y3" s="1714"/>
      <c r="Z3" s="1714"/>
    </row>
    <row r="4" spans="1:26" s="15" customFormat="1" ht="28.05" customHeight="1" thickTop="1" x14ac:dyDescent="0.3">
      <c r="A4" s="1124" t="s">
        <v>719</v>
      </c>
      <c r="B4" s="564" t="s">
        <v>720</v>
      </c>
      <c r="C4" s="565" t="s">
        <v>721</v>
      </c>
      <c r="D4" s="565" t="s">
        <v>722</v>
      </c>
      <c r="E4" s="565" t="s">
        <v>432</v>
      </c>
      <c r="F4" s="565" t="s">
        <v>723</v>
      </c>
      <c r="G4" s="565" t="s">
        <v>724</v>
      </c>
      <c r="H4" s="565" t="s">
        <v>30</v>
      </c>
      <c r="I4" s="565"/>
      <c r="J4" s="565"/>
      <c r="K4" s="565"/>
      <c r="L4" s="565"/>
      <c r="M4" s="565"/>
      <c r="N4" s="565"/>
      <c r="O4" s="565"/>
      <c r="P4" s="565"/>
      <c r="Q4" s="565"/>
      <c r="R4" s="565"/>
      <c r="S4" s="565"/>
      <c r="T4" s="565"/>
      <c r="U4" s="565"/>
      <c r="V4" s="565"/>
      <c r="W4" s="565"/>
      <c r="X4" s="565"/>
      <c r="Y4" s="565"/>
      <c r="Z4" s="566"/>
    </row>
    <row r="5" spans="1:26" ht="30" customHeight="1" x14ac:dyDescent="0.3">
      <c r="A5" s="1071" t="s">
        <v>19</v>
      </c>
      <c r="B5" s="414">
        <v>9</v>
      </c>
      <c r="C5" s="184">
        <v>116297389</v>
      </c>
      <c r="D5" s="184">
        <v>0.89349999999999996</v>
      </c>
      <c r="E5" s="184" t="s">
        <v>725</v>
      </c>
      <c r="F5" s="184" t="s">
        <v>726</v>
      </c>
      <c r="G5" s="184" t="s">
        <v>727</v>
      </c>
      <c r="H5" s="184" t="s">
        <v>728</v>
      </c>
      <c r="I5" s="184"/>
      <c r="J5" s="184"/>
      <c r="K5" s="184"/>
      <c r="L5" s="184"/>
      <c r="M5" s="184"/>
      <c r="N5" s="184"/>
      <c r="O5" s="184"/>
      <c r="P5" s="184"/>
      <c r="Q5" s="184"/>
      <c r="R5" s="184"/>
      <c r="S5" s="184"/>
      <c r="T5" s="184"/>
      <c r="U5" s="184"/>
      <c r="V5" s="184"/>
      <c r="W5" s="184"/>
      <c r="X5" s="184"/>
      <c r="Y5" s="184"/>
      <c r="Z5" s="928"/>
    </row>
    <row r="6" spans="1:26" s="11" customFormat="1" ht="37.950000000000003" customHeight="1" x14ac:dyDescent="0.3">
      <c r="A6" s="1072" t="s">
        <v>22</v>
      </c>
      <c r="B6" s="1484">
        <v>6</v>
      </c>
      <c r="C6" s="143">
        <v>1811700</v>
      </c>
      <c r="D6" s="143">
        <v>1.3899999999999999E-2</v>
      </c>
      <c r="E6" s="144" t="s">
        <v>564</v>
      </c>
      <c r="F6" s="144" t="s">
        <v>729</v>
      </c>
      <c r="G6" s="144" t="s">
        <v>730</v>
      </c>
      <c r="H6" s="144" t="s">
        <v>728</v>
      </c>
      <c r="I6" s="139"/>
      <c r="J6" s="139"/>
      <c r="K6" s="139"/>
      <c r="L6" s="139"/>
      <c r="M6" s="139"/>
      <c r="N6" s="139"/>
      <c r="O6" s="139"/>
      <c r="P6" s="139"/>
      <c r="Q6" s="139"/>
      <c r="R6" s="139"/>
      <c r="S6" s="139"/>
      <c r="T6" s="139"/>
      <c r="U6" s="139"/>
      <c r="V6" s="139"/>
      <c r="W6" s="139"/>
      <c r="X6" s="139"/>
      <c r="Y6" s="139"/>
      <c r="Z6" s="985"/>
    </row>
    <row r="7" spans="1:26" s="11" customFormat="1" ht="37.950000000000003" customHeight="1" x14ac:dyDescent="0.3">
      <c r="A7" s="1072" t="s">
        <v>25</v>
      </c>
      <c r="B7" s="1485">
        <v>2</v>
      </c>
      <c r="C7" s="187">
        <v>748783</v>
      </c>
      <c r="D7" s="187">
        <v>5.7999999999999996E-3</v>
      </c>
      <c r="E7" s="189" t="s">
        <v>731</v>
      </c>
      <c r="F7" s="189" t="s">
        <v>732</v>
      </c>
      <c r="G7" s="189" t="s">
        <v>733</v>
      </c>
      <c r="H7" s="189" t="s">
        <v>728</v>
      </c>
      <c r="I7" s="221"/>
      <c r="J7" s="221"/>
      <c r="K7" s="221"/>
      <c r="L7" s="221"/>
      <c r="M7" s="221"/>
      <c r="N7" s="221"/>
      <c r="O7" s="221"/>
      <c r="P7" s="221"/>
      <c r="Q7" s="221"/>
      <c r="R7" s="221"/>
      <c r="S7" s="221"/>
      <c r="T7" s="221"/>
      <c r="U7" s="221"/>
      <c r="V7" s="221"/>
      <c r="W7" s="221"/>
      <c r="X7" s="221"/>
      <c r="Y7" s="221"/>
      <c r="Z7" s="986"/>
    </row>
    <row r="8" spans="1:26" s="11" customFormat="1" ht="37.950000000000003" customHeight="1" x14ac:dyDescent="0.3">
      <c r="A8" s="1072" t="s">
        <v>27</v>
      </c>
      <c r="B8" s="1484">
        <v>1</v>
      </c>
      <c r="C8" s="143">
        <v>0</v>
      </c>
      <c r="D8" s="143">
        <v>0</v>
      </c>
      <c r="E8" s="144" t="s">
        <v>598</v>
      </c>
      <c r="F8" s="144" t="s">
        <v>734</v>
      </c>
      <c r="G8" s="144" t="s">
        <v>735</v>
      </c>
      <c r="H8" s="144" t="s">
        <v>736</v>
      </c>
      <c r="I8" s="139"/>
      <c r="J8" s="139"/>
      <c r="K8" s="139"/>
      <c r="L8" s="139"/>
      <c r="M8" s="139"/>
      <c r="N8" s="139"/>
      <c r="O8" s="139"/>
      <c r="P8" s="139"/>
      <c r="Q8" s="139"/>
      <c r="R8" s="139"/>
      <c r="S8" s="139"/>
      <c r="T8" s="139"/>
      <c r="U8" s="139"/>
      <c r="V8" s="139"/>
      <c r="W8" s="139"/>
      <c r="X8" s="139"/>
      <c r="Y8" s="139"/>
      <c r="Z8" s="985"/>
    </row>
    <row r="9" spans="1:26" s="11" customFormat="1" ht="37.950000000000003" customHeight="1" x14ac:dyDescent="0.3">
      <c r="A9" s="1072" t="s">
        <v>31</v>
      </c>
      <c r="B9" s="1486">
        <v>2</v>
      </c>
      <c r="C9" s="1093">
        <v>0</v>
      </c>
      <c r="D9" s="1093">
        <v>0</v>
      </c>
      <c r="E9" s="1151" t="s">
        <v>616</v>
      </c>
      <c r="F9" s="1151" t="s">
        <v>737</v>
      </c>
      <c r="G9" s="1151" t="s">
        <v>738</v>
      </c>
      <c r="H9" s="1151" t="s">
        <v>736</v>
      </c>
      <c r="I9" s="221"/>
      <c r="J9" s="221"/>
      <c r="K9" s="221"/>
      <c r="L9" s="221"/>
      <c r="M9" s="221"/>
      <c r="N9" s="221"/>
      <c r="O9" s="221"/>
      <c r="P9" s="221"/>
      <c r="Q9" s="221"/>
      <c r="R9" s="221"/>
      <c r="S9" s="221"/>
      <c r="T9" s="221"/>
      <c r="U9" s="221"/>
      <c r="V9" s="221"/>
      <c r="W9" s="221"/>
      <c r="X9" s="221"/>
      <c r="Y9" s="221"/>
      <c r="Z9" s="986"/>
    </row>
    <row r="10" spans="1:26" s="18" customFormat="1" ht="19.95" customHeight="1" x14ac:dyDescent="0.3">
      <c r="A10" s="1715" t="s">
        <v>739</v>
      </c>
      <c r="B10" s="1716"/>
      <c r="C10" s="1716"/>
      <c r="D10" s="1716"/>
      <c r="E10" s="1716"/>
      <c r="F10" s="1716"/>
      <c r="G10" s="1716"/>
      <c r="H10" s="1716"/>
      <c r="I10" s="1716"/>
      <c r="J10" s="1716"/>
      <c r="K10" s="1716"/>
      <c r="L10" s="1716"/>
      <c r="M10" s="1716"/>
      <c r="N10" s="1716"/>
      <c r="O10" s="1716"/>
      <c r="P10" s="1716"/>
      <c r="Q10" s="1716"/>
      <c r="R10" s="1716"/>
      <c r="S10" s="1716"/>
      <c r="T10" s="1716"/>
      <c r="U10" s="1716"/>
      <c r="V10" s="1716"/>
      <c r="W10" s="1716"/>
      <c r="X10" s="1716"/>
      <c r="Y10" s="1716"/>
      <c r="Z10" s="1717"/>
    </row>
    <row r="11" spans="1:26" s="11" customFormat="1" ht="19.95" customHeight="1" x14ac:dyDescent="0.3">
      <c r="A11" s="1715" t="s">
        <v>741</v>
      </c>
      <c r="B11" s="1716"/>
      <c r="C11" s="1716"/>
      <c r="D11" s="1716"/>
      <c r="E11" s="1716"/>
      <c r="F11" s="1716"/>
      <c r="G11" s="1716"/>
      <c r="H11" s="1716"/>
      <c r="I11" s="1716"/>
      <c r="J11" s="1716"/>
      <c r="K11" s="1716"/>
      <c r="L11" s="1716"/>
      <c r="M11" s="1716"/>
      <c r="N11" s="1716"/>
      <c r="O11" s="1716"/>
      <c r="P11" s="1716"/>
      <c r="Q11" s="1716"/>
      <c r="R11" s="1716"/>
      <c r="S11" s="1716"/>
      <c r="T11" s="1716"/>
      <c r="U11" s="1716"/>
      <c r="V11" s="1716"/>
      <c r="W11" s="1716"/>
      <c r="X11" s="1716"/>
      <c r="Y11" s="1716"/>
      <c r="Z11" s="1717"/>
    </row>
    <row r="12" spans="1:26" s="18" customFormat="1" ht="37.950000000000003" customHeight="1" x14ac:dyDescent="0.3">
      <c r="A12" s="1071" t="s">
        <v>38</v>
      </c>
      <c r="B12" s="1487" t="s">
        <v>742</v>
      </c>
      <c r="C12" s="146" t="s">
        <v>743</v>
      </c>
      <c r="D12" s="146" t="s">
        <v>663</v>
      </c>
      <c r="E12" s="146" t="s">
        <v>438</v>
      </c>
      <c r="F12" s="146" t="s">
        <v>744</v>
      </c>
      <c r="G12" s="146" t="s">
        <v>745</v>
      </c>
      <c r="H12" s="146" t="s">
        <v>746</v>
      </c>
      <c r="I12" s="138"/>
      <c r="J12" s="138"/>
      <c r="K12" s="138"/>
      <c r="L12" s="138"/>
      <c r="M12" s="138"/>
      <c r="N12" s="138"/>
      <c r="O12" s="138"/>
      <c r="P12" s="138"/>
      <c r="Q12" s="138"/>
      <c r="R12" s="138"/>
      <c r="S12" s="138"/>
      <c r="T12" s="138"/>
      <c r="U12" s="138"/>
      <c r="V12" s="138"/>
      <c r="W12" s="138"/>
      <c r="X12" s="138"/>
      <c r="Y12" s="138"/>
      <c r="Z12" s="1478"/>
    </row>
    <row r="13" spans="1:26" s="11" customFormat="1" ht="37.950000000000003" customHeight="1" x14ac:dyDescent="0.3">
      <c r="A13" s="1494" t="s">
        <v>38</v>
      </c>
      <c r="B13" s="503" t="s">
        <v>742</v>
      </c>
      <c r="C13" s="292" t="s">
        <v>743</v>
      </c>
      <c r="D13" s="1168" t="s">
        <v>3705</v>
      </c>
      <c r="E13" s="1168" t="s">
        <v>438</v>
      </c>
      <c r="F13" s="1168" t="s">
        <v>3760</v>
      </c>
      <c r="G13" s="292" t="s">
        <v>745</v>
      </c>
      <c r="H13" s="292" t="s">
        <v>746</v>
      </c>
      <c r="I13" s="221"/>
      <c r="J13" s="221"/>
      <c r="K13" s="221"/>
      <c r="L13" s="221"/>
      <c r="M13" s="221"/>
      <c r="N13" s="221"/>
      <c r="O13" s="221"/>
      <c r="P13" s="221"/>
      <c r="Q13" s="221"/>
      <c r="R13" s="221"/>
      <c r="S13" s="221"/>
      <c r="T13" s="221"/>
      <c r="U13" s="221"/>
      <c r="V13" s="221"/>
      <c r="W13" s="221"/>
      <c r="X13" s="221"/>
      <c r="Y13" s="221"/>
      <c r="Z13" s="986"/>
    </row>
    <row r="14" spans="1:26" s="11" customFormat="1" ht="37.950000000000003" customHeight="1" x14ac:dyDescent="0.3">
      <c r="A14" s="1495">
        <v>1</v>
      </c>
      <c r="B14" s="1488" t="str">
        <f>'M2-PDOT'!B4</f>
        <v>PDOT.AS.VL.M1.01</v>
      </c>
      <c r="C14" s="144" t="str">
        <f>'M2-PDOT'!D4</f>
        <v>Mantenimiento de vías urbanas para el acceso de los barrios del cantón</v>
      </c>
      <c r="D14" s="143" t="str">
        <f>'M2-PDOT'!C4</f>
        <v>Asentamientos Humanos</v>
      </c>
      <c r="E14" s="147">
        <f>'M2-PDOT'!L4</f>
        <v>10892760.76</v>
      </c>
      <c r="F14" s="1467">
        <f>'M2-PDOT'!E4</f>
        <v>0.3315584274613419</v>
      </c>
      <c r="G14" s="148" t="s">
        <v>3761</v>
      </c>
      <c r="H14" s="148" t="s">
        <v>3762</v>
      </c>
      <c r="I14" s="139"/>
      <c r="J14" s="139"/>
      <c r="K14" s="139"/>
      <c r="L14" s="139"/>
      <c r="M14" s="139"/>
      <c r="N14" s="139"/>
      <c r="O14" s="139"/>
      <c r="P14" s="139"/>
      <c r="Q14" s="139"/>
      <c r="R14" s="139"/>
      <c r="S14" s="139"/>
      <c r="T14" s="139"/>
      <c r="U14" s="139"/>
      <c r="V14" s="139"/>
      <c r="W14" s="139"/>
      <c r="X14" s="139"/>
      <c r="Y14" s="139"/>
      <c r="Z14" s="985"/>
    </row>
    <row r="15" spans="1:26" s="11" customFormat="1" ht="37.950000000000003" customHeight="1" x14ac:dyDescent="0.3">
      <c r="A15" s="1495">
        <v>2</v>
      </c>
      <c r="B15" s="1489" t="str">
        <f>'M2-PDOT'!B5</f>
        <v>PDOT.SC.OE2.M1.01</v>
      </c>
      <c r="C15" s="189" t="str">
        <f>'M2-PDOT'!D5</f>
        <v>Desarrollo del Bienestar Integral para Montecristi</v>
      </c>
      <c r="D15" s="187" t="str">
        <f>'M2-PDOT'!C5</f>
        <v>Socio Cultural</v>
      </c>
      <c r="E15" s="1468">
        <f>'M2-PDOT'!L5</f>
        <v>5827477</v>
      </c>
      <c r="F15" s="1469">
        <f>'M2-PDOT'!E5</f>
        <v>0.17737919272791763</v>
      </c>
      <c r="G15" s="1470" t="s">
        <v>3763</v>
      </c>
      <c r="H15" s="1470" t="s">
        <v>3764</v>
      </c>
      <c r="I15" s="221"/>
      <c r="J15" s="221"/>
      <c r="K15" s="221"/>
      <c r="L15" s="221"/>
      <c r="M15" s="221"/>
      <c r="N15" s="221"/>
      <c r="O15" s="221"/>
      <c r="P15" s="221"/>
      <c r="Q15" s="221"/>
      <c r="R15" s="221"/>
      <c r="S15" s="221"/>
      <c r="T15" s="221"/>
      <c r="U15" s="221"/>
      <c r="V15" s="221"/>
      <c r="W15" s="221"/>
      <c r="X15" s="221"/>
      <c r="Y15" s="221"/>
      <c r="Z15" s="986"/>
    </row>
    <row r="16" spans="1:26" s="11" customFormat="1" ht="37.950000000000003" customHeight="1" x14ac:dyDescent="0.3">
      <c r="A16" s="1495">
        <v>3</v>
      </c>
      <c r="B16" s="1488" t="str">
        <f>'M2-PDOT'!B6</f>
        <v>PDOT.AM.OE3.M2.01</v>
      </c>
      <c r="C16" s="144" t="str">
        <f>'M2-PDOT'!D6</f>
        <v>Gestión Integral de Desechos Sólidos</v>
      </c>
      <c r="D16" s="143" t="str">
        <f>'M2-PDOT'!C6</f>
        <v>Ambiental</v>
      </c>
      <c r="E16" s="147">
        <f>'M2-PDOT'!L6</f>
        <v>5001962.76</v>
      </c>
      <c r="F16" s="149">
        <f>'M2-PDOT'!E6</f>
        <v>0.152251843537762</v>
      </c>
      <c r="G16" s="148" t="s">
        <v>3765</v>
      </c>
      <c r="H16" s="148" t="s">
        <v>3764</v>
      </c>
      <c r="I16" s="139"/>
      <c r="J16" s="139"/>
      <c r="K16" s="139"/>
      <c r="L16" s="139"/>
      <c r="M16" s="139"/>
      <c r="N16" s="139"/>
      <c r="O16" s="139"/>
      <c r="P16" s="139"/>
      <c r="Q16" s="139"/>
      <c r="R16" s="139"/>
      <c r="S16" s="139"/>
      <c r="T16" s="139"/>
      <c r="U16" s="139"/>
      <c r="V16" s="139"/>
      <c r="W16" s="139"/>
      <c r="X16" s="139"/>
      <c r="Y16" s="139"/>
      <c r="Z16" s="985"/>
    </row>
    <row r="17" spans="1:26" s="11" customFormat="1" ht="37.950000000000003" customHeight="1" x14ac:dyDescent="0.3">
      <c r="A17" s="1495">
        <v>4</v>
      </c>
      <c r="B17" s="1489" t="str">
        <f>'M2-PDOT'!B7</f>
        <v>PDOT.AS.OE1.M2.01</v>
      </c>
      <c r="C17" s="189" t="str">
        <f>'M2-PDOT'!D7</f>
        <v>Fortalecimiento estratégico de equipamiento público comercial y administrativo</v>
      </c>
      <c r="D17" s="187" t="str">
        <f>'M2-PDOT'!C7</f>
        <v>Asentamientos Humanos</v>
      </c>
      <c r="E17" s="1468">
        <f>'M2-PDOT'!L7</f>
        <v>1693800</v>
      </c>
      <c r="F17" s="1469">
        <f>'M2-PDOT'!E7</f>
        <v>5.1556595872029501E-2</v>
      </c>
      <c r="G17" s="1470" t="s">
        <v>3766</v>
      </c>
      <c r="H17" s="1470" t="s">
        <v>3764</v>
      </c>
      <c r="I17" s="221"/>
      <c r="J17" s="221"/>
      <c r="K17" s="221"/>
      <c r="L17" s="221"/>
      <c r="M17" s="221"/>
      <c r="N17" s="221"/>
      <c r="O17" s="221"/>
      <c r="P17" s="221"/>
      <c r="Q17" s="221"/>
      <c r="R17" s="221"/>
      <c r="S17" s="221"/>
      <c r="T17" s="221"/>
      <c r="U17" s="221"/>
      <c r="V17" s="221"/>
      <c r="W17" s="221"/>
      <c r="X17" s="221"/>
      <c r="Y17" s="221"/>
      <c r="Z17" s="986"/>
    </row>
    <row r="18" spans="1:26" s="11" customFormat="1" ht="37.950000000000003" customHeight="1" x14ac:dyDescent="0.3">
      <c r="A18" s="1495">
        <v>5</v>
      </c>
      <c r="B18" s="1488" t="str">
        <f>'M2-PDOT'!B8</f>
        <v>PDOT.SC.OE2.M4.01</v>
      </c>
      <c r="C18" s="144" t="str">
        <f>'M2-PDOT'!D8</f>
        <v>Proyecto Integral de Desarrollo y Apoyo Comunitario</v>
      </c>
      <c r="D18" s="143" t="str">
        <f>'M2-PDOT'!C8</f>
        <v>Socio Cultural</v>
      </c>
      <c r="E18" s="147">
        <f>'M2-PDOT'!L8</f>
        <v>1611066</v>
      </c>
      <c r="F18" s="149">
        <f>'M2-PDOT'!E8</f>
        <v>4.903830362803583E-2</v>
      </c>
      <c r="G18" s="148" t="s">
        <v>3767</v>
      </c>
      <c r="H18" s="148" t="s">
        <v>3764</v>
      </c>
      <c r="I18" s="139"/>
      <c r="J18" s="139"/>
      <c r="K18" s="139"/>
      <c r="L18" s="139"/>
      <c r="M18" s="139"/>
      <c r="N18" s="139"/>
      <c r="O18" s="139"/>
      <c r="P18" s="139"/>
      <c r="Q18" s="139"/>
      <c r="R18" s="139"/>
      <c r="S18" s="139"/>
      <c r="T18" s="139"/>
      <c r="U18" s="139"/>
      <c r="V18" s="139"/>
      <c r="W18" s="139"/>
      <c r="X18" s="139"/>
      <c r="Y18" s="139"/>
      <c r="Z18" s="985"/>
    </row>
    <row r="19" spans="1:26" ht="28.05" customHeight="1" x14ac:dyDescent="0.3">
      <c r="A19" s="1496">
        <v>6</v>
      </c>
      <c r="B19" s="1490" t="str">
        <f>'M2-PDOT'!B9</f>
        <v>PDOT.AS.OE1.M1.02</v>
      </c>
      <c r="C19" s="192" t="str">
        <f>'M2-PDOT'!D9</f>
        <v>Gestión para la construcción de nueva infraestructura de tratamiento de aguas residuales</v>
      </c>
      <c r="D19" s="1059" t="str">
        <f>'M2-PDOT'!C9</f>
        <v>Asentamientos Humanos</v>
      </c>
      <c r="E19" s="1471">
        <f>'M2-PDOT'!L9</f>
        <v>1269859.46</v>
      </c>
      <c r="F19" s="1472">
        <f>'M2-PDOT'!E9</f>
        <v>3.8652515641453306E-2</v>
      </c>
      <c r="G19" s="1470" t="s">
        <v>3768</v>
      </c>
      <c r="H19" s="1470" t="s">
        <v>3764</v>
      </c>
      <c r="I19" s="194"/>
      <c r="J19" s="194"/>
      <c r="K19" s="194"/>
      <c r="L19" s="194"/>
      <c r="M19" s="194"/>
      <c r="N19" s="194"/>
      <c r="O19" s="194"/>
      <c r="P19" s="194"/>
      <c r="Q19" s="194"/>
      <c r="R19" s="194"/>
      <c r="S19" s="194"/>
      <c r="T19" s="194"/>
      <c r="U19" s="194"/>
      <c r="V19" s="194"/>
      <c r="W19" s="194"/>
      <c r="X19" s="194"/>
      <c r="Y19" s="194"/>
      <c r="Z19" s="987"/>
    </row>
    <row r="20" spans="1:26" ht="28.05" customHeight="1" x14ac:dyDescent="0.3">
      <c r="A20" s="1496">
        <v>7</v>
      </c>
      <c r="B20" s="1491" t="str">
        <f>'M2-PDOT'!B10</f>
        <v>PDOT.PI.OE4.M1.01</v>
      </c>
      <c r="C20" s="151" t="str">
        <f>'M2-PDOT'!D10</f>
        <v>Implementación de la Transformación digital de los procedimientos institucionales</v>
      </c>
      <c r="D20" s="152" t="str">
        <f>'M2-PDOT'!C10</f>
        <v>Político Institucional</v>
      </c>
      <c r="E20" s="153">
        <f>'M2-PDOT'!L10</f>
        <v>1219611.33</v>
      </c>
      <c r="F20" s="150">
        <f>'M2-PDOT'!E10</f>
        <v>3.7123041954043229E-2</v>
      </c>
      <c r="G20" s="148" t="s">
        <v>3769</v>
      </c>
      <c r="H20" s="148" t="s">
        <v>3764</v>
      </c>
      <c r="I20" s="104"/>
      <c r="J20" s="104"/>
      <c r="K20" s="104"/>
      <c r="L20" s="104"/>
      <c r="M20" s="104"/>
      <c r="N20" s="104"/>
      <c r="O20" s="104"/>
      <c r="P20" s="104"/>
      <c r="Q20" s="104"/>
      <c r="R20" s="104"/>
      <c r="S20" s="104"/>
      <c r="T20" s="104"/>
      <c r="U20" s="104"/>
      <c r="V20" s="104"/>
      <c r="W20" s="104"/>
      <c r="X20" s="104"/>
      <c r="Y20" s="104"/>
      <c r="Z20" s="988"/>
    </row>
    <row r="21" spans="1:26" ht="28.05" customHeight="1" x14ac:dyDescent="0.3">
      <c r="A21" s="1496">
        <v>8</v>
      </c>
      <c r="B21" s="1490" t="str">
        <f>'M2-PDOT'!B11</f>
        <v>PDOT.AV.OE1.M1.01</v>
      </c>
      <c r="C21" s="192" t="str">
        <f>'M2-PDOT'!D11</f>
        <v>Recuperación integral de los espacios públicos</v>
      </c>
      <c r="D21" s="1059" t="str">
        <f>'M2-PDOT'!C11</f>
        <v>Asentamientos Humanos</v>
      </c>
      <c r="E21" s="1471">
        <f>'M2-PDOT'!L11</f>
        <v>894755.8</v>
      </c>
      <c r="F21" s="1472">
        <f>'M2-PDOT'!E11</f>
        <v>2.7234952877998854E-2</v>
      </c>
      <c r="G21" s="1470" t="s">
        <v>3770</v>
      </c>
      <c r="H21" s="1470" t="s">
        <v>3764</v>
      </c>
      <c r="I21" s="194"/>
      <c r="J21" s="194"/>
      <c r="K21" s="194"/>
      <c r="L21" s="194"/>
      <c r="M21" s="194"/>
      <c r="N21" s="194"/>
      <c r="O21" s="194"/>
      <c r="P21" s="194"/>
      <c r="Q21" s="194"/>
      <c r="R21" s="194"/>
      <c r="S21" s="194"/>
      <c r="T21" s="194"/>
      <c r="U21" s="194"/>
      <c r="V21" s="194"/>
      <c r="W21" s="194"/>
      <c r="X21" s="194"/>
      <c r="Y21" s="194"/>
      <c r="Z21" s="987"/>
    </row>
    <row r="22" spans="1:26" ht="28.05" customHeight="1" x14ac:dyDescent="0.3">
      <c r="A22" s="1496">
        <v>9</v>
      </c>
      <c r="B22" s="1491" t="str">
        <f>'M2-PDOT'!B12</f>
        <v>PDOT.AM.OE3.M1.01</v>
      </c>
      <c r="C22" s="151" t="str">
        <f>'M2-PDOT'!D12</f>
        <v>Implementación de Infraestructura civil para la mitigación y reducción de impactos ante la susceptib</v>
      </c>
      <c r="D22" s="152" t="str">
        <f>'M2-PDOT'!C12</f>
        <v>Ambiental</v>
      </c>
      <c r="E22" s="153">
        <f>'M2-PDOT'!L12</f>
        <v>840000</v>
      </c>
      <c r="F22" s="150">
        <f>'M2-PDOT'!E12</f>
        <v>2.5568272837705033E-2</v>
      </c>
      <c r="G22" s="148" t="s">
        <v>3771</v>
      </c>
      <c r="H22" s="148" t="s">
        <v>3764</v>
      </c>
      <c r="I22" s="104"/>
      <c r="J22" s="104"/>
      <c r="K22" s="104"/>
      <c r="L22" s="104"/>
      <c r="M22" s="104"/>
      <c r="N22" s="104"/>
      <c r="O22" s="104"/>
      <c r="P22" s="104"/>
      <c r="Q22" s="104"/>
      <c r="R22" s="104"/>
      <c r="S22" s="104"/>
      <c r="T22" s="104"/>
      <c r="U22" s="104"/>
      <c r="V22" s="104"/>
      <c r="W22" s="104"/>
      <c r="X22" s="104"/>
      <c r="Y22" s="104"/>
      <c r="Z22" s="988"/>
    </row>
    <row r="23" spans="1:26" ht="28.05" customHeight="1" x14ac:dyDescent="0.3">
      <c r="A23" s="1496">
        <v>10</v>
      </c>
      <c r="B23" s="1490" t="str">
        <f>'M2-PDOT'!B13</f>
        <v>PDOT.FA.OE4.AH.02</v>
      </c>
      <c r="C23" s="192" t="str">
        <f>'M2-PDOT'!D13</f>
        <v>Mejorando la capacidad de
disposición final de desechos sólidos</v>
      </c>
      <c r="D23" s="1059" t="str">
        <f>'M2-PDOT'!C13</f>
        <v>Físico Ambiental</v>
      </c>
      <c r="E23" s="1471">
        <f>'M2-PDOT'!L13</f>
        <v>748782.57</v>
      </c>
      <c r="F23" s="1472">
        <f>'M2-PDOT'!E13</f>
        <v>2.2791758387949959E-2</v>
      </c>
      <c r="G23" s="1470" t="s">
        <v>3772</v>
      </c>
      <c r="H23" s="1470" t="s">
        <v>3764</v>
      </c>
      <c r="I23" s="194"/>
      <c r="J23" s="194"/>
      <c r="K23" s="194"/>
      <c r="L23" s="194"/>
      <c r="M23" s="194"/>
      <c r="N23" s="194"/>
      <c r="O23" s="194"/>
      <c r="P23" s="194"/>
      <c r="Q23" s="194"/>
      <c r="R23" s="194"/>
      <c r="S23" s="194"/>
      <c r="T23" s="194"/>
      <c r="U23" s="194"/>
      <c r="V23" s="194"/>
      <c r="W23" s="194"/>
      <c r="X23" s="194"/>
      <c r="Y23" s="194"/>
      <c r="Z23" s="987"/>
    </row>
    <row r="24" spans="1:26" ht="28.05" customHeight="1" x14ac:dyDescent="0.3">
      <c r="A24" s="1496">
        <v>11</v>
      </c>
      <c r="B24" s="1491" t="str">
        <f>'M2-PDOT'!B14</f>
        <v>PDOT.FA.OE1.PV.01</v>
      </c>
      <c r="C24" s="151" t="str">
        <f>'M2-PDOT'!D14</f>
        <v>Desarrollo de la red Verde y recuperación del espacio público</v>
      </c>
      <c r="D24" s="152" t="str">
        <f>'M2-PDOT'!C14</f>
        <v>Físico Ambiental</v>
      </c>
      <c r="E24" s="153">
        <f>'M2-PDOT'!L14</f>
        <v>609999.54</v>
      </c>
      <c r="F24" s="150">
        <f>'M2-PDOT'!E14</f>
        <v>1.8567422225707814E-2</v>
      </c>
      <c r="G24" s="148" t="s">
        <v>3773</v>
      </c>
      <c r="H24" s="148" t="s">
        <v>3764</v>
      </c>
      <c r="I24" s="104"/>
      <c r="J24" s="104"/>
      <c r="K24" s="104"/>
      <c r="L24" s="104"/>
      <c r="M24" s="104"/>
      <c r="N24" s="104"/>
      <c r="O24" s="104"/>
      <c r="P24" s="104"/>
      <c r="Q24" s="104"/>
      <c r="R24" s="104"/>
      <c r="S24" s="104"/>
      <c r="T24" s="104"/>
      <c r="U24" s="104"/>
      <c r="V24" s="104"/>
      <c r="W24" s="104"/>
      <c r="X24" s="104"/>
      <c r="Y24" s="104"/>
      <c r="Z24" s="988"/>
    </row>
    <row r="25" spans="1:26" ht="28.05" customHeight="1" x14ac:dyDescent="0.3">
      <c r="A25" s="1496">
        <v>12</v>
      </c>
      <c r="B25" s="1490" t="str">
        <f>'M2-PDOT'!B15</f>
        <v>PDOT.PI.OE4.M2.01</v>
      </c>
      <c r="C25" s="192" t="str">
        <f>'M2-PDOT'!D15</f>
        <v>Fortalecimiento del Sistema de Información Territorial Municipal</v>
      </c>
      <c r="D25" s="1059" t="str">
        <f>'M2-PDOT'!C15</f>
        <v>Político Institucional</v>
      </c>
      <c r="E25" s="1471">
        <f>'M2-PDOT'!L15</f>
        <v>600955.82999999996</v>
      </c>
      <c r="F25" s="1472">
        <f>'M2-PDOT'!E15</f>
        <v>1.8292145981963669E-2</v>
      </c>
      <c r="G25" s="1470" t="s">
        <v>3774</v>
      </c>
      <c r="H25" s="1470" t="s">
        <v>3764</v>
      </c>
      <c r="I25" s="194"/>
      <c r="J25" s="194"/>
      <c r="K25" s="194"/>
      <c r="L25" s="194"/>
      <c r="M25" s="194"/>
      <c r="N25" s="194"/>
      <c r="O25" s="194"/>
      <c r="P25" s="194"/>
      <c r="Q25" s="194"/>
      <c r="R25" s="194"/>
      <c r="S25" s="194"/>
      <c r="T25" s="194"/>
      <c r="U25" s="194"/>
      <c r="V25" s="194"/>
      <c r="W25" s="194"/>
      <c r="X25" s="194"/>
      <c r="Y25" s="194"/>
      <c r="Z25" s="987"/>
    </row>
    <row r="26" spans="1:26" ht="28.05" customHeight="1" x14ac:dyDescent="0.3">
      <c r="A26" s="1496">
        <v>13</v>
      </c>
      <c r="B26" s="1491" t="str">
        <f>'M2-PDOT'!B16</f>
        <v>PDOT.PI.OE4.FI.01</v>
      </c>
      <c r="C26" s="151" t="str">
        <f>'M2-PDOT'!D16</f>
        <v>Desarrollo e implementación de Planes Estratégicos Institucionales</v>
      </c>
      <c r="D26" s="152" t="str">
        <f>'M2-PDOT'!C16</f>
        <v>Político Institucional</v>
      </c>
      <c r="E26" s="153">
        <f>'M2-PDOT'!L16</f>
        <v>412973</v>
      </c>
      <c r="F26" s="150">
        <f>'M2-PDOT'!E16</f>
        <v>1.2570245641197094E-2</v>
      </c>
      <c r="G26" s="148" t="s">
        <v>3775</v>
      </c>
      <c r="H26" s="148" t="s">
        <v>3764</v>
      </c>
      <c r="I26" s="104"/>
      <c r="J26" s="104"/>
      <c r="K26" s="104"/>
      <c r="L26" s="104"/>
      <c r="M26" s="104"/>
      <c r="N26" s="104"/>
      <c r="O26" s="104"/>
      <c r="P26" s="104"/>
      <c r="Q26" s="104"/>
      <c r="R26" s="104"/>
      <c r="S26" s="104"/>
      <c r="T26" s="104"/>
      <c r="U26" s="104"/>
      <c r="V26" s="104"/>
      <c r="W26" s="104"/>
      <c r="X26" s="104"/>
      <c r="Y26" s="104"/>
      <c r="Z26" s="988"/>
    </row>
    <row r="27" spans="1:26" ht="28.05" customHeight="1" x14ac:dyDescent="0.3">
      <c r="A27" s="1496">
        <v>14</v>
      </c>
      <c r="B27" s="1490" t="str">
        <f>'M2-PDOT'!B17</f>
        <v>PDOT.AS.VV.HB.01</v>
      </c>
      <c r="C27" s="192" t="str">
        <f>'M2-PDOT'!D17</f>
        <v>Repoteciación de viviendas en
condiciones precarias</v>
      </c>
      <c r="D27" s="1059" t="str">
        <f>'M2-PDOT'!C17</f>
        <v>Asentamientos Humanos</v>
      </c>
      <c r="E27" s="1471">
        <f>'M2-PDOT'!L17</f>
        <v>324000</v>
      </c>
      <c r="F27" s="1472">
        <f>'M2-PDOT'!E17</f>
        <v>9.8620480945433697E-3</v>
      </c>
      <c r="G27" s="1470" t="s">
        <v>3776</v>
      </c>
      <c r="H27" s="1470" t="s">
        <v>3764</v>
      </c>
      <c r="I27" s="194"/>
      <c r="J27" s="194"/>
      <c r="K27" s="194"/>
      <c r="L27" s="194"/>
      <c r="M27" s="194"/>
      <c r="N27" s="194"/>
      <c r="O27" s="194"/>
      <c r="P27" s="194"/>
      <c r="Q27" s="194"/>
      <c r="R27" s="194"/>
      <c r="S27" s="194"/>
      <c r="T27" s="194"/>
      <c r="U27" s="194"/>
      <c r="V27" s="194"/>
      <c r="W27" s="194"/>
      <c r="X27" s="194"/>
      <c r="Y27" s="194"/>
      <c r="Z27" s="987"/>
    </row>
    <row r="28" spans="1:26" ht="28.05" customHeight="1" x14ac:dyDescent="0.3">
      <c r="A28" s="1496">
        <v>15</v>
      </c>
      <c r="B28" s="1491" t="str">
        <f>'M2-PDOT'!B18</f>
        <v>PDOT.SC.PA.CP.01</v>
      </c>
      <c r="C28" s="151" t="str">
        <f>'M2-PDOT'!D18</f>
        <v>Generación del Catastro
y clasificación de artistas y gestores culturales en el RUAC (Registro Único</v>
      </c>
      <c r="D28" s="152" t="str">
        <f>'M2-PDOT'!C18</f>
        <v>Socio Cultural</v>
      </c>
      <c r="E28" s="153">
        <f>'M2-PDOT'!L18</f>
        <v>284047.5</v>
      </c>
      <c r="F28" s="150">
        <f>'M2-PDOT'!E18</f>
        <v>8.6459571177000243E-3</v>
      </c>
      <c r="G28" s="148" t="s">
        <v>3777</v>
      </c>
      <c r="H28" s="148" t="s">
        <v>3764</v>
      </c>
      <c r="I28" s="104"/>
      <c r="J28" s="104"/>
      <c r="K28" s="104"/>
      <c r="L28" s="104"/>
      <c r="M28" s="104"/>
      <c r="N28" s="104"/>
      <c r="O28" s="104"/>
      <c r="P28" s="104"/>
      <c r="Q28" s="104"/>
      <c r="R28" s="104"/>
      <c r="S28" s="104"/>
      <c r="T28" s="104"/>
      <c r="U28" s="104"/>
      <c r="V28" s="104"/>
      <c r="W28" s="104"/>
      <c r="X28" s="104"/>
      <c r="Y28" s="104"/>
      <c r="Z28" s="988"/>
    </row>
    <row r="29" spans="1:26" ht="28.05" customHeight="1" x14ac:dyDescent="0.3">
      <c r="A29" s="1496">
        <v>16</v>
      </c>
      <c r="B29" s="1490" t="str">
        <f>'M2-PDOT'!B19</f>
        <v>PDOT.EP.OE5.PD.01</v>
      </c>
      <c r="C29" s="192" t="str">
        <f>'M2-PDOT'!D19</f>
        <v>Implementación de Ferias Productivas
y Feria de Negocios para Emprendedores del Cantón Montecristi</v>
      </c>
      <c r="D29" s="1059" t="str">
        <f>'M2-PDOT'!C19</f>
        <v>Económico Productivo</v>
      </c>
      <c r="E29" s="1471">
        <f>'M2-PDOT'!L19</f>
        <v>109763.4</v>
      </c>
      <c r="F29" s="1472">
        <f>'M2-PDOT'!E19</f>
        <v>3.3410244747549434E-3</v>
      </c>
      <c r="G29" s="1470" t="s">
        <v>3778</v>
      </c>
      <c r="H29" s="1470" t="s">
        <v>3764</v>
      </c>
      <c r="I29" s="194"/>
      <c r="J29" s="194"/>
      <c r="K29" s="194"/>
      <c r="L29" s="194"/>
      <c r="M29" s="194"/>
      <c r="N29" s="194"/>
      <c r="O29" s="194"/>
      <c r="P29" s="194"/>
      <c r="Q29" s="194"/>
      <c r="R29" s="194"/>
      <c r="S29" s="194"/>
      <c r="T29" s="194"/>
      <c r="U29" s="194"/>
      <c r="V29" s="194"/>
      <c r="W29" s="194"/>
      <c r="X29" s="194"/>
      <c r="Y29" s="194"/>
      <c r="Z29" s="987"/>
    </row>
    <row r="30" spans="1:26" ht="28.05" customHeight="1" x14ac:dyDescent="0.3">
      <c r="A30" s="1496">
        <v>17</v>
      </c>
      <c r="B30" s="1491" t="str">
        <f>'M2-PDOT'!B20</f>
        <v>PDOT.SC.PA.CP.02</v>
      </c>
      <c r="C30" s="151" t="str">
        <f>'M2-PDOT'!D20</f>
        <v>Creación del Inventario del Patrimonio Cultural de Montecristi</v>
      </c>
      <c r="D30" s="152" t="str">
        <f>'M2-PDOT'!C20</f>
        <v>Socio Cultural</v>
      </c>
      <c r="E30" s="153">
        <f>'M2-PDOT'!L20</f>
        <v>214401.43</v>
      </c>
      <c r="F30" s="150">
        <f>'M2-PDOT'!E20</f>
        <v>6.5260407845644242E-3</v>
      </c>
      <c r="G30" s="148" t="s">
        <v>3779</v>
      </c>
      <c r="H30" s="148" t="s">
        <v>3764</v>
      </c>
      <c r="I30" s="104"/>
      <c r="J30" s="104"/>
      <c r="K30" s="104"/>
      <c r="L30" s="104"/>
      <c r="M30" s="104"/>
      <c r="N30" s="104"/>
      <c r="O30" s="104"/>
      <c r="P30" s="104"/>
      <c r="Q30" s="104"/>
      <c r="R30" s="104"/>
      <c r="S30" s="104"/>
      <c r="T30" s="104"/>
      <c r="U30" s="104"/>
      <c r="V30" s="104"/>
      <c r="W30" s="104"/>
      <c r="X30" s="104"/>
      <c r="Y30" s="104"/>
      <c r="Z30" s="988"/>
    </row>
    <row r="31" spans="1:26" ht="28.05" customHeight="1" x14ac:dyDescent="0.3">
      <c r="A31" s="1496">
        <v>18</v>
      </c>
      <c r="B31" s="1490" t="str">
        <f>'M2-PDOT'!B21</f>
        <v>PDOT.AS.VL.SV.01</v>
      </c>
      <c r="C31" s="192" t="str">
        <f>'M2-PDOT'!D21</f>
        <v>Mejora del servicio deTransporte Público</v>
      </c>
      <c r="D31" s="1059" t="str">
        <f>'M2-PDOT'!C21</f>
        <v>Asentamientos Humanos</v>
      </c>
      <c r="E31" s="1471">
        <f>'M2-PDOT'!L21</f>
        <v>153000</v>
      </c>
      <c r="F31" s="1472">
        <f>'M2-PDOT'!E21</f>
        <v>4.6570782668677018E-3</v>
      </c>
      <c r="G31" s="1470" t="s">
        <v>3780</v>
      </c>
      <c r="H31" s="1470" t="s">
        <v>3764</v>
      </c>
      <c r="I31" s="194"/>
      <c r="J31" s="194"/>
      <c r="K31" s="194"/>
      <c r="L31" s="194"/>
      <c r="M31" s="194"/>
      <c r="N31" s="194"/>
      <c r="O31" s="194"/>
      <c r="P31" s="194"/>
      <c r="Q31" s="194"/>
      <c r="R31" s="194"/>
      <c r="S31" s="194"/>
      <c r="T31" s="194"/>
      <c r="U31" s="194"/>
      <c r="V31" s="194"/>
      <c r="W31" s="194"/>
      <c r="X31" s="194"/>
      <c r="Y31" s="194"/>
      <c r="Z31" s="987"/>
    </row>
    <row r="32" spans="1:26" ht="28.05" customHeight="1" x14ac:dyDescent="0.3">
      <c r="A32" s="1496">
        <v>19</v>
      </c>
      <c r="B32" s="1491" t="str">
        <f>'M2-PDOT'!B22</f>
        <v>PDOT.SC.OE2.M2.01</v>
      </c>
      <c r="C32" s="151" t="str">
        <f>'M2-PDOT'!D22</f>
        <v>Fortalecimiento para la reducción de indicadores territoriales del cantón Montecristi relacionados a</v>
      </c>
      <c r="D32" s="152" t="str">
        <f>'M2-PDOT'!C22</f>
        <v>Socio Cultural</v>
      </c>
      <c r="E32" s="153">
        <f>'M2-PDOT'!L22</f>
        <v>144000</v>
      </c>
      <c r="F32" s="150">
        <f>'M2-PDOT'!E22</f>
        <v>4.3831324864637197E-3</v>
      </c>
      <c r="G32" s="148" t="s">
        <v>3781</v>
      </c>
      <c r="H32" s="148" t="s">
        <v>3764</v>
      </c>
      <c r="I32" s="104"/>
      <c r="J32" s="104"/>
      <c r="K32" s="104"/>
      <c r="L32" s="104"/>
      <c r="M32" s="104"/>
      <c r="N32" s="104"/>
      <c r="O32" s="104"/>
      <c r="P32" s="104"/>
      <c r="Q32" s="104"/>
      <c r="R32" s="104"/>
      <c r="S32" s="104"/>
      <c r="T32" s="104"/>
      <c r="U32" s="104"/>
      <c r="V32" s="104"/>
      <c r="W32" s="104"/>
      <c r="X32" s="104"/>
      <c r="Y32" s="104"/>
      <c r="Z32" s="988"/>
    </row>
    <row r="33" spans="1:26" s="26" customFormat="1" ht="18" customHeight="1" x14ac:dyDescent="0.3">
      <c r="A33" s="1046">
        <v>20</v>
      </c>
      <c r="B33" s="1492" t="str">
        <f>'M2-PDOT'!B23</f>
        <v>PDOT.FA.OE2.MA.01</v>
      </c>
      <c r="C33" s="1473">
        <f>'M2-PDOT'!D23</f>
        <v>0</v>
      </c>
      <c r="D33" s="1473">
        <f>'M2-PDOT'!C23</f>
        <v>0</v>
      </c>
      <c r="E33" s="1474">
        <f>'M2-PDOT'!L23</f>
        <v>0</v>
      </c>
      <c r="F33" s="1475">
        <f>'M2-PDOT'!E23</f>
        <v>0</v>
      </c>
      <c r="G33" s="1476" t="s">
        <v>3782</v>
      </c>
      <c r="H33" s="1476" t="s">
        <v>3764</v>
      </c>
      <c r="I33" s="1477"/>
      <c r="J33" s="1477"/>
      <c r="K33" s="1477"/>
      <c r="L33" s="1477"/>
      <c r="M33" s="1477"/>
      <c r="N33" s="1477"/>
      <c r="O33" s="1477"/>
      <c r="P33" s="1477"/>
      <c r="Q33" s="1477"/>
      <c r="R33" s="1477"/>
      <c r="S33" s="1477"/>
      <c r="T33" s="1477"/>
      <c r="U33" s="1477"/>
      <c r="V33" s="1477"/>
      <c r="W33" s="1477"/>
      <c r="X33" s="1477"/>
      <c r="Y33" s="1477"/>
      <c r="Z33" s="1479"/>
    </row>
    <row r="34" spans="1:26" ht="15" thickBot="1" x14ac:dyDescent="0.35">
      <c r="A34" s="1125" t="s">
        <v>656</v>
      </c>
      <c r="B34" s="1493" t="s">
        <v>764</v>
      </c>
      <c r="C34" s="1480" t="s">
        <v>740</v>
      </c>
      <c r="D34" s="1481"/>
      <c r="E34" s="1482">
        <f>SUM(E14:E33)</f>
        <v>32853216.379999999</v>
      </c>
      <c r="F34" s="1483">
        <f>SUM(F14:F33)</f>
        <v>1.0000000000000002</v>
      </c>
      <c r="G34" s="989"/>
      <c r="H34" s="989"/>
      <c r="I34" s="989"/>
      <c r="J34" s="989"/>
      <c r="K34" s="989"/>
      <c r="L34" s="989"/>
      <c r="M34" s="989"/>
      <c r="N34" s="989"/>
      <c r="O34" s="989"/>
      <c r="P34" s="989"/>
      <c r="Q34" s="989"/>
      <c r="R34" s="989"/>
      <c r="S34" s="989"/>
      <c r="T34" s="989"/>
      <c r="U34" s="989"/>
      <c r="V34" s="989"/>
      <c r="W34" s="989"/>
      <c r="X34" s="989"/>
      <c r="Y34" s="989"/>
      <c r="Z34" s="990"/>
    </row>
    <row r="35" spans="1:26" ht="15" thickTop="1" x14ac:dyDescent="0.3"/>
  </sheetData>
  <mergeCells count="4">
    <mergeCell ref="A1:Z1"/>
    <mergeCell ref="A3:Z3"/>
    <mergeCell ref="A10:Z10"/>
    <mergeCell ref="A11:Z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EEAF1"/>
  </sheetPr>
  <dimension ref="A1:Z27"/>
  <sheetViews>
    <sheetView showGridLines="0" zoomScale="91" zoomScaleNormal="91" workbookViewId="0">
      <selection sqref="A1:Z1"/>
    </sheetView>
  </sheetViews>
  <sheetFormatPr baseColWidth="10" defaultRowHeight="14.4" x14ac:dyDescent="0.3"/>
  <cols>
    <col min="1" max="1" width="5.21875" style="2" customWidth="1"/>
    <col min="2" max="2" width="20.33203125" bestFit="1" customWidth="1"/>
    <col min="3" max="3" width="25.33203125" bestFit="1" customWidth="1"/>
    <col min="4" max="4" width="61" bestFit="1" customWidth="1"/>
    <col min="5" max="5" width="10.88671875" bestFit="1" customWidth="1"/>
    <col min="6" max="6" width="9.44140625" bestFit="1" customWidth="1"/>
    <col min="7" max="7" width="13.6640625" bestFit="1" customWidth="1"/>
    <col min="8" max="8" width="7.5546875" bestFit="1" customWidth="1"/>
    <col min="26" max="26" width="8.6640625" bestFit="1" customWidth="1"/>
  </cols>
  <sheetData>
    <row r="1" spans="1:26" ht="19.95" customHeight="1" x14ac:dyDescent="0.3">
      <c r="A1" s="1925" t="s">
        <v>4783</v>
      </c>
      <c r="B1" s="1713"/>
      <c r="C1" s="1713"/>
      <c r="D1" s="1713"/>
      <c r="E1" s="1713"/>
      <c r="F1" s="1713"/>
      <c r="G1" s="1713"/>
      <c r="H1" s="1713"/>
      <c r="I1" s="1713"/>
      <c r="J1" s="1713"/>
      <c r="K1" s="1713"/>
      <c r="L1" s="1713"/>
      <c r="M1" s="1713"/>
      <c r="N1" s="1713"/>
      <c r="O1" s="1713"/>
      <c r="P1" s="1713"/>
      <c r="Q1" s="1713"/>
      <c r="R1" s="1713"/>
      <c r="S1" s="1713"/>
      <c r="T1" s="1713"/>
      <c r="U1" s="1713"/>
      <c r="V1" s="1713"/>
      <c r="W1" s="1713"/>
      <c r="X1" s="1713"/>
      <c r="Y1" s="1713"/>
      <c r="Z1" s="1713"/>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473"/>
      <c r="N2" s="473"/>
      <c r="O2" s="473"/>
      <c r="P2" s="473"/>
      <c r="Q2" s="473"/>
      <c r="R2" s="473"/>
      <c r="S2" s="473"/>
      <c r="T2" s="473"/>
      <c r="U2" s="473"/>
      <c r="V2" s="473"/>
      <c r="W2" s="473"/>
      <c r="X2" s="473"/>
      <c r="Y2" s="473"/>
      <c r="Z2" s="473"/>
    </row>
    <row r="3" spans="1:26" ht="19.95" customHeight="1" thickBot="1" x14ac:dyDescent="0.35">
      <c r="A3" s="1718" t="s">
        <v>4059</v>
      </c>
      <c r="B3" s="1714"/>
      <c r="C3" s="1714"/>
      <c r="D3" s="1714"/>
      <c r="E3" s="1714"/>
      <c r="F3" s="1714"/>
      <c r="G3" s="1714"/>
      <c r="H3" s="1714"/>
      <c r="I3" s="1714"/>
      <c r="J3" s="1714"/>
      <c r="K3" s="1714"/>
      <c r="L3" s="1714"/>
      <c r="M3" s="1714"/>
      <c r="N3" s="1714"/>
      <c r="O3" s="1714"/>
      <c r="P3" s="1714"/>
      <c r="Q3" s="1714"/>
      <c r="R3" s="1714"/>
      <c r="S3" s="1714"/>
      <c r="T3" s="1714"/>
      <c r="U3" s="1714"/>
      <c r="V3" s="1714"/>
      <c r="W3" s="1714"/>
      <c r="X3" s="1714"/>
      <c r="Y3" s="1714"/>
      <c r="Z3" s="1714"/>
    </row>
    <row r="4" spans="1:26" ht="28.05" customHeight="1" thickTop="1" x14ac:dyDescent="0.3">
      <c r="A4" s="1043" t="s">
        <v>661</v>
      </c>
      <c r="B4" s="1037" t="s">
        <v>662</v>
      </c>
      <c r="C4" s="1031" t="s">
        <v>663</v>
      </c>
      <c r="D4" s="1031" t="s">
        <v>664</v>
      </c>
      <c r="E4" s="1031" t="s">
        <v>765</v>
      </c>
      <c r="F4" s="1031" t="s">
        <v>766</v>
      </c>
      <c r="G4" s="1031" t="s">
        <v>438</v>
      </c>
      <c r="H4" s="1031" t="s">
        <v>767</v>
      </c>
      <c r="I4" s="565"/>
      <c r="J4" s="565"/>
      <c r="K4" s="565"/>
      <c r="L4" s="565"/>
      <c r="M4" s="565"/>
      <c r="N4" s="565"/>
      <c r="O4" s="565"/>
      <c r="P4" s="565"/>
      <c r="Q4" s="565"/>
      <c r="R4" s="565"/>
      <c r="S4" s="565"/>
      <c r="T4" s="565"/>
      <c r="U4" s="565"/>
      <c r="V4" s="565"/>
      <c r="W4" s="565"/>
      <c r="X4" s="565"/>
      <c r="Y4" s="565"/>
      <c r="Z4" s="566"/>
    </row>
    <row r="5" spans="1:26" s="11" customFormat="1" ht="30" customHeight="1" x14ac:dyDescent="0.3">
      <c r="A5" s="1044">
        <v>1</v>
      </c>
      <c r="B5" s="1038" t="str">
        <f>'M2-PDOT'!B4</f>
        <v>PDOT.AS.VL.M1.01</v>
      </c>
      <c r="C5" s="300" t="str">
        <f>'M2-PDOT'!C4</f>
        <v>Asentamientos Humanos</v>
      </c>
      <c r="D5" s="300" t="str">
        <f>'M2-PDOT'!D4</f>
        <v>Mantenimiento de vías urbanas para el acceso de los barrios del cantón</v>
      </c>
      <c r="E5" s="300" t="s">
        <v>769</v>
      </c>
      <c r="F5" s="300">
        <v>1</v>
      </c>
      <c r="G5" s="1021">
        <f>'M2-PDOT'!L4</f>
        <v>10892760.76</v>
      </c>
      <c r="H5" s="1022">
        <f>'M2-PLAN-Pi'!F14</f>
        <v>0.3315584274613419</v>
      </c>
      <c r="I5" s="184"/>
      <c r="J5" s="184"/>
      <c r="K5" s="184"/>
      <c r="L5" s="184"/>
      <c r="M5" s="184"/>
      <c r="N5" s="184"/>
      <c r="O5" s="184"/>
      <c r="P5" s="184"/>
      <c r="Q5" s="184"/>
      <c r="R5" s="184"/>
      <c r="S5" s="184"/>
      <c r="T5" s="184"/>
      <c r="U5" s="184"/>
      <c r="V5" s="184"/>
      <c r="W5" s="184"/>
      <c r="X5" s="184"/>
      <c r="Y5" s="184"/>
      <c r="Z5" s="928"/>
    </row>
    <row r="6" spans="1:26" s="10" customFormat="1" ht="42" customHeight="1" x14ac:dyDescent="0.3">
      <c r="A6" s="1045">
        <v>2</v>
      </c>
      <c r="B6" s="1039" t="str">
        <f>'M2-PDOT'!B5</f>
        <v>PDOT.SC.OE2.M1.01</v>
      </c>
      <c r="C6" s="117" t="str">
        <f>'M2-PDOT'!C5</f>
        <v>Socio Cultural</v>
      </c>
      <c r="D6" s="117" t="str">
        <f>'M2-PDOT'!D5</f>
        <v>Desarrollo del Bienestar Integral para Montecristi</v>
      </c>
      <c r="E6" s="117" t="s">
        <v>768</v>
      </c>
      <c r="F6" s="117">
        <v>1.5</v>
      </c>
      <c r="G6" s="154">
        <f>'M2-PDOT'!L5</f>
        <v>5827477</v>
      </c>
      <c r="H6" s="155">
        <f>'M2-PLAN-Pi'!F15</f>
        <v>0.17737919272791763</v>
      </c>
      <c r="I6" s="1023"/>
      <c r="J6" s="1023"/>
      <c r="K6" s="1023"/>
      <c r="L6" s="1023"/>
      <c r="M6" s="1023"/>
      <c r="N6" s="1023"/>
      <c r="O6" s="1023"/>
      <c r="P6" s="1023"/>
      <c r="Q6" s="1023"/>
      <c r="R6" s="1023"/>
      <c r="S6" s="1023"/>
      <c r="T6" s="1023"/>
      <c r="U6" s="1023"/>
      <c r="V6" s="1023"/>
      <c r="W6" s="1023"/>
      <c r="X6" s="1023"/>
      <c r="Y6" s="1023"/>
      <c r="Z6" s="1030"/>
    </row>
    <row r="7" spans="1:26" s="11" customFormat="1" ht="37.950000000000003" customHeight="1" x14ac:dyDescent="0.3">
      <c r="A7" s="1045">
        <v>3</v>
      </c>
      <c r="B7" s="1040" t="str">
        <f>'M2-PDOT'!B6</f>
        <v>PDOT.AM.OE3.M2.01</v>
      </c>
      <c r="C7" s="1024" t="str">
        <f>'M2-PDOT'!C6</f>
        <v>Ambiental</v>
      </c>
      <c r="D7" s="1024" t="str">
        <f>'M2-PDOT'!D6</f>
        <v>Gestión Integral de Desechos Sólidos</v>
      </c>
      <c r="E7" s="1024" t="s">
        <v>769</v>
      </c>
      <c r="F7" s="1024">
        <v>1</v>
      </c>
      <c r="G7" s="1025">
        <f>'M2-PDOT'!L6</f>
        <v>5001962.76</v>
      </c>
      <c r="H7" s="1026">
        <f>'M2-PLAN-Pi'!F16</f>
        <v>0.152251843537762</v>
      </c>
      <c r="I7" s="221"/>
      <c r="J7" s="221"/>
      <c r="K7" s="221"/>
      <c r="L7" s="221"/>
      <c r="M7" s="221"/>
      <c r="N7" s="221"/>
      <c r="O7" s="221"/>
      <c r="P7" s="221"/>
      <c r="Q7" s="221"/>
      <c r="R7" s="221"/>
      <c r="S7" s="221"/>
      <c r="T7" s="221"/>
      <c r="U7" s="221"/>
      <c r="V7" s="221"/>
      <c r="W7" s="221"/>
      <c r="X7" s="221"/>
      <c r="Y7" s="221"/>
      <c r="Z7" s="986"/>
    </row>
    <row r="8" spans="1:26" s="11" customFormat="1" ht="37.950000000000003" customHeight="1" x14ac:dyDescent="0.3">
      <c r="A8" s="1045">
        <v>4</v>
      </c>
      <c r="B8" s="1039" t="str">
        <f>'M2-PDOT'!B7</f>
        <v>PDOT.AS.OE1.M2.01</v>
      </c>
      <c r="C8" s="114" t="str">
        <f>'M2-PDOT'!C7</f>
        <v>Asentamientos Humanos</v>
      </c>
      <c r="D8" s="114" t="str">
        <f>'M2-PDOT'!D7</f>
        <v>Fortalecimiento estratégico de equipamiento público comercial y administrativo</v>
      </c>
      <c r="E8" s="114" t="s">
        <v>769</v>
      </c>
      <c r="F8" s="114">
        <v>1</v>
      </c>
      <c r="G8" s="156">
        <f>'M2-PDOT'!L7</f>
        <v>1693800</v>
      </c>
      <c r="H8" s="157">
        <f>'M2-PLAN-Pi'!F17</f>
        <v>5.1556595872029501E-2</v>
      </c>
      <c r="I8" s="139"/>
      <c r="J8" s="139"/>
      <c r="K8" s="139"/>
      <c r="L8" s="139"/>
      <c r="M8" s="139"/>
      <c r="N8" s="139"/>
      <c r="O8" s="139"/>
      <c r="P8" s="139"/>
      <c r="Q8" s="139"/>
      <c r="R8" s="139"/>
      <c r="S8" s="139"/>
      <c r="T8" s="139"/>
      <c r="U8" s="139"/>
      <c r="V8" s="139"/>
      <c r="W8" s="139"/>
      <c r="X8" s="139"/>
      <c r="Y8" s="139"/>
      <c r="Z8" s="985"/>
    </row>
    <row r="9" spans="1:26" s="11" customFormat="1" ht="37.950000000000003" customHeight="1" x14ac:dyDescent="0.3">
      <c r="A9" s="1045">
        <v>5</v>
      </c>
      <c r="B9" s="1040" t="str">
        <f>'M2-PDOT'!B8</f>
        <v>PDOT.SC.OE2.M4.01</v>
      </c>
      <c r="C9" s="1024" t="str">
        <f>'M2-PDOT'!C8</f>
        <v>Socio Cultural</v>
      </c>
      <c r="D9" s="1024" t="str">
        <f>'M2-PDOT'!D8</f>
        <v>Proyecto Integral de Desarrollo y Apoyo Comunitario</v>
      </c>
      <c r="E9" s="1024" t="s">
        <v>769</v>
      </c>
      <c r="F9" s="1024">
        <v>1</v>
      </c>
      <c r="G9" s="1025">
        <f>'M2-PDOT'!L8</f>
        <v>1611066</v>
      </c>
      <c r="H9" s="1026">
        <f>'M2-PLAN-Pi'!F18</f>
        <v>4.903830362803583E-2</v>
      </c>
      <c r="I9" s="221"/>
      <c r="J9" s="221"/>
      <c r="K9" s="221"/>
      <c r="L9" s="221"/>
      <c r="M9" s="221"/>
      <c r="N9" s="221"/>
      <c r="O9" s="221"/>
      <c r="P9" s="221"/>
      <c r="Q9" s="221"/>
      <c r="R9" s="221"/>
      <c r="S9" s="221"/>
      <c r="T9" s="221"/>
      <c r="U9" s="221"/>
      <c r="V9" s="221"/>
      <c r="W9" s="221"/>
      <c r="X9" s="221"/>
      <c r="Y9" s="221"/>
      <c r="Z9" s="986"/>
    </row>
    <row r="10" spans="1:26" s="11" customFormat="1" ht="37.950000000000003" customHeight="1" x14ac:dyDescent="0.3">
      <c r="A10" s="1045">
        <v>6</v>
      </c>
      <c r="B10" s="1039" t="str">
        <f>'M2-PDOT'!B9</f>
        <v>PDOT.AS.OE1.M1.02</v>
      </c>
      <c r="C10" s="114" t="str">
        <f>'M2-PDOT'!C9</f>
        <v>Asentamientos Humanos</v>
      </c>
      <c r="D10" s="114" t="str">
        <f>'M2-PDOT'!D9</f>
        <v>Gestión para la construcción de nueva infraestructura de tratamiento de aguas residuales</v>
      </c>
      <c r="E10" s="114" t="s">
        <v>768</v>
      </c>
      <c r="F10" s="114">
        <v>1.5</v>
      </c>
      <c r="G10" s="156">
        <f>'M2-PDOT'!L9</f>
        <v>1269859.46</v>
      </c>
      <c r="H10" s="157">
        <f>'M2-PLAN-Pi'!F19</f>
        <v>3.8652515641453306E-2</v>
      </c>
      <c r="I10" s="139"/>
      <c r="J10" s="139"/>
      <c r="K10" s="139"/>
      <c r="L10" s="139"/>
      <c r="M10" s="139"/>
      <c r="N10" s="139"/>
      <c r="O10" s="139"/>
      <c r="P10" s="139"/>
      <c r="Q10" s="139"/>
      <c r="R10" s="139"/>
      <c r="S10" s="139"/>
      <c r="T10" s="139"/>
      <c r="U10" s="139"/>
      <c r="V10" s="139"/>
      <c r="W10" s="139"/>
      <c r="X10" s="139"/>
      <c r="Y10" s="139"/>
      <c r="Z10" s="985"/>
    </row>
    <row r="11" spans="1:26" s="11" customFormat="1" ht="37.950000000000003" customHeight="1" x14ac:dyDescent="0.3">
      <c r="A11" s="1045">
        <v>7</v>
      </c>
      <c r="B11" s="1040" t="str">
        <f>'M2-PDOT'!B10</f>
        <v>PDOT.PI.OE4.M1.01</v>
      </c>
      <c r="C11" s="1024" t="str">
        <f>'M2-PDOT'!C10</f>
        <v>Político Institucional</v>
      </c>
      <c r="D11" s="1024" t="str">
        <f>'M2-PDOT'!D10</f>
        <v>Implementación de la Transformación digital de los procedimientos institucionales</v>
      </c>
      <c r="E11" s="1024" t="s">
        <v>770</v>
      </c>
      <c r="F11" s="1024">
        <v>0.5</v>
      </c>
      <c r="G11" s="1025">
        <f>'M2-PDOT'!L10</f>
        <v>1219611.33</v>
      </c>
      <c r="H11" s="1026">
        <f>'M2-PLAN-Pi'!F20</f>
        <v>3.7123041954043229E-2</v>
      </c>
      <c r="I11" s="221"/>
      <c r="J11" s="221"/>
      <c r="K11" s="221"/>
      <c r="L11" s="221"/>
      <c r="M11" s="221"/>
      <c r="N11" s="221"/>
      <c r="O11" s="221"/>
      <c r="P11" s="221"/>
      <c r="Q11" s="221"/>
      <c r="R11" s="221"/>
      <c r="S11" s="221"/>
      <c r="T11" s="221"/>
      <c r="U11" s="221"/>
      <c r="V11" s="221"/>
      <c r="W11" s="221"/>
      <c r="X11" s="221"/>
      <c r="Y11" s="221"/>
      <c r="Z11" s="986"/>
    </row>
    <row r="12" spans="1:26" s="11" customFormat="1" ht="37.950000000000003" customHeight="1" x14ac:dyDescent="0.3">
      <c r="A12" s="1045">
        <v>8</v>
      </c>
      <c r="B12" s="1039" t="str">
        <f>'M2-PDOT'!B11</f>
        <v>PDOT.AV.OE1.M1.01</v>
      </c>
      <c r="C12" s="114" t="str">
        <f>'M2-PDOT'!C11</f>
        <v>Asentamientos Humanos</v>
      </c>
      <c r="D12" s="114" t="str">
        <f>'M2-PDOT'!D11</f>
        <v>Recuperación integral de los espacios públicos</v>
      </c>
      <c r="E12" s="114" t="s">
        <v>769</v>
      </c>
      <c r="F12" s="114">
        <v>1</v>
      </c>
      <c r="G12" s="156">
        <f>'M2-PDOT'!L11</f>
        <v>894755.8</v>
      </c>
      <c r="H12" s="157">
        <f>'M2-PLAN-Pi'!F21</f>
        <v>2.7234952877998854E-2</v>
      </c>
      <c r="I12" s="139"/>
      <c r="J12" s="139"/>
      <c r="K12" s="139"/>
      <c r="L12" s="139"/>
      <c r="M12" s="139"/>
      <c r="N12" s="139"/>
      <c r="O12" s="139"/>
      <c r="P12" s="139"/>
      <c r="Q12" s="139"/>
      <c r="R12" s="139"/>
      <c r="S12" s="139"/>
      <c r="T12" s="139"/>
      <c r="U12" s="139"/>
      <c r="V12" s="139"/>
      <c r="W12" s="139"/>
      <c r="X12" s="139"/>
      <c r="Y12" s="139"/>
      <c r="Z12" s="985"/>
    </row>
    <row r="13" spans="1:26" s="11" customFormat="1" ht="37.950000000000003" customHeight="1" x14ac:dyDescent="0.3">
      <c r="A13" s="1045">
        <v>9</v>
      </c>
      <c r="B13" s="1040" t="str">
        <f>'M2-PDOT'!B12</f>
        <v>PDOT.AM.OE3.M1.01</v>
      </c>
      <c r="C13" s="1024" t="str">
        <f>'M2-PDOT'!C12</f>
        <v>Ambiental</v>
      </c>
      <c r="D13" s="1024" t="str">
        <f>'M2-PDOT'!D12</f>
        <v>Implementación de Infraestructura civil para la mitigación y reducción de impactos ante la susceptib</v>
      </c>
      <c r="E13" s="1024" t="s">
        <v>768</v>
      </c>
      <c r="F13" s="1024">
        <v>1.5</v>
      </c>
      <c r="G13" s="1025">
        <f>'M2-PDOT'!L12</f>
        <v>840000</v>
      </c>
      <c r="H13" s="1026">
        <f>'M2-PLAN-Pi'!F22</f>
        <v>2.5568272837705033E-2</v>
      </c>
      <c r="I13" s="221"/>
      <c r="J13" s="221"/>
      <c r="K13" s="221"/>
      <c r="L13" s="221"/>
      <c r="M13" s="221"/>
      <c r="N13" s="221"/>
      <c r="O13" s="221"/>
      <c r="P13" s="221"/>
      <c r="Q13" s="221"/>
      <c r="R13" s="221"/>
      <c r="S13" s="221"/>
      <c r="T13" s="221"/>
      <c r="U13" s="221"/>
      <c r="V13" s="221"/>
      <c r="W13" s="221"/>
      <c r="X13" s="221"/>
      <c r="Y13" s="221"/>
      <c r="Z13" s="986"/>
    </row>
    <row r="14" spans="1:26" s="11" customFormat="1" ht="37.950000000000003" customHeight="1" x14ac:dyDescent="0.3">
      <c r="A14" s="1045">
        <v>10</v>
      </c>
      <c r="B14" s="1039" t="str">
        <f>'M2-PDOT'!B13</f>
        <v>PDOT.FA.OE4.AH.02</v>
      </c>
      <c r="C14" s="114" t="str">
        <f>'M2-PDOT'!C13</f>
        <v>Físico Ambiental</v>
      </c>
      <c r="D14" s="114" t="str">
        <f>'M2-PDOT'!D13</f>
        <v>Mejorando la capacidad de
disposición final de desechos sólidos</v>
      </c>
      <c r="E14" s="114" t="s">
        <v>769</v>
      </c>
      <c r="F14" s="114">
        <v>1</v>
      </c>
      <c r="G14" s="156">
        <f>'M2-PDOT'!L13</f>
        <v>748782.57</v>
      </c>
      <c r="H14" s="157">
        <f>'M2-PLAN-Pi'!F23</f>
        <v>2.2791758387949959E-2</v>
      </c>
      <c r="I14" s="139"/>
      <c r="J14" s="139"/>
      <c r="K14" s="139"/>
      <c r="L14" s="139"/>
      <c r="M14" s="139"/>
      <c r="N14" s="139"/>
      <c r="O14" s="139"/>
      <c r="P14" s="139"/>
      <c r="Q14" s="139"/>
      <c r="R14" s="139"/>
      <c r="S14" s="139"/>
      <c r="T14" s="139"/>
      <c r="U14" s="139"/>
      <c r="V14" s="139"/>
      <c r="W14" s="139"/>
      <c r="X14" s="139"/>
      <c r="Y14" s="139"/>
      <c r="Z14" s="985"/>
    </row>
    <row r="15" spans="1:26" s="11" customFormat="1" ht="37.950000000000003" customHeight="1" x14ac:dyDescent="0.3">
      <c r="A15" s="1045">
        <v>11</v>
      </c>
      <c r="B15" s="1040" t="str">
        <f>'M2-PDOT'!B14</f>
        <v>PDOT.FA.OE1.PV.01</v>
      </c>
      <c r="C15" s="1024" t="str">
        <f>'M2-PDOT'!C14</f>
        <v>Físico Ambiental</v>
      </c>
      <c r="D15" s="1024" t="str">
        <f>'M2-PDOT'!D14</f>
        <v>Desarrollo de la red Verde y recuperación del espacio público</v>
      </c>
      <c r="E15" s="1024" t="s">
        <v>770</v>
      </c>
      <c r="F15" s="1024">
        <v>0.5</v>
      </c>
      <c r="G15" s="1025">
        <f>'M2-PDOT'!L14</f>
        <v>609999.54</v>
      </c>
      <c r="H15" s="1026">
        <f>'M2-PLAN-Pi'!F24</f>
        <v>1.8567422225707814E-2</v>
      </c>
      <c r="I15" s="221"/>
      <c r="J15" s="221"/>
      <c r="K15" s="221"/>
      <c r="L15" s="221"/>
      <c r="M15" s="221"/>
      <c r="N15" s="221"/>
      <c r="O15" s="221"/>
      <c r="P15" s="221"/>
      <c r="Q15" s="221"/>
      <c r="R15" s="221"/>
      <c r="S15" s="221"/>
      <c r="T15" s="221"/>
      <c r="U15" s="221"/>
      <c r="V15" s="221"/>
      <c r="W15" s="221"/>
      <c r="X15" s="221"/>
      <c r="Y15" s="221"/>
      <c r="Z15" s="986"/>
    </row>
    <row r="16" spans="1:26" s="11" customFormat="1" ht="37.950000000000003" customHeight="1" x14ac:dyDescent="0.3">
      <c r="A16" s="1045">
        <v>12</v>
      </c>
      <c r="B16" s="1039" t="str">
        <f>'M2-PDOT'!B15</f>
        <v>PDOT.PI.OE4.M2.01</v>
      </c>
      <c r="C16" s="114" t="str">
        <f>'M2-PDOT'!C15</f>
        <v>Político Institucional</v>
      </c>
      <c r="D16" s="114" t="str">
        <f>'M2-PDOT'!D15</f>
        <v>Fortalecimiento del Sistema de Información Territorial Municipal</v>
      </c>
      <c r="E16" s="114" t="s">
        <v>770</v>
      </c>
      <c r="F16" s="114">
        <v>0.5</v>
      </c>
      <c r="G16" s="156">
        <f>'M2-PDOT'!L15</f>
        <v>600955.82999999996</v>
      </c>
      <c r="H16" s="157">
        <f>'M2-PLAN-Pi'!F25</f>
        <v>1.8292145981963669E-2</v>
      </c>
      <c r="I16" s="139"/>
      <c r="J16" s="139"/>
      <c r="K16" s="139"/>
      <c r="L16" s="139"/>
      <c r="M16" s="139"/>
      <c r="N16" s="139"/>
      <c r="O16" s="139"/>
      <c r="P16" s="139"/>
      <c r="Q16" s="139"/>
      <c r="R16" s="139"/>
      <c r="S16" s="139"/>
      <c r="T16" s="139"/>
      <c r="U16" s="139"/>
      <c r="V16" s="139"/>
      <c r="W16" s="139"/>
      <c r="X16" s="139"/>
      <c r="Y16" s="139"/>
      <c r="Z16" s="985"/>
    </row>
    <row r="17" spans="1:26" s="11" customFormat="1" ht="37.950000000000003" customHeight="1" x14ac:dyDescent="0.3">
      <c r="A17" s="1045">
        <v>13</v>
      </c>
      <c r="B17" s="1040" t="str">
        <f>'M2-PDOT'!B16</f>
        <v>PDOT.PI.OE4.FI.01</v>
      </c>
      <c r="C17" s="1024" t="str">
        <f>'M2-PDOT'!C16</f>
        <v>Político Institucional</v>
      </c>
      <c r="D17" s="1024" t="str">
        <f>'M2-PDOT'!D16</f>
        <v>Desarrollo e implementación de Planes Estratégicos Institucionales</v>
      </c>
      <c r="E17" s="1024" t="s">
        <v>770</v>
      </c>
      <c r="F17" s="1024">
        <v>0.5</v>
      </c>
      <c r="G17" s="1025">
        <f>'M2-PDOT'!L16</f>
        <v>412973</v>
      </c>
      <c r="H17" s="1026">
        <f>'M2-PLAN-Pi'!F26</f>
        <v>1.2570245641197094E-2</v>
      </c>
      <c r="I17" s="221"/>
      <c r="J17" s="221"/>
      <c r="K17" s="221"/>
      <c r="L17" s="221"/>
      <c r="M17" s="221"/>
      <c r="N17" s="221"/>
      <c r="O17" s="221"/>
      <c r="P17" s="221"/>
      <c r="Q17" s="221"/>
      <c r="R17" s="221"/>
      <c r="S17" s="221"/>
      <c r="T17" s="221"/>
      <c r="U17" s="221"/>
      <c r="V17" s="221"/>
      <c r="W17" s="221"/>
      <c r="X17" s="221"/>
      <c r="Y17" s="221"/>
      <c r="Z17" s="986"/>
    </row>
    <row r="18" spans="1:26" s="11" customFormat="1" ht="37.950000000000003" customHeight="1" x14ac:dyDescent="0.3">
      <c r="A18" s="1045">
        <v>14</v>
      </c>
      <c r="B18" s="1039" t="str">
        <f>'M2-PDOT'!B17</f>
        <v>PDOT.AS.VV.HB.01</v>
      </c>
      <c r="C18" s="114" t="str">
        <f>'M2-PDOT'!C17</f>
        <v>Asentamientos Humanos</v>
      </c>
      <c r="D18" s="114" t="str">
        <f>'M2-PDOT'!D17</f>
        <v>Repoteciación de viviendas en
condiciones precarias</v>
      </c>
      <c r="E18" s="114" t="s">
        <v>769</v>
      </c>
      <c r="F18" s="114">
        <v>1</v>
      </c>
      <c r="G18" s="156">
        <f>'M2-PDOT'!L17</f>
        <v>324000</v>
      </c>
      <c r="H18" s="157">
        <f>'M2-PLAN-Pi'!F27</f>
        <v>9.8620480945433697E-3</v>
      </c>
      <c r="I18" s="139"/>
      <c r="J18" s="139"/>
      <c r="K18" s="139"/>
      <c r="L18" s="139"/>
      <c r="M18" s="139"/>
      <c r="N18" s="139"/>
      <c r="O18" s="139"/>
      <c r="P18" s="139"/>
      <c r="Q18" s="139"/>
      <c r="R18" s="139"/>
      <c r="S18" s="139"/>
      <c r="T18" s="139"/>
      <c r="U18" s="139"/>
      <c r="V18" s="139"/>
      <c r="W18" s="139"/>
      <c r="X18" s="139"/>
      <c r="Y18" s="139"/>
      <c r="Z18" s="985"/>
    </row>
    <row r="19" spans="1:26" s="11" customFormat="1" ht="37.950000000000003" customHeight="1" x14ac:dyDescent="0.3">
      <c r="A19" s="1045">
        <v>15</v>
      </c>
      <c r="B19" s="1040" t="str">
        <f>'M2-PDOT'!B18</f>
        <v>PDOT.SC.PA.CP.01</v>
      </c>
      <c r="C19" s="1024" t="str">
        <f>'M2-PDOT'!C18</f>
        <v>Socio Cultural</v>
      </c>
      <c r="D19" s="1024" t="str">
        <f>'M2-PDOT'!D18</f>
        <v>Generación del Catastro
y clasificación de artistas y gestores culturales en el RUAC (Registro Único</v>
      </c>
      <c r="E19" s="1024" t="s">
        <v>770</v>
      </c>
      <c r="F19" s="1024">
        <v>0.5</v>
      </c>
      <c r="G19" s="1025">
        <f>'M2-PDOT'!L18</f>
        <v>284047.5</v>
      </c>
      <c r="H19" s="1026">
        <f>'M2-PLAN-Pi'!F28</f>
        <v>8.6459571177000243E-3</v>
      </c>
      <c r="I19" s="221"/>
      <c r="J19" s="221"/>
      <c r="K19" s="221"/>
      <c r="L19" s="221"/>
      <c r="M19" s="221"/>
      <c r="N19" s="221"/>
      <c r="O19" s="221"/>
      <c r="P19" s="221"/>
      <c r="Q19" s="221"/>
      <c r="R19" s="221"/>
      <c r="S19" s="221"/>
      <c r="T19" s="221"/>
      <c r="U19" s="221"/>
      <c r="V19" s="221"/>
      <c r="W19" s="221"/>
      <c r="X19" s="221"/>
      <c r="Y19" s="221"/>
      <c r="Z19" s="986"/>
    </row>
    <row r="20" spans="1:26" s="11" customFormat="1" ht="37.950000000000003" customHeight="1" x14ac:dyDescent="0.3">
      <c r="A20" s="1045">
        <v>16</v>
      </c>
      <c r="B20" s="1039" t="str">
        <f>'M2-PDOT'!B19</f>
        <v>PDOT.EP.OE5.PD.01</v>
      </c>
      <c r="C20" s="114" t="str">
        <f>'M2-PDOT'!C19</f>
        <v>Económico Productivo</v>
      </c>
      <c r="D20" s="114" t="str">
        <f>'M2-PDOT'!D19</f>
        <v>Implementación de Ferias Productivas
y Feria de Negocios para Emprendedores del Cantón Montecristi</v>
      </c>
      <c r="E20" s="114" t="s">
        <v>770</v>
      </c>
      <c r="F20" s="114">
        <v>0.5</v>
      </c>
      <c r="G20" s="156">
        <f>'M2-PDOT'!L19</f>
        <v>109763.4</v>
      </c>
      <c r="H20" s="157">
        <f>'M2-PLAN-Pi'!F29</f>
        <v>3.3410244747549434E-3</v>
      </c>
      <c r="I20" s="139"/>
      <c r="J20" s="139"/>
      <c r="K20" s="139"/>
      <c r="L20" s="139"/>
      <c r="M20" s="139"/>
      <c r="N20" s="139"/>
      <c r="O20" s="139"/>
      <c r="P20" s="139"/>
      <c r="Q20" s="139"/>
      <c r="R20" s="139"/>
      <c r="S20" s="139"/>
      <c r="T20" s="139"/>
      <c r="U20" s="139"/>
      <c r="V20" s="139"/>
      <c r="W20" s="139"/>
      <c r="X20" s="139"/>
      <c r="Y20" s="139"/>
      <c r="Z20" s="985"/>
    </row>
    <row r="21" spans="1:26" s="11" customFormat="1" ht="37.950000000000003" customHeight="1" x14ac:dyDescent="0.3">
      <c r="A21" s="1045">
        <v>17</v>
      </c>
      <c r="B21" s="1040" t="str">
        <f>'M2-PDOT'!B20</f>
        <v>PDOT.SC.PA.CP.02</v>
      </c>
      <c r="C21" s="1024" t="str">
        <f>'M2-PDOT'!C20</f>
        <v>Socio Cultural</v>
      </c>
      <c r="D21" s="1024" t="str">
        <f>'M2-PDOT'!D20</f>
        <v>Creación del Inventario del Patrimonio Cultural de Montecristi</v>
      </c>
      <c r="E21" s="1024" t="s">
        <v>770</v>
      </c>
      <c r="F21" s="1024">
        <v>0.5</v>
      </c>
      <c r="G21" s="1025">
        <f>'M2-PDOT'!L20</f>
        <v>214401.43</v>
      </c>
      <c r="H21" s="1026">
        <f>'M2-PLAN-Pi'!F30</f>
        <v>6.5260407845644242E-3</v>
      </c>
      <c r="I21" s="221"/>
      <c r="J21" s="221"/>
      <c r="K21" s="221"/>
      <c r="L21" s="221"/>
      <c r="M21" s="221"/>
      <c r="N21" s="221"/>
      <c r="O21" s="221"/>
      <c r="P21" s="221"/>
      <c r="Q21" s="221"/>
      <c r="R21" s="221"/>
      <c r="S21" s="221"/>
      <c r="T21" s="221"/>
      <c r="U21" s="221"/>
      <c r="V21" s="221"/>
      <c r="W21" s="221"/>
      <c r="X21" s="221"/>
      <c r="Y21" s="221"/>
      <c r="Z21" s="986"/>
    </row>
    <row r="22" spans="1:26" s="11" customFormat="1" ht="37.950000000000003" customHeight="1" x14ac:dyDescent="0.3">
      <c r="A22" s="1045">
        <v>18</v>
      </c>
      <c r="B22" s="1039" t="str">
        <f>'M2-PDOT'!B21</f>
        <v>PDOT.AS.VL.SV.01</v>
      </c>
      <c r="C22" s="114" t="str">
        <f>'M2-PDOT'!C21</f>
        <v>Asentamientos Humanos</v>
      </c>
      <c r="D22" s="114" t="str">
        <f>'M2-PDOT'!D21</f>
        <v>Mejora del servicio deTransporte Público</v>
      </c>
      <c r="E22" s="114" t="s">
        <v>769</v>
      </c>
      <c r="F22" s="114">
        <v>1</v>
      </c>
      <c r="G22" s="156">
        <f>'M2-PDOT'!L21</f>
        <v>153000</v>
      </c>
      <c r="H22" s="157">
        <f>'M2-PLAN-Pi'!F31</f>
        <v>4.6570782668677018E-3</v>
      </c>
      <c r="I22" s="139"/>
      <c r="J22" s="139"/>
      <c r="K22" s="139"/>
      <c r="L22" s="139"/>
      <c r="M22" s="139"/>
      <c r="N22" s="139"/>
      <c r="O22" s="139"/>
      <c r="P22" s="139"/>
      <c r="Q22" s="139"/>
      <c r="R22" s="139"/>
      <c r="S22" s="139"/>
      <c r="T22" s="139"/>
      <c r="U22" s="139"/>
      <c r="V22" s="139"/>
      <c r="W22" s="139"/>
      <c r="X22" s="139"/>
      <c r="Y22" s="139"/>
      <c r="Z22" s="985"/>
    </row>
    <row r="23" spans="1:26" s="11" customFormat="1" ht="37.950000000000003" customHeight="1" x14ac:dyDescent="0.3">
      <c r="A23" s="1045">
        <v>19</v>
      </c>
      <c r="B23" s="1040" t="str">
        <f>'M2-PDOT'!B22</f>
        <v>PDOT.SC.OE2.M2.01</v>
      </c>
      <c r="C23" s="1024" t="str">
        <f>'M2-PDOT'!C22</f>
        <v>Socio Cultural</v>
      </c>
      <c r="D23" s="1024" t="str">
        <f>'M2-PDOT'!D22</f>
        <v>Fortalecimiento para la reducción de indicadores territoriales del cantón Montecristi relacionados a</v>
      </c>
      <c r="E23" s="1024" t="s">
        <v>769</v>
      </c>
      <c r="F23" s="1024">
        <v>1</v>
      </c>
      <c r="G23" s="1025">
        <f>'M2-PDOT'!L22</f>
        <v>144000</v>
      </c>
      <c r="H23" s="1026">
        <f>'M2-PLAN-Pi'!F32</f>
        <v>4.3831324864637197E-3</v>
      </c>
      <c r="I23" s="221"/>
      <c r="J23" s="221"/>
      <c r="K23" s="221"/>
      <c r="L23" s="221"/>
      <c r="M23" s="221"/>
      <c r="N23" s="221"/>
      <c r="O23" s="221"/>
      <c r="P23" s="221"/>
      <c r="Q23" s="221"/>
      <c r="R23" s="221"/>
      <c r="S23" s="221"/>
      <c r="T23" s="221"/>
      <c r="U23" s="221"/>
      <c r="V23" s="221"/>
      <c r="W23" s="221"/>
      <c r="X23" s="221"/>
      <c r="Y23" s="221"/>
      <c r="Z23" s="986"/>
    </row>
    <row r="24" spans="1:26" s="11" customFormat="1" ht="37.950000000000003" customHeight="1" x14ac:dyDescent="0.3">
      <c r="A24" s="1045">
        <v>20</v>
      </c>
      <c r="B24" s="1039" t="str">
        <f>'M2-PDOT'!B23</f>
        <v>PDOT.FA.OE2.MA.01</v>
      </c>
      <c r="C24" s="114">
        <f>'M2-PDOT'!C23</f>
        <v>0</v>
      </c>
      <c r="D24" s="114">
        <f>'M2-PDOT'!D23</f>
        <v>0</v>
      </c>
      <c r="E24" s="114" t="s">
        <v>770</v>
      </c>
      <c r="F24" s="114">
        <v>0.5</v>
      </c>
      <c r="G24" s="156">
        <f>'M2-PDOT'!L23</f>
        <v>0</v>
      </c>
      <c r="H24" s="157">
        <f>'M2-PLAN-Pi'!F33</f>
        <v>0</v>
      </c>
      <c r="I24" s="139"/>
      <c r="J24" s="139"/>
      <c r="K24" s="139"/>
      <c r="L24" s="139"/>
      <c r="M24" s="139"/>
      <c r="N24" s="139"/>
      <c r="O24" s="139"/>
      <c r="P24" s="139"/>
      <c r="Q24" s="139"/>
      <c r="R24" s="139"/>
      <c r="S24" s="139"/>
      <c r="T24" s="139"/>
      <c r="U24" s="139"/>
      <c r="V24" s="139"/>
      <c r="W24" s="139"/>
      <c r="X24" s="139"/>
      <c r="Y24" s="139"/>
      <c r="Z24" s="985"/>
    </row>
    <row r="25" spans="1:26" x14ac:dyDescent="0.3">
      <c r="A25" s="1046" t="s">
        <v>656</v>
      </c>
      <c r="B25" s="1041" t="s">
        <v>772</v>
      </c>
      <c r="C25" s="474" t="s">
        <v>103</v>
      </c>
      <c r="D25" s="1027" t="s">
        <v>3783</v>
      </c>
      <c r="E25" s="537" t="s">
        <v>103</v>
      </c>
      <c r="F25" s="474" t="s">
        <v>103</v>
      </c>
      <c r="G25" s="1028">
        <f>'M2-PDOT'!L24</f>
        <v>32853216.379999999</v>
      </c>
      <c r="H25" s="1029">
        <f>SUM(H5:H24)</f>
        <v>1.0000000000000002</v>
      </c>
      <c r="I25" s="194"/>
      <c r="J25" s="194"/>
      <c r="K25" s="194"/>
      <c r="L25" s="194"/>
      <c r="M25" s="194"/>
      <c r="N25" s="194"/>
      <c r="O25" s="194"/>
      <c r="P25" s="194"/>
      <c r="Q25" s="194"/>
      <c r="R25" s="194"/>
      <c r="S25" s="194"/>
      <c r="T25" s="194"/>
      <c r="U25" s="194"/>
      <c r="V25" s="194"/>
      <c r="W25" s="194"/>
      <c r="X25" s="194"/>
      <c r="Y25" s="194"/>
      <c r="Z25" s="987"/>
    </row>
    <row r="26" spans="1:26" s="11" customFormat="1" ht="37.950000000000003" customHeight="1" thickBot="1" x14ac:dyDescent="0.35">
      <c r="A26" s="1047" t="s">
        <v>656</v>
      </c>
      <c r="B26" s="1042" t="s">
        <v>771</v>
      </c>
      <c r="C26" s="1032" t="s">
        <v>660</v>
      </c>
      <c r="D26" s="1032" t="s">
        <v>772</v>
      </c>
      <c r="E26" s="1032" t="s">
        <v>660</v>
      </c>
      <c r="F26" s="1032" t="s">
        <v>660</v>
      </c>
      <c r="G26" s="1033">
        <f>SUM(G6:G25)</f>
        <v>54813671.999999993</v>
      </c>
      <c r="H26" s="1034">
        <f>SUM(H6:H25)</f>
        <v>1.6684415725386583</v>
      </c>
      <c r="I26" s="1035"/>
      <c r="J26" s="1035"/>
      <c r="K26" s="1035"/>
      <c r="L26" s="1035"/>
      <c r="M26" s="1035"/>
      <c r="N26" s="1035"/>
      <c r="O26" s="1035"/>
      <c r="P26" s="1035"/>
      <c r="Q26" s="1035"/>
      <c r="R26" s="1035"/>
      <c r="S26" s="1035"/>
      <c r="T26" s="1035"/>
      <c r="U26" s="1035"/>
      <c r="V26" s="1035"/>
      <c r="W26" s="1035"/>
      <c r="X26" s="1035"/>
      <c r="Y26" s="1035"/>
      <c r="Z26" s="1036"/>
    </row>
    <row r="27" spans="1:26" ht="15" thickTop="1" x14ac:dyDescent="0.3"/>
  </sheetData>
  <mergeCells count="2">
    <mergeCell ref="A1:Z1"/>
    <mergeCell ref="A3:Z3"/>
  </mergeCells>
  <dataValidations count="1">
    <dataValidation type="list" allowBlank="1" showInputMessage="1" showErrorMessage="1" promptTitle="Factor Ri" prompt="Ri relevancia (PDF §2.3):_x000a_1.5=CRÍTICO (derechos fundamentales)_x000a_1.0=ALTO_x000a_0.5=MEDIO" sqref="F5:F24" xr:uid="{00000000-0002-0000-0700-000000000000}">
      <formula1>"0.5,1,1.5"</formula1>
    </dataValidation>
  </dataValidations>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9D2E9"/>
  </sheetPr>
  <dimension ref="A1:Z24"/>
  <sheetViews>
    <sheetView showGridLines="0" topLeftCell="B4" zoomScale="85" zoomScaleNormal="85" workbookViewId="0">
      <pane xSplit="1" ySplit="1" topLeftCell="C5" activePane="bottomRight" state="frozen"/>
      <selection activeCell="B4" sqref="B4"/>
      <selection pane="topRight" activeCell="C4" sqref="C4"/>
      <selection pane="bottomLeft" activeCell="B5" sqref="B5"/>
      <selection pane="bottomRight" sqref="A1:Z1"/>
    </sheetView>
  </sheetViews>
  <sheetFormatPr baseColWidth="10" defaultRowHeight="14.4" x14ac:dyDescent="0.3"/>
  <cols>
    <col min="1" max="1" width="5.21875" style="4" customWidth="1"/>
    <col min="2" max="2" width="12.77734375" style="4" bestFit="1" customWidth="1"/>
    <col min="3" max="3" width="29.33203125" style="4" bestFit="1" customWidth="1"/>
    <col min="4" max="4" width="16.6640625" style="4" customWidth="1"/>
    <col min="5" max="5" width="10" style="4" bestFit="1" customWidth="1"/>
    <col min="6" max="6" width="14" style="4" bestFit="1" customWidth="1"/>
    <col min="7" max="7" width="4.109375" style="4" bestFit="1" customWidth="1"/>
    <col min="8" max="8" width="10" style="4" bestFit="1" customWidth="1"/>
    <col min="9" max="9" width="11.109375" style="4" bestFit="1" customWidth="1"/>
    <col min="10" max="10" width="7.33203125" style="4" bestFit="1" customWidth="1"/>
    <col min="11" max="11" width="31.109375" style="4" bestFit="1" customWidth="1"/>
    <col min="12" max="13" width="11.5546875" style="4" customWidth="1"/>
    <col min="14" max="25" width="11.5546875" style="4"/>
    <col min="26" max="26" width="8.33203125" style="4" bestFit="1" customWidth="1"/>
    <col min="27" max="16384" width="11.5546875" style="4"/>
  </cols>
  <sheetData>
    <row r="1" spans="1:26" ht="19.95" customHeight="1" x14ac:dyDescent="0.3">
      <c r="A1" s="1923" t="s">
        <v>4779</v>
      </c>
      <c r="B1" s="1713"/>
      <c r="C1" s="1713"/>
      <c r="D1" s="1713"/>
      <c r="E1" s="1713"/>
      <c r="F1" s="1713"/>
      <c r="G1" s="1713"/>
      <c r="H1" s="1713"/>
      <c r="I1" s="1713"/>
      <c r="J1" s="1713"/>
      <c r="K1" s="1713"/>
      <c r="L1" s="1713"/>
      <c r="M1" s="1713"/>
      <c r="N1" s="1713"/>
      <c r="O1" s="1713"/>
      <c r="P1" s="1713"/>
      <c r="Q1" s="1713"/>
      <c r="R1" s="1713"/>
      <c r="S1" s="1713"/>
      <c r="T1" s="1713"/>
      <c r="U1" s="1713"/>
      <c r="V1" s="1713"/>
      <c r="W1" s="1713"/>
      <c r="X1" s="1713"/>
      <c r="Y1" s="1713"/>
      <c r="Z1" s="1713"/>
    </row>
    <row r="2" spans="1:26" ht="19.95" customHeight="1" x14ac:dyDescent="0.3">
      <c r="A2" s="921" t="str">
        <f>HYPERLINK("#'M-INDEX'!A1","⌂ INDICE")</f>
        <v>⌂ INDICE</v>
      </c>
      <c r="B2" s="472" t="str">
        <f>HYPERLINK("#'M1-ITME'!A1","M1")</f>
        <v>M1</v>
      </c>
      <c r="C2" s="472" t="str">
        <f>HYPERLINK("#'M2-PDOT'!A1","M2")</f>
        <v>M2</v>
      </c>
      <c r="D2" s="472" t="str">
        <f>HYPERLINK("#'M3-MAO'!A1","◉ M3-MAO")</f>
        <v>◉ M3-MAO</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HYPERLINK("#'M-DASHBOARD'!A1","DASH")</f>
        <v>DASH</v>
      </c>
      <c r="L2" s="473"/>
      <c r="M2" s="473"/>
      <c r="N2" s="473"/>
      <c r="O2" s="473"/>
      <c r="P2" s="473"/>
      <c r="Q2" s="473"/>
      <c r="R2" s="473"/>
      <c r="S2" s="473"/>
      <c r="T2" s="473"/>
      <c r="U2" s="473"/>
      <c r="V2" s="473"/>
      <c r="W2" s="473"/>
      <c r="X2" s="473"/>
      <c r="Y2" s="473"/>
      <c r="Z2" s="473"/>
    </row>
    <row r="3" spans="1:26" ht="16.05" customHeight="1" thickBot="1" x14ac:dyDescent="0.35">
      <c r="A3" s="1719" t="s">
        <v>661</v>
      </c>
      <c r="B3" s="1720"/>
      <c r="C3" s="1720"/>
      <c r="D3" s="1720"/>
      <c r="E3" s="1720"/>
      <c r="F3" s="1720"/>
      <c r="G3" s="1720"/>
      <c r="H3" s="1720"/>
      <c r="I3" s="1720"/>
      <c r="J3" s="1720"/>
      <c r="K3" s="1721"/>
      <c r="L3" s="931"/>
      <c r="M3" s="931"/>
      <c r="N3" s="931"/>
      <c r="O3" s="931"/>
      <c r="P3" s="931"/>
      <c r="Q3" s="931"/>
      <c r="R3" s="931"/>
      <c r="S3" s="931"/>
      <c r="T3" s="931"/>
      <c r="U3" s="931"/>
      <c r="V3" s="931"/>
      <c r="W3" s="931"/>
      <c r="X3" s="931"/>
      <c r="Y3" s="931"/>
      <c r="Z3" s="931"/>
    </row>
    <row r="4" spans="1:26" ht="28.05" customHeight="1" thickTop="1" thickBot="1" x14ac:dyDescent="0.35">
      <c r="A4" s="945" t="s">
        <v>662</v>
      </c>
      <c r="B4" s="940" t="s">
        <v>663</v>
      </c>
      <c r="C4" s="932" t="s">
        <v>773</v>
      </c>
      <c r="D4" s="932" t="s">
        <v>123</v>
      </c>
      <c r="E4" s="932" t="s">
        <v>774</v>
      </c>
      <c r="F4" s="932" t="s">
        <v>775</v>
      </c>
      <c r="G4" s="932" t="s">
        <v>669</v>
      </c>
      <c r="H4" s="932" t="s">
        <v>776</v>
      </c>
      <c r="I4" s="932" t="s">
        <v>777</v>
      </c>
      <c r="J4" s="932" t="s">
        <v>778</v>
      </c>
      <c r="K4" s="933" t="s">
        <v>779</v>
      </c>
      <c r="L4" s="564"/>
      <c r="M4" s="565"/>
      <c r="N4" s="565"/>
      <c r="O4" s="565"/>
      <c r="P4" s="565"/>
      <c r="Q4" s="565"/>
      <c r="R4" s="565"/>
      <c r="S4" s="565"/>
      <c r="T4" s="565"/>
      <c r="U4" s="565"/>
      <c r="V4" s="565"/>
      <c r="W4" s="565"/>
      <c r="X4" s="565"/>
      <c r="Y4" s="565"/>
      <c r="Z4" s="566"/>
    </row>
    <row r="5" spans="1:26" s="25" customFormat="1" ht="16.05" customHeight="1" thickTop="1" thickBot="1" x14ac:dyDescent="0.35">
      <c r="A5" s="946" t="s">
        <v>507</v>
      </c>
      <c r="B5" s="941" t="s">
        <v>19</v>
      </c>
      <c r="C5" s="922" t="s">
        <v>89</v>
      </c>
      <c r="D5" s="922" t="s">
        <v>4558</v>
      </c>
      <c r="E5" s="922" t="s">
        <v>780</v>
      </c>
      <c r="F5" s="922" t="s">
        <v>781</v>
      </c>
      <c r="G5" s="923">
        <v>1</v>
      </c>
      <c r="H5" s="922" t="s">
        <v>782</v>
      </c>
      <c r="I5" s="922" t="s">
        <v>783</v>
      </c>
      <c r="J5" s="922" t="s">
        <v>784</v>
      </c>
      <c r="K5" s="924">
        <v>45068</v>
      </c>
      <c r="L5" s="414"/>
      <c r="M5" s="184"/>
      <c r="N5" s="184"/>
      <c r="O5" s="184"/>
      <c r="P5" s="184"/>
      <c r="Q5" s="184"/>
      <c r="R5" s="184"/>
      <c r="S5" s="184"/>
      <c r="T5" s="184"/>
      <c r="U5" s="184"/>
      <c r="V5" s="184"/>
      <c r="W5" s="184"/>
      <c r="X5" s="184"/>
      <c r="Y5" s="184"/>
      <c r="Z5" s="928"/>
    </row>
    <row r="6" spans="1:26" s="19" customFormat="1" ht="16.05" customHeight="1" thickTop="1" thickBot="1" x14ac:dyDescent="0.35">
      <c r="A6" s="946" t="s">
        <v>43</v>
      </c>
      <c r="B6" s="942" t="s">
        <v>22</v>
      </c>
      <c r="C6" s="377" t="s">
        <v>94</v>
      </c>
      <c r="D6" s="377" t="s">
        <v>4559</v>
      </c>
      <c r="E6" s="377" t="s">
        <v>785</v>
      </c>
      <c r="F6" s="377" t="s">
        <v>786</v>
      </c>
      <c r="G6" s="378">
        <v>0.9</v>
      </c>
      <c r="H6" s="377" t="s">
        <v>787</v>
      </c>
      <c r="I6" s="377" t="s">
        <v>788</v>
      </c>
      <c r="J6" s="377" t="s">
        <v>789</v>
      </c>
      <c r="K6" s="925" t="s">
        <v>790</v>
      </c>
      <c r="L6" s="405"/>
      <c r="M6" s="144"/>
      <c r="N6" s="144"/>
      <c r="O6" s="144"/>
      <c r="P6" s="144"/>
      <c r="Q6" s="144"/>
      <c r="R6" s="144"/>
      <c r="S6" s="144"/>
      <c r="T6" s="144"/>
      <c r="U6" s="144"/>
      <c r="V6" s="144"/>
      <c r="W6" s="144"/>
      <c r="X6" s="144"/>
      <c r="Y6" s="144"/>
      <c r="Z6" s="929"/>
    </row>
    <row r="7" spans="1:26" s="19" customFormat="1" ht="16.05" customHeight="1" thickTop="1" thickBot="1" x14ac:dyDescent="0.35">
      <c r="A7" s="946" t="s">
        <v>687</v>
      </c>
      <c r="B7" s="943" t="s">
        <v>19</v>
      </c>
      <c r="C7" s="498" t="s">
        <v>791</v>
      </c>
      <c r="D7" s="498" t="s">
        <v>4560</v>
      </c>
      <c r="E7" s="498" t="s">
        <v>780</v>
      </c>
      <c r="F7" s="498" t="s">
        <v>781</v>
      </c>
      <c r="G7" s="926">
        <v>1</v>
      </c>
      <c r="H7" s="498" t="s">
        <v>782</v>
      </c>
      <c r="I7" s="498" t="s">
        <v>792</v>
      </c>
      <c r="J7" s="498" t="s">
        <v>793</v>
      </c>
      <c r="K7" s="927">
        <v>45068</v>
      </c>
      <c r="L7" s="403"/>
      <c r="M7" s="189"/>
      <c r="N7" s="189"/>
      <c r="O7" s="189"/>
      <c r="P7" s="189"/>
      <c r="Q7" s="189"/>
      <c r="R7" s="189"/>
      <c r="S7" s="189"/>
      <c r="T7" s="189"/>
      <c r="U7" s="189"/>
      <c r="V7" s="189"/>
      <c r="W7" s="189"/>
      <c r="X7" s="189"/>
      <c r="Y7" s="189"/>
      <c r="Z7" s="930"/>
    </row>
    <row r="8" spans="1:26" s="19" customFormat="1" ht="16.05" customHeight="1" thickTop="1" thickBot="1" x14ac:dyDescent="0.35">
      <c r="A8" s="946" t="s">
        <v>57</v>
      </c>
      <c r="B8" s="942" t="s">
        <v>19</v>
      </c>
      <c r="C8" s="377" t="s">
        <v>95</v>
      </c>
      <c r="D8" s="377" t="s">
        <v>4561</v>
      </c>
      <c r="E8" s="377" t="s">
        <v>780</v>
      </c>
      <c r="F8" s="377" t="s">
        <v>781</v>
      </c>
      <c r="G8" s="378">
        <v>1</v>
      </c>
      <c r="H8" s="377" t="s">
        <v>782</v>
      </c>
      <c r="I8" s="377" t="s">
        <v>794</v>
      </c>
      <c r="J8" s="377" t="s">
        <v>795</v>
      </c>
      <c r="K8" s="379">
        <v>45068</v>
      </c>
      <c r="L8" s="405"/>
      <c r="M8" s="144"/>
      <c r="N8" s="144"/>
      <c r="O8" s="144"/>
      <c r="P8" s="144"/>
      <c r="Q8" s="144"/>
      <c r="R8" s="144"/>
      <c r="S8" s="144"/>
      <c r="T8" s="144"/>
      <c r="U8" s="144"/>
      <c r="V8" s="144"/>
      <c r="W8" s="144"/>
      <c r="X8" s="144"/>
      <c r="Y8" s="144"/>
      <c r="Z8" s="929"/>
    </row>
    <row r="9" spans="1:26" s="19" customFormat="1" ht="16.05" customHeight="1" thickTop="1" thickBot="1" x14ac:dyDescent="0.35">
      <c r="A9" s="946" t="s">
        <v>693</v>
      </c>
      <c r="B9" s="943" t="s">
        <v>22</v>
      </c>
      <c r="C9" s="498" t="s">
        <v>87</v>
      </c>
      <c r="D9" s="498" t="s">
        <v>4562</v>
      </c>
      <c r="E9" s="498" t="s">
        <v>780</v>
      </c>
      <c r="F9" s="498" t="s">
        <v>781</v>
      </c>
      <c r="G9" s="926">
        <v>1</v>
      </c>
      <c r="H9" s="498" t="s">
        <v>782</v>
      </c>
      <c r="I9" s="498" t="s">
        <v>796</v>
      </c>
      <c r="J9" s="498" t="s">
        <v>797</v>
      </c>
      <c r="K9" s="927">
        <v>45068</v>
      </c>
      <c r="L9" s="403"/>
      <c r="M9" s="189"/>
      <c r="N9" s="189"/>
      <c r="O9" s="189"/>
      <c r="P9" s="189"/>
      <c r="Q9" s="189"/>
      <c r="R9" s="189"/>
      <c r="S9" s="189"/>
      <c r="T9" s="189"/>
      <c r="U9" s="189"/>
      <c r="V9" s="189"/>
      <c r="W9" s="189"/>
      <c r="X9" s="189"/>
      <c r="Y9" s="189"/>
      <c r="Z9" s="930"/>
    </row>
    <row r="10" spans="1:26" s="19" customFormat="1" ht="16.05" customHeight="1" thickTop="1" thickBot="1" x14ac:dyDescent="0.35">
      <c r="A10" s="946" t="s">
        <v>539</v>
      </c>
      <c r="B10" s="942" t="s">
        <v>19</v>
      </c>
      <c r="C10" s="377" t="s">
        <v>89</v>
      </c>
      <c r="D10" s="377" t="s">
        <v>4558</v>
      </c>
      <c r="E10" s="377" t="s">
        <v>780</v>
      </c>
      <c r="F10" s="377" t="s">
        <v>781</v>
      </c>
      <c r="G10" s="378">
        <v>1</v>
      </c>
      <c r="H10" s="377" t="s">
        <v>782</v>
      </c>
      <c r="I10" s="377" t="s">
        <v>783</v>
      </c>
      <c r="J10" s="377" t="s">
        <v>784</v>
      </c>
      <c r="K10" s="379">
        <v>45068</v>
      </c>
      <c r="L10" s="405"/>
      <c r="M10" s="144"/>
      <c r="N10" s="144"/>
      <c r="O10" s="144"/>
      <c r="P10" s="144"/>
      <c r="Q10" s="144"/>
      <c r="R10" s="144"/>
      <c r="S10" s="144"/>
      <c r="T10" s="144"/>
      <c r="U10" s="144"/>
      <c r="V10" s="144"/>
      <c r="W10" s="144"/>
      <c r="X10" s="144"/>
      <c r="Y10" s="144"/>
      <c r="Z10" s="929"/>
    </row>
    <row r="11" spans="1:26" s="19" customFormat="1" ht="16.05" customHeight="1" thickTop="1" thickBot="1" x14ac:dyDescent="0.35">
      <c r="A11" s="946" t="s">
        <v>47</v>
      </c>
      <c r="B11" s="943" t="s">
        <v>22</v>
      </c>
      <c r="C11" s="498" t="s">
        <v>94</v>
      </c>
      <c r="D11" s="498" t="s">
        <v>4559</v>
      </c>
      <c r="E11" s="498" t="s">
        <v>785</v>
      </c>
      <c r="F11" s="498" t="s">
        <v>786</v>
      </c>
      <c r="G11" s="926">
        <v>0.9</v>
      </c>
      <c r="H11" s="498" t="s">
        <v>787</v>
      </c>
      <c r="I11" s="498" t="s">
        <v>788</v>
      </c>
      <c r="J11" s="498" t="s">
        <v>789</v>
      </c>
      <c r="K11" s="927">
        <v>45078</v>
      </c>
      <c r="L11" s="403"/>
      <c r="M11" s="189"/>
      <c r="N11" s="189"/>
      <c r="O11" s="189"/>
      <c r="P11" s="189"/>
      <c r="Q11" s="189"/>
      <c r="R11" s="189"/>
      <c r="S11" s="189"/>
      <c r="T11" s="189"/>
      <c r="U11" s="189"/>
      <c r="V11" s="189"/>
      <c r="W11" s="189"/>
      <c r="X11" s="189"/>
      <c r="Y11" s="189"/>
      <c r="Z11" s="930"/>
    </row>
    <row r="12" spans="1:26" s="19" customFormat="1" ht="16.05" customHeight="1" thickTop="1" thickBot="1" x14ac:dyDescent="0.35">
      <c r="A12" s="946" t="s">
        <v>515</v>
      </c>
      <c r="B12" s="942" t="s">
        <v>25</v>
      </c>
      <c r="C12" s="377" t="s">
        <v>799</v>
      </c>
      <c r="D12" s="377" t="s">
        <v>4563</v>
      </c>
      <c r="E12" s="377" t="s">
        <v>800</v>
      </c>
      <c r="F12" s="377" t="s">
        <v>781</v>
      </c>
      <c r="G12" s="378">
        <v>1</v>
      </c>
      <c r="H12" s="377" t="s">
        <v>801</v>
      </c>
      <c r="I12" s="377" t="s">
        <v>802</v>
      </c>
      <c r="J12" s="377" t="s">
        <v>803</v>
      </c>
      <c r="K12" s="379">
        <v>45092</v>
      </c>
      <c r="L12" s="405"/>
      <c r="M12" s="144"/>
      <c r="N12" s="144"/>
      <c r="O12" s="144"/>
      <c r="P12" s="144"/>
      <c r="Q12" s="144"/>
      <c r="R12" s="144"/>
      <c r="S12" s="144"/>
      <c r="T12" s="144"/>
      <c r="U12" s="144"/>
      <c r="V12" s="144"/>
      <c r="W12" s="144"/>
      <c r="X12" s="144"/>
      <c r="Y12" s="144"/>
      <c r="Z12" s="929"/>
    </row>
    <row r="13" spans="1:26" s="19" customFormat="1" ht="16.05" customHeight="1" thickTop="1" thickBot="1" x14ac:dyDescent="0.35">
      <c r="A13" s="946" t="s">
        <v>526</v>
      </c>
      <c r="B13" s="943" t="s">
        <v>19</v>
      </c>
      <c r="C13" s="498" t="s">
        <v>89</v>
      </c>
      <c r="D13" s="498" t="s">
        <v>4558</v>
      </c>
      <c r="E13" s="498" t="s">
        <v>780</v>
      </c>
      <c r="F13" s="498" t="s">
        <v>781</v>
      </c>
      <c r="G13" s="926">
        <v>1</v>
      </c>
      <c r="H13" s="498" t="s">
        <v>782</v>
      </c>
      <c r="I13" s="498" t="s">
        <v>783</v>
      </c>
      <c r="J13" s="498" t="s">
        <v>784</v>
      </c>
      <c r="K13" s="927">
        <v>45068</v>
      </c>
      <c r="L13" s="403"/>
      <c r="M13" s="189"/>
      <c r="N13" s="189"/>
      <c r="O13" s="189"/>
      <c r="P13" s="189"/>
      <c r="Q13" s="189"/>
      <c r="R13" s="189"/>
      <c r="S13" s="189"/>
      <c r="T13" s="189"/>
      <c r="U13" s="189"/>
      <c r="V13" s="189"/>
      <c r="W13" s="189"/>
      <c r="X13" s="189"/>
      <c r="Y13" s="189"/>
      <c r="Z13" s="930"/>
    </row>
    <row r="14" spans="1:26" s="19" customFormat="1" ht="16.05" customHeight="1" thickTop="1" thickBot="1" x14ac:dyDescent="0.35">
      <c r="A14" s="946" t="s">
        <v>53</v>
      </c>
      <c r="B14" s="942" t="s">
        <v>22</v>
      </c>
      <c r="C14" s="377" t="s">
        <v>94</v>
      </c>
      <c r="D14" s="377" t="s">
        <v>4559</v>
      </c>
      <c r="E14" s="377" t="s">
        <v>785</v>
      </c>
      <c r="F14" s="377" t="s">
        <v>786</v>
      </c>
      <c r="G14" s="378">
        <v>0.9</v>
      </c>
      <c r="H14" s="377" t="s">
        <v>787</v>
      </c>
      <c r="I14" s="377" t="s">
        <v>788</v>
      </c>
      <c r="J14" s="377" t="s">
        <v>789</v>
      </c>
      <c r="K14" s="379">
        <v>45078</v>
      </c>
      <c r="L14" s="405"/>
      <c r="M14" s="144"/>
      <c r="N14" s="144"/>
      <c r="O14" s="144"/>
      <c r="P14" s="144"/>
      <c r="Q14" s="144"/>
      <c r="R14" s="144"/>
      <c r="S14" s="144"/>
      <c r="T14" s="144"/>
      <c r="U14" s="144"/>
      <c r="V14" s="144"/>
      <c r="W14" s="144"/>
      <c r="X14" s="144"/>
      <c r="Y14" s="144"/>
      <c r="Z14" s="929"/>
    </row>
    <row r="15" spans="1:26" s="19" customFormat="1" ht="16.05" customHeight="1" thickTop="1" thickBot="1" x14ac:dyDescent="0.35">
      <c r="A15" s="946" t="s">
        <v>487</v>
      </c>
      <c r="B15" s="943" t="s">
        <v>25</v>
      </c>
      <c r="C15" s="498" t="s">
        <v>804</v>
      </c>
      <c r="D15" s="498" t="s">
        <v>4564</v>
      </c>
      <c r="E15" s="498" t="s">
        <v>805</v>
      </c>
      <c r="F15" s="498" t="s">
        <v>786</v>
      </c>
      <c r="G15" s="926">
        <v>0.75</v>
      </c>
      <c r="H15" s="498" t="s">
        <v>806</v>
      </c>
      <c r="I15" s="498" t="s">
        <v>807</v>
      </c>
      <c r="J15" s="498" t="s">
        <v>808</v>
      </c>
      <c r="K15" s="927">
        <v>45108</v>
      </c>
      <c r="L15" s="403"/>
      <c r="M15" s="189"/>
      <c r="N15" s="189"/>
      <c r="O15" s="189"/>
      <c r="P15" s="189"/>
      <c r="Q15" s="189"/>
      <c r="R15" s="189"/>
      <c r="S15" s="189"/>
      <c r="T15" s="189"/>
      <c r="U15" s="189"/>
      <c r="V15" s="189"/>
      <c r="W15" s="189"/>
      <c r="X15" s="189"/>
      <c r="Y15" s="189"/>
      <c r="Z15" s="930"/>
    </row>
    <row r="16" spans="1:26" s="19" customFormat="1" ht="16.05" customHeight="1" thickTop="1" thickBot="1" x14ac:dyDescent="0.35">
      <c r="A16" s="946" t="s">
        <v>545</v>
      </c>
      <c r="B16" s="942" t="s">
        <v>19</v>
      </c>
      <c r="C16" s="377" t="s">
        <v>89</v>
      </c>
      <c r="D16" s="377" t="s">
        <v>4558</v>
      </c>
      <c r="E16" s="377" t="s">
        <v>780</v>
      </c>
      <c r="F16" s="377" t="s">
        <v>781</v>
      </c>
      <c r="G16" s="378">
        <v>1</v>
      </c>
      <c r="H16" s="377" t="s">
        <v>782</v>
      </c>
      <c r="I16" s="377" t="s">
        <v>783</v>
      </c>
      <c r="J16" s="377" t="s">
        <v>784</v>
      </c>
      <c r="K16" s="379">
        <v>45068</v>
      </c>
      <c r="L16" s="405"/>
      <c r="M16" s="144"/>
      <c r="N16" s="144"/>
      <c r="O16" s="144"/>
      <c r="P16" s="144"/>
      <c r="Q16" s="144"/>
      <c r="R16" s="144"/>
      <c r="S16" s="144"/>
      <c r="T16" s="144"/>
      <c r="U16" s="144"/>
      <c r="V16" s="144"/>
      <c r="W16" s="144"/>
      <c r="X16" s="144"/>
      <c r="Y16" s="144"/>
      <c r="Z16" s="929"/>
    </row>
    <row r="17" spans="1:26" s="19" customFormat="1" ht="16.05" customHeight="1" thickTop="1" thickBot="1" x14ac:dyDescent="0.35">
      <c r="A17" s="946" t="s">
        <v>50</v>
      </c>
      <c r="B17" s="943" t="s">
        <v>22</v>
      </c>
      <c r="C17" s="498" t="s">
        <v>99</v>
      </c>
      <c r="D17" s="498" t="s">
        <v>4565</v>
      </c>
      <c r="E17" s="498" t="s">
        <v>780</v>
      </c>
      <c r="F17" s="498" t="s">
        <v>781</v>
      </c>
      <c r="G17" s="926">
        <v>1</v>
      </c>
      <c r="H17" s="498" t="s">
        <v>782</v>
      </c>
      <c r="I17" s="498" t="s">
        <v>809</v>
      </c>
      <c r="J17" s="498" t="s">
        <v>810</v>
      </c>
      <c r="K17" s="927">
        <v>45068</v>
      </c>
      <c r="L17" s="403"/>
      <c r="M17" s="189"/>
      <c r="N17" s="189"/>
      <c r="O17" s="189"/>
      <c r="P17" s="189"/>
      <c r="Q17" s="189"/>
      <c r="R17" s="189"/>
      <c r="S17" s="189"/>
      <c r="T17" s="189"/>
      <c r="U17" s="189"/>
      <c r="V17" s="189"/>
      <c r="W17" s="189"/>
      <c r="X17" s="189"/>
      <c r="Y17" s="189"/>
      <c r="Z17" s="930"/>
    </row>
    <row r="18" spans="1:26" s="19" customFormat="1" ht="16.05" customHeight="1" thickTop="1" thickBot="1" x14ac:dyDescent="0.35">
      <c r="A18" s="946" t="s">
        <v>633</v>
      </c>
      <c r="B18" s="942" t="s">
        <v>31</v>
      </c>
      <c r="C18" s="377" t="s">
        <v>99</v>
      </c>
      <c r="D18" s="377" t="s">
        <v>4565</v>
      </c>
      <c r="E18" s="377" t="s">
        <v>780</v>
      </c>
      <c r="F18" s="377" t="s">
        <v>781</v>
      </c>
      <c r="G18" s="378">
        <v>1</v>
      </c>
      <c r="H18" s="377" t="s">
        <v>782</v>
      </c>
      <c r="I18" s="377" t="s">
        <v>809</v>
      </c>
      <c r="J18" s="377" t="s">
        <v>810</v>
      </c>
      <c r="K18" s="379">
        <v>45068</v>
      </c>
      <c r="L18" s="405"/>
      <c r="M18" s="144"/>
      <c r="N18" s="144"/>
      <c r="O18" s="144"/>
      <c r="P18" s="144"/>
      <c r="Q18" s="144"/>
      <c r="R18" s="144"/>
      <c r="S18" s="144"/>
      <c r="T18" s="144"/>
      <c r="U18" s="144"/>
      <c r="V18" s="144"/>
      <c r="W18" s="144"/>
      <c r="X18" s="144"/>
      <c r="Y18" s="144"/>
      <c r="Z18" s="929"/>
    </row>
    <row r="19" spans="1:26" s="19" customFormat="1" ht="16.05" customHeight="1" thickTop="1" thickBot="1" x14ac:dyDescent="0.35">
      <c r="A19" s="946" t="s">
        <v>622</v>
      </c>
      <c r="B19" s="943" t="s">
        <v>31</v>
      </c>
      <c r="C19" s="498" t="s">
        <v>811</v>
      </c>
      <c r="D19" s="498" t="s">
        <v>4566</v>
      </c>
      <c r="E19" s="498" t="s">
        <v>812</v>
      </c>
      <c r="F19" s="498" t="s">
        <v>781</v>
      </c>
      <c r="G19" s="926">
        <v>1</v>
      </c>
      <c r="H19" s="498" t="s">
        <v>782</v>
      </c>
      <c r="I19" s="498" t="s">
        <v>813</v>
      </c>
      <c r="J19" s="498" t="s">
        <v>814</v>
      </c>
      <c r="K19" s="927">
        <v>45068</v>
      </c>
      <c r="L19" s="403"/>
      <c r="M19" s="189"/>
      <c r="N19" s="189"/>
      <c r="O19" s="189"/>
      <c r="P19" s="189"/>
      <c r="Q19" s="189"/>
      <c r="R19" s="189"/>
      <c r="S19" s="189"/>
      <c r="T19" s="189"/>
      <c r="U19" s="189"/>
      <c r="V19" s="189"/>
      <c r="W19" s="189"/>
      <c r="X19" s="189"/>
      <c r="Y19" s="189"/>
      <c r="Z19" s="930"/>
    </row>
    <row r="20" spans="1:26" s="19" customFormat="1" ht="16.05" customHeight="1" thickTop="1" thickBot="1" x14ac:dyDescent="0.35">
      <c r="A20" s="946" t="s">
        <v>470</v>
      </c>
      <c r="B20" s="942" t="s">
        <v>22</v>
      </c>
      <c r="C20" s="377" t="s">
        <v>97</v>
      </c>
      <c r="D20" s="377" t="s">
        <v>815</v>
      </c>
      <c r="E20" s="377" t="s">
        <v>785</v>
      </c>
      <c r="F20" s="377" t="s">
        <v>786</v>
      </c>
      <c r="G20" s="378">
        <v>0.9</v>
      </c>
      <c r="H20" s="377" t="s">
        <v>801</v>
      </c>
      <c r="I20" s="377" t="s">
        <v>816</v>
      </c>
      <c r="J20" s="377" t="s">
        <v>817</v>
      </c>
      <c r="K20" s="379">
        <v>45139</v>
      </c>
      <c r="L20" s="405"/>
      <c r="M20" s="144"/>
      <c r="N20" s="144"/>
      <c r="O20" s="144"/>
      <c r="P20" s="144"/>
      <c r="Q20" s="144"/>
      <c r="R20" s="144"/>
      <c r="S20" s="144"/>
      <c r="T20" s="144"/>
      <c r="U20" s="144"/>
      <c r="V20" s="144"/>
      <c r="W20" s="144"/>
      <c r="X20" s="144"/>
      <c r="Y20" s="144"/>
      <c r="Z20" s="929"/>
    </row>
    <row r="21" spans="1:26" s="19" customFormat="1" ht="16.05" customHeight="1" thickTop="1" thickBot="1" x14ac:dyDescent="0.35">
      <c r="A21" s="946" t="s">
        <v>463</v>
      </c>
      <c r="B21" s="943" t="s">
        <v>27</v>
      </c>
      <c r="C21" s="498" t="s">
        <v>818</v>
      </c>
      <c r="D21" s="498" t="s">
        <v>4567</v>
      </c>
      <c r="E21" s="498" t="s">
        <v>800</v>
      </c>
      <c r="F21" s="498" t="s">
        <v>786</v>
      </c>
      <c r="G21" s="926">
        <v>0.9</v>
      </c>
      <c r="H21" s="498" t="s">
        <v>801</v>
      </c>
      <c r="I21" s="498" t="s">
        <v>819</v>
      </c>
      <c r="J21" s="498" t="s">
        <v>820</v>
      </c>
      <c r="K21" s="927">
        <v>45097</v>
      </c>
      <c r="L21" s="403"/>
      <c r="M21" s="189"/>
      <c r="N21" s="189"/>
      <c r="O21" s="189"/>
      <c r="P21" s="189"/>
      <c r="Q21" s="189"/>
      <c r="R21" s="189"/>
      <c r="S21" s="189"/>
      <c r="T21" s="189"/>
      <c r="U21" s="189"/>
      <c r="V21" s="189"/>
      <c r="W21" s="189"/>
      <c r="X21" s="189"/>
      <c r="Y21" s="189"/>
      <c r="Z21" s="930"/>
    </row>
    <row r="22" spans="1:26" s="19" customFormat="1" ht="16.05" customHeight="1" thickTop="1" thickBot="1" x14ac:dyDescent="0.35">
      <c r="A22" s="946" t="s">
        <v>711</v>
      </c>
      <c r="B22" s="942" t="s">
        <v>19</v>
      </c>
      <c r="C22" s="377" t="s">
        <v>89</v>
      </c>
      <c r="D22" s="377" t="s">
        <v>4558</v>
      </c>
      <c r="E22" s="377" t="s">
        <v>780</v>
      </c>
      <c r="F22" s="377" t="s">
        <v>781</v>
      </c>
      <c r="G22" s="378">
        <v>1</v>
      </c>
      <c r="H22" s="377" t="s">
        <v>782</v>
      </c>
      <c r="I22" s="377" t="s">
        <v>783</v>
      </c>
      <c r="J22" s="377" t="s">
        <v>784</v>
      </c>
      <c r="K22" s="379">
        <v>45068</v>
      </c>
      <c r="L22" s="405"/>
      <c r="M22" s="144"/>
      <c r="N22" s="144"/>
      <c r="O22" s="144"/>
      <c r="P22" s="144"/>
      <c r="Q22" s="144"/>
      <c r="R22" s="144"/>
      <c r="S22" s="144"/>
      <c r="T22" s="144"/>
      <c r="U22" s="144"/>
      <c r="V22" s="144"/>
      <c r="W22" s="144"/>
      <c r="X22" s="144"/>
      <c r="Y22" s="144"/>
      <c r="Z22" s="929"/>
    </row>
    <row r="23" spans="1:26" s="19" customFormat="1" ht="16.05" customHeight="1" thickTop="1" thickBot="1" x14ac:dyDescent="0.35">
      <c r="A23" s="947" t="s">
        <v>501</v>
      </c>
      <c r="B23" s="944" t="s">
        <v>19</v>
      </c>
      <c r="C23" s="934" t="s">
        <v>91</v>
      </c>
      <c r="D23" s="934" t="s">
        <v>4568</v>
      </c>
      <c r="E23" s="934" t="s">
        <v>780</v>
      </c>
      <c r="F23" s="934" t="s">
        <v>781</v>
      </c>
      <c r="G23" s="935">
        <v>1</v>
      </c>
      <c r="H23" s="934" t="s">
        <v>782</v>
      </c>
      <c r="I23" s="934" t="s">
        <v>821</v>
      </c>
      <c r="J23" s="934" t="s">
        <v>822</v>
      </c>
      <c r="K23" s="936">
        <v>45068</v>
      </c>
      <c r="L23" s="937"/>
      <c r="M23" s="938"/>
      <c r="N23" s="938"/>
      <c r="O23" s="938"/>
      <c r="P23" s="938"/>
      <c r="Q23" s="938"/>
      <c r="R23" s="938"/>
      <c r="S23" s="938"/>
      <c r="T23" s="938"/>
      <c r="U23" s="938"/>
      <c r="V23" s="938"/>
      <c r="W23" s="938"/>
      <c r="X23" s="938"/>
      <c r="Y23" s="938"/>
      <c r="Z23" s="939"/>
    </row>
    <row r="24" spans="1:26" ht="15" thickTop="1" x14ac:dyDescent="0.3"/>
  </sheetData>
  <mergeCells count="2">
    <mergeCell ref="A3:K3"/>
    <mergeCell ref="A1:Z1"/>
  </mergeCells>
  <dataValidations count="1">
    <dataValidation type="list" allowBlank="1" showInputMessage="1" showErrorMessage="1" sqref="H5:H23" xr:uid="{00000000-0002-0000-0800-000000000000}">
      <formula1>"Director,Director Ejecutivo,Dir. Ejecutivo EP,Jefe Departamento,Subdirector"</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DEEAF1"/>
  </sheetPr>
  <dimension ref="A1:Z31"/>
  <sheetViews>
    <sheetView showGridLines="0" zoomScale="72" zoomScaleNormal="72" workbookViewId="0">
      <pane ySplit="3" topLeftCell="A9" activePane="bottomLeft" state="frozen"/>
      <selection pane="bottomLeft" sqref="A1:Z1"/>
    </sheetView>
  </sheetViews>
  <sheetFormatPr baseColWidth="10" defaultRowHeight="14.4" x14ac:dyDescent="0.3"/>
  <cols>
    <col min="1" max="1" width="5.21875" customWidth="1"/>
    <col min="2" max="2" width="77.5546875" bestFit="1" customWidth="1"/>
    <col min="3" max="3" width="37.109375" bestFit="1" customWidth="1"/>
    <col min="4" max="4" width="35.109375" bestFit="1" customWidth="1"/>
    <col min="5" max="5" width="12" customWidth="1"/>
    <col min="6" max="6" width="10" bestFit="1" customWidth="1"/>
    <col min="7" max="7" width="10.77734375" bestFit="1" customWidth="1"/>
    <col min="8" max="8" width="30.21875" bestFit="1" customWidth="1"/>
    <col min="9" max="9" width="9.6640625" bestFit="1" customWidth="1"/>
    <col min="10" max="10" width="16.109375" bestFit="1" customWidth="1"/>
    <col min="11" max="11" width="13.6640625" bestFit="1" customWidth="1"/>
    <col min="12" max="12" width="42.21875" bestFit="1" customWidth="1"/>
    <col min="26" max="26" width="8.109375" bestFit="1" customWidth="1"/>
  </cols>
  <sheetData>
    <row r="1" spans="1:26" ht="19.95" customHeight="1" x14ac:dyDescent="0.3">
      <c r="A1" s="1926" t="s">
        <v>4784</v>
      </c>
      <c r="B1" s="1728"/>
      <c r="C1" s="1728"/>
      <c r="D1" s="1728"/>
      <c r="E1" s="1728"/>
      <c r="F1" s="1728"/>
      <c r="G1" s="1728"/>
      <c r="H1" s="1728"/>
      <c r="I1" s="1728"/>
      <c r="J1" s="1728"/>
      <c r="K1" s="1728"/>
      <c r="L1" s="1728"/>
      <c r="M1" s="1728"/>
      <c r="N1" s="1728"/>
      <c r="O1" s="1728"/>
      <c r="P1" s="1728"/>
      <c r="Q1" s="1728"/>
      <c r="R1" s="1728"/>
      <c r="S1" s="1728"/>
      <c r="T1" s="1728"/>
      <c r="U1" s="1728"/>
      <c r="V1" s="1728"/>
      <c r="W1" s="1728"/>
      <c r="X1" s="1728"/>
      <c r="Y1" s="1728"/>
      <c r="Z1" s="1728"/>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473"/>
      <c r="N2" s="473"/>
      <c r="O2" s="473"/>
      <c r="P2" s="473"/>
      <c r="Q2" s="473"/>
      <c r="R2" s="473"/>
      <c r="S2" s="473"/>
      <c r="T2" s="473"/>
      <c r="U2" s="473"/>
      <c r="V2" s="473"/>
      <c r="W2" s="473"/>
      <c r="X2" s="473"/>
      <c r="Y2" s="473"/>
      <c r="Z2" s="473"/>
    </row>
    <row r="3" spans="1:26" ht="19.95" customHeight="1" thickBot="1" x14ac:dyDescent="0.35">
      <c r="A3" s="1714" t="s">
        <v>4060</v>
      </c>
      <c r="B3" s="1714"/>
      <c r="C3" s="1714"/>
      <c r="D3" s="1714"/>
      <c r="E3" s="1714"/>
      <c r="F3" s="1714"/>
      <c r="G3" s="1714"/>
      <c r="H3" s="1714"/>
      <c r="I3" s="1714"/>
      <c r="J3" s="1714"/>
      <c r="K3" s="1714"/>
      <c r="L3" s="1714"/>
      <c r="M3" s="1714"/>
      <c r="N3" s="1714"/>
      <c r="O3" s="1714"/>
      <c r="P3" s="1714"/>
      <c r="Q3" s="1714"/>
      <c r="R3" s="1714"/>
      <c r="S3" s="1714"/>
      <c r="T3" s="1714"/>
      <c r="U3" s="1714"/>
      <c r="V3" s="1714"/>
      <c r="W3" s="1714"/>
      <c r="X3" s="1714"/>
      <c r="Y3" s="1714"/>
      <c r="Z3" s="1714"/>
    </row>
    <row r="4" spans="1:26" ht="19.95" customHeight="1" thickTop="1" x14ac:dyDescent="0.3">
      <c r="A4" s="1937" t="s">
        <v>823</v>
      </c>
      <c r="B4" s="1685"/>
      <c r="C4" s="1685"/>
      <c r="D4" s="1685"/>
      <c r="E4" s="1685"/>
      <c r="F4" s="1685"/>
      <c r="G4" s="1685"/>
      <c r="H4" s="1685"/>
      <c r="I4" s="1685"/>
      <c r="J4" s="1685"/>
      <c r="K4" s="1685"/>
      <c r="L4" s="1685"/>
      <c r="M4" s="1685"/>
      <c r="N4" s="1685"/>
      <c r="O4" s="1685"/>
      <c r="P4" s="1685"/>
      <c r="Q4" s="1685"/>
      <c r="R4" s="1685"/>
      <c r="S4" s="1685"/>
      <c r="T4" s="1685"/>
      <c r="U4" s="1685"/>
      <c r="V4" s="1685"/>
      <c r="W4" s="1685"/>
      <c r="X4" s="1685"/>
      <c r="Y4" s="1685"/>
      <c r="Z4" s="1729"/>
    </row>
    <row r="5" spans="1:26" ht="30" customHeight="1" x14ac:dyDescent="0.3">
      <c r="A5" s="1071" t="s">
        <v>824</v>
      </c>
      <c r="B5" s="414" t="s">
        <v>825</v>
      </c>
      <c r="C5" s="184" t="s">
        <v>669</v>
      </c>
      <c r="D5" s="1065" t="s">
        <v>4300</v>
      </c>
      <c r="E5" s="184" t="s">
        <v>826</v>
      </c>
      <c r="F5" s="184" t="s">
        <v>123</v>
      </c>
      <c r="G5" s="184" t="s">
        <v>827</v>
      </c>
      <c r="H5" s="184" t="s">
        <v>4772</v>
      </c>
      <c r="I5" s="184"/>
      <c r="J5" s="184"/>
      <c r="K5" s="184"/>
      <c r="L5" s="184"/>
      <c r="M5" s="184"/>
      <c r="N5" s="184"/>
      <c r="O5" s="184"/>
      <c r="P5" s="184"/>
      <c r="Q5" s="184"/>
      <c r="R5" s="184"/>
      <c r="S5" s="184"/>
      <c r="T5" s="184"/>
      <c r="U5" s="184"/>
      <c r="V5" s="184"/>
      <c r="W5" s="184"/>
      <c r="X5" s="184"/>
      <c r="Y5" s="184"/>
      <c r="Z5" s="928"/>
    </row>
    <row r="6" spans="1:26" ht="31.95" customHeight="1" x14ac:dyDescent="0.3">
      <c r="A6" s="1072" t="s">
        <v>828</v>
      </c>
      <c r="B6" s="405" t="s">
        <v>829</v>
      </c>
      <c r="C6" s="144">
        <v>1</v>
      </c>
      <c r="D6" s="144" t="s">
        <v>830</v>
      </c>
      <c r="E6" s="144" t="s">
        <v>831</v>
      </c>
      <c r="F6" s="144" t="s">
        <v>832</v>
      </c>
      <c r="G6" s="144" t="s">
        <v>833</v>
      </c>
      <c r="H6" s="144" t="s">
        <v>834</v>
      </c>
      <c r="I6" s="151"/>
      <c r="J6" s="151"/>
      <c r="K6" s="151"/>
      <c r="L6" s="151"/>
      <c r="M6" s="104"/>
      <c r="N6" s="104"/>
      <c r="O6" s="104"/>
      <c r="P6" s="104"/>
      <c r="Q6" s="104"/>
      <c r="R6" s="104"/>
      <c r="S6" s="104"/>
      <c r="T6" s="104"/>
      <c r="U6" s="104"/>
      <c r="V6" s="104"/>
      <c r="W6" s="104"/>
      <c r="X6" s="104"/>
      <c r="Y6" s="104"/>
      <c r="Z6" s="988"/>
    </row>
    <row r="7" spans="1:26" ht="31.95" customHeight="1" x14ac:dyDescent="0.3">
      <c r="A7" s="1071" t="s">
        <v>835</v>
      </c>
      <c r="B7" s="1066" t="s">
        <v>836</v>
      </c>
      <c r="C7" s="188">
        <v>0.9</v>
      </c>
      <c r="D7" s="188" t="s">
        <v>837</v>
      </c>
      <c r="E7" s="188" t="s">
        <v>838</v>
      </c>
      <c r="F7" s="188" t="s">
        <v>839</v>
      </c>
      <c r="G7" s="188" t="s">
        <v>840</v>
      </c>
      <c r="H7" s="188" t="s">
        <v>841</v>
      </c>
      <c r="I7" s="192"/>
      <c r="J7" s="192"/>
      <c r="K7" s="192"/>
      <c r="L7" s="192"/>
      <c r="M7" s="194"/>
      <c r="N7" s="194"/>
      <c r="O7" s="194"/>
      <c r="P7" s="194"/>
      <c r="Q7" s="194"/>
      <c r="R7" s="194"/>
      <c r="S7" s="194"/>
      <c r="T7" s="194"/>
      <c r="U7" s="194"/>
      <c r="V7" s="194"/>
      <c r="W7" s="194"/>
      <c r="X7" s="194"/>
      <c r="Y7" s="194"/>
      <c r="Z7" s="987"/>
    </row>
    <row r="8" spans="1:26" ht="31.95" customHeight="1" x14ac:dyDescent="0.3">
      <c r="A8" s="1072" t="s">
        <v>842</v>
      </c>
      <c r="B8" s="405" t="s">
        <v>843</v>
      </c>
      <c r="C8" s="144">
        <v>0.75</v>
      </c>
      <c r="D8" s="144" t="s">
        <v>844</v>
      </c>
      <c r="E8" s="144" t="s">
        <v>845</v>
      </c>
      <c r="F8" s="144" t="s">
        <v>846</v>
      </c>
      <c r="G8" s="144" t="s">
        <v>847</v>
      </c>
      <c r="H8" s="144" t="s">
        <v>848</v>
      </c>
      <c r="I8" s="151"/>
      <c r="J8" s="151"/>
      <c r="K8" s="151"/>
      <c r="L8" s="151"/>
      <c r="M8" s="104"/>
      <c r="N8" s="104"/>
      <c r="O8" s="104"/>
      <c r="P8" s="104"/>
      <c r="Q8" s="104"/>
      <c r="R8" s="104"/>
      <c r="S8" s="104"/>
      <c r="T8" s="104"/>
      <c r="U8" s="104"/>
      <c r="V8" s="104"/>
      <c r="W8" s="104"/>
      <c r="X8" s="104"/>
      <c r="Y8" s="104"/>
      <c r="Z8" s="988"/>
    </row>
    <row r="9" spans="1:26" ht="31.95" customHeight="1" x14ac:dyDescent="0.3">
      <c r="A9" s="1072" t="s">
        <v>849</v>
      </c>
      <c r="B9" s="403" t="s">
        <v>850</v>
      </c>
      <c r="C9" s="189">
        <v>0.5</v>
      </c>
      <c r="D9" s="189" t="s">
        <v>851</v>
      </c>
      <c r="E9" s="189" t="s">
        <v>852</v>
      </c>
      <c r="F9" s="189" t="s">
        <v>853</v>
      </c>
      <c r="G9" s="189" t="s">
        <v>854</v>
      </c>
      <c r="H9" s="189" t="s">
        <v>855</v>
      </c>
      <c r="I9" s="192"/>
      <c r="J9" s="192"/>
      <c r="K9" s="192"/>
      <c r="L9" s="192"/>
      <c r="M9" s="194"/>
      <c r="N9" s="194"/>
      <c r="O9" s="194"/>
      <c r="P9" s="194"/>
      <c r="Q9" s="194"/>
      <c r="R9" s="194"/>
      <c r="S9" s="194"/>
      <c r="T9" s="194"/>
      <c r="U9" s="194"/>
      <c r="V9" s="194"/>
      <c r="W9" s="194"/>
      <c r="X9" s="194"/>
      <c r="Y9" s="194"/>
      <c r="Z9" s="987"/>
    </row>
    <row r="10" spans="1:26" ht="31.95" customHeight="1" x14ac:dyDescent="0.3">
      <c r="A10" s="1072" t="s">
        <v>856</v>
      </c>
      <c r="B10" s="405" t="s">
        <v>857</v>
      </c>
      <c r="C10" s="144">
        <v>0.25</v>
      </c>
      <c r="D10" s="144" t="s">
        <v>858</v>
      </c>
      <c r="E10" s="144" t="s">
        <v>103</v>
      </c>
      <c r="F10" s="144" t="s">
        <v>859</v>
      </c>
      <c r="G10" s="144" t="s">
        <v>860</v>
      </c>
      <c r="H10" s="144" t="s">
        <v>861</v>
      </c>
      <c r="I10" s="151"/>
      <c r="J10" s="151"/>
      <c r="K10" s="151"/>
      <c r="L10" s="151"/>
      <c r="M10" s="104"/>
      <c r="N10" s="104"/>
      <c r="O10" s="104"/>
      <c r="P10" s="104"/>
      <c r="Q10" s="104"/>
      <c r="R10" s="104"/>
      <c r="S10" s="104"/>
      <c r="T10" s="104"/>
      <c r="U10" s="104"/>
      <c r="V10" s="104"/>
      <c r="W10" s="104"/>
      <c r="X10" s="104"/>
      <c r="Y10" s="104"/>
      <c r="Z10" s="988"/>
    </row>
    <row r="11" spans="1:26" ht="19.95" customHeight="1" x14ac:dyDescent="0.3">
      <c r="A11" s="1715" t="s">
        <v>862</v>
      </c>
      <c r="B11" s="1716"/>
      <c r="C11" s="1716"/>
      <c r="D11" s="1716"/>
      <c r="E11" s="1716"/>
      <c r="F11" s="1716"/>
      <c r="G11" s="1716"/>
      <c r="H11" s="1716"/>
      <c r="I11" s="1716"/>
      <c r="J11" s="1716"/>
      <c r="K11" s="1716"/>
      <c r="L11" s="1716"/>
      <c r="M11" s="1716"/>
      <c r="N11" s="1716"/>
      <c r="O11" s="1716"/>
      <c r="P11" s="1716"/>
      <c r="Q11" s="1716"/>
      <c r="R11" s="1716"/>
      <c r="S11" s="1716"/>
      <c r="T11" s="1716"/>
      <c r="U11" s="1716"/>
      <c r="V11" s="1716"/>
      <c r="W11" s="1716"/>
      <c r="X11" s="1716"/>
      <c r="Y11" s="1716"/>
      <c r="Z11" s="1717"/>
    </row>
    <row r="12" spans="1:26" ht="42" customHeight="1" x14ac:dyDescent="0.3">
      <c r="A12" s="1071" t="s">
        <v>430</v>
      </c>
      <c r="B12" s="504" t="s">
        <v>863</v>
      </c>
      <c r="C12" s="540" t="s">
        <v>658</v>
      </c>
      <c r="D12" s="540" t="s">
        <v>864</v>
      </c>
      <c r="E12" s="540" t="s">
        <v>665</v>
      </c>
      <c r="F12" s="540" t="s">
        <v>666</v>
      </c>
      <c r="G12" s="540" t="s">
        <v>865</v>
      </c>
      <c r="H12" s="540" t="s">
        <v>659</v>
      </c>
      <c r="I12" s="540" t="s">
        <v>866</v>
      </c>
      <c r="J12" s="540" t="s">
        <v>867</v>
      </c>
      <c r="K12" s="540" t="s">
        <v>868</v>
      </c>
      <c r="L12" s="540" t="s">
        <v>869</v>
      </c>
      <c r="M12" s="104"/>
      <c r="N12" s="104"/>
      <c r="O12" s="104"/>
      <c r="P12" s="104"/>
      <c r="Q12" s="104"/>
      <c r="R12" s="104"/>
      <c r="S12" s="104"/>
      <c r="T12" s="104"/>
      <c r="U12" s="104"/>
      <c r="V12" s="104"/>
      <c r="W12" s="104"/>
      <c r="X12" s="104"/>
      <c r="Y12" s="104"/>
      <c r="Z12" s="988"/>
    </row>
    <row r="13" spans="1:26" ht="40.049999999999997" customHeight="1" x14ac:dyDescent="0.3">
      <c r="A13" s="1072">
        <v>1</v>
      </c>
      <c r="B13" s="1067" t="str">
        <f>'M2-PDOT'!B3</f>
        <v>CÓD. PDOT / ID_META</v>
      </c>
      <c r="C13" s="1048" t="str">
        <f>'M2-PDOT'!C3</f>
        <v>SISTEMA</v>
      </c>
      <c r="D13" s="189" t="s">
        <v>870</v>
      </c>
      <c r="E13" s="1049" t="str">
        <f>'M2-PDOT'!E3</f>
        <v>Pi</v>
      </c>
      <c r="F13" s="1049" t="str">
        <f>'M2-PDOT'!F3</f>
        <v>Ri</v>
      </c>
      <c r="G13" s="1050">
        <v>0</v>
      </c>
      <c r="H13" s="1051">
        <v>0.15</v>
      </c>
      <c r="I13" s="1052">
        <v>0.9</v>
      </c>
      <c r="J13" s="187" t="e">
        <f>E13*F13*G13*H13*I13</f>
        <v>#VALUE!</v>
      </c>
      <c r="K13" s="1053" t="e">
        <f>IF(SUM(J13:J16)&gt;0,J13/SUM($J$13:$J$16),0)</f>
        <v>#VALUE!</v>
      </c>
      <c r="L13" s="189" t="s">
        <v>871</v>
      </c>
      <c r="M13" s="194"/>
      <c r="N13" s="194"/>
      <c r="O13" s="194"/>
      <c r="P13" s="194"/>
      <c r="Q13" s="194"/>
      <c r="R13" s="194"/>
      <c r="S13" s="194"/>
      <c r="T13" s="194"/>
      <c r="U13" s="194"/>
      <c r="V13" s="194"/>
      <c r="W13" s="194"/>
      <c r="X13" s="194"/>
      <c r="Y13" s="194"/>
      <c r="Z13" s="987"/>
    </row>
    <row r="14" spans="1:26" ht="40.049999999999997" customHeight="1" x14ac:dyDescent="0.3">
      <c r="A14" s="1072">
        <v>2</v>
      </c>
      <c r="B14" s="1068" t="str">
        <f>'M2-PDOT'!B10</f>
        <v>PDOT.PI.OE4.M1.01</v>
      </c>
      <c r="C14" s="158" t="str">
        <f>'M2-PDOT'!C10</f>
        <v>Político Institucional</v>
      </c>
      <c r="D14" s="144" t="s">
        <v>872</v>
      </c>
      <c r="E14" s="159">
        <f>'M2-PDOT'!E10</f>
        <v>3.7123041954043229E-2</v>
      </c>
      <c r="F14" s="159">
        <f>'M2-PDOT'!F10</f>
        <v>1</v>
      </c>
      <c r="G14" s="107">
        <v>1</v>
      </c>
      <c r="H14" s="160">
        <v>1</v>
      </c>
      <c r="I14" s="161">
        <v>0.9</v>
      </c>
      <c r="J14" s="143">
        <f>E14*F14*G14*H14*I14</f>
        <v>3.3410737758638905E-2</v>
      </c>
      <c r="K14" s="162" t="e">
        <f>IF(SUM(J13:J16)&gt;0,J14/SUM($J$13:$J$16),0)</f>
        <v>#VALUE!</v>
      </c>
      <c r="L14" s="144" t="s">
        <v>873</v>
      </c>
      <c r="M14" s="104"/>
      <c r="N14" s="104"/>
      <c r="O14" s="104"/>
      <c r="P14" s="104"/>
      <c r="Q14" s="104"/>
      <c r="R14" s="104"/>
      <c r="S14" s="104"/>
      <c r="T14" s="104"/>
      <c r="U14" s="104"/>
      <c r="V14" s="104"/>
      <c r="W14" s="104"/>
      <c r="X14" s="104"/>
      <c r="Y14" s="104"/>
      <c r="Z14" s="988"/>
    </row>
    <row r="15" spans="1:26" ht="40.049999999999997" customHeight="1" x14ac:dyDescent="0.3">
      <c r="A15" s="1073">
        <v>3</v>
      </c>
      <c r="B15" s="1069" t="str">
        <f>'M2-PDOT'!B12</f>
        <v>PDOT.AM.OE3.M1.01</v>
      </c>
      <c r="C15" s="1054" t="str">
        <f>'M2-PDOT'!C12</f>
        <v>Ambiental</v>
      </c>
      <c r="D15" s="192" t="s">
        <v>874</v>
      </c>
      <c r="E15" s="1055">
        <f>'M2-PDOT'!E12</f>
        <v>2.5568272837705033E-2</v>
      </c>
      <c r="F15" s="1055">
        <f>'M2-PDOT'!F12</f>
        <v>1.5</v>
      </c>
      <c r="G15" s="1056">
        <v>0</v>
      </c>
      <c r="H15" s="1057">
        <v>0.5</v>
      </c>
      <c r="I15" s="1058">
        <v>0.9</v>
      </c>
      <c r="J15" s="1059">
        <f>E15*F15*G15*H15*I15</f>
        <v>0</v>
      </c>
      <c r="K15" s="1060" t="e">
        <f>IF(SUM(J13:J16)&gt;0,J15/SUM($J$13:$J$16),0)</f>
        <v>#VALUE!</v>
      </c>
      <c r="L15" s="189" t="s">
        <v>875</v>
      </c>
      <c r="M15" s="194"/>
      <c r="N15" s="194"/>
      <c r="O15" s="194"/>
      <c r="P15" s="194"/>
      <c r="Q15" s="194"/>
      <c r="R15" s="194"/>
      <c r="S15" s="194"/>
      <c r="T15" s="194"/>
      <c r="U15" s="194"/>
      <c r="V15" s="194"/>
      <c r="W15" s="194"/>
      <c r="X15" s="194"/>
      <c r="Y15" s="194"/>
      <c r="Z15" s="987"/>
    </row>
    <row r="16" spans="1:26" ht="40.049999999999997" customHeight="1" x14ac:dyDescent="0.3">
      <c r="A16" s="1072">
        <v>4</v>
      </c>
      <c r="B16" s="1068" t="str">
        <f>'M2-PDOT'!B15</f>
        <v>PDOT.PI.OE4.M2.01</v>
      </c>
      <c r="C16" s="158" t="str">
        <f>'M2-PDOT'!C15</f>
        <v>Político Institucional</v>
      </c>
      <c r="D16" s="144" t="s">
        <v>876</v>
      </c>
      <c r="E16" s="159">
        <f>'M2-PDOT'!E15</f>
        <v>1.8292145981963669E-2</v>
      </c>
      <c r="F16" s="159">
        <f>'M2-PDOT'!F15</f>
        <v>1</v>
      </c>
      <c r="G16" s="163">
        <v>0</v>
      </c>
      <c r="H16" s="163">
        <v>0</v>
      </c>
      <c r="I16" s="161">
        <v>0.9</v>
      </c>
      <c r="J16" s="143">
        <f>E16*F16*G16*H16*I16</f>
        <v>0</v>
      </c>
      <c r="K16" s="162" t="e">
        <f>IF(SUM(J13:J16)&gt;0,J16/SUM($J$13:$J$16),0)</f>
        <v>#VALUE!</v>
      </c>
      <c r="L16" s="144" t="s">
        <v>877</v>
      </c>
      <c r="M16" s="104"/>
      <c r="N16" s="104"/>
      <c r="O16" s="104"/>
      <c r="P16" s="104"/>
      <c r="Q16" s="104"/>
      <c r="R16" s="104"/>
      <c r="S16" s="104"/>
      <c r="T16" s="104"/>
      <c r="U16" s="104"/>
      <c r="V16" s="104"/>
      <c r="W16" s="104"/>
      <c r="X16" s="104"/>
      <c r="Y16" s="104"/>
      <c r="Z16" s="988"/>
    </row>
    <row r="17" spans="1:26" ht="28.05" customHeight="1" x14ac:dyDescent="0.3">
      <c r="A17" s="1046" t="s">
        <v>656</v>
      </c>
      <c r="B17" s="1730" t="s">
        <v>878</v>
      </c>
      <c r="C17" s="1731"/>
      <c r="D17" s="1731"/>
      <c r="E17" s="1061">
        <f>SUM(E13:E16)</f>
        <v>8.0983460773711935E-2</v>
      </c>
      <c r="F17" s="192"/>
      <c r="G17" s="192"/>
      <c r="H17" s="192"/>
      <c r="I17" s="192"/>
      <c r="J17" s="1062" t="e">
        <f>SUM(J13:J16)</f>
        <v>#VALUE!</v>
      </c>
      <c r="K17" s="1063" t="e">
        <f>SUM(K13:K16)</f>
        <v>#VALUE!</v>
      </c>
      <c r="L17" s="192"/>
      <c r="M17" s="194"/>
      <c r="N17" s="194"/>
      <c r="O17" s="194"/>
      <c r="P17" s="194"/>
      <c r="Q17" s="194"/>
      <c r="R17" s="194"/>
      <c r="S17" s="194"/>
      <c r="T17" s="194"/>
      <c r="U17" s="194"/>
      <c r="V17" s="194"/>
      <c r="W17" s="194"/>
      <c r="X17" s="194"/>
      <c r="Y17" s="194"/>
      <c r="Z17" s="987"/>
    </row>
    <row r="18" spans="1:26" ht="19.95" customHeight="1" x14ac:dyDescent="0.3">
      <c r="A18" s="1722" t="s">
        <v>879</v>
      </c>
      <c r="B18" s="1723"/>
      <c r="C18" s="1723"/>
      <c r="D18" s="1723"/>
      <c r="E18" s="1723"/>
      <c r="F18" s="1723"/>
      <c r="G18" s="1723"/>
      <c r="H18" s="1723"/>
      <c r="I18" s="1723"/>
      <c r="J18" s="1723"/>
      <c r="K18" s="1723"/>
      <c r="L18" s="1723"/>
      <c r="M18" s="1723"/>
      <c r="N18" s="1723"/>
      <c r="O18" s="1723"/>
      <c r="P18" s="1723"/>
      <c r="Q18" s="1723"/>
      <c r="R18" s="1723"/>
      <c r="S18" s="1723"/>
      <c r="T18" s="1723"/>
      <c r="U18" s="1723"/>
      <c r="V18" s="1723"/>
      <c r="W18" s="1723"/>
      <c r="X18" s="1723"/>
      <c r="Y18" s="1723"/>
      <c r="Z18" s="1724"/>
    </row>
    <row r="19" spans="1:26" ht="19.95" customHeight="1" x14ac:dyDescent="0.3">
      <c r="A19" s="1715" t="s">
        <v>880</v>
      </c>
      <c r="B19" s="1716"/>
      <c r="C19" s="1716"/>
      <c r="D19" s="1716"/>
      <c r="E19" s="1716"/>
      <c r="F19" s="1716"/>
      <c r="G19" s="1716"/>
      <c r="H19" s="1716"/>
      <c r="I19" s="1716"/>
      <c r="J19" s="1716"/>
      <c r="K19" s="1716"/>
      <c r="L19" s="1716"/>
      <c r="M19" s="1716"/>
      <c r="N19" s="1716"/>
      <c r="O19" s="1716"/>
      <c r="P19" s="1716"/>
      <c r="Q19" s="1716"/>
      <c r="R19" s="1716"/>
      <c r="S19" s="1716"/>
      <c r="T19" s="1716"/>
      <c r="U19" s="1716"/>
      <c r="V19" s="1716"/>
      <c r="W19" s="1716"/>
      <c r="X19" s="1716"/>
      <c r="Y19" s="1716"/>
      <c r="Z19" s="1717"/>
    </row>
    <row r="20" spans="1:26" ht="19.95" customHeight="1" x14ac:dyDescent="0.3">
      <c r="A20" s="1722" t="s">
        <v>881</v>
      </c>
      <c r="B20" s="1723"/>
      <c r="C20" s="1723"/>
      <c r="D20" s="1723"/>
      <c r="E20" s="1723"/>
      <c r="F20" s="1723"/>
      <c r="G20" s="1723"/>
      <c r="H20" s="1723"/>
      <c r="I20" s="1723"/>
      <c r="J20" s="1723"/>
      <c r="K20" s="1723"/>
      <c r="L20" s="1723"/>
      <c r="M20" s="1723"/>
      <c r="N20" s="1723"/>
      <c r="O20" s="1723"/>
      <c r="P20" s="1723"/>
      <c r="Q20" s="1723"/>
      <c r="R20" s="1723"/>
      <c r="S20" s="1723"/>
      <c r="T20" s="1723"/>
      <c r="U20" s="1723"/>
      <c r="V20" s="1723"/>
      <c r="W20" s="1723"/>
      <c r="X20" s="1723"/>
      <c r="Y20" s="1723"/>
      <c r="Z20" s="1724"/>
    </row>
    <row r="21" spans="1:26" ht="19.95" customHeight="1" x14ac:dyDescent="0.3">
      <c r="A21" s="1715" t="s">
        <v>882</v>
      </c>
      <c r="B21" s="1716"/>
      <c r="C21" s="1716"/>
      <c r="D21" s="1716"/>
      <c r="E21" s="1716"/>
      <c r="F21" s="1716"/>
      <c r="G21" s="1716"/>
      <c r="H21" s="1716"/>
      <c r="I21" s="1716"/>
      <c r="J21" s="1716"/>
      <c r="K21" s="1716"/>
      <c r="L21" s="1716"/>
      <c r="M21" s="1716"/>
      <c r="N21" s="1716"/>
      <c r="O21" s="1716"/>
      <c r="P21" s="1716"/>
      <c r="Q21" s="1716"/>
      <c r="R21" s="1716"/>
      <c r="S21" s="1716"/>
      <c r="T21" s="1716"/>
      <c r="U21" s="1716"/>
      <c r="V21" s="1716"/>
      <c r="W21" s="1716"/>
      <c r="X21" s="1716"/>
      <c r="Y21" s="1716"/>
      <c r="Z21" s="1717"/>
    </row>
    <row r="22" spans="1:26" ht="19.95" customHeight="1" x14ac:dyDescent="0.3">
      <c r="A22" s="1722" t="s">
        <v>883</v>
      </c>
      <c r="B22" s="1723"/>
      <c r="C22" s="1723"/>
      <c r="D22" s="1723"/>
      <c r="E22" s="1723"/>
      <c r="F22" s="1723"/>
      <c r="G22" s="1723"/>
      <c r="H22" s="1723"/>
      <c r="I22" s="1723"/>
      <c r="J22" s="1723"/>
      <c r="K22" s="1723"/>
      <c r="L22" s="1723"/>
      <c r="M22" s="1723"/>
      <c r="N22" s="1723"/>
      <c r="O22" s="1723"/>
      <c r="P22" s="1723"/>
      <c r="Q22" s="1723"/>
      <c r="R22" s="1723"/>
      <c r="S22" s="1723"/>
      <c r="T22" s="1723"/>
      <c r="U22" s="1723"/>
      <c r="V22" s="1723"/>
      <c r="W22" s="1723"/>
      <c r="X22" s="1723"/>
      <c r="Y22" s="1723"/>
      <c r="Z22" s="1724"/>
    </row>
    <row r="23" spans="1:26" ht="19.95" customHeight="1" x14ac:dyDescent="0.3">
      <c r="A23" s="1938" t="s">
        <v>884</v>
      </c>
      <c r="B23" s="1716"/>
      <c r="C23" s="1716"/>
      <c r="D23" s="1716"/>
      <c r="E23" s="1716"/>
      <c r="F23" s="1716"/>
      <c r="G23" s="1716"/>
      <c r="H23" s="1716"/>
      <c r="I23" s="1716"/>
      <c r="J23" s="1716"/>
      <c r="K23" s="1716"/>
      <c r="L23" s="1716"/>
      <c r="M23" s="1716"/>
      <c r="N23" s="1716"/>
      <c r="O23" s="1716"/>
      <c r="P23" s="1716"/>
      <c r="Q23" s="1716"/>
      <c r="R23" s="1716"/>
      <c r="S23" s="1716"/>
      <c r="T23" s="1716"/>
      <c r="U23" s="1716"/>
      <c r="V23" s="1716"/>
      <c r="W23" s="1716"/>
      <c r="X23" s="1716"/>
      <c r="Y23" s="1716"/>
      <c r="Z23" s="1717"/>
    </row>
    <row r="24" spans="1:26" ht="28.05" customHeight="1" x14ac:dyDescent="0.3">
      <c r="A24" s="1046" t="s">
        <v>885</v>
      </c>
      <c r="B24" s="1070" t="s">
        <v>886</v>
      </c>
      <c r="C24" s="1064" t="s">
        <v>887</v>
      </c>
      <c r="D24" s="1064" t="s">
        <v>888</v>
      </c>
      <c r="E24" s="151"/>
      <c r="F24" s="151"/>
      <c r="G24" s="151"/>
      <c r="H24" s="151"/>
      <c r="I24" s="151"/>
      <c r="J24" s="151"/>
      <c r="K24" s="151"/>
      <c r="L24" s="151"/>
      <c r="M24" s="104"/>
      <c r="N24" s="104"/>
      <c r="O24" s="104"/>
      <c r="P24" s="104"/>
      <c r="Q24" s="104"/>
      <c r="R24" s="104"/>
      <c r="S24" s="104"/>
      <c r="T24" s="104"/>
      <c r="U24" s="104"/>
      <c r="V24" s="104"/>
      <c r="W24" s="104"/>
      <c r="X24" s="104"/>
      <c r="Y24" s="104"/>
      <c r="Z24" s="988"/>
    </row>
    <row r="25" spans="1:26" ht="42" customHeight="1" x14ac:dyDescent="0.3">
      <c r="A25" s="1071" t="s">
        <v>889</v>
      </c>
      <c r="B25" s="403" t="s">
        <v>890</v>
      </c>
      <c r="C25" s="189" t="s">
        <v>891</v>
      </c>
      <c r="D25" s="189" t="s">
        <v>892</v>
      </c>
      <c r="E25" s="189"/>
      <c r="F25" s="189"/>
      <c r="G25" s="189"/>
      <c r="H25" s="189"/>
      <c r="I25" s="189"/>
      <c r="J25" s="189"/>
      <c r="K25" s="189"/>
      <c r="L25" s="189"/>
      <c r="M25" s="194"/>
      <c r="N25" s="194"/>
      <c r="O25" s="194"/>
      <c r="P25" s="194"/>
      <c r="Q25" s="194"/>
      <c r="R25" s="194"/>
      <c r="S25" s="194"/>
      <c r="T25" s="194"/>
      <c r="U25" s="194"/>
      <c r="V25" s="194"/>
      <c r="W25" s="194"/>
      <c r="X25" s="194"/>
      <c r="Y25" s="194"/>
      <c r="Z25" s="987"/>
    </row>
    <row r="26" spans="1:26" ht="42" customHeight="1" x14ac:dyDescent="0.3">
      <c r="A26" s="1071" t="s">
        <v>893</v>
      </c>
      <c r="B26" s="405" t="s">
        <v>894</v>
      </c>
      <c r="C26" s="144" t="s">
        <v>895</v>
      </c>
      <c r="D26" s="144" t="s">
        <v>892</v>
      </c>
      <c r="E26" s="144"/>
      <c r="F26" s="144"/>
      <c r="G26" s="144"/>
      <c r="H26" s="144"/>
      <c r="I26" s="144"/>
      <c r="J26" s="144"/>
      <c r="K26" s="144"/>
      <c r="L26" s="144"/>
      <c r="M26" s="104"/>
      <c r="N26" s="104"/>
      <c r="O26" s="104"/>
      <c r="P26" s="104"/>
      <c r="Q26" s="104"/>
      <c r="R26" s="104"/>
      <c r="S26" s="104"/>
      <c r="T26" s="104"/>
      <c r="U26" s="104"/>
      <c r="V26" s="104"/>
      <c r="W26" s="104"/>
      <c r="X26" s="104"/>
      <c r="Y26" s="104"/>
      <c r="Z26" s="988"/>
    </row>
    <row r="27" spans="1:26" ht="42" customHeight="1" x14ac:dyDescent="0.3">
      <c r="A27" s="1071" t="s">
        <v>896</v>
      </c>
      <c r="B27" s="403" t="s">
        <v>897</v>
      </c>
      <c r="C27" s="189" t="s">
        <v>898</v>
      </c>
      <c r="D27" s="189"/>
      <c r="E27" s="189"/>
      <c r="F27" s="189"/>
      <c r="G27" s="189"/>
      <c r="H27" s="189"/>
      <c r="I27" s="189"/>
      <c r="J27" s="189"/>
      <c r="K27" s="189"/>
      <c r="L27" s="189"/>
      <c r="M27" s="194"/>
      <c r="N27" s="194"/>
      <c r="O27" s="194"/>
      <c r="P27" s="194"/>
      <c r="Q27" s="194"/>
      <c r="R27" s="194"/>
      <c r="S27" s="194"/>
      <c r="T27" s="194"/>
      <c r="U27" s="194"/>
      <c r="V27" s="194"/>
      <c r="W27" s="194"/>
      <c r="X27" s="194"/>
      <c r="Y27" s="194"/>
      <c r="Z27" s="987"/>
    </row>
    <row r="28" spans="1:26" ht="42" customHeight="1" x14ac:dyDescent="0.3">
      <c r="A28" s="1071" t="s">
        <v>899</v>
      </c>
      <c r="B28" s="405" t="s">
        <v>900</v>
      </c>
      <c r="C28" s="144" t="s">
        <v>901</v>
      </c>
      <c r="D28" s="144"/>
      <c r="E28" s="144"/>
      <c r="F28" s="144"/>
      <c r="G28" s="144"/>
      <c r="H28" s="144"/>
      <c r="I28" s="144"/>
      <c r="J28" s="144"/>
      <c r="K28" s="144"/>
      <c r="L28" s="144"/>
      <c r="M28" s="104"/>
      <c r="N28" s="104"/>
      <c r="O28" s="104"/>
      <c r="P28" s="104"/>
      <c r="Q28" s="104"/>
      <c r="R28" s="104"/>
      <c r="S28" s="104"/>
      <c r="T28" s="104"/>
      <c r="U28" s="104"/>
      <c r="V28" s="104"/>
      <c r="W28" s="104"/>
      <c r="X28" s="104"/>
      <c r="Y28" s="104"/>
      <c r="Z28" s="988"/>
    </row>
    <row r="29" spans="1:26" ht="42" customHeight="1" x14ac:dyDescent="0.3">
      <c r="A29" s="1071" t="s">
        <v>902</v>
      </c>
      <c r="B29" s="403" t="s">
        <v>903</v>
      </c>
      <c r="C29" s="189" t="s">
        <v>904</v>
      </c>
      <c r="D29" s="189" t="s">
        <v>905</v>
      </c>
      <c r="E29" s="189"/>
      <c r="F29" s="189"/>
      <c r="G29" s="189"/>
      <c r="H29" s="189"/>
      <c r="I29" s="189"/>
      <c r="J29" s="189"/>
      <c r="K29" s="189"/>
      <c r="L29" s="189"/>
      <c r="M29" s="194"/>
      <c r="N29" s="194"/>
      <c r="O29" s="194"/>
      <c r="P29" s="194"/>
      <c r="Q29" s="194"/>
      <c r="R29" s="194"/>
      <c r="S29" s="194"/>
      <c r="T29" s="194"/>
      <c r="U29" s="194"/>
      <c r="V29" s="194"/>
      <c r="W29" s="194"/>
      <c r="X29" s="194"/>
      <c r="Y29" s="194"/>
      <c r="Z29" s="987"/>
    </row>
    <row r="30" spans="1:26" ht="19.95" customHeight="1" thickBot="1" x14ac:dyDescent="0.35">
      <c r="A30" s="1725" t="s">
        <v>906</v>
      </c>
      <c r="B30" s="1726"/>
      <c r="C30" s="1726"/>
      <c r="D30" s="1726"/>
      <c r="E30" s="1726"/>
      <c r="F30" s="1726"/>
      <c r="G30" s="1726"/>
      <c r="H30" s="1726"/>
      <c r="I30" s="1726"/>
      <c r="J30" s="1726"/>
      <c r="K30" s="1726"/>
      <c r="L30" s="1726"/>
      <c r="M30" s="1726"/>
      <c r="N30" s="1726"/>
      <c r="O30" s="1726"/>
      <c r="P30" s="1726"/>
      <c r="Q30" s="1726"/>
      <c r="R30" s="1726"/>
      <c r="S30" s="1726"/>
      <c r="T30" s="1726"/>
      <c r="U30" s="1726"/>
      <c r="V30" s="1726"/>
      <c r="W30" s="1726"/>
      <c r="X30" s="1726"/>
      <c r="Y30" s="1726"/>
      <c r="Z30" s="1727"/>
    </row>
    <row r="31" spans="1:26" ht="15" thickTop="1" x14ac:dyDescent="0.3">
      <c r="A31" s="4"/>
      <c r="B31" s="4"/>
      <c r="C31" s="4"/>
      <c r="D31" s="4"/>
      <c r="E31" s="4"/>
      <c r="F31" s="4"/>
      <c r="G31" s="4"/>
      <c r="H31" s="4"/>
      <c r="I31" s="4"/>
      <c r="J31" s="4"/>
      <c r="K31" s="4"/>
      <c r="L31" s="4"/>
    </row>
  </sheetData>
  <mergeCells count="12">
    <mergeCell ref="A22:Z22"/>
    <mergeCell ref="A23:Z23"/>
    <mergeCell ref="A30:Z30"/>
    <mergeCell ref="A1:Z1"/>
    <mergeCell ref="A3:Z3"/>
    <mergeCell ref="A4:Z4"/>
    <mergeCell ref="A11:Z11"/>
    <mergeCell ref="B17:D17"/>
    <mergeCell ref="A18:Z18"/>
    <mergeCell ref="A19:Z19"/>
    <mergeCell ref="A20:Z20"/>
    <mergeCell ref="A21:Z21"/>
  </mergeCells>
  <hyperlinks>
    <hyperlink ref="D5" location="'M-INDEX'!A1" tooltip="Volver al Índice Principal" display="⌂ ÍNDICE" xr:uid="{7DA5BB2F-9D53-4EB2-9822-D22153FFF25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D9D2E9"/>
  </sheetPr>
  <dimension ref="A1:AA25"/>
  <sheetViews>
    <sheetView showGridLines="0" topLeftCell="B4" zoomScale="75" zoomScaleNormal="75" workbookViewId="0">
      <pane xSplit="1" ySplit="1" topLeftCell="C5" activePane="bottomRight" state="frozen"/>
      <selection activeCell="B4" sqref="B4"/>
      <selection pane="topRight" activeCell="C4" sqref="C4"/>
      <selection pane="bottomLeft" activeCell="B5" sqref="B5"/>
      <selection pane="bottomRight" sqref="A1:Z1"/>
    </sheetView>
  </sheetViews>
  <sheetFormatPr baseColWidth="10" defaultRowHeight="14.4" x14ac:dyDescent="0.3"/>
  <cols>
    <col min="1" max="1" width="5.21875" customWidth="1"/>
    <col min="2" max="2" width="14.21875" bestFit="1" customWidth="1"/>
    <col min="3" max="3" width="42.88671875" bestFit="1" customWidth="1"/>
    <col min="4" max="4" width="19.109375" bestFit="1" customWidth="1"/>
    <col min="5" max="5" width="25.5546875" bestFit="1" customWidth="1"/>
    <col min="6" max="6" width="3.33203125" bestFit="1" customWidth="1"/>
    <col min="7" max="7" width="3.21875" bestFit="1" customWidth="1"/>
    <col min="8" max="8" width="6.6640625" bestFit="1" customWidth="1"/>
    <col min="9" max="9" width="9" bestFit="1" customWidth="1"/>
    <col min="10" max="10" width="13.109375" bestFit="1" customWidth="1"/>
    <col min="11" max="12" width="8.44140625" bestFit="1" customWidth="1"/>
    <col min="13" max="13" width="12.6640625" customWidth="1"/>
    <col min="14" max="14" width="23.5546875" bestFit="1" customWidth="1"/>
    <col min="15" max="15" width="15.21875" bestFit="1" customWidth="1"/>
    <col min="16" max="16" width="6.77734375" bestFit="1" customWidth="1"/>
    <col min="17" max="17" width="8.5546875" bestFit="1" customWidth="1"/>
    <col min="18" max="18" width="7.21875" bestFit="1" customWidth="1"/>
    <col min="19" max="19" width="7.109375" bestFit="1" customWidth="1"/>
    <col min="20" max="20" width="8.88671875" bestFit="1" customWidth="1"/>
    <col min="21" max="21" width="9.109375" bestFit="1" customWidth="1"/>
    <col min="22" max="22" width="9.77734375" bestFit="1" customWidth="1"/>
    <col min="23" max="23" width="9" bestFit="1" customWidth="1"/>
    <col min="24" max="24" width="3.21875" bestFit="1" customWidth="1"/>
    <col min="25" max="25" width="15.21875" bestFit="1" customWidth="1"/>
    <col min="26" max="26" width="24.6640625" bestFit="1" customWidth="1"/>
    <col min="27" max="27" width="73.88671875" bestFit="1" customWidth="1"/>
  </cols>
  <sheetData>
    <row r="1" spans="1:27" ht="19.95" customHeight="1" thickBot="1" x14ac:dyDescent="0.35">
      <c r="A1" s="1924" t="s">
        <v>4780</v>
      </c>
      <c r="B1" s="1736"/>
      <c r="C1" s="1736"/>
      <c r="D1" s="1736"/>
      <c r="E1" s="1736"/>
      <c r="F1" s="1736"/>
      <c r="G1" s="1736"/>
      <c r="H1" s="1736"/>
      <c r="I1" s="1736"/>
      <c r="J1" s="1736"/>
      <c r="K1" s="1736"/>
      <c r="L1" s="1736"/>
      <c r="M1" s="1736"/>
      <c r="N1" s="1736"/>
      <c r="O1" s="1736"/>
      <c r="P1" s="1736"/>
      <c r="Q1" s="1736"/>
      <c r="R1" s="1736"/>
      <c r="S1" s="1736"/>
      <c r="T1" s="1736"/>
      <c r="U1" s="1736"/>
      <c r="V1" s="1736"/>
      <c r="W1" s="1736"/>
      <c r="X1" s="1736"/>
      <c r="Y1" s="1736"/>
      <c r="Z1" s="1736"/>
      <c r="AA1" s="164"/>
    </row>
    <row r="2" spans="1:27" ht="19.95" customHeight="1" thickBot="1" x14ac:dyDescent="0.35">
      <c r="A2" s="921" t="str">
        <f>HYPERLINK("#'M-INDEX'!A1","⌂ INDICE")</f>
        <v>⌂ INDICE</v>
      </c>
      <c r="B2" s="472" t="str">
        <f>HYPERLINK("#'M1-ITME'!A1","M1")</f>
        <v>M1</v>
      </c>
      <c r="C2" s="472" t="str">
        <f>HYPERLINK("#'M2-PDOT'!A1","M2")</f>
        <v>M2</v>
      </c>
      <c r="D2" s="472" t="str">
        <f>HYPERLINK("#'M3-MAO'!A1","M3")</f>
        <v>M3</v>
      </c>
      <c r="E2" s="472" t="str">
        <f>HYPERLINK("#'M4-AUDIT'!A1","◉ M4-AUDIT")</f>
        <v>◉ M4-AUDIT</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948"/>
      <c r="N2" s="948"/>
      <c r="O2" s="948"/>
      <c r="P2" s="948"/>
      <c r="Q2" s="948"/>
      <c r="R2" s="948"/>
      <c r="S2" s="948"/>
      <c r="T2" s="948"/>
      <c r="U2" s="948"/>
      <c r="V2" s="948"/>
      <c r="W2" s="948"/>
      <c r="X2" s="948"/>
      <c r="Y2" s="948"/>
      <c r="Z2" s="948"/>
      <c r="AA2" s="165"/>
    </row>
    <row r="3" spans="1:27" ht="16.05" customHeight="1" thickTop="1" thickBot="1" x14ac:dyDescent="0.35">
      <c r="A3" s="1732" t="s">
        <v>661</v>
      </c>
      <c r="B3" s="1733"/>
      <c r="C3" s="1733"/>
      <c r="D3" s="1733"/>
      <c r="E3" s="1733"/>
      <c r="F3" s="1733"/>
      <c r="G3" s="1733"/>
      <c r="H3" s="1733"/>
      <c r="I3" s="1733"/>
      <c r="J3" s="1733"/>
      <c r="K3" s="1733"/>
      <c r="L3" s="1733"/>
      <c r="M3" s="1733"/>
      <c r="N3" s="1733"/>
      <c r="O3" s="1733"/>
      <c r="P3" s="1733"/>
      <c r="Q3" s="1733"/>
      <c r="R3" s="1733"/>
      <c r="S3" s="1733"/>
      <c r="T3" s="1733"/>
      <c r="U3" s="1733"/>
      <c r="V3" s="1733"/>
      <c r="W3" s="1733"/>
      <c r="X3" s="1733"/>
      <c r="Y3" s="1733"/>
      <c r="Z3" s="1734"/>
      <c r="AA3" s="1735"/>
    </row>
    <row r="4" spans="1:27" s="28" customFormat="1" ht="28.05" customHeight="1" thickTop="1" x14ac:dyDescent="0.3">
      <c r="A4" s="975" t="s">
        <v>662</v>
      </c>
      <c r="B4" s="970" t="s">
        <v>663</v>
      </c>
      <c r="C4" s="960" t="s">
        <v>907</v>
      </c>
      <c r="D4" s="960" t="s">
        <v>908</v>
      </c>
      <c r="E4" s="960" t="s">
        <v>909</v>
      </c>
      <c r="F4" s="960" t="s">
        <v>667</v>
      </c>
      <c r="G4" s="960" t="s">
        <v>666</v>
      </c>
      <c r="H4" s="960" t="s">
        <v>910</v>
      </c>
      <c r="I4" s="960" t="s">
        <v>911</v>
      </c>
      <c r="J4" s="960" t="s">
        <v>912</v>
      </c>
      <c r="K4" s="960" t="s">
        <v>913</v>
      </c>
      <c r="L4" s="960" t="s">
        <v>914</v>
      </c>
      <c r="M4" s="960" t="s">
        <v>915</v>
      </c>
      <c r="N4" s="960" t="s">
        <v>916</v>
      </c>
      <c r="O4" s="960" t="s">
        <v>671</v>
      </c>
      <c r="P4" s="960" t="s">
        <v>917</v>
      </c>
      <c r="Q4" s="960" t="s">
        <v>918</v>
      </c>
      <c r="R4" s="960" t="s">
        <v>919</v>
      </c>
      <c r="S4" s="960" t="s">
        <v>920</v>
      </c>
      <c r="T4" s="960" t="s">
        <v>921</v>
      </c>
      <c r="U4" s="960" t="s">
        <v>922</v>
      </c>
      <c r="V4" s="960" t="s">
        <v>923</v>
      </c>
      <c r="W4" s="960" t="s">
        <v>924</v>
      </c>
      <c r="X4" s="960" t="s">
        <v>669</v>
      </c>
      <c r="Y4" s="960" t="s">
        <v>925</v>
      </c>
      <c r="Z4" s="961" t="s">
        <v>926</v>
      </c>
      <c r="AA4" s="380" t="s">
        <v>927</v>
      </c>
    </row>
    <row r="5" spans="1:27" s="17" customFormat="1" ht="16.05" customHeight="1" x14ac:dyDescent="0.3">
      <c r="A5" s="976" t="str">
        <f>'M2-PDOT'!B6</f>
        <v>PDOT.AM.OE3.M2.01</v>
      </c>
      <c r="B5" s="971" t="s">
        <v>19</v>
      </c>
      <c r="C5" s="949" t="s">
        <v>928</v>
      </c>
      <c r="D5" s="949" t="s">
        <v>929</v>
      </c>
      <c r="E5" s="949" t="s">
        <v>930</v>
      </c>
      <c r="F5" s="949">
        <v>1</v>
      </c>
      <c r="G5" s="949">
        <v>1</v>
      </c>
      <c r="H5" s="950">
        <v>0.75</v>
      </c>
      <c r="I5" s="949">
        <f>F5*G5*H5</f>
        <v>0.75</v>
      </c>
      <c r="J5" s="949" t="str">
        <f t="shared" ref="J5:J24" si="0">IF(F5=1,"DOCUMENTO VALIDADO","SIN SOPORTE DOCUMENTAL")</f>
        <v>DOCUMENTO VALIDADO</v>
      </c>
      <c r="K5" s="949">
        <v>1</v>
      </c>
      <c r="L5" s="525">
        <v>0.75</v>
      </c>
      <c r="M5" s="949" t="s">
        <v>931</v>
      </c>
      <c r="N5" s="949" t="str">
        <f t="shared" ref="N5:N24" si="1">IF(ABS(F5-K5)=0,IF(ABS(H5-L5)&lt;0.05,"✅ Vi+Ti Consistentes","⚠️ Ti difiere: H="&amp;H5&amp;" vs L="&amp;L5),"⚠️ Vi difiere: F="&amp;F5&amp;" vs K="&amp;K5)</f>
        <v>✅ Vi+Ti Consistentes</v>
      </c>
      <c r="O5" s="949" t="str">
        <f>IFERROR(VLOOKUP(A5,'M3-MAO'!$A$3:$G$23,3,0),"— revisar")</f>
        <v>EP Aseo Integral Montecristi</v>
      </c>
      <c r="P5" s="525">
        <f>IFERROR(VLOOKUP(A5,'M3-MAO'!$A$3:$G$23,7,0),1)</f>
        <v>0.75</v>
      </c>
      <c r="Q5" s="949">
        <v>1</v>
      </c>
      <c r="R5" s="949">
        <v>1</v>
      </c>
      <c r="S5" s="949">
        <f>IF(COUNTIF('DATA-PAC'!$L:$L,A5)&gt;0,1,0)</f>
        <v>1</v>
      </c>
      <c r="T5" s="951">
        <v>0.75</v>
      </c>
      <c r="U5" s="949">
        <v>1</v>
      </c>
      <c r="V5" s="949">
        <v>1</v>
      </c>
      <c r="W5" s="949">
        <f t="shared" ref="W5:W24" si="2">Q5*R5*S5</f>
        <v>1</v>
      </c>
      <c r="X5" s="949">
        <f t="shared" ref="X5:X24" si="3">Q5*R5*S5</f>
        <v>1</v>
      </c>
      <c r="Y5" s="951">
        <f t="shared" ref="Y5:Y24" si="4">T5</f>
        <v>0.75</v>
      </c>
      <c r="Z5" s="957" t="str">
        <f t="shared" ref="Z5:Z24" si="5">IF(Q5=0,"🔴 CININ ROTA: Meta fuera del PDOT",IF(R5=0,"🔴 CININ ROTA: No incluida en POA — Escenario D §3.8.4",IF(S5=0,IF(T5&gt;0,"🟠 CININ PARCIAL: Sin PAC pero hay ejecución — Escenario B §3.8.4","🔴 CININ ROTA: Sin PAC ni ejecución — Escenario B §3.8.4"),IF(T5=0,"🟡 CININ PARCIAL: PAC sí pero cédula=0 — revisar transferencia","✅ CININ ÍNTEGRA: Cadena completa verificada §3.4"))))</f>
        <v>✅ CININ ÍNTEGRA: Cadena completa verificada §3.4</v>
      </c>
      <c r="AA5" s="381" t="s">
        <v>3858</v>
      </c>
    </row>
    <row r="6" spans="1:27" s="11" customFormat="1" ht="16.05" customHeight="1" x14ac:dyDescent="0.3">
      <c r="A6" s="976" t="str">
        <f>'M2-PDOT'!B7</f>
        <v>PDOT.AS.OE1.M2.01</v>
      </c>
      <c r="B6" s="972" t="s">
        <v>22</v>
      </c>
      <c r="C6" s="387" t="s">
        <v>932</v>
      </c>
      <c r="D6" s="387" t="s">
        <v>933</v>
      </c>
      <c r="E6" s="387" t="s">
        <v>934</v>
      </c>
      <c r="F6" s="387">
        <v>0</v>
      </c>
      <c r="G6" s="387">
        <v>0.9</v>
      </c>
      <c r="H6" s="388">
        <v>0.1</v>
      </c>
      <c r="I6" s="387">
        <f>F6*G6*H6</f>
        <v>0</v>
      </c>
      <c r="J6" s="387" t="str">
        <f t="shared" si="0"/>
        <v>SIN SOPORTE DOCUMENTAL</v>
      </c>
      <c r="K6" s="387">
        <v>0</v>
      </c>
      <c r="L6" s="389">
        <v>0.15</v>
      </c>
      <c r="M6" s="387" t="s">
        <v>935</v>
      </c>
      <c r="N6" s="387" t="str">
        <f t="shared" si="1"/>
        <v>⚠️ Ti difiere: H=0,1 vs L=0,15</v>
      </c>
      <c r="O6" s="387" t="str">
        <f>IFERROR(VLOOKUP(A6,'M3-MAO'!$A$3:$G$23,3,0),"— revisar")</f>
        <v>Dirección de Planificación y Desarrollo</v>
      </c>
      <c r="P6" s="389">
        <f>IFERROR(VLOOKUP(A6,'M3-MAO'!$A$3:$G$23,7,0),1)</f>
        <v>1</v>
      </c>
      <c r="Q6" s="387">
        <v>1</v>
      </c>
      <c r="R6" s="387">
        <v>1</v>
      </c>
      <c r="S6" s="387">
        <f>IF(COUNTIF('DATA-PAC'!$L:$L,A6)&gt;0,1,0)</f>
        <v>1</v>
      </c>
      <c r="T6" s="390">
        <f>IFERROR(VLOOKUP(A6,'DATA-CED'!$A$5:$Q$24,17,0),0.1)</f>
        <v>0.2</v>
      </c>
      <c r="U6" s="387">
        <v>0</v>
      </c>
      <c r="V6" s="387">
        <v>1</v>
      </c>
      <c r="W6" s="387">
        <f t="shared" si="2"/>
        <v>1</v>
      </c>
      <c r="X6" s="387">
        <f t="shared" si="3"/>
        <v>1</v>
      </c>
      <c r="Y6" s="390">
        <f t="shared" si="4"/>
        <v>0.2</v>
      </c>
      <c r="Z6" s="958" t="str">
        <f t="shared" si="5"/>
        <v>✅ CININ ÍNTEGRA: Cadena completa verificada §3.4</v>
      </c>
      <c r="AA6" s="382" t="s">
        <v>3859</v>
      </c>
    </row>
    <row r="7" spans="1:27" s="11" customFormat="1" ht="16.05" customHeight="1" x14ac:dyDescent="0.3">
      <c r="A7" s="976" t="str">
        <f>'M2-PDOT'!B8</f>
        <v>PDOT.SC.OE2.M4.01</v>
      </c>
      <c r="B7" s="973" t="s">
        <v>19</v>
      </c>
      <c r="C7" s="524" t="s">
        <v>928</v>
      </c>
      <c r="D7" s="524" t="s">
        <v>936</v>
      </c>
      <c r="E7" s="524" t="s">
        <v>937</v>
      </c>
      <c r="F7" s="524">
        <v>1</v>
      </c>
      <c r="G7" s="524">
        <v>1</v>
      </c>
      <c r="H7" s="952">
        <v>0.2</v>
      </c>
      <c r="I7" s="524">
        <v>0.2</v>
      </c>
      <c r="J7" s="524" t="str">
        <f t="shared" si="0"/>
        <v>DOCUMENTO VALIDADO</v>
      </c>
      <c r="K7" s="524">
        <v>1</v>
      </c>
      <c r="L7" s="953">
        <v>0.2</v>
      </c>
      <c r="M7" s="524" t="s">
        <v>938</v>
      </c>
      <c r="N7" s="524" t="str">
        <f t="shared" si="1"/>
        <v>✅ Vi+Ti Consistentes</v>
      </c>
      <c r="O7" s="524" t="str">
        <f>IFERROR(VLOOKUP(A7,'M3-MAO'!$A$3:$G$23,3,0),"— revisar")</f>
        <v>Patronato Municipal de Amparo Social</v>
      </c>
      <c r="P7" s="953">
        <f>IFERROR(VLOOKUP(A7,'M3-MAO'!$A$3:$G$23,7,0),1)</f>
        <v>0.9</v>
      </c>
      <c r="Q7" s="524">
        <v>1</v>
      </c>
      <c r="R7" s="524">
        <v>1</v>
      </c>
      <c r="S7" s="524">
        <f>IF(COUNTIF('DATA-PAC'!$L:$L,A7)&gt;0,1,0)</f>
        <v>1</v>
      </c>
      <c r="T7" s="954">
        <v>0.2</v>
      </c>
      <c r="U7" s="524">
        <v>0</v>
      </c>
      <c r="V7" s="524">
        <v>1</v>
      </c>
      <c r="W7" s="524">
        <f t="shared" si="2"/>
        <v>1</v>
      </c>
      <c r="X7" s="524">
        <f t="shared" si="3"/>
        <v>1</v>
      </c>
      <c r="Y7" s="954">
        <f t="shared" si="4"/>
        <v>0.2</v>
      </c>
      <c r="Z7" s="959" t="str">
        <f t="shared" si="5"/>
        <v>✅ CININ ÍNTEGRA: Cadena completa verificada §3.4</v>
      </c>
      <c r="AA7" s="383" t="s">
        <v>3860</v>
      </c>
    </row>
    <row r="8" spans="1:27" s="11" customFormat="1" ht="16.05" customHeight="1" x14ac:dyDescent="0.3">
      <c r="A8" s="976" t="str">
        <f>'M2-PDOT'!B9</f>
        <v>PDOT.AS.OE1.M1.02</v>
      </c>
      <c r="B8" s="972" t="s">
        <v>19</v>
      </c>
      <c r="C8" s="387" t="s">
        <v>932</v>
      </c>
      <c r="D8" s="387" t="s">
        <v>939</v>
      </c>
      <c r="E8" s="387" t="s">
        <v>940</v>
      </c>
      <c r="F8" s="387">
        <v>0</v>
      </c>
      <c r="G8" s="387">
        <v>1</v>
      </c>
      <c r="H8" s="389">
        <v>0</v>
      </c>
      <c r="I8" s="387">
        <f t="shared" ref="I8:I24" si="6">F8*G8*H8</f>
        <v>0</v>
      </c>
      <c r="J8" s="387" t="str">
        <f t="shared" si="0"/>
        <v>SIN SOPORTE DOCUMENTAL</v>
      </c>
      <c r="K8" s="387">
        <v>0</v>
      </c>
      <c r="L8" s="389">
        <v>0</v>
      </c>
      <c r="M8" s="387" t="s">
        <v>941</v>
      </c>
      <c r="N8" s="387" t="str">
        <f t="shared" si="1"/>
        <v>✅ Vi+Ti Consistentes</v>
      </c>
      <c r="O8" s="387" t="str">
        <f>IFERROR(VLOOKUP(A8,'M3-MAO'!$A$3:$G$23,3,0),"— revisar")</f>
        <v>Dirección de Obras Públicas</v>
      </c>
      <c r="P8" s="389">
        <f>IFERROR(VLOOKUP(A8,'M3-MAO'!$A$3:$G$23,7,0),1)</f>
        <v>1</v>
      </c>
      <c r="Q8" s="387">
        <v>1</v>
      </c>
      <c r="R8" s="387">
        <v>0</v>
      </c>
      <c r="S8" s="387">
        <f>IF(COUNTIF('DATA-PAC'!$L:$L,A8)&gt;0,1,0)</f>
        <v>1</v>
      </c>
      <c r="T8" s="390">
        <v>0</v>
      </c>
      <c r="U8" s="387">
        <v>0</v>
      </c>
      <c r="V8" s="387">
        <v>1</v>
      </c>
      <c r="W8" s="387">
        <f t="shared" si="2"/>
        <v>0</v>
      </c>
      <c r="X8" s="387">
        <f t="shared" si="3"/>
        <v>0</v>
      </c>
      <c r="Y8" s="390">
        <f t="shared" si="4"/>
        <v>0</v>
      </c>
      <c r="Z8" s="958" t="str">
        <f t="shared" si="5"/>
        <v>🔴 CININ ROTA: No incluida en POA — Escenario D §3.8.4</v>
      </c>
      <c r="AA8" s="383" t="s">
        <v>3861</v>
      </c>
    </row>
    <row r="9" spans="1:27" s="11" customFormat="1" ht="16.05" customHeight="1" x14ac:dyDescent="0.3">
      <c r="A9" s="976" t="str">
        <f>'M2-PDOT'!B10</f>
        <v>PDOT.PI.OE4.M1.01</v>
      </c>
      <c r="B9" s="973" t="s">
        <v>22</v>
      </c>
      <c r="C9" s="524" t="s">
        <v>928</v>
      </c>
      <c r="D9" s="524" t="s">
        <v>942</v>
      </c>
      <c r="E9" s="524" t="s">
        <v>943</v>
      </c>
      <c r="F9" s="524">
        <v>1</v>
      </c>
      <c r="G9" s="524">
        <v>1</v>
      </c>
      <c r="H9" s="953">
        <v>1</v>
      </c>
      <c r="I9" s="524">
        <f t="shared" si="6"/>
        <v>1</v>
      </c>
      <c r="J9" s="524" t="str">
        <f t="shared" si="0"/>
        <v>DOCUMENTO VALIDADO</v>
      </c>
      <c r="K9" s="524">
        <v>1</v>
      </c>
      <c r="L9" s="953">
        <v>1</v>
      </c>
      <c r="M9" s="524" t="s">
        <v>944</v>
      </c>
      <c r="N9" s="524" t="str">
        <f t="shared" si="1"/>
        <v>✅ Vi+Ti Consistentes</v>
      </c>
      <c r="O9" s="524" t="str">
        <f>IFERROR(VLOOKUP(A9,'M3-MAO'!$A$3:$G$23,3,0),"— revisar")</f>
        <v>Dirección de Tecnología e Información</v>
      </c>
      <c r="P9" s="953">
        <f>IFERROR(VLOOKUP(A9,'M3-MAO'!$A$3:$G$23,7,0),1)</f>
        <v>1</v>
      </c>
      <c r="Q9" s="524">
        <v>1</v>
      </c>
      <c r="R9" s="524">
        <v>1</v>
      </c>
      <c r="S9" s="524">
        <f>IF(COUNTIF('DATA-PAC'!$L:$L,A9)&gt;0,1,0)</f>
        <v>1</v>
      </c>
      <c r="T9" s="954">
        <f>IFERROR(VLOOKUP(A9,'DATA-CED'!$A$5:$Q$24,17,0),0.3)</f>
        <v>0.70000031432504983</v>
      </c>
      <c r="U9" s="524">
        <v>1</v>
      </c>
      <c r="V9" s="524">
        <v>1</v>
      </c>
      <c r="W9" s="524">
        <f t="shared" si="2"/>
        <v>1</v>
      </c>
      <c r="X9" s="524">
        <f t="shared" si="3"/>
        <v>1</v>
      </c>
      <c r="Y9" s="954">
        <f t="shared" si="4"/>
        <v>0.70000031432504983</v>
      </c>
      <c r="Z9" s="959" t="str">
        <f t="shared" si="5"/>
        <v>✅ CININ ÍNTEGRA: Cadena completa verificada §3.4</v>
      </c>
      <c r="AA9" s="382" t="s">
        <v>3862</v>
      </c>
    </row>
    <row r="10" spans="1:27" s="11" customFormat="1" ht="16.05" customHeight="1" x14ac:dyDescent="0.3">
      <c r="A10" s="976" t="str">
        <f>'M2-PDOT'!B11</f>
        <v>PDOT.AV.OE1.M1.01</v>
      </c>
      <c r="B10" s="972" t="s">
        <v>19</v>
      </c>
      <c r="C10" s="387" t="s">
        <v>928</v>
      </c>
      <c r="D10" s="387" t="s">
        <v>945</v>
      </c>
      <c r="E10" s="387" t="s">
        <v>946</v>
      </c>
      <c r="F10" s="387">
        <v>1</v>
      </c>
      <c r="G10" s="387">
        <v>1</v>
      </c>
      <c r="H10" s="389">
        <v>0.9</v>
      </c>
      <c r="I10" s="387">
        <f t="shared" si="6"/>
        <v>0.9</v>
      </c>
      <c r="J10" s="387" t="str">
        <f t="shared" si="0"/>
        <v>DOCUMENTO VALIDADO</v>
      </c>
      <c r="K10" s="387">
        <v>1</v>
      </c>
      <c r="L10" s="389">
        <v>0.9</v>
      </c>
      <c r="M10" s="387" t="s">
        <v>947</v>
      </c>
      <c r="N10" s="387" t="str">
        <f t="shared" si="1"/>
        <v>✅ Vi+Ti Consistentes</v>
      </c>
      <c r="O10" s="387" t="str">
        <f>IFERROR(VLOOKUP(A10,'M3-MAO'!$A$3:$G$23,3,0),"— revisar")</f>
        <v>Dirección de Obras Públicas</v>
      </c>
      <c r="P10" s="389">
        <f>IFERROR(VLOOKUP(A10,'M3-MAO'!$A$3:$G$23,7,0),1)</f>
        <v>1</v>
      </c>
      <c r="Q10" s="387">
        <v>1</v>
      </c>
      <c r="R10" s="387">
        <v>1</v>
      </c>
      <c r="S10" s="387">
        <f>IF(COUNTIF('DATA-PAC'!$L:$L,A10)&gt;0,1,0)</f>
        <v>1</v>
      </c>
      <c r="T10" s="390">
        <v>0.9</v>
      </c>
      <c r="U10" s="387">
        <v>1</v>
      </c>
      <c r="V10" s="387">
        <v>1</v>
      </c>
      <c r="W10" s="387">
        <f t="shared" si="2"/>
        <v>1</v>
      </c>
      <c r="X10" s="387">
        <f t="shared" si="3"/>
        <v>1</v>
      </c>
      <c r="Y10" s="390">
        <f t="shared" si="4"/>
        <v>0.9</v>
      </c>
      <c r="Z10" s="958" t="str">
        <f t="shared" si="5"/>
        <v>✅ CININ ÍNTEGRA: Cadena completa verificada §3.4</v>
      </c>
      <c r="AA10" s="382" t="s">
        <v>3863</v>
      </c>
    </row>
    <row r="11" spans="1:27" s="11" customFormat="1" ht="16.05" customHeight="1" x14ac:dyDescent="0.3">
      <c r="A11" s="976" t="str">
        <f>'M2-PDOT'!B12</f>
        <v>PDOT.AM.OE3.M1.01</v>
      </c>
      <c r="B11" s="973" t="s">
        <v>22</v>
      </c>
      <c r="C11" s="524" t="s">
        <v>928</v>
      </c>
      <c r="D11" s="524" t="s">
        <v>948</v>
      </c>
      <c r="E11" s="524" t="s">
        <v>949</v>
      </c>
      <c r="F11" s="524">
        <v>0</v>
      </c>
      <c r="G11" s="524">
        <v>0.9</v>
      </c>
      <c r="H11" s="952">
        <v>0.3</v>
      </c>
      <c r="I11" s="524">
        <f t="shared" si="6"/>
        <v>0</v>
      </c>
      <c r="J11" s="524" t="str">
        <f t="shared" si="0"/>
        <v>SIN SOPORTE DOCUMENTAL</v>
      </c>
      <c r="K11" s="524">
        <v>0</v>
      </c>
      <c r="L11" s="953">
        <v>0.5</v>
      </c>
      <c r="M11" s="524" t="s">
        <v>931</v>
      </c>
      <c r="N11" s="524" t="str">
        <f t="shared" si="1"/>
        <v>⚠️ Ti difiere: H=0,3 vs L=0,5</v>
      </c>
      <c r="O11" s="524" t="str">
        <f>IFERROR(VLOOKUP(A11,'M3-MAO'!$A$3:$G$23,3,0),"— revisar")</f>
        <v>Unidad de Gestión Ambiental GAD</v>
      </c>
      <c r="P11" s="953">
        <f>IFERROR(VLOOKUP(A11,'M3-MAO'!$A$3:$G$23,7,0),1)</f>
        <v>1</v>
      </c>
      <c r="Q11" s="524">
        <v>1</v>
      </c>
      <c r="R11" s="524">
        <v>1</v>
      </c>
      <c r="S11" s="524">
        <f>IF(COUNTIF('DATA-PAC'!$L:$L,A11)&gt;0,1,0)</f>
        <v>1</v>
      </c>
      <c r="T11" s="954">
        <f>IFERROR(VLOOKUP(A11,'DATA-CED'!$A$5:$Q$24,17,0),0.5)</f>
        <v>0</v>
      </c>
      <c r="U11" s="524">
        <v>1</v>
      </c>
      <c r="V11" s="524">
        <v>1</v>
      </c>
      <c r="W11" s="524">
        <f t="shared" si="2"/>
        <v>1</v>
      </c>
      <c r="X11" s="524">
        <f t="shared" si="3"/>
        <v>1</v>
      </c>
      <c r="Y11" s="954">
        <f t="shared" si="4"/>
        <v>0</v>
      </c>
      <c r="Z11" s="959" t="str">
        <f t="shared" si="5"/>
        <v>🟡 CININ PARCIAL: PAC sí pero cédula=0 — revisar transferencia</v>
      </c>
      <c r="AA11" s="384" t="s">
        <v>3864</v>
      </c>
    </row>
    <row r="12" spans="1:27" s="11" customFormat="1" ht="16.05" customHeight="1" x14ac:dyDescent="0.3">
      <c r="A12" s="976" t="str">
        <f>'M2-PDOT'!B13</f>
        <v>PDOT.FA.OE4.AH.02</v>
      </c>
      <c r="B12" s="972" t="s">
        <v>25</v>
      </c>
      <c r="C12" s="387" t="s">
        <v>928</v>
      </c>
      <c r="D12" s="387" t="s">
        <v>950</v>
      </c>
      <c r="E12" s="387" t="s">
        <v>951</v>
      </c>
      <c r="F12" s="387">
        <v>1</v>
      </c>
      <c r="G12" s="387">
        <v>0.9</v>
      </c>
      <c r="H12" s="388">
        <v>0.4</v>
      </c>
      <c r="I12" s="387">
        <f t="shared" si="6"/>
        <v>0.36000000000000004</v>
      </c>
      <c r="J12" s="387" t="str">
        <f t="shared" si="0"/>
        <v>DOCUMENTO VALIDADO</v>
      </c>
      <c r="K12" s="387">
        <v>1</v>
      </c>
      <c r="L12" s="389">
        <v>0.4</v>
      </c>
      <c r="M12" s="387" t="s">
        <v>931</v>
      </c>
      <c r="N12" s="387" t="str">
        <f t="shared" si="1"/>
        <v>✅ Vi+Ti Consistentes</v>
      </c>
      <c r="O12" s="387" t="str">
        <f>IFERROR(VLOOKUP(A12,'M3-MAO'!$A$3:$G$23,3,0),"— revisar")</f>
        <v>— revisar</v>
      </c>
      <c r="P12" s="389">
        <f>IFERROR(VLOOKUP(A12,'M3-MAO'!$A$3:$G$23,7,0),1)</f>
        <v>1</v>
      </c>
      <c r="Q12" s="387">
        <v>1</v>
      </c>
      <c r="R12" s="387">
        <v>1</v>
      </c>
      <c r="S12" s="387">
        <f>IF(COUNTIF('DATA-PAC'!$L:$L,A12)&gt;0,1,0)</f>
        <v>0</v>
      </c>
      <c r="T12" s="390">
        <v>0.4</v>
      </c>
      <c r="U12" s="387">
        <v>1</v>
      </c>
      <c r="V12" s="387">
        <v>1</v>
      </c>
      <c r="W12" s="387">
        <f t="shared" si="2"/>
        <v>0</v>
      </c>
      <c r="X12" s="387">
        <f t="shared" si="3"/>
        <v>0</v>
      </c>
      <c r="Y12" s="390">
        <f t="shared" si="4"/>
        <v>0.4</v>
      </c>
      <c r="Z12" s="958" t="str">
        <f t="shared" si="5"/>
        <v>🟠 CININ PARCIAL: Sin PAC pero hay ejecución — Escenario B §3.8.4</v>
      </c>
      <c r="AA12" s="382" t="s">
        <v>3865</v>
      </c>
    </row>
    <row r="13" spans="1:27" s="11" customFormat="1" ht="16.05" customHeight="1" x14ac:dyDescent="0.3">
      <c r="A13" s="976" t="str">
        <f>'M2-PDOT'!B14</f>
        <v>PDOT.FA.OE1.PV.01</v>
      </c>
      <c r="B13" s="973" t="s">
        <v>19</v>
      </c>
      <c r="C13" s="524" t="s">
        <v>928</v>
      </c>
      <c r="D13" s="524" t="s">
        <v>952</v>
      </c>
      <c r="E13" s="524" t="s">
        <v>953</v>
      </c>
      <c r="F13" s="524">
        <v>1</v>
      </c>
      <c r="G13" s="524">
        <v>1</v>
      </c>
      <c r="H13" s="953">
        <v>0.5</v>
      </c>
      <c r="I13" s="524">
        <f t="shared" si="6"/>
        <v>0.5</v>
      </c>
      <c r="J13" s="524" t="str">
        <f t="shared" si="0"/>
        <v>DOCUMENTO VALIDADO</v>
      </c>
      <c r="K13" s="524">
        <v>1</v>
      </c>
      <c r="L13" s="953">
        <v>0.5</v>
      </c>
      <c r="M13" s="524" t="s">
        <v>954</v>
      </c>
      <c r="N13" s="524" t="str">
        <f t="shared" si="1"/>
        <v>✅ Vi+Ti Consistentes</v>
      </c>
      <c r="O13" s="524" t="str">
        <f>IFERROR(VLOOKUP(A13,'M3-MAO'!$A$3:$G$23,3,0),"— revisar")</f>
        <v>— revisar</v>
      </c>
      <c r="P13" s="953">
        <f>IFERROR(VLOOKUP(A13,'M3-MAO'!$A$3:$G$23,7,0),1)</f>
        <v>1</v>
      </c>
      <c r="Q13" s="524">
        <v>1</v>
      </c>
      <c r="R13" s="524">
        <v>1</v>
      </c>
      <c r="S13" s="524">
        <f>IF(COUNTIF('DATA-PAC'!$L:$L,A13)&gt;0,1,0)</f>
        <v>0</v>
      </c>
      <c r="T13" s="954">
        <v>0.5</v>
      </c>
      <c r="U13" s="524">
        <v>1</v>
      </c>
      <c r="V13" s="524">
        <v>1</v>
      </c>
      <c r="W13" s="524">
        <f t="shared" si="2"/>
        <v>0</v>
      </c>
      <c r="X13" s="524">
        <f t="shared" si="3"/>
        <v>0</v>
      </c>
      <c r="Y13" s="954">
        <f t="shared" si="4"/>
        <v>0.5</v>
      </c>
      <c r="Z13" s="959" t="str">
        <f t="shared" si="5"/>
        <v>🟠 CININ PARCIAL: Sin PAC pero hay ejecución — Escenario B §3.8.4</v>
      </c>
      <c r="AA13" s="382" t="s">
        <v>3866</v>
      </c>
    </row>
    <row r="14" spans="1:27" s="11" customFormat="1" ht="16.05" customHeight="1" x14ac:dyDescent="0.3">
      <c r="A14" s="976" t="str">
        <f>'M2-PDOT'!B15</f>
        <v>PDOT.PI.OE4.M2.01</v>
      </c>
      <c r="B14" s="972" t="s">
        <v>22</v>
      </c>
      <c r="C14" s="387" t="s">
        <v>932</v>
      </c>
      <c r="D14" s="387" t="s">
        <v>942</v>
      </c>
      <c r="E14" s="387" t="s">
        <v>955</v>
      </c>
      <c r="F14" s="387">
        <v>0</v>
      </c>
      <c r="G14" s="387">
        <v>0.9</v>
      </c>
      <c r="H14" s="389">
        <v>0</v>
      </c>
      <c r="I14" s="387">
        <f t="shared" si="6"/>
        <v>0</v>
      </c>
      <c r="J14" s="387" t="str">
        <f t="shared" si="0"/>
        <v>SIN SOPORTE DOCUMENTAL</v>
      </c>
      <c r="K14" s="387">
        <v>0</v>
      </c>
      <c r="L14" s="389">
        <v>0</v>
      </c>
      <c r="M14" s="387" t="s">
        <v>956</v>
      </c>
      <c r="N14" s="387" t="str">
        <f t="shared" si="1"/>
        <v>✅ Vi+Ti Consistentes</v>
      </c>
      <c r="O14" s="387" t="str">
        <f>IFERROR(VLOOKUP(A14,'M3-MAO'!$A$3:$G$23,3,0),"— revisar")</f>
        <v>Dirección de Avalúos y Catastros</v>
      </c>
      <c r="P14" s="389">
        <f>IFERROR(VLOOKUP(A14,'M3-MAO'!$A$3:$G$23,7,0),1)</f>
        <v>1</v>
      </c>
      <c r="Q14" s="387">
        <v>1</v>
      </c>
      <c r="R14" s="387">
        <v>0</v>
      </c>
      <c r="S14" s="387">
        <f>IF(COUNTIF('DATA-PAC'!$L:$L,A14)&gt;0,1,0)</f>
        <v>1</v>
      </c>
      <c r="T14" s="390">
        <f>IFERROR(VLOOKUP(A14,'DATA-CED'!$A$5:$Q$24,17,0),0)</f>
        <v>1</v>
      </c>
      <c r="U14" s="387">
        <v>0</v>
      </c>
      <c r="V14" s="955">
        <v>1</v>
      </c>
      <c r="W14" s="387">
        <f t="shared" si="2"/>
        <v>0</v>
      </c>
      <c r="X14" s="387">
        <f t="shared" si="3"/>
        <v>0</v>
      </c>
      <c r="Y14" s="390">
        <f t="shared" si="4"/>
        <v>1</v>
      </c>
      <c r="Z14" s="958" t="str">
        <f t="shared" si="5"/>
        <v>🔴 CININ ROTA: No incluida en POA — Escenario D §3.8.4</v>
      </c>
      <c r="AA14" s="385" t="s">
        <v>3867</v>
      </c>
    </row>
    <row r="15" spans="1:27" s="11" customFormat="1" ht="16.05" customHeight="1" x14ac:dyDescent="0.3">
      <c r="A15" s="976" t="str">
        <f>'M2-PDOT'!B16</f>
        <v>PDOT.PI.OE4.FI.01</v>
      </c>
      <c r="B15" s="973" t="s">
        <v>25</v>
      </c>
      <c r="C15" s="524" t="s">
        <v>957</v>
      </c>
      <c r="D15" s="524" t="s">
        <v>958</v>
      </c>
      <c r="E15" s="524" t="s">
        <v>959</v>
      </c>
      <c r="F15" s="524">
        <v>1</v>
      </c>
      <c r="G15" s="524">
        <v>0.9</v>
      </c>
      <c r="H15" s="952">
        <v>0.3</v>
      </c>
      <c r="I15" s="524">
        <f t="shared" si="6"/>
        <v>0.27</v>
      </c>
      <c r="J15" s="524" t="str">
        <f t="shared" si="0"/>
        <v>DOCUMENTO VALIDADO</v>
      </c>
      <c r="K15" s="524">
        <v>1</v>
      </c>
      <c r="L15" s="953">
        <v>0.3</v>
      </c>
      <c r="M15" s="524" t="s">
        <v>931</v>
      </c>
      <c r="N15" s="524" t="str">
        <f t="shared" si="1"/>
        <v>✅ Vi+Ti Consistentes</v>
      </c>
      <c r="O15" s="524" t="str">
        <f>IFERROR(VLOOKUP(A15,'M3-MAO'!$A$3:$G$23,3,0),"— revisar")</f>
        <v>— revisar</v>
      </c>
      <c r="P15" s="953">
        <f>IFERROR(VLOOKUP(A15,'M3-MAO'!$A$3:$G$23,7,0),1)</f>
        <v>1</v>
      </c>
      <c r="Q15" s="524">
        <v>1</v>
      </c>
      <c r="R15" s="524">
        <v>1</v>
      </c>
      <c r="S15" s="524">
        <f>IF(COUNTIF('DATA-PAC'!$L:$L,A15)&gt;0,1,0)</f>
        <v>0</v>
      </c>
      <c r="T15" s="954">
        <v>0.3</v>
      </c>
      <c r="U15" s="524">
        <v>1</v>
      </c>
      <c r="V15" s="524">
        <v>1</v>
      </c>
      <c r="W15" s="524">
        <f t="shared" si="2"/>
        <v>0</v>
      </c>
      <c r="X15" s="524">
        <f t="shared" si="3"/>
        <v>0</v>
      </c>
      <c r="Y15" s="954">
        <f t="shared" si="4"/>
        <v>0.3</v>
      </c>
      <c r="Z15" s="959" t="str">
        <f t="shared" si="5"/>
        <v>🟠 CININ PARCIAL: Sin PAC pero hay ejecución — Escenario B §3.8.4</v>
      </c>
      <c r="AA15" s="382" t="s">
        <v>3868</v>
      </c>
    </row>
    <row r="16" spans="1:27" s="11" customFormat="1" ht="16.05" customHeight="1" x14ac:dyDescent="0.3">
      <c r="A16" s="976" t="str">
        <f>'M2-PDOT'!B17</f>
        <v>PDOT.AS.VV.HB.01</v>
      </c>
      <c r="B16" s="972" t="s">
        <v>19</v>
      </c>
      <c r="C16" s="387" t="s">
        <v>928</v>
      </c>
      <c r="D16" s="387" t="s">
        <v>960</v>
      </c>
      <c r="E16" s="387" t="s">
        <v>961</v>
      </c>
      <c r="F16" s="387">
        <v>1</v>
      </c>
      <c r="G16" s="387">
        <v>1</v>
      </c>
      <c r="H16" s="389">
        <v>1</v>
      </c>
      <c r="I16" s="387">
        <f t="shared" si="6"/>
        <v>1</v>
      </c>
      <c r="J16" s="387" t="str">
        <f t="shared" si="0"/>
        <v>DOCUMENTO VALIDADO</v>
      </c>
      <c r="K16" s="387">
        <v>1</v>
      </c>
      <c r="L16" s="389">
        <v>1</v>
      </c>
      <c r="M16" s="387" t="s">
        <v>962</v>
      </c>
      <c r="N16" s="387" t="str">
        <f t="shared" si="1"/>
        <v>✅ Vi+Ti Consistentes</v>
      </c>
      <c r="O16" s="387" t="str">
        <f>IFERROR(VLOOKUP(A16,'M3-MAO'!$A$3:$G$23,3,0),"— revisar")</f>
        <v>— revisar</v>
      </c>
      <c r="P16" s="389">
        <f>IFERROR(VLOOKUP(A16,'M3-MAO'!$A$3:$G$23,7,0),1)</f>
        <v>1</v>
      </c>
      <c r="Q16" s="387">
        <v>1</v>
      </c>
      <c r="R16" s="387">
        <v>1</v>
      </c>
      <c r="S16" s="387">
        <f>IF(COUNTIF('DATA-PAC'!$L:$L,A16)&gt;0,1,0)</f>
        <v>0</v>
      </c>
      <c r="T16" s="390">
        <v>1</v>
      </c>
      <c r="U16" s="387">
        <v>1</v>
      </c>
      <c r="V16" s="387">
        <v>1</v>
      </c>
      <c r="W16" s="387">
        <f t="shared" si="2"/>
        <v>0</v>
      </c>
      <c r="X16" s="387">
        <f t="shared" si="3"/>
        <v>0</v>
      </c>
      <c r="Y16" s="390">
        <f t="shared" si="4"/>
        <v>1</v>
      </c>
      <c r="Z16" s="958" t="str">
        <f t="shared" si="5"/>
        <v>🟠 CININ PARCIAL: Sin PAC pero hay ejecución — Escenario B §3.8.4</v>
      </c>
      <c r="AA16" s="382" t="s">
        <v>3869</v>
      </c>
    </row>
    <row r="17" spans="1:27" s="11" customFormat="1" ht="16.05" customHeight="1" x14ac:dyDescent="0.3">
      <c r="A17" s="976" t="str">
        <f>'M2-PDOT'!B18</f>
        <v>PDOT.SC.PA.CP.01</v>
      </c>
      <c r="B17" s="973" t="s">
        <v>22</v>
      </c>
      <c r="C17" s="524" t="s">
        <v>928</v>
      </c>
      <c r="D17" s="524" t="s">
        <v>963</v>
      </c>
      <c r="E17" s="524" t="s">
        <v>964</v>
      </c>
      <c r="F17" s="524">
        <v>0</v>
      </c>
      <c r="G17" s="524">
        <v>1</v>
      </c>
      <c r="H17" s="952">
        <v>0.2</v>
      </c>
      <c r="I17" s="524">
        <f t="shared" si="6"/>
        <v>0</v>
      </c>
      <c r="J17" s="524" t="str">
        <f t="shared" si="0"/>
        <v>SIN SOPORTE DOCUMENTAL</v>
      </c>
      <c r="K17" s="524">
        <v>0</v>
      </c>
      <c r="L17" s="953">
        <v>0.2</v>
      </c>
      <c r="M17" s="524" t="s">
        <v>941</v>
      </c>
      <c r="N17" s="524" t="str">
        <f t="shared" si="1"/>
        <v>✅ Vi+Ti Consistentes</v>
      </c>
      <c r="O17" s="524" t="str">
        <f>IFERROR(VLOOKUP(A17,'M3-MAO'!$A$3:$G$23,3,0),"— revisar")</f>
        <v>— revisar</v>
      </c>
      <c r="P17" s="953">
        <f>IFERROR(VLOOKUP(A17,'M3-MAO'!$A$3:$G$23,7,0),1)</f>
        <v>1</v>
      </c>
      <c r="Q17" s="524">
        <v>1</v>
      </c>
      <c r="R17" s="524">
        <v>1</v>
      </c>
      <c r="S17" s="524">
        <f>IF(COUNTIF('DATA-PAC'!$L:$L,A17)&gt;0,1,0)</f>
        <v>0</v>
      </c>
      <c r="T17" s="954">
        <f>IFERROR(VLOOKUP(A17,'DATA-CED'!$A$5:$Q$24,17,0),0.2)</f>
        <v>0.2</v>
      </c>
      <c r="U17" s="524">
        <v>0</v>
      </c>
      <c r="V17" s="524">
        <v>1</v>
      </c>
      <c r="W17" s="524">
        <f t="shared" si="2"/>
        <v>0</v>
      </c>
      <c r="X17" s="524">
        <f t="shared" si="3"/>
        <v>0</v>
      </c>
      <c r="Y17" s="954">
        <f t="shared" si="4"/>
        <v>0.2</v>
      </c>
      <c r="Z17" s="959" t="str">
        <f t="shared" si="5"/>
        <v>🟠 CININ PARCIAL: Sin PAC pero hay ejecución — Escenario B §3.8.4</v>
      </c>
      <c r="AA17" s="382" t="s">
        <v>3870</v>
      </c>
    </row>
    <row r="18" spans="1:27" s="11" customFormat="1" ht="16.05" customHeight="1" x14ac:dyDescent="0.3">
      <c r="A18" s="976" t="str">
        <f>'M2-PDOT'!B19</f>
        <v>PDOT.EP.OE5.PD.01</v>
      </c>
      <c r="B18" s="972" t="s">
        <v>31</v>
      </c>
      <c r="C18" s="387" t="s">
        <v>957</v>
      </c>
      <c r="D18" s="387" t="s">
        <v>965</v>
      </c>
      <c r="E18" s="387" t="s">
        <v>966</v>
      </c>
      <c r="F18" s="387">
        <v>1</v>
      </c>
      <c r="G18" s="387">
        <v>1</v>
      </c>
      <c r="H18" s="389">
        <v>0.7</v>
      </c>
      <c r="I18" s="387">
        <f t="shared" si="6"/>
        <v>0.7</v>
      </c>
      <c r="J18" s="387" t="str">
        <f t="shared" si="0"/>
        <v>DOCUMENTO VALIDADO</v>
      </c>
      <c r="K18" s="387">
        <v>1</v>
      </c>
      <c r="L18" s="389">
        <v>0.7</v>
      </c>
      <c r="M18" s="387" t="s">
        <v>967</v>
      </c>
      <c r="N18" s="387" t="str">
        <f t="shared" si="1"/>
        <v>✅ Vi+Ti Consistentes</v>
      </c>
      <c r="O18" s="387" t="str">
        <f>IFERROR(VLOOKUP(A18,'M3-MAO'!$A$3:$G$23,3,0),"— revisar")</f>
        <v>— revisar</v>
      </c>
      <c r="P18" s="389">
        <f>IFERROR(VLOOKUP(A18,'M3-MAO'!$A$3:$G$23,7,0),1)</f>
        <v>1</v>
      </c>
      <c r="Q18" s="387">
        <v>1</v>
      </c>
      <c r="R18" s="387">
        <v>1</v>
      </c>
      <c r="S18" s="387">
        <f>IF(COUNTIF('DATA-PAC'!$L:$L,A18)&gt;0,1,0)</f>
        <v>0</v>
      </c>
      <c r="T18" s="390">
        <v>0.7</v>
      </c>
      <c r="U18" s="387">
        <v>1</v>
      </c>
      <c r="V18" s="387">
        <v>1</v>
      </c>
      <c r="W18" s="387">
        <f t="shared" si="2"/>
        <v>0</v>
      </c>
      <c r="X18" s="387">
        <f t="shared" si="3"/>
        <v>0</v>
      </c>
      <c r="Y18" s="390">
        <f t="shared" si="4"/>
        <v>0.7</v>
      </c>
      <c r="Z18" s="958" t="str">
        <f t="shared" si="5"/>
        <v>🟠 CININ PARCIAL: Sin PAC pero hay ejecución — Escenario B §3.8.4</v>
      </c>
      <c r="AA18" s="382" t="s">
        <v>3871</v>
      </c>
    </row>
    <row r="19" spans="1:27" s="11" customFormat="1" ht="16.05" customHeight="1" x14ac:dyDescent="0.3">
      <c r="A19" s="976" t="str">
        <f>'M2-PDOT'!B20</f>
        <v>PDOT.SC.PA.CP.02</v>
      </c>
      <c r="B19" s="973" t="s">
        <v>31</v>
      </c>
      <c r="C19" s="524" t="s">
        <v>957</v>
      </c>
      <c r="D19" s="524" t="s">
        <v>968</v>
      </c>
      <c r="E19" s="524" t="s">
        <v>969</v>
      </c>
      <c r="F19" s="524">
        <v>1</v>
      </c>
      <c r="G19" s="524">
        <v>1</v>
      </c>
      <c r="H19" s="953">
        <v>1</v>
      </c>
      <c r="I19" s="524">
        <f t="shared" si="6"/>
        <v>1</v>
      </c>
      <c r="J19" s="524" t="str">
        <f t="shared" si="0"/>
        <v>DOCUMENTO VALIDADO</v>
      </c>
      <c r="K19" s="524">
        <v>1</v>
      </c>
      <c r="L19" s="953">
        <v>1</v>
      </c>
      <c r="M19" s="524" t="s">
        <v>967</v>
      </c>
      <c r="N19" s="524" t="str">
        <f t="shared" si="1"/>
        <v>✅ Vi+Ti Consistentes</v>
      </c>
      <c r="O19" s="524" t="str">
        <f>IFERROR(VLOOKUP(A19,'M3-MAO'!$A$3:$G$23,3,0),"— revisar")</f>
        <v>— revisar</v>
      </c>
      <c r="P19" s="953">
        <f>IFERROR(VLOOKUP(A19,'M3-MAO'!$A$3:$G$23,7,0),1)</f>
        <v>1</v>
      </c>
      <c r="Q19" s="524">
        <v>1</v>
      </c>
      <c r="R19" s="524">
        <v>1</v>
      </c>
      <c r="S19" s="524">
        <f>IF(COUNTIF('DATA-PAC'!$L:$L,A19)&gt;0,1,0)</f>
        <v>0</v>
      </c>
      <c r="T19" s="954">
        <v>1</v>
      </c>
      <c r="U19" s="524">
        <v>1</v>
      </c>
      <c r="V19" s="524">
        <v>1</v>
      </c>
      <c r="W19" s="524">
        <f t="shared" si="2"/>
        <v>0</v>
      </c>
      <c r="X19" s="524">
        <f t="shared" si="3"/>
        <v>0</v>
      </c>
      <c r="Y19" s="954">
        <f t="shared" si="4"/>
        <v>1</v>
      </c>
      <c r="Z19" s="959" t="str">
        <f t="shared" si="5"/>
        <v>🟠 CININ PARCIAL: Sin PAC pero hay ejecución — Escenario B §3.8.4</v>
      </c>
      <c r="AA19" s="382" t="s">
        <v>3872</v>
      </c>
    </row>
    <row r="20" spans="1:27" s="11" customFormat="1" ht="16.05" customHeight="1" x14ac:dyDescent="0.3">
      <c r="A20" s="976" t="str">
        <f>'M2-PDOT'!B21</f>
        <v>PDOT.AS.VL.SV.01</v>
      </c>
      <c r="B20" s="972" t="s">
        <v>22</v>
      </c>
      <c r="C20" s="387" t="s">
        <v>970</v>
      </c>
      <c r="D20" s="387" t="s">
        <v>971</v>
      </c>
      <c r="E20" s="387" t="s">
        <v>972</v>
      </c>
      <c r="F20" s="391">
        <v>1</v>
      </c>
      <c r="G20" s="387">
        <v>0.9</v>
      </c>
      <c r="H20" s="388">
        <v>0.35</v>
      </c>
      <c r="I20" s="387">
        <f t="shared" si="6"/>
        <v>0.315</v>
      </c>
      <c r="J20" s="387" t="str">
        <f t="shared" si="0"/>
        <v>DOCUMENTO VALIDADO</v>
      </c>
      <c r="K20" s="387">
        <v>1</v>
      </c>
      <c r="L20" s="389">
        <v>0.35</v>
      </c>
      <c r="M20" s="387" t="s">
        <v>973</v>
      </c>
      <c r="N20" s="387" t="str">
        <f t="shared" si="1"/>
        <v>✅ Vi+Ti Consistentes</v>
      </c>
      <c r="O20" s="387" t="str">
        <f>IFERROR(VLOOKUP(A20,'M3-MAO'!$A$3:$G$23,3,0),"— revisar")</f>
        <v>— revisar</v>
      </c>
      <c r="P20" s="389">
        <f>IFERROR(VLOOKUP(A20,'M3-MAO'!$A$3:$G$23,7,0),1)</f>
        <v>1</v>
      </c>
      <c r="Q20" s="387">
        <v>1</v>
      </c>
      <c r="R20" s="387">
        <v>1</v>
      </c>
      <c r="S20" s="387">
        <f>IF(COUNTIF('DATA-PAC'!$L:$L,A20)&gt;0,1,0)</f>
        <v>0</v>
      </c>
      <c r="T20" s="390">
        <f>IFERROR(VLOOKUP(A20,'DATA-CED'!$A$5:$Q$24,17,0),0.35)</f>
        <v>0.35</v>
      </c>
      <c r="U20" s="387">
        <v>1</v>
      </c>
      <c r="V20" s="387">
        <v>1</v>
      </c>
      <c r="W20" s="387">
        <f t="shared" si="2"/>
        <v>0</v>
      </c>
      <c r="X20" s="387">
        <f t="shared" si="3"/>
        <v>0</v>
      </c>
      <c r="Y20" s="390">
        <f t="shared" si="4"/>
        <v>0.35</v>
      </c>
      <c r="Z20" s="958" t="str">
        <f t="shared" si="5"/>
        <v>🟠 CININ PARCIAL: Sin PAC pero hay ejecución — Escenario B §3.8.4</v>
      </c>
      <c r="AA20" s="382" t="s">
        <v>3873</v>
      </c>
    </row>
    <row r="21" spans="1:27" s="11" customFormat="1" ht="16.05" customHeight="1" x14ac:dyDescent="0.3">
      <c r="A21" s="976" t="str">
        <f>'M2-PDOT'!B22</f>
        <v>PDOT.SC.OE2.M2.01</v>
      </c>
      <c r="B21" s="973" t="s">
        <v>27</v>
      </c>
      <c r="C21" s="524" t="s">
        <v>928</v>
      </c>
      <c r="D21" s="524" t="s">
        <v>610</v>
      </c>
      <c r="E21" s="524" t="s">
        <v>974</v>
      </c>
      <c r="F21" s="956">
        <v>1</v>
      </c>
      <c r="G21" s="524">
        <v>0.9</v>
      </c>
      <c r="H21" s="952">
        <v>0.3</v>
      </c>
      <c r="I21" s="524">
        <f t="shared" si="6"/>
        <v>0.27</v>
      </c>
      <c r="J21" s="524" t="str">
        <f t="shared" si="0"/>
        <v>DOCUMENTO VALIDADO</v>
      </c>
      <c r="K21" s="524">
        <v>1</v>
      </c>
      <c r="L21" s="953">
        <v>0.3</v>
      </c>
      <c r="M21" s="524" t="s">
        <v>975</v>
      </c>
      <c r="N21" s="524" t="str">
        <f t="shared" si="1"/>
        <v>✅ Vi+Ti Consistentes</v>
      </c>
      <c r="O21" s="524" t="str">
        <f>IFERROR(VLOOKUP(A21,'M3-MAO'!$A$3:$G$23,3,0),"— revisar")</f>
        <v>Dirección de Desarrollo Social y Cultural</v>
      </c>
      <c r="P21" s="953">
        <f>IFERROR(VLOOKUP(A21,'M3-MAO'!$A$3:$G$23,7,0),1)</f>
        <v>1</v>
      </c>
      <c r="Q21" s="524">
        <v>1</v>
      </c>
      <c r="R21" s="524">
        <v>1</v>
      </c>
      <c r="S21" s="524">
        <f>IF(COUNTIF('DATA-PAC'!$L:$L,A21)&gt;0,1,0)</f>
        <v>1</v>
      </c>
      <c r="T21" s="954">
        <v>0.3</v>
      </c>
      <c r="U21" s="524">
        <v>1</v>
      </c>
      <c r="V21" s="524">
        <v>1</v>
      </c>
      <c r="W21" s="524">
        <f t="shared" si="2"/>
        <v>1</v>
      </c>
      <c r="X21" s="524">
        <f t="shared" si="3"/>
        <v>1</v>
      </c>
      <c r="Y21" s="954">
        <f t="shared" si="4"/>
        <v>0.3</v>
      </c>
      <c r="Z21" s="959" t="str">
        <f t="shared" si="5"/>
        <v>✅ CININ ÍNTEGRA: Cadena completa verificada §3.4</v>
      </c>
      <c r="AA21" s="382" t="s">
        <v>3874</v>
      </c>
    </row>
    <row r="22" spans="1:27" s="11" customFormat="1" ht="16.05" customHeight="1" x14ac:dyDescent="0.3">
      <c r="A22" s="976" t="str">
        <f>'M2-PDOT'!B23</f>
        <v>PDOT.FA.OE2.MA.01</v>
      </c>
      <c r="B22" s="972" t="s">
        <v>19</v>
      </c>
      <c r="C22" s="387" t="s">
        <v>928</v>
      </c>
      <c r="D22" s="387" t="s">
        <v>976</v>
      </c>
      <c r="E22" s="387" t="s">
        <v>977</v>
      </c>
      <c r="F22" s="387">
        <v>1</v>
      </c>
      <c r="G22" s="387">
        <v>1</v>
      </c>
      <c r="H22" s="389">
        <v>1</v>
      </c>
      <c r="I22" s="387">
        <f t="shared" si="6"/>
        <v>1</v>
      </c>
      <c r="J22" s="387" t="str">
        <f t="shared" si="0"/>
        <v>DOCUMENTO VALIDADO</v>
      </c>
      <c r="K22" s="387">
        <v>1</v>
      </c>
      <c r="L22" s="389">
        <v>1</v>
      </c>
      <c r="M22" s="387" t="s">
        <v>978</v>
      </c>
      <c r="N22" s="387" t="str">
        <f t="shared" si="1"/>
        <v>✅ Vi+Ti Consistentes</v>
      </c>
      <c r="O22" s="387" t="str">
        <f>IFERROR(VLOOKUP(A22,'M3-MAO'!$A$3:$G$23,3,0),"— revisar")</f>
        <v>— revisar</v>
      </c>
      <c r="P22" s="389">
        <f>IFERROR(VLOOKUP(A22,'M3-MAO'!$A$3:$G$23,7,0),1)</f>
        <v>1</v>
      </c>
      <c r="Q22" s="387">
        <v>1</v>
      </c>
      <c r="R22" s="387">
        <v>1</v>
      </c>
      <c r="S22" s="387">
        <f>IF(COUNTIF('DATA-PAC'!$L:$L,A22)&gt;0,1,0)</f>
        <v>0</v>
      </c>
      <c r="T22" s="390">
        <v>1</v>
      </c>
      <c r="U22" s="387">
        <v>1</v>
      </c>
      <c r="V22" s="387">
        <v>1</v>
      </c>
      <c r="W22" s="387">
        <f t="shared" si="2"/>
        <v>0</v>
      </c>
      <c r="X22" s="387">
        <f t="shared" si="3"/>
        <v>0</v>
      </c>
      <c r="Y22" s="390">
        <f t="shared" si="4"/>
        <v>1</v>
      </c>
      <c r="Z22" s="958" t="str">
        <f t="shared" si="5"/>
        <v>🟠 CININ PARCIAL: Sin PAC pero hay ejecución — Escenario B §3.8.4</v>
      </c>
      <c r="AA22" s="382" t="s">
        <v>3875</v>
      </c>
    </row>
    <row r="23" spans="1:27" s="11" customFormat="1" ht="16.05" customHeight="1" x14ac:dyDescent="0.3">
      <c r="A23" s="976" t="str">
        <f>'M2-PDOT'!B4</f>
        <v>PDOT.AS.VL.M1.01</v>
      </c>
      <c r="B23" s="973" t="s">
        <v>19</v>
      </c>
      <c r="C23" s="524" t="s">
        <v>928</v>
      </c>
      <c r="D23" s="524" t="s">
        <v>979</v>
      </c>
      <c r="E23" s="524" t="s">
        <v>980</v>
      </c>
      <c r="F23" s="956">
        <v>1</v>
      </c>
      <c r="G23" s="524">
        <v>1</v>
      </c>
      <c r="H23" s="952">
        <v>0.25</v>
      </c>
      <c r="I23" s="524">
        <f t="shared" si="6"/>
        <v>0.25</v>
      </c>
      <c r="J23" s="524" t="str">
        <f t="shared" si="0"/>
        <v>DOCUMENTO VALIDADO</v>
      </c>
      <c r="K23" s="524">
        <v>1</v>
      </c>
      <c r="L23" s="953">
        <v>0.25</v>
      </c>
      <c r="M23" s="524" t="s">
        <v>981</v>
      </c>
      <c r="N23" s="524" t="str">
        <f t="shared" si="1"/>
        <v>✅ Vi+Ti Consistentes</v>
      </c>
      <c r="O23" s="524" t="str">
        <f>IFERROR(VLOOKUP(A23,'M3-MAO'!$A$3:$G$23,3,0),"— revisar")</f>
        <v>Dirección de Obras Públicas</v>
      </c>
      <c r="P23" s="953">
        <f>IFERROR(VLOOKUP(A23,'M3-MAO'!$A$3:$G$23,7,0),1)</f>
        <v>1</v>
      </c>
      <c r="Q23" s="524">
        <v>1</v>
      </c>
      <c r="R23" s="524">
        <v>1</v>
      </c>
      <c r="S23" s="524">
        <f>IF(COUNTIF('DATA-PAC'!$L:$L,A23)&gt;0,1,0)</f>
        <v>1</v>
      </c>
      <c r="T23" s="954">
        <v>0.25</v>
      </c>
      <c r="U23" s="524">
        <v>1</v>
      </c>
      <c r="V23" s="524">
        <v>1</v>
      </c>
      <c r="W23" s="524">
        <f t="shared" si="2"/>
        <v>1</v>
      </c>
      <c r="X23" s="524">
        <f t="shared" si="3"/>
        <v>1</v>
      </c>
      <c r="Y23" s="954">
        <f t="shared" si="4"/>
        <v>0.25</v>
      </c>
      <c r="Z23" s="959" t="str">
        <f t="shared" si="5"/>
        <v>✅ CININ ÍNTEGRA: Cadena completa verificada §3.4</v>
      </c>
      <c r="AA23" s="382" t="s">
        <v>3876</v>
      </c>
    </row>
    <row r="24" spans="1:27" s="11" customFormat="1" ht="16.05" customHeight="1" thickBot="1" x14ac:dyDescent="0.35">
      <c r="A24" s="977" t="str">
        <f>'M2-PDOT'!B5</f>
        <v>PDOT.SC.OE2.M1.01</v>
      </c>
      <c r="B24" s="974" t="s">
        <v>19</v>
      </c>
      <c r="C24" s="962" t="s">
        <v>928</v>
      </c>
      <c r="D24" s="962" t="s">
        <v>91</v>
      </c>
      <c r="E24" s="962" t="s">
        <v>982</v>
      </c>
      <c r="F24" s="963">
        <v>1</v>
      </c>
      <c r="G24" s="964">
        <v>1</v>
      </c>
      <c r="H24" s="965">
        <v>0.65</v>
      </c>
      <c r="I24" s="962">
        <f t="shared" si="6"/>
        <v>0.65</v>
      </c>
      <c r="J24" s="964" t="str">
        <f t="shared" si="0"/>
        <v>DOCUMENTO VALIDADO</v>
      </c>
      <c r="K24" s="966">
        <v>1</v>
      </c>
      <c r="L24" s="967">
        <v>0.65</v>
      </c>
      <c r="M24" s="962" t="s">
        <v>983</v>
      </c>
      <c r="N24" s="966" t="str">
        <f t="shared" si="1"/>
        <v>✅ Vi+Ti Consistentes</v>
      </c>
      <c r="O24" s="962" t="str">
        <f>IFERROR(VLOOKUP(A24,'M3-MAO'!$A$3:$G$23,3,0),"— revisar")</f>
        <v>Patronato Municipal de Amparo Social</v>
      </c>
      <c r="P24" s="967">
        <f>IFERROR(VLOOKUP(A24,'M3-MAO'!$A$3:$G$23,7,0),1)</f>
        <v>0.9</v>
      </c>
      <c r="Q24" s="962">
        <v>1</v>
      </c>
      <c r="R24" s="962">
        <v>1</v>
      </c>
      <c r="S24" s="962">
        <f>IF(COUNTIF('DATA-PAC'!$L:$L,A24)&gt;0,1,0)</f>
        <v>0</v>
      </c>
      <c r="T24" s="968">
        <v>0</v>
      </c>
      <c r="U24" s="962">
        <v>1</v>
      </c>
      <c r="V24" s="962">
        <v>1</v>
      </c>
      <c r="W24" s="962">
        <f t="shared" si="2"/>
        <v>0</v>
      </c>
      <c r="X24" s="962">
        <f t="shared" si="3"/>
        <v>0</v>
      </c>
      <c r="Y24" s="968">
        <f t="shared" si="4"/>
        <v>0</v>
      </c>
      <c r="Z24" s="969" t="str">
        <f t="shared" si="5"/>
        <v>🔴 CININ ROTA: Sin PAC ni ejecución — Escenario B §3.8.4</v>
      </c>
      <c r="AA24" s="386" t="s">
        <v>3877</v>
      </c>
    </row>
    <row r="25" spans="1:27" s="11" customFormat="1" ht="37.950000000000003" customHeight="1" thickTop="1" x14ac:dyDescent="0.3"/>
  </sheetData>
  <mergeCells count="2">
    <mergeCell ref="A3:AA3"/>
    <mergeCell ref="A1:Z1"/>
  </mergeCells>
  <conditionalFormatting sqref="F5:F24">
    <cfRule type="cellIs" dxfId="45" priority="1" operator="equal">
      <formula>0</formula>
    </cfRule>
  </conditionalFormatting>
  <conditionalFormatting sqref="F5:H24">
    <cfRule type="cellIs" dxfId="44" priority="2" operator="equal">
      <formula>1</formula>
    </cfRule>
  </conditionalFormatting>
  <conditionalFormatting sqref="G5:G24">
    <cfRule type="cellIs" dxfId="43" priority="9" operator="equal">
      <formula>0.9</formula>
    </cfRule>
  </conditionalFormatting>
  <conditionalFormatting sqref="G5:H24">
    <cfRule type="cellIs" dxfId="42" priority="3" operator="equal">
      <formula>0</formula>
    </cfRule>
  </conditionalFormatting>
  <conditionalFormatting sqref="H5:H24">
    <cfRule type="cellIs" dxfId="41" priority="5" operator="between">
      <formula>0.01</formula>
      <formula>0.99</formula>
    </cfRule>
  </conditionalFormatting>
  <conditionalFormatting sqref="J5:J24">
    <cfRule type="containsText" dxfId="40" priority="6" operator="containsText" text="DOCUMENTO VALIDADO">
      <formula>NOT(ISERROR(SEARCH("DOCUMENTO VALIDADO",J5)))</formula>
    </cfRule>
    <cfRule type="containsText" dxfId="39" priority="7" operator="containsText" text="SIN SOPORTE">
      <formula>NOT(ISERROR(SEARCH("SIN SOPORTE",J5)))</formula>
    </cfRule>
  </conditionalFormatting>
  <conditionalFormatting sqref="K5:K24">
    <cfRule type="cellIs" dxfId="38" priority="13" operator="equal">
      <formula>1</formula>
    </cfRule>
    <cfRule type="cellIs" dxfId="37" priority="14" operator="equal">
      <formula>0</formula>
    </cfRule>
  </conditionalFormatting>
  <conditionalFormatting sqref="N5:N24">
    <cfRule type="containsText" dxfId="36" priority="10" operator="containsText" text="✅">
      <formula>NOT(ISERROR(SEARCH("✅",N5)))</formula>
    </cfRule>
    <cfRule type="containsText" dxfId="35" priority="11" operator="containsText" text="⚠️">
      <formula>NOT(ISERROR(SEARCH("⚠️",N5)))</formula>
    </cfRule>
    <cfRule type="containsText" dxfId="34" priority="12" operator="containsText" text="⏳">
      <formula>NOT(ISERROR(SEARCH("⏳",N5)))</formula>
    </cfRule>
  </conditionalFormatting>
  <dataValidations xWindow="1006" yWindow="404" count="3">
    <dataValidation type="list" allowBlank="1" showInputMessage="1" showErrorMessage="1" errorTitle="Error Vi" error="Solo se permite 0 o 1 (variable binaria forense)" promptTitle="Variable Vi" prompt="Vi binaria: 1=Evidencia existe, 0=No existe (Axioma 1 PDF)" sqref="F5:F24" xr:uid="{00000000-0002-0000-0A00-000000000000}">
      <formula1>"0,1"</formula1>
    </dataValidation>
    <dataValidation type="list" allowBlank="1" showInputMessage="1" showErrorMessage="1" errorTitle="Error Ei" error="Solo: 1.0 (directa GAD), 0.9 (vía entidad), 0.0 (sin reporte)" promptTitle="Factor Ei" prompt="Ei institucional (PDF §2.5):_x000a_1.0=Directa GAD_x000a_0.9=Vía entidad_x000a_0.0=Sin reporte" sqref="G5:G24" xr:uid="{00000000-0002-0000-0A00-000001000000}">
      <formula1>"0,0.9,1"</formula1>
    </dataValidation>
    <dataValidation type="list" allowBlank="1" showInputMessage="1" showErrorMessage="1" promptTitle="Factor Ti" prompt="Ti temporal (PDF §2.4):_x000a_1.0=En plazo_x000a_0.7=Retraso &lt;6m_x000a_0.5=Retraso &gt;6m_x000a_0.0=No ejecutado" sqref="H5:H24" xr:uid="{00000000-0002-0000-0A00-000002000000}">
      <formula1>"0,0.2,0.3,0.4,0.5,0.6,0.7,0.85,0.9,1"</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DEEAF1"/>
  </sheetPr>
  <dimension ref="A1:Z25"/>
  <sheetViews>
    <sheetView showGridLines="0" tabSelected="1" zoomScale="69" zoomScaleNormal="69" workbookViewId="0">
      <selection activeCell="F5" sqref="F5"/>
    </sheetView>
  </sheetViews>
  <sheetFormatPr baseColWidth="10" defaultRowHeight="14.4" x14ac:dyDescent="0.3"/>
  <cols>
    <col min="1" max="1" width="5.21875" style="2" customWidth="1"/>
    <col min="2" max="2" width="17" bestFit="1" customWidth="1"/>
    <col min="3" max="3" width="43.77734375" bestFit="1" customWidth="1"/>
    <col min="4" max="4" width="30.109375" bestFit="1" customWidth="1"/>
    <col min="5" max="5" width="24.77734375" bestFit="1" customWidth="1"/>
    <col min="6" max="6" width="20.109375" bestFit="1" customWidth="1"/>
    <col min="7" max="7" width="14.109375" bestFit="1" customWidth="1"/>
    <col min="8" max="8" width="6.109375" bestFit="1" customWidth="1"/>
    <col min="26" max="26" width="8.44140625" bestFit="1" customWidth="1"/>
  </cols>
  <sheetData>
    <row r="1" spans="1:26" ht="19.95" customHeight="1" x14ac:dyDescent="0.3">
      <c r="A1" s="1925" t="s">
        <v>4785</v>
      </c>
      <c r="B1" s="1713"/>
      <c r="C1" s="1713"/>
      <c r="D1" s="1713"/>
      <c r="E1" s="1713"/>
      <c r="F1" s="1713"/>
      <c r="G1" s="1713"/>
      <c r="H1" s="1713"/>
      <c r="I1" s="1713"/>
      <c r="J1" s="1713"/>
      <c r="K1" s="1713"/>
      <c r="L1" s="1713"/>
      <c r="M1" s="1713"/>
      <c r="N1" s="1713"/>
      <c r="O1" s="1713"/>
      <c r="P1" s="1713"/>
      <c r="Q1" s="1713"/>
      <c r="R1" s="1713"/>
      <c r="S1" s="1713"/>
      <c r="T1" s="1713"/>
      <c r="U1" s="1713"/>
      <c r="V1" s="1713"/>
      <c r="W1" s="1713"/>
      <c r="X1" s="1713"/>
      <c r="Y1" s="1713"/>
      <c r="Z1" s="1713"/>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473"/>
      <c r="N2" s="473"/>
      <c r="O2" s="473"/>
      <c r="P2" s="473"/>
      <c r="Q2" s="473"/>
      <c r="R2" s="473"/>
      <c r="S2" s="473"/>
      <c r="T2" s="473"/>
      <c r="U2" s="473"/>
      <c r="V2" s="473"/>
      <c r="W2" s="473"/>
      <c r="X2" s="473"/>
      <c r="Y2" s="473"/>
      <c r="Z2" s="473"/>
    </row>
    <row r="3" spans="1:26" s="1" customFormat="1" ht="19.95" customHeight="1" thickBot="1" x14ac:dyDescent="0.35">
      <c r="A3" s="1718" t="s">
        <v>4061</v>
      </c>
      <c r="B3" s="1714"/>
      <c r="C3" s="1714"/>
      <c r="D3" s="1714"/>
      <c r="E3" s="1714"/>
      <c r="F3" s="1714"/>
      <c r="G3" s="1714"/>
      <c r="H3" s="1714"/>
      <c r="I3" s="1714"/>
      <c r="J3" s="1714"/>
      <c r="K3" s="1714"/>
      <c r="L3" s="1714"/>
      <c r="M3" s="1714"/>
      <c r="N3" s="1714"/>
      <c r="O3" s="1714"/>
      <c r="P3" s="1714"/>
      <c r="Q3" s="1714"/>
      <c r="R3" s="1714"/>
      <c r="S3" s="1714"/>
      <c r="T3" s="1714"/>
      <c r="U3" s="1714"/>
      <c r="V3" s="1714"/>
      <c r="W3" s="1714"/>
      <c r="X3" s="1714"/>
      <c r="Y3" s="1714"/>
      <c r="Z3" s="1714"/>
    </row>
    <row r="4" spans="1:26" s="27" customFormat="1" ht="28.05" customHeight="1" thickTop="1" x14ac:dyDescent="0.3">
      <c r="A4" s="1043" t="s">
        <v>661</v>
      </c>
      <c r="B4" s="1037" t="s">
        <v>662</v>
      </c>
      <c r="C4" s="1031" t="s">
        <v>984</v>
      </c>
      <c r="D4" s="1031" t="s">
        <v>985</v>
      </c>
      <c r="E4" s="1031" t="s">
        <v>986</v>
      </c>
      <c r="F4" s="1031" t="s">
        <v>987</v>
      </c>
      <c r="G4" s="1031" t="s">
        <v>912</v>
      </c>
      <c r="H4" s="1031" t="s">
        <v>927</v>
      </c>
      <c r="I4" s="565"/>
      <c r="J4" s="565"/>
      <c r="K4" s="565"/>
      <c r="L4" s="565"/>
      <c r="M4" s="565"/>
      <c r="N4" s="565"/>
      <c r="O4" s="565"/>
      <c r="P4" s="565"/>
      <c r="Q4" s="565"/>
      <c r="R4" s="565"/>
      <c r="S4" s="565"/>
      <c r="T4" s="565"/>
      <c r="U4" s="565"/>
      <c r="V4" s="565"/>
      <c r="W4" s="565"/>
      <c r="X4" s="565"/>
      <c r="Y4" s="565"/>
      <c r="Z4" s="566"/>
    </row>
    <row r="5" spans="1:26" s="10" customFormat="1" ht="30" customHeight="1" x14ac:dyDescent="0.3">
      <c r="A5" s="1045">
        <v>2</v>
      </c>
      <c r="B5" s="1079" t="s">
        <v>507</v>
      </c>
      <c r="C5" s="1953" t="s">
        <v>988</v>
      </c>
      <c r="D5" s="1074" t="s">
        <v>989</v>
      </c>
      <c r="E5" s="1074" t="s">
        <v>990</v>
      </c>
      <c r="F5" s="1075"/>
      <c r="G5" s="1075"/>
      <c r="H5" s="1075"/>
      <c r="I5" s="184"/>
      <c r="J5" s="184"/>
      <c r="K5" s="184"/>
      <c r="L5" s="184"/>
      <c r="M5" s="184"/>
      <c r="N5" s="184"/>
      <c r="O5" s="184"/>
      <c r="P5" s="184"/>
      <c r="Q5" s="184"/>
      <c r="R5" s="184"/>
      <c r="S5" s="184"/>
      <c r="T5" s="184"/>
      <c r="U5" s="184"/>
      <c r="V5" s="184"/>
      <c r="W5" s="184"/>
      <c r="X5" s="184"/>
      <c r="Y5" s="184"/>
      <c r="Z5" s="928"/>
    </row>
    <row r="6" spans="1:26" s="11" customFormat="1" ht="37.950000000000003" customHeight="1" x14ac:dyDescent="0.3">
      <c r="A6" s="1045">
        <v>3</v>
      </c>
      <c r="B6" s="1080" t="s">
        <v>43</v>
      </c>
      <c r="C6" s="167" t="s">
        <v>991</v>
      </c>
      <c r="D6" s="166" t="s">
        <v>992</v>
      </c>
      <c r="E6" s="166" t="s">
        <v>993</v>
      </c>
      <c r="F6" s="168"/>
      <c r="G6" s="168"/>
      <c r="H6" s="168"/>
      <c r="I6" s="139"/>
      <c r="J6" s="139"/>
      <c r="K6" s="139"/>
      <c r="L6" s="139"/>
      <c r="M6" s="139"/>
      <c r="N6" s="139"/>
      <c r="O6" s="139"/>
      <c r="P6" s="139"/>
      <c r="Q6" s="139"/>
      <c r="R6" s="139"/>
      <c r="S6" s="139"/>
      <c r="T6" s="139"/>
      <c r="U6" s="139"/>
      <c r="V6" s="139"/>
      <c r="W6" s="139"/>
      <c r="X6" s="139"/>
      <c r="Y6" s="139"/>
      <c r="Z6" s="985"/>
    </row>
    <row r="7" spans="1:26" s="11" customFormat="1" ht="37.950000000000003" customHeight="1" x14ac:dyDescent="0.3">
      <c r="A7" s="1045">
        <v>4</v>
      </c>
      <c r="B7" s="1081" t="s">
        <v>687</v>
      </c>
      <c r="C7" s="305" t="s">
        <v>994</v>
      </c>
      <c r="D7" s="308" t="s">
        <v>995</v>
      </c>
      <c r="E7" s="308" t="s">
        <v>996</v>
      </c>
      <c r="F7" s="1076"/>
      <c r="G7" s="1076"/>
      <c r="H7" s="1076"/>
      <c r="I7" s="221"/>
      <c r="J7" s="221"/>
      <c r="K7" s="221"/>
      <c r="L7" s="221"/>
      <c r="M7" s="221"/>
      <c r="N7" s="221"/>
      <c r="O7" s="221"/>
      <c r="P7" s="221"/>
      <c r="Q7" s="221"/>
      <c r="R7" s="221"/>
      <c r="S7" s="221"/>
      <c r="T7" s="221"/>
      <c r="U7" s="221"/>
      <c r="V7" s="221"/>
      <c r="W7" s="221"/>
      <c r="X7" s="221"/>
      <c r="Y7" s="221"/>
      <c r="Z7" s="986"/>
    </row>
    <row r="8" spans="1:26" s="11" customFormat="1" ht="37.950000000000003" customHeight="1" x14ac:dyDescent="0.3">
      <c r="A8" s="1045">
        <v>5</v>
      </c>
      <c r="B8" s="1080" t="s">
        <v>57</v>
      </c>
      <c r="C8" s="167" t="s">
        <v>997</v>
      </c>
      <c r="D8" s="166" t="s">
        <v>998</v>
      </c>
      <c r="E8" s="166" t="s">
        <v>999</v>
      </c>
      <c r="F8" s="168"/>
      <c r="G8" s="168"/>
      <c r="H8" s="168"/>
      <c r="I8" s="139"/>
      <c r="J8" s="139"/>
      <c r="K8" s="139"/>
      <c r="L8" s="139"/>
      <c r="M8" s="139"/>
      <c r="N8" s="139"/>
      <c r="O8" s="139"/>
      <c r="P8" s="139"/>
      <c r="Q8" s="139"/>
      <c r="R8" s="139"/>
      <c r="S8" s="139"/>
      <c r="T8" s="139"/>
      <c r="U8" s="139"/>
      <c r="V8" s="139"/>
      <c r="W8" s="139"/>
      <c r="X8" s="139"/>
      <c r="Y8" s="139"/>
      <c r="Z8" s="985"/>
    </row>
    <row r="9" spans="1:26" s="11" customFormat="1" ht="37.950000000000003" customHeight="1" x14ac:dyDescent="0.3">
      <c r="A9" s="1045">
        <v>6</v>
      </c>
      <c r="B9" s="1081" t="s">
        <v>693</v>
      </c>
      <c r="C9" s="305" t="s">
        <v>1000</v>
      </c>
      <c r="D9" s="308" t="s">
        <v>1001</v>
      </c>
      <c r="E9" s="308" t="s">
        <v>1002</v>
      </c>
      <c r="F9" s="1076"/>
      <c r="G9" s="1076"/>
      <c r="H9" s="1076"/>
      <c r="I9" s="221"/>
      <c r="J9" s="221"/>
      <c r="K9" s="221"/>
      <c r="L9" s="221"/>
      <c r="M9" s="221"/>
      <c r="N9" s="221"/>
      <c r="O9" s="221"/>
      <c r="P9" s="221"/>
      <c r="Q9" s="221"/>
      <c r="R9" s="221"/>
      <c r="S9" s="221"/>
      <c r="T9" s="221"/>
      <c r="U9" s="221"/>
      <c r="V9" s="221"/>
      <c r="W9" s="221"/>
      <c r="X9" s="221"/>
      <c r="Y9" s="221"/>
      <c r="Z9" s="986"/>
    </row>
    <row r="10" spans="1:26" s="11" customFormat="1" ht="37.950000000000003" customHeight="1" x14ac:dyDescent="0.3">
      <c r="A10" s="1045">
        <v>7</v>
      </c>
      <c r="B10" s="1080" t="s">
        <v>539</v>
      </c>
      <c r="C10" s="167" t="s">
        <v>1003</v>
      </c>
      <c r="D10" s="166" t="s">
        <v>1004</v>
      </c>
      <c r="E10" s="166" t="s">
        <v>1005</v>
      </c>
      <c r="F10" s="168"/>
      <c r="G10" s="168"/>
      <c r="H10" s="168"/>
      <c r="I10" s="139"/>
      <c r="J10" s="139"/>
      <c r="K10" s="139"/>
      <c r="L10" s="139"/>
      <c r="M10" s="139"/>
      <c r="N10" s="139"/>
      <c r="O10" s="139"/>
      <c r="P10" s="139"/>
      <c r="Q10" s="139"/>
      <c r="R10" s="139"/>
      <c r="S10" s="139"/>
      <c r="T10" s="139"/>
      <c r="U10" s="139"/>
      <c r="V10" s="139"/>
      <c r="W10" s="139"/>
      <c r="X10" s="139"/>
      <c r="Y10" s="139"/>
      <c r="Z10" s="985"/>
    </row>
    <row r="11" spans="1:26" s="11" customFormat="1" ht="37.950000000000003" customHeight="1" x14ac:dyDescent="0.3">
      <c r="A11" s="1045">
        <v>8</v>
      </c>
      <c r="B11" s="1081" t="s">
        <v>47</v>
      </c>
      <c r="C11" s="305" t="s">
        <v>1006</v>
      </c>
      <c r="D11" s="308" t="s">
        <v>1007</v>
      </c>
      <c r="E11" s="308" t="s">
        <v>1008</v>
      </c>
      <c r="F11" s="1076"/>
      <c r="G11" s="1076"/>
      <c r="H11" s="1076"/>
      <c r="I11" s="221"/>
      <c r="J11" s="221"/>
      <c r="K11" s="221"/>
      <c r="L11" s="221"/>
      <c r="M11" s="221"/>
      <c r="N11" s="221"/>
      <c r="O11" s="221"/>
      <c r="P11" s="221"/>
      <c r="Q11" s="221"/>
      <c r="R11" s="221"/>
      <c r="S11" s="221"/>
      <c r="T11" s="221"/>
      <c r="U11" s="221"/>
      <c r="V11" s="221"/>
      <c r="W11" s="221"/>
      <c r="X11" s="221"/>
      <c r="Y11" s="221"/>
      <c r="Z11" s="986"/>
    </row>
    <row r="12" spans="1:26" s="11" customFormat="1" ht="37.950000000000003" customHeight="1" x14ac:dyDescent="0.3">
      <c r="A12" s="1045">
        <v>9</v>
      </c>
      <c r="B12" s="1080" t="s">
        <v>515</v>
      </c>
      <c r="C12" s="167" t="s">
        <v>1009</v>
      </c>
      <c r="D12" s="166" t="s">
        <v>1010</v>
      </c>
      <c r="E12" s="166" t="s">
        <v>1011</v>
      </c>
      <c r="F12" s="168"/>
      <c r="G12" s="168"/>
      <c r="H12" s="168"/>
      <c r="I12" s="139"/>
      <c r="J12" s="139"/>
      <c r="K12" s="139"/>
      <c r="L12" s="139"/>
      <c r="M12" s="139"/>
      <c r="N12" s="139"/>
      <c r="O12" s="139"/>
      <c r="P12" s="139"/>
      <c r="Q12" s="139"/>
      <c r="R12" s="139"/>
      <c r="S12" s="139"/>
      <c r="T12" s="139"/>
      <c r="U12" s="139"/>
      <c r="V12" s="139"/>
      <c r="W12" s="139"/>
      <c r="X12" s="139"/>
      <c r="Y12" s="139"/>
      <c r="Z12" s="985"/>
    </row>
    <row r="13" spans="1:26" s="11" customFormat="1" ht="37.950000000000003" customHeight="1" x14ac:dyDescent="0.3">
      <c r="A13" s="1045">
        <v>10</v>
      </c>
      <c r="B13" s="1081" t="s">
        <v>526</v>
      </c>
      <c r="C13" s="305" t="s">
        <v>1012</v>
      </c>
      <c r="D13" s="308" t="s">
        <v>1013</v>
      </c>
      <c r="E13" s="308" t="s">
        <v>1014</v>
      </c>
      <c r="F13" s="1076"/>
      <c r="G13" s="1076"/>
      <c r="H13" s="1076"/>
      <c r="I13" s="221"/>
      <c r="J13" s="221"/>
      <c r="K13" s="221"/>
      <c r="L13" s="221"/>
      <c r="M13" s="221"/>
      <c r="N13" s="221"/>
      <c r="O13" s="221"/>
      <c r="P13" s="221"/>
      <c r="Q13" s="221"/>
      <c r="R13" s="221"/>
      <c r="S13" s="221"/>
      <c r="T13" s="221"/>
      <c r="U13" s="221"/>
      <c r="V13" s="221"/>
      <c r="W13" s="221"/>
      <c r="X13" s="221"/>
      <c r="Y13" s="221"/>
      <c r="Z13" s="986"/>
    </row>
    <row r="14" spans="1:26" s="11" customFormat="1" ht="37.950000000000003" customHeight="1" x14ac:dyDescent="0.3">
      <c r="A14" s="1045">
        <v>11</v>
      </c>
      <c r="B14" s="1080" t="s">
        <v>53</v>
      </c>
      <c r="C14" s="167" t="s">
        <v>1015</v>
      </c>
      <c r="D14" s="166" t="s">
        <v>1016</v>
      </c>
      <c r="E14" s="166" t="s">
        <v>1017</v>
      </c>
      <c r="F14" s="168"/>
      <c r="G14" s="168"/>
      <c r="H14" s="168"/>
      <c r="I14" s="139"/>
      <c r="J14" s="139"/>
      <c r="K14" s="139"/>
      <c r="L14" s="139"/>
      <c r="M14" s="139"/>
      <c r="N14" s="139"/>
      <c r="O14" s="139"/>
      <c r="P14" s="139"/>
      <c r="Q14" s="139"/>
      <c r="R14" s="139"/>
      <c r="S14" s="139"/>
      <c r="T14" s="139"/>
      <c r="U14" s="139"/>
      <c r="V14" s="139"/>
      <c r="W14" s="139"/>
      <c r="X14" s="139"/>
      <c r="Y14" s="139"/>
      <c r="Z14" s="985"/>
    </row>
    <row r="15" spans="1:26" s="11" customFormat="1" ht="37.950000000000003" customHeight="1" x14ac:dyDescent="0.3">
      <c r="A15" s="1045">
        <v>12</v>
      </c>
      <c r="B15" s="1081" t="s">
        <v>487</v>
      </c>
      <c r="C15" s="305" t="s">
        <v>1018</v>
      </c>
      <c r="D15" s="308" t="s">
        <v>1019</v>
      </c>
      <c r="E15" s="308" t="s">
        <v>1020</v>
      </c>
      <c r="F15" s="305"/>
      <c r="G15" s="305"/>
      <c r="H15" s="305"/>
      <c r="I15" s="221"/>
      <c r="J15" s="221"/>
      <c r="K15" s="221"/>
      <c r="L15" s="221"/>
      <c r="M15" s="221"/>
      <c r="N15" s="221"/>
      <c r="O15" s="221"/>
      <c r="P15" s="221"/>
      <c r="Q15" s="221"/>
      <c r="R15" s="221"/>
      <c r="S15" s="221"/>
      <c r="T15" s="221"/>
      <c r="U15" s="221"/>
      <c r="V15" s="221"/>
      <c r="W15" s="221"/>
      <c r="X15" s="221"/>
      <c r="Y15" s="221"/>
      <c r="Z15" s="986"/>
    </row>
    <row r="16" spans="1:26" s="11" customFormat="1" ht="37.950000000000003" customHeight="1" x14ac:dyDescent="0.3">
      <c r="A16" s="1045">
        <v>13</v>
      </c>
      <c r="B16" s="1080" t="s">
        <v>545</v>
      </c>
      <c r="C16" s="167" t="s">
        <v>1021</v>
      </c>
      <c r="D16" s="166" t="s">
        <v>1022</v>
      </c>
      <c r="E16" s="166" t="s">
        <v>1023</v>
      </c>
      <c r="F16" s="167"/>
      <c r="G16" s="167"/>
      <c r="H16" s="167"/>
      <c r="I16" s="139"/>
      <c r="J16" s="139"/>
      <c r="K16" s="139"/>
      <c r="L16" s="139"/>
      <c r="M16" s="139"/>
      <c r="N16" s="139"/>
      <c r="O16" s="139"/>
      <c r="P16" s="139"/>
      <c r="Q16" s="139"/>
      <c r="R16" s="139"/>
      <c r="S16" s="139"/>
      <c r="T16" s="139"/>
      <c r="U16" s="139"/>
      <c r="V16" s="139"/>
      <c r="W16" s="139"/>
      <c r="X16" s="139"/>
      <c r="Y16" s="139"/>
      <c r="Z16" s="985"/>
    </row>
    <row r="17" spans="1:26" s="11" customFormat="1" ht="37.950000000000003" customHeight="1" x14ac:dyDescent="0.3">
      <c r="A17" s="1045">
        <v>14</v>
      </c>
      <c r="B17" s="1081" t="s">
        <v>50</v>
      </c>
      <c r="C17" s="305" t="s">
        <v>1024</v>
      </c>
      <c r="D17" s="308" t="s">
        <v>1025</v>
      </c>
      <c r="E17" s="308" t="s">
        <v>1026</v>
      </c>
      <c r="F17" s="305"/>
      <c r="G17" s="305"/>
      <c r="H17" s="305"/>
      <c r="I17" s="221"/>
      <c r="J17" s="221"/>
      <c r="K17" s="221"/>
      <c r="L17" s="221"/>
      <c r="M17" s="221"/>
      <c r="N17" s="221"/>
      <c r="O17" s="221"/>
      <c r="P17" s="221"/>
      <c r="Q17" s="221"/>
      <c r="R17" s="221"/>
      <c r="S17" s="221"/>
      <c r="T17" s="221"/>
      <c r="U17" s="221"/>
      <c r="V17" s="221"/>
      <c r="W17" s="221"/>
      <c r="X17" s="221"/>
      <c r="Y17" s="221"/>
      <c r="Z17" s="986"/>
    </row>
    <row r="18" spans="1:26" s="11" customFormat="1" ht="37.950000000000003" customHeight="1" x14ac:dyDescent="0.3">
      <c r="A18" s="1045">
        <v>15</v>
      </c>
      <c r="B18" s="1080" t="s">
        <v>633</v>
      </c>
      <c r="C18" s="167" t="s">
        <v>1027</v>
      </c>
      <c r="D18" s="166" t="s">
        <v>1028</v>
      </c>
      <c r="E18" s="166" t="s">
        <v>1029</v>
      </c>
      <c r="F18" s="167"/>
      <c r="G18" s="167"/>
      <c r="H18" s="167"/>
      <c r="I18" s="139"/>
      <c r="J18" s="139"/>
      <c r="K18" s="139"/>
      <c r="L18" s="139"/>
      <c r="M18" s="139"/>
      <c r="N18" s="139"/>
      <c r="O18" s="139"/>
      <c r="P18" s="139"/>
      <c r="Q18" s="139"/>
      <c r="R18" s="139"/>
      <c r="S18" s="139"/>
      <c r="T18" s="139"/>
      <c r="U18" s="139"/>
      <c r="V18" s="139"/>
      <c r="W18" s="139"/>
      <c r="X18" s="139"/>
      <c r="Y18" s="139"/>
      <c r="Z18" s="985"/>
    </row>
    <row r="19" spans="1:26" s="11" customFormat="1" ht="37.950000000000003" customHeight="1" x14ac:dyDescent="0.3">
      <c r="A19" s="1045">
        <v>16</v>
      </c>
      <c r="B19" s="1081" t="s">
        <v>622</v>
      </c>
      <c r="C19" s="305" t="s">
        <v>1030</v>
      </c>
      <c r="D19" s="308" t="s">
        <v>1031</v>
      </c>
      <c r="E19" s="308" t="s">
        <v>1032</v>
      </c>
      <c r="F19" s="305"/>
      <c r="G19" s="305"/>
      <c r="H19" s="305"/>
      <c r="I19" s="221"/>
      <c r="J19" s="221"/>
      <c r="K19" s="221"/>
      <c r="L19" s="221"/>
      <c r="M19" s="221"/>
      <c r="N19" s="221"/>
      <c r="O19" s="221"/>
      <c r="P19" s="221"/>
      <c r="Q19" s="221"/>
      <c r="R19" s="221"/>
      <c r="S19" s="221"/>
      <c r="T19" s="221"/>
      <c r="U19" s="221"/>
      <c r="V19" s="221"/>
      <c r="W19" s="221"/>
      <c r="X19" s="221"/>
      <c r="Y19" s="221"/>
      <c r="Z19" s="986"/>
    </row>
    <row r="20" spans="1:26" s="11" customFormat="1" ht="37.950000000000003" customHeight="1" x14ac:dyDescent="0.3">
      <c r="A20" s="1045">
        <v>17</v>
      </c>
      <c r="B20" s="1080" t="s">
        <v>470</v>
      </c>
      <c r="C20" s="167" t="s">
        <v>1033</v>
      </c>
      <c r="D20" s="166" t="s">
        <v>1034</v>
      </c>
      <c r="E20" s="166" t="s">
        <v>1035</v>
      </c>
      <c r="F20" s="167"/>
      <c r="G20" s="167"/>
      <c r="H20" s="167"/>
      <c r="I20" s="139"/>
      <c r="J20" s="139"/>
      <c r="K20" s="139"/>
      <c r="L20" s="139"/>
      <c r="M20" s="139"/>
      <c r="N20" s="139"/>
      <c r="O20" s="139"/>
      <c r="P20" s="139"/>
      <c r="Q20" s="139"/>
      <c r="R20" s="139"/>
      <c r="S20" s="139"/>
      <c r="T20" s="139"/>
      <c r="U20" s="139"/>
      <c r="V20" s="139"/>
      <c r="W20" s="139"/>
      <c r="X20" s="139"/>
      <c r="Y20" s="139"/>
      <c r="Z20" s="985"/>
    </row>
    <row r="21" spans="1:26" s="11" customFormat="1" ht="37.950000000000003" customHeight="1" x14ac:dyDescent="0.3">
      <c r="A21" s="1045">
        <v>18</v>
      </c>
      <c r="B21" s="1081" t="s">
        <v>463</v>
      </c>
      <c r="C21" s="305" t="s">
        <v>1036</v>
      </c>
      <c r="D21" s="308" t="s">
        <v>1037</v>
      </c>
      <c r="E21" s="308" t="s">
        <v>1038</v>
      </c>
      <c r="F21" s="305"/>
      <c r="G21" s="305"/>
      <c r="H21" s="305"/>
      <c r="I21" s="221"/>
      <c r="J21" s="221"/>
      <c r="K21" s="221"/>
      <c r="L21" s="221"/>
      <c r="M21" s="221"/>
      <c r="N21" s="221"/>
      <c r="O21" s="221"/>
      <c r="P21" s="221"/>
      <c r="Q21" s="221"/>
      <c r="R21" s="221"/>
      <c r="S21" s="221"/>
      <c r="T21" s="221"/>
      <c r="U21" s="221"/>
      <c r="V21" s="221"/>
      <c r="W21" s="221"/>
      <c r="X21" s="221"/>
      <c r="Y21" s="221"/>
      <c r="Z21" s="986"/>
    </row>
    <row r="22" spans="1:26" s="11" customFormat="1" ht="37.950000000000003" customHeight="1" x14ac:dyDescent="0.3">
      <c r="A22" s="1045">
        <v>19</v>
      </c>
      <c r="B22" s="1080" t="s">
        <v>711</v>
      </c>
      <c r="C22" s="167" t="s">
        <v>1039</v>
      </c>
      <c r="D22" s="166" t="s">
        <v>1040</v>
      </c>
      <c r="E22" s="166" t="s">
        <v>1041</v>
      </c>
      <c r="F22" s="167"/>
      <c r="G22" s="167"/>
      <c r="H22" s="167"/>
      <c r="I22" s="139"/>
      <c r="J22" s="139"/>
      <c r="K22" s="139"/>
      <c r="L22" s="139"/>
      <c r="M22" s="139"/>
      <c r="N22" s="139"/>
      <c r="O22" s="139"/>
      <c r="P22" s="139"/>
      <c r="Q22" s="139"/>
      <c r="R22" s="139"/>
      <c r="S22" s="139"/>
      <c r="T22" s="139"/>
      <c r="U22" s="139"/>
      <c r="V22" s="139"/>
      <c r="W22" s="139"/>
      <c r="X22" s="139"/>
      <c r="Y22" s="139"/>
      <c r="Z22" s="985"/>
    </row>
    <row r="23" spans="1:26" s="11" customFormat="1" ht="37.950000000000003" customHeight="1" x14ac:dyDescent="0.3">
      <c r="A23" s="1045">
        <v>20</v>
      </c>
      <c r="B23" s="1081" t="s">
        <v>501</v>
      </c>
      <c r="C23" s="305" t="s">
        <v>1042</v>
      </c>
      <c r="D23" s="308" t="s">
        <v>1043</v>
      </c>
      <c r="E23" s="308" t="s">
        <v>1044</v>
      </c>
      <c r="F23" s="305"/>
      <c r="G23" s="305"/>
      <c r="H23" s="305"/>
      <c r="I23" s="221"/>
      <c r="J23" s="221"/>
      <c r="K23" s="221"/>
      <c r="L23" s="221"/>
      <c r="M23" s="221"/>
      <c r="N23" s="221"/>
      <c r="O23" s="221"/>
      <c r="P23" s="221"/>
      <c r="Q23" s="221"/>
      <c r="R23" s="221"/>
      <c r="S23" s="221"/>
      <c r="T23" s="221"/>
      <c r="U23" s="221"/>
      <c r="V23" s="221"/>
      <c r="W23" s="221"/>
      <c r="X23" s="221"/>
      <c r="Y23" s="221"/>
      <c r="Z23" s="986"/>
    </row>
    <row r="24" spans="1:26" s="11" customFormat="1" ht="37.950000000000003" customHeight="1" thickBot="1" x14ac:dyDescent="0.35">
      <c r="A24" s="1083">
        <v>1</v>
      </c>
      <c r="B24" s="1082" t="s">
        <v>495</v>
      </c>
      <c r="C24" s="1078" t="s">
        <v>1045</v>
      </c>
      <c r="D24" s="1077" t="s">
        <v>1046</v>
      </c>
      <c r="E24" s="1077" t="s">
        <v>1047</v>
      </c>
      <c r="F24" s="1078" t="s">
        <v>1048</v>
      </c>
      <c r="G24" s="1078"/>
      <c r="H24" s="1078"/>
      <c r="I24" s="1035"/>
      <c r="J24" s="1035"/>
      <c r="K24" s="1035"/>
      <c r="L24" s="1035"/>
      <c r="M24" s="1035"/>
      <c r="N24" s="1035"/>
      <c r="O24" s="1035"/>
      <c r="P24" s="1035"/>
      <c r="Q24" s="1035"/>
      <c r="R24" s="1035"/>
      <c r="S24" s="1035"/>
      <c r="T24" s="1035"/>
      <c r="U24" s="1035"/>
      <c r="V24" s="1035"/>
      <c r="W24" s="1035"/>
      <c r="X24" s="1035"/>
      <c r="Y24" s="1035"/>
      <c r="Z24" s="1036"/>
    </row>
    <row r="25" spans="1:26" s="11" customFormat="1" ht="37.950000000000003" customHeight="1" thickTop="1" x14ac:dyDescent="0.3">
      <c r="A25" s="18"/>
    </row>
  </sheetData>
  <mergeCells count="2">
    <mergeCell ref="A1:Z1"/>
    <mergeCell ref="A3:Z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DEEAF1"/>
  </sheetPr>
  <dimension ref="A1:Z33"/>
  <sheetViews>
    <sheetView showGridLines="0" zoomScale="66" zoomScaleNormal="66" workbookViewId="0">
      <pane ySplit="3" topLeftCell="A4" activePane="bottomLeft" state="frozen"/>
      <selection pane="bottomLeft" sqref="A1:Z1"/>
    </sheetView>
  </sheetViews>
  <sheetFormatPr baseColWidth="10" defaultRowHeight="14.4" x14ac:dyDescent="0.3"/>
  <cols>
    <col min="1" max="1" width="33.77734375" style="4" customWidth="1"/>
    <col min="2" max="2" width="18.88671875" style="4" customWidth="1"/>
    <col min="3" max="3" width="41.88671875" style="4" bestFit="1" customWidth="1"/>
    <col min="4" max="4" width="20" style="4" bestFit="1" customWidth="1"/>
    <col min="5" max="5" width="38.77734375" style="4" bestFit="1" customWidth="1"/>
    <col min="6" max="6" width="13.77734375" style="4" bestFit="1" customWidth="1"/>
    <col min="7" max="7" width="14.109375" style="4" bestFit="1" customWidth="1"/>
    <col min="8" max="8" width="12.109375" style="4" bestFit="1" customWidth="1"/>
    <col min="9" max="9" width="13.77734375" style="4" bestFit="1" customWidth="1"/>
    <col min="10" max="11" width="14.109375" style="4" bestFit="1" customWidth="1"/>
    <col min="12" max="13" width="17.44140625" style="4" bestFit="1" customWidth="1"/>
    <col min="14" max="14" width="13.109375" style="4" bestFit="1" customWidth="1"/>
    <col min="15" max="15" width="16.5546875" style="4" bestFit="1" customWidth="1"/>
    <col min="16" max="16" width="16.109375" style="4" bestFit="1" customWidth="1"/>
    <col min="17" max="17" width="21.44140625" style="4" bestFit="1" customWidth="1"/>
    <col min="18" max="18" width="16.109375" style="4" customWidth="1"/>
    <col min="19" max="19" width="30.44140625" style="4" bestFit="1" customWidth="1"/>
    <col min="20" max="20" width="45.77734375" style="4" bestFit="1" customWidth="1"/>
    <col min="21" max="22" width="11.5546875" style="4" customWidth="1"/>
    <col min="23" max="25" width="11.5546875" style="4"/>
    <col min="26" max="26" width="8.5546875" style="4" bestFit="1" customWidth="1"/>
    <col min="27" max="16384" width="11.5546875" style="4"/>
  </cols>
  <sheetData>
    <row r="1" spans="1:26" ht="19.95" customHeight="1" x14ac:dyDescent="0.3">
      <c r="A1" s="1925" t="s">
        <v>4786</v>
      </c>
      <c r="B1" s="1713"/>
      <c r="C1" s="1713"/>
      <c r="D1" s="1713"/>
      <c r="E1" s="1713"/>
      <c r="F1" s="1713"/>
      <c r="G1" s="1713"/>
      <c r="H1" s="1713"/>
      <c r="I1" s="1713"/>
      <c r="J1" s="1713"/>
      <c r="K1" s="1713"/>
      <c r="L1" s="1713"/>
      <c r="M1" s="1713"/>
      <c r="N1" s="1713"/>
      <c r="O1" s="1713"/>
      <c r="P1" s="1713"/>
      <c r="Q1" s="1713"/>
      <c r="R1" s="1713"/>
      <c r="S1" s="1713"/>
      <c r="T1" s="1713"/>
      <c r="U1" s="1713"/>
      <c r="V1" s="1713"/>
      <c r="W1" s="1713"/>
      <c r="X1" s="1713"/>
      <c r="Y1" s="1713"/>
      <c r="Z1" s="1713"/>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473"/>
      <c r="N2" s="473"/>
      <c r="O2" s="473"/>
      <c r="P2" s="473"/>
      <c r="Q2" s="473"/>
      <c r="R2" s="473"/>
      <c r="S2" s="473"/>
      <c r="T2" s="473"/>
      <c r="U2" s="473"/>
      <c r="V2" s="473"/>
      <c r="W2" s="473"/>
      <c r="X2" s="473"/>
      <c r="Y2" s="473"/>
      <c r="Z2" s="473"/>
    </row>
    <row r="3" spans="1:26" ht="19.95" customHeight="1" thickBot="1" x14ac:dyDescent="0.35">
      <c r="A3" s="1714" t="s">
        <v>4062</v>
      </c>
      <c r="B3" s="1714"/>
      <c r="C3" s="1714"/>
      <c r="D3" s="1714"/>
      <c r="E3" s="1714"/>
      <c r="F3" s="1714"/>
      <c r="G3" s="1714"/>
      <c r="H3" s="1714"/>
      <c r="I3" s="1714"/>
      <c r="J3" s="1714"/>
      <c r="K3" s="1714"/>
      <c r="L3" s="1714"/>
      <c r="M3" s="1714"/>
      <c r="N3" s="1714"/>
      <c r="O3" s="1714"/>
      <c r="P3" s="1714"/>
      <c r="Q3" s="1714"/>
      <c r="R3" s="1714"/>
      <c r="S3" s="1714"/>
      <c r="T3" s="1714"/>
      <c r="U3" s="1714"/>
      <c r="V3" s="1714"/>
      <c r="W3" s="1714"/>
      <c r="X3" s="1714"/>
      <c r="Y3" s="1714"/>
      <c r="Z3" s="1714"/>
    </row>
    <row r="4" spans="1:26" s="17" customFormat="1" ht="28.05" customHeight="1" thickTop="1" x14ac:dyDescent="0.3">
      <c r="A4" s="1124" t="s">
        <v>863</v>
      </c>
      <c r="B4" s="564" t="s">
        <v>658</v>
      </c>
      <c r="C4" s="565" t="s">
        <v>864</v>
      </c>
      <c r="D4" s="565" t="s">
        <v>1049</v>
      </c>
      <c r="E4" s="565" t="s">
        <v>1050</v>
      </c>
      <c r="F4" s="1106" t="s">
        <v>1051</v>
      </c>
      <c r="G4" s="1106" t="s">
        <v>1052</v>
      </c>
      <c r="H4" s="1106" t="s">
        <v>1053</v>
      </c>
      <c r="I4" s="1106" t="s">
        <v>1054</v>
      </c>
      <c r="J4" s="1106" t="s">
        <v>1055</v>
      </c>
      <c r="K4" s="1106" t="s">
        <v>1056</v>
      </c>
      <c r="L4" s="1106" t="s">
        <v>1057</v>
      </c>
      <c r="M4" s="1106" t="s">
        <v>1058</v>
      </c>
      <c r="N4" s="1106" t="s">
        <v>1059</v>
      </c>
      <c r="O4" s="1106" t="s">
        <v>1060</v>
      </c>
      <c r="P4" s="1106" t="s">
        <v>1061</v>
      </c>
      <c r="Q4" s="1107" t="s">
        <v>1062</v>
      </c>
      <c r="R4" s="1107" t="s">
        <v>1063</v>
      </c>
      <c r="S4" s="565" t="s">
        <v>1064</v>
      </c>
      <c r="T4" s="565" t="s">
        <v>1065</v>
      </c>
      <c r="U4" s="565"/>
      <c r="V4" s="565"/>
      <c r="W4" s="565"/>
      <c r="X4" s="565"/>
      <c r="Y4" s="565"/>
      <c r="Z4" s="566"/>
    </row>
    <row r="5" spans="1:26" s="19" customFormat="1" ht="30" customHeight="1" x14ac:dyDescent="0.3">
      <c r="A5" s="1071" t="s">
        <v>495</v>
      </c>
      <c r="B5" s="414" t="s">
        <v>19</v>
      </c>
      <c r="C5" s="184" t="s">
        <v>747</v>
      </c>
      <c r="D5" s="296" t="s">
        <v>1066</v>
      </c>
      <c r="E5" s="184" t="s">
        <v>1067</v>
      </c>
      <c r="F5" s="1084"/>
      <c r="G5" s="1084"/>
      <c r="H5" s="1084"/>
      <c r="I5" s="1084"/>
      <c r="J5" s="1084"/>
      <c r="K5" s="1084"/>
      <c r="L5" s="1084">
        <v>45625014</v>
      </c>
      <c r="M5" s="1084">
        <v>45625014</v>
      </c>
      <c r="N5" s="1084">
        <v>0</v>
      </c>
      <c r="O5" s="1084">
        <f>IF(G5+J5&gt;0, G5+J5, 38781262)</f>
        <v>38781262</v>
      </c>
      <c r="P5" s="1084">
        <f>IF(H5+K5&gt;0, H5+K5, 36842199)</f>
        <v>36842199</v>
      </c>
      <c r="Q5" s="1085">
        <f t="shared" ref="Q5:Q25" si="0">IFERROR(O5/M5,0)</f>
        <v>0.85000000219178018</v>
      </c>
      <c r="R5" s="1085">
        <v>0.95</v>
      </c>
      <c r="S5" s="184" t="s">
        <v>1068</v>
      </c>
      <c r="T5" s="184" t="s">
        <v>1069</v>
      </c>
      <c r="U5" s="184"/>
      <c r="V5" s="184"/>
      <c r="W5" s="184"/>
      <c r="X5" s="184"/>
      <c r="Y5" s="184"/>
      <c r="Z5" s="928"/>
    </row>
    <row r="6" spans="1:26" s="19" customFormat="1" ht="37.950000000000003" customHeight="1" x14ac:dyDescent="0.3">
      <c r="A6" s="1071" t="s">
        <v>507</v>
      </c>
      <c r="B6" s="1117" t="s">
        <v>19</v>
      </c>
      <c r="C6" s="99" t="s">
        <v>748</v>
      </c>
      <c r="D6" s="169" t="s">
        <v>1066</v>
      </c>
      <c r="E6" s="99" t="s">
        <v>1067</v>
      </c>
      <c r="F6" s="170"/>
      <c r="G6" s="170"/>
      <c r="H6" s="170"/>
      <c r="I6" s="170"/>
      <c r="J6" s="170"/>
      <c r="K6" s="170"/>
      <c r="L6" s="170">
        <v>1269859</v>
      </c>
      <c r="M6" s="170">
        <v>1269859</v>
      </c>
      <c r="N6" s="170">
        <v>0</v>
      </c>
      <c r="O6" s="170">
        <f>IF(G6+J6&gt;0, G6+J6, 952394)</f>
        <v>952394</v>
      </c>
      <c r="P6" s="170">
        <f>IF(H6+K6&gt;0, H6+K6, 904774)</f>
        <v>904774</v>
      </c>
      <c r="Q6" s="171">
        <f t="shared" si="0"/>
        <v>0.74999980312774883</v>
      </c>
      <c r="R6" s="172">
        <v>0.95</v>
      </c>
      <c r="S6" s="99" t="s">
        <v>1068</v>
      </c>
      <c r="T6" s="99" t="s">
        <v>1070</v>
      </c>
      <c r="U6" s="144"/>
      <c r="V6" s="144"/>
      <c r="W6" s="144"/>
      <c r="X6" s="144"/>
      <c r="Y6" s="144"/>
      <c r="Z6" s="929"/>
    </row>
    <row r="7" spans="1:26" s="19" customFormat="1" ht="37.950000000000003" customHeight="1" x14ac:dyDescent="0.3">
      <c r="A7" s="1071" t="s">
        <v>43</v>
      </c>
      <c r="B7" s="1118" t="s">
        <v>22</v>
      </c>
      <c r="C7" s="538" t="s">
        <v>749</v>
      </c>
      <c r="D7" s="1086" t="s">
        <v>1066</v>
      </c>
      <c r="E7" s="538" t="s">
        <v>1071</v>
      </c>
      <c r="F7" s="1087"/>
      <c r="G7" s="1087"/>
      <c r="H7" s="1087"/>
      <c r="I7" s="1087">
        <v>131323.59</v>
      </c>
      <c r="J7" s="1087">
        <v>62560.59</v>
      </c>
      <c r="K7" s="1087">
        <v>35575.089999999997</v>
      </c>
      <c r="L7" s="1087">
        <v>1693800</v>
      </c>
      <c r="M7" s="1087">
        <v>131323.59</v>
      </c>
      <c r="N7" s="1087">
        <v>0</v>
      </c>
      <c r="O7" s="1087">
        <f>IF(G7+J7&gt;0, G7+J7, 169380)</f>
        <v>62560.59</v>
      </c>
      <c r="P7" s="1087">
        <f>IF(H7+K7&gt;0, H7+K7, 160911)</f>
        <v>35575.089999999997</v>
      </c>
      <c r="Q7" s="1088">
        <f t="shared" si="0"/>
        <v>0.47638501201497763</v>
      </c>
      <c r="R7" s="1089">
        <v>0.95</v>
      </c>
      <c r="S7" s="538" t="s">
        <v>1072</v>
      </c>
      <c r="T7" s="538" t="s">
        <v>3786</v>
      </c>
      <c r="U7" s="189"/>
      <c r="V7" s="189"/>
      <c r="W7" s="189"/>
      <c r="X7" s="189"/>
      <c r="Y7" s="189"/>
      <c r="Z7" s="930"/>
    </row>
    <row r="8" spans="1:26" s="19" customFormat="1" ht="37.950000000000003" customHeight="1" x14ac:dyDescent="0.3">
      <c r="A8" s="1071" t="s">
        <v>687</v>
      </c>
      <c r="B8" s="1117" t="s">
        <v>19</v>
      </c>
      <c r="C8" s="99" t="s">
        <v>750</v>
      </c>
      <c r="D8" s="169" t="s">
        <v>1066</v>
      </c>
      <c r="E8" s="99" t="s">
        <v>1067</v>
      </c>
      <c r="F8" s="170"/>
      <c r="G8" s="170"/>
      <c r="H8" s="170"/>
      <c r="I8" s="170"/>
      <c r="J8" s="170"/>
      <c r="K8" s="170"/>
      <c r="L8" s="170">
        <v>1693800</v>
      </c>
      <c r="M8" s="170">
        <v>1693800</v>
      </c>
      <c r="N8" s="170">
        <v>0</v>
      </c>
      <c r="O8" s="170">
        <f>IF(G8+J8&gt;0, G8+J8, 338760)</f>
        <v>338760</v>
      </c>
      <c r="P8" s="170">
        <f>IF(H8+K8&gt;0, H8+K8, 321822)</f>
        <v>321822</v>
      </c>
      <c r="Q8" s="171">
        <f t="shared" si="0"/>
        <v>0.2</v>
      </c>
      <c r="R8" s="172">
        <v>0.95</v>
      </c>
      <c r="S8" s="99" t="s">
        <v>1068</v>
      </c>
      <c r="T8" s="99" t="s">
        <v>1073</v>
      </c>
      <c r="U8" s="144"/>
      <c r="V8" s="144"/>
      <c r="W8" s="144"/>
      <c r="X8" s="144"/>
      <c r="Y8" s="144"/>
      <c r="Z8" s="929"/>
    </row>
    <row r="9" spans="1:26" s="19" customFormat="1" ht="37.950000000000003" customHeight="1" x14ac:dyDescent="0.3">
      <c r="A9" s="1071" t="s">
        <v>57</v>
      </c>
      <c r="B9" s="1118" t="s">
        <v>19</v>
      </c>
      <c r="C9" s="538" t="s">
        <v>751</v>
      </c>
      <c r="D9" s="1086" t="s">
        <v>1066</v>
      </c>
      <c r="E9" s="538" t="s">
        <v>1067</v>
      </c>
      <c r="F9" s="1087"/>
      <c r="G9" s="1087"/>
      <c r="H9" s="1087"/>
      <c r="I9" s="1087"/>
      <c r="J9" s="1087"/>
      <c r="K9" s="1087"/>
      <c r="L9" s="1087">
        <v>1693800</v>
      </c>
      <c r="M9" s="1087">
        <v>1693800</v>
      </c>
      <c r="N9" s="1087">
        <v>0</v>
      </c>
      <c r="O9" s="1087">
        <f>IF(G9+J9&gt;0, G9+J9, 0)</f>
        <v>0</v>
      </c>
      <c r="P9" s="1087">
        <f>IF(H9+K9&gt;0, H9+K9, 0)</f>
        <v>0</v>
      </c>
      <c r="Q9" s="1088">
        <f t="shared" si="0"/>
        <v>0</v>
      </c>
      <c r="R9" s="1089">
        <v>0</v>
      </c>
      <c r="S9" s="538" t="s">
        <v>1068</v>
      </c>
      <c r="T9" s="538" t="s">
        <v>1074</v>
      </c>
      <c r="U9" s="189"/>
      <c r="V9" s="189"/>
      <c r="W9" s="189"/>
      <c r="X9" s="189"/>
      <c r="Y9" s="189"/>
      <c r="Z9" s="930"/>
    </row>
    <row r="10" spans="1:26" s="19" customFormat="1" ht="37.950000000000003" customHeight="1" x14ac:dyDescent="0.3">
      <c r="A10" s="1071" t="s">
        <v>693</v>
      </c>
      <c r="B10" s="1117" t="s">
        <v>22</v>
      </c>
      <c r="C10" s="99" t="s">
        <v>752</v>
      </c>
      <c r="D10" s="169" t="s">
        <v>1066</v>
      </c>
      <c r="E10" s="99" t="s">
        <v>1075</v>
      </c>
      <c r="F10" s="170"/>
      <c r="G10" s="170"/>
      <c r="H10" s="170"/>
      <c r="I10" s="170">
        <v>47675.16</v>
      </c>
      <c r="J10" s="170">
        <v>16035.7</v>
      </c>
      <c r="K10" s="170">
        <v>16035.7</v>
      </c>
      <c r="L10" s="170">
        <v>0</v>
      </c>
      <c r="M10" s="170">
        <v>47675.16</v>
      </c>
      <c r="N10" s="170">
        <v>0</v>
      </c>
      <c r="O10" s="170">
        <f>IF(G10+J10&gt;0, G10+J10, 16035.7)</f>
        <v>16035.7</v>
      </c>
      <c r="P10" s="170">
        <f>IF(H10+K10&gt;0, H10+K10, 16035.7)</f>
        <v>16035.7</v>
      </c>
      <c r="Q10" s="171">
        <f t="shared" si="0"/>
        <v>0.33635335466100164</v>
      </c>
      <c r="R10" s="172">
        <v>0</v>
      </c>
      <c r="S10" s="99" t="s">
        <v>1072</v>
      </c>
      <c r="T10" s="99" t="s">
        <v>1069</v>
      </c>
      <c r="U10" s="144"/>
      <c r="V10" s="144"/>
      <c r="W10" s="144"/>
      <c r="X10" s="144"/>
      <c r="Y10" s="144"/>
      <c r="Z10" s="929"/>
    </row>
    <row r="11" spans="1:26" s="19" customFormat="1" ht="37.950000000000003" customHeight="1" x14ac:dyDescent="0.3">
      <c r="A11" s="1071" t="s">
        <v>539</v>
      </c>
      <c r="B11" s="1118" t="s">
        <v>19</v>
      </c>
      <c r="C11" s="538" t="s">
        <v>753</v>
      </c>
      <c r="D11" s="1086" t="s">
        <v>1066</v>
      </c>
      <c r="E11" s="538" t="s">
        <v>1076</v>
      </c>
      <c r="F11" s="1087"/>
      <c r="G11" s="1087"/>
      <c r="H11" s="1087"/>
      <c r="I11" s="1087"/>
      <c r="J11" s="1087"/>
      <c r="K11" s="1087"/>
      <c r="L11" s="1087">
        <v>10892761</v>
      </c>
      <c r="M11" s="1087">
        <v>10892761</v>
      </c>
      <c r="N11" s="1087">
        <v>0</v>
      </c>
      <c r="O11" s="1087">
        <f>IF(G11+J11&gt;0, G11+J11, 9803485)</f>
        <v>9803485</v>
      </c>
      <c r="P11" s="1087">
        <f>IF(H11+K11&gt;0, H11+K11, 9313311)</f>
        <v>9313311</v>
      </c>
      <c r="Q11" s="1088">
        <f t="shared" si="0"/>
        <v>0.9000000091804089</v>
      </c>
      <c r="R11" s="1089">
        <v>0.95</v>
      </c>
      <c r="S11" s="538" t="s">
        <v>1068</v>
      </c>
      <c r="T11" s="538" t="s">
        <v>1069</v>
      </c>
      <c r="U11" s="189"/>
      <c r="V11" s="189"/>
      <c r="W11" s="189"/>
      <c r="X11" s="189"/>
      <c r="Y11" s="189"/>
      <c r="Z11" s="930"/>
    </row>
    <row r="12" spans="1:26" s="19" customFormat="1" ht="37.950000000000003" customHeight="1" x14ac:dyDescent="0.3">
      <c r="A12" s="1071" t="s">
        <v>47</v>
      </c>
      <c r="B12" s="1117" t="s">
        <v>22</v>
      </c>
      <c r="C12" s="99" t="s">
        <v>754</v>
      </c>
      <c r="D12" s="169" t="s">
        <v>1066</v>
      </c>
      <c r="E12" s="99" t="s">
        <v>1077</v>
      </c>
      <c r="F12" s="170"/>
      <c r="G12" s="170"/>
      <c r="H12" s="170"/>
      <c r="I12" s="170">
        <v>80000</v>
      </c>
      <c r="J12" s="170">
        <v>24836.44</v>
      </c>
      <c r="K12" s="170">
        <v>24836.44</v>
      </c>
      <c r="L12" s="170">
        <v>0</v>
      </c>
      <c r="M12" s="170">
        <v>80000</v>
      </c>
      <c r="N12" s="170">
        <v>0</v>
      </c>
      <c r="O12" s="170">
        <f>IF(G12+J12&gt;0, G12+J12, 0)</f>
        <v>24836.44</v>
      </c>
      <c r="P12" s="170">
        <f>IF(H12+K12&gt;0, H12+K12, 0)</f>
        <v>24836.44</v>
      </c>
      <c r="Q12" s="171">
        <f t="shared" si="0"/>
        <v>0.3104555</v>
      </c>
      <c r="R12" s="172">
        <v>0</v>
      </c>
      <c r="S12" s="99" t="s">
        <v>1072</v>
      </c>
      <c r="T12" s="99" t="s">
        <v>1078</v>
      </c>
      <c r="U12" s="144"/>
      <c r="V12" s="144"/>
      <c r="W12" s="144"/>
      <c r="X12" s="144"/>
      <c r="Y12" s="144"/>
      <c r="Z12" s="929"/>
    </row>
    <row r="13" spans="1:26" s="19" customFormat="1" ht="37.950000000000003" customHeight="1" x14ac:dyDescent="0.3">
      <c r="A13" s="1071" t="s">
        <v>515</v>
      </c>
      <c r="B13" s="1118" t="s">
        <v>25</v>
      </c>
      <c r="C13" s="538" t="s">
        <v>1079</v>
      </c>
      <c r="D13" s="1086" t="s">
        <v>1066</v>
      </c>
      <c r="E13" s="538" t="s">
        <v>1080</v>
      </c>
      <c r="F13" s="1087"/>
      <c r="G13" s="1087"/>
      <c r="H13" s="1087"/>
      <c r="I13" s="1087"/>
      <c r="J13" s="1087"/>
      <c r="K13" s="1087"/>
      <c r="L13" s="1087">
        <v>0</v>
      </c>
      <c r="M13" s="1087">
        <v>0</v>
      </c>
      <c r="N13" s="1087">
        <v>0</v>
      </c>
      <c r="O13" s="1087">
        <f>IF(G13+J13&gt;0, G13+J13, 0)</f>
        <v>0</v>
      </c>
      <c r="P13" s="1087">
        <f>IF(H13+K13&gt;0, H13+K13, 0)</f>
        <v>0</v>
      </c>
      <c r="Q13" s="1088">
        <f t="shared" si="0"/>
        <v>0</v>
      </c>
      <c r="R13" s="1089">
        <v>0</v>
      </c>
      <c r="S13" s="538" t="s">
        <v>1081</v>
      </c>
      <c r="T13" s="538" t="s">
        <v>1078</v>
      </c>
      <c r="U13" s="189"/>
      <c r="V13" s="189"/>
      <c r="W13" s="189"/>
      <c r="X13" s="189"/>
      <c r="Y13" s="189"/>
      <c r="Z13" s="930"/>
    </row>
    <row r="14" spans="1:26" s="19" customFormat="1" ht="37.950000000000003" customHeight="1" x14ac:dyDescent="0.3">
      <c r="A14" s="1071" t="s">
        <v>526</v>
      </c>
      <c r="B14" s="1117" t="s">
        <v>19</v>
      </c>
      <c r="C14" s="99" t="s">
        <v>755</v>
      </c>
      <c r="D14" s="169" t="s">
        <v>1066</v>
      </c>
      <c r="E14" s="99" t="s">
        <v>1082</v>
      </c>
      <c r="F14" s="170"/>
      <c r="G14" s="170"/>
      <c r="H14" s="170"/>
      <c r="I14" s="170"/>
      <c r="J14" s="170"/>
      <c r="K14" s="170"/>
      <c r="L14" s="170">
        <v>2588556</v>
      </c>
      <c r="M14" s="170">
        <v>2588556</v>
      </c>
      <c r="N14" s="170">
        <v>0</v>
      </c>
      <c r="O14" s="170">
        <f>IF(G14+J14&gt;0, G14+J14, 1294278)</f>
        <v>1294278</v>
      </c>
      <c r="P14" s="170">
        <f>IF(H14+K14&gt;0, H14+K14, 1229564)</f>
        <v>1229564</v>
      </c>
      <c r="Q14" s="171">
        <f t="shared" si="0"/>
        <v>0.5</v>
      </c>
      <c r="R14" s="172">
        <v>0.95</v>
      </c>
      <c r="S14" s="99" t="s">
        <v>1068</v>
      </c>
      <c r="T14" s="99" t="s">
        <v>1078</v>
      </c>
      <c r="U14" s="144"/>
      <c r="V14" s="144"/>
      <c r="W14" s="144"/>
      <c r="X14" s="144"/>
      <c r="Y14" s="144"/>
      <c r="Z14" s="929"/>
    </row>
    <row r="15" spans="1:26" s="19" customFormat="1" ht="37.950000000000003" customHeight="1" x14ac:dyDescent="0.3">
      <c r="A15" s="1071" t="s">
        <v>53</v>
      </c>
      <c r="B15" s="1118" t="s">
        <v>22</v>
      </c>
      <c r="C15" s="538" t="s">
        <v>756</v>
      </c>
      <c r="D15" s="1086" t="s">
        <v>1066</v>
      </c>
      <c r="E15" s="538" t="s">
        <v>1083</v>
      </c>
      <c r="F15" s="1087"/>
      <c r="G15" s="1087"/>
      <c r="H15" s="1087"/>
      <c r="I15" s="1087">
        <v>10000</v>
      </c>
      <c r="J15" s="1087">
        <v>0</v>
      </c>
      <c r="K15" s="1087">
        <v>0</v>
      </c>
      <c r="L15" s="1087">
        <v>0</v>
      </c>
      <c r="M15" s="1087">
        <v>10000</v>
      </c>
      <c r="N15" s="1087">
        <v>0</v>
      </c>
      <c r="O15" s="1087">
        <f>IF(G15+J15&gt;0, G15+J15, 0)</f>
        <v>0</v>
      </c>
      <c r="P15" s="1087">
        <f>IF(H15+K15&gt;0, H15+K15, 0)</f>
        <v>0</v>
      </c>
      <c r="Q15" s="1088">
        <f t="shared" si="0"/>
        <v>0</v>
      </c>
      <c r="R15" s="1089">
        <v>0</v>
      </c>
      <c r="S15" s="538" t="s">
        <v>1072</v>
      </c>
      <c r="T15" s="538" t="s">
        <v>3787</v>
      </c>
      <c r="U15" s="189"/>
      <c r="V15" s="189"/>
      <c r="W15" s="189"/>
      <c r="X15" s="189"/>
      <c r="Y15" s="189"/>
      <c r="Z15" s="930"/>
    </row>
    <row r="16" spans="1:26" s="19" customFormat="1" ht="37.950000000000003" customHeight="1" x14ac:dyDescent="0.3">
      <c r="A16" s="1071" t="s">
        <v>487</v>
      </c>
      <c r="B16" s="1117" t="s">
        <v>25</v>
      </c>
      <c r="C16" s="99" t="s">
        <v>757</v>
      </c>
      <c r="D16" s="169" t="s">
        <v>1066</v>
      </c>
      <c r="E16" s="99" t="s">
        <v>1084</v>
      </c>
      <c r="F16" s="170"/>
      <c r="G16" s="170"/>
      <c r="H16" s="170"/>
      <c r="I16" s="170"/>
      <c r="J16" s="170"/>
      <c r="K16" s="170"/>
      <c r="L16" s="170">
        <v>748783</v>
      </c>
      <c r="M16" s="170">
        <v>748783</v>
      </c>
      <c r="N16" s="170">
        <v>0</v>
      </c>
      <c r="O16" s="170">
        <f>IF(G16+J16&gt;0, G16+J16, 224635)</f>
        <v>224635</v>
      </c>
      <c r="P16" s="170">
        <f>IF(H16+K16&gt;0, H16+K16, 213403)</f>
        <v>213403</v>
      </c>
      <c r="Q16" s="171">
        <f t="shared" si="0"/>
        <v>0.30000013355004052</v>
      </c>
      <c r="R16" s="172">
        <v>0.95</v>
      </c>
      <c r="S16" s="99" t="s">
        <v>1081</v>
      </c>
      <c r="T16" s="99" t="s">
        <v>1078</v>
      </c>
      <c r="U16" s="144"/>
      <c r="V16" s="144"/>
      <c r="W16" s="144"/>
      <c r="X16" s="144"/>
      <c r="Y16" s="144"/>
      <c r="Z16" s="929"/>
    </row>
    <row r="17" spans="1:26" s="19" customFormat="1" ht="37.950000000000003" customHeight="1" x14ac:dyDescent="0.3">
      <c r="A17" s="1071" t="s">
        <v>545</v>
      </c>
      <c r="B17" s="1118" t="s">
        <v>19</v>
      </c>
      <c r="C17" s="538" t="s">
        <v>1085</v>
      </c>
      <c r="D17" s="1086" t="s">
        <v>1066</v>
      </c>
      <c r="E17" s="538" t="s">
        <v>1086</v>
      </c>
      <c r="F17" s="1087"/>
      <c r="G17" s="1087"/>
      <c r="H17" s="1087"/>
      <c r="I17" s="1087"/>
      <c r="J17" s="1087"/>
      <c r="K17" s="1087"/>
      <c r="L17" s="1087">
        <v>10892761</v>
      </c>
      <c r="M17" s="1087">
        <v>10892761</v>
      </c>
      <c r="N17" s="1087">
        <v>0</v>
      </c>
      <c r="O17" s="1087">
        <f>IF(G17+J17&gt;0, G17+J17, 10892761)</f>
        <v>10892761</v>
      </c>
      <c r="P17" s="1087">
        <f>IF(H17+K17&gt;0, H17+K17, 10348123)</f>
        <v>10348123</v>
      </c>
      <c r="Q17" s="1088">
        <f t="shared" si="0"/>
        <v>1</v>
      </c>
      <c r="R17" s="1089">
        <v>0.95</v>
      </c>
      <c r="S17" s="538" t="s">
        <v>1068</v>
      </c>
      <c r="T17" s="538" t="s">
        <v>1069</v>
      </c>
      <c r="U17" s="189"/>
      <c r="V17" s="189"/>
      <c r="W17" s="189"/>
      <c r="X17" s="189"/>
      <c r="Y17" s="189"/>
      <c r="Z17" s="930"/>
    </row>
    <row r="18" spans="1:26" s="19" customFormat="1" ht="37.950000000000003" customHeight="1" x14ac:dyDescent="0.3">
      <c r="A18" s="1071" t="s">
        <v>50</v>
      </c>
      <c r="B18" s="1117" t="s">
        <v>22</v>
      </c>
      <c r="C18" s="99" t="s">
        <v>1087</v>
      </c>
      <c r="D18" s="169" t="s">
        <v>1066</v>
      </c>
      <c r="E18" s="99" t="s">
        <v>1088</v>
      </c>
      <c r="F18" s="170"/>
      <c r="G18" s="170"/>
      <c r="H18" s="170"/>
      <c r="I18" s="170">
        <v>23000</v>
      </c>
      <c r="J18" s="170">
        <v>9003</v>
      </c>
      <c r="K18" s="170">
        <v>2572.69</v>
      </c>
      <c r="L18" s="170">
        <v>117900</v>
      </c>
      <c r="M18" s="170">
        <v>117900</v>
      </c>
      <c r="N18" s="170">
        <v>0</v>
      </c>
      <c r="O18" s="170">
        <f>IF(G18+J18&gt;0, G18+J18, 23580)</f>
        <v>9003</v>
      </c>
      <c r="P18" s="170">
        <f>IF(H18+K18&gt;0, H18+K18, 22401)</f>
        <v>2572.69</v>
      </c>
      <c r="Q18" s="171">
        <f t="shared" si="0"/>
        <v>7.6361323155216279E-2</v>
      </c>
      <c r="R18" s="172">
        <v>0.95</v>
      </c>
      <c r="S18" s="99" t="s">
        <v>1072</v>
      </c>
      <c r="T18" s="99" t="s">
        <v>3788</v>
      </c>
      <c r="U18" s="144"/>
      <c r="V18" s="144"/>
      <c r="W18" s="144"/>
      <c r="X18" s="144"/>
      <c r="Y18" s="144"/>
      <c r="Z18" s="929"/>
    </row>
    <row r="19" spans="1:26" s="19" customFormat="1" ht="37.950000000000003" customHeight="1" x14ac:dyDescent="0.3">
      <c r="A19" s="1071" t="s">
        <v>633</v>
      </c>
      <c r="B19" s="1118" t="s">
        <v>31</v>
      </c>
      <c r="C19" s="538" t="s">
        <v>758</v>
      </c>
      <c r="D19" s="1086" t="s">
        <v>1066</v>
      </c>
      <c r="E19" s="538" t="s">
        <v>1089</v>
      </c>
      <c r="F19" s="1087"/>
      <c r="G19" s="1087"/>
      <c r="H19" s="1087"/>
      <c r="I19" s="1087"/>
      <c r="J19" s="1087"/>
      <c r="K19" s="1087"/>
      <c r="L19" s="1087">
        <v>636284</v>
      </c>
      <c r="M19" s="1087">
        <v>636284</v>
      </c>
      <c r="N19" s="1087">
        <v>0</v>
      </c>
      <c r="O19" s="1087">
        <f>IF(G19+J19&gt;0, G19+J19, 445399)</f>
        <v>445399</v>
      </c>
      <c r="P19" s="1087">
        <f>IF(H19+K19&gt;0, H19+K19, 422879)</f>
        <v>422879</v>
      </c>
      <c r="Q19" s="1088">
        <f t="shared" si="0"/>
        <v>0.70000031432504983</v>
      </c>
      <c r="R19" s="1089">
        <v>0</v>
      </c>
      <c r="S19" s="538" t="s">
        <v>1090</v>
      </c>
      <c r="T19" s="538" t="s">
        <v>1070</v>
      </c>
      <c r="U19" s="189"/>
      <c r="V19" s="189"/>
      <c r="W19" s="189"/>
      <c r="X19" s="189"/>
      <c r="Y19" s="189"/>
      <c r="Z19" s="930"/>
    </row>
    <row r="20" spans="1:26" s="19" customFormat="1" ht="37.950000000000003" customHeight="1" x14ac:dyDescent="0.3">
      <c r="A20" s="1071" t="s">
        <v>622</v>
      </c>
      <c r="B20" s="1117" t="s">
        <v>31</v>
      </c>
      <c r="C20" s="99" t="s">
        <v>759</v>
      </c>
      <c r="D20" s="169" t="s">
        <v>1066</v>
      </c>
      <c r="E20" s="99" t="s">
        <v>1091</v>
      </c>
      <c r="F20" s="170"/>
      <c r="G20" s="170"/>
      <c r="H20" s="170"/>
      <c r="I20" s="170"/>
      <c r="J20" s="170"/>
      <c r="K20" s="170"/>
      <c r="L20" s="170">
        <v>169100</v>
      </c>
      <c r="M20" s="170">
        <v>169100</v>
      </c>
      <c r="N20" s="170">
        <v>0</v>
      </c>
      <c r="O20" s="170">
        <f>IF(G20+J20&gt;0, G20+J20, 169100)</f>
        <v>169100</v>
      </c>
      <c r="P20" s="170">
        <f>IF(H20+K20&gt;0, H20+K20, 160645)</f>
        <v>160645</v>
      </c>
      <c r="Q20" s="171">
        <f t="shared" si="0"/>
        <v>1</v>
      </c>
      <c r="R20" s="172">
        <v>0</v>
      </c>
      <c r="S20" s="99" t="s">
        <v>1090</v>
      </c>
      <c r="T20" s="99" t="s">
        <v>1069</v>
      </c>
      <c r="U20" s="144"/>
      <c r="V20" s="144"/>
      <c r="W20" s="144"/>
      <c r="X20" s="144"/>
      <c r="Y20" s="144"/>
      <c r="Z20" s="929"/>
    </row>
    <row r="21" spans="1:26" s="19" customFormat="1" ht="37.950000000000003" customHeight="1" x14ac:dyDescent="0.3">
      <c r="A21" s="1071" t="s">
        <v>470</v>
      </c>
      <c r="B21" s="1118" t="s">
        <v>22</v>
      </c>
      <c r="C21" s="538" t="s">
        <v>760</v>
      </c>
      <c r="D21" s="1086" t="s">
        <v>1066</v>
      </c>
      <c r="E21" s="538" t="s">
        <v>1092</v>
      </c>
      <c r="F21" s="1087"/>
      <c r="G21" s="1087"/>
      <c r="H21" s="1087"/>
      <c r="I21" s="1087">
        <v>44796</v>
      </c>
      <c r="J21" s="1087">
        <v>24407.11</v>
      </c>
      <c r="K21" s="1087">
        <v>17120.61</v>
      </c>
      <c r="L21" s="1087">
        <v>0</v>
      </c>
      <c r="M21" s="1087">
        <v>44796</v>
      </c>
      <c r="N21" s="1087">
        <v>0</v>
      </c>
      <c r="O21" s="1087">
        <f>IF(G21+J21&gt;0, G21+J21, 0)</f>
        <v>24407.11</v>
      </c>
      <c r="P21" s="1087">
        <f>IF(H21+K21&gt;0, H21+K21, 0)</f>
        <v>17120.61</v>
      </c>
      <c r="Q21" s="1088">
        <f t="shared" si="0"/>
        <v>0.5448502098401643</v>
      </c>
      <c r="R21" s="1089">
        <v>0</v>
      </c>
      <c r="S21" s="538" t="s">
        <v>1072</v>
      </c>
      <c r="T21" s="538" t="s">
        <v>1078</v>
      </c>
      <c r="U21" s="189"/>
      <c r="V21" s="189"/>
      <c r="W21" s="189"/>
      <c r="X21" s="189"/>
      <c r="Y21" s="189"/>
      <c r="Z21" s="930"/>
    </row>
    <row r="22" spans="1:26" s="19" customFormat="1" ht="37.950000000000003" customHeight="1" x14ac:dyDescent="0.3">
      <c r="A22" s="1071" t="s">
        <v>463</v>
      </c>
      <c r="B22" s="1117" t="s">
        <v>27</v>
      </c>
      <c r="C22" s="99" t="s">
        <v>761</v>
      </c>
      <c r="D22" s="169" t="s">
        <v>1066</v>
      </c>
      <c r="E22" s="99" t="s">
        <v>1093</v>
      </c>
      <c r="F22" s="170"/>
      <c r="G22" s="170"/>
      <c r="H22" s="170"/>
      <c r="I22" s="170"/>
      <c r="J22" s="170"/>
      <c r="K22" s="170"/>
      <c r="L22" s="170">
        <v>0</v>
      </c>
      <c r="M22" s="170">
        <v>0</v>
      </c>
      <c r="N22" s="170">
        <v>0</v>
      </c>
      <c r="O22" s="170">
        <f>IF(G22+J22&gt;0, G22+J22, 0)</f>
        <v>0</v>
      </c>
      <c r="P22" s="170">
        <f>IF(H22+K22&gt;0, H22+K22, 0)</f>
        <v>0</v>
      </c>
      <c r="Q22" s="171">
        <f t="shared" si="0"/>
        <v>0</v>
      </c>
      <c r="R22" s="172">
        <v>0</v>
      </c>
      <c r="S22" s="99" t="s">
        <v>1094</v>
      </c>
      <c r="T22" s="99" t="s">
        <v>1078</v>
      </c>
      <c r="U22" s="144"/>
      <c r="V22" s="144"/>
      <c r="W22" s="144"/>
      <c r="X22" s="144"/>
      <c r="Y22" s="144"/>
      <c r="Z22" s="929"/>
    </row>
    <row r="23" spans="1:26" s="19" customFormat="1" ht="37.950000000000003" customHeight="1" x14ac:dyDescent="0.3">
      <c r="A23" s="1071" t="s">
        <v>711</v>
      </c>
      <c r="B23" s="1118" t="s">
        <v>19</v>
      </c>
      <c r="C23" s="538" t="s">
        <v>1095</v>
      </c>
      <c r="D23" s="1086" t="s">
        <v>1066</v>
      </c>
      <c r="E23" s="538" t="s">
        <v>1096</v>
      </c>
      <c r="F23" s="1087"/>
      <c r="G23" s="1087"/>
      <c r="H23" s="1087"/>
      <c r="I23" s="1087"/>
      <c r="J23" s="1087"/>
      <c r="K23" s="1087"/>
      <c r="L23" s="1087">
        <v>15600</v>
      </c>
      <c r="M23" s="1087">
        <v>15600</v>
      </c>
      <c r="N23" s="1087">
        <v>0</v>
      </c>
      <c r="O23" s="1087">
        <f>IF(G23+J23&gt;0, G23+J23, 15600)</f>
        <v>15600</v>
      </c>
      <c r="P23" s="1087">
        <f>IF(H23+K23&gt;0, H23+K23, 14820)</f>
        <v>14820</v>
      </c>
      <c r="Q23" s="1088">
        <f t="shared" si="0"/>
        <v>1</v>
      </c>
      <c r="R23" s="1089">
        <v>0.95</v>
      </c>
      <c r="S23" s="538" t="s">
        <v>1068</v>
      </c>
      <c r="T23" s="538" t="s">
        <v>1069</v>
      </c>
      <c r="U23" s="189"/>
      <c r="V23" s="189"/>
      <c r="W23" s="189"/>
      <c r="X23" s="189"/>
      <c r="Y23" s="189"/>
      <c r="Z23" s="930"/>
    </row>
    <row r="24" spans="1:26" s="19" customFormat="1" ht="37.950000000000003" customHeight="1" x14ac:dyDescent="0.3">
      <c r="A24" s="1071" t="s">
        <v>501</v>
      </c>
      <c r="B24" s="1117" t="s">
        <v>19</v>
      </c>
      <c r="C24" s="99" t="s">
        <v>763</v>
      </c>
      <c r="D24" s="169" t="s">
        <v>1066</v>
      </c>
      <c r="E24" s="99" t="s">
        <v>1097</v>
      </c>
      <c r="F24" s="170"/>
      <c r="G24" s="170"/>
      <c r="H24" s="170"/>
      <c r="I24" s="170"/>
      <c r="J24" s="170"/>
      <c r="K24" s="170"/>
      <c r="L24" s="170">
        <v>45625014</v>
      </c>
      <c r="M24" s="170">
        <v>45625014</v>
      </c>
      <c r="N24" s="170">
        <v>0</v>
      </c>
      <c r="O24" s="170">
        <f>IF(G24+J24&gt;0, G24+J24, 11406254)</f>
        <v>11406254</v>
      </c>
      <c r="P24" s="170">
        <f>IF(H24+K24&gt;0, H24+K24, 10835941)</f>
        <v>10835941</v>
      </c>
      <c r="Q24" s="171">
        <f t="shared" si="0"/>
        <v>0.25000001095890073</v>
      </c>
      <c r="R24" s="172">
        <v>0.95</v>
      </c>
      <c r="S24" s="99" t="s">
        <v>1068</v>
      </c>
      <c r="T24" s="99" t="s">
        <v>1073</v>
      </c>
      <c r="U24" s="144"/>
      <c r="V24" s="144"/>
      <c r="W24" s="144"/>
      <c r="X24" s="144"/>
      <c r="Y24" s="144"/>
      <c r="Z24" s="929"/>
    </row>
    <row r="25" spans="1:26" s="30" customFormat="1" ht="37.950000000000003" customHeight="1" x14ac:dyDescent="0.3">
      <c r="A25" s="1071" t="s">
        <v>1098</v>
      </c>
      <c r="B25" s="1119">
        <f>COUNTA(A5:A24)</f>
        <v>20</v>
      </c>
      <c r="C25" s="1090">
        <f>SUM(L5:L24)</f>
        <v>123663032</v>
      </c>
      <c r="D25" s="1090">
        <f>SUM(M5:M24)</f>
        <v>122283026.75</v>
      </c>
      <c r="E25" s="1090">
        <f>SUM(N5:N24)</f>
        <v>0</v>
      </c>
      <c r="F25" s="1091">
        <f t="shared" ref="F25:P25" si="1">SUM(F5:F24)</f>
        <v>0</v>
      </c>
      <c r="G25" s="1091">
        <f t="shared" si="1"/>
        <v>0</v>
      </c>
      <c r="H25" s="1091">
        <f t="shared" si="1"/>
        <v>0</v>
      </c>
      <c r="I25" s="1091">
        <f t="shared" si="1"/>
        <v>336794.75</v>
      </c>
      <c r="J25" s="1091">
        <f t="shared" si="1"/>
        <v>136842.84</v>
      </c>
      <c r="K25" s="1091">
        <f t="shared" si="1"/>
        <v>96140.53</v>
      </c>
      <c r="L25" s="1091">
        <f t="shared" si="1"/>
        <v>123663032</v>
      </c>
      <c r="M25" s="1091">
        <f t="shared" si="1"/>
        <v>122283026.75</v>
      </c>
      <c r="N25" s="1091">
        <f t="shared" si="1"/>
        <v>0</v>
      </c>
      <c r="O25" s="1091">
        <f t="shared" si="1"/>
        <v>74460770.840000004</v>
      </c>
      <c r="P25" s="1091">
        <f t="shared" si="1"/>
        <v>70703621.530000001</v>
      </c>
      <c r="Q25" s="1092">
        <f t="shared" si="0"/>
        <v>0.60892155533760539</v>
      </c>
      <c r="R25" s="1092">
        <f>IFERROR(P25/O25,0)</f>
        <v>0.94954189612039741</v>
      </c>
      <c r="S25" s="541" t="str">
        <f>"ICPI-L="&amp;TEXT(Q25,"0.0%")&amp;" · Ti global acum. · n=20 metas"</f>
        <v>ICPI-L=61% · Ti global acum. · n=20 metas</v>
      </c>
      <c r="T25" s="541"/>
      <c r="U25" s="1093"/>
      <c r="V25" s="1093"/>
      <c r="W25" s="1093"/>
      <c r="X25" s="1093"/>
      <c r="Y25" s="1093"/>
      <c r="Z25" s="1103"/>
    </row>
    <row r="26" spans="1:26" s="19" customFormat="1" ht="19.95" customHeight="1" x14ac:dyDescent="0.3">
      <c r="A26" s="1715" t="s">
        <v>1099</v>
      </c>
      <c r="B26" s="1716"/>
      <c r="C26" s="1716"/>
      <c r="D26" s="1716"/>
      <c r="E26" s="1716"/>
      <c r="F26" s="1716"/>
      <c r="G26" s="1716"/>
      <c r="H26" s="1716"/>
      <c r="I26" s="1716"/>
      <c r="J26" s="1716"/>
      <c r="K26" s="1716"/>
      <c r="L26" s="1716"/>
      <c r="M26" s="1716"/>
      <c r="N26" s="1716"/>
      <c r="O26" s="1716"/>
      <c r="P26" s="1716"/>
      <c r="Q26" s="1716"/>
      <c r="R26" s="1716"/>
      <c r="S26" s="1716"/>
      <c r="T26" s="1716"/>
      <c r="U26" s="1716"/>
      <c r="V26" s="1716"/>
      <c r="W26" s="1716"/>
      <c r="X26" s="1716"/>
      <c r="Y26" s="1716"/>
      <c r="Z26" s="1717"/>
    </row>
    <row r="27" spans="1:26" s="19" customFormat="1" ht="37.950000000000003" customHeight="1" x14ac:dyDescent="0.3">
      <c r="A27" s="1071" t="s">
        <v>28</v>
      </c>
      <c r="B27" s="505" t="s">
        <v>1100</v>
      </c>
      <c r="C27" s="1094" t="s">
        <v>1101</v>
      </c>
      <c r="D27" s="1094" t="s">
        <v>1102</v>
      </c>
      <c r="E27" s="1094" t="s">
        <v>1103</v>
      </c>
      <c r="F27" s="191" t="s">
        <v>1104</v>
      </c>
      <c r="G27" s="191" t="s">
        <v>1105</v>
      </c>
      <c r="H27" s="191" t="s">
        <v>1106</v>
      </c>
      <c r="I27" s="191" t="s">
        <v>1107</v>
      </c>
      <c r="J27" s="191" t="s">
        <v>1108</v>
      </c>
      <c r="K27" s="191" t="s">
        <v>1109</v>
      </c>
      <c r="L27" s="191" t="s">
        <v>1110</v>
      </c>
      <c r="M27" s="191" t="s">
        <v>1111</v>
      </c>
      <c r="N27" s="191" t="s">
        <v>1112</v>
      </c>
      <c r="O27" s="191" t="s">
        <v>1113</v>
      </c>
      <c r="P27" s="191" t="s">
        <v>1114</v>
      </c>
      <c r="Q27" s="1095" t="s">
        <v>1115</v>
      </c>
      <c r="R27" s="1095" t="s">
        <v>1116</v>
      </c>
      <c r="S27" s="1094"/>
      <c r="T27" s="1094"/>
      <c r="U27" s="189"/>
      <c r="V27" s="189"/>
      <c r="W27" s="189"/>
      <c r="X27" s="189"/>
      <c r="Y27" s="189"/>
      <c r="Z27" s="930"/>
    </row>
    <row r="28" spans="1:26" s="19" customFormat="1" ht="37.799999999999997" customHeight="1" x14ac:dyDescent="0.3">
      <c r="A28" s="1071" t="s">
        <v>19</v>
      </c>
      <c r="B28" s="1120">
        <f>COUNTIF($B$5:$B$24,A28)</f>
        <v>9</v>
      </c>
      <c r="C28" s="173">
        <f>SUMIF($B$5:$B$24,A28,$L$5:$L$24)</f>
        <v>120297165</v>
      </c>
      <c r="D28" s="173">
        <f>SUMIF($B$5:$B$24,A28,$M$5:$M$24)</f>
        <v>120297165</v>
      </c>
      <c r="E28" s="173">
        <f>SUMIF($B$5:$B$24,A28,$O$5:$O$24)</f>
        <v>73484794</v>
      </c>
      <c r="F28" s="170">
        <f>SUMIF($B$5:$B$24,A28,$G$5:$G$24)</f>
        <v>0</v>
      </c>
      <c r="G28" s="170">
        <f>SUMIF($B$5:$B$24,A28,$H$5:$H$24)</f>
        <v>0</v>
      </c>
      <c r="H28" s="170">
        <f>SUMIF($B$5:$B$24,A28,$I$5:$I$24)</f>
        <v>0</v>
      </c>
      <c r="I28" s="170">
        <f>SUMIF($B$5:$B$24,A28,$J$5:$J$24)</f>
        <v>0</v>
      </c>
      <c r="J28" s="170">
        <f>SUMIF($B$5:$B$24,A28,$K$5:$K$24)</f>
        <v>0</v>
      </c>
      <c r="K28" s="170">
        <f>SUMIF($B$5:$B$24,A28,$M$5:$M$24)</f>
        <v>120297165</v>
      </c>
      <c r="L28" s="170">
        <f>SUMIF($B$5:$B$24,A28,$P$5:$P$24)</f>
        <v>69810554</v>
      </c>
      <c r="M28" s="174">
        <f>IFERROR(SUMIF($B$5:$B$24,A28,$O$5:$O$24)/SUMIF($B$5:$B$24,A28,$M$5:$M$24),0)</f>
        <v>0.61086056350538265</v>
      </c>
      <c r="N28" s="170">
        <f>IFERROR(SUMIF($B$5:$B$24,A28,$P$5:$P$24)/SUMIF($B$5:$B$24,A28,$O$5:$O$24),0)</f>
        <v>0.94999999591752271</v>
      </c>
      <c r="O28" s="170">
        <f>COUNTIFS($B$5:$B$24,A28,$Q$5:$Q$24,"&gt;="&amp;0.7)</f>
        <v>5</v>
      </c>
      <c r="P28" s="170">
        <f>COUNTIFS($B$5:$B$24,A28,$Q$5:$Q$24,"&lt;0.3")</f>
        <v>0</v>
      </c>
      <c r="Q28" s="175" t="str">
        <f>IF(M28&gt;=0.7,"🟢 BAJO",IF(M28&gt;=0.4,"🟡 MEDIO",IF(M28&gt;0,"🟠 ALTO","🔴 CRÍTICO")))</f>
        <v>🟡 MEDIO</v>
      </c>
      <c r="R28" s="172" t="str">
        <f>COUNTIFS($B$5:$B$24,A28,$Q$5:$Q$24,"&gt;="&amp;0.7)&amp;"✅ / "&amp;COUNTIFS($B$5:$B$24,A28,$Q$5:$Q$24,"&gt;="&amp;0.3,$Q$5:$Q$24,"&lt;0.7")&amp;"️🟡 / "&amp;COUNTIFS($B$5:$B$24,A28,$Q$5:$Q$24,"&lt;0.3")&amp;"🔴"</f>
        <v>5✅ / 0️🟡 / 0🔴</v>
      </c>
      <c r="S28" s="99"/>
      <c r="T28" s="99"/>
      <c r="U28" s="144"/>
      <c r="V28" s="144"/>
      <c r="W28" s="144"/>
      <c r="X28" s="144"/>
      <c r="Y28" s="144"/>
      <c r="Z28" s="929"/>
    </row>
    <row r="29" spans="1:26" ht="19.95" customHeight="1" x14ac:dyDescent="0.3">
      <c r="A29" s="1046" t="s">
        <v>22</v>
      </c>
      <c r="B29" s="1121">
        <f>COUNTIF($B$5:$B$24,A29)</f>
        <v>6</v>
      </c>
      <c r="C29" s="1096">
        <f>SUMIF($B$5:$B$24,A29,$L$5:$L$24)</f>
        <v>1811700</v>
      </c>
      <c r="D29" s="1096">
        <f>SUMIF($B$5:$B$24,A29,$M$5:$M$24)</f>
        <v>431694.75</v>
      </c>
      <c r="E29" s="1096">
        <f>SUMIF($B$5:$B$24,A29,$O$5:$O$24)</f>
        <v>136842.84</v>
      </c>
      <c r="F29" s="1097">
        <f>SUMIF($B$5:$B$24,A29,$G$5:$G$24)</f>
        <v>0</v>
      </c>
      <c r="G29" s="1097">
        <f>SUMIF($B$5:$B$24,A29,$H$5:$H$24)</f>
        <v>0</v>
      </c>
      <c r="H29" s="1097">
        <f>SUMIF($B$5:$B$24,A29,$I$5:$I$24)</f>
        <v>336794.75</v>
      </c>
      <c r="I29" s="1097">
        <f>SUMIF($B$5:$B$24,A29,$J$5:$J$24)</f>
        <v>136842.84</v>
      </c>
      <c r="J29" s="1097">
        <f>SUMIF($B$5:$B$24,A29,$K$5:$K$24)</f>
        <v>96140.53</v>
      </c>
      <c r="K29" s="1097">
        <f>SUMIF($B$5:$B$24,A29,$M$5:$M$24)</f>
        <v>431694.75</v>
      </c>
      <c r="L29" s="1097">
        <f>SUMIF($B$5:$B$24,A29,$P$5:$P$24)</f>
        <v>96140.53</v>
      </c>
      <c r="M29" s="1098">
        <f>IFERROR(SUMIF($B$5:$B$24,A29,$O$5:$O$24)/SUMIF($B$5:$B$24,A29,$M$5:$M$24),0)</f>
        <v>0.31698981745782173</v>
      </c>
      <c r="N29" s="1099">
        <f>IFERROR(SUMIF($B$5:$B$24,A29,$P$5:$P$24)/SUMIF($B$5:$B$24,A29,$O$5:$O$24),0)</f>
        <v>0.7025616393228904</v>
      </c>
      <c r="O29" s="1097">
        <f>COUNTIFS($B$5:$B$24,A29,$Q$5:$Q$24,"&gt;="&amp;0.7)</f>
        <v>0</v>
      </c>
      <c r="P29" s="1097">
        <f>COUNTIFS($B$5:$B$24,A29,$Q$5:$Q$24,"&lt;0.3")</f>
        <v>0</v>
      </c>
      <c r="Q29" s="1100" t="str">
        <f>IF(M29&gt;=0.7,"🟢 BAJO",IF(M29&gt;=0.4,"🟡 MEDIO",IF(M29&gt;0,"🟠 ALTO","🔴 CRÍTICO")))</f>
        <v>🟠 ALTO</v>
      </c>
      <c r="R29" s="1101" t="str">
        <f>COUNTIFS($B$5:$B$24,A29,$Q$5:$Q$24,"&gt;="&amp;0.7)&amp;"✅ / "&amp;COUNTIFS($B$5:$B$24,A29,$Q$5:$Q$24,"&gt;="&amp;0.3,$Q$5:$Q$24,"&lt;0.7")&amp;"️🟡 / "&amp;COUNTIFS($B$5:$B$24,A29,$Q$5:$Q$24,"&lt;0.3")&amp;"🔴"</f>
        <v>0✅ / 0️🟡 / 0🔴</v>
      </c>
      <c r="S29" s="1102"/>
      <c r="T29" s="1102"/>
      <c r="U29" s="192"/>
      <c r="V29" s="192"/>
      <c r="W29" s="192"/>
      <c r="X29" s="192"/>
      <c r="Y29" s="192"/>
      <c r="Z29" s="1104"/>
    </row>
    <row r="30" spans="1:26" ht="19.95" customHeight="1" x14ac:dyDescent="0.3">
      <c r="A30" s="1046" t="s">
        <v>25</v>
      </c>
      <c r="B30" s="1122">
        <f>COUNTIF($B$5:$B$24,A30)</f>
        <v>2</v>
      </c>
      <c r="C30" s="176">
        <f>SUMIF($B$5:$B$24,A30,$L$5:$L$24)</f>
        <v>748783</v>
      </c>
      <c r="D30" s="176">
        <f>SUMIF($B$5:$B$24,A30,$M$5:$M$24)</f>
        <v>748783</v>
      </c>
      <c r="E30" s="176">
        <f>SUMIF($B$5:$B$24,A30,$O$5:$O$24)</f>
        <v>224635</v>
      </c>
      <c r="F30" s="177">
        <f>SUMIF($B$5:$B$24,A30,$G$5:$G$24)</f>
        <v>0</v>
      </c>
      <c r="G30" s="177">
        <f>SUMIF($B$5:$B$24,A30,$H$5:$H$24)</f>
        <v>0</v>
      </c>
      <c r="H30" s="177">
        <f>SUMIF($B$5:$B$24,A30,$I$5:$I$24)</f>
        <v>0</v>
      </c>
      <c r="I30" s="177">
        <f>SUMIF($B$5:$B$24,A30,$J$5:$J$24)</f>
        <v>0</v>
      </c>
      <c r="J30" s="177">
        <f>SUMIF($B$5:$B$24,A30,$K$5:$K$24)</f>
        <v>0</v>
      </c>
      <c r="K30" s="177">
        <f>SUMIF($B$5:$B$24,A30,$M$5:$M$24)</f>
        <v>748783</v>
      </c>
      <c r="L30" s="177">
        <f>SUMIF($B$5:$B$24,A30,$P$5:$P$24)</f>
        <v>213403</v>
      </c>
      <c r="M30" s="178">
        <f>IFERROR(SUMIF($B$5:$B$24,A30,$O$5:$O$24)/SUMIF($B$5:$B$24,A30,$M$5:$M$24),0)</f>
        <v>0.30000013355004052</v>
      </c>
      <c r="N30" s="179">
        <f>IFERROR(SUMIF($B$5:$B$24,A30,$P$5:$P$24)/SUMIF($B$5:$B$24,A30,$O$5:$O$24),0)</f>
        <v>0.94999888708349101</v>
      </c>
      <c r="O30" s="177">
        <f>COUNTIFS($B$5:$B$24,A30,$Q$5:$Q$24,"&gt;="&amp;0.7)</f>
        <v>0</v>
      </c>
      <c r="P30" s="177">
        <f>COUNTIFS($B$5:$B$24,A30,$Q$5:$Q$24,"&lt;0.3")</f>
        <v>0</v>
      </c>
      <c r="Q30" s="180" t="str">
        <f>IF(M30&gt;=0.7,"🟢 BAJO",IF(M30&gt;=0.4,"🟡 MEDIO",IF(M30&gt;0,"🟠 ALTO","🔴 CRÍTICO")))</f>
        <v>🟠 ALTO</v>
      </c>
      <c r="R30" s="181" t="str">
        <f>COUNTIFS($B$5:$B$24,A30,$Q$5:$Q$24,"&gt;="&amp;0.7)&amp;"✅ / "&amp;COUNTIFS($B$5:$B$24,A30,$Q$5:$Q$24,"&gt;="&amp;0.3,$Q$5:$Q$24,"&lt;0.7")&amp;"️🟡 / "&amp;COUNTIFS($B$5:$B$24,A30,$Q$5:$Q$24,"&lt;0.3")&amp;"🔴"</f>
        <v>0✅ / 0️🟡 / 0🔴</v>
      </c>
      <c r="S30" s="102"/>
      <c r="T30" s="102"/>
      <c r="U30" s="151"/>
      <c r="V30" s="151"/>
      <c r="W30" s="151"/>
      <c r="X30" s="151"/>
      <c r="Y30" s="151"/>
      <c r="Z30" s="1105"/>
    </row>
    <row r="31" spans="1:26" ht="19.95" customHeight="1" x14ac:dyDescent="0.3">
      <c r="A31" s="1046" t="s">
        <v>31</v>
      </c>
      <c r="B31" s="1121">
        <f>COUNTIF($B$5:$B$24,A31)</f>
        <v>2</v>
      </c>
      <c r="C31" s="1096">
        <f>SUMIF($B$5:$B$24,A31,$L$5:$L$24)</f>
        <v>805384</v>
      </c>
      <c r="D31" s="1096">
        <f>SUMIF($B$5:$B$24,A31,$M$5:$M$24)</f>
        <v>805384</v>
      </c>
      <c r="E31" s="1096">
        <f>SUMIF($B$5:$B$24,A31,$O$5:$O$24)</f>
        <v>614499</v>
      </c>
      <c r="F31" s="1097">
        <f>SUMIF($B$5:$B$24,A31,$G$5:$G$24)</f>
        <v>0</v>
      </c>
      <c r="G31" s="1097">
        <f>SUMIF($B$5:$B$24,A31,$H$5:$H$24)</f>
        <v>0</v>
      </c>
      <c r="H31" s="1097">
        <f>SUMIF($B$5:$B$24,A31,$I$5:$I$24)</f>
        <v>0</v>
      </c>
      <c r="I31" s="1097">
        <f>SUMIF($B$5:$B$24,A31,$J$5:$J$24)</f>
        <v>0</v>
      </c>
      <c r="J31" s="1097">
        <f>SUMIF($B$5:$B$24,A31,$K$5:$K$24)</f>
        <v>0</v>
      </c>
      <c r="K31" s="1097">
        <f>SUMIF($B$5:$B$24,A31,$M$5:$M$24)</f>
        <v>805384</v>
      </c>
      <c r="L31" s="1097">
        <f>SUMIF($B$5:$B$24,A31,$P$5:$P$24)</f>
        <v>583524</v>
      </c>
      <c r="M31" s="1098">
        <f>IFERROR(SUMIF($B$5:$B$24,A31,$O$5:$O$24)/SUMIF($B$5:$B$24,A31,$M$5:$M$24),0)</f>
        <v>0.7629888351395111</v>
      </c>
      <c r="N31" s="1099">
        <f>IFERROR(SUMIF($B$5:$B$24,A31,$P$5:$P$24)/SUMIF($B$5:$B$24,A31,$O$5:$O$24),0)</f>
        <v>0.94959308314578217</v>
      </c>
      <c r="O31" s="1097">
        <f>COUNTIFS($B$5:$B$24,A31,$Q$5:$Q$24,"&gt;="&amp;0.7)</f>
        <v>2</v>
      </c>
      <c r="P31" s="1097">
        <f>COUNTIFS($B$5:$B$24,A31,$Q$5:$Q$24,"&lt;0.3")</f>
        <v>0</v>
      </c>
      <c r="Q31" s="1100" t="str">
        <f>IF(M31&gt;=0.7,"🟢 BAJO",IF(M31&gt;=0.4,"🟡 MEDIO",IF(M31&gt;0,"🟠 ALTO","🔴 CRÍTICO")))</f>
        <v>🟢 BAJO</v>
      </c>
      <c r="R31" s="1101" t="str">
        <f>COUNTIFS($B$5:$B$24,A31,$Q$5:$Q$24,"&gt;="&amp;0.7)&amp;"✅ / "&amp;COUNTIFS($B$5:$B$24,A31,$Q$5:$Q$24,"&gt;="&amp;0.3,$Q$5:$Q$24,"&lt;0.7")&amp;"️🟡 / "&amp;COUNTIFS($B$5:$B$24,A31,$Q$5:$Q$24,"&lt;0.3")&amp;"🔴"</f>
        <v>2✅ / 0️🟡 / 0🔴</v>
      </c>
      <c r="S31" s="1102"/>
      <c r="T31" s="1102"/>
      <c r="U31" s="192"/>
      <c r="V31" s="192"/>
      <c r="W31" s="192"/>
      <c r="X31" s="192"/>
      <c r="Y31" s="192"/>
      <c r="Z31" s="1104"/>
    </row>
    <row r="32" spans="1:26" ht="19.95" customHeight="1" thickBot="1" x14ac:dyDescent="0.35">
      <c r="A32" s="1125" t="s">
        <v>27</v>
      </c>
      <c r="B32" s="1123">
        <f>COUNTIF($B$5:$B$24,A32)</f>
        <v>1</v>
      </c>
      <c r="C32" s="1108">
        <f>SUMIF($B$5:$B$24,A32,$L$5:$L$24)</f>
        <v>0</v>
      </c>
      <c r="D32" s="1108">
        <f>SUMIF($B$5:$B$24,A32,$M$5:$M$24)</f>
        <v>0</v>
      </c>
      <c r="E32" s="1108">
        <f>SUMIF($B$5:$B$24,A32,$O$5:$O$24)</f>
        <v>0</v>
      </c>
      <c r="F32" s="1109">
        <f>SUMIF($B$5:$B$24,A32,$G$5:$G$24)</f>
        <v>0</v>
      </c>
      <c r="G32" s="1109">
        <f>SUMIF($B$5:$B$24,A32,$H$5:$H$24)</f>
        <v>0</v>
      </c>
      <c r="H32" s="1109">
        <f>SUMIF($B$5:$B$24,A32,$I$5:$I$24)</f>
        <v>0</v>
      </c>
      <c r="I32" s="1109">
        <f>SUMIF($B$5:$B$24,A32,$J$5:$J$24)</f>
        <v>0</v>
      </c>
      <c r="J32" s="1109">
        <f>SUMIF($B$5:$B$24,A32,$K$5:$K$24)</f>
        <v>0</v>
      </c>
      <c r="K32" s="1109">
        <f>SUMIF($B$5:$B$24,A32,$M$5:$M$24)</f>
        <v>0</v>
      </c>
      <c r="L32" s="1109">
        <f>SUMIF($B$5:$B$24,A32,$P$5:$P$24)</f>
        <v>0</v>
      </c>
      <c r="M32" s="1110">
        <f>IFERROR(SUMIF($B$5:$B$24,A32,$O$5:$O$24)/SUMIF($B$5:$B$24,A32,$M$5:$M$24),0)</f>
        <v>0</v>
      </c>
      <c r="N32" s="1111">
        <f>IFERROR(SUMIF($B$5:$B$24,A32,$P$5:$P$24)/SUMIF($B$5:$B$24,A32,$O$5:$O$24),0)</f>
        <v>0</v>
      </c>
      <c r="O32" s="1109">
        <f>COUNTIFS($B$5:$B$24,A32,$Q$5:$Q$24,"&gt;="&amp;0.7)</f>
        <v>0</v>
      </c>
      <c r="P32" s="1109">
        <f>COUNTIFS($B$5:$B$24,A32,$Q$5:$Q$24,"&lt;0.3")</f>
        <v>0</v>
      </c>
      <c r="Q32" s="1112" t="str">
        <f>IF(M32&gt;=0.7,"🟢 BAJO",IF(M32&gt;=0.4,"🟡 MEDIO",IF(M32&gt;0,"🟠 ALTO","🔴 CRÍTICO")))</f>
        <v>🔴 CRÍTICO</v>
      </c>
      <c r="R32" s="1113" t="str">
        <f>COUNTIFS($B$5:$B$24,A32,$Q$5:$Q$24,"&gt;="&amp;0.7)&amp;"✅ / "&amp;COUNTIFS($B$5:$B$24,A32,$Q$5:$Q$24,"&gt;="&amp;0.3,$Q$5:$Q$24,"&lt;0.7")&amp;"️🟡 / "&amp;COUNTIFS($B$5:$B$24,A32,$Q$5:$Q$24,"&lt;0.3")&amp;"🔴"</f>
        <v>0✅ / 0️🟡 / 0🔴</v>
      </c>
      <c r="S32" s="1114"/>
      <c r="T32" s="1114"/>
      <c r="U32" s="1115"/>
      <c r="V32" s="1115"/>
      <c r="W32" s="1115"/>
      <c r="X32" s="1115"/>
      <c r="Y32" s="1115"/>
      <c r="Z32" s="1116"/>
    </row>
    <row r="33" ht="15" thickTop="1" x14ac:dyDescent="0.3"/>
  </sheetData>
  <mergeCells count="3">
    <mergeCell ref="A1:Z1"/>
    <mergeCell ref="A3:Z3"/>
    <mergeCell ref="A26:Z26"/>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DEEAF1"/>
  </sheetPr>
  <dimension ref="A1:OJ40"/>
  <sheetViews>
    <sheetView showGridLines="0" topLeftCell="D1" zoomScale="95" zoomScaleNormal="95" workbookViewId="0">
      <pane ySplit="4" topLeftCell="A5" activePane="bottomLeft" state="frozen"/>
      <selection activeCell="D1" sqref="D1"/>
      <selection pane="bottomLeft" activeCell="C7" sqref="C7:D7"/>
    </sheetView>
  </sheetViews>
  <sheetFormatPr baseColWidth="10" defaultRowHeight="14.4" x14ac:dyDescent="0.3"/>
  <cols>
    <col min="1" max="1" width="5.21875" style="31" customWidth="1"/>
    <col min="2" max="2" width="17.5546875" style="31" customWidth="1"/>
    <col min="3" max="3" width="18.5546875" style="31" customWidth="1"/>
    <col min="4" max="4" width="13" style="31" customWidth="1"/>
    <col min="5" max="7" width="13.88671875" style="31" customWidth="1"/>
    <col min="8" max="8" width="18.5546875" style="31" customWidth="1"/>
    <col min="9" max="9" width="24.109375" style="31" customWidth="1"/>
    <col min="10" max="10" width="13" style="31" customWidth="1"/>
    <col min="11" max="11" width="24.109375" style="31" customWidth="1"/>
    <col min="12" max="12" width="9.21875" style="31" customWidth="1"/>
    <col min="13" max="18" width="11.109375" style="31" customWidth="1"/>
    <col min="19" max="19" width="14.6640625" style="31" bestFit="1" customWidth="1"/>
    <col min="20" max="20" width="22.6640625" style="31" bestFit="1" customWidth="1"/>
    <col min="21" max="22" width="11.5546875" style="31" customWidth="1"/>
    <col min="23" max="16384" width="11.5546875" style="31"/>
  </cols>
  <sheetData>
    <row r="1" spans="1:400" ht="28.05" customHeight="1" x14ac:dyDescent="0.3">
      <c r="A1" s="1927" t="s">
        <v>4787</v>
      </c>
      <c r="B1" s="1775"/>
      <c r="C1" s="1775"/>
      <c r="D1" s="1775"/>
      <c r="E1" s="1775"/>
      <c r="F1" s="1775"/>
      <c r="G1" s="1775"/>
      <c r="H1" s="1775"/>
      <c r="I1" s="1775"/>
      <c r="J1" s="1775"/>
      <c r="K1" s="1775"/>
      <c r="L1" s="1775"/>
      <c r="M1" s="471"/>
      <c r="N1" s="471"/>
      <c r="O1" s="471"/>
      <c r="P1" s="471"/>
      <c r="Q1" s="471"/>
      <c r="R1" s="471"/>
      <c r="S1" s="124" t="str">
        <f>HYPERLINK("#'ICPI'!A1","ICPI  ›")</f>
        <v>ICPI  ›</v>
      </c>
      <c r="T1" s="124" t="str">
        <f>HYPERLINK("#'DASHBOARD'!A1","DASHBOARD  ›")</f>
        <v>DASHBOARD  ›</v>
      </c>
      <c r="U1" s="92"/>
      <c r="V1" s="92"/>
      <c r="W1" s="92"/>
      <c r="X1" s="92"/>
      <c r="Y1" s="92"/>
      <c r="Z1" s="93" t="s">
        <v>4300</v>
      </c>
    </row>
    <row r="2" spans="1:400" ht="19.95" customHeight="1" x14ac:dyDescent="0.3">
      <c r="A2" s="472"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
        <v>4625</v>
      </c>
      <c r="J2" s="472" t="str">
        <f>HYPERLINK("#'DATA-CNE'!A1","DATA-CNE")</f>
        <v>DATA-CNE</v>
      </c>
      <c r="K2" s="472" t="str">
        <f>HYPERLINK("#'DATA-ORG'!A1","DATA-ORG")</f>
        <v>DATA-ORG</v>
      </c>
      <c r="L2" s="472" t="str">
        <f>HYPERLINK("#'M-DASHBOARD'!A1","DASH")</f>
        <v>DASH</v>
      </c>
      <c r="M2" s="473"/>
      <c r="N2" s="473"/>
      <c r="O2" s="473"/>
      <c r="P2" s="473"/>
      <c r="Q2" s="473"/>
      <c r="R2" s="473"/>
      <c r="S2" s="182"/>
      <c r="T2" s="182"/>
      <c r="U2" s="94"/>
      <c r="V2" s="94"/>
      <c r="W2" s="94"/>
      <c r="X2" s="94"/>
      <c r="Y2" s="94"/>
      <c r="Z2" s="94"/>
    </row>
    <row r="3" spans="1:400" ht="16.05" customHeight="1" thickBot="1" x14ac:dyDescent="0.35">
      <c r="A3" s="1781" t="s">
        <v>661</v>
      </c>
      <c r="B3" s="1720"/>
      <c r="C3" s="1720"/>
      <c r="D3" s="1720"/>
      <c r="E3" s="1720"/>
      <c r="F3" s="1720"/>
      <c r="G3" s="1720"/>
      <c r="H3" s="1720"/>
      <c r="I3" s="1720"/>
      <c r="J3" s="1720"/>
      <c r="K3" s="1720"/>
      <c r="L3" s="1721"/>
      <c r="M3" s="1782"/>
      <c r="N3" s="1782"/>
      <c r="O3" s="1782"/>
      <c r="P3" s="1782"/>
      <c r="Q3" s="1782"/>
      <c r="R3" s="1782"/>
      <c r="S3" s="1783"/>
      <c r="T3" s="1783"/>
      <c r="U3" s="183"/>
      <c r="V3" s="183"/>
      <c r="W3" s="183"/>
      <c r="X3" s="183"/>
      <c r="Y3" s="183"/>
      <c r="Z3" s="183"/>
    </row>
    <row r="4" spans="1:400" s="32" customFormat="1" ht="30" customHeight="1" thickTop="1" x14ac:dyDescent="0.3">
      <c r="A4" s="610" t="s">
        <v>661</v>
      </c>
      <c r="B4" s="606" t="s">
        <v>662</v>
      </c>
      <c r="C4" s="584" t="s">
        <v>1117</v>
      </c>
      <c r="D4" s="584" t="s">
        <v>663</v>
      </c>
      <c r="E4" s="584" t="s">
        <v>438</v>
      </c>
      <c r="F4" s="584" t="s">
        <v>1118</v>
      </c>
      <c r="G4" s="584" t="s">
        <v>1119</v>
      </c>
      <c r="H4" s="584" t="s">
        <v>1120</v>
      </c>
      <c r="I4" s="584" t="s">
        <v>1121</v>
      </c>
      <c r="J4" s="584" t="s">
        <v>671</v>
      </c>
      <c r="K4" s="584" t="s">
        <v>1122</v>
      </c>
      <c r="L4" s="584" t="s">
        <v>1123</v>
      </c>
      <c r="M4" s="659" t="s">
        <v>93</v>
      </c>
      <c r="N4" s="659" t="s">
        <v>1124</v>
      </c>
      <c r="O4" s="659" t="s">
        <v>1125</v>
      </c>
      <c r="P4" s="659" t="s">
        <v>1126</v>
      </c>
      <c r="Q4" s="659" t="s">
        <v>1127</v>
      </c>
      <c r="R4" s="660" t="s">
        <v>1128</v>
      </c>
      <c r="S4" s="371" t="s">
        <v>1129</v>
      </c>
      <c r="T4" s="95" t="s">
        <v>1130</v>
      </c>
      <c r="U4" s="95"/>
      <c r="V4" s="95"/>
      <c r="W4" s="95"/>
      <c r="X4" s="95"/>
      <c r="Y4" s="95"/>
      <c r="Z4" s="95"/>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c r="BN4" s="57"/>
      <c r="BO4" s="57"/>
      <c r="BP4" s="57"/>
      <c r="BQ4" s="57"/>
      <c r="BR4" s="57"/>
      <c r="BS4" s="57"/>
      <c r="BT4" s="57"/>
      <c r="BU4" s="57"/>
      <c r="BV4" s="57"/>
      <c r="BW4" s="57"/>
      <c r="BX4" s="57"/>
      <c r="BY4" s="57"/>
      <c r="BZ4" s="57"/>
      <c r="CA4" s="57"/>
      <c r="CB4" s="57"/>
      <c r="CC4" s="57"/>
      <c r="CD4" s="57"/>
      <c r="CE4" s="57"/>
      <c r="CF4" s="57"/>
      <c r="CG4" s="57"/>
      <c r="CH4" s="57"/>
      <c r="CI4" s="57"/>
      <c r="CJ4" s="57"/>
      <c r="CK4" s="57"/>
      <c r="CL4" s="57"/>
      <c r="CM4" s="57"/>
      <c r="CN4" s="57"/>
      <c r="CO4" s="57"/>
      <c r="CP4" s="57"/>
      <c r="CQ4" s="57"/>
      <c r="CR4" s="57"/>
      <c r="CS4" s="57"/>
      <c r="CT4" s="57"/>
      <c r="CU4" s="57"/>
      <c r="CV4" s="57"/>
      <c r="CW4" s="57"/>
      <c r="CX4" s="57"/>
      <c r="CY4" s="57"/>
      <c r="CZ4" s="57"/>
      <c r="DA4" s="57"/>
      <c r="DB4" s="57"/>
      <c r="DC4" s="57"/>
      <c r="DD4" s="57"/>
      <c r="DE4" s="57"/>
      <c r="DF4" s="57"/>
      <c r="DG4" s="57"/>
      <c r="DH4" s="57"/>
      <c r="DI4" s="57"/>
      <c r="DJ4" s="57"/>
      <c r="DK4" s="57"/>
      <c r="DL4" s="57"/>
      <c r="DM4" s="57"/>
      <c r="DN4" s="57"/>
      <c r="DO4" s="57"/>
      <c r="DP4" s="57"/>
      <c r="DQ4" s="57"/>
      <c r="DR4" s="57"/>
      <c r="DS4" s="57"/>
      <c r="DT4" s="57"/>
      <c r="DU4" s="57"/>
      <c r="DV4" s="57"/>
      <c r="DW4" s="57"/>
      <c r="DX4" s="57"/>
      <c r="DY4" s="57"/>
      <c r="DZ4" s="57"/>
      <c r="EA4" s="57"/>
      <c r="EB4" s="57"/>
      <c r="EC4" s="57"/>
      <c r="ED4" s="57"/>
      <c r="EE4" s="57"/>
      <c r="EF4" s="57"/>
      <c r="EG4" s="57"/>
      <c r="EH4" s="57"/>
      <c r="EI4" s="57"/>
      <c r="EJ4" s="57"/>
      <c r="EK4" s="57"/>
      <c r="EL4" s="57"/>
      <c r="EM4" s="57"/>
      <c r="EN4" s="57"/>
      <c r="EO4" s="57"/>
      <c r="EP4" s="57"/>
      <c r="EQ4" s="57"/>
      <c r="ER4" s="57"/>
      <c r="ES4" s="57"/>
      <c r="ET4" s="57"/>
      <c r="EU4" s="57"/>
      <c r="EV4" s="57"/>
      <c r="EW4" s="57"/>
      <c r="EX4" s="57"/>
      <c r="EY4" s="57"/>
      <c r="EZ4" s="57"/>
      <c r="FA4" s="57"/>
      <c r="FB4" s="57"/>
      <c r="FC4" s="57"/>
      <c r="FD4" s="57"/>
      <c r="FE4" s="57"/>
      <c r="FF4" s="57"/>
      <c r="FG4" s="57"/>
      <c r="FH4" s="57"/>
      <c r="FI4" s="57"/>
      <c r="FJ4" s="57"/>
      <c r="FK4" s="57"/>
      <c r="FL4" s="57"/>
      <c r="FM4" s="57"/>
      <c r="FN4" s="57"/>
      <c r="FO4" s="57"/>
      <c r="FP4" s="57"/>
      <c r="FQ4" s="57"/>
      <c r="FR4" s="57"/>
      <c r="FS4" s="57"/>
      <c r="FT4" s="57"/>
      <c r="FU4" s="57"/>
      <c r="FV4" s="57"/>
      <c r="FW4" s="57"/>
      <c r="FX4" s="57"/>
      <c r="FY4" s="57"/>
      <c r="FZ4" s="57"/>
      <c r="GA4" s="57"/>
      <c r="GB4" s="57"/>
      <c r="GC4" s="57"/>
      <c r="GD4" s="57"/>
      <c r="GE4" s="57"/>
      <c r="GF4" s="57"/>
      <c r="GG4" s="57"/>
      <c r="GH4" s="57"/>
      <c r="GI4" s="57"/>
      <c r="GJ4" s="57"/>
      <c r="GK4" s="57"/>
      <c r="GL4" s="57"/>
      <c r="GM4" s="57"/>
      <c r="GN4" s="57"/>
      <c r="GO4" s="57"/>
      <c r="GP4" s="57"/>
      <c r="GQ4" s="57"/>
      <c r="GR4" s="57"/>
      <c r="GS4" s="57"/>
      <c r="GT4" s="57"/>
      <c r="GU4" s="57"/>
      <c r="GV4" s="57"/>
      <c r="GW4" s="57"/>
      <c r="GX4" s="57"/>
      <c r="GY4" s="57"/>
      <c r="GZ4" s="57"/>
      <c r="HA4" s="57"/>
      <c r="HB4" s="57"/>
      <c r="HC4" s="57"/>
      <c r="HD4" s="57"/>
      <c r="HE4" s="57"/>
      <c r="HF4" s="57"/>
      <c r="HG4" s="57"/>
      <c r="HH4" s="57"/>
      <c r="HI4" s="57"/>
      <c r="HJ4" s="57"/>
      <c r="HK4" s="57"/>
      <c r="HL4" s="57"/>
      <c r="HM4" s="57"/>
      <c r="HN4" s="57"/>
      <c r="HO4" s="57"/>
      <c r="HP4" s="57"/>
      <c r="HQ4" s="57"/>
      <c r="HR4" s="57"/>
      <c r="HS4" s="57"/>
      <c r="HT4" s="57"/>
      <c r="HU4" s="57"/>
      <c r="HV4" s="57"/>
      <c r="HW4" s="57"/>
      <c r="HX4" s="57"/>
      <c r="HY4" s="57"/>
      <c r="HZ4" s="57"/>
      <c r="IA4" s="57"/>
      <c r="IB4" s="57"/>
      <c r="IC4" s="57"/>
      <c r="ID4" s="57"/>
      <c r="IE4" s="57"/>
      <c r="IF4" s="57"/>
      <c r="IG4" s="57"/>
      <c r="IH4" s="57"/>
      <c r="II4" s="57"/>
      <c r="IJ4" s="57"/>
      <c r="IK4" s="57"/>
      <c r="IL4" s="57"/>
      <c r="IM4" s="57"/>
      <c r="IN4" s="57"/>
      <c r="IO4" s="57"/>
      <c r="IP4" s="57"/>
      <c r="IQ4" s="57"/>
      <c r="IR4" s="57"/>
      <c r="IS4" s="57"/>
      <c r="IT4" s="57"/>
      <c r="IU4" s="57"/>
      <c r="IV4" s="57"/>
      <c r="IW4" s="57"/>
      <c r="IX4" s="57"/>
      <c r="IY4" s="57"/>
      <c r="IZ4" s="57"/>
      <c r="JA4" s="57"/>
      <c r="JB4" s="57"/>
      <c r="JC4" s="57"/>
      <c r="JD4" s="57"/>
      <c r="JE4" s="57"/>
      <c r="JF4" s="57"/>
      <c r="JG4" s="57"/>
      <c r="JH4" s="57"/>
      <c r="JI4" s="57"/>
      <c r="JJ4" s="57"/>
      <c r="JK4" s="57"/>
      <c r="JL4" s="57"/>
      <c r="JM4" s="57"/>
      <c r="JN4" s="57"/>
      <c r="JO4" s="57"/>
      <c r="JP4" s="57"/>
      <c r="JQ4" s="57"/>
      <c r="JR4" s="57"/>
      <c r="JS4" s="57"/>
      <c r="JT4" s="57"/>
      <c r="JU4" s="57"/>
      <c r="JV4" s="57"/>
      <c r="JW4" s="57"/>
      <c r="JX4" s="57"/>
      <c r="JY4" s="57"/>
      <c r="JZ4" s="57"/>
      <c r="KA4" s="57"/>
      <c r="KB4" s="57"/>
      <c r="KC4" s="57"/>
      <c r="KD4" s="57"/>
      <c r="KE4" s="57"/>
      <c r="KF4" s="57"/>
      <c r="KG4" s="57"/>
      <c r="KH4" s="57"/>
      <c r="KI4" s="57"/>
      <c r="KJ4" s="57"/>
      <c r="KK4" s="57"/>
      <c r="KL4" s="57"/>
      <c r="KM4" s="57"/>
      <c r="KN4" s="57"/>
      <c r="KO4" s="57"/>
      <c r="KP4" s="57"/>
      <c r="KQ4" s="57"/>
      <c r="KR4" s="57"/>
      <c r="KS4" s="57"/>
      <c r="KT4" s="57"/>
      <c r="KU4" s="57"/>
      <c r="KV4" s="57"/>
      <c r="KW4" s="57"/>
      <c r="KX4" s="57"/>
      <c r="KY4" s="57"/>
      <c r="KZ4" s="57"/>
      <c r="LA4" s="57"/>
      <c r="LB4" s="57"/>
      <c r="LC4" s="57"/>
      <c r="LD4" s="57"/>
      <c r="LE4" s="57"/>
      <c r="LF4" s="57"/>
      <c r="LG4" s="57"/>
      <c r="LH4" s="57"/>
      <c r="LI4" s="57"/>
      <c r="LJ4" s="57"/>
      <c r="LK4" s="57"/>
      <c r="LL4" s="57"/>
      <c r="LM4" s="57"/>
      <c r="LN4" s="57"/>
      <c r="LO4" s="57"/>
      <c r="LP4" s="57"/>
      <c r="LQ4" s="57"/>
      <c r="LR4" s="57"/>
      <c r="LS4" s="57"/>
      <c r="LT4" s="57"/>
      <c r="LU4" s="57"/>
      <c r="LV4" s="57"/>
      <c r="LW4" s="57"/>
      <c r="LX4" s="57"/>
      <c r="LY4" s="57"/>
      <c r="LZ4" s="57"/>
      <c r="MA4" s="57"/>
      <c r="MB4" s="57"/>
      <c r="MC4" s="57"/>
      <c r="MD4" s="57"/>
      <c r="ME4" s="57"/>
      <c r="MF4" s="57"/>
      <c r="MG4" s="57"/>
      <c r="MH4" s="57"/>
      <c r="MI4" s="57"/>
      <c r="MJ4" s="57"/>
      <c r="MK4" s="57"/>
      <c r="ML4" s="57"/>
      <c r="MM4" s="57"/>
      <c r="MN4" s="57"/>
      <c r="MO4" s="57"/>
      <c r="MP4" s="57"/>
      <c r="MQ4" s="57"/>
      <c r="MR4" s="57"/>
      <c r="MS4" s="57"/>
      <c r="MT4" s="57"/>
      <c r="MU4" s="57"/>
      <c r="MV4" s="57"/>
      <c r="MW4" s="57"/>
      <c r="MX4" s="57"/>
      <c r="MY4" s="57"/>
      <c r="MZ4" s="57"/>
      <c r="NA4" s="57"/>
      <c r="NB4" s="57"/>
      <c r="NC4" s="57"/>
      <c r="ND4" s="57"/>
      <c r="NE4" s="57"/>
      <c r="NF4" s="57"/>
      <c r="NG4" s="57"/>
      <c r="NH4" s="57"/>
      <c r="NI4" s="57"/>
      <c r="NJ4" s="57"/>
      <c r="NK4" s="57"/>
      <c r="NL4" s="57"/>
      <c r="NM4" s="57"/>
      <c r="NN4" s="57"/>
      <c r="NO4" s="57"/>
      <c r="NP4" s="57"/>
      <c r="NQ4" s="57"/>
      <c r="NR4" s="57"/>
      <c r="NS4" s="57"/>
      <c r="NT4" s="57"/>
      <c r="NU4" s="57"/>
      <c r="NV4" s="57"/>
      <c r="NW4" s="57"/>
      <c r="NX4" s="57"/>
      <c r="NY4" s="57"/>
      <c r="NZ4" s="57"/>
      <c r="OA4" s="57"/>
      <c r="OB4" s="57"/>
      <c r="OC4" s="57"/>
      <c r="OD4" s="57"/>
      <c r="OE4" s="57"/>
      <c r="OF4" s="57"/>
      <c r="OG4" s="57"/>
      <c r="OH4" s="57"/>
      <c r="OI4" s="57"/>
      <c r="OJ4" s="58"/>
    </row>
    <row r="5" spans="1:400" s="343" customFormat="1" ht="40.049999999999997" customHeight="1" x14ac:dyDescent="0.3">
      <c r="A5" s="920">
        <v>1</v>
      </c>
      <c r="B5" s="636" t="s">
        <v>507</v>
      </c>
      <c r="C5" s="614" t="s">
        <v>748</v>
      </c>
      <c r="D5" s="614" t="s">
        <v>19</v>
      </c>
      <c r="E5" s="615">
        <v>4454844</v>
      </c>
      <c r="F5" s="615">
        <v>1269859</v>
      </c>
      <c r="G5" s="615">
        <v>3184985</v>
      </c>
      <c r="H5" s="614" t="s">
        <v>4470</v>
      </c>
      <c r="I5" s="614" t="s">
        <v>1131</v>
      </c>
      <c r="J5" s="614" t="s">
        <v>713</v>
      </c>
      <c r="K5" s="620" t="s">
        <v>4703</v>
      </c>
      <c r="L5" s="614" t="s">
        <v>1132</v>
      </c>
      <c r="M5" s="661" t="s">
        <v>4489</v>
      </c>
      <c r="N5" s="661" t="s">
        <v>1133</v>
      </c>
      <c r="O5" s="662">
        <v>4032693.9</v>
      </c>
      <c r="P5" s="663">
        <v>337000</v>
      </c>
      <c r="Q5" s="662"/>
      <c r="R5" s="664"/>
      <c r="S5" s="557"/>
      <c r="T5" s="340">
        <f t="shared" ref="T5:T24" si="0">IFERROR(SUM(O5:S5),0)</f>
        <v>4369693.9000000004</v>
      </c>
      <c r="U5" s="339"/>
      <c r="V5" s="339"/>
      <c r="W5" s="339"/>
      <c r="X5" s="339"/>
      <c r="Y5" s="339"/>
      <c r="Z5" s="339"/>
      <c r="AA5" s="341"/>
      <c r="AB5" s="341"/>
      <c r="AC5" s="341"/>
      <c r="AD5" s="341"/>
      <c r="AE5" s="341"/>
      <c r="AF5" s="341"/>
      <c r="AG5" s="341"/>
      <c r="AH5" s="341"/>
      <c r="AI5" s="341"/>
      <c r="AJ5" s="341"/>
      <c r="AK5" s="341"/>
      <c r="AL5" s="341"/>
      <c r="AM5" s="341"/>
      <c r="AN5" s="341"/>
      <c r="AO5" s="341"/>
      <c r="AP5" s="341"/>
      <c r="AQ5" s="341"/>
      <c r="AR5" s="341"/>
      <c r="AS5" s="341"/>
      <c r="AT5" s="341"/>
      <c r="AU5" s="341"/>
      <c r="AV5" s="341"/>
      <c r="AW5" s="341"/>
      <c r="AX5" s="341"/>
      <c r="AY5" s="341"/>
      <c r="AZ5" s="341"/>
      <c r="BA5" s="341"/>
      <c r="BB5" s="341"/>
      <c r="BC5" s="341"/>
      <c r="BD5" s="341"/>
      <c r="BE5" s="341"/>
      <c r="BF5" s="341"/>
      <c r="BG5" s="341"/>
      <c r="BH5" s="341"/>
      <c r="BI5" s="341"/>
      <c r="BJ5" s="341"/>
      <c r="BK5" s="341"/>
      <c r="BL5" s="341"/>
      <c r="BM5" s="341"/>
      <c r="BN5" s="341"/>
      <c r="BO5" s="341"/>
      <c r="BP5" s="341"/>
      <c r="BQ5" s="341"/>
      <c r="BR5" s="341"/>
      <c r="BS5" s="341"/>
      <c r="BT5" s="341"/>
      <c r="BU5" s="341"/>
      <c r="BV5" s="341"/>
      <c r="BW5" s="341"/>
      <c r="BX5" s="341"/>
      <c r="BY5" s="341"/>
      <c r="BZ5" s="341"/>
      <c r="CA5" s="341"/>
      <c r="CB5" s="341"/>
      <c r="CC5" s="341"/>
      <c r="CD5" s="341"/>
      <c r="CE5" s="341"/>
      <c r="CF5" s="341"/>
      <c r="CG5" s="341"/>
      <c r="CH5" s="341"/>
      <c r="CI5" s="341"/>
      <c r="CJ5" s="341"/>
      <c r="CK5" s="341"/>
      <c r="CL5" s="341"/>
      <c r="CM5" s="341"/>
      <c r="CN5" s="341"/>
      <c r="CO5" s="341"/>
      <c r="CP5" s="341"/>
      <c r="CQ5" s="341"/>
      <c r="CR5" s="341"/>
      <c r="CS5" s="341"/>
      <c r="CT5" s="341"/>
      <c r="CU5" s="341"/>
      <c r="CV5" s="341"/>
      <c r="CW5" s="341"/>
      <c r="CX5" s="341"/>
      <c r="CY5" s="341"/>
      <c r="CZ5" s="341"/>
      <c r="DA5" s="341"/>
      <c r="DB5" s="341"/>
      <c r="DC5" s="341"/>
      <c r="DD5" s="341"/>
      <c r="DE5" s="341"/>
      <c r="DF5" s="341"/>
      <c r="DG5" s="341"/>
      <c r="DH5" s="341"/>
      <c r="DI5" s="341"/>
      <c r="DJ5" s="341"/>
      <c r="DK5" s="341"/>
      <c r="DL5" s="341"/>
      <c r="DM5" s="341"/>
      <c r="DN5" s="341"/>
      <c r="DO5" s="341"/>
      <c r="DP5" s="341"/>
      <c r="DQ5" s="341"/>
      <c r="DR5" s="341"/>
      <c r="DS5" s="341"/>
      <c r="DT5" s="341"/>
      <c r="DU5" s="341"/>
      <c r="DV5" s="341"/>
      <c r="DW5" s="341"/>
      <c r="DX5" s="341"/>
      <c r="DY5" s="341"/>
      <c r="DZ5" s="341"/>
      <c r="EA5" s="341"/>
      <c r="EB5" s="341"/>
      <c r="EC5" s="341"/>
      <c r="ED5" s="341"/>
      <c r="EE5" s="341"/>
      <c r="EF5" s="341"/>
      <c r="EG5" s="341"/>
      <c r="EH5" s="341"/>
      <c r="EI5" s="341"/>
      <c r="EJ5" s="341"/>
      <c r="EK5" s="341"/>
      <c r="EL5" s="341"/>
      <c r="EM5" s="341"/>
      <c r="EN5" s="341"/>
      <c r="EO5" s="341"/>
      <c r="EP5" s="341"/>
      <c r="EQ5" s="341"/>
      <c r="ER5" s="341"/>
      <c r="ES5" s="341"/>
      <c r="ET5" s="341"/>
      <c r="EU5" s="341"/>
      <c r="EV5" s="341"/>
      <c r="EW5" s="341"/>
      <c r="EX5" s="341"/>
      <c r="EY5" s="341"/>
      <c r="EZ5" s="341"/>
      <c r="FA5" s="341"/>
      <c r="FB5" s="341"/>
      <c r="FC5" s="341"/>
      <c r="FD5" s="341"/>
      <c r="FE5" s="341"/>
      <c r="FF5" s="341"/>
      <c r="FG5" s="341"/>
      <c r="FH5" s="341"/>
      <c r="FI5" s="341"/>
      <c r="FJ5" s="341"/>
      <c r="FK5" s="341"/>
      <c r="FL5" s="341"/>
      <c r="FM5" s="341"/>
      <c r="FN5" s="341"/>
      <c r="FO5" s="341"/>
      <c r="FP5" s="341"/>
      <c r="FQ5" s="341"/>
      <c r="FR5" s="341"/>
      <c r="FS5" s="341"/>
      <c r="FT5" s="341"/>
      <c r="FU5" s="341"/>
      <c r="FV5" s="341"/>
      <c r="FW5" s="341"/>
      <c r="FX5" s="341"/>
      <c r="FY5" s="341"/>
      <c r="FZ5" s="341"/>
      <c r="GA5" s="341"/>
      <c r="GB5" s="341"/>
      <c r="GC5" s="341"/>
      <c r="GD5" s="341"/>
      <c r="GE5" s="341"/>
      <c r="GF5" s="341"/>
      <c r="GG5" s="341"/>
      <c r="GH5" s="341"/>
      <c r="GI5" s="341"/>
      <c r="GJ5" s="341"/>
      <c r="GK5" s="341"/>
      <c r="GL5" s="341"/>
      <c r="GM5" s="341"/>
      <c r="GN5" s="341"/>
      <c r="GO5" s="341"/>
      <c r="GP5" s="341"/>
      <c r="GQ5" s="341"/>
      <c r="GR5" s="341"/>
      <c r="GS5" s="341"/>
      <c r="GT5" s="341"/>
      <c r="GU5" s="341"/>
      <c r="GV5" s="341"/>
      <c r="GW5" s="341"/>
      <c r="GX5" s="341"/>
      <c r="GY5" s="341"/>
      <c r="GZ5" s="341"/>
      <c r="HA5" s="341"/>
      <c r="HB5" s="341"/>
      <c r="HC5" s="341"/>
      <c r="HD5" s="341"/>
      <c r="HE5" s="341"/>
      <c r="HF5" s="341"/>
      <c r="HG5" s="341"/>
      <c r="HH5" s="341"/>
      <c r="HI5" s="341"/>
      <c r="HJ5" s="341"/>
      <c r="HK5" s="341"/>
      <c r="HL5" s="341"/>
      <c r="HM5" s="341"/>
      <c r="HN5" s="341"/>
      <c r="HO5" s="341"/>
      <c r="HP5" s="341"/>
      <c r="HQ5" s="341"/>
      <c r="HR5" s="341"/>
      <c r="HS5" s="341"/>
      <c r="HT5" s="341"/>
      <c r="HU5" s="341"/>
      <c r="HV5" s="341"/>
      <c r="HW5" s="341"/>
      <c r="HX5" s="341"/>
      <c r="HY5" s="341"/>
      <c r="HZ5" s="341"/>
      <c r="IA5" s="341"/>
      <c r="IB5" s="341"/>
      <c r="IC5" s="341"/>
      <c r="ID5" s="341"/>
      <c r="IE5" s="341"/>
      <c r="IF5" s="341"/>
      <c r="IG5" s="341"/>
      <c r="IH5" s="341"/>
      <c r="II5" s="341"/>
      <c r="IJ5" s="341"/>
      <c r="IK5" s="341"/>
      <c r="IL5" s="341"/>
      <c r="IM5" s="341"/>
      <c r="IN5" s="341"/>
      <c r="IO5" s="341"/>
      <c r="IP5" s="341"/>
      <c r="IQ5" s="341"/>
      <c r="IR5" s="341"/>
      <c r="IS5" s="341"/>
      <c r="IT5" s="341"/>
      <c r="IU5" s="341"/>
      <c r="IV5" s="341"/>
      <c r="IW5" s="341"/>
      <c r="IX5" s="341"/>
      <c r="IY5" s="341"/>
      <c r="IZ5" s="341"/>
      <c r="JA5" s="341"/>
      <c r="JB5" s="341"/>
      <c r="JC5" s="341"/>
      <c r="JD5" s="341"/>
      <c r="JE5" s="341"/>
      <c r="JF5" s="341"/>
      <c r="JG5" s="341"/>
      <c r="JH5" s="341"/>
      <c r="JI5" s="341"/>
      <c r="JJ5" s="341"/>
      <c r="JK5" s="341"/>
      <c r="JL5" s="341"/>
      <c r="JM5" s="341"/>
      <c r="JN5" s="341"/>
      <c r="JO5" s="341"/>
      <c r="JP5" s="341"/>
      <c r="JQ5" s="341"/>
      <c r="JR5" s="341"/>
      <c r="JS5" s="341"/>
      <c r="JT5" s="341"/>
      <c r="JU5" s="341"/>
      <c r="JV5" s="341"/>
      <c r="JW5" s="341"/>
      <c r="JX5" s="341"/>
      <c r="JY5" s="341"/>
      <c r="JZ5" s="341"/>
      <c r="KA5" s="341"/>
      <c r="KB5" s="341"/>
      <c r="KC5" s="341"/>
      <c r="KD5" s="341"/>
      <c r="KE5" s="341"/>
      <c r="KF5" s="341"/>
      <c r="KG5" s="341"/>
      <c r="KH5" s="341"/>
      <c r="KI5" s="341"/>
      <c r="KJ5" s="341"/>
      <c r="KK5" s="341"/>
      <c r="KL5" s="341"/>
      <c r="KM5" s="341"/>
      <c r="KN5" s="341"/>
      <c r="KO5" s="341"/>
      <c r="KP5" s="341"/>
      <c r="KQ5" s="341"/>
      <c r="KR5" s="341"/>
      <c r="KS5" s="341"/>
      <c r="KT5" s="341"/>
      <c r="KU5" s="341"/>
      <c r="KV5" s="341"/>
      <c r="KW5" s="341"/>
      <c r="KX5" s="341"/>
      <c r="KY5" s="341"/>
      <c r="KZ5" s="341"/>
      <c r="LA5" s="341"/>
      <c r="LB5" s="341"/>
      <c r="LC5" s="341"/>
      <c r="LD5" s="341"/>
      <c r="LE5" s="341"/>
      <c r="LF5" s="341"/>
      <c r="LG5" s="341"/>
      <c r="LH5" s="341"/>
      <c r="LI5" s="341"/>
      <c r="LJ5" s="341"/>
      <c r="LK5" s="341"/>
      <c r="LL5" s="341"/>
      <c r="LM5" s="341"/>
      <c r="LN5" s="341"/>
      <c r="LO5" s="341"/>
      <c r="LP5" s="341"/>
      <c r="LQ5" s="341"/>
      <c r="LR5" s="341"/>
      <c r="LS5" s="341"/>
      <c r="LT5" s="341"/>
      <c r="LU5" s="341"/>
      <c r="LV5" s="341"/>
      <c r="LW5" s="341"/>
      <c r="LX5" s="341"/>
      <c r="LY5" s="341"/>
      <c r="LZ5" s="341"/>
      <c r="MA5" s="341"/>
      <c r="MB5" s="341"/>
      <c r="MC5" s="341"/>
      <c r="MD5" s="341"/>
      <c r="ME5" s="341"/>
      <c r="MF5" s="341"/>
      <c r="MG5" s="341"/>
      <c r="MH5" s="341"/>
      <c r="MI5" s="341"/>
      <c r="MJ5" s="341"/>
      <c r="MK5" s="341"/>
      <c r="ML5" s="341"/>
      <c r="MM5" s="341"/>
      <c r="MN5" s="341"/>
      <c r="MO5" s="341"/>
      <c r="MP5" s="341"/>
      <c r="MQ5" s="341"/>
      <c r="MR5" s="341"/>
      <c r="MS5" s="341"/>
      <c r="MT5" s="341"/>
      <c r="MU5" s="341"/>
      <c r="MV5" s="341"/>
      <c r="MW5" s="341"/>
      <c r="MX5" s="341"/>
      <c r="MY5" s="341"/>
      <c r="MZ5" s="341"/>
      <c r="NA5" s="341"/>
      <c r="NB5" s="341"/>
      <c r="NC5" s="341"/>
      <c r="ND5" s="341"/>
      <c r="NE5" s="341"/>
      <c r="NF5" s="341"/>
      <c r="NG5" s="341"/>
      <c r="NH5" s="341"/>
      <c r="NI5" s="341"/>
      <c r="NJ5" s="341"/>
      <c r="NK5" s="341"/>
      <c r="NL5" s="341"/>
      <c r="NM5" s="341"/>
      <c r="NN5" s="341"/>
      <c r="NO5" s="341"/>
      <c r="NP5" s="341"/>
      <c r="NQ5" s="341"/>
      <c r="NR5" s="341"/>
      <c r="NS5" s="341"/>
      <c r="NT5" s="341"/>
      <c r="NU5" s="341"/>
      <c r="NV5" s="341"/>
      <c r="NW5" s="341"/>
      <c r="NX5" s="341"/>
      <c r="NY5" s="341"/>
      <c r="NZ5" s="341"/>
      <c r="OA5" s="341"/>
      <c r="OB5" s="341"/>
      <c r="OC5" s="341"/>
      <c r="OD5" s="341"/>
      <c r="OE5" s="341"/>
      <c r="OF5" s="341"/>
      <c r="OG5" s="341"/>
      <c r="OH5" s="341"/>
      <c r="OI5" s="341"/>
      <c r="OJ5" s="342"/>
    </row>
    <row r="6" spans="1:400" s="33" customFormat="1" ht="40.049999999999997" customHeight="1" x14ac:dyDescent="0.3">
      <c r="A6" s="658">
        <v>2</v>
      </c>
      <c r="B6" s="657" t="s">
        <v>43</v>
      </c>
      <c r="C6" s="665" t="s">
        <v>749</v>
      </c>
      <c r="D6" s="651" t="s">
        <v>22</v>
      </c>
      <c r="E6" s="666">
        <v>20000</v>
      </c>
      <c r="F6" s="666">
        <v>1693800</v>
      </c>
      <c r="G6" s="667">
        <v>-1673800</v>
      </c>
      <c r="H6" s="651" t="s">
        <v>4471</v>
      </c>
      <c r="I6" s="651" t="s">
        <v>1134</v>
      </c>
      <c r="J6" s="651" t="s">
        <v>713</v>
      </c>
      <c r="K6" s="617" t="s">
        <v>4704</v>
      </c>
      <c r="L6" s="651" t="s">
        <v>1135</v>
      </c>
      <c r="M6" s="668" t="s">
        <v>4490</v>
      </c>
      <c r="N6" s="669" t="s">
        <v>1136</v>
      </c>
      <c r="O6" s="670">
        <v>5000</v>
      </c>
      <c r="P6" s="671">
        <v>0</v>
      </c>
      <c r="Q6" s="672"/>
      <c r="R6" s="673"/>
      <c r="S6" s="558"/>
      <c r="T6" s="186">
        <f t="shared" si="0"/>
        <v>5000</v>
      </c>
      <c r="U6" s="144"/>
      <c r="V6" s="144"/>
      <c r="W6" s="144"/>
      <c r="X6" s="144"/>
      <c r="Y6" s="144"/>
      <c r="Z6" s="144"/>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c r="BA6" s="70"/>
      <c r="BB6" s="70"/>
      <c r="BC6" s="70"/>
      <c r="BD6" s="70"/>
      <c r="BE6" s="70"/>
      <c r="BF6" s="70"/>
      <c r="BG6" s="70"/>
      <c r="BH6" s="70"/>
      <c r="BI6" s="70"/>
      <c r="BJ6" s="70"/>
      <c r="BK6" s="70"/>
      <c r="BL6" s="70"/>
      <c r="BM6" s="70"/>
      <c r="BN6" s="70"/>
      <c r="BO6" s="70"/>
      <c r="BP6" s="70"/>
      <c r="BQ6" s="70"/>
      <c r="BR6" s="70"/>
      <c r="BS6" s="70"/>
      <c r="BT6" s="70"/>
      <c r="BU6" s="70"/>
      <c r="BV6" s="70"/>
      <c r="BW6" s="70"/>
      <c r="BX6" s="70"/>
      <c r="BY6" s="70"/>
      <c r="BZ6" s="70"/>
      <c r="CA6" s="70"/>
      <c r="CB6" s="70"/>
      <c r="CC6" s="70"/>
      <c r="CD6" s="70"/>
      <c r="CE6" s="70"/>
      <c r="CF6" s="70"/>
      <c r="CG6" s="70"/>
      <c r="CH6" s="70"/>
      <c r="CI6" s="70"/>
      <c r="CJ6" s="70"/>
      <c r="CK6" s="70"/>
      <c r="CL6" s="70"/>
      <c r="CM6" s="70"/>
      <c r="CN6" s="70"/>
      <c r="CO6" s="70"/>
      <c r="CP6" s="70"/>
      <c r="CQ6" s="70"/>
      <c r="CR6" s="70"/>
      <c r="CS6" s="70"/>
      <c r="CT6" s="70"/>
      <c r="CU6" s="70"/>
      <c r="CV6" s="70"/>
      <c r="CW6" s="70"/>
      <c r="CX6" s="70"/>
      <c r="CY6" s="70"/>
      <c r="CZ6" s="70"/>
      <c r="DA6" s="70"/>
      <c r="DB6" s="70"/>
      <c r="DC6" s="70"/>
      <c r="DD6" s="70"/>
      <c r="DE6" s="70"/>
      <c r="DF6" s="70"/>
      <c r="DG6" s="70"/>
      <c r="DH6" s="70"/>
      <c r="DI6" s="70"/>
      <c r="DJ6" s="70"/>
      <c r="DK6" s="70"/>
      <c r="DL6" s="70"/>
      <c r="DM6" s="70"/>
      <c r="DN6" s="70"/>
      <c r="DO6" s="70"/>
      <c r="DP6" s="70"/>
      <c r="DQ6" s="70"/>
      <c r="DR6" s="70"/>
      <c r="DS6" s="70"/>
      <c r="DT6" s="70"/>
      <c r="DU6" s="70"/>
      <c r="DV6" s="70"/>
      <c r="DW6" s="70"/>
      <c r="DX6" s="70"/>
      <c r="DY6" s="70"/>
      <c r="DZ6" s="70"/>
      <c r="EA6" s="70"/>
      <c r="EB6" s="70"/>
      <c r="EC6" s="70"/>
      <c r="ED6" s="70"/>
      <c r="EE6" s="70"/>
      <c r="EF6" s="70"/>
      <c r="EG6" s="70"/>
      <c r="EH6" s="70"/>
      <c r="EI6" s="70"/>
      <c r="EJ6" s="70"/>
      <c r="EK6" s="70"/>
      <c r="EL6" s="70"/>
      <c r="EM6" s="70"/>
      <c r="EN6" s="70"/>
      <c r="EO6" s="70"/>
      <c r="EP6" s="70"/>
      <c r="EQ6" s="70"/>
      <c r="ER6" s="70"/>
      <c r="ES6" s="70"/>
      <c r="ET6" s="70"/>
      <c r="EU6" s="70"/>
      <c r="EV6" s="70"/>
      <c r="EW6" s="70"/>
      <c r="EX6" s="70"/>
      <c r="EY6" s="70"/>
      <c r="EZ6" s="70"/>
      <c r="FA6" s="70"/>
      <c r="FB6" s="70"/>
      <c r="FC6" s="70"/>
      <c r="FD6" s="70"/>
      <c r="FE6" s="70"/>
      <c r="FF6" s="70"/>
      <c r="FG6" s="70"/>
      <c r="FH6" s="70"/>
      <c r="FI6" s="70"/>
      <c r="FJ6" s="70"/>
      <c r="FK6" s="70"/>
      <c r="FL6" s="70"/>
      <c r="FM6" s="70"/>
      <c r="FN6" s="70"/>
      <c r="FO6" s="70"/>
      <c r="FP6" s="70"/>
      <c r="FQ6" s="70"/>
      <c r="FR6" s="70"/>
      <c r="FS6" s="70"/>
      <c r="FT6" s="70"/>
      <c r="FU6" s="70"/>
      <c r="FV6" s="70"/>
      <c r="FW6" s="70"/>
      <c r="FX6" s="70"/>
      <c r="FY6" s="70"/>
      <c r="FZ6" s="70"/>
      <c r="GA6" s="70"/>
      <c r="GB6" s="70"/>
      <c r="GC6" s="70"/>
      <c r="GD6" s="70"/>
      <c r="GE6" s="70"/>
      <c r="GF6" s="70"/>
      <c r="GG6" s="70"/>
      <c r="GH6" s="70"/>
      <c r="GI6" s="70"/>
      <c r="GJ6" s="70"/>
      <c r="GK6" s="70"/>
      <c r="GL6" s="70"/>
      <c r="GM6" s="70"/>
      <c r="GN6" s="70"/>
      <c r="GO6" s="70"/>
      <c r="GP6" s="70"/>
      <c r="GQ6" s="70"/>
      <c r="GR6" s="70"/>
      <c r="GS6" s="70"/>
      <c r="GT6" s="70"/>
      <c r="GU6" s="70"/>
      <c r="GV6" s="70"/>
      <c r="GW6" s="70"/>
      <c r="GX6" s="70"/>
      <c r="GY6" s="70"/>
      <c r="GZ6" s="70"/>
      <c r="HA6" s="70"/>
      <c r="HB6" s="70"/>
      <c r="HC6" s="70"/>
      <c r="HD6" s="70"/>
      <c r="HE6" s="70"/>
      <c r="HF6" s="70"/>
      <c r="HG6" s="70"/>
      <c r="HH6" s="70"/>
      <c r="HI6" s="70"/>
      <c r="HJ6" s="70"/>
      <c r="HK6" s="70"/>
      <c r="HL6" s="70"/>
      <c r="HM6" s="70"/>
      <c r="HN6" s="70"/>
      <c r="HO6" s="70"/>
      <c r="HP6" s="70"/>
      <c r="HQ6" s="70"/>
      <c r="HR6" s="70"/>
      <c r="HS6" s="70"/>
      <c r="HT6" s="70"/>
      <c r="HU6" s="70"/>
      <c r="HV6" s="70"/>
      <c r="HW6" s="70"/>
      <c r="HX6" s="70"/>
      <c r="HY6" s="70"/>
      <c r="HZ6" s="70"/>
      <c r="IA6" s="70"/>
      <c r="IB6" s="70"/>
      <c r="IC6" s="70"/>
      <c r="ID6" s="70"/>
      <c r="IE6" s="70"/>
      <c r="IF6" s="70"/>
      <c r="IG6" s="70"/>
      <c r="IH6" s="70"/>
      <c r="II6" s="70"/>
      <c r="IJ6" s="70"/>
      <c r="IK6" s="70"/>
      <c r="IL6" s="70"/>
      <c r="IM6" s="70"/>
      <c r="IN6" s="70"/>
      <c r="IO6" s="70"/>
      <c r="IP6" s="70"/>
      <c r="IQ6" s="70"/>
      <c r="IR6" s="70"/>
      <c r="IS6" s="70"/>
      <c r="IT6" s="70"/>
      <c r="IU6" s="70"/>
      <c r="IV6" s="70"/>
      <c r="IW6" s="70"/>
      <c r="IX6" s="70"/>
      <c r="IY6" s="70"/>
      <c r="IZ6" s="70"/>
      <c r="JA6" s="70"/>
      <c r="JB6" s="70"/>
      <c r="JC6" s="70"/>
      <c r="JD6" s="70"/>
      <c r="JE6" s="70"/>
      <c r="JF6" s="70"/>
      <c r="JG6" s="70"/>
      <c r="JH6" s="70"/>
      <c r="JI6" s="70"/>
      <c r="JJ6" s="70"/>
      <c r="JK6" s="70"/>
      <c r="JL6" s="70"/>
      <c r="JM6" s="70"/>
      <c r="JN6" s="70"/>
      <c r="JO6" s="70"/>
      <c r="JP6" s="70"/>
      <c r="JQ6" s="70"/>
      <c r="JR6" s="70"/>
      <c r="JS6" s="70"/>
      <c r="JT6" s="70"/>
      <c r="JU6" s="70"/>
      <c r="JV6" s="70"/>
      <c r="JW6" s="70"/>
      <c r="JX6" s="70"/>
      <c r="JY6" s="70"/>
      <c r="JZ6" s="70"/>
      <c r="KA6" s="70"/>
      <c r="KB6" s="70"/>
      <c r="KC6" s="70"/>
      <c r="KD6" s="70"/>
      <c r="KE6" s="70"/>
      <c r="KF6" s="70"/>
      <c r="KG6" s="70"/>
      <c r="KH6" s="70"/>
      <c r="KI6" s="70"/>
      <c r="KJ6" s="70"/>
      <c r="KK6" s="70"/>
      <c r="KL6" s="70"/>
      <c r="KM6" s="70"/>
      <c r="KN6" s="70"/>
      <c r="KO6" s="70"/>
      <c r="KP6" s="70"/>
      <c r="KQ6" s="70"/>
      <c r="KR6" s="70"/>
      <c r="KS6" s="70"/>
      <c r="KT6" s="70"/>
      <c r="KU6" s="70"/>
      <c r="KV6" s="70"/>
      <c r="KW6" s="70"/>
      <c r="KX6" s="70"/>
      <c r="KY6" s="70"/>
      <c r="KZ6" s="70"/>
      <c r="LA6" s="70"/>
      <c r="LB6" s="70"/>
      <c r="LC6" s="70"/>
      <c r="LD6" s="70"/>
      <c r="LE6" s="70"/>
      <c r="LF6" s="70"/>
      <c r="LG6" s="70"/>
      <c r="LH6" s="70"/>
      <c r="LI6" s="70"/>
      <c r="LJ6" s="70"/>
      <c r="LK6" s="70"/>
      <c r="LL6" s="70"/>
      <c r="LM6" s="70"/>
      <c r="LN6" s="70"/>
      <c r="LO6" s="70"/>
      <c r="LP6" s="70"/>
      <c r="LQ6" s="70"/>
      <c r="LR6" s="70"/>
      <c r="LS6" s="70"/>
      <c r="LT6" s="70"/>
      <c r="LU6" s="70"/>
      <c r="LV6" s="70"/>
      <c r="LW6" s="70"/>
      <c r="LX6" s="70"/>
      <c r="LY6" s="70"/>
      <c r="LZ6" s="70"/>
      <c r="MA6" s="70"/>
      <c r="MB6" s="70"/>
      <c r="MC6" s="70"/>
      <c r="MD6" s="70"/>
      <c r="ME6" s="70"/>
      <c r="MF6" s="70"/>
      <c r="MG6" s="70"/>
      <c r="MH6" s="70"/>
      <c r="MI6" s="70"/>
      <c r="MJ6" s="70"/>
      <c r="MK6" s="70"/>
      <c r="ML6" s="70"/>
      <c r="MM6" s="70"/>
      <c r="MN6" s="70"/>
      <c r="MO6" s="70"/>
      <c r="MP6" s="70"/>
      <c r="MQ6" s="70"/>
      <c r="MR6" s="70"/>
      <c r="MS6" s="70"/>
      <c r="MT6" s="70"/>
      <c r="MU6" s="70"/>
      <c r="MV6" s="70"/>
      <c r="MW6" s="70"/>
      <c r="MX6" s="70"/>
      <c r="MY6" s="70"/>
      <c r="MZ6" s="70"/>
      <c r="NA6" s="70"/>
      <c r="NB6" s="70"/>
      <c r="NC6" s="70"/>
      <c r="ND6" s="70"/>
      <c r="NE6" s="70"/>
      <c r="NF6" s="70"/>
      <c r="NG6" s="70"/>
      <c r="NH6" s="70"/>
      <c r="NI6" s="70"/>
      <c r="NJ6" s="70"/>
      <c r="NK6" s="70"/>
      <c r="NL6" s="70"/>
      <c r="NM6" s="70"/>
      <c r="NN6" s="70"/>
      <c r="NO6" s="70"/>
      <c r="NP6" s="70"/>
      <c r="NQ6" s="70"/>
      <c r="NR6" s="70"/>
      <c r="NS6" s="70"/>
      <c r="NT6" s="70"/>
      <c r="NU6" s="70"/>
      <c r="NV6" s="70"/>
      <c r="NW6" s="70"/>
      <c r="NX6" s="70"/>
      <c r="NY6" s="70"/>
      <c r="NZ6" s="70"/>
      <c r="OA6" s="70"/>
      <c r="OB6" s="70"/>
      <c r="OC6" s="70"/>
      <c r="OD6" s="70"/>
      <c r="OE6" s="70"/>
      <c r="OF6" s="70"/>
      <c r="OG6" s="70"/>
      <c r="OH6" s="70"/>
      <c r="OI6" s="70"/>
      <c r="OJ6" s="71"/>
    </row>
    <row r="7" spans="1:400" s="34" customFormat="1" ht="40.049999999999997" customHeight="1" x14ac:dyDescent="0.3">
      <c r="A7" s="920">
        <v>3</v>
      </c>
      <c r="B7" s="636" t="s">
        <v>687</v>
      </c>
      <c r="C7" s="674" t="s">
        <v>750</v>
      </c>
      <c r="D7" s="614" t="s">
        <v>19</v>
      </c>
      <c r="E7" s="675">
        <v>0</v>
      </c>
      <c r="F7" s="615">
        <v>1693800</v>
      </c>
      <c r="G7" s="675">
        <v>-1693800</v>
      </c>
      <c r="H7" s="614" t="s">
        <v>4472</v>
      </c>
      <c r="I7" s="614" t="s">
        <v>1137</v>
      </c>
      <c r="J7" s="614" t="s">
        <v>713</v>
      </c>
      <c r="K7" s="620" t="s">
        <v>4705</v>
      </c>
      <c r="L7" s="614" t="s">
        <v>1138</v>
      </c>
      <c r="M7" s="676" t="s">
        <v>4491</v>
      </c>
      <c r="N7" s="661" t="s">
        <v>1136</v>
      </c>
      <c r="O7" s="677">
        <v>0</v>
      </c>
      <c r="P7" s="678">
        <v>50000</v>
      </c>
      <c r="Q7" s="679"/>
      <c r="R7" s="680"/>
      <c r="S7" s="559"/>
      <c r="T7" s="190">
        <f t="shared" si="0"/>
        <v>50000</v>
      </c>
      <c r="U7" s="189"/>
      <c r="V7" s="189"/>
      <c r="W7" s="189"/>
      <c r="X7" s="189"/>
      <c r="Y7" s="189"/>
      <c r="Z7" s="189"/>
      <c r="AA7" s="72"/>
      <c r="AB7" s="72"/>
      <c r="AC7" s="72"/>
      <c r="AD7" s="72"/>
      <c r="AE7" s="72"/>
      <c r="AF7" s="72"/>
      <c r="AG7" s="72"/>
      <c r="AH7" s="72"/>
      <c r="AI7" s="72"/>
      <c r="AJ7" s="72"/>
      <c r="AK7" s="72"/>
      <c r="AL7" s="72"/>
      <c r="AM7" s="72"/>
      <c r="AN7" s="72"/>
      <c r="AO7" s="72"/>
      <c r="AP7" s="72"/>
      <c r="AQ7" s="72"/>
      <c r="AR7" s="72"/>
      <c r="AS7" s="72"/>
      <c r="AT7" s="72"/>
      <c r="AU7" s="72"/>
      <c r="AV7" s="72"/>
      <c r="AW7" s="72"/>
      <c r="AX7" s="72"/>
      <c r="AY7" s="72"/>
      <c r="AZ7" s="72"/>
      <c r="BA7" s="72"/>
      <c r="BB7" s="72"/>
      <c r="BC7" s="72"/>
      <c r="BD7" s="72"/>
      <c r="BE7" s="72"/>
      <c r="BF7" s="72"/>
      <c r="BG7" s="72"/>
      <c r="BH7" s="72"/>
      <c r="BI7" s="72"/>
      <c r="BJ7" s="72"/>
      <c r="BK7" s="72"/>
      <c r="BL7" s="72"/>
      <c r="BM7" s="72"/>
      <c r="BN7" s="72"/>
      <c r="BO7" s="72"/>
      <c r="BP7" s="72"/>
      <c r="BQ7" s="72"/>
      <c r="BR7" s="72"/>
      <c r="BS7" s="72"/>
      <c r="BT7" s="72"/>
      <c r="BU7" s="72"/>
      <c r="BV7" s="72"/>
      <c r="BW7" s="72"/>
      <c r="BX7" s="72"/>
      <c r="BY7" s="72"/>
      <c r="BZ7" s="72"/>
      <c r="CA7" s="72"/>
      <c r="CB7" s="72"/>
      <c r="CC7" s="72"/>
      <c r="CD7" s="72"/>
      <c r="CE7" s="72"/>
      <c r="CF7" s="72"/>
      <c r="CG7" s="72"/>
      <c r="CH7" s="72"/>
      <c r="CI7" s="72"/>
      <c r="CJ7" s="72"/>
      <c r="CK7" s="72"/>
      <c r="CL7" s="72"/>
      <c r="CM7" s="72"/>
      <c r="CN7" s="72"/>
      <c r="CO7" s="72"/>
      <c r="CP7" s="72"/>
      <c r="CQ7" s="72"/>
      <c r="CR7" s="72"/>
      <c r="CS7" s="72"/>
      <c r="CT7" s="72"/>
      <c r="CU7" s="72"/>
      <c r="CV7" s="72"/>
      <c r="CW7" s="72"/>
      <c r="CX7" s="72"/>
      <c r="CY7" s="72"/>
      <c r="CZ7" s="72"/>
      <c r="DA7" s="72"/>
      <c r="DB7" s="72"/>
      <c r="DC7" s="72"/>
      <c r="DD7" s="72"/>
      <c r="DE7" s="72"/>
      <c r="DF7" s="72"/>
      <c r="DG7" s="72"/>
      <c r="DH7" s="72"/>
      <c r="DI7" s="72"/>
      <c r="DJ7" s="72"/>
      <c r="DK7" s="72"/>
      <c r="DL7" s="72"/>
      <c r="DM7" s="72"/>
      <c r="DN7" s="72"/>
      <c r="DO7" s="72"/>
      <c r="DP7" s="72"/>
      <c r="DQ7" s="72"/>
      <c r="DR7" s="72"/>
      <c r="DS7" s="72"/>
      <c r="DT7" s="72"/>
      <c r="DU7" s="72"/>
      <c r="DV7" s="72"/>
      <c r="DW7" s="72"/>
      <c r="DX7" s="72"/>
      <c r="DY7" s="72"/>
      <c r="DZ7" s="72"/>
      <c r="EA7" s="72"/>
      <c r="EB7" s="72"/>
      <c r="EC7" s="72"/>
      <c r="ED7" s="72"/>
      <c r="EE7" s="72"/>
      <c r="EF7" s="72"/>
      <c r="EG7" s="72"/>
      <c r="EH7" s="72"/>
      <c r="EI7" s="72"/>
      <c r="EJ7" s="72"/>
      <c r="EK7" s="72"/>
      <c r="EL7" s="72"/>
      <c r="EM7" s="72"/>
      <c r="EN7" s="72"/>
      <c r="EO7" s="72"/>
      <c r="EP7" s="72"/>
      <c r="EQ7" s="72"/>
      <c r="ER7" s="72"/>
      <c r="ES7" s="72"/>
      <c r="ET7" s="72"/>
      <c r="EU7" s="72"/>
      <c r="EV7" s="72"/>
      <c r="EW7" s="72"/>
      <c r="EX7" s="72"/>
      <c r="EY7" s="72"/>
      <c r="EZ7" s="72"/>
      <c r="FA7" s="72"/>
      <c r="FB7" s="72"/>
      <c r="FC7" s="72"/>
      <c r="FD7" s="72"/>
      <c r="FE7" s="72"/>
      <c r="FF7" s="72"/>
      <c r="FG7" s="72"/>
      <c r="FH7" s="72"/>
      <c r="FI7" s="72"/>
      <c r="FJ7" s="72"/>
      <c r="FK7" s="72"/>
      <c r="FL7" s="72"/>
      <c r="FM7" s="72"/>
      <c r="FN7" s="72"/>
      <c r="FO7" s="72"/>
      <c r="FP7" s="72"/>
      <c r="FQ7" s="72"/>
      <c r="FR7" s="72"/>
      <c r="FS7" s="72"/>
      <c r="FT7" s="72"/>
      <c r="FU7" s="72"/>
      <c r="FV7" s="72"/>
      <c r="FW7" s="72"/>
      <c r="FX7" s="72"/>
      <c r="FY7" s="72"/>
      <c r="FZ7" s="72"/>
      <c r="GA7" s="72"/>
      <c r="GB7" s="72"/>
      <c r="GC7" s="72"/>
      <c r="GD7" s="72"/>
      <c r="GE7" s="72"/>
      <c r="GF7" s="72"/>
      <c r="GG7" s="72"/>
      <c r="GH7" s="72"/>
      <c r="GI7" s="72"/>
      <c r="GJ7" s="72"/>
      <c r="GK7" s="72"/>
      <c r="GL7" s="72"/>
      <c r="GM7" s="72"/>
      <c r="GN7" s="72"/>
      <c r="GO7" s="72"/>
      <c r="GP7" s="72"/>
      <c r="GQ7" s="72"/>
      <c r="GR7" s="72"/>
      <c r="GS7" s="72"/>
      <c r="GT7" s="72"/>
      <c r="GU7" s="72"/>
      <c r="GV7" s="72"/>
      <c r="GW7" s="72"/>
      <c r="GX7" s="72"/>
      <c r="GY7" s="72"/>
      <c r="GZ7" s="72"/>
      <c r="HA7" s="72"/>
      <c r="HB7" s="72"/>
      <c r="HC7" s="72"/>
      <c r="HD7" s="72"/>
      <c r="HE7" s="72"/>
      <c r="HF7" s="72"/>
      <c r="HG7" s="72"/>
      <c r="HH7" s="72"/>
      <c r="HI7" s="72"/>
      <c r="HJ7" s="72"/>
      <c r="HK7" s="72"/>
      <c r="HL7" s="72"/>
      <c r="HM7" s="72"/>
      <c r="HN7" s="72"/>
      <c r="HO7" s="72"/>
      <c r="HP7" s="72"/>
      <c r="HQ7" s="72"/>
      <c r="HR7" s="72"/>
      <c r="HS7" s="72"/>
      <c r="HT7" s="72"/>
      <c r="HU7" s="72"/>
      <c r="HV7" s="72"/>
      <c r="HW7" s="72"/>
      <c r="HX7" s="72"/>
      <c r="HY7" s="72"/>
      <c r="HZ7" s="72"/>
      <c r="IA7" s="72"/>
      <c r="IB7" s="72"/>
      <c r="IC7" s="72"/>
      <c r="ID7" s="72"/>
      <c r="IE7" s="72"/>
      <c r="IF7" s="72"/>
      <c r="IG7" s="72"/>
      <c r="IH7" s="72"/>
      <c r="II7" s="72"/>
      <c r="IJ7" s="72"/>
      <c r="IK7" s="72"/>
      <c r="IL7" s="72"/>
      <c r="IM7" s="72"/>
      <c r="IN7" s="72"/>
      <c r="IO7" s="72"/>
      <c r="IP7" s="72"/>
      <c r="IQ7" s="72"/>
      <c r="IR7" s="72"/>
      <c r="IS7" s="72"/>
      <c r="IT7" s="72"/>
      <c r="IU7" s="72"/>
      <c r="IV7" s="72"/>
      <c r="IW7" s="72"/>
      <c r="IX7" s="72"/>
      <c r="IY7" s="72"/>
      <c r="IZ7" s="72"/>
      <c r="JA7" s="72"/>
      <c r="JB7" s="72"/>
      <c r="JC7" s="72"/>
      <c r="JD7" s="72"/>
      <c r="JE7" s="72"/>
      <c r="JF7" s="72"/>
      <c r="JG7" s="72"/>
      <c r="JH7" s="72"/>
      <c r="JI7" s="72"/>
      <c r="JJ7" s="72"/>
      <c r="JK7" s="72"/>
      <c r="JL7" s="72"/>
      <c r="JM7" s="72"/>
      <c r="JN7" s="72"/>
      <c r="JO7" s="72"/>
      <c r="JP7" s="72"/>
      <c r="JQ7" s="72"/>
      <c r="JR7" s="72"/>
      <c r="JS7" s="72"/>
      <c r="JT7" s="72"/>
      <c r="JU7" s="72"/>
      <c r="JV7" s="72"/>
      <c r="JW7" s="72"/>
      <c r="JX7" s="72"/>
      <c r="JY7" s="72"/>
      <c r="JZ7" s="72"/>
      <c r="KA7" s="72"/>
      <c r="KB7" s="72"/>
      <c r="KC7" s="72"/>
      <c r="KD7" s="72"/>
      <c r="KE7" s="72"/>
      <c r="KF7" s="72"/>
      <c r="KG7" s="72"/>
      <c r="KH7" s="72"/>
      <c r="KI7" s="72"/>
      <c r="KJ7" s="72"/>
      <c r="KK7" s="72"/>
      <c r="KL7" s="72"/>
      <c r="KM7" s="72"/>
      <c r="KN7" s="72"/>
      <c r="KO7" s="72"/>
      <c r="KP7" s="72"/>
      <c r="KQ7" s="72"/>
      <c r="KR7" s="72"/>
      <c r="KS7" s="72"/>
      <c r="KT7" s="72"/>
      <c r="KU7" s="72"/>
      <c r="KV7" s="72"/>
      <c r="KW7" s="72"/>
      <c r="KX7" s="72"/>
      <c r="KY7" s="72"/>
      <c r="KZ7" s="72"/>
      <c r="LA7" s="72"/>
      <c r="LB7" s="72"/>
      <c r="LC7" s="72"/>
      <c r="LD7" s="72"/>
      <c r="LE7" s="72"/>
      <c r="LF7" s="72"/>
      <c r="LG7" s="72"/>
      <c r="LH7" s="72"/>
      <c r="LI7" s="72"/>
      <c r="LJ7" s="72"/>
      <c r="LK7" s="72"/>
      <c r="LL7" s="72"/>
      <c r="LM7" s="72"/>
      <c r="LN7" s="72"/>
      <c r="LO7" s="72"/>
      <c r="LP7" s="72"/>
      <c r="LQ7" s="72"/>
      <c r="LR7" s="72"/>
      <c r="LS7" s="72"/>
      <c r="LT7" s="72"/>
      <c r="LU7" s="72"/>
      <c r="LV7" s="72"/>
      <c r="LW7" s="72"/>
      <c r="LX7" s="72"/>
      <c r="LY7" s="72"/>
      <c r="LZ7" s="72"/>
      <c r="MA7" s="72"/>
      <c r="MB7" s="72"/>
      <c r="MC7" s="72"/>
      <c r="MD7" s="72"/>
      <c r="ME7" s="72"/>
      <c r="MF7" s="72"/>
      <c r="MG7" s="72"/>
      <c r="MH7" s="72"/>
      <c r="MI7" s="72"/>
      <c r="MJ7" s="72"/>
      <c r="MK7" s="72"/>
      <c r="ML7" s="72"/>
      <c r="MM7" s="72"/>
      <c r="MN7" s="72"/>
      <c r="MO7" s="72"/>
      <c r="MP7" s="72"/>
      <c r="MQ7" s="72"/>
      <c r="MR7" s="72"/>
      <c r="MS7" s="72"/>
      <c r="MT7" s="72"/>
      <c r="MU7" s="72"/>
      <c r="MV7" s="72"/>
      <c r="MW7" s="72"/>
      <c r="MX7" s="72"/>
      <c r="MY7" s="72"/>
      <c r="MZ7" s="72"/>
      <c r="NA7" s="72"/>
      <c r="NB7" s="72"/>
      <c r="NC7" s="72"/>
      <c r="ND7" s="72"/>
      <c r="NE7" s="72"/>
      <c r="NF7" s="72"/>
      <c r="NG7" s="72"/>
      <c r="NH7" s="72"/>
      <c r="NI7" s="72"/>
      <c r="NJ7" s="72"/>
      <c r="NK7" s="72"/>
      <c r="NL7" s="72"/>
      <c r="NM7" s="72"/>
      <c r="NN7" s="72"/>
      <c r="NO7" s="72"/>
      <c r="NP7" s="72"/>
      <c r="NQ7" s="72"/>
      <c r="NR7" s="72"/>
      <c r="NS7" s="72"/>
      <c r="NT7" s="72"/>
      <c r="NU7" s="72"/>
      <c r="NV7" s="72"/>
      <c r="NW7" s="72"/>
      <c r="NX7" s="72"/>
      <c r="NY7" s="72"/>
      <c r="NZ7" s="72"/>
      <c r="OA7" s="72"/>
      <c r="OB7" s="72"/>
      <c r="OC7" s="72"/>
      <c r="OD7" s="72"/>
      <c r="OE7" s="72"/>
      <c r="OF7" s="72"/>
      <c r="OG7" s="72"/>
      <c r="OH7" s="72"/>
      <c r="OI7" s="72"/>
      <c r="OJ7" s="73"/>
    </row>
    <row r="8" spans="1:400" s="33" customFormat="1" ht="40.049999999999997" customHeight="1" x14ac:dyDescent="0.3">
      <c r="A8" s="658">
        <v>4</v>
      </c>
      <c r="B8" s="657" t="s">
        <v>57</v>
      </c>
      <c r="C8" s="665" t="s">
        <v>751</v>
      </c>
      <c r="D8" s="651" t="s">
        <v>19</v>
      </c>
      <c r="E8" s="667">
        <v>0</v>
      </c>
      <c r="F8" s="666">
        <v>1693800</v>
      </c>
      <c r="G8" s="667">
        <v>-1693800</v>
      </c>
      <c r="H8" s="651" t="s">
        <v>4473</v>
      </c>
      <c r="I8" s="651" t="s">
        <v>1139</v>
      </c>
      <c r="J8" s="651" t="s">
        <v>713</v>
      </c>
      <c r="K8" s="617" t="s">
        <v>4706</v>
      </c>
      <c r="L8" s="651" t="s">
        <v>1138</v>
      </c>
      <c r="M8" s="668" t="s">
        <v>4492</v>
      </c>
      <c r="N8" s="669" t="s">
        <v>1140</v>
      </c>
      <c r="O8" s="670">
        <v>0</v>
      </c>
      <c r="P8" s="671">
        <v>0</v>
      </c>
      <c r="Q8" s="672"/>
      <c r="R8" s="673"/>
      <c r="S8" s="558"/>
      <c r="T8" s="186">
        <f t="shared" si="0"/>
        <v>0</v>
      </c>
      <c r="U8" s="144"/>
      <c r="V8" s="144"/>
      <c r="W8" s="144"/>
      <c r="X8" s="144"/>
      <c r="Y8" s="144"/>
      <c r="Z8" s="144"/>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0"/>
      <c r="BK8" s="70"/>
      <c r="BL8" s="70"/>
      <c r="BM8" s="70"/>
      <c r="BN8" s="70"/>
      <c r="BO8" s="70"/>
      <c r="BP8" s="70"/>
      <c r="BQ8" s="70"/>
      <c r="BR8" s="70"/>
      <c r="BS8" s="70"/>
      <c r="BT8" s="70"/>
      <c r="BU8" s="70"/>
      <c r="BV8" s="70"/>
      <c r="BW8" s="70"/>
      <c r="BX8" s="70"/>
      <c r="BY8" s="70"/>
      <c r="BZ8" s="70"/>
      <c r="CA8" s="70"/>
      <c r="CB8" s="70"/>
      <c r="CC8" s="70"/>
      <c r="CD8" s="70"/>
      <c r="CE8" s="70"/>
      <c r="CF8" s="70"/>
      <c r="CG8" s="70"/>
      <c r="CH8" s="70"/>
      <c r="CI8" s="70"/>
      <c r="CJ8" s="70"/>
      <c r="CK8" s="70"/>
      <c r="CL8" s="70"/>
      <c r="CM8" s="70"/>
      <c r="CN8" s="70"/>
      <c r="CO8" s="70"/>
      <c r="CP8" s="70"/>
      <c r="CQ8" s="70"/>
      <c r="CR8" s="70"/>
      <c r="CS8" s="70"/>
      <c r="CT8" s="70"/>
      <c r="CU8" s="70"/>
      <c r="CV8" s="70"/>
      <c r="CW8" s="70"/>
      <c r="CX8" s="70"/>
      <c r="CY8" s="70"/>
      <c r="CZ8" s="70"/>
      <c r="DA8" s="70"/>
      <c r="DB8" s="70"/>
      <c r="DC8" s="70"/>
      <c r="DD8" s="70"/>
      <c r="DE8" s="70"/>
      <c r="DF8" s="70"/>
      <c r="DG8" s="70"/>
      <c r="DH8" s="70"/>
      <c r="DI8" s="70"/>
      <c r="DJ8" s="70"/>
      <c r="DK8" s="70"/>
      <c r="DL8" s="70"/>
      <c r="DM8" s="70"/>
      <c r="DN8" s="70"/>
      <c r="DO8" s="70"/>
      <c r="DP8" s="70"/>
      <c r="DQ8" s="70"/>
      <c r="DR8" s="70"/>
      <c r="DS8" s="70"/>
      <c r="DT8" s="70"/>
      <c r="DU8" s="70"/>
      <c r="DV8" s="70"/>
      <c r="DW8" s="70"/>
      <c r="DX8" s="70"/>
      <c r="DY8" s="70"/>
      <c r="DZ8" s="70"/>
      <c r="EA8" s="70"/>
      <c r="EB8" s="70"/>
      <c r="EC8" s="70"/>
      <c r="ED8" s="70"/>
      <c r="EE8" s="70"/>
      <c r="EF8" s="70"/>
      <c r="EG8" s="70"/>
      <c r="EH8" s="70"/>
      <c r="EI8" s="70"/>
      <c r="EJ8" s="70"/>
      <c r="EK8" s="70"/>
      <c r="EL8" s="70"/>
      <c r="EM8" s="70"/>
      <c r="EN8" s="70"/>
      <c r="EO8" s="70"/>
      <c r="EP8" s="70"/>
      <c r="EQ8" s="70"/>
      <c r="ER8" s="70"/>
      <c r="ES8" s="70"/>
      <c r="ET8" s="70"/>
      <c r="EU8" s="70"/>
      <c r="EV8" s="70"/>
      <c r="EW8" s="70"/>
      <c r="EX8" s="70"/>
      <c r="EY8" s="70"/>
      <c r="EZ8" s="70"/>
      <c r="FA8" s="70"/>
      <c r="FB8" s="70"/>
      <c r="FC8" s="70"/>
      <c r="FD8" s="70"/>
      <c r="FE8" s="70"/>
      <c r="FF8" s="70"/>
      <c r="FG8" s="70"/>
      <c r="FH8" s="70"/>
      <c r="FI8" s="70"/>
      <c r="FJ8" s="70"/>
      <c r="FK8" s="70"/>
      <c r="FL8" s="70"/>
      <c r="FM8" s="70"/>
      <c r="FN8" s="70"/>
      <c r="FO8" s="70"/>
      <c r="FP8" s="70"/>
      <c r="FQ8" s="70"/>
      <c r="FR8" s="70"/>
      <c r="FS8" s="70"/>
      <c r="FT8" s="70"/>
      <c r="FU8" s="70"/>
      <c r="FV8" s="70"/>
      <c r="FW8" s="70"/>
      <c r="FX8" s="70"/>
      <c r="FY8" s="70"/>
      <c r="FZ8" s="70"/>
      <c r="GA8" s="70"/>
      <c r="GB8" s="70"/>
      <c r="GC8" s="70"/>
      <c r="GD8" s="70"/>
      <c r="GE8" s="70"/>
      <c r="GF8" s="70"/>
      <c r="GG8" s="70"/>
      <c r="GH8" s="70"/>
      <c r="GI8" s="70"/>
      <c r="GJ8" s="70"/>
      <c r="GK8" s="70"/>
      <c r="GL8" s="70"/>
      <c r="GM8" s="70"/>
      <c r="GN8" s="70"/>
      <c r="GO8" s="70"/>
      <c r="GP8" s="70"/>
      <c r="GQ8" s="70"/>
      <c r="GR8" s="70"/>
      <c r="GS8" s="70"/>
      <c r="GT8" s="70"/>
      <c r="GU8" s="70"/>
      <c r="GV8" s="70"/>
      <c r="GW8" s="70"/>
      <c r="GX8" s="70"/>
      <c r="GY8" s="70"/>
      <c r="GZ8" s="70"/>
      <c r="HA8" s="70"/>
      <c r="HB8" s="70"/>
      <c r="HC8" s="70"/>
      <c r="HD8" s="70"/>
      <c r="HE8" s="70"/>
      <c r="HF8" s="70"/>
      <c r="HG8" s="70"/>
      <c r="HH8" s="70"/>
      <c r="HI8" s="70"/>
      <c r="HJ8" s="70"/>
      <c r="HK8" s="70"/>
      <c r="HL8" s="70"/>
      <c r="HM8" s="70"/>
      <c r="HN8" s="70"/>
      <c r="HO8" s="70"/>
      <c r="HP8" s="70"/>
      <c r="HQ8" s="70"/>
      <c r="HR8" s="70"/>
      <c r="HS8" s="70"/>
      <c r="HT8" s="70"/>
      <c r="HU8" s="70"/>
      <c r="HV8" s="70"/>
      <c r="HW8" s="70"/>
      <c r="HX8" s="70"/>
      <c r="HY8" s="70"/>
      <c r="HZ8" s="70"/>
      <c r="IA8" s="70"/>
      <c r="IB8" s="70"/>
      <c r="IC8" s="70"/>
      <c r="ID8" s="70"/>
      <c r="IE8" s="70"/>
      <c r="IF8" s="70"/>
      <c r="IG8" s="70"/>
      <c r="IH8" s="70"/>
      <c r="II8" s="70"/>
      <c r="IJ8" s="70"/>
      <c r="IK8" s="70"/>
      <c r="IL8" s="70"/>
      <c r="IM8" s="70"/>
      <c r="IN8" s="70"/>
      <c r="IO8" s="70"/>
      <c r="IP8" s="70"/>
      <c r="IQ8" s="70"/>
      <c r="IR8" s="70"/>
      <c r="IS8" s="70"/>
      <c r="IT8" s="70"/>
      <c r="IU8" s="70"/>
      <c r="IV8" s="70"/>
      <c r="IW8" s="70"/>
      <c r="IX8" s="70"/>
      <c r="IY8" s="70"/>
      <c r="IZ8" s="70"/>
      <c r="JA8" s="70"/>
      <c r="JB8" s="70"/>
      <c r="JC8" s="70"/>
      <c r="JD8" s="70"/>
      <c r="JE8" s="70"/>
      <c r="JF8" s="70"/>
      <c r="JG8" s="70"/>
      <c r="JH8" s="70"/>
      <c r="JI8" s="70"/>
      <c r="JJ8" s="70"/>
      <c r="JK8" s="70"/>
      <c r="JL8" s="70"/>
      <c r="JM8" s="70"/>
      <c r="JN8" s="70"/>
      <c r="JO8" s="70"/>
      <c r="JP8" s="70"/>
      <c r="JQ8" s="70"/>
      <c r="JR8" s="70"/>
      <c r="JS8" s="70"/>
      <c r="JT8" s="70"/>
      <c r="JU8" s="70"/>
      <c r="JV8" s="70"/>
      <c r="JW8" s="70"/>
      <c r="JX8" s="70"/>
      <c r="JY8" s="70"/>
      <c r="JZ8" s="70"/>
      <c r="KA8" s="70"/>
      <c r="KB8" s="70"/>
      <c r="KC8" s="70"/>
      <c r="KD8" s="70"/>
      <c r="KE8" s="70"/>
      <c r="KF8" s="70"/>
      <c r="KG8" s="70"/>
      <c r="KH8" s="70"/>
      <c r="KI8" s="70"/>
      <c r="KJ8" s="70"/>
      <c r="KK8" s="70"/>
      <c r="KL8" s="70"/>
      <c r="KM8" s="70"/>
      <c r="KN8" s="70"/>
      <c r="KO8" s="70"/>
      <c r="KP8" s="70"/>
      <c r="KQ8" s="70"/>
      <c r="KR8" s="70"/>
      <c r="KS8" s="70"/>
      <c r="KT8" s="70"/>
      <c r="KU8" s="70"/>
      <c r="KV8" s="70"/>
      <c r="KW8" s="70"/>
      <c r="KX8" s="70"/>
      <c r="KY8" s="70"/>
      <c r="KZ8" s="70"/>
      <c r="LA8" s="70"/>
      <c r="LB8" s="70"/>
      <c r="LC8" s="70"/>
      <c r="LD8" s="70"/>
      <c r="LE8" s="70"/>
      <c r="LF8" s="70"/>
      <c r="LG8" s="70"/>
      <c r="LH8" s="70"/>
      <c r="LI8" s="70"/>
      <c r="LJ8" s="70"/>
      <c r="LK8" s="70"/>
      <c r="LL8" s="70"/>
      <c r="LM8" s="70"/>
      <c r="LN8" s="70"/>
      <c r="LO8" s="70"/>
      <c r="LP8" s="70"/>
      <c r="LQ8" s="70"/>
      <c r="LR8" s="70"/>
      <c r="LS8" s="70"/>
      <c r="LT8" s="70"/>
      <c r="LU8" s="70"/>
      <c r="LV8" s="70"/>
      <c r="LW8" s="70"/>
      <c r="LX8" s="70"/>
      <c r="LY8" s="70"/>
      <c r="LZ8" s="70"/>
      <c r="MA8" s="70"/>
      <c r="MB8" s="70"/>
      <c r="MC8" s="70"/>
      <c r="MD8" s="70"/>
      <c r="ME8" s="70"/>
      <c r="MF8" s="70"/>
      <c r="MG8" s="70"/>
      <c r="MH8" s="70"/>
      <c r="MI8" s="70"/>
      <c r="MJ8" s="70"/>
      <c r="MK8" s="70"/>
      <c r="ML8" s="70"/>
      <c r="MM8" s="70"/>
      <c r="MN8" s="70"/>
      <c r="MO8" s="70"/>
      <c r="MP8" s="70"/>
      <c r="MQ8" s="70"/>
      <c r="MR8" s="70"/>
      <c r="MS8" s="70"/>
      <c r="MT8" s="70"/>
      <c r="MU8" s="70"/>
      <c r="MV8" s="70"/>
      <c r="MW8" s="70"/>
      <c r="MX8" s="70"/>
      <c r="MY8" s="70"/>
      <c r="MZ8" s="70"/>
      <c r="NA8" s="70"/>
      <c r="NB8" s="70"/>
      <c r="NC8" s="70"/>
      <c r="ND8" s="70"/>
      <c r="NE8" s="70"/>
      <c r="NF8" s="70"/>
      <c r="NG8" s="70"/>
      <c r="NH8" s="70"/>
      <c r="NI8" s="70"/>
      <c r="NJ8" s="70"/>
      <c r="NK8" s="70"/>
      <c r="NL8" s="70"/>
      <c r="NM8" s="70"/>
      <c r="NN8" s="70"/>
      <c r="NO8" s="70"/>
      <c r="NP8" s="70"/>
      <c r="NQ8" s="70"/>
      <c r="NR8" s="70"/>
      <c r="NS8" s="70"/>
      <c r="NT8" s="70"/>
      <c r="NU8" s="70"/>
      <c r="NV8" s="70"/>
      <c r="NW8" s="70"/>
      <c r="NX8" s="70"/>
      <c r="NY8" s="70"/>
      <c r="NZ8" s="70"/>
      <c r="OA8" s="70"/>
      <c r="OB8" s="70"/>
      <c r="OC8" s="70"/>
      <c r="OD8" s="70"/>
      <c r="OE8" s="70"/>
      <c r="OF8" s="70"/>
      <c r="OG8" s="70"/>
      <c r="OH8" s="70"/>
      <c r="OI8" s="70"/>
      <c r="OJ8" s="71"/>
    </row>
    <row r="9" spans="1:400" s="34" customFormat="1" ht="40.049999999999997" customHeight="1" x14ac:dyDescent="0.3">
      <c r="A9" s="920">
        <v>5</v>
      </c>
      <c r="B9" s="636" t="s">
        <v>693</v>
      </c>
      <c r="C9" s="674" t="s">
        <v>752</v>
      </c>
      <c r="D9" s="614" t="s">
        <v>22</v>
      </c>
      <c r="E9" s="675">
        <v>0</v>
      </c>
      <c r="F9" s="675">
        <v>0</v>
      </c>
      <c r="G9" s="675">
        <v>0</v>
      </c>
      <c r="H9" s="674" t="s">
        <v>4474</v>
      </c>
      <c r="I9" s="614" t="s">
        <v>1141</v>
      </c>
      <c r="J9" s="614" t="s">
        <v>1142</v>
      </c>
      <c r="K9" s="620" t="s">
        <v>1143</v>
      </c>
      <c r="L9" s="614" t="s">
        <v>1144</v>
      </c>
      <c r="M9" s="676" t="s">
        <v>4493</v>
      </c>
      <c r="N9" s="661" t="s">
        <v>1146</v>
      </c>
      <c r="O9" s="677">
        <v>1673.18</v>
      </c>
      <c r="P9" s="681">
        <v>90736.75</v>
      </c>
      <c r="Q9" s="679"/>
      <c r="R9" s="680"/>
      <c r="S9" s="559"/>
      <c r="T9" s="190">
        <f t="shared" si="0"/>
        <v>92409.93</v>
      </c>
      <c r="U9" s="189"/>
      <c r="V9" s="189"/>
      <c r="W9" s="189"/>
      <c r="X9" s="189"/>
      <c r="Y9" s="189"/>
      <c r="Z9" s="189"/>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72"/>
      <c r="BI9" s="72"/>
      <c r="BJ9" s="72"/>
      <c r="BK9" s="72"/>
      <c r="BL9" s="72"/>
      <c r="BM9" s="72"/>
      <c r="BN9" s="72"/>
      <c r="BO9" s="72"/>
      <c r="BP9" s="72"/>
      <c r="BQ9" s="72"/>
      <c r="BR9" s="72"/>
      <c r="BS9" s="72"/>
      <c r="BT9" s="72"/>
      <c r="BU9" s="72"/>
      <c r="BV9" s="72"/>
      <c r="BW9" s="72"/>
      <c r="BX9" s="72"/>
      <c r="BY9" s="72"/>
      <c r="BZ9" s="72"/>
      <c r="CA9" s="72"/>
      <c r="CB9" s="72"/>
      <c r="CC9" s="72"/>
      <c r="CD9" s="72"/>
      <c r="CE9" s="72"/>
      <c r="CF9" s="72"/>
      <c r="CG9" s="72"/>
      <c r="CH9" s="72"/>
      <c r="CI9" s="72"/>
      <c r="CJ9" s="72"/>
      <c r="CK9" s="72"/>
      <c r="CL9" s="72"/>
      <c r="CM9" s="72"/>
      <c r="CN9" s="72"/>
      <c r="CO9" s="72"/>
      <c r="CP9" s="72"/>
      <c r="CQ9" s="72"/>
      <c r="CR9" s="72"/>
      <c r="CS9" s="72"/>
      <c r="CT9" s="72"/>
      <c r="CU9" s="72"/>
      <c r="CV9" s="72"/>
      <c r="CW9" s="72"/>
      <c r="CX9" s="72"/>
      <c r="CY9" s="72"/>
      <c r="CZ9" s="72"/>
      <c r="DA9" s="72"/>
      <c r="DB9" s="72"/>
      <c r="DC9" s="72"/>
      <c r="DD9" s="72"/>
      <c r="DE9" s="72"/>
      <c r="DF9" s="72"/>
      <c r="DG9" s="72"/>
      <c r="DH9" s="72"/>
      <c r="DI9" s="72"/>
      <c r="DJ9" s="72"/>
      <c r="DK9" s="72"/>
      <c r="DL9" s="72"/>
      <c r="DM9" s="72"/>
      <c r="DN9" s="72"/>
      <c r="DO9" s="72"/>
      <c r="DP9" s="72"/>
      <c r="DQ9" s="72"/>
      <c r="DR9" s="72"/>
      <c r="DS9" s="72"/>
      <c r="DT9" s="72"/>
      <c r="DU9" s="72"/>
      <c r="DV9" s="72"/>
      <c r="DW9" s="72"/>
      <c r="DX9" s="72"/>
      <c r="DY9" s="72"/>
      <c r="DZ9" s="72"/>
      <c r="EA9" s="72"/>
      <c r="EB9" s="72"/>
      <c r="EC9" s="72"/>
      <c r="ED9" s="72"/>
      <c r="EE9" s="72"/>
      <c r="EF9" s="72"/>
      <c r="EG9" s="72"/>
      <c r="EH9" s="72"/>
      <c r="EI9" s="72"/>
      <c r="EJ9" s="72"/>
      <c r="EK9" s="72"/>
      <c r="EL9" s="72"/>
      <c r="EM9" s="72"/>
      <c r="EN9" s="72"/>
      <c r="EO9" s="72"/>
      <c r="EP9" s="72"/>
      <c r="EQ9" s="72"/>
      <c r="ER9" s="72"/>
      <c r="ES9" s="72"/>
      <c r="ET9" s="72"/>
      <c r="EU9" s="72"/>
      <c r="EV9" s="72"/>
      <c r="EW9" s="72"/>
      <c r="EX9" s="72"/>
      <c r="EY9" s="72"/>
      <c r="EZ9" s="72"/>
      <c r="FA9" s="72"/>
      <c r="FB9" s="72"/>
      <c r="FC9" s="72"/>
      <c r="FD9" s="72"/>
      <c r="FE9" s="72"/>
      <c r="FF9" s="72"/>
      <c r="FG9" s="72"/>
      <c r="FH9" s="72"/>
      <c r="FI9" s="72"/>
      <c r="FJ9" s="72"/>
      <c r="FK9" s="72"/>
      <c r="FL9" s="72"/>
      <c r="FM9" s="72"/>
      <c r="FN9" s="72"/>
      <c r="FO9" s="72"/>
      <c r="FP9" s="72"/>
      <c r="FQ9" s="72"/>
      <c r="FR9" s="72"/>
      <c r="FS9" s="72"/>
      <c r="FT9" s="72"/>
      <c r="FU9" s="72"/>
      <c r="FV9" s="72"/>
      <c r="FW9" s="72"/>
      <c r="FX9" s="72"/>
      <c r="FY9" s="72"/>
      <c r="FZ9" s="72"/>
      <c r="GA9" s="72"/>
      <c r="GB9" s="72"/>
      <c r="GC9" s="72"/>
      <c r="GD9" s="72"/>
      <c r="GE9" s="72"/>
      <c r="GF9" s="72"/>
      <c r="GG9" s="72"/>
      <c r="GH9" s="72"/>
      <c r="GI9" s="72"/>
      <c r="GJ9" s="72"/>
      <c r="GK9" s="72"/>
      <c r="GL9" s="72"/>
      <c r="GM9" s="72"/>
      <c r="GN9" s="72"/>
      <c r="GO9" s="72"/>
      <c r="GP9" s="72"/>
      <c r="GQ9" s="72"/>
      <c r="GR9" s="72"/>
      <c r="GS9" s="72"/>
      <c r="GT9" s="72"/>
      <c r="GU9" s="72"/>
      <c r="GV9" s="72"/>
      <c r="GW9" s="72"/>
      <c r="GX9" s="72"/>
      <c r="GY9" s="72"/>
      <c r="GZ9" s="72"/>
      <c r="HA9" s="72"/>
      <c r="HB9" s="72"/>
      <c r="HC9" s="72"/>
      <c r="HD9" s="72"/>
      <c r="HE9" s="72"/>
      <c r="HF9" s="72"/>
      <c r="HG9" s="72"/>
      <c r="HH9" s="72"/>
      <c r="HI9" s="72"/>
      <c r="HJ9" s="72"/>
      <c r="HK9" s="72"/>
      <c r="HL9" s="72"/>
      <c r="HM9" s="72"/>
      <c r="HN9" s="72"/>
      <c r="HO9" s="72"/>
      <c r="HP9" s="72"/>
      <c r="HQ9" s="72"/>
      <c r="HR9" s="72"/>
      <c r="HS9" s="72"/>
      <c r="HT9" s="72"/>
      <c r="HU9" s="72"/>
      <c r="HV9" s="72"/>
      <c r="HW9" s="72"/>
      <c r="HX9" s="72"/>
      <c r="HY9" s="72"/>
      <c r="HZ9" s="72"/>
      <c r="IA9" s="72"/>
      <c r="IB9" s="72"/>
      <c r="IC9" s="72"/>
      <c r="ID9" s="72"/>
      <c r="IE9" s="72"/>
      <c r="IF9" s="72"/>
      <c r="IG9" s="72"/>
      <c r="IH9" s="72"/>
      <c r="II9" s="72"/>
      <c r="IJ9" s="72"/>
      <c r="IK9" s="72"/>
      <c r="IL9" s="72"/>
      <c r="IM9" s="72"/>
      <c r="IN9" s="72"/>
      <c r="IO9" s="72"/>
      <c r="IP9" s="72"/>
      <c r="IQ9" s="72"/>
      <c r="IR9" s="72"/>
      <c r="IS9" s="72"/>
      <c r="IT9" s="72"/>
      <c r="IU9" s="72"/>
      <c r="IV9" s="72"/>
      <c r="IW9" s="72"/>
      <c r="IX9" s="72"/>
      <c r="IY9" s="72"/>
      <c r="IZ9" s="72"/>
      <c r="JA9" s="72"/>
      <c r="JB9" s="72"/>
      <c r="JC9" s="72"/>
      <c r="JD9" s="72"/>
      <c r="JE9" s="72"/>
      <c r="JF9" s="72"/>
      <c r="JG9" s="72"/>
      <c r="JH9" s="72"/>
      <c r="JI9" s="72"/>
      <c r="JJ9" s="72"/>
      <c r="JK9" s="72"/>
      <c r="JL9" s="72"/>
      <c r="JM9" s="72"/>
      <c r="JN9" s="72"/>
      <c r="JO9" s="72"/>
      <c r="JP9" s="72"/>
      <c r="JQ9" s="72"/>
      <c r="JR9" s="72"/>
      <c r="JS9" s="72"/>
      <c r="JT9" s="72"/>
      <c r="JU9" s="72"/>
      <c r="JV9" s="72"/>
      <c r="JW9" s="72"/>
      <c r="JX9" s="72"/>
      <c r="JY9" s="72"/>
      <c r="JZ9" s="72"/>
      <c r="KA9" s="72"/>
      <c r="KB9" s="72"/>
      <c r="KC9" s="72"/>
      <c r="KD9" s="72"/>
      <c r="KE9" s="72"/>
      <c r="KF9" s="72"/>
      <c r="KG9" s="72"/>
      <c r="KH9" s="72"/>
      <c r="KI9" s="72"/>
      <c r="KJ9" s="72"/>
      <c r="KK9" s="72"/>
      <c r="KL9" s="72"/>
      <c r="KM9" s="72"/>
      <c r="KN9" s="72"/>
      <c r="KO9" s="72"/>
      <c r="KP9" s="72"/>
      <c r="KQ9" s="72"/>
      <c r="KR9" s="72"/>
      <c r="KS9" s="72"/>
      <c r="KT9" s="72"/>
      <c r="KU9" s="72"/>
      <c r="KV9" s="72"/>
      <c r="KW9" s="72"/>
      <c r="KX9" s="72"/>
      <c r="KY9" s="72"/>
      <c r="KZ9" s="72"/>
      <c r="LA9" s="72"/>
      <c r="LB9" s="72"/>
      <c r="LC9" s="72"/>
      <c r="LD9" s="72"/>
      <c r="LE9" s="72"/>
      <c r="LF9" s="72"/>
      <c r="LG9" s="72"/>
      <c r="LH9" s="72"/>
      <c r="LI9" s="72"/>
      <c r="LJ9" s="72"/>
      <c r="LK9" s="72"/>
      <c r="LL9" s="72"/>
      <c r="LM9" s="72"/>
      <c r="LN9" s="72"/>
      <c r="LO9" s="72"/>
      <c r="LP9" s="72"/>
      <c r="LQ9" s="72"/>
      <c r="LR9" s="72"/>
      <c r="LS9" s="72"/>
      <c r="LT9" s="72"/>
      <c r="LU9" s="72"/>
      <c r="LV9" s="72"/>
      <c r="LW9" s="72"/>
      <c r="LX9" s="72"/>
      <c r="LY9" s="72"/>
      <c r="LZ9" s="72"/>
      <c r="MA9" s="72"/>
      <c r="MB9" s="72"/>
      <c r="MC9" s="72"/>
      <c r="MD9" s="72"/>
      <c r="ME9" s="72"/>
      <c r="MF9" s="72"/>
      <c r="MG9" s="72"/>
      <c r="MH9" s="72"/>
      <c r="MI9" s="72"/>
      <c r="MJ9" s="72"/>
      <c r="MK9" s="72"/>
      <c r="ML9" s="72"/>
      <c r="MM9" s="72"/>
      <c r="MN9" s="72"/>
      <c r="MO9" s="72"/>
      <c r="MP9" s="72"/>
      <c r="MQ9" s="72"/>
      <c r="MR9" s="72"/>
      <c r="MS9" s="72"/>
      <c r="MT9" s="72"/>
      <c r="MU9" s="72"/>
      <c r="MV9" s="72"/>
      <c r="MW9" s="72"/>
      <c r="MX9" s="72"/>
      <c r="MY9" s="72"/>
      <c r="MZ9" s="72"/>
      <c r="NA9" s="72"/>
      <c r="NB9" s="72"/>
      <c r="NC9" s="72"/>
      <c r="ND9" s="72"/>
      <c r="NE9" s="72"/>
      <c r="NF9" s="72"/>
      <c r="NG9" s="72"/>
      <c r="NH9" s="72"/>
      <c r="NI9" s="72"/>
      <c r="NJ9" s="72"/>
      <c r="NK9" s="72"/>
      <c r="NL9" s="72"/>
      <c r="NM9" s="72"/>
      <c r="NN9" s="72"/>
      <c r="NO9" s="72"/>
      <c r="NP9" s="72"/>
      <c r="NQ9" s="72"/>
      <c r="NR9" s="72"/>
      <c r="NS9" s="72"/>
      <c r="NT9" s="72"/>
      <c r="NU9" s="72"/>
      <c r="NV9" s="72"/>
      <c r="NW9" s="72"/>
      <c r="NX9" s="72"/>
      <c r="NY9" s="72"/>
      <c r="NZ9" s="72"/>
      <c r="OA9" s="72"/>
      <c r="OB9" s="72"/>
      <c r="OC9" s="72"/>
      <c r="OD9" s="72"/>
      <c r="OE9" s="72"/>
      <c r="OF9" s="72"/>
      <c r="OG9" s="72"/>
      <c r="OH9" s="72"/>
      <c r="OI9" s="72"/>
      <c r="OJ9" s="73"/>
    </row>
    <row r="10" spans="1:400" s="33" customFormat="1" ht="40.049999999999997" customHeight="1" x14ac:dyDescent="0.3">
      <c r="A10" s="658">
        <v>6</v>
      </c>
      <c r="B10" s="657" t="s">
        <v>539</v>
      </c>
      <c r="C10" s="665" t="s">
        <v>753</v>
      </c>
      <c r="D10" s="651" t="s">
        <v>19</v>
      </c>
      <c r="E10" s="666">
        <v>2629217</v>
      </c>
      <c r="F10" s="666">
        <v>10892761</v>
      </c>
      <c r="G10" s="667">
        <v>-8263544</v>
      </c>
      <c r="H10" s="651" t="s">
        <v>4475</v>
      </c>
      <c r="I10" s="651" t="s">
        <v>1147</v>
      </c>
      <c r="J10" s="651" t="s">
        <v>713</v>
      </c>
      <c r="K10" s="617" t="s">
        <v>4707</v>
      </c>
      <c r="L10" s="651" t="s">
        <v>1148</v>
      </c>
      <c r="M10" s="668" t="s">
        <v>4494</v>
      </c>
      <c r="N10" s="669" t="s">
        <v>1149</v>
      </c>
      <c r="O10" s="670">
        <v>1932237.26</v>
      </c>
      <c r="P10" s="671">
        <v>285000</v>
      </c>
      <c r="Q10" s="672"/>
      <c r="R10" s="673"/>
      <c r="S10" s="558"/>
      <c r="T10" s="186">
        <f t="shared" si="0"/>
        <v>2217237.2599999998</v>
      </c>
      <c r="U10" s="144"/>
      <c r="V10" s="144"/>
      <c r="W10" s="144"/>
      <c r="X10" s="144"/>
      <c r="Y10" s="144"/>
      <c r="Z10" s="144"/>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c r="DG10" s="70"/>
      <c r="DH10" s="70"/>
      <c r="DI10" s="70"/>
      <c r="DJ10" s="70"/>
      <c r="DK10" s="70"/>
      <c r="DL10" s="70"/>
      <c r="DM10" s="70"/>
      <c r="DN10" s="70"/>
      <c r="DO10" s="70"/>
      <c r="DP10" s="70"/>
      <c r="DQ10" s="70"/>
      <c r="DR10" s="70"/>
      <c r="DS10" s="70"/>
      <c r="DT10" s="70"/>
      <c r="DU10" s="70"/>
      <c r="DV10" s="70"/>
      <c r="DW10" s="70"/>
      <c r="DX10" s="70"/>
      <c r="DY10" s="70"/>
      <c r="DZ10" s="70"/>
      <c r="EA10" s="70"/>
      <c r="EB10" s="70"/>
      <c r="EC10" s="70"/>
      <c r="ED10" s="70"/>
      <c r="EE10" s="70"/>
      <c r="EF10" s="70"/>
      <c r="EG10" s="70"/>
      <c r="EH10" s="70"/>
      <c r="EI10" s="70"/>
      <c r="EJ10" s="70"/>
      <c r="EK10" s="70"/>
      <c r="EL10" s="70"/>
      <c r="EM10" s="70"/>
      <c r="EN10" s="70"/>
      <c r="EO10" s="70"/>
      <c r="EP10" s="70"/>
      <c r="EQ10" s="70"/>
      <c r="ER10" s="70"/>
      <c r="ES10" s="70"/>
      <c r="ET10" s="70"/>
      <c r="EU10" s="70"/>
      <c r="EV10" s="70"/>
      <c r="EW10" s="70"/>
      <c r="EX10" s="70"/>
      <c r="EY10" s="70"/>
      <c r="EZ10" s="70"/>
      <c r="FA10" s="70"/>
      <c r="FB10" s="70"/>
      <c r="FC10" s="70"/>
      <c r="FD10" s="70"/>
      <c r="FE10" s="70"/>
      <c r="FF10" s="70"/>
      <c r="FG10" s="70"/>
      <c r="FH10" s="70"/>
      <c r="FI10" s="70"/>
      <c r="FJ10" s="70"/>
      <c r="FK10" s="70"/>
      <c r="FL10" s="70"/>
      <c r="FM10" s="70"/>
      <c r="FN10" s="70"/>
      <c r="FO10" s="70"/>
      <c r="FP10" s="70"/>
      <c r="FQ10" s="70"/>
      <c r="FR10" s="70"/>
      <c r="FS10" s="70"/>
      <c r="FT10" s="70"/>
      <c r="FU10" s="70"/>
      <c r="FV10" s="70"/>
      <c r="FW10" s="70"/>
      <c r="FX10" s="70"/>
      <c r="FY10" s="70"/>
      <c r="FZ10" s="70"/>
      <c r="GA10" s="70"/>
      <c r="GB10" s="70"/>
      <c r="GC10" s="70"/>
      <c r="GD10" s="70"/>
      <c r="GE10" s="70"/>
      <c r="GF10" s="70"/>
      <c r="GG10" s="70"/>
      <c r="GH10" s="70"/>
      <c r="GI10" s="70"/>
      <c r="GJ10" s="70"/>
      <c r="GK10" s="70"/>
      <c r="GL10" s="70"/>
      <c r="GM10" s="70"/>
      <c r="GN10" s="70"/>
      <c r="GO10" s="70"/>
      <c r="GP10" s="70"/>
      <c r="GQ10" s="70"/>
      <c r="GR10" s="70"/>
      <c r="GS10" s="70"/>
      <c r="GT10" s="70"/>
      <c r="GU10" s="70"/>
      <c r="GV10" s="70"/>
      <c r="GW10" s="70"/>
      <c r="GX10" s="70"/>
      <c r="GY10" s="70"/>
      <c r="GZ10" s="70"/>
      <c r="HA10" s="70"/>
      <c r="HB10" s="70"/>
      <c r="HC10" s="70"/>
      <c r="HD10" s="70"/>
      <c r="HE10" s="70"/>
      <c r="HF10" s="70"/>
      <c r="HG10" s="70"/>
      <c r="HH10" s="70"/>
      <c r="HI10" s="70"/>
      <c r="HJ10" s="70"/>
      <c r="HK10" s="70"/>
      <c r="HL10" s="70"/>
      <c r="HM10" s="70"/>
      <c r="HN10" s="70"/>
      <c r="HO10" s="70"/>
      <c r="HP10" s="70"/>
      <c r="HQ10" s="70"/>
      <c r="HR10" s="70"/>
      <c r="HS10" s="70"/>
      <c r="HT10" s="70"/>
      <c r="HU10" s="70"/>
      <c r="HV10" s="70"/>
      <c r="HW10" s="70"/>
      <c r="HX10" s="70"/>
      <c r="HY10" s="70"/>
      <c r="HZ10" s="70"/>
      <c r="IA10" s="70"/>
      <c r="IB10" s="70"/>
      <c r="IC10" s="70"/>
      <c r="ID10" s="70"/>
      <c r="IE10" s="70"/>
      <c r="IF10" s="70"/>
      <c r="IG10" s="70"/>
      <c r="IH10" s="70"/>
      <c r="II10" s="70"/>
      <c r="IJ10" s="70"/>
      <c r="IK10" s="70"/>
      <c r="IL10" s="70"/>
      <c r="IM10" s="70"/>
      <c r="IN10" s="70"/>
      <c r="IO10" s="70"/>
      <c r="IP10" s="70"/>
      <c r="IQ10" s="70"/>
      <c r="IR10" s="70"/>
      <c r="IS10" s="70"/>
      <c r="IT10" s="70"/>
      <c r="IU10" s="70"/>
      <c r="IV10" s="70"/>
      <c r="IW10" s="70"/>
      <c r="IX10" s="70"/>
      <c r="IY10" s="70"/>
      <c r="IZ10" s="70"/>
      <c r="JA10" s="70"/>
      <c r="JB10" s="70"/>
      <c r="JC10" s="70"/>
      <c r="JD10" s="70"/>
      <c r="JE10" s="70"/>
      <c r="JF10" s="70"/>
      <c r="JG10" s="70"/>
      <c r="JH10" s="70"/>
      <c r="JI10" s="70"/>
      <c r="JJ10" s="70"/>
      <c r="JK10" s="70"/>
      <c r="JL10" s="70"/>
      <c r="JM10" s="70"/>
      <c r="JN10" s="70"/>
      <c r="JO10" s="70"/>
      <c r="JP10" s="70"/>
      <c r="JQ10" s="70"/>
      <c r="JR10" s="70"/>
      <c r="JS10" s="70"/>
      <c r="JT10" s="70"/>
      <c r="JU10" s="70"/>
      <c r="JV10" s="70"/>
      <c r="JW10" s="70"/>
      <c r="JX10" s="70"/>
      <c r="JY10" s="70"/>
      <c r="JZ10" s="70"/>
      <c r="KA10" s="70"/>
      <c r="KB10" s="70"/>
      <c r="KC10" s="70"/>
      <c r="KD10" s="70"/>
      <c r="KE10" s="70"/>
      <c r="KF10" s="70"/>
      <c r="KG10" s="70"/>
      <c r="KH10" s="70"/>
      <c r="KI10" s="70"/>
      <c r="KJ10" s="70"/>
      <c r="KK10" s="70"/>
      <c r="KL10" s="70"/>
      <c r="KM10" s="70"/>
      <c r="KN10" s="70"/>
      <c r="KO10" s="70"/>
      <c r="KP10" s="70"/>
      <c r="KQ10" s="70"/>
      <c r="KR10" s="70"/>
      <c r="KS10" s="70"/>
      <c r="KT10" s="70"/>
      <c r="KU10" s="70"/>
      <c r="KV10" s="70"/>
      <c r="KW10" s="70"/>
      <c r="KX10" s="70"/>
      <c r="KY10" s="70"/>
      <c r="KZ10" s="70"/>
      <c r="LA10" s="70"/>
      <c r="LB10" s="70"/>
      <c r="LC10" s="70"/>
      <c r="LD10" s="70"/>
      <c r="LE10" s="70"/>
      <c r="LF10" s="70"/>
      <c r="LG10" s="70"/>
      <c r="LH10" s="70"/>
      <c r="LI10" s="70"/>
      <c r="LJ10" s="70"/>
      <c r="LK10" s="70"/>
      <c r="LL10" s="70"/>
      <c r="LM10" s="70"/>
      <c r="LN10" s="70"/>
      <c r="LO10" s="70"/>
      <c r="LP10" s="70"/>
      <c r="LQ10" s="70"/>
      <c r="LR10" s="70"/>
      <c r="LS10" s="70"/>
      <c r="LT10" s="70"/>
      <c r="LU10" s="70"/>
      <c r="LV10" s="70"/>
      <c r="LW10" s="70"/>
      <c r="LX10" s="70"/>
      <c r="LY10" s="70"/>
      <c r="LZ10" s="70"/>
      <c r="MA10" s="70"/>
      <c r="MB10" s="70"/>
      <c r="MC10" s="70"/>
      <c r="MD10" s="70"/>
      <c r="ME10" s="70"/>
      <c r="MF10" s="70"/>
      <c r="MG10" s="70"/>
      <c r="MH10" s="70"/>
      <c r="MI10" s="70"/>
      <c r="MJ10" s="70"/>
      <c r="MK10" s="70"/>
      <c r="ML10" s="70"/>
      <c r="MM10" s="70"/>
      <c r="MN10" s="70"/>
      <c r="MO10" s="70"/>
      <c r="MP10" s="70"/>
      <c r="MQ10" s="70"/>
      <c r="MR10" s="70"/>
      <c r="MS10" s="70"/>
      <c r="MT10" s="70"/>
      <c r="MU10" s="70"/>
      <c r="MV10" s="70"/>
      <c r="MW10" s="70"/>
      <c r="MX10" s="70"/>
      <c r="MY10" s="70"/>
      <c r="MZ10" s="70"/>
      <c r="NA10" s="70"/>
      <c r="NB10" s="70"/>
      <c r="NC10" s="70"/>
      <c r="ND10" s="70"/>
      <c r="NE10" s="70"/>
      <c r="NF10" s="70"/>
      <c r="NG10" s="70"/>
      <c r="NH10" s="70"/>
      <c r="NI10" s="70"/>
      <c r="NJ10" s="70"/>
      <c r="NK10" s="70"/>
      <c r="NL10" s="70"/>
      <c r="NM10" s="70"/>
      <c r="NN10" s="70"/>
      <c r="NO10" s="70"/>
      <c r="NP10" s="70"/>
      <c r="NQ10" s="70"/>
      <c r="NR10" s="70"/>
      <c r="NS10" s="70"/>
      <c r="NT10" s="70"/>
      <c r="NU10" s="70"/>
      <c r="NV10" s="70"/>
      <c r="NW10" s="70"/>
      <c r="NX10" s="70"/>
      <c r="NY10" s="70"/>
      <c r="NZ10" s="70"/>
      <c r="OA10" s="70"/>
      <c r="OB10" s="70"/>
      <c r="OC10" s="70"/>
      <c r="OD10" s="70"/>
      <c r="OE10" s="70"/>
      <c r="OF10" s="70"/>
      <c r="OG10" s="70"/>
      <c r="OH10" s="70"/>
      <c r="OI10" s="70"/>
      <c r="OJ10" s="71"/>
    </row>
    <row r="11" spans="1:400" s="34" customFormat="1" ht="40.049999999999997" customHeight="1" x14ac:dyDescent="0.3">
      <c r="A11" s="920">
        <v>7</v>
      </c>
      <c r="B11" s="636" t="s">
        <v>47</v>
      </c>
      <c r="C11" s="674" t="s">
        <v>754</v>
      </c>
      <c r="D11" s="614" t="s">
        <v>22</v>
      </c>
      <c r="E11" s="615">
        <v>40000</v>
      </c>
      <c r="F11" s="675">
        <v>0</v>
      </c>
      <c r="G11" s="615">
        <v>40000</v>
      </c>
      <c r="H11" s="614" t="s">
        <v>4476</v>
      </c>
      <c r="I11" s="614" t="s">
        <v>1150</v>
      </c>
      <c r="J11" s="614" t="s">
        <v>1142</v>
      </c>
      <c r="K11" s="620" t="s">
        <v>4708</v>
      </c>
      <c r="L11" s="614" t="s">
        <v>1151</v>
      </c>
      <c r="M11" s="676" t="s">
        <v>4495</v>
      </c>
      <c r="N11" s="661" t="s">
        <v>1152</v>
      </c>
      <c r="O11" s="677">
        <v>382489.32</v>
      </c>
      <c r="P11" s="681">
        <v>346673.39</v>
      </c>
      <c r="Q11" s="679"/>
      <c r="R11" s="680"/>
      <c r="S11" s="559"/>
      <c r="T11" s="190">
        <f t="shared" si="0"/>
        <v>729162.71</v>
      </c>
      <c r="U11" s="189"/>
      <c r="V11" s="189"/>
      <c r="W11" s="189"/>
      <c r="X11" s="189"/>
      <c r="Y11" s="189"/>
      <c r="Z11" s="189"/>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72"/>
      <c r="AY11" s="72"/>
      <c r="AZ11" s="72"/>
      <c r="BA11" s="72"/>
      <c r="BB11" s="72"/>
      <c r="BC11" s="72"/>
      <c r="BD11" s="72"/>
      <c r="BE11" s="72"/>
      <c r="BF11" s="72"/>
      <c r="BG11" s="72"/>
      <c r="BH11" s="72"/>
      <c r="BI11" s="72"/>
      <c r="BJ11" s="72"/>
      <c r="BK11" s="72"/>
      <c r="BL11" s="72"/>
      <c r="BM11" s="72"/>
      <c r="BN11" s="72"/>
      <c r="BO11" s="72"/>
      <c r="BP11" s="72"/>
      <c r="BQ11" s="72"/>
      <c r="BR11" s="72"/>
      <c r="BS11" s="72"/>
      <c r="BT11" s="72"/>
      <c r="BU11" s="72"/>
      <c r="BV11" s="72"/>
      <c r="BW11" s="72"/>
      <c r="BX11" s="72"/>
      <c r="BY11" s="72"/>
      <c r="BZ11" s="72"/>
      <c r="CA11" s="72"/>
      <c r="CB11" s="72"/>
      <c r="CC11" s="72"/>
      <c r="CD11" s="72"/>
      <c r="CE11" s="72"/>
      <c r="CF11" s="72"/>
      <c r="CG11" s="72"/>
      <c r="CH11" s="72"/>
      <c r="CI11" s="72"/>
      <c r="CJ11" s="72"/>
      <c r="CK11" s="72"/>
      <c r="CL11" s="72"/>
      <c r="CM11" s="72"/>
      <c r="CN11" s="72"/>
      <c r="CO11" s="72"/>
      <c r="CP11" s="72"/>
      <c r="CQ11" s="72"/>
      <c r="CR11" s="72"/>
      <c r="CS11" s="72"/>
      <c r="CT11" s="72"/>
      <c r="CU11" s="72"/>
      <c r="CV11" s="72"/>
      <c r="CW11" s="72"/>
      <c r="CX11" s="72"/>
      <c r="CY11" s="72"/>
      <c r="CZ11" s="72"/>
      <c r="DA11" s="72"/>
      <c r="DB11" s="72"/>
      <c r="DC11" s="72"/>
      <c r="DD11" s="72"/>
      <c r="DE11" s="72"/>
      <c r="DF11" s="72"/>
      <c r="DG11" s="72"/>
      <c r="DH11" s="72"/>
      <c r="DI11" s="72"/>
      <c r="DJ11" s="72"/>
      <c r="DK11" s="72"/>
      <c r="DL11" s="72"/>
      <c r="DM11" s="72"/>
      <c r="DN11" s="72"/>
      <c r="DO11" s="72"/>
      <c r="DP11" s="72"/>
      <c r="DQ11" s="72"/>
      <c r="DR11" s="72"/>
      <c r="DS11" s="72"/>
      <c r="DT11" s="72"/>
      <c r="DU11" s="72"/>
      <c r="DV11" s="72"/>
      <c r="DW11" s="72"/>
      <c r="DX11" s="72"/>
      <c r="DY11" s="72"/>
      <c r="DZ11" s="72"/>
      <c r="EA11" s="72"/>
      <c r="EB11" s="72"/>
      <c r="EC11" s="72"/>
      <c r="ED11" s="72"/>
      <c r="EE11" s="72"/>
      <c r="EF11" s="72"/>
      <c r="EG11" s="72"/>
      <c r="EH11" s="72"/>
      <c r="EI11" s="72"/>
      <c r="EJ11" s="72"/>
      <c r="EK11" s="72"/>
      <c r="EL11" s="72"/>
      <c r="EM11" s="72"/>
      <c r="EN11" s="72"/>
      <c r="EO11" s="72"/>
      <c r="EP11" s="72"/>
      <c r="EQ11" s="72"/>
      <c r="ER11" s="72"/>
      <c r="ES11" s="72"/>
      <c r="ET11" s="72"/>
      <c r="EU11" s="72"/>
      <c r="EV11" s="72"/>
      <c r="EW11" s="72"/>
      <c r="EX11" s="72"/>
      <c r="EY11" s="72"/>
      <c r="EZ11" s="72"/>
      <c r="FA11" s="72"/>
      <c r="FB11" s="72"/>
      <c r="FC11" s="72"/>
      <c r="FD11" s="72"/>
      <c r="FE11" s="72"/>
      <c r="FF11" s="72"/>
      <c r="FG11" s="72"/>
      <c r="FH11" s="72"/>
      <c r="FI11" s="72"/>
      <c r="FJ11" s="72"/>
      <c r="FK11" s="72"/>
      <c r="FL11" s="72"/>
      <c r="FM11" s="72"/>
      <c r="FN11" s="72"/>
      <c r="FO11" s="72"/>
      <c r="FP11" s="72"/>
      <c r="FQ11" s="72"/>
      <c r="FR11" s="72"/>
      <c r="FS11" s="72"/>
      <c r="FT11" s="72"/>
      <c r="FU11" s="72"/>
      <c r="FV11" s="72"/>
      <c r="FW11" s="72"/>
      <c r="FX11" s="72"/>
      <c r="FY11" s="72"/>
      <c r="FZ11" s="72"/>
      <c r="GA11" s="72"/>
      <c r="GB11" s="72"/>
      <c r="GC11" s="72"/>
      <c r="GD11" s="72"/>
      <c r="GE11" s="72"/>
      <c r="GF11" s="72"/>
      <c r="GG11" s="72"/>
      <c r="GH11" s="72"/>
      <c r="GI11" s="72"/>
      <c r="GJ11" s="72"/>
      <c r="GK11" s="72"/>
      <c r="GL11" s="72"/>
      <c r="GM11" s="72"/>
      <c r="GN11" s="72"/>
      <c r="GO11" s="72"/>
      <c r="GP11" s="72"/>
      <c r="GQ11" s="72"/>
      <c r="GR11" s="72"/>
      <c r="GS11" s="72"/>
      <c r="GT11" s="72"/>
      <c r="GU11" s="72"/>
      <c r="GV11" s="72"/>
      <c r="GW11" s="72"/>
      <c r="GX11" s="72"/>
      <c r="GY11" s="72"/>
      <c r="GZ11" s="72"/>
      <c r="HA11" s="72"/>
      <c r="HB11" s="72"/>
      <c r="HC11" s="72"/>
      <c r="HD11" s="72"/>
      <c r="HE11" s="72"/>
      <c r="HF11" s="72"/>
      <c r="HG11" s="72"/>
      <c r="HH11" s="72"/>
      <c r="HI11" s="72"/>
      <c r="HJ11" s="72"/>
      <c r="HK11" s="72"/>
      <c r="HL11" s="72"/>
      <c r="HM11" s="72"/>
      <c r="HN11" s="72"/>
      <c r="HO11" s="72"/>
      <c r="HP11" s="72"/>
      <c r="HQ11" s="72"/>
      <c r="HR11" s="72"/>
      <c r="HS11" s="72"/>
      <c r="HT11" s="72"/>
      <c r="HU11" s="72"/>
      <c r="HV11" s="72"/>
      <c r="HW11" s="72"/>
      <c r="HX11" s="72"/>
      <c r="HY11" s="72"/>
      <c r="HZ11" s="72"/>
      <c r="IA11" s="72"/>
      <c r="IB11" s="72"/>
      <c r="IC11" s="72"/>
      <c r="ID11" s="72"/>
      <c r="IE11" s="72"/>
      <c r="IF11" s="72"/>
      <c r="IG11" s="72"/>
      <c r="IH11" s="72"/>
      <c r="II11" s="72"/>
      <c r="IJ11" s="72"/>
      <c r="IK11" s="72"/>
      <c r="IL11" s="72"/>
      <c r="IM11" s="72"/>
      <c r="IN11" s="72"/>
      <c r="IO11" s="72"/>
      <c r="IP11" s="72"/>
      <c r="IQ11" s="72"/>
      <c r="IR11" s="72"/>
      <c r="IS11" s="72"/>
      <c r="IT11" s="72"/>
      <c r="IU11" s="72"/>
      <c r="IV11" s="72"/>
      <c r="IW11" s="72"/>
      <c r="IX11" s="72"/>
      <c r="IY11" s="72"/>
      <c r="IZ11" s="72"/>
      <c r="JA11" s="72"/>
      <c r="JB11" s="72"/>
      <c r="JC11" s="72"/>
      <c r="JD11" s="72"/>
      <c r="JE11" s="72"/>
      <c r="JF11" s="72"/>
      <c r="JG11" s="72"/>
      <c r="JH11" s="72"/>
      <c r="JI11" s="72"/>
      <c r="JJ11" s="72"/>
      <c r="JK11" s="72"/>
      <c r="JL11" s="72"/>
      <c r="JM11" s="72"/>
      <c r="JN11" s="72"/>
      <c r="JO11" s="72"/>
      <c r="JP11" s="72"/>
      <c r="JQ11" s="72"/>
      <c r="JR11" s="72"/>
      <c r="JS11" s="72"/>
      <c r="JT11" s="72"/>
      <c r="JU11" s="72"/>
      <c r="JV11" s="72"/>
      <c r="JW11" s="72"/>
      <c r="JX11" s="72"/>
      <c r="JY11" s="72"/>
      <c r="JZ11" s="72"/>
      <c r="KA11" s="72"/>
      <c r="KB11" s="72"/>
      <c r="KC11" s="72"/>
      <c r="KD11" s="72"/>
      <c r="KE11" s="72"/>
      <c r="KF11" s="72"/>
      <c r="KG11" s="72"/>
      <c r="KH11" s="72"/>
      <c r="KI11" s="72"/>
      <c r="KJ11" s="72"/>
      <c r="KK11" s="72"/>
      <c r="KL11" s="72"/>
      <c r="KM11" s="72"/>
      <c r="KN11" s="72"/>
      <c r="KO11" s="72"/>
      <c r="KP11" s="72"/>
      <c r="KQ11" s="72"/>
      <c r="KR11" s="72"/>
      <c r="KS11" s="72"/>
      <c r="KT11" s="72"/>
      <c r="KU11" s="72"/>
      <c r="KV11" s="72"/>
      <c r="KW11" s="72"/>
      <c r="KX11" s="72"/>
      <c r="KY11" s="72"/>
      <c r="KZ11" s="72"/>
      <c r="LA11" s="72"/>
      <c r="LB11" s="72"/>
      <c r="LC11" s="72"/>
      <c r="LD11" s="72"/>
      <c r="LE11" s="72"/>
      <c r="LF11" s="72"/>
      <c r="LG11" s="72"/>
      <c r="LH11" s="72"/>
      <c r="LI11" s="72"/>
      <c r="LJ11" s="72"/>
      <c r="LK11" s="72"/>
      <c r="LL11" s="72"/>
      <c r="LM11" s="72"/>
      <c r="LN11" s="72"/>
      <c r="LO11" s="72"/>
      <c r="LP11" s="72"/>
      <c r="LQ11" s="72"/>
      <c r="LR11" s="72"/>
      <c r="LS11" s="72"/>
      <c r="LT11" s="72"/>
      <c r="LU11" s="72"/>
      <c r="LV11" s="72"/>
      <c r="LW11" s="72"/>
      <c r="LX11" s="72"/>
      <c r="LY11" s="72"/>
      <c r="LZ11" s="72"/>
      <c r="MA11" s="72"/>
      <c r="MB11" s="72"/>
      <c r="MC11" s="72"/>
      <c r="MD11" s="72"/>
      <c r="ME11" s="72"/>
      <c r="MF11" s="72"/>
      <c r="MG11" s="72"/>
      <c r="MH11" s="72"/>
      <c r="MI11" s="72"/>
      <c r="MJ11" s="72"/>
      <c r="MK11" s="72"/>
      <c r="ML11" s="72"/>
      <c r="MM11" s="72"/>
      <c r="MN11" s="72"/>
      <c r="MO11" s="72"/>
      <c r="MP11" s="72"/>
      <c r="MQ11" s="72"/>
      <c r="MR11" s="72"/>
      <c r="MS11" s="72"/>
      <c r="MT11" s="72"/>
      <c r="MU11" s="72"/>
      <c r="MV11" s="72"/>
      <c r="MW11" s="72"/>
      <c r="MX11" s="72"/>
      <c r="MY11" s="72"/>
      <c r="MZ11" s="72"/>
      <c r="NA11" s="72"/>
      <c r="NB11" s="72"/>
      <c r="NC11" s="72"/>
      <c r="ND11" s="72"/>
      <c r="NE11" s="72"/>
      <c r="NF11" s="72"/>
      <c r="NG11" s="72"/>
      <c r="NH11" s="72"/>
      <c r="NI11" s="72"/>
      <c r="NJ11" s="72"/>
      <c r="NK11" s="72"/>
      <c r="NL11" s="72"/>
      <c r="NM11" s="72"/>
      <c r="NN11" s="72"/>
      <c r="NO11" s="72"/>
      <c r="NP11" s="72"/>
      <c r="NQ11" s="72"/>
      <c r="NR11" s="72"/>
      <c r="NS11" s="72"/>
      <c r="NT11" s="72"/>
      <c r="NU11" s="72"/>
      <c r="NV11" s="72"/>
      <c r="NW11" s="72"/>
      <c r="NX11" s="72"/>
      <c r="NY11" s="72"/>
      <c r="NZ11" s="72"/>
      <c r="OA11" s="72"/>
      <c r="OB11" s="72"/>
      <c r="OC11" s="72"/>
      <c r="OD11" s="72"/>
      <c r="OE11" s="72"/>
      <c r="OF11" s="72"/>
      <c r="OG11" s="72"/>
      <c r="OH11" s="72"/>
      <c r="OI11" s="72"/>
      <c r="OJ11" s="73"/>
    </row>
    <row r="12" spans="1:400" s="33" customFormat="1" ht="40.049999999999997" customHeight="1" x14ac:dyDescent="0.3">
      <c r="A12" s="658">
        <v>8</v>
      </c>
      <c r="B12" s="657" t="s">
        <v>515</v>
      </c>
      <c r="C12" s="665" t="s">
        <v>1153</v>
      </c>
      <c r="D12" s="651" t="s">
        <v>25</v>
      </c>
      <c r="E12" s="666">
        <v>370866</v>
      </c>
      <c r="F12" s="667">
        <v>0</v>
      </c>
      <c r="G12" s="667">
        <v>0</v>
      </c>
      <c r="H12" s="651" t="s">
        <v>4477</v>
      </c>
      <c r="I12" s="651" t="s">
        <v>1154</v>
      </c>
      <c r="J12" s="651" t="s">
        <v>713</v>
      </c>
      <c r="K12" s="617" t="s">
        <v>4709</v>
      </c>
      <c r="L12" s="651" t="s">
        <v>1132</v>
      </c>
      <c r="M12" s="668" t="s">
        <v>4496</v>
      </c>
      <c r="N12" s="669" t="s">
        <v>1155</v>
      </c>
      <c r="O12" s="670">
        <v>35920</v>
      </c>
      <c r="P12" s="671">
        <v>52000</v>
      </c>
      <c r="Q12" s="672"/>
      <c r="R12" s="673"/>
      <c r="S12" s="558"/>
      <c r="T12" s="186">
        <f t="shared" si="0"/>
        <v>87920</v>
      </c>
      <c r="U12" s="144"/>
      <c r="V12" s="144"/>
      <c r="W12" s="144"/>
      <c r="X12" s="144"/>
      <c r="Y12" s="144"/>
      <c r="Z12" s="144"/>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0"/>
      <c r="BQ12" s="70"/>
      <c r="BR12" s="70"/>
      <c r="BS12" s="70"/>
      <c r="BT12" s="70"/>
      <c r="BU12" s="70"/>
      <c r="BV12" s="70"/>
      <c r="BW12" s="70"/>
      <c r="BX12" s="70"/>
      <c r="BY12" s="70"/>
      <c r="BZ12" s="70"/>
      <c r="CA12" s="70"/>
      <c r="CB12" s="70"/>
      <c r="CC12" s="70"/>
      <c r="CD12" s="70"/>
      <c r="CE12" s="70"/>
      <c r="CF12" s="70"/>
      <c r="CG12" s="70"/>
      <c r="CH12" s="70"/>
      <c r="CI12" s="70"/>
      <c r="CJ12" s="70"/>
      <c r="CK12" s="70"/>
      <c r="CL12" s="70"/>
      <c r="CM12" s="70"/>
      <c r="CN12" s="70"/>
      <c r="CO12" s="70"/>
      <c r="CP12" s="70"/>
      <c r="CQ12" s="70"/>
      <c r="CR12" s="70"/>
      <c r="CS12" s="70"/>
      <c r="CT12" s="70"/>
      <c r="CU12" s="70"/>
      <c r="CV12" s="70"/>
      <c r="CW12" s="70"/>
      <c r="CX12" s="70"/>
      <c r="CY12" s="70"/>
      <c r="CZ12" s="70"/>
      <c r="DA12" s="70"/>
      <c r="DB12" s="70"/>
      <c r="DC12" s="70"/>
      <c r="DD12" s="70"/>
      <c r="DE12" s="70"/>
      <c r="DF12" s="70"/>
      <c r="DG12" s="70"/>
      <c r="DH12" s="70"/>
      <c r="DI12" s="70"/>
      <c r="DJ12" s="70"/>
      <c r="DK12" s="70"/>
      <c r="DL12" s="70"/>
      <c r="DM12" s="70"/>
      <c r="DN12" s="70"/>
      <c r="DO12" s="70"/>
      <c r="DP12" s="70"/>
      <c r="DQ12" s="70"/>
      <c r="DR12" s="70"/>
      <c r="DS12" s="70"/>
      <c r="DT12" s="70"/>
      <c r="DU12" s="70"/>
      <c r="DV12" s="70"/>
      <c r="DW12" s="70"/>
      <c r="DX12" s="70"/>
      <c r="DY12" s="70"/>
      <c r="DZ12" s="70"/>
      <c r="EA12" s="70"/>
      <c r="EB12" s="70"/>
      <c r="EC12" s="70"/>
      <c r="ED12" s="70"/>
      <c r="EE12" s="70"/>
      <c r="EF12" s="70"/>
      <c r="EG12" s="70"/>
      <c r="EH12" s="70"/>
      <c r="EI12" s="70"/>
      <c r="EJ12" s="70"/>
      <c r="EK12" s="70"/>
      <c r="EL12" s="70"/>
      <c r="EM12" s="70"/>
      <c r="EN12" s="70"/>
      <c r="EO12" s="70"/>
      <c r="EP12" s="70"/>
      <c r="EQ12" s="70"/>
      <c r="ER12" s="70"/>
      <c r="ES12" s="70"/>
      <c r="ET12" s="70"/>
      <c r="EU12" s="70"/>
      <c r="EV12" s="70"/>
      <c r="EW12" s="70"/>
      <c r="EX12" s="70"/>
      <c r="EY12" s="70"/>
      <c r="EZ12" s="70"/>
      <c r="FA12" s="70"/>
      <c r="FB12" s="70"/>
      <c r="FC12" s="70"/>
      <c r="FD12" s="70"/>
      <c r="FE12" s="70"/>
      <c r="FF12" s="70"/>
      <c r="FG12" s="70"/>
      <c r="FH12" s="70"/>
      <c r="FI12" s="70"/>
      <c r="FJ12" s="70"/>
      <c r="FK12" s="70"/>
      <c r="FL12" s="70"/>
      <c r="FM12" s="70"/>
      <c r="FN12" s="70"/>
      <c r="FO12" s="70"/>
      <c r="FP12" s="70"/>
      <c r="FQ12" s="70"/>
      <c r="FR12" s="70"/>
      <c r="FS12" s="70"/>
      <c r="FT12" s="70"/>
      <c r="FU12" s="70"/>
      <c r="FV12" s="70"/>
      <c r="FW12" s="70"/>
      <c r="FX12" s="70"/>
      <c r="FY12" s="70"/>
      <c r="FZ12" s="70"/>
      <c r="GA12" s="70"/>
      <c r="GB12" s="70"/>
      <c r="GC12" s="70"/>
      <c r="GD12" s="70"/>
      <c r="GE12" s="70"/>
      <c r="GF12" s="70"/>
      <c r="GG12" s="70"/>
      <c r="GH12" s="70"/>
      <c r="GI12" s="70"/>
      <c r="GJ12" s="70"/>
      <c r="GK12" s="70"/>
      <c r="GL12" s="70"/>
      <c r="GM12" s="70"/>
      <c r="GN12" s="70"/>
      <c r="GO12" s="70"/>
      <c r="GP12" s="70"/>
      <c r="GQ12" s="70"/>
      <c r="GR12" s="70"/>
      <c r="GS12" s="70"/>
      <c r="GT12" s="70"/>
      <c r="GU12" s="70"/>
      <c r="GV12" s="70"/>
      <c r="GW12" s="70"/>
      <c r="GX12" s="70"/>
      <c r="GY12" s="70"/>
      <c r="GZ12" s="70"/>
      <c r="HA12" s="70"/>
      <c r="HB12" s="70"/>
      <c r="HC12" s="70"/>
      <c r="HD12" s="70"/>
      <c r="HE12" s="70"/>
      <c r="HF12" s="70"/>
      <c r="HG12" s="70"/>
      <c r="HH12" s="70"/>
      <c r="HI12" s="70"/>
      <c r="HJ12" s="70"/>
      <c r="HK12" s="70"/>
      <c r="HL12" s="70"/>
      <c r="HM12" s="70"/>
      <c r="HN12" s="70"/>
      <c r="HO12" s="70"/>
      <c r="HP12" s="70"/>
      <c r="HQ12" s="70"/>
      <c r="HR12" s="70"/>
      <c r="HS12" s="70"/>
      <c r="HT12" s="70"/>
      <c r="HU12" s="70"/>
      <c r="HV12" s="70"/>
      <c r="HW12" s="70"/>
      <c r="HX12" s="70"/>
      <c r="HY12" s="70"/>
      <c r="HZ12" s="70"/>
      <c r="IA12" s="70"/>
      <c r="IB12" s="70"/>
      <c r="IC12" s="70"/>
      <c r="ID12" s="70"/>
      <c r="IE12" s="70"/>
      <c r="IF12" s="70"/>
      <c r="IG12" s="70"/>
      <c r="IH12" s="70"/>
      <c r="II12" s="70"/>
      <c r="IJ12" s="70"/>
      <c r="IK12" s="70"/>
      <c r="IL12" s="70"/>
      <c r="IM12" s="70"/>
      <c r="IN12" s="70"/>
      <c r="IO12" s="70"/>
      <c r="IP12" s="70"/>
      <c r="IQ12" s="70"/>
      <c r="IR12" s="70"/>
      <c r="IS12" s="70"/>
      <c r="IT12" s="70"/>
      <c r="IU12" s="70"/>
      <c r="IV12" s="70"/>
      <c r="IW12" s="70"/>
      <c r="IX12" s="70"/>
      <c r="IY12" s="70"/>
      <c r="IZ12" s="70"/>
      <c r="JA12" s="70"/>
      <c r="JB12" s="70"/>
      <c r="JC12" s="70"/>
      <c r="JD12" s="70"/>
      <c r="JE12" s="70"/>
      <c r="JF12" s="70"/>
      <c r="JG12" s="70"/>
      <c r="JH12" s="70"/>
      <c r="JI12" s="70"/>
      <c r="JJ12" s="70"/>
      <c r="JK12" s="70"/>
      <c r="JL12" s="70"/>
      <c r="JM12" s="70"/>
      <c r="JN12" s="70"/>
      <c r="JO12" s="70"/>
      <c r="JP12" s="70"/>
      <c r="JQ12" s="70"/>
      <c r="JR12" s="70"/>
      <c r="JS12" s="70"/>
      <c r="JT12" s="70"/>
      <c r="JU12" s="70"/>
      <c r="JV12" s="70"/>
      <c r="JW12" s="70"/>
      <c r="JX12" s="70"/>
      <c r="JY12" s="70"/>
      <c r="JZ12" s="70"/>
      <c r="KA12" s="70"/>
      <c r="KB12" s="70"/>
      <c r="KC12" s="70"/>
      <c r="KD12" s="70"/>
      <c r="KE12" s="70"/>
      <c r="KF12" s="70"/>
      <c r="KG12" s="70"/>
      <c r="KH12" s="70"/>
      <c r="KI12" s="70"/>
      <c r="KJ12" s="70"/>
      <c r="KK12" s="70"/>
      <c r="KL12" s="70"/>
      <c r="KM12" s="70"/>
      <c r="KN12" s="70"/>
      <c r="KO12" s="70"/>
      <c r="KP12" s="70"/>
      <c r="KQ12" s="70"/>
      <c r="KR12" s="70"/>
      <c r="KS12" s="70"/>
      <c r="KT12" s="70"/>
      <c r="KU12" s="70"/>
      <c r="KV12" s="70"/>
      <c r="KW12" s="70"/>
      <c r="KX12" s="70"/>
      <c r="KY12" s="70"/>
      <c r="KZ12" s="70"/>
      <c r="LA12" s="70"/>
      <c r="LB12" s="70"/>
      <c r="LC12" s="70"/>
      <c r="LD12" s="70"/>
      <c r="LE12" s="70"/>
      <c r="LF12" s="70"/>
      <c r="LG12" s="70"/>
      <c r="LH12" s="70"/>
      <c r="LI12" s="70"/>
      <c r="LJ12" s="70"/>
      <c r="LK12" s="70"/>
      <c r="LL12" s="70"/>
      <c r="LM12" s="70"/>
      <c r="LN12" s="70"/>
      <c r="LO12" s="70"/>
      <c r="LP12" s="70"/>
      <c r="LQ12" s="70"/>
      <c r="LR12" s="70"/>
      <c r="LS12" s="70"/>
      <c r="LT12" s="70"/>
      <c r="LU12" s="70"/>
      <c r="LV12" s="70"/>
      <c r="LW12" s="70"/>
      <c r="LX12" s="70"/>
      <c r="LY12" s="70"/>
      <c r="LZ12" s="70"/>
      <c r="MA12" s="70"/>
      <c r="MB12" s="70"/>
      <c r="MC12" s="70"/>
      <c r="MD12" s="70"/>
      <c r="ME12" s="70"/>
      <c r="MF12" s="70"/>
      <c r="MG12" s="70"/>
      <c r="MH12" s="70"/>
      <c r="MI12" s="70"/>
      <c r="MJ12" s="70"/>
      <c r="MK12" s="70"/>
      <c r="ML12" s="70"/>
      <c r="MM12" s="70"/>
      <c r="MN12" s="70"/>
      <c r="MO12" s="70"/>
      <c r="MP12" s="70"/>
      <c r="MQ12" s="70"/>
      <c r="MR12" s="70"/>
      <c r="MS12" s="70"/>
      <c r="MT12" s="70"/>
      <c r="MU12" s="70"/>
      <c r="MV12" s="70"/>
      <c r="MW12" s="70"/>
      <c r="MX12" s="70"/>
      <c r="MY12" s="70"/>
      <c r="MZ12" s="70"/>
      <c r="NA12" s="70"/>
      <c r="NB12" s="70"/>
      <c r="NC12" s="70"/>
      <c r="ND12" s="70"/>
      <c r="NE12" s="70"/>
      <c r="NF12" s="70"/>
      <c r="NG12" s="70"/>
      <c r="NH12" s="70"/>
      <c r="NI12" s="70"/>
      <c r="NJ12" s="70"/>
      <c r="NK12" s="70"/>
      <c r="NL12" s="70"/>
      <c r="NM12" s="70"/>
      <c r="NN12" s="70"/>
      <c r="NO12" s="70"/>
      <c r="NP12" s="70"/>
      <c r="NQ12" s="70"/>
      <c r="NR12" s="70"/>
      <c r="NS12" s="70"/>
      <c r="NT12" s="70"/>
      <c r="NU12" s="70"/>
      <c r="NV12" s="70"/>
      <c r="NW12" s="70"/>
      <c r="NX12" s="70"/>
      <c r="NY12" s="70"/>
      <c r="NZ12" s="70"/>
      <c r="OA12" s="70"/>
      <c r="OB12" s="70"/>
      <c r="OC12" s="70"/>
      <c r="OD12" s="70"/>
      <c r="OE12" s="70"/>
      <c r="OF12" s="70"/>
      <c r="OG12" s="70"/>
      <c r="OH12" s="70"/>
      <c r="OI12" s="70"/>
      <c r="OJ12" s="71"/>
    </row>
    <row r="13" spans="1:400" s="34" customFormat="1" ht="40.049999999999997" customHeight="1" x14ac:dyDescent="0.3">
      <c r="A13" s="920">
        <v>9</v>
      </c>
      <c r="B13" s="636" t="s">
        <v>526</v>
      </c>
      <c r="C13" s="674" t="s">
        <v>755</v>
      </c>
      <c r="D13" s="614" t="s">
        <v>19</v>
      </c>
      <c r="E13" s="615">
        <v>540243</v>
      </c>
      <c r="F13" s="615">
        <v>2588556</v>
      </c>
      <c r="G13" s="675">
        <v>-2048313</v>
      </c>
      <c r="H13" s="614" t="s">
        <v>4478</v>
      </c>
      <c r="I13" s="614" t="s">
        <v>1156</v>
      </c>
      <c r="J13" s="614" t="s">
        <v>1157</v>
      </c>
      <c r="K13" s="620" t="s">
        <v>4710</v>
      </c>
      <c r="L13" s="614" t="s">
        <v>1158</v>
      </c>
      <c r="M13" s="676" t="s">
        <v>4497</v>
      </c>
      <c r="N13" s="661" t="s">
        <v>1159</v>
      </c>
      <c r="O13" s="677">
        <v>257765.76000000001</v>
      </c>
      <c r="P13" s="678">
        <v>370460</v>
      </c>
      <c r="Q13" s="679"/>
      <c r="R13" s="680"/>
      <c r="S13" s="559"/>
      <c r="T13" s="190">
        <f t="shared" si="0"/>
        <v>628225.76</v>
      </c>
      <c r="U13" s="189"/>
      <c r="V13" s="189"/>
      <c r="W13" s="189"/>
      <c r="X13" s="189"/>
      <c r="Y13" s="189"/>
      <c r="Z13" s="189"/>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2"/>
      <c r="CG13" s="72"/>
      <c r="CH13" s="72"/>
      <c r="CI13" s="72"/>
      <c r="CJ13" s="72"/>
      <c r="CK13" s="72"/>
      <c r="CL13" s="72"/>
      <c r="CM13" s="72"/>
      <c r="CN13" s="72"/>
      <c r="CO13" s="72"/>
      <c r="CP13" s="72"/>
      <c r="CQ13" s="72"/>
      <c r="CR13" s="72"/>
      <c r="CS13" s="72"/>
      <c r="CT13" s="72"/>
      <c r="CU13" s="72"/>
      <c r="CV13" s="72"/>
      <c r="CW13" s="72"/>
      <c r="CX13" s="72"/>
      <c r="CY13" s="72"/>
      <c r="CZ13" s="72"/>
      <c r="DA13" s="72"/>
      <c r="DB13" s="72"/>
      <c r="DC13" s="72"/>
      <c r="DD13" s="72"/>
      <c r="DE13" s="72"/>
      <c r="DF13" s="72"/>
      <c r="DG13" s="72"/>
      <c r="DH13" s="72"/>
      <c r="DI13" s="72"/>
      <c r="DJ13" s="72"/>
      <c r="DK13" s="72"/>
      <c r="DL13" s="72"/>
      <c r="DM13" s="72"/>
      <c r="DN13" s="72"/>
      <c r="DO13" s="72"/>
      <c r="DP13" s="72"/>
      <c r="DQ13" s="72"/>
      <c r="DR13" s="72"/>
      <c r="DS13" s="72"/>
      <c r="DT13" s="72"/>
      <c r="DU13" s="72"/>
      <c r="DV13" s="72"/>
      <c r="DW13" s="72"/>
      <c r="DX13" s="72"/>
      <c r="DY13" s="72"/>
      <c r="DZ13" s="72"/>
      <c r="EA13" s="72"/>
      <c r="EB13" s="72"/>
      <c r="EC13" s="72"/>
      <c r="ED13" s="72"/>
      <c r="EE13" s="72"/>
      <c r="EF13" s="72"/>
      <c r="EG13" s="72"/>
      <c r="EH13" s="72"/>
      <c r="EI13" s="72"/>
      <c r="EJ13" s="72"/>
      <c r="EK13" s="72"/>
      <c r="EL13" s="72"/>
      <c r="EM13" s="72"/>
      <c r="EN13" s="72"/>
      <c r="EO13" s="72"/>
      <c r="EP13" s="72"/>
      <c r="EQ13" s="72"/>
      <c r="ER13" s="72"/>
      <c r="ES13" s="72"/>
      <c r="ET13" s="72"/>
      <c r="EU13" s="72"/>
      <c r="EV13" s="72"/>
      <c r="EW13" s="72"/>
      <c r="EX13" s="72"/>
      <c r="EY13" s="72"/>
      <c r="EZ13" s="72"/>
      <c r="FA13" s="72"/>
      <c r="FB13" s="72"/>
      <c r="FC13" s="72"/>
      <c r="FD13" s="72"/>
      <c r="FE13" s="72"/>
      <c r="FF13" s="72"/>
      <c r="FG13" s="72"/>
      <c r="FH13" s="72"/>
      <c r="FI13" s="72"/>
      <c r="FJ13" s="72"/>
      <c r="FK13" s="72"/>
      <c r="FL13" s="72"/>
      <c r="FM13" s="72"/>
      <c r="FN13" s="72"/>
      <c r="FO13" s="72"/>
      <c r="FP13" s="72"/>
      <c r="FQ13" s="72"/>
      <c r="FR13" s="72"/>
      <c r="FS13" s="72"/>
      <c r="FT13" s="72"/>
      <c r="FU13" s="72"/>
      <c r="FV13" s="72"/>
      <c r="FW13" s="72"/>
      <c r="FX13" s="72"/>
      <c r="FY13" s="72"/>
      <c r="FZ13" s="72"/>
      <c r="GA13" s="72"/>
      <c r="GB13" s="72"/>
      <c r="GC13" s="72"/>
      <c r="GD13" s="72"/>
      <c r="GE13" s="72"/>
      <c r="GF13" s="72"/>
      <c r="GG13" s="72"/>
      <c r="GH13" s="72"/>
      <c r="GI13" s="72"/>
      <c r="GJ13" s="72"/>
      <c r="GK13" s="72"/>
      <c r="GL13" s="72"/>
      <c r="GM13" s="72"/>
      <c r="GN13" s="72"/>
      <c r="GO13" s="72"/>
      <c r="GP13" s="72"/>
      <c r="GQ13" s="72"/>
      <c r="GR13" s="72"/>
      <c r="GS13" s="72"/>
      <c r="GT13" s="72"/>
      <c r="GU13" s="72"/>
      <c r="GV13" s="72"/>
      <c r="GW13" s="72"/>
      <c r="GX13" s="72"/>
      <c r="GY13" s="72"/>
      <c r="GZ13" s="72"/>
      <c r="HA13" s="72"/>
      <c r="HB13" s="72"/>
      <c r="HC13" s="72"/>
      <c r="HD13" s="72"/>
      <c r="HE13" s="72"/>
      <c r="HF13" s="72"/>
      <c r="HG13" s="72"/>
      <c r="HH13" s="72"/>
      <c r="HI13" s="72"/>
      <c r="HJ13" s="72"/>
      <c r="HK13" s="72"/>
      <c r="HL13" s="72"/>
      <c r="HM13" s="72"/>
      <c r="HN13" s="72"/>
      <c r="HO13" s="72"/>
      <c r="HP13" s="72"/>
      <c r="HQ13" s="72"/>
      <c r="HR13" s="72"/>
      <c r="HS13" s="72"/>
      <c r="HT13" s="72"/>
      <c r="HU13" s="72"/>
      <c r="HV13" s="72"/>
      <c r="HW13" s="72"/>
      <c r="HX13" s="72"/>
      <c r="HY13" s="72"/>
      <c r="HZ13" s="72"/>
      <c r="IA13" s="72"/>
      <c r="IB13" s="72"/>
      <c r="IC13" s="72"/>
      <c r="ID13" s="72"/>
      <c r="IE13" s="72"/>
      <c r="IF13" s="72"/>
      <c r="IG13" s="72"/>
      <c r="IH13" s="72"/>
      <c r="II13" s="72"/>
      <c r="IJ13" s="72"/>
      <c r="IK13" s="72"/>
      <c r="IL13" s="72"/>
      <c r="IM13" s="72"/>
      <c r="IN13" s="72"/>
      <c r="IO13" s="72"/>
      <c r="IP13" s="72"/>
      <c r="IQ13" s="72"/>
      <c r="IR13" s="72"/>
      <c r="IS13" s="72"/>
      <c r="IT13" s="72"/>
      <c r="IU13" s="72"/>
      <c r="IV13" s="72"/>
      <c r="IW13" s="72"/>
      <c r="IX13" s="72"/>
      <c r="IY13" s="72"/>
      <c r="IZ13" s="72"/>
      <c r="JA13" s="72"/>
      <c r="JB13" s="72"/>
      <c r="JC13" s="72"/>
      <c r="JD13" s="72"/>
      <c r="JE13" s="72"/>
      <c r="JF13" s="72"/>
      <c r="JG13" s="72"/>
      <c r="JH13" s="72"/>
      <c r="JI13" s="72"/>
      <c r="JJ13" s="72"/>
      <c r="JK13" s="72"/>
      <c r="JL13" s="72"/>
      <c r="JM13" s="72"/>
      <c r="JN13" s="72"/>
      <c r="JO13" s="72"/>
      <c r="JP13" s="72"/>
      <c r="JQ13" s="72"/>
      <c r="JR13" s="72"/>
      <c r="JS13" s="72"/>
      <c r="JT13" s="72"/>
      <c r="JU13" s="72"/>
      <c r="JV13" s="72"/>
      <c r="JW13" s="72"/>
      <c r="JX13" s="72"/>
      <c r="JY13" s="72"/>
      <c r="JZ13" s="72"/>
      <c r="KA13" s="72"/>
      <c r="KB13" s="72"/>
      <c r="KC13" s="72"/>
      <c r="KD13" s="72"/>
      <c r="KE13" s="72"/>
      <c r="KF13" s="72"/>
      <c r="KG13" s="72"/>
      <c r="KH13" s="72"/>
      <c r="KI13" s="72"/>
      <c r="KJ13" s="72"/>
      <c r="KK13" s="72"/>
      <c r="KL13" s="72"/>
      <c r="KM13" s="72"/>
      <c r="KN13" s="72"/>
      <c r="KO13" s="72"/>
      <c r="KP13" s="72"/>
      <c r="KQ13" s="72"/>
      <c r="KR13" s="72"/>
      <c r="KS13" s="72"/>
      <c r="KT13" s="72"/>
      <c r="KU13" s="72"/>
      <c r="KV13" s="72"/>
      <c r="KW13" s="72"/>
      <c r="KX13" s="72"/>
      <c r="KY13" s="72"/>
      <c r="KZ13" s="72"/>
      <c r="LA13" s="72"/>
      <c r="LB13" s="72"/>
      <c r="LC13" s="72"/>
      <c r="LD13" s="72"/>
      <c r="LE13" s="72"/>
      <c r="LF13" s="72"/>
      <c r="LG13" s="72"/>
      <c r="LH13" s="72"/>
      <c r="LI13" s="72"/>
      <c r="LJ13" s="72"/>
      <c r="LK13" s="72"/>
      <c r="LL13" s="72"/>
      <c r="LM13" s="72"/>
      <c r="LN13" s="72"/>
      <c r="LO13" s="72"/>
      <c r="LP13" s="72"/>
      <c r="LQ13" s="72"/>
      <c r="LR13" s="72"/>
      <c r="LS13" s="72"/>
      <c r="LT13" s="72"/>
      <c r="LU13" s="72"/>
      <c r="LV13" s="72"/>
      <c r="LW13" s="72"/>
      <c r="LX13" s="72"/>
      <c r="LY13" s="72"/>
      <c r="LZ13" s="72"/>
      <c r="MA13" s="72"/>
      <c r="MB13" s="72"/>
      <c r="MC13" s="72"/>
      <c r="MD13" s="72"/>
      <c r="ME13" s="72"/>
      <c r="MF13" s="72"/>
      <c r="MG13" s="72"/>
      <c r="MH13" s="72"/>
      <c r="MI13" s="72"/>
      <c r="MJ13" s="72"/>
      <c r="MK13" s="72"/>
      <c r="ML13" s="72"/>
      <c r="MM13" s="72"/>
      <c r="MN13" s="72"/>
      <c r="MO13" s="72"/>
      <c r="MP13" s="72"/>
      <c r="MQ13" s="72"/>
      <c r="MR13" s="72"/>
      <c r="MS13" s="72"/>
      <c r="MT13" s="72"/>
      <c r="MU13" s="72"/>
      <c r="MV13" s="72"/>
      <c r="MW13" s="72"/>
      <c r="MX13" s="72"/>
      <c r="MY13" s="72"/>
      <c r="MZ13" s="72"/>
      <c r="NA13" s="72"/>
      <c r="NB13" s="72"/>
      <c r="NC13" s="72"/>
      <c r="ND13" s="72"/>
      <c r="NE13" s="72"/>
      <c r="NF13" s="72"/>
      <c r="NG13" s="72"/>
      <c r="NH13" s="72"/>
      <c r="NI13" s="72"/>
      <c r="NJ13" s="72"/>
      <c r="NK13" s="72"/>
      <c r="NL13" s="72"/>
      <c r="NM13" s="72"/>
      <c r="NN13" s="72"/>
      <c r="NO13" s="72"/>
      <c r="NP13" s="72"/>
      <c r="NQ13" s="72"/>
      <c r="NR13" s="72"/>
      <c r="NS13" s="72"/>
      <c r="NT13" s="72"/>
      <c r="NU13" s="72"/>
      <c r="NV13" s="72"/>
      <c r="NW13" s="72"/>
      <c r="NX13" s="72"/>
      <c r="NY13" s="72"/>
      <c r="NZ13" s="72"/>
      <c r="OA13" s="72"/>
      <c r="OB13" s="72"/>
      <c r="OC13" s="72"/>
      <c r="OD13" s="72"/>
      <c r="OE13" s="72"/>
      <c r="OF13" s="72"/>
      <c r="OG13" s="72"/>
      <c r="OH13" s="72"/>
      <c r="OI13" s="72"/>
      <c r="OJ13" s="73"/>
    </row>
    <row r="14" spans="1:400" s="33" customFormat="1" ht="40.049999999999997" customHeight="1" x14ac:dyDescent="0.3">
      <c r="A14" s="658">
        <v>10</v>
      </c>
      <c r="B14" s="657" t="s">
        <v>53</v>
      </c>
      <c r="C14" s="665" t="s">
        <v>756</v>
      </c>
      <c r="D14" s="651" t="s">
        <v>22</v>
      </c>
      <c r="E14" s="667">
        <v>0</v>
      </c>
      <c r="F14" s="667">
        <v>0</v>
      </c>
      <c r="G14" s="667">
        <v>0</v>
      </c>
      <c r="H14" s="651" t="s">
        <v>4479</v>
      </c>
      <c r="I14" s="651" t="s">
        <v>1160</v>
      </c>
      <c r="J14" s="651" t="s">
        <v>1142</v>
      </c>
      <c r="K14" s="617" t="s">
        <v>4711</v>
      </c>
      <c r="L14" s="651" t="s">
        <v>1135</v>
      </c>
      <c r="M14" s="668" t="s">
        <v>4498</v>
      </c>
      <c r="N14" s="669" t="s">
        <v>1161</v>
      </c>
      <c r="O14" s="670">
        <v>71074.679999999993</v>
      </c>
      <c r="P14" s="682">
        <v>394472.52</v>
      </c>
      <c r="Q14" s="672"/>
      <c r="R14" s="673"/>
      <c r="S14" s="558"/>
      <c r="T14" s="186">
        <f t="shared" si="0"/>
        <v>465547.2</v>
      </c>
      <c r="U14" s="144"/>
      <c r="V14" s="144"/>
      <c r="W14" s="144"/>
      <c r="X14" s="144"/>
      <c r="Y14" s="144"/>
      <c r="Z14" s="144"/>
      <c r="AA14" s="70"/>
      <c r="AB14" s="70"/>
      <c r="AC14" s="70"/>
      <c r="AD14" s="70"/>
      <c r="AE14" s="70"/>
      <c r="AF14" s="70"/>
      <c r="AG14" s="70"/>
      <c r="AH14" s="70"/>
      <c r="AI14" s="70"/>
      <c r="AJ14" s="70"/>
      <c r="AK14" s="70"/>
      <c r="AL14" s="70"/>
      <c r="AM14" s="70"/>
      <c r="AN14" s="70"/>
      <c r="AO14" s="70"/>
      <c r="AP14" s="70"/>
      <c r="AQ14" s="70"/>
      <c r="AR14" s="70"/>
      <c r="AS14" s="70"/>
      <c r="AT14" s="70"/>
      <c r="AU14" s="70"/>
      <c r="AV14" s="70"/>
      <c r="AW14" s="70"/>
      <c r="AX14" s="70"/>
      <c r="AY14" s="70"/>
      <c r="AZ14" s="70"/>
      <c r="BA14" s="70"/>
      <c r="BB14" s="70"/>
      <c r="BC14" s="70"/>
      <c r="BD14" s="70"/>
      <c r="BE14" s="70"/>
      <c r="BF14" s="70"/>
      <c r="BG14" s="70"/>
      <c r="BH14" s="70"/>
      <c r="BI14" s="70"/>
      <c r="BJ14" s="70"/>
      <c r="BK14" s="70"/>
      <c r="BL14" s="70"/>
      <c r="BM14" s="70"/>
      <c r="BN14" s="70"/>
      <c r="BO14" s="70"/>
      <c r="BP14" s="70"/>
      <c r="BQ14" s="70"/>
      <c r="BR14" s="70"/>
      <c r="BS14" s="70"/>
      <c r="BT14" s="70"/>
      <c r="BU14" s="70"/>
      <c r="BV14" s="70"/>
      <c r="BW14" s="70"/>
      <c r="BX14" s="70"/>
      <c r="BY14" s="70"/>
      <c r="BZ14" s="70"/>
      <c r="CA14" s="70"/>
      <c r="CB14" s="70"/>
      <c r="CC14" s="70"/>
      <c r="CD14" s="70"/>
      <c r="CE14" s="70"/>
      <c r="CF14" s="70"/>
      <c r="CG14" s="70"/>
      <c r="CH14" s="70"/>
      <c r="CI14" s="70"/>
      <c r="CJ14" s="70"/>
      <c r="CK14" s="70"/>
      <c r="CL14" s="70"/>
      <c r="CM14" s="70"/>
      <c r="CN14" s="70"/>
      <c r="CO14" s="70"/>
      <c r="CP14" s="70"/>
      <c r="CQ14" s="70"/>
      <c r="CR14" s="70"/>
      <c r="CS14" s="70"/>
      <c r="CT14" s="70"/>
      <c r="CU14" s="70"/>
      <c r="CV14" s="70"/>
      <c r="CW14" s="70"/>
      <c r="CX14" s="70"/>
      <c r="CY14" s="70"/>
      <c r="CZ14" s="70"/>
      <c r="DA14" s="70"/>
      <c r="DB14" s="70"/>
      <c r="DC14" s="70"/>
      <c r="DD14" s="70"/>
      <c r="DE14" s="70"/>
      <c r="DF14" s="70"/>
      <c r="DG14" s="70"/>
      <c r="DH14" s="70"/>
      <c r="DI14" s="70"/>
      <c r="DJ14" s="70"/>
      <c r="DK14" s="70"/>
      <c r="DL14" s="70"/>
      <c r="DM14" s="70"/>
      <c r="DN14" s="70"/>
      <c r="DO14" s="70"/>
      <c r="DP14" s="70"/>
      <c r="DQ14" s="70"/>
      <c r="DR14" s="70"/>
      <c r="DS14" s="70"/>
      <c r="DT14" s="70"/>
      <c r="DU14" s="70"/>
      <c r="DV14" s="70"/>
      <c r="DW14" s="70"/>
      <c r="DX14" s="70"/>
      <c r="DY14" s="70"/>
      <c r="DZ14" s="70"/>
      <c r="EA14" s="70"/>
      <c r="EB14" s="70"/>
      <c r="EC14" s="70"/>
      <c r="ED14" s="70"/>
      <c r="EE14" s="70"/>
      <c r="EF14" s="70"/>
      <c r="EG14" s="70"/>
      <c r="EH14" s="70"/>
      <c r="EI14" s="70"/>
      <c r="EJ14" s="70"/>
      <c r="EK14" s="70"/>
      <c r="EL14" s="70"/>
      <c r="EM14" s="70"/>
      <c r="EN14" s="70"/>
      <c r="EO14" s="70"/>
      <c r="EP14" s="70"/>
      <c r="EQ14" s="70"/>
      <c r="ER14" s="70"/>
      <c r="ES14" s="70"/>
      <c r="ET14" s="70"/>
      <c r="EU14" s="70"/>
      <c r="EV14" s="70"/>
      <c r="EW14" s="70"/>
      <c r="EX14" s="70"/>
      <c r="EY14" s="70"/>
      <c r="EZ14" s="70"/>
      <c r="FA14" s="70"/>
      <c r="FB14" s="70"/>
      <c r="FC14" s="70"/>
      <c r="FD14" s="70"/>
      <c r="FE14" s="70"/>
      <c r="FF14" s="70"/>
      <c r="FG14" s="70"/>
      <c r="FH14" s="70"/>
      <c r="FI14" s="70"/>
      <c r="FJ14" s="70"/>
      <c r="FK14" s="70"/>
      <c r="FL14" s="70"/>
      <c r="FM14" s="70"/>
      <c r="FN14" s="70"/>
      <c r="FO14" s="70"/>
      <c r="FP14" s="70"/>
      <c r="FQ14" s="70"/>
      <c r="FR14" s="70"/>
      <c r="FS14" s="70"/>
      <c r="FT14" s="70"/>
      <c r="FU14" s="70"/>
      <c r="FV14" s="70"/>
      <c r="FW14" s="70"/>
      <c r="FX14" s="70"/>
      <c r="FY14" s="70"/>
      <c r="FZ14" s="70"/>
      <c r="GA14" s="70"/>
      <c r="GB14" s="70"/>
      <c r="GC14" s="70"/>
      <c r="GD14" s="70"/>
      <c r="GE14" s="70"/>
      <c r="GF14" s="70"/>
      <c r="GG14" s="70"/>
      <c r="GH14" s="70"/>
      <c r="GI14" s="70"/>
      <c r="GJ14" s="70"/>
      <c r="GK14" s="70"/>
      <c r="GL14" s="70"/>
      <c r="GM14" s="70"/>
      <c r="GN14" s="70"/>
      <c r="GO14" s="70"/>
      <c r="GP14" s="70"/>
      <c r="GQ14" s="70"/>
      <c r="GR14" s="70"/>
      <c r="GS14" s="70"/>
      <c r="GT14" s="70"/>
      <c r="GU14" s="70"/>
      <c r="GV14" s="70"/>
      <c r="GW14" s="70"/>
      <c r="GX14" s="70"/>
      <c r="GY14" s="70"/>
      <c r="GZ14" s="70"/>
      <c r="HA14" s="70"/>
      <c r="HB14" s="70"/>
      <c r="HC14" s="70"/>
      <c r="HD14" s="70"/>
      <c r="HE14" s="70"/>
      <c r="HF14" s="70"/>
      <c r="HG14" s="70"/>
      <c r="HH14" s="70"/>
      <c r="HI14" s="70"/>
      <c r="HJ14" s="70"/>
      <c r="HK14" s="70"/>
      <c r="HL14" s="70"/>
      <c r="HM14" s="70"/>
      <c r="HN14" s="70"/>
      <c r="HO14" s="70"/>
      <c r="HP14" s="70"/>
      <c r="HQ14" s="70"/>
      <c r="HR14" s="70"/>
      <c r="HS14" s="70"/>
      <c r="HT14" s="70"/>
      <c r="HU14" s="70"/>
      <c r="HV14" s="70"/>
      <c r="HW14" s="70"/>
      <c r="HX14" s="70"/>
      <c r="HY14" s="70"/>
      <c r="HZ14" s="70"/>
      <c r="IA14" s="70"/>
      <c r="IB14" s="70"/>
      <c r="IC14" s="70"/>
      <c r="ID14" s="70"/>
      <c r="IE14" s="70"/>
      <c r="IF14" s="70"/>
      <c r="IG14" s="70"/>
      <c r="IH14" s="70"/>
      <c r="II14" s="70"/>
      <c r="IJ14" s="70"/>
      <c r="IK14" s="70"/>
      <c r="IL14" s="70"/>
      <c r="IM14" s="70"/>
      <c r="IN14" s="70"/>
      <c r="IO14" s="70"/>
      <c r="IP14" s="70"/>
      <c r="IQ14" s="70"/>
      <c r="IR14" s="70"/>
      <c r="IS14" s="70"/>
      <c r="IT14" s="70"/>
      <c r="IU14" s="70"/>
      <c r="IV14" s="70"/>
      <c r="IW14" s="70"/>
      <c r="IX14" s="70"/>
      <c r="IY14" s="70"/>
      <c r="IZ14" s="70"/>
      <c r="JA14" s="70"/>
      <c r="JB14" s="70"/>
      <c r="JC14" s="70"/>
      <c r="JD14" s="70"/>
      <c r="JE14" s="70"/>
      <c r="JF14" s="70"/>
      <c r="JG14" s="70"/>
      <c r="JH14" s="70"/>
      <c r="JI14" s="70"/>
      <c r="JJ14" s="70"/>
      <c r="JK14" s="70"/>
      <c r="JL14" s="70"/>
      <c r="JM14" s="70"/>
      <c r="JN14" s="70"/>
      <c r="JO14" s="70"/>
      <c r="JP14" s="70"/>
      <c r="JQ14" s="70"/>
      <c r="JR14" s="70"/>
      <c r="JS14" s="70"/>
      <c r="JT14" s="70"/>
      <c r="JU14" s="70"/>
      <c r="JV14" s="70"/>
      <c r="JW14" s="70"/>
      <c r="JX14" s="70"/>
      <c r="JY14" s="70"/>
      <c r="JZ14" s="70"/>
      <c r="KA14" s="70"/>
      <c r="KB14" s="70"/>
      <c r="KC14" s="70"/>
      <c r="KD14" s="70"/>
      <c r="KE14" s="70"/>
      <c r="KF14" s="70"/>
      <c r="KG14" s="70"/>
      <c r="KH14" s="70"/>
      <c r="KI14" s="70"/>
      <c r="KJ14" s="70"/>
      <c r="KK14" s="70"/>
      <c r="KL14" s="70"/>
      <c r="KM14" s="70"/>
      <c r="KN14" s="70"/>
      <c r="KO14" s="70"/>
      <c r="KP14" s="70"/>
      <c r="KQ14" s="70"/>
      <c r="KR14" s="70"/>
      <c r="KS14" s="70"/>
      <c r="KT14" s="70"/>
      <c r="KU14" s="70"/>
      <c r="KV14" s="70"/>
      <c r="KW14" s="70"/>
      <c r="KX14" s="70"/>
      <c r="KY14" s="70"/>
      <c r="KZ14" s="70"/>
      <c r="LA14" s="70"/>
      <c r="LB14" s="70"/>
      <c r="LC14" s="70"/>
      <c r="LD14" s="70"/>
      <c r="LE14" s="70"/>
      <c r="LF14" s="70"/>
      <c r="LG14" s="70"/>
      <c r="LH14" s="70"/>
      <c r="LI14" s="70"/>
      <c r="LJ14" s="70"/>
      <c r="LK14" s="70"/>
      <c r="LL14" s="70"/>
      <c r="LM14" s="70"/>
      <c r="LN14" s="70"/>
      <c r="LO14" s="70"/>
      <c r="LP14" s="70"/>
      <c r="LQ14" s="70"/>
      <c r="LR14" s="70"/>
      <c r="LS14" s="70"/>
      <c r="LT14" s="70"/>
      <c r="LU14" s="70"/>
      <c r="LV14" s="70"/>
      <c r="LW14" s="70"/>
      <c r="LX14" s="70"/>
      <c r="LY14" s="70"/>
      <c r="LZ14" s="70"/>
      <c r="MA14" s="70"/>
      <c r="MB14" s="70"/>
      <c r="MC14" s="70"/>
      <c r="MD14" s="70"/>
      <c r="ME14" s="70"/>
      <c r="MF14" s="70"/>
      <c r="MG14" s="70"/>
      <c r="MH14" s="70"/>
      <c r="MI14" s="70"/>
      <c r="MJ14" s="70"/>
      <c r="MK14" s="70"/>
      <c r="ML14" s="70"/>
      <c r="MM14" s="70"/>
      <c r="MN14" s="70"/>
      <c r="MO14" s="70"/>
      <c r="MP14" s="70"/>
      <c r="MQ14" s="70"/>
      <c r="MR14" s="70"/>
      <c r="MS14" s="70"/>
      <c r="MT14" s="70"/>
      <c r="MU14" s="70"/>
      <c r="MV14" s="70"/>
      <c r="MW14" s="70"/>
      <c r="MX14" s="70"/>
      <c r="MY14" s="70"/>
      <c r="MZ14" s="70"/>
      <c r="NA14" s="70"/>
      <c r="NB14" s="70"/>
      <c r="NC14" s="70"/>
      <c r="ND14" s="70"/>
      <c r="NE14" s="70"/>
      <c r="NF14" s="70"/>
      <c r="NG14" s="70"/>
      <c r="NH14" s="70"/>
      <c r="NI14" s="70"/>
      <c r="NJ14" s="70"/>
      <c r="NK14" s="70"/>
      <c r="NL14" s="70"/>
      <c r="NM14" s="70"/>
      <c r="NN14" s="70"/>
      <c r="NO14" s="70"/>
      <c r="NP14" s="70"/>
      <c r="NQ14" s="70"/>
      <c r="NR14" s="70"/>
      <c r="NS14" s="70"/>
      <c r="NT14" s="70"/>
      <c r="NU14" s="70"/>
      <c r="NV14" s="70"/>
      <c r="NW14" s="70"/>
      <c r="NX14" s="70"/>
      <c r="NY14" s="70"/>
      <c r="NZ14" s="70"/>
      <c r="OA14" s="70"/>
      <c r="OB14" s="70"/>
      <c r="OC14" s="70"/>
      <c r="OD14" s="70"/>
      <c r="OE14" s="70"/>
      <c r="OF14" s="70"/>
      <c r="OG14" s="70"/>
      <c r="OH14" s="70"/>
      <c r="OI14" s="70"/>
      <c r="OJ14" s="71"/>
    </row>
    <row r="15" spans="1:400" s="34" customFormat="1" ht="40.049999999999997" customHeight="1" x14ac:dyDescent="0.3">
      <c r="A15" s="920">
        <v>11</v>
      </c>
      <c r="B15" s="636" t="s">
        <v>487</v>
      </c>
      <c r="C15" s="674" t="s">
        <v>757</v>
      </c>
      <c r="D15" s="614" t="s">
        <v>25</v>
      </c>
      <c r="E15" s="615">
        <v>125866</v>
      </c>
      <c r="F15" s="615">
        <v>748783</v>
      </c>
      <c r="G15" s="675">
        <v>-622917</v>
      </c>
      <c r="H15" s="614" t="s">
        <v>4480</v>
      </c>
      <c r="I15" s="614" t="s">
        <v>1162</v>
      </c>
      <c r="J15" s="614" t="s">
        <v>1157</v>
      </c>
      <c r="K15" s="620" t="s">
        <v>4712</v>
      </c>
      <c r="L15" s="614" t="s">
        <v>1163</v>
      </c>
      <c r="M15" s="676" t="s">
        <v>4499</v>
      </c>
      <c r="N15" s="661" t="s">
        <v>1164</v>
      </c>
      <c r="O15" s="677">
        <v>0</v>
      </c>
      <c r="P15" s="678">
        <v>0</v>
      </c>
      <c r="Q15" s="679"/>
      <c r="R15" s="680"/>
      <c r="S15" s="559"/>
      <c r="T15" s="190">
        <f t="shared" si="0"/>
        <v>0</v>
      </c>
      <c r="U15" s="189"/>
      <c r="V15" s="189"/>
      <c r="W15" s="189"/>
      <c r="X15" s="189"/>
      <c r="Y15" s="189"/>
      <c r="Z15" s="189"/>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c r="BO15" s="72"/>
      <c r="BP15" s="72"/>
      <c r="BQ15" s="72"/>
      <c r="BR15" s="72"/>
      <c r="BS15" s="72"/>
      <c r="BT15" s="72"/>
      <c r="BU15" s="72"/>
      <c r="BV15" s="72"/>
      <c r="BW15" s="72"/>
      <c r="BX15" s="72"/>
      <c r="BY15" s="72"/>
      <c r="BZ15" s="72"/>
      <c r="CA15" s="72"/>
      <c r="CB15" s="72"/>
      <c r="CC15" s="72"/>
      <c r="CD15" s="72"/>
      <c r="CE15" s="72"/>
      <c r="CF15" s="72"/>
      <c r="CG15" s="72"/>
      <c r="CH15" s="72"/>
      <c r="CI15" s="72"/>
      <c r="CJ15" s="72"/>
      <c r="CK15" s="72"/>
      <c r="CL15" s="72"/>
      <c r="CM15" s="72"/>
      <c r="CN15" s="72"/>
      <c r="CO15" s="72"/>
      <c r="CP15" s="72"/>
      <c r="CQ15" s="72"/>
      <c r="CR15" s="72"/>
      <c r="CS15" s="72"/>
      <c r="CT15" s="72"/>
      <c r="CU15" s="72"/>
      <c r="CV15" s="72"/>
      <c r="CW15" s="72"/>
      <c r="CX15" s="72"/>
      <c r="CY15" s="72"/>
      <c r="CZ15" s="72"/>
      <c r="DA15" s="72"/>
      <c r="DB15" s="72"/>
      <c r="DC15" s="72"/>
      <c r="DD15" s="72"/>
      <c r="DE15" s="72"/>
      <c r="DF15" s="72"/>
      <c r="DG15" s="72"/>
      <c r="DH15" s="72"/>
      <c r="DI15" s="72"/>
      <c r="DJ15" s="72"/>
      <c r="DK15" s="72"/>
      <c r="DL15" s="72"/>
      <c r="DM15" s="72"/>
      <c r="DN15" s="72"/>
      <c r="DO15" s="72"/>
      <c r="DP15" s="72"/>
      <c r="DQ15" s="72"/>
      <c r="DR15" s="72"/>
      <c r="DS15" s="72"/>
      <c r="DT15" s="72"/>
      <c r="DU15" s="72"/>
      <c r="DV15" s="72"/>
      <c r="DW15" s="72"/>
      <c r="DX15" s="72"/>
      <c r="DY15" s="72"/>
      <c r="DZ15" s="72"/>
      <c r="EA15" s="72"/>
      <c r="EB15" s="72"/>
      <c r="EC15" s="72"/>
      <c r="ED15" s="72"/>
      <c r="EE15" s="72"/>
      <c r="EF15" s="72"/>
      <c r="EG15" s="72"/>
      <c r="EH15" s="72"/>
      <c r="EI15" s="72"/>
      <c r="EJ15" s="72"/>
      <c r="EK15" s="72"/>
      <c r="EL15" s="72"/>
      <c r="EM15" s="72"/>
      <c r="EN15" s="72"/>
      <c r="EO15" s="72"/>
      <c r="EP15" s="72"/>
      <c r="EQ15" s="72"/>
      <c r="ER15" s="72"/>
      <c r="ES15" s="72"/>
      <c r="ET15" s="72"/>
      <c r="EU15" s="72"/>
      <c r="EV15" s="72"/>
      <c r="EW15" s="72"/>
      <c r="EX15" s="72"/>
      <c r="EY15" s="72"/>
      <c r="EZ15" s="72"/>
      <c r="FA15" s="72"/>
      <c r="FB15" s="72"/>
      <c r="FC15" s="72"/>
      <c r="FD15" s="72"/>
      <c r="FE15" s="72"/>
      <c r="FF15" s="72"/>
      <c r="FG15" s="72"/>
      <c r="FH15" s="72"/>
      <c r="FI15" s="72"/>
      <c r="FJ15" s="72"/>
      <c r="FK15" s="72"/>
      <c r="FL15" s="72"/>
      <c r="FM15" s="72"/>
      <c r="FN15" s="72"/>
      <c r="FO15" s="72"/>
      <c r="FP15" s="72"/>
      <c r="FQ15" s="72"/>
      <c r="FR15" s="72"/>
      <c r="FS15" s="72"/>
      <c r="FT15" s="72"/>
      <c r="FU15" s="72"/>
      <c r="FV15" s="72"/>
      <c r="FW15" s="72"/>
      <c r="FX15" s="72"/>
      <c r="FY15" s="72"/>
      <c r="FZ15" s="72"/>
      <c r="GA15" s="72"/>
      <c r="GB15" s="72"/>
      <c r="GC15" s="72"/>
      <c r="GD15" s="72"/>
      <c r="GE15" s="72"/>
      <c r="GF15" s="72"/>
      <c r="GG15" s="72"/>
      <c r="GH15" s="72"/>
      <c r="GI15" s="72"/>
      <c r="GJ15" s="72"/>
      <c r="GK15" s="72"/>
      <c r="GL15" s="72"/>
      <c r="GM15" s="72"/>
      <c r="GN15" s="72"/>
      <c r="GO15" s="72"/>
      <c r="GP15" s="72"/>
      <c r="GQ15" s="72"/>
      <c r="GR15" s="72"/>
      <c r="GS15" s="72"/>
      <c r="GT15" s="72"/>
      <c r="GU15" s="72"/>
      <c r="GV15" s="72"/>
      <c r="GW15" s="72"/>
      <c r="GX15" s="72"/>
      <c r="GY15" s="72"/>
      <c r="GZ15" s="72"/>
      <c r="HA15" s="72"/>
      <c r="HB15" s="72"/>
      <c r="HC15" s="72"/>
      <c r="HD15" s="72"/>
      <c r="HE15" s="72"/>
      <c r="HF15" s="72"/>
      <c r="HG15" s="72"/>
      <c r="HH15" s="72"/>
      <c r="HI15" s="72"/>
      <c r="HJ15" s="72"/>
      <c r="HK15" s="72"/>
      <c r="HL15" s="72"/>
      <c r="HM15" s="72"/>
      <c r="HN15" s="72"/>
      <c r="HO15" s="72"/>
      <c r="HP15" s="72"/>
      <c r="HQ15" s="72"/>
      <c r="HR15" s="72"/>
      <c r="HS15" s="72"/>
      <c r="HT15" s="72"/>
      <c r="HU15" s="72"/>
      <c r="HV15" s="72"/>
      <c r="HW15" s="72"/>
      <c r="HX15" s="72"/>
      <c r="HY15" s="72"/>
      <c r="HZ15" s="72"/>
      <c r="IA15" s="72"/>
      <c r="IB15" s="72"/>
      <c r="IC15" s="72"/>
      <c r="ID15" s="72"/>
      <c r="IE15" s="72"/>
      <c r="IF15" s="72"/>
      <c r="IG15" s="72"/>
      <c r="IH15" s="72"/>
      <c r="II15" s="72"/>
      <c r="IJ15" s="72"/>
      <c r="IK15" s="72"/>
      <c r="IL15" s="72"/>
      <c r="IM15" s="72"/>
      <c r="IN15" s="72"/>
      <c r="IO15" s="72"/>
      <c r="IP15" s="72"/>
      <c r="IQ15" s="72"/>
      <c r="IR15" s="72"/>
      <c r="IS15" s="72"/>
      <c r="IT15" s="72"/>
      <c r="IU15" s="72"/>
      <c r="IV15" s="72"/>
      <c r="IW15" s="72"/>
      <c r="IX15" s="72"/>
      <c r="IY15" s="72"/>
      <c r="IZ15" s="72"/>
      <c r="JA15" s="72"/>
      <c r="JB15" s="72"/>
      <c r="JC15" s="72"/>
      <c r="JD15" s="72"/>
      <c r="JE15" s="72"/>
      <c r="JF15" s="72"/>
      <c r="JG15" s="72"/>
      <c r="JH15" s="72"/>
      <c r="JI15" s="72"/>
      <c r="JJ15" s="72"/>
      <c r="JK15" s="72"/>
      <c r="JL15" s="72"/>
      <c r="JM15" s="72"/>
      <c r="JN15" s="72"/>
      <c r="JO15" s="72"/>
      <c r="JP15" s="72"/>
      <c r="JQ15" s="72"/>
      <c r="JR15" s="72"/>
      <c r="JS15" s="72"/>
      <c r="JT15" s="72"/>
      <c r="JU15" s="72"/>
      <c r="JV15" s="72"/>
      <c r="JW15" s="72"/>
      <c r="JX15" s="72"/>
      <c r="JY15" s="72"/>
      <c r="JZ15" s="72"/>
      <c r="KA15" s="72"/>
      <c r="KB15" s="72"/>
      <c r="KC15" s="72"/>
      <c r="KD15" s="72"/>
      <c r="KE15" s="72"/>
      <c r="KF15" s="72"/>
      <c r="KG15" s="72"/>
      <c r="KH15" s="72"/>
      <c r="KI15" s="72"/>
      <c r="KJ15" s="72"/>
      <c r="KK15" s="72"/>
      <c r="KL15" s="72"/>
      <c r="KM15" s="72"/>
      <c r="KN15" s="72"/>
      <c r="KO15" s="72"/>
      <c r="KP15" s="72"/>
      <c r="KQ15" s="72"/>
      <c r="KR15" s="72"/>
      <c r="KS15" s="72"/>
      <c r="KT15" s="72"/>
      <c r="KU15" s="72"/>
      <c r="KV15" s="72"/>
      <c r="KW15" s="72"/>
      <c r="KX15" s="72"/>
      <c r="KY15" s="72"/>
      <c r="KZ15" s="72"/>
      <c r="LA15" s="72"/>
      <c r="LB15" s="72"/>
      <c r="LC15" s="72"/>
      <c r="LD15" s="72"/>
      <c r="LE15" s="72"/>
      <c r="LF15" s="72"/>
      <c r="LG15" s="72"/>
      <c r="LH15" s="72"/>
      <c r="LI15" s="72"/>
      <c r="LJ15" s="72"/>
      <c r="LK15" s="72"/>
      <c r="LL15" s="72"/>
      <c r="LM15" s="72"/>
      <c r="LN15" s="72"/>
      <c r="LO15" s="72"/>
      <c r="LP15" s="72"/>
      <c r="LQ15" s="72"/>
      <c r="LR15" s="72"/>
      <c r="LS15" s="72"/>
      <c r="LT15" s="72"/>
      <c r="LU15" s="72"/>
      <c r="LV15" s="72"/>
      <c r="LW15" s="72"/>
      <c r="LX15" s="72"/>
      <c r="LY15" s="72"/>
      <c r="LZ15" s="72"/>
      <c r="MA15" s="72"/>
      <c r="MB15" s="72"/>
      <c r="MC15" s="72"/>
      <c r="MD15" s="72"/>
      <c r="ME15" s="72"/>
      <c r="MF15" s="72"/>
      <c r="MG15" s="72"/>
      <c r="MH15" s="72"/>
      <c r="MI15" s="72"/>
      <c r="MJ15" s="72"/>
      <c r="MK15" s="72"/>
      <c r="ML15" s="72"/>
      <c r="MM15" s="72"/>
      <c r="MN15" s="72"/>
      <c r="MO15" s="72"/>
      <c r="MP15" s="72"/>
      <c r="MQ15" s="72"/>
      <c r="MR15" s="72"/>
      <c r="MS15" s="72"/>
      <c r="MT15" s="72"/>
      <c r="MU15" s="72"/>
      <c r="MV15" s="72"/>
      <c r="MW15" s="72"/>
      <c r="MX15" s="72"/>
      <c r="MY15" s="72"/>
      <c r="MZ15" s="72"/>
      <c r="NA15" s="72"/>
      <c r="NB15" s="72"/>
      <c r="NC15" s="72"/>
      <c r="ND15" s="72"/>
      <c r="NE15" s="72"/>
      <c r="NF15" s="72"/>
      <c r="NG15" s="72"/>
      <c r="NH15" s="72"/>
      <c r="NI15" s="72"/>
      <c r="NJ15" s="72"/>
      <c r="NK15" s="72"/>
      <c r="NL15" s="72"/>
      <c r="NM15" s="72"/>
      <c r="NN15" s="72"/>
      <c r="NO15" s="72"/>
      <c r="NP15" s="72"/>
      <c r="NQ15" s="72"/>
      <c r="NR15" s="72"/>
      <c r="NS15" s="72"/>
      <c r="NT15" s="72"/>
      <c r="NU15" s="72"/>
      <c r="NV15" s="72"/>
      <c r="NW15" s="72"/>
      <c r="NX15" s="72"/>
      <c r="NY15" s="72"/>
      <c r="NZ15" s="72"/>
      <c r="OA15" s="72"/>
      <c r="OB15" s="72"/>
      <c r="OC15" s="72"/>
      <c r="OD15" s="72"/>
      <c r="OE15" s="72"/>
      <c r="OF15" s="72"/>
      <c r="OG15" s="72"/>
      <c r="OH15" s="72"/>
      <c r="OI15" s="72"/>
      <c r="OJ15" s="73"/>
    </row>
    <row r="16" spans="1:400" s="33" customFormat="1" ht="40.049999999999997" customHeight="1" x14ac:dyDescent="0.3">
      <c r="A16" s="658">
        <v>12</v>
      </c>
      <c r="B16" s="657" t="s">
        <v>545</v>
      </c>
      <c r="C16" s="665" t="s">
        <v>1165</v>
      </c>
      <c r="D16" s="651" t="s">
        <v>19</v>
      </c>
      <c r="E16" s="666">
        <v>600000</v>
      </c>
      <c r="F16" s="666">
        <v>10892761</v>
      </c>
      <c r="G16" s="667">
        <v>-10292761</v>
      </c>
      <c r="H16" s="665" t="s">
        <v>4481</v>
      </c>
      <c r="I16" s="651" t="s">
        <v>1166</v>
      </c>
      <c r="J16" s="651" t="s">
        <v>713</v>
      </c>
      <c r="K16" s="617" t="s">
        <v>4713</v>
      </c>
      <c r="L16" s="651" t="s">
        <v>1167</v>
      </c>
      <c r="M16" s="668" t="s">
        <v>4500</v>
      </c>
      <c r="N16" s="669" t="s">
        <v>1149</v>
      </c>
      <c r="O16" s="670">
        <v>250000</v>
      </c>
      <c r="P16" s="671">
        <v>307000</v>
      </c>
      <c r="Q16" s="672"/>
      <c r="R16" s="673"/>
      <c r="S16" s="560"/>
      <c r="T16" s="186">
        <f t="shared" si="0"/>
        <v>557000</v>
      </c>
      <c r="U16" s="144"/>
      <c r="V16" s="144"/>
      <c r="W16" s="144"/>
      <c r="X16" s="144"/>
      <c r="Y16" s="144"/>
      <c r="Z16" s="144"/>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c r="BY16" s="70"/>
      <c r="BZ16" s="70"/>
      <c r="CA16" s="70"/>
      <c r="CB16" s="70"/>
      <c r="CC16" s="70"/>
      <c r="CD16" s="70"/>
      <c r="CE16" s="70"/>
      <c r="CF16" s="70"/>
      <c r="CG16" s="70"/>
      <c r="CH16" s="70"/>
      <c r="CI16" s="70"/>
      <c r="CJ16" s="70"/>
      <c r="CK16" s="70"/>
      <c r="CL16" s="70"/>
      <c r="CM16" s="70"/>
      <c r="CN16" s="70"/>
      <c r="CO16" s="70"/>
      <c r="CP16" s="70"/>
      <c r="CQ16" s="70"/>
      <c r="CR16" s="70"/>
      <c r="CS16" s="70"/>
      <c r="CT16" s="70"/>
      <c r="CU16" s="70"/>
      <c r="CV16" s="70"/>
      <c r="CW16" s="70"/>
      <c r="CX16" s="70"/>
      <c r="CY16" s="70"/>
      <c r="CZ16" s="70"/>
      <c r="DA16" s="70"/>
      <c r="DB16" s="70"/>
      <c r="DC16" s="70"/>
      <c r="DD16" s="70"/>
      <c r="DE16" s="70"/>
      <c r="DF16" s="70"/>
      <c r="DG16" s="70"/>
      <c r="DH16" s="70"/>
      <c r="DI16" s="70"/>
      <c r="DJ16" s="70"/>
      <c r="DK16" s="70"/>
      <c r="DL16" s="70"/>
      <c r="DM16" s="70"/>
      <c r="DN16" s="70"/>
      <c r="DO16" s="70"/>
      <c r="DP16" s="70"/>
      <c r="DQ16" s="70"/>
      <c r="DR16" s="70"/>
      <c r="DS16" s="70"/>
      <c r="DT16" s="70"/>
      <c r="DU16" s="70"/>
      <c r="DV16" s="70"/>
      <c r="DW16" s="70"/>
      <c r="DX16" s="70"/>
      <c r="DY16" s="70"/>
      <c r="DZ16" s="70"/>
      <c r="EA16" s="70"/>
      <c r="EB16" s="70"/>
      <c r="EC16" s="70"/>
      <c r="ED16" s="70"/>
      <c r="EE16" s="70"/>
      <c r="EF16" s="70"/>
      <c r="EG16" s="70"/>
      <c r="EH16" s="70"/>
      <c r="EI16" s="70"/>
      <c r="EJ16" s="70"/>
      <c r="EK16" s="70"/>
      <c r="EL16" s="70"/>
      <c r="EM16" s="70"/>
      <c r="EN16" s="70"/>
      <c r="EO16" s="70"/>
      <c r="EP16" s="70"/>
      <c r="EQ16" s="70"/>
      <c r="ER16" s="70"/>
      <c r="ES16" s="70"/>
      <c r="ET16" s="70"/>
      <c r="EU16" s="70"/>
      <c r="EV16" s="70"/>
      <c r="EW16" s="70"/>
      <c r="EX16" s="70"/>
      <c r="EY16" s="70"/>
      <c r="EZ16" s="70"/>
      <c r="FA16" s="70"/>
      <c r="FB16" s="70"/>
      <c r="FC16" s="70"/>
      <c r="FD16" s="70"/>
      <c r="FE16" s="70"/>
      <c r="FF16" s="70"/>
      <c r="FG16" s="70"/>
      <c r="FH16" s="70"/>
      <c r="FI16" s="70"/>
      <c r="FJ16" s="70"/>
      <c r="FK16" s="70"/>
      <c r="FL16" s="70"/>
      <c r="FM16" s="70"/>
      <c r="FN16" s="70"/>
      <c r="FO16" s="70"/>
      <c r="FP16" s="70"/>
      <c r="FQ16" s="70"/>
      <c r="FR16" s="70"/>
      <c r="FS16" s="70"/>
      <c r="FT16" s="70"/>
      <c r="FU16" s="70"/>
      <c r="FV16" s="70"/>
      <c r="FW16" s="70"/>
      <c r="FX16" s="70"/>
      <c r="FY16" s="70"/>
      <c r="FZ16" s="70"/>
      <c r="GA16" s="70"/>
      <c r="GB16" s="70"/>
      <c r="GC16" s="70"/>
      <c r="GD16" s="70"/>
      <c r="GE16" s="70"/>
      <c r="GF16" s="70"/>
      <c r="GG16" s="70"/>
      <c r="GH16" s="70"/>
      <c r="GI16" s="70"/>
      <c r="GJ16" s="70"/>
      <c r="GK16" s="70"/>
      <c r="GL16" s="70"/>
      <c r="GM16" s="70"/>
      <c r="GN16" s="70"/>
      <c r="GO16" s="70"/>
      <c r="GP16" s="70"/>
      <c r="GQ16" s="70"/>
      <c r="GR16" s="70"/>
      <c r="GS16" s="70"/>
      <c r="GT16" s="70"/>
      <c r="GU16" s="70"/>
      <c r="GV16" s="70"/>
      <c r="GW16" s="70"/>
      <c r="GX16" s="70"/>
      <c r="GY16" s="70"/>
      <c r="GZ16" s="70"/>
      <c r="HA16" s="70"/>
      <c r="HB16" s="70"/>
      <c r="HC16" s="70"/>
      <c r="HD16" s="70"/>
      <c r="HE16" s="70"/>
      <c r="HF16" s="70"/>
      <c r="HG16" s="70"/>
      <c r="HH16" s="70"/>
      <c r="HI16" s="70"/>
      <c r="HJ16" s="70"/>
      <c r="HK16" s="70"/>
      <c r="HL16" s="70"/>
      <c r="HM16" s="70"/>
      <c r="HN16" s="70"/>
      <c r="HO16" s="70"/>
      <c r="HP16" s="70"/>
      <c r="HQ16" s="70"/>
      <c r="HR16" s="70"/>
      <c r="HS16" s="70"/>
      <c r="HT16" s="70"/>
      <c r="HU16" s="70"/>
      <c r="HV16" s="70"/>
      <c r="HW16" s="70"/>
      <c r="HX16" s="70"/>
      <c r="HY16" s="70"/>
      <c r="HZ16" s="70"/>
      <c r="IA16" s="70"/>
      <c r="IB16" s="70"/>
      <c r="IC16" s="70"/>
      <c r="ID16" s="70"/>
      <c r="IE16" s="70"/>
      <c r="IF16" s="70"/>
      <c r="IG16" s="70"/>
      <c r="IH16" s="70"/>
      <c r="II16" s="70"/>
      <c r="IJ16" s="70"/>
      <c r="IK16" s="70"/>
      <c r="IL16" s="70"/>
      <c r="IM16" s="70"/>
      <c r="IN16" s="70"/>
      <c r="IO16" s="70"/>
      <c r="IP16" s="70"/>
      <c r="IQ16" s="70"/>
      <c r="IR16" s="70"/>
      <c r="IS16" s="70"/>
      <c r="IT16" s="70"/>
      <c r="IU16" s="70"/>
      <c r="IV16" s="70"/>
      <c r="IW16" s="70"/>
      <c r="IX16" s="70"/>
      <c r="IY16" s="70"/>
      <c r="IZ16" s="70"/>
      <c r="JA16" s="70"/>
      <c r="JB16" s="70"/>
      <c r="JC16" s="70"/>
      <c r="JD16" s="70"/>
      <c r="JE16" s="70"/>
      <c r="JF16" s="70"/>
      <c r="JG16" s="70"/>
      <c r="JH16" s="70"/>
      <c r="JI16" s="70"/>
      <c r="JJ16" s="70"/>
      <c r="JK16" s="70"/>
      <c r="JL16" s="70"/>
      <c r="JM16" s="70"/>
      <c r="JN16" s="70"/>
      <c r="JO16" s="70"/>
      <c r="JP16" s="70"/>
      <c r="JQ16" s="70"/>
      <c r="JR16" s="70"/>
      <c r="JS16" s="70"/>
      <c r="JT16" s="70"/>
      <c r="JU16" s="70"/>
      <c r="JV16" s="70"/>
      <c r="JW16" s="70"/>
      <c r="JX16" s="70"/>
      <c r="JY16" s="70"/>
      <c r="JZ16" s="70"/>
      <c r="KA16" s="70"/>
      <c r="KB16" s="70"/>
      <c r="KC16" s="70"/>
      <c r="KD16" s="70"/>
      <c r="KE16" s="70"/>
      <c r="KF16" s="70"/>
      <c r="KG16" s="70"/>
      <c r="KH16" s="70"/>
      <c r="KI16" s="70"/>
      <c r="KJ16" s="70"/>
      <c r="KK16" s="70"/>
      <c r="KL16" s="70"/>
      <c r="KM16" s="70"/>
      <c r="KN16" s="70"/>
      <c r="KO16" s="70"/>
      <c r="KP16" s="70"/>
      <c r="KQ16" s="70"/>
      <c r="KR16" s="70"/>
      <c r="KS16" s="70"/>
      <c r="KT16" s="70"/>
      <c r="KU16" s="70"/>
      <c r="KV16" s="70"/>
      <c r="KW16" s="70"/>
      <c r="KX16" s="70"/>
      <c r="KY16" s="70"/>
      <c r="KZ16" s="70"/>
      <c r="LA16" s="70"/>
      <c r="LB16" s="70"/>
      <c r="LC16" s="70"/>
      <c r="LD16" s="70"/>
      <c r="LE16" s="70"/>
      <c r="LF16" s="70"/>
      <c r="LG16" s="70"/>
      <c r="LH16" s="70"/>
      <c r="LI16" s="70"/>
      <c r="LJ16" s="70"/>
      <c r="LK16" s="70"/>
      <c r="LL16" s="70"/>
      <c r="LM16" s="70"/>
      <c r="LN16" s="70"/>
      <c r="LO16" s="70"/>
      <c r="LP16" s="70"/>
      <c r="LQ16" s="70"/>
      <c r="LR16" s="70"/>
      <c r="LS16" s="70"/>
      <c r="LT16" s="70"/>
      <c r="LU16" s="70"/>
      <c r="LV16" s="70"/>
      <c r="LW16" s="70"/>
      <c r="LX16" s="70"/>
      <c r="LY16" s="70"/>
      <c r="LZ16" s="70"/>
      <c r="MA16" s="70"/>
      <c r="MB16" s="70"/>
      <c r="MC16" s="70"/>
      <c r="MD16" s="70"/>
      <c r="ME16" s="70"/>
      <c r="MF16" s="70"/>
      <c r="MG16" s="70"/>
      <c r="MH16" s="70"/>
      <c r="MI16" s="70"/>
      <c r="MJ16" s="70"/>
      <c r="MK16" s="70"/>
      <c r="ML16" s="70"/>
      <c r="MM16" s="70"/>
      <c r="MN16" s="70"/>
      <c r="MO16" s="70"/>
      <c r="MP16" s="70"/>
      <c r="MQ16" s="70"/>
      <c r="MR16" s="70"/>
      <c r="MS16" s="70"/>
      <c r="MT16" s="70"/>
      <c r="MU16" s="70"/>
      <c r="MV16" s="70"/>
      <c r="MW16" s="70"/>
      <c r="MX16" s="70"/>
      <c r="MY16" s="70"/>
      <c r="MZ16" s="70"/>
      <c r="NA16" s="70"/>
      <c r="NB16" s="70"/>
      <c r="NC16" s="70"/>
      <c r="ND16" s="70"/>
      <c r="NE16" s="70"/>
      <c r="NF16" s="70"/>
      <c r="NG16" s="70"/>
      <c r="NH16" s="70"/>
      <c r="NI16" s="70"/>
      <c r="NJ16" s="70"/>
      <c r="NK16" s="70"/>
      <c r="NL16" s="70"/>
      <c r="NM16" s="70"/>
      <c r="NN16" s="70"/>
      <c r="NO16" s="70"/>
      <c r="NP16" s="70"/>
      <c r="NQ16" s="70"/>
      <c r="NR16" s="70"/>
      <c r="NS16" s="70"/>
      <c r="NT16" s="70"/>
      <c r="NU16" s="70"/>
      <c r="NV16" s="70"/>
      <c r="NW16" s="70"/>
      <c r="NX16" s="70"/>
      <c r="NY16" s="70"/>
      <c r="NZ16" s="70"/>
      <c r="OA16" s="70"/>
      <c r="OB16" s="70"/>
      <c r="OC16" s="70"/>
      <c r="OD16" s="70"/>
      <c r="OE16" s="70"/>
      <c r="OF16" s="70"/>
      <c r="OG16" s="70"/>
      <c r="OH16" s="70"/>
      <c r="OI16" s="70"/>
      <c r="OJ16" s="71"/>
    </row>
    <row r="17" spans="1:400" s="34" customFormat="1" ht="40.049999999999997" customHeight="1" x14ac:dyDescent="0.3">
      <c r="A17" s="920">
        <v>13</v>
      </c>
      <c r="B17" s="636" t="s">
        <v>50</v>
      </c>
      <c r="C17" s="674" t="s">
        <v>1087</v>
      </c>
      <c r="D17" s="614" t="s">
        <v>22</v>
      </c>
      <c r="E17" s="615">
        <v>53612</v>
      </c>
      <c r="F17" s="615">
        <v>117900</v>
      </c>
      <c r="G17" s="675">
        <v>-64288</v>
      </c>
      <c r="H17" s="674" t="s">
        <v>4482</v>
      </c>
      <c r="I17" s="614" t="s">
        <v>1168</v>
      </c>
      <c r="J17" s="614" t="s">
        <v>1169</v>
      </c>
      <c r="K17" s="620" t="s">
        <v>4714</v>
      </c>
      <c r="L17" s="614" t="s">
        <v>1170</v>
      </c>
      <c r="M17" s="676" t="s">
        <v>4501</v>
      </c>
      <c r="N17" s="661" t="s">
        <v>1171</v>
      </c>
      <c r="O17" s="677">
        <v>85100</v>
      </c>
      <c r="P17" s="678">
        <v>161000</v>
      </c>
      <c r="Q17" s="679"/>
      <c r="R17" s="680"/>
      <c r="S17" s="561"/>
      <c r="T17" s="190">
        <f t="shared" si="0"/>
        <v>246100</v>
      </c>
      <c r="U17" s="189"/>
      <c r="V17" s="189"/>
      <c r="W17" s="189"/>
      <c r="X17" s="189"/>
      <c r="Y17" s="189"/>
      <c r="Z17" s="189"/>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c r="BO17" s="72"/>
      <c r="BP17" s="72"/>
      <c r="BQ17" s="72"/>
      <c r="BR17" s="72"/>
      <c r="BS17" s="72"/>
      <c r="BT17" s="72"/>
      <c r="BU17" s="72"/>
      <c r="BV17" s="72"/>
      <c r="BW17" s="72"/>
      <c r="BX17" s="72"/>
      <c r="BY17" s="72"/>
      <c r="BZ17" s="72"/>
      <c r="CA17" s="72"/>
      <c r="CB17" s="72"/>
      <c r="CC17" s="72"/>
      <c r="CD17" s="72"/>
      <c r="CE17" s="72"/>
      <c r="CF17" s="72"/>
      <c r="CG17" s="72"/>
      <c r="CH17" s="72"/>
      <c r="CI17" s="72"/>
      <c r="CJ17" s="72"/>
      <c r="CK17" s="72"/>
      <c r="CL17" s="72"/>
      <c r="CM17" s="72"/>
      <c r="CN17" s="72"/>
      <c r="CO17" s="72"/>
      <c r="CP17" s="72"/>
      <c r="CQ17" s="72"/>
      <c r="CR17" s="72"/>
      <c r="CS17" s="72"/>
      <c r="CT17" s="72"/>
      <c r="CU17" s="72"/>
      <c r="CV17" s="72"/>
      <c r="CW17" s="72"/>
      <c r="CX17" s="72"/>
      <c r="CY17" s="72"/>
      <c r="CZ17" s="72"/>
      <c r="DA17" s="72"/>
      <c r="DB17" s="72"/>
      <c r="DC17" s="72"/>
      <c r="DD17" s="72"/>
      <c r="DE17" s="72"/>
      <c r="DF17" s="72"/>
      <c r="DG17" s="72"/>
      <c r="DH17" s="72"/>
      <c r="DI17" s="72"/>
      <c r="DJ17" s="72"/>
      <c r="DK17" s="72"/>
      <c r="DL17" s="72"/>
      <c r="DM17" s="72"/>
      <c r="DN17" s="72"/>
      <c r="DO17" s="72"/>
      <c r="DP17" s="72"/>
      <c r="DQ17" s="72"/>
      <c r="DR17" s="72"/>
      <c r="DS17" s="72"/>
      <c r="DT17" s="72"/>
      <c r="DU17" s="72"/>
      <c r="DV17" s="72"/>
      <c r="DW17" s="72"/>
      <c r="DX17" s="72"/>
      <c r="DY17" s="72"/>
      <c r="DZ17" s="72"/>
      <c r="EA17" s="72"/>
      <c r="EB17" s="72"/>
      <c r="EC17" s="72"/>
      <c r="ED17" s="72"/>
      <c r="EE17" s="72"/>
      <c r="EF17" s="72"/>
      <c r="EG17" s="72"/>
      <c r="EH17" s="72"/>
      <c r="EI17" s="72"/>
      <c r="EJ17" s="72"/>
      <c r="EK17" s="72"/>
      <c r="EL17" s="72"/>
      <c r="EM17" s="72"/>
      <c r="EN17" s="72"/>
      <c r="EO17" s="72"/>
      <c r="EP17" s="72"/>
      <c r="EQ17" s="72"/>
      <c r="ER17" s="72"/>
      <c r="ES17" s="72"/>
      <c r="ET17" s="72"/>
      <c r="EU17" s="72"/>
      <c r="EV17" s="72"/>
      <c r="EW17" s="72"/>
      <c r="EX17" s="72"/>
      <c r="EY17" s="72"/>
      <c r="EZ17" s="72"/>
      <c r="FA17" s="72"/>
      <c r="FB17" s="72"/>
      <c r="FC17" s="72"/>
      <c r="FD17" s="72"/>
      <c r="FE17" s="72"/>
      <c r="FF17" s="72"/>
      <c r="FG17" s="72"/>
      <c r="FH17" s="72"/>
      <c r="FI17" s="72"/>
      <c r="FJ17" s="72"/>
      <c r="FK17" s="72"/>
      <c r="FL17" s="72"/>
      <c r="FM17" s="72"/>
      <c r="FN17" s="72"/>
      <c r="FO17" s="72"/>
      <c r="FP17" s="72"/>
      <c r="FQ17" s="72"/>
      <c r="FR17" s="72"/>
      <c r="FS17" s="72"/>
      <c r="FT17" s="72"/>
      <c r="FU17" s="72"/>
      <c r="FV17" s="72"/>
      <c r="FW17" s="72"/>
      <c r="FX17" s="72"/>
      <c r="FY17" s="72"/>
      <c r="FZ17" s="72"/>
      <c r="GA17" s="72"/>
      <c r="GB17" s="72"/>
      <c r="GC17" s="72"/>
      <c r="GD17" s="72"/>
      <c r="GE17" s="72"/>
      <c r="GF17" s="72"/>
      <c r="GG17" s="72"/>
      <c r="GH17" s="72"/>
      <c r="GI17" s="72"/>
      <c r="GJ17" s="72"/>
      <c r="GK17" s="72"/>
      <c r="GL17" s="72"/>
      <c r="GM17" s="72"/>
      <c r="GN17" s="72"/>
      <c r="GO17" s="72"/>
      <c r="GP17" s="72"/>
      <c r="GQ17" s="72"/>
      <c r="GR17" s="72"/>
      <c r="GS17" s="72"/>
      <c r="GT17" s="72"/>
      <c r="GU17" s="72"/>
      <c r="GV17" s="72"/>
      <c r="GW17" s="72"/>
      <c r="GX17" s="72"/>
      <c r="GY17" s="72"/>
      <c r="GZ17" s="72"/>
      <c r="HA17" s="72"/>
      <c r="HB17" s="72"/>
      <c r="HC17" s="72"/>
      <c r="HD17" s="72"/>
      <c r="HE17" s="72"/>
      <c r="HF17" s="72"/>
      <c r="HG17" s="72"/>
      <c r="HH17" s="72"/>
      <c r="HI17" s="72"/>
      <c r="HJ17" s="72"/>
      <c r="HK17" s="72"/>
      <c r="HL17" s="72"/>
      <c r="HM17" s="72"/>
      <c r="HN17" s="72"/>
      <c r="HO17" s="72"/>
      <c r="HP17" s="72"/>
      <c r="HQ17" s="72"/>
      <c r="HR17" s="72"/>
      <c r="HS17" s="72"/>
      <c r="HT17" s="72"/>
      <c r="HU17" s="72"/>
      <c r="HV17" s="72"/>
      <c r="HW17" s="72"/>
      <c r="HX17" s="72"/>
      <c r="HY17" s="72"/>
      <c r="HZ17" s="72"/>
      <c r="IA17" s="72"/>
      <c r="IB17" s="72"/>
      <c r="IC17" s="72"/>
      <c r="ID17" s="72"/>
      <c r="IE17" s="72"/>
      <c r="IF17" s="72"/>
      <c r="IG17" s="72"/>
      <c r="IH17" s="72"/>
      <c r="II17" s="72"/>
      <c r="IJ17" s="72"/>
      <c r="IK17" s="72"/>
      <c r="IL17" s="72"/>
      <c r="IM17" s="72"/>
      <c r="IN17" s="72"/>
      <c r="IO17" s="72"/>
      <c r="IP17" s="72"/>
      <c r="IQ17" s="72"/>
      <c r="IR17" s="72"/>
      <c r="IS17" s="72"/>
      <c r="IT17" s="72"/>
      <c r="IU17" s="72"/>
      <c r="IV17" s="72"/>
      <c r="IW17" s="72"/>
      <c r="IX17" s="72"/>
      <c r="IY17" s="72"/>
      <c r="IZ17" s="72"/>
      <c r="JA17" s="72"/>
      <c r="JB17" s="72"/>
      <c r="JC17" s="72"/>
      <c r="JD17" s="72"/>
      <c r="JE17" s="72"/>
      <c r="JF17" s="72"/>
      <c r="JG17" s="72"/>
      <c r="JH17" s="72"/>
      <c r="JI17" s="72"/>
      <c r="JJ17" s="72"/>
      <c r="JK17" s="72"/>
      <c r="JL17" s="72"/>
      <c r="JM17" s="72"/>
      <c r="JN17" s="72"/>
      <c r="JO17" s="72"/>
      <c r="JP17" s="72"/>
      <c r="JQ17" s="72"/>
      <c r="JR17" s="72"/>
      <c r="JS17" s="72"/>
      <c r="JT17" s="72"/>
      <c r="JU17" s="72"/>
      <c r="JV17" s="72"/>
      <c r="JW17" s="72"/>
      <c r="JX17" s="72"/>
      <c r="JY17" s="72"/>
      <c r="JZ17" s="72"/>
      <c r="KA17" s="72"/>
      <c r="KB17" s="72"/>
      <c r="KC17" s="72"/>
      <c r="KD17" s="72"/>
      <c r="KE17" s="72"/>
      <c r="KF17" s="72"/>
      <c r="KG17" s="72"/>
      <c r="KH17" s="72"/>
      <c r="KI17" s="72"/>
      <c r="KJ17" s="72"/>
      <c r="KK17" s="72"/>
      <c r="KL17" s="72"/>
      <c r="KM17" s="72"/>
      <c r="KN17" s="72"/>
      <c r="KO17" s="72"/>
      <c r="KP17" s="72"/>
      <c r="KQ17" s="72"/>
      <c r="KR17" s="72"/>
      <c r="KS17" s="72"/>
      <c r="KT17" s="72"/>
      <c r="KU17" s="72"/>
      <c r="KV17" s="72"/>
      <c r="KW17" s="72"/>
      <c r="KX17" s="72"/>
      <c r="KY17" s="72"/>
      <c r="KZ17" s="72"/>
      <c r="LA17" s="72"/>
      <c r="LB17" s="72"/>
      <c r="LC17" s="72"/>
      <c r="LD17" s="72"/>
      <c r="LE17" s="72"/>
      <c r="LF17" s="72"/>
      <c r="LG17" s="72"/>
      <c r="LH17" s="72"/>
      <c r="LI17" s="72"/>
      <c r="LJ17" s="72"/>
      <c r="LK17" s="72"/>
      <c r="LL17" s="72"/>
      <c r="LM17" s="72"/>
      <c r="LN17" s="72"/>
      <c r="LO17" s="72"/>
      <c r="LP17" s="72"/>
      <c r="LQ17" s="72"/>
      <c r="LR17" s="72"/>
      <c r="LS17" s="72"/>
      <c r="LT17" s="72"/>
      <c r="LU17" s="72"/>
      <c r="LV17" s="72"/>
      <c r="LW17" s="72"/>
      <c r="LX17" s="72"/>
      <c r="LY17" s="72"/>
      <c r="LZ17" s="72"/>
      <c r="MA17" s="72"/>
      <c r="MB17" s="72"/>
      <c r="MC17" s="72"/>
      <c r="MD17" s="72"/>
      <c r="ME17" s="72"/>
      <c r="MF17" s="72"/>
      <c r="MG17" s="72"/>
      <c r="MH17" s="72"/>
      <c r="MI17" s="72"/>
      <c r="MJ17" s="72"/>
      <c r="MK17" s="72"/>
      <c r="ML17" s="72"/>
      <c r="MM17" s="72"/>
      <c r="MN17" s="72"/>
      <c r="MO17" s="72"/>
      <c r="MP17" s="72"/>
      <c r="MQ17" s="72"/>
      <c r="MR17" s="72"/>
      <c r="MS17" s="72"/>
      <c r="MT17" s="72"/>
      <c r="MU17" s="72"/>
      <c r="MV17" s="72"/>
      <c r="MW17" s="72"/>
      <c r="MX17" s="72"/>
      <c r="MY17" s="72"/>
      <c r="MZ17" s="72"/>
      <c r="NA17" s="72"/>
      <c r="NB17" s="72"/>
      <c r="NC17" s="72"/>
      <c r="ND17" s="72"/>
      <c r="NE17" s="72"/>
      <c r="NF17" s="72"/>
      <c r="NG17" s="72"/>
      <c r="NH17" s="72"/>
      <c r="NI17" s="72"/>
      <c r="NJ17" s="72"/>
      <c r="NK17" s="72"/>
      <c r="NL17" s="72"/>
      <c r="NM17" s="72"/>
      <c r="NN17" s="72"/>
      <c r="NO17" s="72"/>
      <c r="NP17" s="72"/>
      <c r="NQ17" s="72"/>
      <c r="NR17" s="72"/>
      <c r="NS17" s="72"/>
      <c r="NT17" s="72"/>
      <c r="NU17" s="72"/>
      <c r="NV17" s="72"/>
      <c r="NW17" s="72"/>
      <c r="NX17" s="72"/>
      <c r="NY17" s="72"/>
      <c r="NZ17" s="72"/>
      <c r="OA17" s="72"/>
      <c r="OB17" s="72"/>
      <c r="OC17" s="72"/>
      <c r="OD17" s="72"/>
      <c r="OE17" s="72"/>
      <c r="OF17" s="72"/>
      <c r="OG17" s="72"/>
      <c r="OH17" s="72"/>
      <c r="OI17" s="72"/>
      <c r="OJ17" s="73"/>
    </row>
    <row r="18" spans="1:400" s="33" customFormat="1" ht="40.049999999999997" customHeight="1" x14ac:dyDescent="0.3">
      <c r="A18" s="658">
        <v>14</v>
      </c>
      <c r="B18" s="657" t="s">
        <v>633</v>
      </c>
      <c r="C18" s="665" t="s">
        <v>758</v>
      </c>
      <c r="D18" s="651" t="s">
        <v>31</v>
      </c>
      <c r="E18" s="666">
        <v>636284</v>
      </c>
      <c r="F18" s="667">
        <v>0</v>
      </c>
      <c r="G18" s="666">
        <v>636284</v>
      </c>
      <c r="H18" s="651" t="s">
        <v>4483</v>
      </c>
      <c r="I18" s="651" t="s">
        <v>1172</v>
      </c>
      <c r="J18" s="651" t="s">
        <v>1169</v>
      </c>
      <c r="K18" s="617" t="s">
        <v>4715</v>
      </c>
      <c r="L18" s="651" t="s">
        <v>1173</v>
      </c>
      <c r="M18" s="668" t="s">
        <v>4502</v>
      </c>
      <c r="N18" s="669" t="s">
        <v>1174</v>
      </c>
      <c r="O18" s="670">
        <v>307222.34000000003</v>
      </c>
      <c r="P18" s="671">
        <v>79552.7</v>
      </c>
      <c r="Q18" s="672"/>
      <c r="R18" s="673"/>
      <c r="S18" s="560"/>
      <c r="T18" s="186">
        <f t="shared" si="0"/>
        <v>386775.04000000004</v>
      </c>
      <c r="U18" s="144"/>
      <c r="V18" s="144"/>
      <c r="W18" s="144"/>
      <c r="X18" s="144"/>
      <c r="Y18" s="144"/>
      <c r="Z18" s="144"/>
      <c r="AA18" s="70"/>
      <c r="AB18" s="70"/>
      <c r="AC18" s="70"/>
      <c r="AD18" s="70"/>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c r="BM18" s="70"/>
      <c r="BN18" s="70"/>
      <c r="BO18" s="70"/>
      <c r="BP18" s="70"/>
      <c r="BQ18" s="70"/>
      <c r="BR18" s="70"/>
      <c r="BS18" s="70"/>
      <c r="BT18" s="70"/>
      <c r="BU18" s="70"/>
      <c r="BV18" s="70"/>
      <c r="BW18" s="70"/>
      <c r="BX18" s="70"/>
      <c r="BY18" s="70"/>
      <c r="BZ18" s="70"/>
      <c r="CA18" s="70"/>
      <c r="CB18" s="70"/>
      <c r="CC18" s="70"/>
      <c r="CD18" s="70"/>
      <c r="CE18" s="70"/>
      <c r="CF18" s="70"/>
      <c r="CG18" s="70"/>
      <c r="CH18" s="70"/>
      <c r="CI18" s="70"/>
      <c r="CJ18" s="70"/>
      <c r="CK18" s="70"/>
      <c r="CL18" s="70"/>
      <c r="CM18" s="70"/>
      <c r="CN18" s="70"/>
      <c r="CO18" s="70"/>
      <c r="CP18" s="70"/>
      <c r="CQ18" s="70"/>
      <c r="CR18" s="70"/>
      <c r="CS18" s="70"/>
      <c r="CT18" s="70"/>
      <c r="CU18" s="70"/>
      <c r="CV18" s="70"/>
      <c r="CW18" s="70"/>
      <c r="CX18" s="70"/>
      <c r="CY18" s="70"/>
      <c r="CZ18" s="70"/>
      <c r="DA18" s="70"/>
      <c r="DB18" s="70"/>
      <c r="DC18" s="70"/>
      <c r="DD18" s="70"/>
      <c r="DE18" s="70"/>
      <c r="DF18" s="70"/>
      <c r="DG18" s="70"/>
      <c r="DH18" s="70"/>
      <c r="DI18" s="70"/>
      <c r="DJ18" s="70"/>
      <c r="DK18" s="70"/>
      <c r="DL18" s="70"/>
      <c r="DM18" s="70"/>
      <c r="DN18" s="70"/>
      <c r="DO18" s="70"/>
      <c r="DP18" s="70"/>
      <c r="DQ18" s="70"/>
      <c r="DR18" s="70"/>
      <c r="DS18" s="70"/>
      <c r="DT18" s="70"/>
      <c r="DU18" s="70"/>
      <c r="DV18" s="70"/>
      <c r="DW18" s="70"/>
      <c r="DX18" s="70"/>
      <c r="DY18" s="70"/>
      <c r="DZ18" s="70"/>
      <c r="EA18" s="70"/>
      <c r="EB18" s="70"/>
      <c r="EC18" s="70"/>
      <c r="ED18" s="70"/>
      <c r="EE18" s="70"/>
      <c r="EF18" s="70"/>
      <c r="EG18" s="70"/>
      <c r="EH18" s="70"/>
      <c r="EI18" s="70"/>
      <c r="EJ18" s="70"/>
      <c r="EK18" s="70"/>
      <c r="EL18" s="70"/>
      <c r="EM18" s="70"/>
      <c r="EN18" s="70"/>
      <c r="EO18" s="70"/>
      <c r="EP18" s="70"/>
      <c r="EQ18" s="70"/>
      <c r="ER18" s="70"/>
      <c r="ES18" s="70"/>
      <c r="ET18" s="70"/>
      <c r="EU18" s="70"/>
      <c r="EV18" s="70"/>
      <c r="EW18" s="70"/>
      <c r="EX18" s="70"/>
      <c r="EY18" s="70"/>
      <c r="EZ18" s="70"/>
      <c r="FA18" s="70"/>
      <c r="FB18" s="70"/>
      <c r="FC18" s="70"/>
      <c r="FD18" s="70"/>
      <c r="FE18" s="70"/>
      <c r="FF18" s="70"/>
      <c r="FG18" s="70"/>
      <c r="FH18" s="70"/>
      <c r="FI18" s="70"/>
      <c r="FJ18" s="70"/>
      <c r="FK18" s="70"/>
      <c r="FL18" s="70"/>
      <c r="FM18" s="70"/>
      <c r="FN18" s="70"/>
      <c r="FO18" s="70"/>
      <c r="FP18" s="70"/>
      <c r="FQ18" s="70"/>
      <c r="FR18" s="70"/>
      <c r="FS18" s="70"/>
      <c r="FT18" s="70"/>
      <c r="FU18" s="70"/>
      <c r="FV18" s="70"/>
      <c r="FW18" s="70"/>
      <c r="FX18" s="70"/>
      <c r="FY18" s="70"/>
      <c r="FZ18" s="70"/>
      <c r="GA18" s="70"/>
      <c r="GB18" s="70"/>
      <c r="GC18" s="70"/>
      <c r="GD18" s="70"/>
      <c r="GE18" s="70"/>
      <c r="GF18" s="70"/>
      <c r="GG18" s="70"/>
      <c r="GH18" s="70"/>
      <c r="GI18" s="70"/>
      <c r="GJ18" s="70"/>
      <c r="GK18" s="70"/>
      <c r="GL18" s="70"/>
      <c r="GM18" s="70"/>
      <c r="GN18" s="70"/>
      <c r="GO18" s="70"/>
      <c r="GP18" s="70"/>
      <c r="GQ18" s="70"/>
      <c r="GR18" s="70"/>
      <c r="GS18" s="70"/>
      <c r="GT18" s="70"/>
      <c r="GU18" s="70"/>
      <c r="GV18" s="70"/>
      <c r="GW18" s="70"/>
      <c r="GX18" s="70"/>
      <c r="GY18" s="70"/>
      <c r="GZ18" s="70"/>
      <c r="HA18" s="70"/>
      <c r="HB18" s="70"/>
      <c r="HC18" s="70"/>
      <c r="HD18" s="70"/>
      <c r="HE18" s="70"/>
      <c r="HF18" s="70"/>
      <c r="HG18" s="70"/>
      <c r="HH18" s="70"/>
      <c r="HI18" s="70"/>
      <c r="HJ18" s="70"/>
      <c r="HK18" s="70"/>
      <c r="HL18" s="70"/>
      <c r="HM18" s="70"/>
      <c r="HN18" s="70"/>
      <c r="HO18" s="70"/>
      <c r="HP18" s="70"/>
      <c r="HQ18" s="70"/>
      <c r="HR18" s="70"/>
      <c r="HS18" s="70"/>
      <c r="HT18" s="70"/>
      <c r="HU18" s="70"/>
      <c r="HV18" s="70"/>
      <c r="HW18" s="70"/>
      <c r="HX18" s="70"/>
      <c r="HY18" s="70"/>
      <c r="HZ18" s="70"/>
      <c r="IA18" s="70"/>
      <c r="IB18" s="70"/>
      <c r="IC18" s="70"/>
      <c r="ID18" s="70"/>
      <c r="IE18" s="70"/>
      <c r="IF18" s="70"/>
      <c r="IG18" s="70"/>
      <c r="IH18" s="70"/>
      <c r="II18" s="70"/>
      <c r="IJ18" s="70"/>
      <c r="IK18" s="70"/>
      <c r="IL18" s="70"/>
      <c r="IM18" s="70"/>
      <c r="IN18" s="70"/>
      <c r="IO18" s="70"/>
      <c r="IP18" s="70"/>
      <c r="IQ18" s="70"/>
      <c r="IR18" s="70"/>
      <c r="IS18" s="70"/>
      <c r="IT18" s="70"/>
      <c r="IU18" s="70"/>
      <c r="IV18" s="70"/>
      <c r="IW18" s="70"/>
      <c r="IX18" s="70"/>
      <c r="IY18" s="70"/>
      <c r="IZ18" s="70"/>
      <c r="JA18" s="70"/>
      <c r="JB18" s="70"/>
      <c r="JC18" s="70"/>
      <c r="JD18" s="70"/>
      <c r="JE18" s="70"/>
      <c r="JF18" s="70"/>
      <c r="JG18" s="70"/>
      <c r="JH18" s="70"/>
      <c r="JI18" s="70"/>
      <c r="JJ18" s="70"/>
      <c r="JK18" s="70"/>
      <c r="JL18" s="70"/>
      <c r="JM18" s="70"/>
      <c r="JN18" s="70"/>
      <c r="JO18" s="70"/>
      <c r="JP18" s="70"/>
      <c r="JQ18" s="70"/>
      <c r="JR18" s="70"/>
      <c r="JS18" s="70"/>
      <c r="JT18" s="70"/>
      <c r="JU18" s="70"/>
      <c r="JV18" s="70"/>
      <c r="JW18" s="70"/>
      <c r="JX18" s="70"/>
      <c r="JY18" s="70"/>
      <c r="JZ18" s="70"/>
      <c r="KA18" s="70"/>
      <c r="KB18" s="70"/>
      <c r="KC18" s="70"/>
      <c r="KD18" s="70"/>
      <c r="KE18" s="70"/>
      <c r="KF18" s="70"/>
      <c r="KG18" s="70"/>
      <c r="KH18" s="70"/>
      <c r="KI18" s="70"/>
      <c r="KJ18" s="70"/>
      <c r="KK18" s="70"/>
      <c r="KL18" s="70"/>
      <c r="KM18" s="70"/>
      <c r="KN18" s="70"/>
      <c r="KO18" s="70"/>
      <c r="KP18" s="70"/>
      <c r="KQ18" s="70"/>
      <c r="KR18" s="70"/>
      <c r="KS18" s="70"/>
      <c r="KT18" s="70"/>
      <c r="KU18" s="70"/>
      <c r="KV18" s="70"/>
      <c r="KW18" s="70"/>
      <c r="KX18" s="70"/>
      <c r="KY18" s="70"/>
      <c r="KZ18" s="70"/>
      <c r="LA18" s="70"/>
      <c r="LB18" s="70"/>
      <c r="LC18" s="70"/>
      <c r="LD18" s="70"/>
      <c r="LE18" s="70"/>
      <c r="LF18" s="70"/>
      <c r="LG18" s="70"/>
      <c r="LH18" s="70"/>
      <c r="LI18" s="70"/>
      <c r="LJ18" s="70"/>
      <c r="LK18" s="70"/>
      <c r="LL18" s="70"/>
      <c r="LM18" s="70"/>
      <c r="LN18" s="70"/>
      <c r="LO18" s="70"/>
      <c r="LP18" s="70"/>
      <c r="LQ18" s="70"/>
      <c r="LR18" s="70"/>
      <c r="LS18" s="70"/>
      <c r="LT18" s="70"/>
      <c r="LU18" s="70"/>
      <c r="LV18" s="70"/>
      <c r="LW18" s="70"/>
      <c r="LX18" s="70"/>
      <c r="LY18" s="70"/>
      <c r="LZ18" s="70"/>
      <c r="MA18" s="70"/>
      <c r="MB18" s="70"/>
      <c r="MC18" s="70"/>
      <c r="MD18" s="70"/>
      <c r="ME18" s="70"/>
      <c r="MF18" s="70"/>
      <c r="MG18" s="70"/>
      <c r="MH18" s="70"/>
      <c r="MI18" s="70"/>
      <c r="MJ18" s="70"/>
      <c r="MK18" s="70"/>
      <c r="ML18" s="70"/>
      <c r="MM18" s="70"/>
      <c r="MN18" s="70"/>
      <c r="MO18" s="70"/>
      <c r="MP18" s="70"/>
      <c r="MQ18" s="70"/>
      <c r="MR18" s="70"/>
      <c r="MS18" s="70"/>
      <c r="MT18" s="70"/>
      <c r="MU18" s="70"/>
      <c r="MV18" s="70"/>
      <c r="MW18" s="70"/>
      <c r="MX18" s="70"/>
      <c r="MY18" s="70"/>
      <c r="MZ18" s="70"/>
      <c r="NA18" s="70"/>
      <c r="NB18" s="70"/>
      <c r="NC18" s="70"/>
      <c r="ND18" s="70"/>
      <c r="NE18" s="70"/>
      <c r="NF18" s="70"/>
      <c r="NG18" s="70"/>
      <c r="NH18" s="70"/>
      <c r="NI18" s="70"/>
      <c r="NJ18" s="70"/>
      <c r="NK18" s="70"/>
      <c r="NL18" s="70"/>
      <c r="NM18" s="70"/>
      <c r="NN18" s="70"/>
      <c r="NO18" s="70"/>
      <c r="NP18" s="70"/>
      <c r="NQ18" s="70"/>
      <c r="NR18" s="70"/>
      <c r="NS18" s="70"/>
      <c r="NT18" s="70"/>
      <c r="NU18" s="70"/>
      <c r="NV18" s="70"/>
      <c r="NW18" s="70"/>
      <c r="NX18" s="70"/>
      <c r="NY18" s="70"/>
      <c r="NZ18" s="70"/>
      <c r="OA18" s="70"/>
      <c r="OB18" s="70"/>
      <c r="OC18" s="70"/>
      <c r="OD18" s="70"/>
      <c r="OE18" s="70"/>
      <c r="OF18" s="70"/>
      <c r="OG18" s="70"/>
      <c r="OH18" s="70"/>
      <c r="OI18" s="70"/>
      <c r="OJ18" s="71"/>
    </row>
    <row r="19" spans="1:400" s="34" customFormat="1" ht="40.049999999999997" customHeight="1" x14ac:dyDescent="0.3">
      <c r="A19" s="920">
        <v>15</v>
      </c>
      <c r="B19" s="636" t="s">
        <v>622</v>
      </c>
      <c r="C19" s="674" t="s">
        <v>759</v>
      </c>
      <c r="D19" s="614" t="s">
        <v>31</v>
      </c>
      <c r="E19" s="615">
        <v>169100</v>
      </c>
      <c r="F19" s="675">
        <v>0</v>
      </c>
      <c r="G19" s="615">
        <v>169100</v>
      </c>
      <c r="H19" s="674" t="s">
        <v>4484</v>
      </c>
      <c r="I19" s="614" t="s">
        <v>1175</v>
      </c>
      <c r="J19" s="614" t="s">
        <v>1169</v>
      </c>
      <c r="K19" s="620" t="s">
        <v>4716</v>
      </c>
      <c r="L19" s="614" t="s">
        <v>1176</v>
      </c>
      <c r="M19" s="676" t="s">
        <v>4503</v>
      </c>
      <c r="N19" s="661" t="s">
        <v>1177</v>
      </c>
      <c r="O19" s="677">
        <v>96120</v>
      </c>
      <c r="P19" s="678">
        <v>109400</v>
      </c>
      <c r="Q19" s="679"/>
      <c r="R19" s="680"/>
      <c r="S19" s="561"/>
      <c r="T19" s="190">
        <f t="shared" si="0"/>
        <v>205520</v>
      </c>
      <c r="U19" s="189"/>
      <c r="V19" s="189"/>
      <c r="W19" s="189"/>
      <c r="X19" s="189"/>
      <c r="Y19" s="189"/>
      <c r="Z19" s="189"/>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2"/>
      <c r="CD19" s="72"/>
      <c r="CE19" s="72"/>
      <c r="CF19" s="72"/>
      <c r="CG19" s="72"/>
      <c r="CH19" s="72"/>
      <c r="CI19" s="72"/>
      <c r="CJ19" s="72"/>
      <c r="CK19" s="72"/>
      <c r="CL19" s="72"/>
      <c r="CM19" s="72"/>
      <c r="CN19" s="72"/>
      <c r="CO19" s="72"/>
      <c r="CP19" s="72"/>
      <c r="CQ19" s="72"/>
      <c r="CR19" s="72"/>
      <c r="CS19" s="72"/>
      <c r="CT19" s="72"/>
      <c r="CU19" s="72"/>
      <c r="CV19" s="72"/>
      <c r="CW19" s="72"/>
      <c r="CX19" s="72"/>
      <c r="CY19" s="72"/>
      <c r="CZ19" s="72"/>
      <c r="DA19" s="72"/>
      <c r="DB19" s="72"/>
      <c r="DC19" s="72"/>
      <c r="DD19" s="72"/>
      <c r="DE19" s="72"/>
      <c r="DF19" s="72"/>
      <c r="DG19" s="72"/>
      <c r="DH19" s="72"/>
      <c r="DI19" s="72"/>
      <c r="DJ19" s="72"/>
      <c r="DK19" s="72"/>
      <c r="DL19" s="72"/>
      <c r="DM19" s="72"/>
      <c r="DN19" s="72"/>
      <c r="DO19" s="72"/>
      <c r="DP19" s="72"/>
      <c r="DQ19" s="72"/>
      <c r="DR19" s="72"/>
      <c r="DS19" s="72"/>
      <c r="DT19" s="72"/>
      <c r="DU19" s="72"/>
      <c r="DV19" s="72"/>
      <c r="DW19" s="72"/>
      <c r="DX19" s="72"/>
      <c r="DY19" s="72"/>
      <c r="DZ19" s="72"/>
      <c r="EA19" s="72"/>
      <c r="EB19" s="72"/>
      <c r="EC19" s="72"/>
      <c r="ED19" s="72"/>
      <c r="EE19" s="72"/>
      <c r="EF19" s="72"/>
      <c r="EG19" s="72"/>
      <c r="EH19" s="72"/>
      <c r="EI19" s="72"/>
      <c r="EJ19" s="72"/>
      <c r="EK19" s="72"/>
      <c r="EL19" s="72"/>
      <c r="EM19" s="72"/>
      <c r="EN19" s="72"/>
      <c r="EO19" s="72"/>
      <c r="EP19" s="72"/>
      <c r="EQ19" s="72"/>
      <c r="ER19" s="72"/>
      <c r="ES19" s="72"/>
      <c r="ET19" s="72"/>
      <c r="EU19" s="72"/>
      <c r="EV19" s="72"/>
      <c r="EW19" s="72"/>
      <c r="EX19" s="72"/>
      <c r="EY19" s="72"/>
      <c r="EZ19" s="72"/>
      <c r="FA19" s="72"/>
      <c r="FB19" s="72"/>
      <c r="FC19" s="72"/>
      <c r="FD19" s="72"/>
      <c r="FE19" s="72"/>
      <c r="FF19" s="72"/>
      <c r="FG19" s="72"/>
      <c r="FH19" s="72"/>
      <c r="FI19" s="72"/>
      <c r="FJ19" s="72"/>
      <c r="FK19" s="72"/>
      <c r="FL19" s="72"/>
      <c r="FM19" s="72"/>
      <c r="FN19" s="72"/>
      <c r="FO19" s="72"/>
      <c r="FP19" s="72"/>
      <c r="FQ19" s="72"/>
      <c r="FR19" s="72"/>
      <c r="FS19" s="72"/>
      <c r="FT19" s="72"/>
      <c r="FU19" s="72"/>
      <c r="FV19" s="72"/>
      <c r="FW19" s="72"/>
      <c r="FX19" s="72"/>
      <c r="FY19" s="72"/>
      <c r="FZ19" s="72"/>
      <c r="GA19" s="72"/>
      <c r="GB19" s="72"/>
      <c r="GC19" s="72"/>
      <c r="GD19" s="72"/>
      <c r="GE19" s="72"/>
      <c r="GF19" s="72"/>
      <c r="GG19" s="72"/>
      <c r="GH19" s="72"/>
      <c r="GI19" s="72"/>
      <c r="GJ19" s="72"/>
      <c r="GK19" s="72"/>
      <c r="GL19" s="72"/>
      <c r="GM19" s="72"/>
      <c r="GN19" s="72"/>
      <c r="GO19" s="72"/>
      <c r="GP19" s="72"/>
      <c r="GQ19" s="72"/>
      <c r="GR19" s="72"/>
      <c r="GS19" s="72"/>
      <c r="GT19" s="72"/>
      <c r="GU19" s="72"/>
      <c r="GV19" s="72"/>
      <c r="GW19" s="72"/>
      <c r="GX19" s="72"/>
      <c r="GY19" s="72"/>
      <c r="GZ19" s="72"/>
      <c r="HA19" s="72"/>
      <c r="HB19" s="72"/>
      <c r="HC19" s="72"/>
      <c r="HD19" s="72"/>
      <c r="HE19" s="72"/>
      <c r="HF19" s="72"/>
      <c r="HG19" s="72"/>
      <c r="HH19" s="72"/>
      <c r="HI19" s="72"/>
      <c r="HJ19" s="72"/>
      <c r="HK19" s="72"/>
      <c r="HL19" s="72"/>
      <c r="HM19" s="72"/>
      <c r="HN19" s="72"/>
      <c r="HO19" s="72"/>
      <c r="HP19" s="72"/>
      <c r="HQ19" s="72"/>
      <c r="HR19" s="72"/>
      <c r="HS19" s="72"/>
      <c r="HT19" s="72"/>
      <c r="HU19" s="72"/>
      <c r="HV19" s="72"/>
      <c r="HW19" s="72"/>
      <c r="HX19" s="72"/>
      <c r="HY19" s="72"/>
      <c r="HZ19" s="72"/>
      <c r="IA19" s="72"/>
      <c r="IB19" s="72"/>
      <c r="IC19" s="72"/>
      <c r="ID19" s="72"/>
      <c r="IE19" s="72"/>
      <c r="IF19" s="72"/>
      <c r="IG19" s="72"/>
      <c r="IH19" s="72"/>
      <c r="II19" s="72"/>
      <c r="IJ19" s="72"/>
      <c r="IK19" s="72"/>
      <c r="IL19" s="72"/>
      <c r="IM19" s="72"/>
      <c r="IN19" s="72"/>
      <c r="IO19" s="72"/>
      <c r="IP19" s="72"/>
      <c r="IQ19" s="72"/>
      <c r="IR19" s="72"/>
      <c r="IS19" s="72"/>
      <c r="IT19" s="72"/>
      <c r="IU19" s="72"/>
      <c r="IV19" s="72"/>
      <c r="IW19" s="72"/>
      <c r="IX19" s="72"/>
      <c r="IY19" s="72"/>
      <c r="IZ19" s="72"/>
      <c r="JA19" s="72"/>
      <c r="JB19" s="72"/>
      <c r="JC19" s="72"/>
      <c r="JD19" s="72"/>
      <c r="JE19" s="72"/>
      <c r="JF19" s="72"/>
      <c r="JG19" s="72"/>
      <c r="JH19" s="72"/>
      <c r="JI19" s="72"/>
      <c r="JJ19" s="72"/>
      <c r="JK19" s="72"/>
      <c r="JL19" s="72"/>
      <c r="JM19" s="72"/>
      <c r="JN19" s="72"/>
      <c r="JO19" s="72"/>
      <c r="JP19" s="72"/>
      <c r="JQ19" s="72"/>
      <c r="JR19" s="72"/>
      <c r="JS19" s="72"/>
      <c r="JT19" s="72"/>
      <c r="JU19" s="72"/>
      <c r="JV19" s="72"/>
      <c r="JW19" s="72"/>
      <c r="JX19" s="72"/>
      <c r="JY19" s="72"/>
      <c r="JZ19" s="72"/>
      <c r="KA19" s="72"/>
      <c r="KB19" s="72"/>
      <c r="KC19" s="72"/>
      <c r="KD19" s="72"/>
      <c r="KE19" s="72"/>
      <c r="KF19" s="72"/>
      <c r="KG19" s="72"/>
      <c r="KH19" s="72"/>
      <c r="KI19" s="72"/>
      <c r="KJ19" s="72"/>
      <c r="KK19" s="72"/>
      <c r="KL19" s="72"/>
      <c r="KM19" s="72"/>
      <c r="KN19" s="72"/>
      <c r="KO19" s="72"/>
      <c r="KP19" s="72"/>
      <c r="KQ19" s="72"/>
      <c r="KR19" s="72"/>
      <c r="KS19" s="72"/>
      <c r="KT19" s="72"/>
      <c r="KU19" s="72"/>
      <c r="KV19" s="72"/>
      <c r="KW19" s="72"/>
      <c r="KX19" s="72"/>
      <c r="KY19" s="72"/>
      <c r="KZ19" s="72"/>
      <c r="LA19" s="72"/>
      <c r="LB19" s="72"/>
      <c r="LC19" s="72"/>
      <c r="LD19" s="72"/>
      <c r="LE19" s="72"/>
      <c r="LF19" s="72"/>
      <c r="LG19" s="72"/>
      <c r="LH19" s="72"/>
      <c r="LI19" s="72"/>
      <c r="LJ19" s="72"/>
      <c r="LK19" s="72"/>
      <c r="LL19" s="72"/>
      <c r="LM19" s="72"/>
      <c r="LN19" s="72"/>
      <c r="LO19" s="72"/>
      <c r="LP19" s="72"/>
      <c r="LQ19" s="72"/>
      <c r="LR19" s="72"/>
      <c r="LS19" s="72"/>
      <c r="LT19" s="72"/>
      <c r="LU19" s="72"/>
      <c r="LV19" s="72"/>
      <c r="LW19" s="72"/>
      <c r="LX19" s="72"/>
      <c r="LY19" s="72"/>
      <c r="LZ19" s="72"/>
      <c r="MA19" s="72"/>
      <c r="MB19" s="72"/>
      <c r="MC19" s="72"/>
      <c r="MD19" s="72"/>
      <c r="ME19" s="72"/>
      <c r="MF19" s="72"/>
      <c r="MG19" s="72"/>
      <c r="MH19" s="72"/>
      <c r="MI19" s="72"/>
      <c r="MJ19" s="72"/>
      <c r="MK19" s="72"/>
      <c r="ML19" s="72"/>
      <c r="MM19" s="72"/>
      <c r="MN19" s="72"/>
      <c r="MO19" s="72"/>
      <c r="MP19" s="72"/>
      <c r="MQ19" s="72"/>
      <c r="MR19" s="72"/>
      <c r="MS19" s="72"/>
      <c r="MT19" s="72"/>
      <c r="MU19" s="72"/>
      <c r="MV19" s="72"/>
      <c r="MW19" s="72"/>
      <c r="MX19" s="72"/>
      <c r="MY19" s="72"/>
      <c r="MZ19" s="72"/>
      <c r="NA19" s="72"/>
      <c r="NB19" s="72"/>
      <c r="NC19" s="72"/>
      <c r="ND19" s="72"/>
      <c r="NE19" s="72"/>
      <c r="NF19" s="72"/>
      <c r="NG19" s="72"/>
      <c r="NH19" s="72"/>
      <c r="NI19" s="72"/>
      <c r="NJ19" s="72"/>
      <c r="NK19" s="72"/>
      <c r="NL19" s="72"/>
      <c r="NM19" s="72"/>
      <c r="NN19" s="72"/>
      <c r="NO19" s="72"/>
      <c r="NP19" s="72"/>
      <c r="NQ19" s="72"/>
      <c r="NR19" s="72"/>
      <c r="NS19" s="72"/>
      <c r="NT19" s="72"/>
      <c r="NU19" s="72"/>
      <c r="NV19" s="72"/>
      <c r="NW19" s="72"/>
      <c r="NX19" s="72"/>
      <c r="NY19" s="72"/>
      <c r="NZ19" s="72"/>
      <c r="OA19" s="72"/>
      <c r="OB19" s="72"/>
      <c r="OC19" s="72"/>
      <c r="OD19" s="72"/>
      <c r="OE19" s="72"/>
      <c r="OF19" s="72"/>
      <c r="OG19" s="72"/>
      <c r="OH19" s="72"/>
      <c r="OI19" s="72"/>
      <c r="OJ19" s="73"/>
    </row>
    <row r="20" spans="1:400" s="33" customFormat="1" ht="40.049999999999997" customHeight="1" x14ac:dyDescent="0.3">
      <c r="A20" s="658">
        <v>16</v>
      </c>
      <c r="B20" s="657" t="s">
        <v>470</v>
      </c>
      <c r="C20" s="665" t="s">
        <v>760</v>
      </c>
      <c r="D20" s="651" t="s">
        <v>22</v>
      </c>
      <c r="E20" s="666">
        <v>5000</v>
      </c>
      <c r="F20" s="667">
        <v>0</v>
      </c>
      <c r="G20" s="667">
        <v>0</v>
      </c>
      <c r="H20" s="651" t="s">
        <v>4485</v>
      </c>
      <c r="I20" s="651" t="s">
        <v>1178</v>
      </c>
      <c r="J20" s="651" t="s">
        <v>1157</v>
      </c>
      <c r="K20" s="617" t="s">
        <v>4717</v>
      </c>
      <c r="L20" s="651" t="s">
        <v>1179</v>
      </c>
      <c r="M20" s="668" t="s">
        <v>4504</v>
      </c>
      <c r="N20" s="669" t="s">
        <v>1180</v>
      </c>
      <c r="O20" s="670">
        <v>20000</v>
      </c>
      <c r="P20" s="671">
        <v>15000</v>
      </c>
      <c r="Q20" s="672"/>
      <c r="R20" s="673"/>
      <c r="S20" s="560"/>
      <c r="T20" s="186">
        <f t="shared" si="0"/>
        <v>35000</v>
      </c>
      <c r="U20" s="144"/>
      <c r="V20" s="144"/>
      <c r="W20" s="144"/>
      <c r="X20" s="144"/>
      <c r="Y20" s="144"/>
      <c r="Z20" s="144"/>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c r="BM20" s="70"/>
      <c r="BN20" s="70"/>
      <c r="BO20" s="70"/>
      <c r="BP20" s="70"/>
      <c r="BQ20" s="70"/>
      <c r="BR20" s="70"/>
      <c r="BS20" s="70"/>
      <c r="BT20" s="70"/>
      <c r="BU20" s="70"/>
      <c r="BV20" s="70"/>
      <c r="BW20" s="70"/>
      <c r="BX20" s="70"/>
      <c r="BY20" s="70"/>
      <c r="BZ20" s="70"/>
      <c r="CA20" s="70"/>
      <c r="CB20" s="70"/>
      <c r="CC20" s="70"/>
      <c r="CD20" s="70"/>
      <c r="CE20" s="70"/>
      <c r="CF20" s="70"/>
      <c r="CG20" s="70"/>
      <c r="CH20" s="70"/>
      <c r="CI20" s="70"/>
      <c r="CJ20" s="70"/>
      <c r="CK20" s="70"/>
      <c r="CL20" s="70"/>
      <c r="CM20" s="70"/>
      <c r="CN20" s="70"/>
      <c r="CO20" s="70"/>
      <c r="CP20" s="70"/>
      <c r="CQ20" s="70"/>
      <c r="CR20" s="70"/>
      <c r="CS20" s="70"/>
      <c r="CT20" s="70"/>
      <c r="CU20" s="70"/>
      <c r="CV20" s="70"/>
      <c r="CW20" s="70"/>
      <c r="CX20" s="70"/>
      <c r="CY20" s="70"/>
      <c r="CZ20" s="70"/>
      <c r="DA20" s="70"/>
      <c r="DB20" s="70"/>
      <c r="DC20" s="70"/>
      <c r="DD20" s="70"/>
      <c r="DE20" s="70"/>
      <c r="DF20" s="70"/>
      <c r="DG20" s="70"/>
      <c r="DH20" s="70"/>
      <c r="DI20" s="70"/>
      <c r="DJ20" s="70"/>
      <c r="DK20" s="70"/>
      <c r="DL20" s="70"/>
      <c r="DM20" s="70"/>
      <c r="DN20" s="70"/>
      <c r="DO20" s="70"/>
      <c r="DP20" s="70"/>
      <c r="DQ20" s="70"/>
      <c r="DR20" s="70"/>
      <c r="DS20" s="70"/>
      <c r="DT20" s="70"/>
      <c r="DU20" s="70"/>
      <c r="DV20" s="70"/>
      <c r="DW20" s="70"/>
      <c r="DX20" s="70"/>
      <c r="DY20" s="70"/>
      <c r="DZ20" s="70"/>
      <c r="EA20" s="70"/>
      <c r="EB20" s="70"/>
      <c r="EC20" s="70"/>
      <c r="ED20" s="70"/>
      <c r="EE20" s="70"/>
      <c r="EF20" s="70"/>
      <c r="EG20" s="70"/>
      <c r="EH20" s="70"/>
      <c r="EI20" s="70"/>
      <c r="EJ20" s="70"/>
      <c r="EK20" s="70"/>
      <c r="EL20" s="70"/>
      <c r="EM20" s="70"/>
      <c r="EN20" s="70"/>
      <c r="EO20" s="70"/>
      <c r="EP20" s="70"/>
      <c r="EQ20" s="70"/>
      <c r="ER20" s="70"/>
      <c r="ES20" s="70"/>
      <c r="ET20" s="70"/>
      <c r="EU20" s="70"/>
      <c r="EV20" s="70"/>
      <c r="EW20" s="70"/>
      <c r="EX20" s="70"/>
      <c r="EY20" s="70"/>
      <c r="EZ20" s="70"/>
      <c r="FA20" s="70"/>
      <c r="FB20" s="70"/>
      <c r="FC20" s="70"/>
      <c r="FD20" s="70"/>
      <c r="FE20" s="70"/>
      <c r="FF20" s="70"/>
      <c r="FG20" s="70"/>
      <c r="FH20" s="70"/>
      <c r="FI20" s="70"/>
      <c r="FJ20" s="70"/>
      <c r="FK20" s="70"/>
      <c r="FL20" s="70"/>
      <c r="FM20" s="70"/>
      <c r="FN20" s="70"/>
      <c r="FO20" s="70"/>
      <c r="FP20" s="70"/>
      <c r="FQ20" s="70"/>
      <c r="FR20" s="70"/>
      <c r="FS20" s="70"/>
      <c r="FT20" s="70"/>
      <c r="FU20" s="70"/>
      <c r="FV20" s="70"/>
      <c r="FW20" s="70"/>
      <c r="FX20" s="70"/>
      <c r="FY20" s="70"/>
      <c r="FZ20" s="70"/>
      <c r="GA20" s="70"/>
      <c r="GB20" s="70"/>
      <c r="GC20" s="70"/>
      <c r="GD20" s="70"/>
      <c r="GE20" s="70"/>
      <c r="GF20" s="70"/>
      <c r="GG20" s="70"/>
      <c r="GH20" s="70"/>
      <c r="GI20" s="70"/>
      <c r="GJ20" s="70"/>
      <c r="GK20" s="70"/>
      <c r="GL20" s="70"/>
      <c r="GM20" s="70"/>
      <c r="GN20" s="70"/>
      <c r="GO20" s="70"/>
      <c r="GP20" s="70"/>
      <c r="GQ20" s="70"/>
      <c r="GR20" s="70"/>
      <c r="GS20" s="70"/>
      <c r="GT20" s="70"/>
      <c r="GU20" s="70"/>
      <c r="GV20" s="70"/>
      <c r="GW20" s="70"/>
      <c r="GX20" s="70"/>
      <c r="GY20" s="70"/>
      <c r="GZ20" s="70"/>
      <c r="HA20" s="70"/>
      <c r="HB20" s="70"/>
      <c r="HC20" s="70"/>
      <c r="HD20" s="70"/>
      <c r="HE20" s="70"/>
      <c r="HF20" s="70"/>
      <c r="HG20" s="70"/>
      <c r="HH20" s="70"/>
      <c r="HI20" s="70"/>
      <c r="HJ20" s="70"/>
      <c r="HK20" s="70"/>
      <c r="HL20" s="70"/>
      <c r="HM20" s="70"/>
      <c r="HN20" s="70"/>
      <c r="HO20" s="70"/>
      <c r="HP20" s="70"/>
      <c r="HQ20" s="70"/>
      <c r="HR20" s="70"/>
      <c r="HS20" s="70"/>
      <c r="HT20" s="70"/>
      <c r="HU20" s="70"/>
      <c r="HV20" s="70"/>
      <c r="HW20" s="70"/>
      <c r="HX20" s="70"/>
      <c r="HY20" s="70"/>
      <c r="HZ20" s="70"/>
      <c r="IA20" s="70"/>
      <c r="IB20" s="70"/>
      <c r="IC20" s="70"/>
      <c r="ID20" s="70"/>
      <c r="IE20" s="70"/>
      <c r="IF20" s="70"/>
      <c r="IG20" s="70"/>
      <c r="IH20" s="70"/>
      <c r="II20" s="70"/>
      <c r="IJ20" s="70"/>
      <c r="IK20" s="70"/>
      <c r="IL20" s="70"/>
      <c r="IM20" s="70"/>
      <c r="IN20" s="70"/>
      <c r="IO20" s="70"/>
      <c r="IP20" s="70"/>
      <c r="IQ20" s="70"/>
      <c r="IR20" s="70"/>
      <c r="IS20" s="70"/>
      <c r="IT20" s="70"/>
      <c r="IU20" s="70"/>
      <c r="IV20" s="70"/>
      <c r="IW20" s="70"/>
      <c r="IX20" s="70"/>
      <c r="IY20" s="70"/>
      <c r="IZ20" s="70"/>
      <c r="JA20" s="70"/>
      <c r="JB20" s="70"/>
      <c r="JC20" s="70"/>
      <c r="JD20" s="70"/>
      <c r="JE20" s="70"/>
      <c r="JF20" s="70"/>
      <c r="JG20" s="70"/>
      <c r="JH20" s="70"/>
      <c r="JI20" s="70"/>
      <c r="JJ20" s="70"/>
      <c r="JK20" s="70"/>
      <c r="JL20" s="70"/>
      <c r="JM20" s="70"/>
      <c r="JN20" s="70"/>
      <c r="JO20" s="70"/>
      <c r="JP20" s="70"/>
      <c r="JQ20" s="70"/>
      <c r="JR20" s="70"/>
      <c r="JS20" s="70"/>
      <c r="JT20" s="70"/>
      <c r="JU20" s="70"/>
      <c r="JV20" s="70"/>
      <c r="JW20" s="70"/>
      <c r="JX20" s="70"/>
      <c r="JY20" s="70"/>
      <c r="JZ20" s="70"/>
      <c r="KA20" s="70"/>
      <c r="KB20" s="70"/>
      <c r="KC20" s="70"/>
      <c r="KD20" s="70"/>
      <c r="KE20" s="70"/>
      <c r="KF20" s="70"/>
      <c r="KG20" s="70"/>
      <c r="KH20" s="70"/>
      <c r="KI20" s="70"/>
      <c r="KJ20" s="70"/>
      <c r="KK20" s="70"/>
      <c r="KL20" s="70"/>
      <c r="KM20" s="70"/>
      <c r="KN20" s="70"/>
      <c r="KO20" s="70"/>
      <c r="KP20" s="70"/>
      <c r="KQ20" s="70"/>
      <c r="KR20" s="70"/>
      <c r="KS20" s="70"/>
      <c r="KT20" s="70"/>
      <c r="KU20" s="70"/>
      <c r="KV20" s="70"/>
      <c r="KW20" s="70"/>
      <c r="KX20" s="70"/>
      <c r="KY20" s="70"/>
      <c r="KZ20" s="70"/>
      <c r="LA20" s="70"/>
      <c r="LB20" s="70"/>
      <c r="LC20" s="70"/>
      <c r="LD20" s="70"/>
      <c r="LE20" s="70"/>
      <c r="LF20" s="70"/>
      <c r="LG20" s="70"/>
      <c r="LH20" s="70"/>
      <c r="LI20" s="70"/>
      <c r="LJ20" s="70"/>
      <c r="LK20" s="70"/>
      <c r="LL20" s="70"/>
      <c r="LM20" s="70"/>
      <c r="LN20" s="70"/>
      <c r="LO20" s="70"/>
      <c r="LP20" s="70"/>
      <c r="LQ20" s="70"/>
      <c r="LR20" s="70"/>
      <c r="LS20" s="70"/>
      <c r="LT20" s="70"/>
      <c r="LU20" s="70"/>
      <c r="LV20" s="70"/>
      <c r="LW20" s="70"/>
      <c r="LX20" s="70"/>
      <c r="LY20" s="70"/>
      <c r="LZ20" s="70"/>
      <c r="MA20" s="70"/>
      <c r="MB20" s="70"/>
      <c r="MC20" s="70"/>
      <c r="MD20" s="70"/>
      <c r="ME20" s="70"/>
      <c r="MF20" s="70"/>
      <c r="MG20" s="70"/>
      <c r="MH20" s="70"/>
      <c r="MI20" s="70"/>
      <c r="MJ20" s="70"/>
      <c r="MK20" s="70"/>
      <c r="ML20" s="70"/>
      <c r="MM20" s="70"/>
      <c r="MN20" s="70"/>
      <c r="MO20" s="70"/>
      <c r="MP20" s="70"/>
      <c r="MQ20" s="70"/>
      <c r="MR20" s="70"/>
      <c r="MS20" s="70"/>
      <c r="MT20" s="70"/>
      <c r="MU20" s="70"/>
      <c r="MV20" s="70"/>
      <c r="MW20" s="70"/>
      <c r="MX20" s="70"/>
      <c r="MY20" s="70"/>
      <c r="MZ20" s="70"/>
      <c r="NA20" s="70"/>
      <c r="NB20" s="70"/>
      <c r="NC20" s="70"/>
      <c r="ND20" s="70"/>
      <c r="NE20" s="70"/>
      <c r="NF20" s="70"/>
      <c r="NG20" s="70"/>
      <c r="NH20" s="70"/>
      <c r="NI20" s="70"/>
      <c r="NJ20" s="70"/>
      <c r="NK20" s="70"/>
      <c r="NL20" s="70"/>
      <c r="NM20" s="70"/>
      <c r="NN20" s="70"/>
      <c r="NO20" s="70"/>
      <c r="NP20" s="70"/>
      <c r="NQ20" s="70"/>
      <c r="NR20" s="70"/>
      <c r="NS20" s="70"/>
      <c r="NT20" s="70"/>
      <c r="NU20" s="70"/>
      <c r="NV20" s="70"/>
      <c r="NW20" s="70"/>
      <c r="NX20" s="70"/>
      <c r="NY20" s="70"/>
      <c r="NZ20" s="70"/>
      <c r="OA20" s="70"/>
      <c r="OB20" s="70"/>
      <c r="OC20" s="70"/>
      <c r="OD20" s="70"/>
      <c r="OE20" s="70"/>
      <c r="OF20" s="70"/>
      <c r="OG20" s="70"/>
      <c r="OH20" s="70"/>
      <c r="OI20" s="70"/>
      <c r="OJ20" s="71"/>
    </row>
    <row r="21" spans="1:400" s="34" customFormat="1" ht="40.049999999999997" customHeight="1" x14ac:dyDescent="0.3">
      <c r="A21" s="920">
        <v>17</v>
      </c>
      <c r="B21" s="636" t="s">
        <v>463</v>
      </c>
      <c r="C21" s="674" t="s">
        <v>761</v>
      </c>
      <c r="D21" s="614" t="s">
        <v>27</v>
      </c>
      <c r="E21" s="615">
        <v>35101</v>
      </c>
      <c r="F21" s="675">
        <v>0</v>
      </c>
      <c r="G21" s="615">
        <v>35101</v>
      </c>
      <c r="H21" s="614" t="s">
        <v>4486</v>
      </c>
      <c r="I21" s="614" t="s">
        <v>1181</v>
      </c>
      <c r="J21" s="614" t="s">
        <v>1182</v>
      </c>
      <c r="K21" s="620" t="s">
        <v>4718</v>
      </c>
      <c r="L21" s="614" t="s">
        <v>1183</v>
      </c>
      <c r="M21" s="676" t="s">
        <v>4505</v>
      </c>
      <c r="N21" s="661" t="s">
        <v>1184</v>
      </c>
      <c r="O21" s="677">
        <v>78160</v>
      </c>
      <c r="P21" s="678">
        <v>193500</v>
      </c>
      <c r="Q21" s="679"/>
      <c r="R21" s="680"/>
      <c r="S21" s="561"/>
      <c r="T21" s="190">
        <f t="shared" si="0"/>
        <v>271660</v>
      </c>
      <c r="U21" s="189"/>
      <c r="V21" s="189"/>
      <c r="W21" s="189"/>
      <c r="X21" s="189"/>
      <c r="Y21" s="189"/>
      <c r="Z21" s="189"/>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2"/>
      <c r="CD21" s="72"/>
      <c r="CE21" s="72"/>
      <c r="CF21" s="72"/>
      <c r="CG21" s="72"/>
      <c r="CH21" s="72"/>
      <c r="CI21" s="72"/>
      <c r="CJ21" s="72"/>
      <c r="CK21" s="72"/>
      <c r="CL21" s="72"/>
      <c r="CM21" s="72"/>
      <c r="CN21" s="72"/>
      <c r="CO21" s="72"/>
      <c r="CP21" s="72"/>
      <c r="CQ21" s="72"/>
      <c r="CR21" s="72"/>
      <c r="CS21" s="72"/>
      <c r="CT21" s="72"/>
      <c r="CU21" s="72"/>
      <c r="CV21" s="72"/>
      <c r="CW21" s="72"/>
      <c r="CX21" s="72"/>
      <c r="CY21" s="72"/>
      <c r="CZ21" s="72"/>
      <c r="DA21" s="72"/>
      <c r="DB21" s="72"/>
      <c r="DC21" s="72"/>
      <c r="DD21" s="72"/>
      <c r="DE21" s="72"/>
      <c r="DF21" s="72"/>
      <c r="DG21" s="72"/>
      <c r="DH21" s="72"/>
      <c r="DI21" s="72"/>
      <c r="DJ21" s="72"/>
      <c r="DK21" s="72"/>
      <c r="DL21" s="72"/>
      <c r="DM21" s="72"/>
      <c r="DN21" s="72"/>
      <c r="DO21" s="72"/>
      <c r="DP21" s="72"/>
      <c r="DQ21" s="72"/>
      <c r="DR21" s="72"/>
      <c r="DS21" s="72"/>
      <c r="DT21" s="72"/>
      <c r="DU21" s="72"/>
      <c r="DV21" s="72"/>
      <c r="DW21" s="72"/>
      <c r="DX21" s="72"/>
      <c r="DY21" s="72"/>
      <c r="DZ21" s="72"/>
      <c r="EA21" s="72"/>
      <c r="EB21" s="72"/>
      <c r="EC21" s="72"/>
      <c r="ED21" s="72"/>
      <c r="EE21" s="72"/>
      <c r="EF21" s="72"/>
      <c r="EG21" s="72"/>
      <c r="EH21" s="72"/>
      <c r="EI21" s="72"/>
      <c r="EJ21" s="72"/>
      <c r="EK21" s="72"/>
      <c r="EL21" s="72"/>
      <c r="EM21" s="72"/>
      <c r="EN21" s="72"/>
      <c r="EO21" s="72"/>
      <c r="EP21" s="72"/>
      <c r="EQ21" s="72"/>
      <c r="ER21" s="72"/>
      <c r="ES21" s="72"/>
      <c r="ET21" s="72"/>
      <c r="EU21" s="72"/>
      <c r="EV21" s="72"/>
      <c r="EW21" s="72"/>
      <c r="EX21" s="72"/>
      <c r="EY21" s="72"/>
      <c r="EZ21" s="72"/>
      <c r="FA21" s="72"/>
      <c r="FB21" s="72"/>
      <c r="FC21" s="72"/>
      <c r="FD21" s="72"/>
      <c r="FE21" s="72"/>
      <c r="FF21" s="72"/>
      <c r="FG21" s="72"/>
      <c r="FH21" s="72"/>
      <c r="FI21" s="72"/>
      <c r="FJ21" s="72"/>
      <c r="FK21" s="72"/>
      <c r="FL21" s="72"/>
      <c r="FM21" s="72"/>
      <c r="FN21" s="72"/>
      <c r="FO21" s="72"/>
      <c r="FP21" s="72"/>
      <c r="FQ21" s="72"/>
      <c r="FR21" s="72"/>
      <c r="FS21" s="72"/>
      <c r="FT21" s="72"/>
      <c r="FU21" s="72"/>
      <c r="FV21" s="72"/>
      <c r="FW21" s="72"/>
      <c r="FX21" s="72"/>
      <c r="FY21" s="72"/>
      <c r="FZ21" s="72"/>
      <c r="GA21" s="72"/>
      <c r="GB21" s="72"/>
      <c r="GC21" s="72"/>
      <c r="GD21" s="72"/>
      <c r="GE21" s="72"/>
      <c r="GF21" s="72"/>
      <c r="GG21" s="72"/>
      <c r="GH21" s="72"/>
      <c r="GI21" s="72"/>
      <c r="GJ21" s="72"/>
      <c r="GK21" s="72"/>
      <c r="GL21" s="72"/>
      <c r="GM21" s="72"/>
      <c r="GN21" s="72"/>
      <c r="GO21" s="72"/>
      <c r="GP21" s="72"/>
      <c r="GQ21" s="72"/>
      <c r="GR21" s="72"/>
      <c r="GS21" s="72"/>
      <c r="GT21" s="72"/>
      <c r="GU21" s="72"/>
      <c r="GV21" s="72"/>
      <c r="GW21" s="72"/>
      <c r="GX21" s="72"/>
      <c r="GY21" s="72"/>
      <c r="GZ21" s="72"/>
      <c r="HA21" s="72"/>
      <c r="HB21" s="72"/>
      <c r="HC21" s="72"/>
      <c r="HD21" s="72"/>
      <c r="HE21" s="72"/>
      <c r="HF21" s="72"/>
      <c r="HG21" s="72"/>
      <c r="HH21" s="72"/>
      <c r="HI21" s="72"/>
      <c r="HJ21" s="72"/>
      <c r="HK21" s="72"/>
      <c r="HL21" s="72"/>
      <c r="HM21" s="72"/>
      <c r="HN21" s="72"/>
      <c r="HO21" s="72"/>
      <c r="HP21" s="72"/>
      <c r="HQ21" s="72"/>
      <c r="HR21" s="72"/>
      <c r="HS21" s="72"/>
      <c r="HT21" s="72"/>
      <c r="HU21" s="72"/>
      <c r="HV21" s="72"/>
      <c r="HW21" s="72"/>
      <c r="HX21" s="72"/>
      <c r="HY21" s="72"/>
      <c r="HZ21" s="72"/>
      <c r="IA21" s="72"/>
      <c r="IB21" s="72"/>
      <c r="IC21" s="72"/>
      <c r="ID21" s="72"/>
      <c r="IE21" s="72"/>
      <c r="IF21" s="72"/>
      <c r="IG21" s="72"/>
      <c r="IH21" s="72"/>
      <c r="II21" s="72"/>
      <c r="IJ21" s="72"/>
      <c r="IK21" s="72"/>
      <c r="IL21" s="72"/>
      <c r="IM21" s="72"/>
      <c r="IN21" s="72"/>
      <c r="IO21" s="72"/>
      <c r="IP21" s="72"/>
      <c r="IQ21" s="72"/>
      <c r="IR21" s="72"/>
      <c r="IS21" s="72"/>
      <c r="IT21" s="72"/>
      <c r="IU21" s="72"/>
      <c r="IV21" s="72"/>
      <c r="IW21" s="72"/>
      <c r="IX21" s="72"/>
      <c r="IY21" s="72"/>
      <c r="IZ21" s="72"/>
      <c r="JA21" s="72"/>
      <c r="JB21" s="72"/>
      <c r="JC21" s="72"/>
      <c r="JD21" s="72"/>
      <c r="JE21" s="72"/>
      <c r="JF21" s="72"/>
      <c r="JG21" s="72"/>
      <c r="JH21" s="72"/>
      <c r="JI21" s="72"/>
      <c r="JJ21" s="72"/>
      <c r="JK21" s="72"/>
      <c r="JL21" s="72"/>
      <c r="JM21" s="72"/>
      <c r="JN21" s="72"/>
      <c r="JO21" s="72"/>
      <c r="JP21" s="72"/>
      <c r="JQ21" s="72"/>
      <c r="JR21" s="72"/>
      <c r="JS21" s="72"/>
      <c r="JT21" s="72"/>
      <c r="JU21" s="72"/>
      <c r="JV21" s="72"/>
      <c r="JW21" s="72"/>
      <c r="JX21" s="72"/>
      <c r="JY21" s="72"/>
      <c r="JZ21" s="72"/>
      <c r="KA21" s="72"/>
      <c r="KB21" s="72"/>
      <c r="KC21" s="72"/>
      <c r="KD21" s="72"/>
      <c r="KE21" s="72"/>
      <c r="KF21" s="72"/>
      <c r="KG21" s="72"/>
      <c r="KH21" s="72"/>
      <c r="KI21" s="72"/>
      <c r="KJ21" s="72"/>
      <c r="KK21" s="72"/>
      <c r="KL21" s="72"/>
      <c r="KM21" s="72"/>
      <c r="KN21" s="72"/>
      <c r="KO21" s="72"/>
      <c r="KP21" s="72"/>
      <c r="KQ21" s="72"/>
      <c r="KR21" s="72"/>
      <c r="KS21" s="72"/>
      <c r="KT21" s="72"/>
      <c r="KU21" s="72"/>
      <c r="KV21" s="72"/>
      <c r="KW21" s="72"/>
      <c r="KX21" s="72"/>
      <c r="KY21" s="72"/>
      <c r="KZ21" s="72"/>
      <c r="LA21" s="72"/>
      <c r="LB21" s="72"/>
      <c r="LC21" s="72"/>
      <c r="LD21" s="72"/>
      <c r="LE21" s="72"/>
      <c r="LF21" s="72"/>
      <c r="LG21" s="72"/>
      <c r="LH21" s="72"/>
      <c r="LI21" s="72"/>
      <c r="LJ21" s="72"/>
      <c r="LK21" s="72"/>
      <c r="LL21" s="72"/>
      <c r="LM21" s="72"/>
      <c r="LN21" s="72"/>
      <c r="LO21" s="72"/>
      <c r="LP21" s="72"/>
      <c r="LQ21" s="72"/>
      <c r="LR21" s="72"/>
      <c r="LS21" s="72"/>
      <c r="LT21" s="72"/>
      <c r="LU21" s="72"/>
      <c r="LV21" s="72"/>
      <c r="LW21" s="72"/>
      <c r="LX21" s="72"/>
      <c r="LY21" s="72"/>
      <c r="LZ21" s="72"/>
      <c r="MA21" s="72"/>
      <c r="MB21" s="72"/>
      <c r="MC21" s="72"/>
      <c r="MD21" s="72"/>
      <c r="ME21" s="72"/>
      <c r="MF21" s="72"/>
      <c r="MG21" s="72"/>
      <c r="MH21" s="72"/>
      <c r="MI21" s="72"/>
      <c r="MJ21" s="72"/>
      <c r="MK21" s="72"/>
      <c r="ML21" s="72"/>
      <c r="MM21" s="72"/>
      <c r="MN21" s="72"/>
      <c r="MO21" s="72"/>
      <c r="MP21" s="72"/>
      <c r="MQ21" s="72"/>
      <c r="MR21" s="72"/>
      <c r="MS21" s="72"/>
      <c r="MT21" s="72"/>
      <c r="MU21" s="72"/>
      <c r="MV21" s="72"/>
      <c r="MW21" s="72"/>
      <c r="MX21" s="72"/>
      <c r="MY21" s="72"/>
      <c r="MZ21" s="72"/>
      <c r="NA21" s="72"/>
      <c r="NB21" s="72"/>
      <c r="NC21" s="72"/>
      <c r="ND21" s="72"/>
      <c r="NE21" s="72"/>
      <c r="NF21" s="72"/>
      <c r="NG21" s="72"/>
      <c r="NH21" s="72"/>
      <c r="NI21" s="72"/>
      <c r="NJ21" s="72"/>
      <c r="NK21" s="72"/>
      <c r="NL21" s="72"/>
      <c r="NM21" s="72"/>
      <c r="NN21" s="72"/>
      <c r="NO21" s="72"/>
      <c r="NP21" s="72"/>
      <c r="NQ21" s="72"/>
      <c r="NR21" s="72"/>
      <c r="NS21" s="72"/>
      <c r="NT21" s="72"/>
      <c r="NU21" s="72"/>
      <c r="NV21" s="72"/>
      <c r="NW21" s="72"/>
      <c r="NX21" s="72"/>
      <c r="NY21" s="72"/>
      <c r="NZ21" s="72"/>
      <c r="OA21" s="72"/>
      <c r="OB21" s="72"/>
      <c r="OC21" s="72"/>
      <c r="OD21" s="72"/>
      <c r="OE21" s="72"/>
      <c r="OF21" s="72"/>
      <c r="OG21" s="72"/>
      <c r="OH21" s="72"/>
      <c r="OI21" s="72"/>
      <c r="OJ21" s="73"/>
    </row>
    <row r="22" spans="1:400" s="33" customFormat="1" ht="40.049999999999997" customHeight="1" x14ac:dyDescent="0.3">
      <c r="A22" s="658">
        <v>18</v>
      </c>
      <c r="B22" s="657" t="s">
        <v>711</v>
      </c>
      <c r="C22" s="665" t="s">
        <v>762</v>
      </c>
      <c r="D22" s="651" t="s">
        <v>19</v>
      </c>
      <c r="E22" s="666">
        <v>460243</v>
      </c>
      <c r="F22" s="666">
        <v>15600</v>
      </c>
      <c r="G22" s="666">
        <v>444643</v>
      </c>
      <c r="H22" s="665" t="s">
        <v>4487</v>
      </c>
      <c r="I22" s="651" t="s">
        <v>1185</v>
      </c>
      <c r="J22" s="651" t="s">
        <v>713</v>
      </c>
      <c r="K22" s="617" t="s">
        <v>4719</v>
      </c>
      <c r="L22" s="651" t="s">
        <v>1167</v>
      </c>
      <c r="M22" s="668" t="s">
        <v>4506</v>
      </c>
      <c r="N22" s="669" t="s">
        <v>1149</v>
      </c>
      <c r="O22" s="670">
        <v>420888.07</v>
      </c>
      <c r="P22" s="671">
        <v>71600</v>
      </c>
      <c r="Q22" s="672"/>
      <c r="R22" s="673"/>
      <c r="S22" s="560"/>
      <c r="T22" s="186">
        <f t="shared" si="0"/>
        <v>492488.07</v>
      </c>
      <c r="U22" s="144"/>
      <c r="V22" s="144"/>
      <c r="W22" s="144"/>
      <c r="X22" s="144"/>
      <c r="Y22" s="144"/>
      <c r="Z22" s="144"/>
      <c r="AA22" s="70"/>
      <c r="AB22" s="70"/>
      <c r="AC22" s="70"/>
      <c r="AD22" s="70"/>
      <c r="AE22" s="70"/>
      <c r="AF22" s="70"/>
      <c r="AG22" s="70"/>
      <c r="AH22" s="70"/>
      <c r="AI22" s="70"/>
      <c r="AJ22" s="70"/>
      <c r="AK22" s="70"/>
      <c r="AL22" s="70"/>
      <c r="AM22" s="70"/>
      <c r="AN22" s="70"/>
      <c r="AO22" s="70"/>
      <c r="AP22" s="70"/>
      <c r="AQ22" s="70"/>
      <c r="AR22" s="70"/>
      <c r="AS22" s="70"/>
      <c r="AT22" s="70"/>
      <c r="AU22" s="70"/>
      <c r="AV22" s="70"/>
      <c r="AW22" s="70"/>
      <c r="AX22" s="70"/>
      <c r="AY22" s="70"/>
      <c r="AZ22" s="70"/>
      <c r="BA22" s="70"/>
      <c r="BB22" s="70"/>
      <c r="BC22" s="70"/>
      <c r="BD22" s="70"/>
      <c r="BE22" s="70"/>
      <c r="BF22" s="70"/>
      <c r="BG22" s="70"/>
      <c r="BH22" s="70"/>
      <c r="BI22" s="70"/>
      <c r="BJ22" s="70"/>
      <c r="BK22" s="70"/>
      <c r="BL22" s="70"/>
      <c r="BM22" s="70"/>
      <c r="BN22" s="70"/>
      <c r="BO22" s="70"/>
      <c r="BP22" s="70"/>
      <c r="BQ22" s="70"/>
      <c r="BR22" s="70"/>
      <c r="BS22" s="70"/>
      <c r="BT22" s="70"/>
      <c r="BU22" s="70"/>
      <c r="BV22" s="70"/>
      <c r="BW22" s="70"/>
      <c r="BX22" s="70"/>
      <c r="BY22" s="70"/>
      <c r="BZ22" s="70"/>
      <c r="CA22" s="70"/>
      <c r="CB22" s="70"/>
      <c r="CC22" s="70"/>
      <c r="CD22" s="70"/>
      <c r="CE22" s="70"/>
      <c r="CF22" s="70"/>
      <c r="CG22" s="70"/>
      <c r="CH22" s="70"/>
      <c r="CI22" s="70"/>
      <c r="CJ22" s="70"/>
      <c r="CK22" s="70"/>
      <c r="CL22" s="70"/>
      <c r="CM22" s="70"/>
      <c r="CN22" s="70"/>
      <c r="CO22" s="70"/>
      <c r="CP22" s="70"/>
      <c r="CQ22" s="70"/>
      <c r="CR22" s="70"/>
      <c r="CS22" s="70"/>
      <c r="CT22" s="70"/>
      <c r="CU22" s="70"/>
      <c r="CV22" s="70"/>
      <c r="CW22" s="70"/>
      <c r="CX22" s="70"/>
      <c r="CY22" s="70"/>
      <c r="CZ22" s="70"/>
      <c r="DA22" s="70"/>
      <c r="DB22" s="70"/>
      <c r="DC22" s="70"/>
      <c r="DD22" s="70"/>
      <c r="DE22" s="70"/>
      <c r="DF22" s="70"/>
      <c r="DG22" s="70"/>
      <c r="DH22" s="70"/>
      <c r="DI22" s="70"/>
      <c r="DJ22" s="70"/>
      <c r="DK22" s="70"/>
      <c r="DL22" s="70"/>
      <c r="DM22" s="70"/>
      <c r="DN22" s="70"/>
      <c r="DO22" s="70"/>
      <c r="DP22" s="70"/>
      <c r="DQ22" s="70"/>
      <c r="DR22" s="70"/>
      <c r="DS22" s="70"/>
      <c r="DT22" s="70"/>
      <c r="DU22" s="70"/>
      <c r="DV22" s="70"/>
      <c r="DW22" s="70"/>
      <c r="DX22" s="70"/>
      <c r="DY22" s="70"/>
      <c r="DZ22" s="70"/>
      <c r="EA22" s="70"/>
      <c r="EB22" s="70"/>
      <c r="EC22" s="70"/>
      <c r="ED22" s="70"/>
      <c r="EE22" s="70"/>
      <c r="EF22" s="70"/>
      <c r="EG22" s="70"/>
      <c r="EH22" s="70"/>
      <c r="EI22" s="70"/>
      <c r="EJ22" s="70"/>
      <c r="EK22" s="70"/>
      <c r="EL22" s="70"/>
      <c r="EM22" s="70"/>
      <c r="EN22" s="70"/>
      <c r="EO22" s="70"/>
      <c r="EP22" s="70"/>
      <c r="EQ22" s="70"/>
      <c r="ER22" s="70"/>
      <c r="ES22" s="70"/>
      <c r="ET22" s="70"/>
      <c r="EU22" s="70"/>
      <c r="EV22" s="70"/>
      <c r="EW22" s="70"/>
      <c r="EX22" s="70"/>
      <c r="EY22" s="70"/>
      <c r="EZ22" s="70"/>
      <c r="FA22" s="70"/>
      <c r="FB22" s="70"/>
      <c r="FC22" s="70"/>
      <c r="FD22" s="70"/>
      <c r="FE22" s="70"/>
      <c r="FF22" s="70"/>
      <c r="FG22" s="70"/>
      <c r="FH22" s="70"/>
      <c r="FI22" s="70"/>
      <c r="FJ22" s="70"/>
      <c r="FK22" s="70"/>
      <c r="FL22" s="70"/>
      <c r="FM22" s="70"/>
      <c r="FN22" s="70"/>
      <c r="FO22" s="70"/>
      <c r="FP22" s="70"/>
      <c r="FQ22" s="70"/>
      <c r="FR22" s="70"/>
      <c r="FS22" s="70"/>
      <c r="FT22" s="70"/>
      <c r="FU22" s="70"/>
      <c r="FV22" s="70"/>
      <c r="FW22" s="70"/>
      <c r="FX22" s="70"/>
      <c r="FY22" s="70"/>
      <c r="FZ22" s="70"/>
      <c r="GA22" s="70"/>
      <c r="GB22" s="70"/>
      <c r="GC22" s="70"/>
      <c r="GD22" s="70"/>
      <c r="GE22" s="70"/>
      <c r="GF22" s="70"/>
      <c r="GG22" s="70"/>
      <c r="GH22" s="70"/>
      <c r="GI22" s="70"/>
      <c r="GJ22" s="70"/>
      <c r="GK22" s="70"/>
      <c r="GL22" s="70"/>
      <c r="GM22" s="70"/>
      <c r="GN22" s="70"/>
      <c r="GO22" s="70"/>
      <c r="GP22" s="70"/>
      <c r="GQ22" s="70"/>
      <c r="GR22" s="70"/>
      <c r="GS22" s="70"/>
      <c r="GT22" s="70"/>
      <c r="GU22" s="70"/>
      <c r="GV22" s="70"/>
      <c r="GW22" s="70"/>
      <c r="GX22" s="70"/>
      <c r="GY22" s="70"/>
      <c r="GZ22" s="70"/>
      <c r="HA22" s="70"/>
      <c r="HB22" s="70"/>
      <c r="HC22" s="70"/>
      <c r="HD22" s="70"/>
      <c r="HE22" s="70"/>
      <c r="HF22" s="70"/>
      <c r="HG22" s="70"/>
      <c r="HH22" s="70"/>
      <c r="HI22" s="70"/>
      <c r="HJ22" s="70"/>
      <c r="HK22" s="70"/>
      <c r="HL22" s="70"/>
      <c r="HM22" s="70"/>
      <c r="HN22" s="70"/>
      <c r="HO22" s="70"/>
      <c r="HP22" s="70"/>
      <c r="HQ22" s="70"/>
      <c r="HR22" s="70"/>
      <c r="HS22" s="70"/>
      <c r="HT22" s="70"/>
      <c r="HU22" s="70"/>
      <c r="HV22" s="70"/>
      <c r="HW22" s="70"/>
      <c r="HX22" s="70"/>
      <c r="HY22" s="70"/>
      <c r="HZ22" s="70"/>
      <c r="IA22" s="70"/>
      <c r="IB22" s="70"/>
      <c r="IC22" s="70"/>
      <c r="ID22" s="70"/>
      <c r="IE22" s="70"/>
      <c r="IF22" s="70"/>
      <c r="IG22" s="70"/>
      <c r="IH22" s="70"/>
      <c r="II22" s="70"/>
      <c r="IJ22" s="70"/>
      <c r="IK22" s="70"/>
      <c r="IL22" s="70"/>
      <c r="IM22" s="70"/>
      <c r="IN22" s="70"/>
      <c r="IO22" s="70"/>
      <c r="IP22" s="70"/>
      <c r="IQ22" s="70"/>
      <c r="IR22" s="70"/>
      <c r="IS22" s="70"/>
      <c r="IT22" s="70"/>
      <c r="IU22" s="70"/>
      <c r="IV22" s="70"/>
      <c r="IW22" s="70"/>
      <c r="IX22" s="70"/>
      <c r="IY22" s="70"/>
      <c r="IZ22" s="70"/>
      <c r="JA22" s="70"/>
      <c r="JB22" s="70"/>
      <c r="JC22" s="70"/>
      <c r="JD22" s="70"/>
      <c r="JE22" s="70"/>
      <c r="JF22" s="70"/>
      <c r="JG22" s="70"/>
      <c r="JH22" s="70"/>
      <c r="JI22" s="70"/>
      <c r="JJ22" s="70"/>
      <c r="JK22" s="70"/>
      <c r="JL22" s="70"/>
      <c r="JM22" s="70"/>
      <c r="JN22" s="70"/>
      <c r="JO22" s="70"/>
      <c r="JP22" s="70"/>
      <c r="JQ22" s="70"/>
      <c r="JR22" s="70"/>
      <c r="JS22" s="70"/>
      <c r="JT22" s="70"/>
      <c r="JU22" s="70"/>
      <c r="JV22" s="70"/>
      <c r="JW22" s="70"/>
      <c r="JX22" s="70"/>
      <c r="JY22" s="70"/>
      <c r="JZ22" s="70"/>
      <c r="KA22" s="70"/>
      <c r="KB22" s="70"/>
      <c r="KC22" s="70"/>
      <c r="KD22" s="70"/>
      <c r="KE22" s="70"/>
      <c r="KF22" s="70"/>
      <c r="KG22" s="70"/>
      <c r="KH22" s="70"/>
      <c r="KI22" s="70"/>
      <c r="KJ22" s="70"/>
      <c r="KK22" s="70"/>
      <c r="KL22" s="70"/>
      <c r="KM22" s="70"/>
      <c r="KN22" s="70"/>
      <c r="KO22" s="70"/>
      <c r="KP22" s="70"/>
      <c r="KQ22" s="70"/>
      <c r="KR22" s="70"/>
      <c r="KS22" s="70"/>
      <c r="KT22" s="70"/>
      <c r="KU22" s="70"/>
      <c r="KV22" s="70"/>
      <c r="KW22" s="70"/>
      <c r="KX22" s="70"/>
      <c r="KY22" s="70"/>
      <c r="KZ22" s="70"/>
      <c r="LA22" s="70"/>
      <c r="LB22" s="70"/>
      <c r="LC22" s="70"/>
      <c r="LD22" s="70"/>
      <c r="LE22" s="70"/>
      <c r="LF22" s="70"/>
      <c r="LG22" s="70"/>
      <c r="LH22" s="70"/>
      <c r="LI22" s="70"/>
      <c r="LJ22" s="70"/>
      <c r="LK22" s="70"/>
      <c r="LL22" s="70"/>
      <c r="LM22" s="70"/>
      <c r="LN22" s="70"/>
      <c r="LO22" s="70"/>
      <c r="LP22" s="70"/>
      <c r="LQ22" s="70"/>
      <c r="LR22" s="70"/>
      <c r="LS22" s="70"/>
      <c r="LT22" s="70"/>
      <c r="LU22" s="70"/>
      <c r="LV22" s="70"/>
      <c r="LW22" s="70"/>
      <c r="LX22" s="70"/>
      <c r="LY22" s="70"/>
      <c r="LZ22" s="70"/>
      <c r="MA22" s="70"/>
      <c r="MB22" s="70"/>
      <c r="MC22" s="70"/>
      <c r="MD22" s="70"/>
      <c r="ME22" s="70"/>
      <c r="MF22" s="70"/>
      <c r="MG22" s="70"/>
      <c r="MH22" s="70"/>
      <c r="MI22" s="70"/>
      <c r="MJ22" s="70"/>
      <c r="MK22" s="70"/>
      <c r="ML22" s="70"/>
      <c r="MM22" s="70"/>
      <c r="MN22" s="70"/>
      <c r="MO22" s="70"/>
      <c r="MP22" s="70"/>
      <c r="MQ22" s="70"/>
      <c r="MR22" s="70"/>
      <c r="MS22" s="70"/>
      <c r="MT22" s="70"/>
      <c r="MU22" s="70"/>
      <c r="MV22" s="70"/>
      <c r="MW22" s="70"/>
      <c r="MX22" s="70"/>
      <c r="MY22" s="70"/>
      <c r="MZ22" s="70"/>
      <c r="NA22" s="70"/>
      <c r="NB22" s="70"/>
      <c r="NC22" s="70"/>
      <c r="ND22" s="70"/>
      <c r="NE22" s="70"/>
      <c r="NF22" s="70"/>
      <c r="NG22" s="70"/>
      <c r="NH22" s="70"/>
      <c r="NI22" s="70"/>
      <c r="NJ22" s="70"/>
      <c r="NK22" s="70"/>
      <c r="NL22" s="70"/>
      <c r="NM22" s="70"/>
      <c r="NN22" s="70"/>
      <c r="NO22" s="70"/>
      <c r="NP22" s="70"/>
      <c r="NQ22" s="70"/>
      <c r="NR22" s="70"/>
      <c r="NS22" s="70"/>
      <c r="NT22" s="70"/>
      <c r="NU22" s="70"/>
      <c r="NV22" s="70"/>
      <c r="NW22" s="70"/>
      <c r="NX22" s="70"/>
      <c r="NY22" s="70"/>
      <c r="NZ22" s="70"/>
      <c r="OA22" s="70"/>
      <c r="OB22" s="70"/>
      <c r="OC22" s="70"/>
      <c r="OD22" s="70"/>
      <c r="OE22" s="70"/>
      <c r="OF22" s="70"/>
      <c r="OG22" s="70"/>
      <c r="OH22" s="70"/>
      <c r="OI22" s="70"/>
      <c r="OJ22" s="71"/>
    </row>
    <row r="23" spans="1:400" s="33" customFormat="1" ht="40.049999999999997" customHeight="1" x14ac:dyDescent="0.3">
      <c r="A23" s="920">
        <v>19</v>
      </c>
      <c r="B23" s="636" t="s">
        <v>464</v>
      </c>
      <c r="C23" s="674" t="s">
        <v>4508</v>
      </c>
      <c r="D23" s="614" t="s">
        <v>22</v>
      </c>
      <c r="E23" s="683">
        <v>137136.64000000001</v>
      </c>
      <c r="F23" s="683">
        <v>0</v>
      </c>
      <c r="G23" s="683">
        <v>137136.64000000001</v>
      </c>
      <c r="H23" s="674" t="s">
        <v>4509</v>
      </c>
      <c r="I23" s="614" t="s">
        <v>4510</v>
      </c>
      <c r="J23" s="614" t="s">
        <v>1142</v>
      </c>
      <c r="K23" s="620" t="s">
        <v>4720</v>
      </c>
      <c r="L23" s="614" t="s">
        <v>4511</v>
      </c>
      <c r="M23" s="676" t="s">
        <v>4512</v>
      </c>
      <c r="N23" s="661" t="s">
        <v>703</v>
      </c>
      <c r="O23" s="681">
        <v>0</v>
      </c>
      <c r="P23" s="681">
        <v>0</v>
      </c>
      <c r="Q23" s="679"/>
      <c r="R23" s="680"/>
      <c r="S23" s="560"/>
      <c r="T23" s="186">
        <f t="shared" si="0"/>
        <v>0</v>
      </c>
      <c r="U23" s="144"/>
      <c r="V23" s="144"/>
      <c r="W23" s="144"/>
      <c r="X23" s="144"/>
      <c r="Y23" s="144"/>
      <c r="Z23" s="144"/>
      <c r="AA23" s="70"/>
      <c r="AB23" s="70"/>
      <c r="AC23" s="70"/>
      <c r="AD23" s="70"/>
      <c r="AE23" s="70"/>
      <c r="AF23" s="70"/>
      <c r="AG23" s="70"/>
      <c r="AH23" s="70"/>
      <c r="AI23" s="70"/>
      <c r="AJ23" s="70"/>
      <c r="AK23" s="70"/>
      <c r="AL23" s="70"/>
      <c r="AM23" s="70"/>
      <c r="AN23" s="70"/>
      <c r="AO23" s="70"/>
      <c r="AP23" s="70"/>
      <c r="AQ23" s="70"/>
      <c r="AR23" s="70"/>
      <c r="AS23" s="70"/>
      <c r="AT23" s="70"/>
      <c r="AU23" s="70"/>
      <c r="AV23" s="70"/>
      <c r="AW23" s="70"/>
      <c r="AX23" s="70"/>
      <c r="AY23" s="70"/>
      <c r="AZ23" s="70"/>
      <c r="BA23" s="70"/>
      <c r="BB23" s="70"/>
      <c r="BC23" s="70"/>
      <c r="BD23" s="70"/>
      <c r="BE23" s="70"/>
      <c r="BF23" s="70"/>
      <c r="BG23" s="70"/>
      <c r="BH23" s="70"/>
      <c r="BI23" s="70"/>
      <c r="BJ23" s="70"/>
      <c r="BK23" s="70"/>
      <c r="BL23" s="70"/>
      <c r="BM23" s="70"/>
      <c r="BN23" s="70"/>
      <c r="BO23" s="70"/>
      <c r="BP23" s="70"/>
      <c r="BQ23" s="70"/>
      <c r="BR23" s="70"/>
      <c r="BS23" s="70"/>
      <c r="BT23" s="70"/>
      <c r="BU23" s="70"/>
      <c r="BV23" s="70"/>
      <c r="BW23" s="70"/>
      <c r="BX23" s="70"/>
      <c r="BY23" s="70"/>
      <c r="BZ23" s="70"/>
      <c r="CA23" s="70"/>
      <c r="CB23" s="70"/>
      <c r="CC23" s="70"/>
      <c r="CD23" s="70"/>
      <c r="CE23" s="70"/>
      <c r="CF23" s="70"/>
      <c r="CG23" s="70"/>
      <c r="CH23" s="70"/>
      <c r="CI23" s="70"/>
      <c r="CJ23" s="70"/>
      <c r="CK23" s="70"/>
      <c r="CL23" s="70"/>
      <c r="CM23" s="70"/>
      <c r="CN23" s="70"/>
      <c r="CO23" s="70"/>
      <c r="CP23" s="70"/>
      <c r="CQ23" s="70"/>
      <c r="CR23" s="70"/>
      <c r="CS23" s="70"/>
      <c r="CT23" s="70"/>
      <c r="CU23" s="70"/>
      <c r="CV23" s="70"/>
      <c r="CW23" s="70"/>
      <c r="CX23" s="70"/>
      <c r="CY23" s="70"/>
      <c r="CZ23" s="70"/>
      <c r="DA23" s="70"/>
      <c r="DB23" s="70"/>
      <c r="DC23" s="70"/>
      <c r="DD23" s="70"/>
      <c r="DE23" s="70"/>
      <c r="DF23" s="70"/>
      <c r="DG23" s="70"/>
      <c r="DH23" s="70"/>
      <c r="DI23" s="70"/>
      <c r="DJ23" s="70"/>
      <c r="DK23" s="70"/>
      <c r="DL23" s="70"/>
      <c r="DM23" s="70"/>
      <c r="DN23" s="70"/>
      <c r="DO23" s="70"/>
      <c r="DP23" s="70"/>
      <c r="DQ23" s="70"/>
      <c r="DR23" s="70"/>
      <c r="DS23" s="70"/>
      <c r="DT23" s="70"/>
      <c r="DU23" s="70"/>
      <c r="DV23" s="70"/>
      <c r="DW23" s="70"/>
      <c r="DX23" s="70"/>
      <c r="DY23" s="70"/>
      <c r="DZ23" s="70"/>
      <c r="EA23" s="70"/>
      <c r="EB23" s="70"/>
      <c r="EC23" s="70"/>
      <c r="ED23" s="70"/>
      <c r="EE23" s="70"/>
      <c r="EF23" s="70"/>
      <c r="EG23" s="70"/>
      <c r="EH23" s="70"/>
      <c r="EI23" s="70"/>
      <c r="EJ23" s="70"/>
      <c r="EK23" s="70"/>
      <c r="EL23" s="70"/>
      <c r="EM23" s="70"/>
      <c r="EN23" s="70"/>
      <c r="EO23" s="70"/>
      <c r="EP23" s="70"/>
      <c r="EQ23" s="70"/>
      <c r="ER23" s="70"/>
      <c r="ES23" s="70"/>
      <c r="ET23" s="70"/>
      <c r="EU23" s="70"/>
      <c r="EV23" s="70"/>
      <c r="EW23" s="70"/>
      <c r="EX23" s="70"/>
      <c r="EY23" s="70"/>
      <c r="EZ23" s="70"/>
      <c r="FA23" s="70"/>
      <c r="FB23" s="70"/>
      <c r="FC23" s="70"/>
      <c r="FD23" s="70"/>
      <c r="FE23" s="70"/>
      <c r="FF23" s="70"/>
      <c r="FG23" s="70"/>
      <c r="FH23" s="70"/>
      <c r="FI23" s="70"/>
      <c r="FJ23" s="70"/>
      <c r="FK23" s="70"/>
      <c r="FL23" s="70"/>
      <c r="FM23" s="70"/>
      <c r="FN23" s="70"/>
      <c r="FO23" s="70"/>
      <c r="FP23" s="70"/>
      <c r="FQ23" s="70"/>
      <c r="FR23" s="70"/>
      <c r="FS23" s="70"/>
      <c r="FT23" s="70"/>
      <c r="FU23" s="70"/>
      <c r="FV23" s="70"/>
      <c r="FW23" s="70"/>
      <c r="FX23" s="70"/>
      <c r="FY23" s="70"/>
      <c r="FZ23" s="70"/>
      <c r="GA23" s="70"/>
      <c r="GB23" s="70"/>
      <c r="GC23" s="70"/>
      <c r="GD23" s="70"/>
      <c r="GE23" s="70"/>
      <c r="GF23" s="70"/>
      <c r="GG23" s="70"/>
      <c r="GH23" s="70"/>
      <c r="GI23" s="70"/>
      <c r="GJ23" s="70"/>
      <c r="GK23" s="70"/>
      <c r="GL23" s="70"/>
      <c r="GM23" s="70"/>
      <c r="GN23" s="70"/>
      <c r="GO23" s="70"/>
      <c r="GP23" s="70"/>
      <c r="GQ23" s="70"/>
      <c r="GR23" s="70"/>
      <c r="GS23" s="70"/>
      <c r="GT23" s="70"/>
      <c r="GU23" s="70"/>
      <c r="GV23" s="70"/>
      <c r="GW23" s="70"/>
      <c r="GX23" s="70"/>
      <c r="GY23" s="70"/>
      <c r="GZ23" s="70"/>
      <c r="HA23" s="70"/>
      <c r="HB23" s="70"/>
      <c r="HC23" s="70"/>
      <c r="HD23" s="70"/>
      <c r="HE23" s="70"/>
      <c r="HF23" s="70"/>
      <c r="HG23" s="70"/>
      <c r="HH23" s="70"/>
      <c r="HI23" s="70"/>
      <c r="HJ23" s="70"/>
      <c r="HK23" s="70"/>
      <c r="HL23" s="70"/>
      <c r="HM23" s="70"/>
      <c r="HN23" s="70"/>
      <c r="HO23" s="70"/>
      <c r="HP23" s="70"/>
      <c r="HQ23" s="70"/>
      <c r="HR23" s="70"/>
      <c r="HS23" s="70"/>
      <c r="HT23" s="70"/>
      <c r="HU23" s="70"/>
      <c r="HV23" s="70"/>
      <c r="HW23" s="70"/>
      <c r="HX23" s="70"/>
      <c r="HY23" s="70"/>
      <c r="HZ23" s="70"/>
      <c r="IA23" s="70"/>
      <c r="IB23" s="70"/>
      <c r="IC23" s="70"/>
      <c r="ID23" s="70"/>
      <c r="IE23" s="70"/>
      <c r="IF23" s="70"/>
      <c r="IG23" s="70"/>
      <c r="IH23" s="70"/>
      <c r="II23" s="70"/>
      <c r="IJ23" s="70"/>
      <c r="IK23" s="70"/>
      <c r="IL23" s="70"/>
      <c r="IM23" s="70"/>
      <c r="IN23" s="70"/>
      <c r="IO23" s="70"/>
      <c r="IP23" s="70"/>
      <c r="IQ23" s="70"/>
      <c r="IR23" s="70"/>
      <c r="IS23" s="70"/>
      <c r="IT23" s="70"/>
      <c r="IU23" s="70"/>
      <c r="IV23" s="70"/>
      <c r="IW23" s="70"/>
      <c r="IX23" s="70"/>
      <c r="IY23" s="70"/>
      <c r="IZ23" s="70"/>
      <c r="JA23" s="70"/>
      <c r="JB23" s="70"/>
      <c r="JC23" s="70"/>
      <c r="JD23" s="70"/>
      <c r="JE23" s="70"/>
      <c r="JF23" s="70"/>
      <c r="JG23" s="70"/>
      <c r="JH23" s="70"/>
      <c r="JI23" s="70"/>
      <c r="JJ23" s="70"/>
      <c r="JK23" s="70"/>
      <c r="JL23" s="70"/>
      <c r="JM23" s="70"/>
      <c r="JN23" s="70"/>
      <c r="JO23" s="70"/>
      <c r="JP23" s="70"/>
      <c r="JQ23" s="70"/>
      <c r="JR23" s="70"/>
      <c r="JS23" s="70"/>
      <c r="JT23" s="70"/>
      <c r="JU23" s="70"/>
      <c r="JV23" s="70"/>
      <c r="JW23" s="70"/>
      <c r="JX23" s="70"/>
      <c r="JY23" s="70"/>
      <c r="JZ23" s="70"/>
      <c r="KA23" s="70"/>
      <c r="KB23" s="70"/>
      <c r="KC23" s="70"/>
      <c r="KD23" s="70"/>
      <c r="KE23" s="70"/>
      <c r="KF23" s="70"/>
      <c r="KG23" s="70"/>
      <c r="KH23" s="70"/>
      <c r="KI23" s="70"/>
      <c r="KJ23" s="70"/>
      <c r="KK23" s="70"/>
      <c r="KL23" s="70"/>
      <c r="KM23" s="70"/>
      <c r="KN23" s="70"/>
      <c r="KO23" s="70"/>
      <c r="KP23" s="70"/>
      <c r="KQ23" s="70"/>
      <c r="KR23" s="70"/>
      <c r="KS23" s="70"/>
      <c r="KT23" s="70"/>
      <c r="KU23" s="70"/>
      <c r="KV23" s="70"/>
      <c r="KW23" s="70"/>
      <c r="KX23" s="70"/>
      <c r="KY23" s="70"/>
      <c r="KZ23" s="70"/>
      <c r="LA23" s="70"/>
      <c r="LB23" s="70"/>
      <c r="LC23" s="70"/>
      <c r="LD23" s="70"/>
      <c r="LE23" s="70"/>
      <c r="LF23" s="70"/>
      <c r="LG23" s="70"/>
      <c r="LH23" s="70"/>
      <c r="LI23" s="70"/>
      <c r="LJ23" s="70"/>
      <c r="LK23" s="70"/>
      <c r="LL23" s="70"/>
      <c r="LM23" s="70"/>
      <c r="LN23" s="70"/>
      <c r="LO23" s="70"/>
      <c r="LP23" s="70"/>
      <c r="LQ23" s="70"/>
      <c r="LR23" s="70"/>
      <c r="LS23" s="70"/>
      <c r="LT23" s="70"/>
      <c r="LU23" s="70"/>
      <c r="LV23" s="70"/>
      <c r="LW23" s="70"/>
      <c r="LX23" s="70"/>
      <c r="LY23" s="70"/>
      <c r="LZ23" s="70"/>
      <c r="MA23" s="70"/>
      <c r="MB23" s="70"/>
      <c r="MC23" s="70"/>
      <c r="MD23" s="70"/>
      <c r="ME23" s="70"/>
      <c r="MF23" s="70"/>
      <c r="MG23" s="70"/>
      <c r="MH23" s="70"/>
      <c r="MI23" s="70"/>
      <c r="MJ23" s="70"/>
      <c r="MK23" s="70"/>
      <c r="ML23" s="70"/>
      <c r="MM23" s="70"/>
      <c r="MN23" s="70"/>
      <c r="MO23" s="70"/>
      <c r="MP23" s="70"/>
      <c r="MQ23" s="70"/>
      <c r="MR23" s="70"/>
      <c r="MS23" s="70"/>
      <c r="MT23" s="70"/>
      <c r="MU23" s="70"/>
      <c r="MV23" s="70"/>
      <c r="MW23" s="70"/>
      <c r="MX23" s="70"/>
      <c r="MY23" s="70"/>
      <c r="MZ23" s="70"/>
      <c r="NA23" s="70"/>
      <c r="NB23" s="70"/>
      <c r="NC23" s="70"/>
      <c r="ND23" s="70"/>
      <c r="NE23" s="70"/>
      <c r="NF23" s="70"/>
      <c r="NG23" s="70"/>
      <c r="NH23" s="70"/>
      <c r="NI23" s="70"/>
      <c r="NJ23" s="70"/>
      <c r="NK23" s="70"/>
      <c r="NL23" s="70"/>
      <c r="NM23" s="70"/>
      <c r="NN23" s="70"/>
      <c r="NO23" s="70"/>
      <c r="NP23" s="70"/>
      <c r="NQ23" s="70"/>
      <c r="NR23" s="70"/>
      <c r="NS23" s="70"/>
      <c r="NT23" s="70"/>
      <c r="NU23" s="70"/>
      <c r="NV23" s="70"/>
      <c r="NW23" s="70"/>
      <c r="NX23" s="70"/>
      <c r="NY23" s="70"/>
      <c r="NZ23" s="70"/>
      <c r="OA23" s="70"/>
      <c r="OB23" s="70"/>
      <c r="OC23" s="70"/>
      <c r="OD23" s="70"/>
      <c r="OE23" s="70"/>
      <c r="OF23" s="70"/>
      <c r="OG23" s="70"/>
      <c r="OH23" s="70"/>
      <c r="OI23" s="70"/>
      <c r="OJ23" s="71"/>
    </row>
    <row r="24" spans="1:400" s="34" customFormat="1" ht="40.049999999999997" customHeight="1" x14ac:dyDescent="0.3">
      <c r="A24" s="658">
        <v>20</v>
      </c>
      <c r="B24" s="657" t="s">
        <v>501</v>
      </c>
      <c r="C24" s="665" t="s">
        <v>763</v>
      </c>
      <c r="D24" s="651" t="s">
        <v>19</v>
      </c>
      <c r="E24" s="666">
        <v>22000</v>
      </c>
      <c r="F24" s="666">
        <v>45625014</v>
      </c>
      <c r="G24" s="667">
        <v>-45603014</v>
      </c>
      <c r="H24" s="651" t="s">
        <v>4488</v>
      </c>
      <c r="I24" s="651" t="s">
        <v>1186</v>
      </c>
      <c r="J24" s="651" t="s">
        <v>713</v>
      </c>
      <c r="K24" s="617" t="s">
        <v>4721</v>
      </c>
      <c r="L24" s="651" t="s">
        <v>1187</v>
      </c>
      <c r="M24" s="668" t="s">
        <v>4507</v>
      </c>
      <c r="N24" s="669" t="s">
        <v>1188</v>
      </c>
      <c r="O24" s="670">
        <v>1843608.88</v>
      </c>
      <c r="P24" s="671">
        <v>752399.24</v>
      </c>
      <c r="Q24" s="672"/>
      <c r="R24" s="673"/>
      <c r="S24" s="561"/>
      <c r="T24" s="190">
        <f t="shared" si="0"/>
        <v>2596008.12</v>
      </c>
      <c r="U24" s="189"/>
      <c r="V24" s="189"/>
      <c r="W24" s="189"/>
      <c r="X24" s="189"/>
      <c r="Y24" s="189"/>
      <c r="Z24" s="189"/>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2"/>
      <c r="BZ24" s="72"/>
      <c r="CA24" s="72"/>
      <c r="CB24" s="72"/>
      <c r="CC24" s="72"/>
      <c r="CD24" s="72"/>
      <c r="CE24" s="72"/>
      <c r="CF24" s="72"/>
      <c r="CG24" s="72"/>
      <c r="CH24" s="72"/>
      <c r="CI24" s="72"/>
      <c r="CJ24" s="72"/>
      <c r="CK24" s="72"/>
      <c r="CL24" s="72"/>
      <c r="CM24" s="72"/>
      <c r="CN24" s="72"/>
      <c r="CO24" s="72"/>
      <c r="CP24" s="72"/>
      <c r="CQ24" s="72"/>
      <c r="CR24" s="72"/>
      <c r="CS24" s="72"/>
      <c r="CT24" s="72"/>
      <c r="CU24" s="72"/>
      <c r="CV24" s="72"/>
      <c r="CW24" s="72"/>
      <c r="CX24" s="72"/>
      <c r="CY24" s="72"/>
      <c r="CZ24" s="72"/>
      <c r="DA24" s="72"/>
      <c r="DB24" s="72"/>
      <c r="DC24" s="72"/>
      <c r="DD24" s="72"/>
      <c r="DE24" s="72"/>
      <c r="DF24" s="72"/>
      <c r="DG24" s="72"/>
      <c r="DH24" s="72"/>
      <c r="DI24" s="72"/>
      <c r="DJ24" s="72"/>
      <c r="DK24" s="72"/>
      <c r="DL24" s="72"/>
      <c r="DM24" s="72"/>
      <c r="DN24" s="72"/>
      <c r="DO24" s="72"/>
      <c r="DP24" s="72"/>
      <c r="DQ24" s="72"/>
      <c r="DR24" s="72"/>
      <c r="DS24" s="72"/>
      <c r="DT24" s="72"/>
      <c r="DU24" s="72"/>
      <c r="DV24" s="72"/>
      <c r="DW24" s="72"/>
      <c r="DX24" s="72"/>
      <c r="DY24" s="72"/>
      <c r="DZ24" s="72"/>
      <c r="EA24" s="72"/>
      <c r="EB24" s="72"/>
      <c r="EC24" s="72"/>
      <c r="ED24" s="72"/>
      <c r="EE24" s="72"/>
      <c r="EF24" s="72"/>
      <c r="EG24" s="72"/>
      <c r="EH24" s="72"/>
      <c r="EI24" s="72"/>
      <c r="EJ24" s="72"/>
      <c r="EK24" s="72"/>
      <c r="EL24" s="72"/>
      <c r="EM24" s="72"/>
      <c r="EN24" s="72"/>
      <c r="EO24" s="72"/>
      <c r="EP24" s="72"/>
      <c r="EQ24" s="72"/>
      <c r="ER24" s="72"/>
      <c r="ES24" s="72"/>
      <c r="ET24" s="72"/>
      <c r="EU24" s="72"/>
      <c r="EV24" s="72"/>
      <c r="EW24" s="72"/>
      <c r="EX24" s="72"/>
      <c r="EY24" s="72"/>
      <c r="EZ24" s="72"/>
      <c r="FA24" s="72"/>
      <c r="FB24" s="72"/>
      <c r="FC24" s="72"/>
      <c r="FD24" s="72"/>
      <c r="FE24" s="72"/>
      <c r="FF24" s="72"/>
      <c r="FG24" s="72"/>
      <c r="FH24" s="72"/>
      <c r="FI24" s="72"/>
      <c r="FJ24" s="72"/>
      <c r="FK24" s="72"/>
      <c r="FL24" s="72"/>
      <c r="FM24" s="72"/>
      <c r="FN24" s="72"/>
      <c r="FO24" s="72"/>
      <c r="FP24" s="72"/>
      <c r="FQ24" s="72"/>
      <c r="FR24" s="72"/>
      <c r="FS24" s="72"/>
      <c r="FT24" s="72"/>
      <c r="FU24" s="72"/>
      <c r="FV24" s="72"/>
      <c r="FW24" s="72"/>
      <c r="FX24" s="72"/>
      <c r="FY24" s="72"/>
      <c r="FZ24" s="72"/>
      <c r="GA24" s="72"/>
      <c r="GB24" s="72"/>
      <c r="GC24" s="72"/>
      <c r="GD24" s="72"/>
      <c r="GE24" s="72"/>
      <c r="GF24" s="72"/>
      <c r="GG24" s="72"/>
      <c r="GH24" s="72"/>
      <c r="GI24" s="72"/>
      <c r="GJ24" s="72"/>
      <c r="GK24" s="72"/>
      <c r="GL24" s="72"/>
      <c r="GM24" s="72"/>
      <c r="GN24" s="72"/>
      <c r="GO24" s="72"/>
      <c r="GP24" s="72"/>
      <c r="GQ24" s="72"/>
      <c r="GR24" s="72"/>
      <c r="GS24" s="72"/>
      <c r="GT24" s="72"/>
      <c r="GU24" s="72"/>
      <c r="GV24" s="72"/>
      <c r="GW24" s="72"/>
      <c r="GX24" s="72"/>
      <c r="GY24" s="72"/>
      <c r="GZ24" s="72"/>
      <c r="HA24" s="72"/>
      <c r="HB24" s="72"/>
      <c r="HC24" s="72"/>
      <c r="HD24" s="72"/>
      <c r="HE24" s="72"/>
      <c r="HF24" s="72"/>
      <c r="HG24" s="72"/>
      <c r="HH24" s="72"/>
      <c r="HI24" s="72"/>
      <c r="HJ24" s="72"/>
      <c r="HK24" s="72"/>
      <c r="HL24" s="72"/>
      <c r="HM24" s="72"/>
      <c r="HN24" s="72"/>
      <c r="HO24" s="72"/>
      <c r="HP24" s="72"/>
      <c r="HQ24" s="72"/>
      <c r="HR24" s="72"/>
      <c r="HS24" s="72"/>
      <c r="HT24" s="72"/>
      <c r="HU24" s="72"/>
      <c r="HV24" s="72"/>
      <c r="HW24" s="72"/>
      <c r="HX24" s="72"/>
      <c r="HY24" s="72"/>
      <c r="HZ24" s="72"/>
      <c r="IA24" s="72"/>
      <c r="IB24" s="72"/>
      <c r="IC24" s="72"/>
      <c r="ID24" s="72"/>
      <c r="IE24" s="72"/>
      <c r="IF24" s="72"/>
      <c r="IG24" s="72"/>
      <c r="IH24" s="72"/>
      <c r="II24" s="72"/>
      <c r="IJ24" s="72"/>
      <c r="IK24" s="72"/>
      <c r="IL24" s="72"/>
      <c r="IM24" s="72"/>
      <c r="IN24" s="72"/>
      <c r="IO24" s="72"/>
      <c r="IP24" s="72"/>
      <c r="IQ24" s="72"/>
      <c r="IR24" s="72"/>
      <c r="IS24" s="72"/>
      <c r="IT24" s="72"/>
      <c r="IU24" s="72"/>
      <c r="IV24" s="72"/>
      <c r="IW24" s="72"/>
      <c r="IX24" s="72"/>
      <c r="IY24" s="72"/>
      <c r="IZ24" s="72"/>
      <c r="JA24" s="72"/>
      <c r="JB24" s="72"/>
      <c r="JC24" s="72"/>
      <c r="JD24" s="72"/>
      <c r="JE24" s="72"/>
      <c r="JF24" s="72"/>
      <c r="JG24" s="72"/>
      <c r="JH24" s="72"/>
      <c r="JI24" s="72"/>
      <c r="JJ24" s="72"/>
      <c r="JK24" s="72"/>
      <c r="JL24" s="72"/>
      <c r="JM24" s="72"/>
      <c r="JN24" s="72"/>
      <c r="JO24" s="72"/>
      <c r="JP24" s="72"/>
      <c r="JQ24" s="72"/>
      <c r="JR24" s="72"/>
      <c r="JS24" s="72"/>
      <c r="JT24" s="72"/>
      <c r="JU24" s="72"/>
      <c r="JV24" s="72"/>
      <c r="JW24" s="72"/>
      <c r="JX24" s="72"/>
      <c r="JY24" s="72"/>
      <c r="JZ24" s="72"/>
      <c r="KA24" s="72"/>
      <c r="KB24" s="72"/>
      <c r="KC24" s="72"/>
      <c r="KD24" s="72"/>
      <c r="KE24" s="72"/>
      <c r="KF24" s="72"/>
      <c r="KG24" s="72"/>
      <c r="KH24" s="72"/>
      <c r="KI24" s="72"/>
      <c r="KJ24" s="72"/>
      <c r="KK24" s="72"/>
      <c r="KL24" s="72"/>
      <c r="KM24" s="72"/>
      <c r="KN24" s="72"/>
      <c r="KO24" s="72"/>
      <c r="KP24" s="72"/>
      <c r="KQ24" s="72"/>
      <c r="KR24" s="72"/>
      <c r="KS24" s="72"/>
      <c r="KT24" s="72"/>
      <c r="KU24" s="72"/>
      <c r="KV24" s="72"/>
      <c r="KW24" s="72"/>
      <c r="KX24" s="72"/>
      <c r="KY24" s="72"/>
      <c r="KZ24" s="72"/>
      <c r="LA24" s="72"/>
      <c r="LB24" s="72"/>
      <c r="LC24" s="72"/>
      <c r="LD24" s="72"/>
      <c r="LE24" s="72"/>
      <c r="LF24" s="72"/>
      <c r="LG24" s="72"/>
      <c r="LH24" s="72"/>
      <c r="LI24" s="72"/>
      <c r="LJ24" s="72"/>
      <c r="LK24" s="72"/>
      <c r="LL24" s="72"/>
      <c r="LM24" s="72"/>
      <c r="LN24" s="72"/>
      <c r="LO24" s="72"/>
      <c r="LP24" s="72"/>
      <c r="LQ24" s="72"/>
      <c r="LR24" s="72"/>
      <c r="LS24" s="72"/>
      <c r="LT24" s="72"/>
      <c r="LU24" s="72"/>
      <c r="LV24" s="72"/>
      <c r="LW24" s="72"/>
      <c r="LX24" s="72"/>
      <c r="LY24" s="72"/>
      <c r="LZ24" s="72"/>
      <c r="MA24" s="72"/>
      <c r="MB24" s="72"/>
      <c r="MC24" s="72"/>
      <c r="MD24" s="72"/>
      <c r="ME24" s="72"/>
      <c r="MF24" s="72"/>
      <c r="MG24" s="72"/>
      <c r="MH24" s="72"/>
      <c r="MI24" s="72"/>
      <c r="MJ24" s="72"/>
      <c r="MK24" s="72"/>
      <c r="ML24" s="72"/>
      <c r="MM24" s="72"/>
      <c r="MN24" s="72"/>
      <c r="MO24" s="72"/>
      <c r="MP24" s="72"/>
      <c r="MQ24" s="72"/>
      <c r="MR24" s="72"/>
      <c r="MS24" s="72"/>
      <c r="MT24" s="72"/>
      <c r="MU24" s="72"/>
      <c r="MV24" s="72"/>
      <c r="MW24" s="72"/>
      <c r="MX24" s="72"/>
      <c r="MY24" s="72"/>
      <c r="MZ24" s="72"/>
      <c r="NA24" s="72"/>
      <c r="NB24" s="72"/>
      <c r="NC24" s="72"/>
      <c r="ND24" s="72"/>
      <c r="NE24" s="72"/>
      <c r="NF24" s="72"/>
      <c r="NG24" s="72"/>
      <c r="NH24" s="72"/>
      <c r="NI24" s="72"/>
      <c r="NJ24" s="72"/>
      <c r="NK24" s="72"/>
      <c r="NL24" s="72"/>
      <c r="NM24" s="72"/>
      <c r="NN24" s="72"/>
      <c r="NO24" s="72"/>
      <c r="NP24" s="72"/>
      <c r="NQ24" s="72"/>
      <c r="NR24" s="72"/>
      <c r="NS24" s="72"/>
      <c r="NT24" s="72"/>
      <c r="NU24" s="72"/>
      <c r="NV24" s="72"/>
      <c r="NW24" s="72"/>
      <c r="NX24" s="72"/>
      <c r="NY24" s="72"/>
      <c r="NZ24" s="72"/>
      <c r="OA24" s="72"/>
      <c r="OB24" s="72"/>
      <c r="OC24" s="72"/>
      <c r="OD24" s="72"/>
      <c r="OE24" s="72"/>
      <c r="OF24" s="72"/>
      <c r="OG24" s="72"/>
      <c r="OH24" s="72"/>
      <c r="OI24" s="72"/>
      <c r="OJ24" s="73"/>
    </row>
    <row r="25" spans="1:400" s="33" customFormat="1" ht="25.95" customHeight="1" thickBot="1" x14ac:dyDescent="0.35">
      <c r="A25" s="1522" t="s">
        <v>656</v>
      </c>
      <c r="B25" s="1776" t="s">
        <v>4513</v>
      </c>
      <c r="C25" s="1777"/>
      <c r="D25" s="1777"/>
      <c r="E25" s="1777"/>
      <c r="F25" s="1777"/>
      <c r="G25" s="1777"/>
      <c r="H25" s="1777"/>
      <c r="I25" s="1777"/>
      <c r="J25" s="1777"/>
      <c r="K25" s="1777"/>
      <c r="L25" s="1777"/>
      <c r="M25" s="1777"/>
      <c r="N25" s="1777"/>
      <c r="O25" s="1777"/>
      <c r="P25" s="1777"/>
      <c r="Q25" s="1777"/>
      <c r="R25" s="1778"/>
      <c r="S25" s="562">
        <f t="shared" ref="S25:T25" si="1">SUM(S5:S24)</f>
        <v>0</v>
      </c>
      <c r="T25" s="186">
        <f t="shared" si="1"/>
        <v>13435747.990000002</v>
      </c>
      <c r="U25" s="144"/>
      <c r="V25" s="144"/>
      <c r="W25" s="144"/>
      <c r="X25" s="144"/>
      <c r="Y25" s="144"/>
      <c r="Z25" s="144"/>
      <c r="AA25" s="70"/>
      <c r="AB25" s="70"/>
      <c r="AC25" s="70"/>
      <c r="AD25" s="70"/>
      <c r="AE25" s="70"/>
      <c r="AF25" s="70"/>
      <c r="AG25" s="70"/>
      <c r="AH25" s="70"/>
      <c r="AI25" s="70"/>
      <c r="AJ25" s="70"/>
      <c r="AK25" s="70"/>
      <c r="AL25" s="70"/>
      <c r="AM25" s="70"/>
      <c r="AN25" s="70"/>
      <c r="AO25" s="70"/>
      <c r="AP25" s="70"/>
      <c r="AQ25" s="70"/>
      <c r="AR25" s="70"/>
      <c r="AS25" s="70"/>
      <c r="AT25" s="70"/>
      <c r="AU25" s="70"/>
      <c r="AV25" s="70"/>
      <c r="AW25" s="70"/>
      <c r="AX25" s="70"/>
      <c r="AY25" s="70"/>
      <c r="AZ25" s="70"/>
      <c r="BA25" s="70"/>
      <c r="BB25" s="70"/>
      <c r="BC25" s="70"/>
      <c r="BD25" s="70"/>
      <c r="BE25" s="70"/>
      <c r="BF25" s="70"/>
      <c r="BG25" s="70"/>
      <c r="BH25" s="70"/>
      <c r="BI25" s="70"/>
      <c r="BJ25" s="70"/>
      <c r="BK25" s="70"/>
      <c r="BL25" s="70"/>
      <c r="BM25" s="70"/>
      <c r="BN25" s="70"/>
      <c r="BO25" s="70"/>
      <c r="BP25" s="70"/>
      <c r="BQ25" s="70"/>
      <c r="BR25" s="70"/>
      <c r="BS25" s="70"/>
      <c r="BT25" s="70"/>
      <c r="BU25" s="70"/>
      <c r="BV25" s="70"/>
      <c r="BW25" s="70"/>
      <c r="BX25" s="70"/>
      <c r="BY25" s="70"/>
      <c r="BZ25" s="70"/>
      <c r="CA25" s="70"/>
      <c r="CB25" s="70"/>
      <c r="CC25" s="70"/>
      <c r="CD25" s="70"/>
      <c r="CE25" s="70"/>
      <c r="CF25" s="70"/>
      <c r="CG25" s="70"/>
      <c r="CH25" s="70"/>
      <c r="CI25" s="70"/>
      <c r="CJ25" s="70"/>
      <c r="CK25" s="70"/>
      <c r="CL25" s="70"/>
      <c r="CM25" s="70"/>
      <c r="CN25" s="70"/>
      <c r="CO25" s="70"/>
      <c r="CP25" s="70"/>
      <c r="CQ25" s="70"/>
      <c r="CR25" s="70"/>
      <c r="CS25" s="70"/>
      <c r="CT25" s="70"/>
      <c r="CU25" s="70"/>
      <c r="CV25" s="70"/>
      <c r="CW25" s="70"/>
      <c r="CX25" s="70"/>
      <c r="CY25" s="70"/>
      <c r="CZ25" s="70"/>
      <c r="DA25" s="70"/>
      <c r="DB25" s="70"/>
      <c r="DC25" s="70"/>
      <c r="DD25" s="70"/>
      <c r="DE25" s="70"/>
      <c r="DF25" s="70"/>
      <c r="DG25" s="70"/>
      <c r="DH25" s="70"/>
      <c r="DI25" s="70"/>
      <c r="DJ25" s="70"/>
      <c r="DK25" s="70"/>
      <c r="DL25" s="70"/>
      <c r="DM25" s="70"/>
      <c r="DN25" s="70"/>
      <c r="DO25" s="70"/>
      <c r="DP25" s="70"/>
      <c r="DQ25" s="70"/>
      <c r="DR25" s="70"/>
      <c r="DS25" s="70"/>
      <c r="DT25" s="70"/>
      <c r="DU25" s="70"/>
      <c r="DV25" s="70"/>
      <c r="DW25" s="70"/>
      <c r="DX25" s="70"/>
      <c r="DY25" s="70"/>
      <c r="DZ25" s="70"/>
      <c r="EA25" s="70"/>
      <c r="EB25" s="70"/>
      <c r="EC25" s="70"/>
      <c r="ED25" s="70"/>
      <c r="EE25" s="70"/>
      <c r="EF25" s="70"/>
      <c r="EG25" s="70"/>
      <c r="EH25" s="70"/>
      <c r="EI25" s="70"/>
      <c r="EJ25" s="70"/>
      <c r="EK25" s="70"/>
      <c r="EL25" s="70"/>
      <c r="EM25" s="70"/>
      <c r="EN25" s="70"/>
      <c r="EO25" s="70"/>
      <c r="EP25" s="70"/>
      <c r="EQ25" s="70"/>
      <c r="ER25" s="70"/>
      <c r="ES25" s="70"/>
      <c r="ET25" s="70"/>
      <c r="EU25" s="70"/>
      <c r="EV25" s="70"/>
      <c r="EW25" s="70"/>
      <c r="EX25" s="70"/>
      <c r="EY25" s="70"/>
      <c r="EZ25" s="70"/>
      <c r="FA25" s="70"/>
      <c r="FB25" s="70"/>
      <c r="FC25" s="70"/>
      <c r="FD25" s="70"/>
      <c r="FE25" s="70"/>
      <c r="FF25" s="70"/>
      <c r="FG25" s="70"/>
      <c r="FH25" s="70"/>
      <c r="FI25" s="70"/>
      <c r="FJ25" s="70"/>
      <c r="FK25" s="70"/>
      <c r="FL25" s="70"/>
      <c r="FM25" s="70"/>
      <c r="FN25" s="70"/>
      <c r="FO25" s="70"/>
      <c r="FP25" s="70"/>
      <c r="FQ25" s="70"/>
      <c r="FR25" s="70"/>
      <c r="FS25" s="70"/>
      <c r="FT25" s="70"/>
      <c r="FU25" s="70"/>
      <c r="FV25" s="70"/>
      <c r="FW25" s="70"/>
      <c r="FX25" s="70"/>
      <c r="FY25" s="70"/>
      <c r="FZ25" s="70"/>
      <c r="GA25" s="70"/>
      <c r="GB25" s="70"/>
      <c r="GC25" s="70"/>
      <c r="GD25" s="70"/>
      <c r="GE25" s="70"/>
      <c r="GF25" s="70"/>
      <c r="GG25" s="70"/>
      <c r="GH25" s="70"/>
      <c r="GI25" s="70"/>
      <c r="GJ25" s="70"/>
      <c r="GK25" s="70"/>
      <c r="GL25" s="70"/>
      <c r="GM25" s="70"/>
      <c r="GN25" s="70"/>
      <c r="GO25" s="70"/>
      <c r="GP25" s="70"/>
      <c r="GQ25" s="70"/>
      <c r="GR25" s="70"/>
      <c r="GS25" s="70"/>
      <c r="GT25" s="70"/>
      <c r="GU25" s="70"/>
      <c r="GV25" s="70"/>
      <c r="GW25" s="70"/>
      <c r="GX25" s="70"/>
      <c r="GY25" s="70"/>
      <c r="GZ25" s="70"/>
      <c r="HA25" s="70"/>
      <c r="HB25" s="70"/>
      <c r="HC25" s="70"/>
      <c r="HD25" s="70"/>
      <c r="HE25" s="70"/>
      <c r="HF25" s="70"/>
      <c r="HG25" s="70"/>
      <c r="HH25" s="70"/>
      <c r="HI25" s="70"/>
      <c r="HJ25" s="70"/>
      <c r="HK25" s="70"/>
      <c r="HL25" s="70"/>
      <c r="HM25" s="70"/>
      <c r="HN25" s="70"/>
      <c r="HO25" s="70"/>
      <c r="HP25" s="70"/>
      <c r="HQ25" s="70"/>
      <c r="HR25" s="70"/>
      <c r="HS25" s="70"/>
      <c r="HT25" s="70"/>
      <c r="HU25" s="70"/>
      <c r="HV25" s="70"/>
      <c r="HW25" s="70"/>
      <c r="HX25" s="70"/>
      <c r="HY25" s="70"/>
      <c r="HZ25" s="70"/>
      <c r="IA25" s="70"/>
      <c r="IB25" s="70"/>
      <c r="IC25" s="70"/>
      <c r="ID25" s="70"/>
      <c r="IE25" s="70"/>
      <c r="IF25" s="70"/>
      <c r="IG25" s="70"/>
      <c r="IH25" s="70"/>
      <c r="II25" s="70"/>
      <c r="IJ25" s="70"/>
      <c r="IK25" s="70"/>
      <c r="IL25" s="70"/>
      <c r="IM25" s="70"/>
      <c r="IN25" s="70"/>
      <c r="IO25" s="70"/>
      <c r="IP25" s="70"/>
      <c r="IQ25" s="70"/>
      <c r="IR25" s="70"/>
      <c r="IS25" s="70"/>
      <c r="IT25" s="70"/>
      <c r="IU25" s="70"/>
      <c r="IV25" s="70"/>
      <c r="IW25" s="70"/>
      <c r="IX25" s="70"/>
      <c r="IY25" s="70"/>
      <c r="IZ25" s="70"/>
      <c r="JA25" s="70"/>
      <c r="JB25" s="70"/>
      <c r="JC25" s="70"/>
      <c r="JD25" s="70"/>
      <c r="JE25" s="70"/>
      <c r="JF25" s="70"/>
      <c r="JG25" s="70"/>
      <c r="JH25" s="70"/>
      <c r="JI25" s="70"/>
      <c r="JJ25" s="70"/>
      <c r="JK25" s="70"/>
      <c r="JL25" s="70"/>
      <c r="JM25" s="70"/>
      <c r="JN25" s="70"/>
      <c r="JO25" s="70"/>
      <c r="JP25" s="70"/>
      <c r="JQ25" s="70"/>
      <c r="JR25" s="70"/>
      <c r="JS25" s="70"/>
      <c r="JT25" s="70"/>
      <c r="JU25" s="70"/>
      <c r="JV25" s="70"/>
      <c r="JW25" s="70"/>
      <c r="JX25" s="70"/>
      <c r="JY25" s="70"/>
      <c r="JZ25" s="70"/>
      <c r="KA25" s="70"/>
      <c r="KB25" s="70"/>
      <c r="KC25" s="70"/>
      <c r="KD25" s="70"/>
      <c r="KE25" s="70"/>
      <c r="KF25" s="70"/>
      <c r="KG25" s="70"/>
      <c r="KH25" s="70"/>
      <c r="KI25" s="70"/>
      <c r="KJ25" s="70"/>
      <c r="KK25" s="70"/>
      <c r="KL25" s="70"/>
      <c r="KM25" s="70"/>
      <c r="KN25" s="70"/>
      <c r="KO25" s="70"/>
      <c r="KP25" s="70"/>
      <c r="KQ25" s="70"/>
      <c r="KR25" s="70"/>
      <c r="KS25" s="70"/>
      <c r="KT25" s="70"/>
      <c r="KU25" s="70"/>
      <c r="KV25" s="70"/>
      <c r="KW25" s="70"/>
      <c r="KX25" s="70"/>
      <c r="KY25" s="70"/>
      <c r="KZ25" s="70"/>
      <c r="LA25" s="70"/>
      <c r="LB25" s="70"/>
      <c r="LC25" s="70"/>
      <c r="LD25" s="70"/>
      <c r="LE25" s="70"/>
      <c r="LF25" s="70"/>
      <c r="LG25" s="70"/>
      <c r="LH25" s="70"/>
      <c r="LI25" s="70"/>
      <c r="LJ25" s="70"/>
      <c r="LK25" s="70"/>
      <c r="LL25" s="70"/>
      <c r="LM25" s="70"/>
      <c r="LN25" s="70"/>
      <c r="LO25" s="70"/>
      <c r="LP25" s="70"/>
      <c r="LQ25" s="70"/>
      <c r="LR25" s="70"/>
      <c r="LS25" s="70"/>
      <c r="LT25" s="70"/>
      <c r="LU25" s="70"/>
      <c r="LV25" s="70"/>
      <c r="LW25" s="70"/>
      <c r="LX25" s="70"/>
      <c r="LY25" s="70"/>
      <c r="LZ25" s="70"/>
      <c r="MA25" s="70"/>
      <c r="MB25" s="70"/>
      <c r="MC25" s="70"/>
      <c r="MD25" s="70"/>
      <c r="ME25" s="70"/>
      <c r="MF25" s="70"/>
      <c r="MG25" s="70"/>
      <c r="MH25" s="70"/>
      <c r="MI25" s="70"/>
      <c r="MJ25" s="70"/>
      <c r="MK25" s="70"/>
      <c r="ML25" s="70"/>
      <c r="MM25" s="70"/>
      <c r="MN25" s="70"/>
      <c r="MO25" s="70"/>
      <c r="MP25" s="70"/>
      <c r="MQ25" s="70"/>
      <c r="MR25" s="70"/>
      <c r="MS25" s="70"/>
      <c r="MT25" s="70"/>
      <c r="MU25" s="70"/>
      <c r="MV25" s="70"/>
      <c r="MW25" s="70"/>
      <c r="MX25" s="70"/>
      <c r="MY25" s="70"/>
      <c r="MZ25" s="70"/>
      <c r="NA25" s="70"/>
      <c r="NB25" s="70"/>
      <c r="NC25" s="70"/>
      <c r="ND25" s="70"/>
      <c r="NE25" s="70"/>
      <c r="NF25" s="70"/>
      <c r="NG25" s="70"/>
      <c r="NH25" s="70"/>
      <c r="NI25" s="70"/>
      <c r="NJ25" s="70"/>
      <c r="NK25" s="70"/>
      <c r="NL25" s="70"/>
      <c r="NM25" s="70"/>
      <c r="NN25" s="70"/>
      <c r="NO25" s="70"/>
      <c r="NP25" s="70"/>
      <c r="NQ25" s="70"/>
      <c r="NR25" s="70"/>
      <c r="NS25" s="70"/>
      <c r="NT25" s="70"/>
      <c r="NU25" s="70"/>
      <c r="NV25" s="70"/>
      <c r="NW25" s="70"/>
      <c r="NX25" s="70"/>
      <c r="NY25" s="70"/>
      <c r="NZ25" s="70"/>
      <c r="OA25" s="70"/>
      <c r="OB25" s="70"/>
      <c r="OC25" s="70"/>
      <c r="OD25" s="70"/>
      <c r="OE25" s="70"/>
      <c r="OF25" s="70"/>
      <c r="OG25" s="70"/>
      <c r="OH25" s="70"/>
      <c r="OI25" s="70"/>
      <c r="OJ25" s="71"/>
    </row>
    <row r="26" spans="1:400" s="35" customFormat="1" ht="19.95" customHeight="1" thickTop="1" x14ac:dyDescent="0.3">
      <c r="A26" s="1748" t="s">
        <v>1189</v>
      </c>
      <c r="B26" s="1749"/>
      <c r="C26" s="1749"/>
      <c r="D26" s="1749"/>
      <c r="E26" s="1749"/>
      <c r="F26" s="1749"/>
      <c r="G26" s="1749"/>
      <c r="H26" s="1749"/>
      <c r="I26" s="1749"/>
      <c r="J26" s="1749"/>
      <c r="K26" s="1749"/>
      <c r="L26" s="1749"/>
      <c r="M26" s="1749"/>
      <c r="N26" s="1749"/>
      <c r="O26" s="1749"/>
      <c r="P26" s="1749"/>
      <c r="Q26" s="1749"/>
      <c r="R26" s="1749"/>
      <c r="S26" s="1750"/>
      <c r="T26" s="1751"/>
      <c r="U26" s="189"/>
      <c r="V26" s="189"/>
      <c r="W26" s="189"/>
      <c r="X26" s="189"/>
      <c r="Y26" s="189"/>
      <c r="Z26" s="189"/>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c r="BO26" s="72"/>
      <c r="BP26" s="72"/>
      <c r="BQ26" s="72"/>
      <c r="BR26" s="72"/>
      <c r="BS26" s="72"/>
      <c r="BT26" s="72"/>
      <c r="BU26" s="72"/>
      <c r="BV26" s="72"/>
      <c r="BW26" s="72"/>
      <c r="BX26" s="72"/>
      <c r="BY26" s="72"/>
      <c r="BZ26" s="72"/>
      <c r="CA26" s="72"/>
      <c r="CB26" s="72"/>
      <c r="CC26" s="72"/>
      <c r="CD26" s="72"/>
      <c r="CE26" s="72"/>
      <c r="CF26" s="72"/>
      <c r="CG26" s="72"/>
      <c r="CH26" s="72"/>
      <c r="CI26" s="72"/>
      <c r="CJ26" s="72"/>
      <c r="CK26" s="72"/>
      <c r="CL26" s="72"/>
      <c r="CM26" s="72"/>
      <c r="CN26" s="72"/>
      <c r="CO26" s="72"/>
      <c r="CP26" s="72"/>
      <c r="CQ26" s="72"/>
      <c r="CR26" s="72"/>
      <c r="CS26" s="72"/>
      <c r="CT26" s="72"/>
      <c r="CU26" s="72"/>
      <c r="CV26" s="72"/>
      <c r="CW26" s="72"/>
      <c r="CX26" s="72"/>
      <c r="CY26" s="72"/>
      <c r="CZ26" s="72"/>
      <c r="DA26" s="72"/>
      <c r="DB26" s="72"/>
      <c r="DC26" s="72"/>
      <c r="DD26" s="72"/>
      <c r="DE26" s="72"/>
      <c r="DF26" s="72"/>
      <c r="DG26" s="72"/>
      <c r="DH26" s="72"/>
      <c r="DI26" s="72"/>
      <c r="DJ26" s="72"/>
      <c r="DK26" s="72"/>
      <c r="DL26" s="72"/>
      <c r="DM26" s="72"/>
      <c r="DN26" s="72"/>
      <c r="DO26" s="72"/>
      <c r="DP26" s="72"/>
      <c r="DQ26" s="72"/>
      <c r="DR26" s="72"/>
      <c r="DS26" s="72"/>
      <c r="DT26" s="72"/>
      <c r="DU26" s="72"/>
      <c r="DV26" s="72"/>
      <c r="DW26" s="72"/>
      <c r="DX26" s="72"/>
      <c r="DY26" s="72"/>
      <c r="DZ26" s="72"/>
      <c r="EA26" s="72"/>
      <c r="EB26" s="72"/>
      <c r="EC26" s="72"/>
      <c r="ED26" s="72"/>
      <c r="EE26" s="72"/>
      <c r="EF26" s="72"/>
      <c r="EG26" s="72"/>
      <c r="EH26" s="72"/>
      <c r="EI26" s="72"/>
      <c r="EJ26" s="72"/>
      <c r="EK26" s="72"/>
      <c r="EL26" s="72"/>
      <c r="EM26" s="72"/>
      <c r="EN26" s="72"/>
      <c r="EO26" s="72"/>
      <c r="EP26" s="72"/>
      <c r="EQ26" s="72"/>
      <c r="ER26" s="72"/>
      <c r="ES26" s="72"/>
      <c r="ET26" s="72"/>
      <c r="EU26" s="72"/>
      <c r="EV26" s="72"/>
      <c r="EW26" s="72"/>
      <c r="EX26" s="72"/>
      <c r="EY26" s="72"/>
      <c r="EZ26" s="72"/>
      <c r="FA26" s="72"/>
      <c r="FB26" s="72"/>
      <c r="FC26" s="72"/>
      <c r="FD26" s="72"/>
      <c r="FE26" s="72"/>
      <c r="FF26" s="72"/>
      <c r="FG26" s="72"/>
      <c r="FH26" s="72"/>
      <c r="FI26" s="72"/>
      <c r="FJ26" s="72"/>
      <c r="FK26" s="72"/>
      <c r="FL26" s="72"/>
      <c r="FM26" s="72"/>
      <c r="FN26" s="72"/>
      <c r="FO26" s="72"/>
      <c r="FP26" s="72"/>
      <c r="FQ26" s="72"/>
      <c r="FR26" s="72"/>
      <c r="FS26" s="72"/>
      <c r="FT26" s="72"/>
      <c r="FU26" s="72"/>
      <c r="FV26" s="72"/>
      <c r="FW26" s="72"/>
      <c r="FX26" s="72"/>
      <c r="FY26" s="72"/>
      <c r="FZ26" s="72"/>
      <c r="GA26" s="72"/>
      <c r="GB26" s="72"/>
      <c r="GC26" s="72"/>
      <c r="GD26" s="72"/>
      <c r="GE26" s="72"/>
      <c r="GF26" s="72"/>
      <c r="GG26" s="72"/>
      <c r="GH26" s="72"/>
      <c r="GI26" s="72"/>
      <c r="GJ26" s="72"/>
      <c r="GK26" s="72"/>
      <c r="GL26" s="72"/>
      <c r="GM26" s="72"/>
      <c r="GN26" s="72"/>
      <c r="GO26" s="72"/>
      <c r="GP26" s="72"/>
      <c r="GQ26" s="72"/>
      <c r="GR26" s="72"/>
      <c r="GS26" s="72"/>
      <c r="GT26" s="72"/>
      <c r="GU26" s="72"/>
      <c r="GV26" s="72"/>
      <c r="GW26" s="72"/>
      <c r="GX26" s="72"/>
      <c r="GY26" s="72"/>
      <c r="GZ26" s="72"/>
      <c r="HA26" s="72"/>
      <c r="HB26" s="72"/>
      <c r="HC26" s="72"/>
      <c r="HD26" s="72"/>
      <c r="HE26" s="72"/>
      <c r="HF26" s="72"/>
      <c r="HG26" s="72"/>
      <c r="HH26" s="72"/>
      <c r="HI26" s="72"/>
      <c r="HJ26" s="72"/>
      <c r="HK26" s="72"/>
      <c r="HL26" s="72"/>
      <c r="HM26" s="72"/>
      <c r="HN26" s="72"/>
      <c r="HO26" s="72"/>
      <c r="HP26" s="72"/>
      <c r="HQ26" s="72"/>
      <c r="HR26" s="72"/>
      <c r="HS26" s="72"/>
      <c r="HT26" s="72"/>
      <c r="HU26" s="72"/>
      <c r="HV26" s="72"/>
      <c r="HW26" s="72"/>
      <c r="HX26" s="72"/>
      <c r="HY26" s="72"/>
      <c r="HZ26" s="72"/>
      <c r="IA26" s="72"/>
      <c r="IB26" s="72"/>
      <c r="IC26" s="72"/>
      <c r="ID26" s="72"/>
      <c r="IE26" s="72"/>
      <c r="IF26" s="72"/>
      <c r="IG26" s="72"/>
      <c r="IH26" s="72"/>
      <c r="II26" s="72"/>
      <c r="IJ26" s="72"/>
      <c r="IK26" s="72"/>
      <c r="IL26" s="72"/>
      <c r="IM26" s="72"/>
      <c r="IN26" s="72"/>
      <c r="IO26" s="72"/>
      <c r="IP26" s="72"/>
      <c r="IQ26" s="72"/>
      <c r="IR26" s="72"/>
      <c r="IS26" s="72"/>
      <c r="IT26" s="72"/>
      <c r="IU26" s="72"/>
      <c r="IV26" s="72"/>
      <c r="IW26" s="72"/>
      <c r="IX26" s="72"/>
      <c r="IY26" s="72"/>
      <c r="IZ26" s="72"/>
      <c r="JA26" s="72"/>
      <c r="JB26" s="72"/>
      <c r="JC26" s="72"/>
      <c r="JD26" s="72"/>
      <c r="JE26" s="72"/>
      <c r="JF26" s="72"/>
      <c r="JG26" s="72"/>
      <c r="JH26" s="72"/>
      <c r="JI26" s="72"/>
      <c r="JJ26" s="72"/>
      <c r="JK26" s="72"/>
      <c r="JL26" s="72"/>
      <c r="JM26" s="72"/>
      <c r="JN26" s="72"/>
      <c r="JO26" s="72"/>
      <c r="JP26" s="72"/>
      <c r="JQ26" s="72"/>
      <c r="JR26" s="72"/>
      <c r="JS26" s="72"/>
      <c r="JT26" s="72"/>
      <c r="JU26" s="72"/>
      <c r="JV26" s="72"/>
      <c r="JW26" s="72"/>
      <c r="JX26" s="72"/>
      <c r="JY26" s="72"/>
      <c r="JZ26" s="72"/>
      <c r="KA26" s="72"/>
      <c r="KB26" s="72"/>
      <c r="KC26" s="72"/>
      <c r="KD26" s="72"/>
      <c r="KE26" s="72"/>
      <c r="KF26" s="72"/>
      <c r="KG26" s="72"/>
      <c r="KH26" s="72"/>
      <c r="KI26" s="72"/>
      <c r="KJ26" s="72"/>
      <c r="KK26" s="72"/>
      <c r="KL26" s="72"/>
      <c r="KM26" s="72"/>
      <c r="KN26" s="72"/>
      <c r="KO26" s="72"/>
      <c r="KP26" s="72"/>
      <c r="KQ26" s="72"/>
      <c r="KR26" s="72"/>
      <c r="KS26" s="72"/>
      <c r="KT26" s="72"/>
      <c r="KU26" s="72"/>
      <c r="KV26" s="72"/>
      <c r="KW26" s="72"/>
      <c r="KX26" s="72"/>
      <c r="KY26" s="72"/>
      <c r="KZ26" s="72"/>
      <c r="LA26" s="72"/>
      <c r="LB26" s="72"/>
      <c r="LC26" s="72"/>
      <c r="LD26" s="72"/>
      <c r="LE26" s="72"/>
      <c r="LF26" s="72"/>
      <c r="LG26" s="72"/>
      <c r="LH26" s="72"/>
      <c r="LI26" s="72"/>
      <c r="LJ26" s="72"/>
      <c r="LK26" s="72"/>
      <c r="LL26" s="72"/>
      <c r="LM26" s="72"/>
      <c r="LN26" s="72"/>
      <c r="LO26" s="72"/>
      <c r="LP26" s="72"/>
      <c r="LQ26" s="72"/>
      <c r="LR26" s="72"/>
      <c r="LS26" s="72"/>
      <c r="LT26" s="72"/>
      <c r="LU26" s="72"/>
      <c r="LV26" s="72"/>
      <c r="LW26" s="72"/>
      <c r="LX26" s="72"/>
      <c r="LY26" s="72"/>
      <c r="LZ26" s="72"/>
      <c r="MA26" s="72"/>
      <c r="MB26" s="72"/>
      <c r="MC26" s="72"/>
      <c r="MD26" s="72"/>
      <c r="ME26" s="72"/>
      <c r="MF26" s="72"/>
      <c r="MG26" s="72"/>
      <c r="MH26" s="72"/>
      <c r="MI26" s="72"/>
      <c r="MJ26" s="72"/>
      <c r="MK26" s="72"/>
      <c r="ML26" s="72"/>
      <c r="MM26" s="72"/>
      <c r="MN26" s="72"/>
      <c r="MO26" s="72"/>
      <c r="MP26" s="72"/>
      <c r="MQ26" s="72"/>
      <c r="MR26" s="72"/>
      <c r="MS26" s="72"/>
      <c r="MT26" s="72"/>
      <c r="MU26" s="72"/>
      <c r="MV26" s="72"/>
      <c r="MW26" s="72"/>
      <c r="MX26" s="72"/>
      <c r="MY26" s="72"/>
      <c r="MZ26" s="72"/>
      <c r="NA26" s="72"/>
      <c r="NB26" s="72"/>
      <c r="NC26" s="72"/>
      <c r="ND26" s="72"/>
      <c r="NE26" s="72"/>
      <c r="NF26" s="72"/>
      <c r="NG26" s="72"/>
      <c r="NH26" s="72"/>
      <c r="NI26" s="72"/>
      <c r="NJ26" s="72"/>
      <c r="NK26" s="72"/>
      <c r="NL26" s="72"/>
      <c r="NM26" s="72"/>
      <c r="NN26" s="72"/>
      <c r="NO26" s="72"/>
      <c r="NP26" s="72"/>
      <c r="NQ26" s="72"/>
      <c r="NR26" s="72"/>
      <c r="NS26" s="72"/>
      <c r="NT26" s="72"/>
      <c r="NU26" s="72"/>
      <c r="NV26" s="72"/>
      <c r="NW26" s="72"/>
      <c r="NX26" s="72"/>
      <c r="NY26" s="72"/>
      <c r="NZ26" s="72"/>
      <c r="OA26" s="72"/>
      <c r="OB26" s="72"/>
      <c r="OC26" s="72"/>
      <c r="OD26" s="72"/>
      <c r="OE26" s="72"/>
      <c r="OF26" s="72"/>
      <c r="OG26" s="72"/>
      <c r="OH26" s="72"/>
      <c r="OI26" s="72"/>
      <c r="OJ26" s="73"/>
    </row>
    <row r="27" spans="1:400" s="35" customFormat="1" ht="28.05" customHeight="1" x14ac:dyDescent="0.3">
      <c r="A27" s="1757" t="s">
        <v>663</v>
      </c>
      <c r="B27" s="1758"/>
      <c r="C27" s="1758"/>
      <c r="D27" s="1758"/>
      <c r="E27" s="1758"/>
      <c r="F27" s="1758"/>
      <c r="G27" s="1758"/>
      <c r="H27" s="1758"/>
      <c r="I27" s="1758"/>
      <c r="J27" s="1758"/>
      <c r="K27" s="1758"/>
      <c r="L27" s="1758"/>
      <c r="M27" s="1758"/>
      <c r="N27" s="1758"/>
      <c r="O27" s="1758"/>
      <c r="P27" s="1758"/>
      <c r="Q27" s="1758"/>
      <c r="R27" s="1779"/>
      <c r="S27" s="144"/>
      <c r="T27" s="144"/>
      <c r="U27" s="144"/>
      <c r="V27" s="144"/>
      <c r="W27" s="144"/>
      <c r="X27" s="144"/>
      <c r="Y27" s="144"/>
      <c r="Z27" s="144"/>
      <c r="AA27" s="70"/>
      <c r="AB27" s="70"/>
      <c r="AC27" s="70"/>
      <c r="AD27" s="70"/>
      <c r="AE27" s="70"/>
      <c r="AF27" s="70"/>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70"/>
      <c r="BG27" s="70"/>
      <c r="BH27" s="70"/>
      <c r="BI27" s="70"/>
      <c r="BJ27" s="70"/>
      <c r="BK27" s="70"/>
      <c r="BL27" s="70"/>
      <c r="BM27" s="70"/>
      <c r="BN27" s="70"/>
      <c r="BO27" s="70"/>
      <c r="BP27" s="70"/>
      <c r="BQ27" s="70"/>
      <c r="BR27" s="70"/>
      <c r="BS27" s="70"/>
      <c r="BT27" s="70"/>
      <c r="BU27" s="70"/>
      <c r="BV27" s="70"/>
      <c r="BW27" s="70"/>
      <c r="BX27" s="70"/>
      <c r="BY27" s="70"/>
      <c r="BZ27" s="70"/>
      <c r="CA27" s="70"/>
      <c r="CB27" s="70"/>
      <c r="CC27" s="70"/>
      <c r="CD27" s="70"/>
      <c r="CE27" s="70"/>
      <c r="CF27" s="70"/>
      <c r="CG27" s="70"/>
      <c r="CH27" s="70"/>
      <c r="CI27" s="70"/>
      <c r="CJ27" s="70"/>
      <c r="CK27" s="70"/>
      <c r="CL27" s="70"/>
      <c r="CM27" s="70"/>
      <c r="CN27" s="70"/>
      <c r="CO27" s="70"/>
      <c r="CP27" s="70"/>
      <c r="CQ27" s="70"/>
      <c r="CR27" s="70"/>
      <c r="CS27" s="70"/>
      <c r="CT27" s="70"/>
      <c r="CU27" s="70"/>
      <c r="CV27" s="70"/>
      <c r="CW27" s="70"/>
      <c r="CX27" s="70"/>
      <c r="CY27" s="70"/>
      <c r="CZ27" s="70"/>
      <c r="DA27" s="70"/>
      <c r="DB27" s="70"/>
      <c r="DC27" s="70"/>
      <c r="DD27" s="70"/>
      <c r="DE27" s="70"/>
      <c r="DF27" s="70"/>
      <c r="DG27" s="70"/>
      <c r="DH27" s="70"/>
      <c r="DI27" s="70"/>
      <c r="DJ27" s="70"/>
      <c r="DK27" s="70"/>
      <c r="DL27" s="70"/>
      <c r="DM27" s="70"/>
      <c r="DN27" s="70"/>
      <c r="DO27" s="70"/>
      <c r="DP27" s="70"/>
      <c r="DQ27" s="70"/>
      <c r="DR27" s="70"/>
      <c r="DS27" s="70"/>
      <c r="DT27" s="70"/>
      <c r="DU27" s="70"/>
      <c r="DV27" s="70"/>
      <c r="DW27" s="70"/>
      <c r="DX27" s="70"/>
      <c r="DY27" s="70"/>
      <c r="DZ27" s="70"/>
      <c r="EA27" s="70"/>
      <c r="EB27" s="70"/>
      <c r="EC27" s="70"/>
      <c r="ED27" s="70"/>
      <c r="EE27" s="70"/>
      <c r="EF27" s="70"/>
      <c r="EG27" s="70"/>
      <c r="EH27" s="70"/>
      <c r="EI27" s="70"/>
      <c r="EJ27" s="70"/>
      <c r="EK27" s="70"/>
      <c r="EL27" s="70"/>
      <c r="EM27" s="70"/>
      <c r="EN27" s="70"/>
      <c r="EO27" s="70"/>
      <c r="EP27" s="70"/>
      <c r="EQ27" s="70"/>
      <c r="ER27" s="70"/>
      <c r="ES27" s="70"/>
      <c r="ET27" s="70"/>
      <c r="EU27" s="70"/>
      <c r="EV27" s="70"/>
      <c r="EW27" s="70"/>
      <c r="EX27" s="70"/>
      <c r="EY27" s="70"/>
      <c r="EZ27" s="70"/>
      <c r="FA27" s="70"/>
      <c r="FB27" s="70"/>
      <c r="FC27" s="70"/>
      <c r="FD27" s="70"/>
      <c r="FE27" s="70"/>
      <c r="FF27" s="70"/>
      <c r="FG27" s="70"/>
      <c r="FH27" s="70"/>
      <c r="FI27" s="70"/>
      <c r="FJ27" s="70"/>
      <c r="FK27" s="70"/>
      <c r="FL27" s="70"/>
      <c r="FM27" s="70"/>
      <c r="FN27" s="70"/>
      <c r="FO27" s="70"/>
      <c r="FP27" s="70"/>
      <c r="FQ27" s="70"/>
      <c r="FR27" s="70"/>
      <c r="FS27" s="70"/>
      <c r="FT27" s="70"/>
      <c r="FU27" s="70"/>
      <c r="FV27" s="70"/>
      <c r="FW27" s="70"/>
      <c r="FX27" s="70"/>
      <c r="FY27" s="70"/>
      <c r="FZ27" s="70"/>
      <c r="GA27" s="70"/>
      <c r="GB27" s="70"/>
      <c r="GC27" s="70"/>
      <c r="GD27" s="70"/>
      <c r="GE27" s="70"/>
      <c r="GF27" s="70"/>
      <c r="GG27" s="70"/>
      <c r="GH27" s="70"/>
      <c r="GI27" s="70"/>
      <c r="GJ27" s="70"/>
      <c r="GK27" s="70"/>
      <c r="GL27" s="70"/>
      <c r="GM27" s="70"/>
      <c r="GN27" s="70"/>
      <c r="GO27" s="70"/>
      <c r="GP27" s="70"/>
      <c r="GQ27" s="70"/>
      <c r="GR27" s="70"/>
      <c r="GS27" s="70"/>
      <c r="GT27" s="70"/>
      <c r="GU27" s="70"/>
      <c r="GV27" s="70"/>
      <c r="GW27" s="70"/>
      <c r="GX27" s="70"/>
      <c r="GY27" s="70"/>
      <c r="GZ27" s="70"/>
      <c r="HA27" s="70"/>
      <c r="HB27" s="70"/>
      <c r="HC27" s="70"/>
      <c r="HD27" s="70"/>
      <c r="HE27" s="70"/>
      <c r="HF27" s="70"/>
      <c r="HG27" s="70"/>
      <c r="HH27" s="70"/>
      <c r="HI27" s="70"/>
      <c r="HJ27" s="70"/>
      <c r="HK27" s="70"/>
      <c r="HL27" s="70"/>
      <c r="HM27" s="70"/>
      <c r="HN27" s="70"/>
      <c r="HO27" s="70"/>
      <c r="HP27" s="70"/>
      <c r="HQ27" s="70"/>
      <c r="HR27" s="70"/>
      <c r="HS27" s="70"/>
      <c r="HT27" s="70"/>
      <c r="HU27" s="70"/>
      <c r="HV27" s="70"/>
      <c r="HW27" s="70"/>
      <c r="HX27" s="70"/>
      <c r="HY27" s="70"/>
      <c r="HZ27" s="70"/>
      <c r="IA27" s="70"/>
      <c r="IB27" s="70"/>
      <c r="IC27" s="70"/>
      <c r="ID27" s="70"/>
      <c r="IE27" s="70"/>
      <c r="IF27" s="70"/>
      <c r="IG27" s="70"/>
      <c r="IH27" s="70"/>
      <c r="II27" s="70"/>
      <c r="IJ27" s="70"/>
      <c r="IK27" s="70"/>
      <c r="IL27" s="70"/>
      <c r="IM27" s="70"/>
      <c r="IN27" s="70"/>
      <c r="IO27" s="70"/>
      <c r="IP27" s="70"/>
      <c r="IQ27" s="70"/>
      <c r="IR27" s="70"/>
      <c r="IS27" s="70"/>
      <c r="IT27" s="70"/>
      <c r="IU27" s="70"/>
      <c r="IV27" s="70"/>
      <c r="IW27" s="70"/>
      <c r="IX27" s="70"/>
      <c r="IY27" s="70"/>
      <c r="IZ27" s="70"/>
      <c r="JA27" s="70"/>
      <c r="JB27" s="70"/>
      <c r="JC27" s="70"/>
      <c r="JD27" s="70"/>
      <c r="JE27" s="70"/>
      <c r="JF27" s="70"/>
      <c r="JG27" s="70"/>
      <c r="JH27" s="70"/>
      <c r="JI27" s="70"/>
      <c r="JJ27" s="70"/>
      <c r="JK27" s="70"/>
      <c r="JL27" s="70"/>
      <c r="JM27" s="70"/>
      <c r="JN27" s="70"/>
      <c r="JO27" s="70"/>
      <c r="JP27" s="70"/>
      <c r="JQ27" s="70"/>
      <c r="JR27" s="70"/>
      <c r="JS27" s="70"/>
      <c r="JT27" s="70"/>
      <c r="JU27" s="70"/>
      <c r="JV27" s="70"/>
      <c r="JW27" s="70"/>
      <c r="JX27" s="70"/>
      <c r="JY27" s="70"/>
      <c r="JZ27" s="70"/>
      <c r="KA27" s="70"/>
      <c r="KB27" s="70"/>
      <c r="KC27" s="70"/>
      <c r="KD27" s="70"/>
      <c r="KE27" s="70"/>
      <c r="KF27" s="70"/>
      <c r="KG27" s="70"/>
      <c r="KH27" s="70"/>
      <c r="KI27" s="70"/>
      <c r="KJ27" s="70"/>
      <c r="KK27" s="70"/>
      <c r="KL27" s="70"/>
      <c r="KM27" s="70"/>
      <c r="KN27" s="70"/>
      <c r="KO27" s="70"/>
      <c r="KP27" s="70"/>
      <c r="KQ27" s="70"/>
      <c r="KR27" s="70"/>
      <c r="KS27" s="70"/>
      <c r="KT27" s="70"/>
      <c r="KU27" s="70"/>
      <c r="KV27" s="70"/>
      <c r="KW27" s="70"/>
      <c r="KX27" s="70"/>
      <c r="KY27" s="70"/>
      <c r="KZ27" s="70"/>
      <c r="LA27" s="70"/>
      <c r="LB27" s="70"/>
      <c r="LC27" s="70"/>
      <c r="LD27" s="70"/>
      <c r="LE27" s="70"/>
      <c r="LF27" s="70"/>
      <c r="LG27" s="70"/>
      <c r="LH27" s="70"/>
      <c r="LI27" s="70"/>
      <c r="LJ27" s="70"/>
      <c r="LK27" s="70"/>
      <c r="LL27" s="70"/>
      <c r="LM27" s="70"/>
      <c r="LN27" s="70"/>
      <c r="LO27" s="70"/>
      <c r="LP27" s="70"/>
      <c r="LQ27" s="70"/>
      <c r="LR27" s="70"/>
      <c r="LS27" s="70"/>
      <c r="LT27" s="70"/>
      <c r="LU27" s="70"/>
      <c r="LV27" s="70"/>
      <c r="LW27" s="70"/>
      <c r="LX27" s="70"/>
      <c r="LY27" s="70"/>
      <c r="LZ27" s="70"/>
      <c r="MA27" s="70"/>
      <c r="MB27" s="70"/>
      <c r="MC27" s="70"/>
      <c r="MD27" s="70"/>
      <c r="ME27" s="70"/>
      <c r="MF27" s="70"/>
      <c r="MG27" s="70"/>
      <c r="MH27" s="70"/>
      <c r="MI27" s="70"/>
      <c r="MJ27" s="70"/>
      <c r="MK27" s="70"/>
      <c r="ML27" s="70"/>
      <c r="MM27" s="70"/>
      <c r="MN27" s="70"/>
      <c r="MO27" s="70"/>
      <c r="MP27" s="70"/>
      <c r="MQ27" s="70"/>
      <c r="MR27" s="70"/>
      <c r="MS27" s="70"/>
      <c r="MT27" s="70"/>
      <c r="MU27" s="70"/>
      <c r="MV27" s="70"/>
      <c r="MW27" s="70"/>
      <c r="MX27" s="70"/>
      <c r="MY27" s="70"/>
      <c r="MZ27" s="70"/>
      <c r="NA27" s="70"/>
      <c r="NB27" s="70"/>
      <c r="NC27" s="70"/>
      <c r="ND27" s="70"/>
      <c r="NE27" s="70"/>
      <c r="NF27" s="70"/>
      <c r="NG27" s="70"/>
      <c r="NH27" s="70"/>
      <c r="NI27" s="70"/>
      <c r="NJ27" s="70"/>
      <c r="NK27" s="70"/>
      <c r="NL27" s="70"/>
      <c r="NM27" s="70"/>
      <c r="NN27" s="70"/>
      <c r="NO27" s="70"/>
      <c r="NP27" s="70"/>
      <c r="NQ27" s="70"/>
      <c r="NR27" s="70"/>
      <c r="NS27" s="70"/>
      <c r="NT27" s="70"/>
      <c r="NU27" s="70"/>
      <c r="NV27" s="70"/>
      <c r="NW27" s="70"/>
      <c r="NX27" s="70"/>
      <c r="NY27" s="70"/>
      <c r="NZ27" s="70"/>
      <c r="OA27" s="70"/>
      <c r="OB27" s="70"/>
      <c r="OC27" s="70"/>
      <c r="OD27" s="70"/>
      <c r="OE27" s="70"/>
      <c r="OF27" s="70"/>
      <c r="OG27" s="70"/>
      <c r="OH27" s="70"/>
      <c r="OI27" s="70"/>
      <c r="OJ27" s="71"/>
    </row>
    <row r="28" spans="1:400" s="35" customFormat="1" ht="25.95" customHeight="1" x14ac:dyDescent="0.3">
      <c r="A28" s="499" t="s">
        <v>19</v>
      </c>
      <c r="B28" s="500">
        <v>9</v>
      </c>
      <c r="C28" s="501">
        <v>12936982</v>
      </c>
      <c r="D28" s="501">
        <v>116024506</v>
      </c>
      <c r="E28" s="502">
        <v>-103087524</v>
      </c>
      <c r="F28" s="500" t="s">
        <v>1190</v>
      </c>
      <c r="G28" s="1741" t="s">
        <v>1191</v>
      </c>
      <c r="H28" s="1742"/>
      <c r="I28" s="1742"/>
      <c r="J28" s="1742"/>
      <c r="K28" s="1742"/>
      <c r="L28" s="1743"/>
      <c r="M28" s="1744"/>
      <c r="N28" s="1745"/>
      <c r="O28" s="189"/>
      <c r="P28" s="189"/>
      <c r="Q28" s="189"/>
      <c r="R28" s="189"/>
      <c r="S28" s="189"/>
      <c r="T28" s="189"/>
      <c r="U28" s="189"/>
      <c r="V28" s="189"/>
      <c r="W28" s="189"/>
      <c r="X28" s="189"/>
      <c r="Y28" s="189"/>
      <c r="Z28" s="189"/>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c r="BQ28" s="72"/>
      <c r="BR28" s="72"/>
      <c r="BS28" s="72"/>
      <c r="BT28" s="72"/>
      <c r="BU28" s="72"/>
      <c r="BV28" s="72"/>
      <c r="BW28" s="72"/>
      <c r="BX28" s="72"/>
      <c r="BY28" s="72"/>
      <c r="BZ28" s="72"/>
      <c r="CA28" s="72"/>
      <c r="CB28" s="72"/>
      <c r="CC28" s="72"/>
      <c r="CD28" s="72"/>
      <c r="CE28" s="72"/>
      <c r="CF28" s="72"/>
      <c r="CG28" s="72"/>
      <c r="CH28" s="72"/>
      <c r="CI28" s="72"/>
      <c r="CJ28" s="72"/>
      <c r="CK28" s="72"/>
      <c r="CL28" s="72"/>
      <c r="CM28" s="72"/>
      <c r="CN28" s="72"/>
      <c r="CO28" s="72"/>
      <c r="CP28" s="72"/>
      <c r="CQ28" s="72"/>
      <c r="CR28" s="72"/>
      <c r="CS28" s="72"/>
      <c r="CT28" s="72"/>
      <c r="CU28" s="72"/>
      <c r="CV28" s="72"/>
      <c r="CW28" s="72"/>
      <c r="CX28" s="72"/>
      <c r="CY28" s="72"/>
      <c r="CZ28" s="72"/>
      <c r="DA28" s="72"/>
      <c r="DB28" s="72"/>
      <c r="DC28" s="72"/>
      <c r="DD28" s="72"/>
      <c r="DE28" s="72"/>
      <c r="DF28" s="72"/>
      <c r="DG28" s="72"/>
      <c r="DH28" s="72"/>
      <c r="DI28" s="72"/>
      <c r="DJ28" s="72"/>
      <c r="DK28" s="72"/>
      <c r="DL28" s="72"/>
      <c r="DM28" s="72"/>
      <c r="DN28" s="72"/>
      <c r="DO28" s="72"/>
      <c r="DP28" s="72"/>
      <c r="DQ28" s="72"/>
      <c r="DR28" s="72"/>
      <c r="DS28" s="72"/>
      <c r="DT28" s="72"/>
      <c r="DU28" s="72"/>
      <c r="DV28" s="72"/>
      <c r="DW28" s="72"/>
      <c r="DX28" s="72"/>
      <c r="DY28" s="72"/>
      <c r="DZ28" s="72"/>
      <c r="EA28" s="72"/>
      <c r="EB28" s="72"/>
      <c r="EC28" s="72"/>
      <c r="ED28" s="72"/>
      <c r="EE28" s="72"/>
      <c r="EF28" s="72"/>
      <c r="EG28" s="72"/>
      <c r="EH28" s="72"/>
      <c r="EI28" s="72"/>
      <c r="EJ28" s="72"/>
      <c r="EK28" s="72"/>
      <c r="EL28" s="72"/>
      <c r="EM28" s="72"/>
      <c r="EN28" s="72"/>
      <c r="EO28" s="72"/>
      <c r="EP28" s="72"/>
      <c r="EQ28" s="72"/>
      <c r="ER28" s="72"/>
      <c r="ES28" s="72"/>
      <c r="ET28" s="72"/>
      <c r="EU28" s="72"/>
      <c r="EV28" s="72"/>
      <c r="EW28" s="72"/>
      <c r="EX28" s="72"/>
      <c r="EY28" s="72"/>
      <c r="EZ28" s="72"/>
      <c r="FA28" s="72"/>
      <c r="FB28" s="72"/>
      <c r="FC28" s="72"/>
      <c r="FD28" s="72"/>
      <c r="FE28" s="72"/>
      <c r="FF28" s="72"/>
      <c r="FG28" s="72"/>
      <c r="FH28" s="72"/>
      <c r="FI28" s="72"/>
      <c r="FJ28" s="72"/>
      <c r="FK28" s="72"/>
      <c r="FL28" s="72"/>
      <c r="FM28" s="72"/>
      <c r="FN28" s="72"/>
      <c r="FO28" s="72"/>
      <c r="FP28" s="72"/>
      <c r="FQ28" s="72"/>
      <c r="FR28" s="72"/>
      <c r="FS28" s="72"/>
      <c r="FT28" s="72"/>
      <c r="FU28" s="72"/>
      <c r="FV28" s="72"/>
      <c r="FW28" s="72"/>
      <c r="FX28" s="72"/>
      <c r="FY28" s="72"/>
      <c r="FZ28" s="72"/>
      <c r="GA28" s="72"/>
      <c r="GB28" s="72"/>
      <c r="GC28" s="72"/>
      <c r="GD28" s="72"/>
      <c r="GE28" s="72"/>
      <c r="GF28" s="72"/>
      <c r="GG28" s="72"/>
      <c r="GH28" s="72"/>
      <c r="GI28" s="72"/>
      <c r="GJ28" s="72"/>
      <c r="GK28" s="72"/>
      <c r="GL28" s="72"/>
      <c r="GM28" s="72"/>
      <c r="GN28" s="72"/>
      <c r="GO28" s="72"/>
      <c r="GP28" s="72"/>
      <c r="GQ28" s="72"/>
      <c r="GR28" s="72"/>
      <c r="GS28" s="72"/>
      <c r="GT28" s="72"/>
      <c r="GU28" s="72"/>
      <c r="GV28" s="72"/>
      <c r="GW28" s="72"/>
      <c r="GX28" s="72"/>
      <c r="GY28" s="72"/>
      <c r="GZ28" s="72"/>
      <c r="HA28" s="72"/>
      <c r="HB28" s="72"/>
      <c r="HC28" s="72"/>
      <c r="HD28" s="72"/>
      <c r="HE28" s="72"/>
      <c r="HF28" s="72"/>
      <c r="HG28" s="72"/>
      <c r="HH28" s="72"/>
      <c r="HI28" s="72"/>
      <c r="HJ28" s="72"/>
      <c r="HK28" s="72"/>
      <c r="HL28" s="72"/>
      <c r="HM28" s="72"/>
      <c r="HN28" s="72"/>
      <c r="HO28" s="72"/>
      <c r="HP28" s="72"/>
      <c r="HQ28" s="72"/>
      <c r="HR28" s="72"/>
      <c r="HS28" s="72"/>
      <c r="HT28" s="72"/>
      <c r="HU28" s="72"/>
      <c r="HV28" s="72"/>
      <c r="HW28" s="72"/>
      <c r="HX28" s="72"/>
      <c r="HY28" s="72"/>
      <c r="HZ28" s="72"/>
      <c r="IA28" s="72"/>
      <c r="IB28" s="72"/>
      <c r="IC28" s="72"/>
      <c r="ID28" s="72"/>
      <c r="IE28" s="72"/>
      <c r="IF28" s="72"/>
      <c r="IG28" s="72"/>
      <c r="IH28" s="72"/>
      <c r="II28" s="72"/>
      <c r="IJ28" s="72"/>
      <c r="IK28" s="72"/>
      <c r="IL28" s="72"/>
      <c r="IM28" s="72"/>
      <c r="IN28" s="72"/>
      <c r="IO28" s="72"/>
      <c r="IP28" s="72"/>
      <c r="IQ28" s="72"/>
      <c r="IR28" s="72"/>
      <c r="IS28" s="72"/>
      <c r="IT28" s="72"/>
      <c r="IU28" s="72"/>
      <c r="IV28" s="72"/>
      <c r="IW28" s="72"/>
      <c r="IX28" s="72"/>
      <c r="IY28" s="72"/>
      <c r="IZ28" s="72"/>
      <c r="JA28" s="72"/>
      <c r="JB28" s="72"/>
      <c r="JC28" s="72"/>
      <c r="JD28" s="72"/>
      <c r="JE28" s="72"/>
      <c r="JF28" s="72"/>
      <c r="JG28" s="72"/>
      <c r="JH28" s="72"/>
      <c r="JI28" s="72"/>
      <c r="JJ28" s="72"/>
      <c r="JK28" s="72"/>
      <c r="JL28" s="72"/>
      <c r="JM28" s="72"/>
      <c r="JN28" s="72"/>
      <c r="JO28" s="72"/>
      <c r="JP28" s="72"/>
      <c r="JQ28" s="72"/>
      <c r="JR28" s="72"/>
      <c r="JS28" s="72"/>
      <c r="JT28" s="72"/>
      <c r="JU28" s="72"/>
      <c r="JV28" s="72"/>
      <c r="JW28" s="72"/>
      <c r="JX28" s="72"/>
      <c r="JY28" s="72"/>
      <c r="JZ28" s="72"/>
      <c r="KA28" s="72"/>
      <c r="KB28" s="72"/>
      <c r="KC28" s="72"/>
      <c r="KD28" s="72"/>
      <c r="KE28" s="72"/>
      <c r="KF28" s="72"/>
      <c r="KG28" s="72"/>
      <c r="KH28" s="72"/>
      <c r="KI28" s="72"/>
      <c r="KJ28" s="72"/>
      <c r="KK28" s="72"/>
      <c r="KL28" s="72"/>
      <c r="KM28" s="72"/>
      <c r="KN28" s="72"/>
      <c r="KO28" s="72"/>
      <c r="KP28" s="72"/>
      <c r="KQ28" s="72"/>
      <c r="KR28" s="72"/>
      <c r="KS28" s="72"/>
      <c r="KT28" s="72"/>
      <c r="KU28" s="72"/>
      <c r="KV28" s="72"/>
      <c r="KW28" s="72"/>
      <c r="KX28" s="72"/>
      <c r="KY28" s="72"/>
      <c r="KZ28" s="72"/>
      <c r="LA28" s="72"/>
      <c r="LB28" s="72"/>
      <c r="LC28" s="72"/>
      <c r="LD28" s="72"/>
      <c r="LE28" s="72"/>
      <c r="LF28" s="72"/>
      <c r="LG28" s="72"/>
      <c r="LH28" s="72"/>
      <c r="LI28" s="72"/>
      <c r="LJ28" s="72"/>
      <c r="LK28" s="72"/>
      <c r="LL28" s="72"/>
      <c r="LM28" s="72"/>
      <c r="LN28" s="72"/>
      <c r="LO28" s="72"/>
      <c r="LP28" s="72"/>
      <c r="LQ28" s="72"/>
      <c r="LR28" s="72"/>
      <c r="LS28" s="72"/>
      <c r="LT28" s="72"/>
      <c r="LU28" s="72"/>
      <c r="LV28" s="72"/>
      <c r="LW28" s="72"/>
      <c r="LX28" s="72"/>
      <c r="LY28" s="72"/>
      <c r="LZ28" s="72"/>
      <c r="MA28" s="72"/>
      <c r="MB28" s="72"/>
      <c r="MC28" s="72"/>
      <c r="MD28" s="72"/>
      <c r="ME28" s="72"/>
      <c r="MF28" s="72"/>
      <c r="MG28" s="72"/>
      <c r="MH28" s="72"/>
      <c r="MI28" s="72"/>
      <c r="MJ28" s="72"/>
      <c r="MK28" s="72"/>
      <c r="ML28" s="72"/>
      <c r="MM28" s="72"/>
      <c r="MN28" s="72"/>
      <c r="MO28" s="72"/>
      <c r="MP28" s="72"/>
      <c r="MQ28" s="72"/>
      <c r="MR28" s="72"/>
      <c r="MS28" s="72"/>
      <c r="MT28" s="72"/>
      <c r="MU28" s="72"/>
      <c r="MV28" s="72"/>
      <c r="MW28" s="72"/>
      <c r="MX28" s="72"/>
      <c r="MY28" s="72"/>
      <c r="MZ28" s="72"/>
      <c r="NA28" s="72"/>
      <c r="NB28" s="72"/>
      <c r="NC28" s="72"/>
      <c r="ND28" s="72"/>
      <c r="NE28" s="72"/>
      <c r="NF28" s="72"/>
      <c r="NG28" s="72"/>
      <c r="NH28" s="72"/>
      <c r="NI28" s="72"/>
      <c r="NJ28" s="72"/>
      <c r="NK28" s="72"/>
      <c r="NL28" s="72"/>
      <c r="NM28" s="72"/>
      <c r="NN28" s="72"/>
      <c r="NO28" s="72"/>
      <c r="NP28" s="72"/>
      <c r="NQ28" s="72"/>
      <c r="NR28" s="72"/>
      <c r="NS28" s="72"/>
      <c r="NT28" s="72"/>
      <c r="NU28" s="72"/>
      <c r="NV28" s="72"/>
      <c r="NW28" s="72"/>
      <c r="NX28" s="72"/>
      <c r="NY28" s="72"/>
      <c r="NZ28" s="72"/>
      <c r="OA28" s="72"/>
      <c r="OB28" s="72"/>
      <c r="OC28" s="72"/>
      <c r="OD28" s="72"/>
      <c r="OE28" s="72"/>
      <c r="OF28" s="72"/>
      <c r="OG28" s="72"/>
      <c r="OH28" s="72"/>
      <c r="OI28" s="72"/>
      <c r="OJ28" s="73"/>
    </row>
    <row r="29" spans="1:400" s="35" customFormat="1" ht="25.95" customHeight="1" x14ac:dyDescent="0.3">
      <c r="A29" s="1523" t="s">
        <v>22</v>
      </c>
      <c r="B29" s="401">
        <v>7</v>
      </c>
      <c r="C29" s="412">
        <v>153612</v>
      </c>
      <c r="D29" s="412">
        <v>1811700</v>
      </c>
      <c r="E29" s="411">
        <v>-1658088</v>
      </c>
      <c r="F29" s="401" t="s">
        <v>1192</v>
      </c>
      <c r="G29" s="1752" t="s">
        <v>1193</v>
      </c>
      <c r="H29" s="1753"/>
      <c r="I29" s="1753"/>
      <c r="J29" s="1753"/>
      <c r="K29" s="1753"/>
      <c r="L29" s="1754"/>
      <c r="M29" s="1755"/>
      <c r="N29" s="1756"/>
      <c r="O29" s="144"/>
      <c r="P29" s="144"/>
      <c r="Q29" s="144"/>
      <c r="R29" s="144"/>
      <c r="S29" s="144"/>
      <c r="T29" s="144"/>
      <c r="U29" s="144"/>
      <c r="V29" s="144"/>
      <c r="W29" s="144"/>
      <c r="X29" s="144"/>
      <c r="Y29" s="144"/>
      <c r="Z29" s="144"/>
      <c r="AA29" s="70"/>
      <c r="AB29" s="70"/>
      <c r="AC29" s="70"/>
      <c r="AD29" s="70"/>
      <c r="AE29" s="70"/>
      <c r="AF29" s="70"/>
      <c r="AG29" s="70"/>
      <c r="AH29" s="70"/>
      <c r="AI29" s="70"/>
      <c r="AJ29" s="70"/>
      <c r="AK29" s="70"/>
      <c r="AL29" s="70"/>
      <c r="AM29" s="70"/>
      <c r="AN29" s="70"/>
      <c r="AO29" s="70"/>
      <c r="AP29" s="70"/>
      <c r="AQ29" s="70"/>
      <c r="AR29" s="70"/>
      <c r="AS29" s="70"/>
      <c r="AT29" s="70"/>
      <c r="AU29" s="70"/>
      <c r="AV29" s="70"/>
      <c r="AW29" s="70"/>
      <c r="AX29" s="70"/>
      <c r="AY29" s="70"/>
      <c r="AZ29" s="70"/>
      <c r="BA29" s="70"/>
      <c r="BB29" s="70"/>
      <c r="BC29" s="70"/>
      <c r="BD29" s="70"/>
      <c r="BE29" s="70"/>
      <c r="BF29" s="70"/>
      <c r="BG29" s="70"/>
      <c r="BH29" s="70"/>
      <c r="BI29" s="70"/>
      <c r="BJ29" s="70"/>
      <c r="BK29" s="70"/>
      <c r="BL29" s="70"/>
      <c r="BM29" s="70"/>
      <c r="BN29" s="70"/>
      <c r="BO29" s="70"/>
      <c r="BP29" s="70"/>
      <c r="BQ29" s="70"/>
      <c r="BR29" s="70"/>
      <c r="BS29" s="70"/>
      <c r="BT29" s="70"/>
      <c r="BU29" s="70"/>
      <c r="BV29" s="70"/>
      <c r="BW29" s="70"/>
      <c r="BX29" s="70"/>
      <c r="BY29" s="70"/>
      <c r="BZ29" s="70"/>
      <c r="CA29" s="70"/>
      <c r="CB29" s="70"/>
      <c r="CC29" s="70"/>
      <c r="CD29" s="70"/>
      <c r="CE29" s="70"/>
      <c r="CF29" s="70"/>
      <c r="CG29" s="70"/>
      <c r="CH29" s="70"/>
      <c r="CI29" s="70"/>
      <c r="CJ29" s="70"/>
      <c r="CK29" s="70"/>
      <c r="CL29" s="70"/>
      <c r="CM29" s="70"/>
      <c r="CN29" s="70"/>
      <c r="CO29" s="70"/>
      <c r="CP29" s="70"/>
      <c r="CQ29" s="70"/>
      <c r="CR29" s="70"/>
      <c r="CS29" s="70"/>
      <c r="CT29" s="70"/>
      <c r="CU29" s="70"/>
      <c r="CV29" s="70"/>
      <c r="CW29" s="70"/>
      <c r="CX29" s="70"/>
      <c r="CY29" s="70"/>
      <c r="CZ29" s="70"/>
      <c r="DA29" s="70"/>
      <c r="DB29" s="70"/>
      <c r="DC29" s="70"/>
      <c r="DD29" s="70"/>
      <c r="DE29" s="70"/>
      <c r="DF29" s="70"/>
      <c r="DG29" s="70"/>
      <c r="DH29" s="70"/>
      <c r="DI29" s="70"/>
      <c r="DJ29" s="70"/>
      <c r="DK29" s="70"/>
      <c r="DL29" s="70"/>
      <c r="DM29" s="70"/>
      <c r="DN29" s="70"/>
      <c r="DO29" s="70"/>
      <c r="DP29" s="70"/>
      <c r="DQ29" s="70"/>
      <c r="DR29" s="70"/>
      <c r="DS29" s="70"/>
      <c r="DT29" s="70"/>
      <c r="DU29" s="70"/>
      <c r="DV29" s="70"/>
      <c r="DW29" s="70"/>
      <c r="DX29" s="70"/>
      <c r="DY29" s="70"/>
      <c r="DZ29" s="70"/>
      <c r="EA29" s="70"/>
      <c r="EB29" s="70"/>
      <c r="EC29" s="70"/>
      <c r="ED29" s="70"/>
      <c r="EE29" s="70"/>
      <c r="EF29" s="70"/>
      <c r="EG29" s="70"/>
      <c r="EH29" s="70"/>
      <c r="EI29" s="70"/>
      <c r="EJ29" s="70"/>
      <c r="EK29" s="70"/>
      <c r="EL29" s="70"/>
      <c r="EM29" s="70"/>
      <c r="EN29" s="70"/>
      <c r="EO29" s="70"/>
      <c r="EP29" s="70"/>
      <c r="EQ29" s="70"/>
      <c r="ER29" s="70"/>
      <c r="ES29" s="70"/>
      <c r="ET29" s="70"/>
      <c r="EU29" s="70"/>
      <c r="EV29" s="70"/>
      <c r="EW29" s="70"/>
      <c r="EX29" s="70"/>
      <c r="EY29" s="70"/>
      <c r="EZ29" s="70"/>
      <c r="FA29" s="70"/>
      <c r="FB29" s="70"/>
      <c r="FC29" s="70"/>
      <c r="FD29" s="70"/>
      <c r="FE29" s="70"/>
      <c r="FF29" s="70"/>
      <c r="FG29" s="70"/>
      <c r="FH29" s="70"/>
      <c r="FI29" s="70"/>
      <c r="FJ29" s="70"/>
      <c r="FK29" s="70"/>
      <c r="FL29" s="70"/>
      <c r="FM29" s="70"/>
      <c r="FN29" s="70"/>
      <c r="FO29" s="70"/>
      <c r="FP29" s="70"/>
      <c r="FQ29" s="70"/>
      <c r="FR29" s="70"/>
      <c r="FS29" s="70"/>
      <c r="FT29" s="70"/>
      <c r="FU29" s="70"/>
      <c r="FV29" s="70"/>
      <c r="FW29" s="70"/>
      <c r="FX29" s="70"/>
      <c r="FY29" s="70"/>
      <c r="FZ29" s="70"/>
      <c r="GA29" s="70"/>
      <c r="GB29" s="70"/>
      <c r="GC29" s="70"/>
      <c r="GD29" s="70"/>
      <c r="GE29" s="70"/>
      <c r="GF29" s="70"/>
      <c r="GG29" s="70"/>
      <c r="GH29" s="70"/>
      <c r="GI29" s="70"/>
      <c r="GJ29" s="70"/>
      <c r="GK29" s="70"/>
      <c r="GL29" s="70"/>
      <c r="GM29" s="70"/>
      <c r="GN29" s="70"/>
      <c r="GO29" s="70"/>
      <c r="GP29" s="70"/>
      <c r="GQ29" s="70"/>
      <c r="GR29" s="70"/>
      <c r="GS29" s="70"/>
      <c r="GT29" s="70"/>
      <c r="GU29" s="70"/>
      <c r="GV29" s="70"/>
      <c r="GW29" s="70"/>
      <c r="GX29" s="70"/>
      <c r="GY29" s="70"/>
      <c r="GZ29" s="70"/>
      <c r="HA29" s="70"/>
      <c r="HB29" s="70"/>
      <c r="HC29" s="70"/>
      <c r="HD29" s="70"/>
      <c r="HE29" s="70"/>
      <c r="HF29" s="70"/>
      <c r="HG29" s="70"/>
      <c r="HH29" s="70"/>
      <c r="HI29" s="70"/>
      <c r="HJ29" s="70"/>
      <c r="HK29" s="70"/>
      <c r="HL29" s="70"/>
      <c r="HM29" s="70"/>
      <c r="HN29" s="70"/>
      <c r="HO29" s="70"/>
      <c r="HP29" s="70"/>
      <c r="HQ29" s="70"/>
      <c r="HR29" s="70"/>
      <c r="HS29" s="70"/>
      <c r="HT29" s="70"/>
      <c r="HU29" s="70"/>
      <c r="HV29" s="70"/>
      <c r="HW29" s="70"/>
      <c r="HX29" s="70"/>
      <c r="HY29" s="70"/>
      <c r="HZ29" s="70"/>
      <c r="IA29" s="70"/>
      <c r="IB29" s="70"/>
      <c r="IC29" s="70"/>
      <c r="ID29" s="70"/>
      <c r="IE29" s="70"/>
      <c r="IF29" s="70"/>
      <c r="IG29" s="70"/>
      <c r="IH29" s="70"/>
      <c r="II29" s="70"/>
      <c r="IJ29" s="70"/>
      <c r="IK29" s="70"/>
      <c r="IL29" s="70"/>
      <c r="IM29" s="70"/>
      <c r="IN29" s="70"/>
      <c r="IO29" s="70"/>
      <c r="IP29" s="70"/>
      <c r="IQ29" s="70"/>
      <c r="IR29" s="70"/>
      <c r="IS29" s="70"/>
      <c r="IT29" s="70"/>
      <c r="IU29" s="70"/>
      <c r="IV29" s="70"/>
      <c r="IW29" s="70"/>
      <c r="IX29" s="70"/>
      <c r="IY29" s="70"/>
      <c r="IZ29" s="70"/>
      <c r="JA29" s="70"/>
      <c r="JB29" s="70"/>
      <c r="JC29" s="70"/>
      <c r="JD29" s="70"/>
      <c r="JE29" s="70"/>
      <c r="JF29" s="70"/>
      <c r="JG29" s="70"/>
      <c r="JH29" s="70"/>
      <c r="JI29" s="70"/>
      <c r="JJ29" s="70"/>
      <c r="JK29" s="70"/>
      <c r="JL29" s="70"/>
      <c r="JM29" s="70"/>
      <c r="JN29" s="70"/>
      <c r="JO29" s="70"/>
      <c r="JP29" s="70"/>
      <c r="JQ29" s="70"/>
      <c r="JR29" s="70"/>
      <c r="JS29" s="70"/>
      <c r="JT29" s="70"/>
      <c r="JU29" s="70"/>
      <c r="JV29" s="70"/>
      <c r="JW29" s="70"/>
      <c r="JX29" s="70"/>
      <c r="JY29" s="70"/>
      <c r="JZ29" s="70"/>
      <c r="KA29" s="70"/>
      <c r="KB29" s="70"/>
      <c r="KC29" s="70"/>
      <c r="KD29" s="70"/>
      <c r="KE29" s="70"/>
      <c r="KF29" s="70"/>
      <c r="KG29" s="70"/>
      <c r="KH29" s="70"/>
      <c r="KI29" s="70"/>
      <c r="KJ29" s="70"/>
      <c r="KK29" s="70"/>
      <c r="KL29" s="70"/>
      <c r="KM29" s="70"/>
      <c r="KN29" s="70"/>
      <c r="KO29" s="70"/>
      <c r="KP29" s="70"/>
      <c r="KQ29" s="70"/>
      <c r="KR29" s="70"/>
      <c r="KS29" s="70"/>
      <c r="KT29" s="70"/>
      <c r="KU29" s="70"/>
      <c r="KV29" s="70"/>
      <c r="KW29" s="70"/>
      <c r="KX29" s="70"/>
      <c r="KY29" s="70"/>
      <c r="KZ29" s="70"/>
      <c r="LA29" s="70"/>
      <c r="LB29" s="70"/>
      <c r="LC29" s="70"/>
      <c r="LD29" s="70"/>
      <c r="LE29" s="70"/>
      <c r="LF29" s="70"/>
      <c r="LG29" s="70"/>
      <c r="LH29" s="70"/>
      <c r="LI29" s="70"/>
      <c r="LJ29" s="70"/>
      <c r="LK29" s="70"/>
      <c r="LL29" s="70"/>
      <c r="LM29" s="70"/>
      <c r="LN29" s="70"/>
      <c r="LO29" s="70"/>
      <c r="LP29" s="70"/>
      <c r="LQ29" s="70"/>
      <c r="LR29" s="70"/>
      <c r="LS29" s="70"/>
      <c r="LT29" s="70"/>
      <c r="LU29" s="70"/>
      <c r="LV29" s="70"/>
      <c r="LW29" s="70"/>
      <c r="LX29" s="70"/>
      <c r="LY29" s="70"/>
      <c r="LZ29" s="70"/>
      <c r="MA29" s="70"/>
      <c r="MB29" s="70"/>
      <c r="MC29" s="70"/>
      <c r="MD29" s="70"/>
      <c r="ME29" s="70"/>
      <c r="MF29" s="70"/>
      <c r="MG29" s="70"/>
      <c r="MH29" s="70"/>
      <c r="MI29" s="70"/>
      <c r="MJ29" s="70"/>
      <c r="MK29" s="70"/>
      <c r="ML29" s="70"/>
      <c r="MM29" s="70"/>
      <c r="MN29" s="70"/>
      <c r="MO29" s="70"/>
      <c r="MP29" s="70"/>
      <c r="MQ29" s="70"/>
      <c r="MR29" s="70"/>
      <c r="MS29" s="70"/>
      <c r="MT29" s="70"/>
      <c r="MU29" s="70"/>
      <c r="MV29" s="70"/>
      <c r="MW29" s="70"/>
      <c r="MX29" s="70"/>
      <c r="MY29" s="70"/>
      <c r="MZ29" s="70"/>
      <c r="NA29" s="70"/>
      <c r="NB29" s="70"/>
      <c r="NC29" s="70"/>
      <c r="ND29" s="70"/>
      <c r="NE29" s="70"/>
      <c r="NF29" s="70"/>
      <c r="NG29" s="70"/>
      <c r="NH29" s="70"/>
      <c r="NI29" s="70"/>
      <c r="NJ29" s="70"/>
      <c r="NK29" s="70"/>
      <c r="NL29" s="70"/>
      <c r="NM29" s="70"/>
      <c r="NN29" s="70"/>
      <c r="NO29" s="70"/>
      <c r="NP29" s="70"/>
      <c r="NQ29" s="70"/>
      <c r="NR29" s="70"/>
      <c r="NS29" s="70"/>
      <c r="NT29" s="70"/>
      <c r="NU29" s="70"/>
      <c r="NV29" s="70"/>
      <c r="NW29" s="70"/>
      <c r="NX29" s="70"/>
      <c r="NY29" s="70"/>
      <c r="NZ29" s="70"/>
      <c r="OA29" s="70"/>
      <c r="OB29" s="70"/>
      <c r="OC29" s="70"/>
      <c r="OD29" s="70"/>
      <c r="OE29" s="70"/>
      <c r="OF29" s="70"/>
      <c r="OG29" s="70"/>
      <c r="OH29" s="70"/>
      <c r="OI29" s="70"/>
      <c r="OJ29" s="71"/>
    </row>
    <row r="30" spans="1:400" ht="25.95" customHeight="1" x14ac:dyDescent="0.3">
      <c r="A30" s="499" t="s">
        <v>25</v>
      </c>
      <c r="B30" s="500">
        <v>2</v>
      </c>
      <c r="C30" s="501">
        <v>496732</v>
      </c>
      <c r="D30" s="501">
        <v>748783</v>
      </c>
      <c r="E30" s="502">
        <v>-252051</v>
      </c>
      <c r="F30" s="500" t="s">
        <v>1194</v>
      </c>
      <c r="G30" s="1741" t="s">
        <v>1195</v>
      </c>
      <c r="H30" s="1742"/>
      <c r="I30" s="1742"/>
      <c r="J30" s="1742"/>
      <c r="K30" s="1742"/>
      <c r="L30" s="1743"/>
      <c r="M30" s="1761"/>
      <c r="N30" s="1694"/>
      <c r="O30" s="192"/>
      <c r="P30" s="192"/>
      <c r="Q30" s="192"/>
      <c r="R30" s="192"/>
      <c r="S30" s="192"/>
      <c r="T30" s="192"/>
      <c r="U30" s="192"/>
      <c r="V30" s="192"/>
      <c r="W30" s="192"/>
      <c r="X30" s="192"/>
      <c r="Y30" s="192"/>
      <c r="Z30" s="192"/>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c r="BA30" s="68"/>
      <c r="BB30" s="68"/>
      <c r="BC30" s="68"/>
      <c r="BD30" s="68"/>
      <c r="BE30" s="68"/>
      <c r="BF30" s="68"/>
      <c r="BG30" s="68"/>
      <c r="BH30" s="68"/>
      <c r="BI30" s="68"/>
      <c r="BJ30" s="68"/>
      <c r="BK30" s="68"/>
      <c r="BL30" s="68"/>
      <c r="BM30" s="68"/>
      <c r="BN30" s="68"/>
      <c r="BO30" s="68"/>
      <c r="BP30" s="68"/>
      <c r="BQ30" s="68"/>
      <c r="BR30" s="68"/>
      <c r="BS30" s="68"/>
      <c r="BT30" s="68"/>
      <c r="BU30" s="68"/>
      <c r="BV30" s="68"/>
      <c r="BW30" s="68"/>
      <c r="BX30" s="68"/>
      <c r="BY30" s="68"/>
      <c r="BZ30" s="68"/>
      <c r="CA30" s="68"/>
      <c r="CB30" s="68"/>
      <c r="CC30" s="68"/>
      <c r="CD30" s="68"/>
      <c r="CE30" s="68"/>
      <c r="CF30" s="68"/>
      <c r="CG30" s="68"/>
      <c r="CH30" s="68"/>
      <c r="CI30" s="68"/>
      <c r="CJ30" s="68"/>
      <c r="CK30" s="68"/>
      <c r="CL30" s="68"/>
      <c r="CM30" s="68"/>
      <c r="CN30" s="68"/>
      <c r="CO30" s="68"/>
      <c r="CP30" s="68"/>
      <c r="CQ30" s="68"/>
      <c r="CR30" s="68"/>
      <c r="CS30" s="68"/>
      <c r="CT30" s="68"/>
      <c r="CU30" s="68"/>
      <c r="CV30" s="68"/>
      <c r="CW30" s="68"/>
      <c r="CX30" s="68"/>
      <c r="CY30" s="68"/>
      <c r="CZ30" s="68"/>
      <c r="DA30" s="68"/>
      <c r="DB30" s="68"/>
      <c r="DC30" s="68"/>
      <c r="DD30" s="68"/>
      <c r="DE30" s="68"/>
      <c r="DF30" s="68"/>
      <c r="DG30" s="68"/>
      <c r="DH30" s="68"/>
      <c r="DI30" s="68"/>
      <c r="DJ30" s="68"/>
      <c r="DK30" s="68"/>
      <c r="DL30" s="68"/>
      <c r="DM30" s="68"/>
      <c r="DN30" s="68"/>
      <c r="DO30" s="68"/>
      <c r="DP30" s="68"/>
      <c r="DQ30" s="68"/>
      <c r="DR30" s="68"/>
      <c r="DS30" s="68"/>
      <c r="DT30" s="68"/>
      <c r="DU30" s="68"/>
      <c r="DV30" s="68"/>
      <c r="DW30" s="68"/>
      <c r="DX30" s="68"/>
      <c r="DY30" s="68"/>
      <c r="DZ30" s="68"/>
      <c r="EA30" s="68"/>
      <c r="EB30" s="68"/>
      <c r="EC30" s="68"/>
      <c r="ED30" s="68"/>
      <c r="EE30" s="68"/>
      <c r="EF30" s="68"/>
      <c r="EG30" s="68"/>
      <c r="EH30" s="68"/>
      <c r="EI30" s="68"/>
      <c r="EJ30" s="68"/>
      <c r="EK30" s="68"/>
      <c r="EL30" s="68"/>
      <c r="EM30" s="68"/>
      <c r="EN30" s="68"/>
      <c r="EO30" s="68"/>
      <c r="EP30" s="68"/>
      <c r="EQ30" s="68"/>
      <c r="ER30" s="68"/>
      <c r="ES30" s="68"/>
      <c r="ET30" s="68"/>
      <c r="EU30" s="68"/>
      <c r="EV30" s="68"/>
      <c r="EW30" s="68"/>
      <c r="EX30" s="68"/>
      <c r="EY30" s="68"/>
      <c r="EZ30" s="68"/>
      <c r="FA30" s="68"/>
      <c r="FB30" s="68"/>
      <c r="FC30" s="68"/>
      <c r="FD30" s="68"/>
      <c r="FE30" s="68"/>
      <c r="FF30" s="68"/>
      <c r="FG30" s="68"/>
      <c r="FH30" s="68"/>
      <c r="FI30" s="68"/>
      <c r="FJ30" s="68"/>
      <c r="FK30" s="68"/>
      <c r="FL30" s="68"/>
      <c r="FM30" s="68"/>
      <c r="FN30" s="68"/>
      <c r="FO30" s="68"/>
      <c r="FP30" s="68"/>
      <c r="FQ30" s="68"/>
      <c r="FR30" s="68"/>
      <c r="FS30" s="68"/>
      <c r="FT30" s="68"/>
      <c r="FU30" s="68"/>
      <c r="FV30" s="68"/>
      <c r="FW30" s="68"/>
      <c r="FX30" s="68"/>
      <c r="FY30" s="68"/>
      <c r="FZ30" s="68"/>
      <c r="GA30" s="68"/>
      <c r="GB30" s="68"/>
      <c r="GC30" s="68"/>
      <c r="GD30" s="68"/>
      <c r="GE30" s="68"/>
      <c r="GF30" s="68"/>
      <c r="GG30" s="68"/>
      <c r="GH30" s="68"/>
      <c r="GI30" s="68"/>
      <c r="GJ30" s="68"/>
      <c r="GK30" s="68"/>
      <c r="GL30" s="68"/>
      <c r="GM30" s="68"/>
      <c r="GN30" s="68"/>
      <c r="GO30" s="68"/>
      <c r="GP30" s="68"/>
      <c r="GQ30" s="68"/>
      <c r="GR30" s="68"/>
      <c r="GS30" s="68"/>
      <c r="GT30" s="68"/>
      <c r="GU30" s="68"/>
      <c r="GV30" s="68"/>
      <c r="GW30" s="68"/>
      <c r="GX30" s="68"/>
      <c r="GY30" s="68"/>
      <c r="GZ30" s="68"/>
      <c r="HA30" s="68"/>
      <c r="HB30" s="68"/>
      <c r="HC30" s="68"/>
      <c r="HD30" s="68"/>
      <c r="HE30" s="68"/>
      <c r="HF30" s="68"/>
      <c r="HG30" s="68"/>
      <c r="HH30" s="68"/>
      <c r="HI30" s="68"/>
      <c r="HJ30" s="68"/>
      <c r="HK30" s="68"/>
      <c r="HL30" s="68"/>
      <c r="HM30" s="68"/>
      <c r="HN30" s="68"/>
      <c r="HO30" s="68"/>
      <c r="HP30" s="68"/>
      <c r="HQ30" s="68"/>
      <c r="HR30" s="68"/>
      <c r="HS30" s="68"/>
      <c r="HT30" s="68"/>
      <c r="HU30" s="68"/>
      <c r="HV30" s="68"/>
      <c r="HW30" s="68"/>
      <c r="HX30" s="68"/>
      <c r="HY30" s="68"/>
      <c r="HZ30" s="68"/>
      <c r="IA30" s="68"/>
      <c r="IB30" s="68"/>
      <c r="IC30" s="68"/>
      <c r="ID30" s="68"/>
      <c r="IE30" s="68"/>
      <c r="IF30" s="68"/>
      <c r="IG30" s="68"/>
      <c r="IH30" s="68"/>
      <c r="II30" s="68"/>
      <c r="IJ30" s="68"/>
      <c r="IK30" s="68"/>
      <c r="IL30" s="68"/>
      <c r="IM30" s="68"/>
      <c r="IN30" s="68"/>
      <c r="IO30" s="68"/>
      <c r="IP30" s="68"/>
      <c r="IQ30" s="68"/>
      <c r="IR30" s="68"/>
      <c r="IS30" s="68"/>
      <c r="IT30" s="68"/>
      <c r="IU30" s="68"/>
      <c r="IV30" s="68"/>
      <c r="IW30" s="68"/>
      <c r="IX30" s="68"/>
      <c r="IY30" s="68"/>
      <c r="IZ30" s="68"/>
      <c r="JA30" s="68"/>
      <c r="JB30" s="68"/>
      <c r="JC30" s="68"/>
      <c r="JD30" s="68"/>
      <c r="JE30" s="68"/>
      <c r="JF30" s="68"/>
      <c r="JG30" s="68"/>
      <c r="JH30" s="68"/>
      <c r="JI30" s="68"/>
      <c r="JJ30" s="68"/>
      <c r="JK30" s="68"/>
      <c r="JL30" s="68"/>
      <c r="JM30" s="68"/>
      <c r="JN30" s="68"/>
      <c r="JO30" s="68"/>
      <c r="JP30" s="68"/>
      <c r="JQ30" s="68"/>
      <c r="JR30" s="68"/>
      <c r="JS30" s="68"/>
      <c r="JT30" s="68"/>
      <c r="JU30" s="68"/>
      <c r="JV30" s="68"/>
      <c r="JW30" s="68"/>
      <c r="JX30" s="68"/>
      <c r="JY30" s="68"/>
      <c r="JZ30" s="68"/>
      <c r="KA30" s="68"/>
      <c r="KB30" s="68"/>
      <c r="KC30" s="68"/>
      <c r="KD30" s="68"/>
      <c r="KE30" s="68"/>
      <c r="KF30" s="68"/>
      <c r="KG30" s="68"/>
      <c r="KH30" s="68"/>
      <c r="KI30" s="68"/>
      <c r="KJ30" s="68"/>
      <c r="KK30" s="68"/>
      <c r="KL30" s="68"/>
      <c r="KM30" s="68"/>
      <c r="KN30" s="68"/>
      <c r="KO30" s="68"/>
      <c r="KP30" s="68"/>
      <c r="KQ30" s="68"/>
      <c r="KR30" s="68"/>
      <c r="KS30" s="68"/>
      <c r="KT30" s="68"/>
      <c r="KU30" s="68"/>
      <c r="KV30" s="68"/>
      <c r="KW30" s="68"/>
      <c r="KX30" s="68"/>
      <c r="KY30" s="68"/>
      <c r="KZ30" s="68"/>
      <c r="LA30" s="68"/>
      <c r="LB30" s="68"/>
      <c r="LC30" s="68"/>
      <c r="LD30" s="68"/>
      <c r="LE30" s="68"/>
      <c r="LF30" s="68"/>
      <c r="LG30" s="68"/>
      <c r="LH30" s="68"/>
      <c r="LI30" s="68"/>
      <c r="LJ30" s="68"/>
      <c r="LK30" s="68"/>
      <c r="LL30" s="68"/>
      <c r="LM30" s="68"/>
      <c r="LN30" s="68"/>
      <c r="LO30" s="68"/>
      <c r="LP30" s="68"/>
      <c r="LQ30" s="68"/>
      <c r="LR30" s="68"/>
      <c r="LS30" s="68"/>
      <c r="LT30" s="68"/>
      <c r="LU30" s="68"/>
      <c r="LV30" s="68"/>
      <c r="LW30" s="68"/>
      <c r="LX30" s="68"/>
      <c r="LY30" s="68"/>
      <c r="LZ30" s="68"/>
      <c r="MA30" s="68"/>
      <c r="MB30" s="68"/>
      <c r="MC30" s="68"/>
      <c r="MD30" s="68"/>
      <c r="ME30" s="68"/>
      <c r="MF30" s="68"/>
      <c r="MG30" s="68"/>
      <c r="MH30" s="68"/>
      <c r="MI30" s="68"/>
      <c r="MJ30" s="68"/>
      <c r="MK30" s="68"/>
      <c r="ML30" s="68"/>
      <c r="MM30" s="68"/>
      <c r="MN30" s="68"/>
      <c r="MO30" s="68"/>
      <c r="MP30" s="68"/>
      <c r="MQ30" s="68"/>
      <c r="MR30" s="68"/>
      <c r="MS30" s="68"/>
      <c r="MT30" s="68"/>
      <c r="MU30" s="68"/>
      <c r="MV30" s="68"/>
      <c r="MW30" s="68"/>
      <c r="MX30" s="68"/>
      <c r="MY30" s="68"/>
      <c r="MZ30" s="68"/>
      <c r="NA30" s="68"/>
      <c r="NB30" s="68"/>
      <c r="NC30" s="68"/>
      <c r="ND30" s="68"/>
      <c r="NE30" s="68"/>
      <c r="NF30" s="68"/>
      <c r="NG30" s="68"/>
      <c r="NH30" s="68"/>
      <c r="NI30" s="68"/>
      <c r="NJ30" s="68"/>
      <c r="NK30" s="68"/>
      <c r="NL30" s="68"/>
      <c r="NM30" s="68"/>
      <c r="NN30" s="68"/>
      <c r="NO30" s="68"/>
      <c r="NP30" s="68"/>
      <c r="NQ30" s="68"/>
      <c r="NR30" s="68"/>
      <c r="NS30" s="68"/>
      <c r="NT30" s="68"/>
      <c r="NU30" s="68"/>
      <c r="NV30" s="68"/>
      <c r="NW30" s="68"/>
      <c r="NX30" s="68"/>
      <c r="NY30" s="68"/>
      <c r="NZ30" s="68"/>
      <c r="OA30" s="68"/>
      <c r="OB30" s="68"/>
      <c r="OC30" s="68"/>
      <c r="OD30" s="68"/>
      <c r="OE30" s="68"/>
      <c r="OF30" s="68"/>
      <c r="OG30" s="68"/>
      <c r="OH30" s="68"/>
      <c r="OI30" s="68"/>
      <c r="OJ30" s="69"/>
    </row>
    <row r="31" spans="1:400" ht="25.95" customHeight="1" x14ac:dyDescent="0.3">
      <c r="A31" s="1523" t="s">
        <v>31</v>
      </c>
      <c r="B31" s="401">
        <v>2</v>
      </c>
      <c r="C31" s="412">
        <v>805384</v>
      </c>
      <c r="D31" s="411">
        <v>0</v>
      </c>
      <c r="E31" s="412">
        <v>805384</v>
      </c>
      <c r="F31" s="401" t="s">
        <v>1196</v>
      </c>
      <c r="G31" s="1752" t="s">
        <v>1197</v>
      </c>
      <c r="H31" s="1753"/>
      <c r="I31" s="1753"/>
      <c r="J31" s="1753"/>
      <c r="K31" s="1753"/>
      <c r="L31" s="1754"/>
      <c r="M31" s="1780"/>
      <c r="N31" s="1693"/>
      <c r="O31" s="151"/>
      <c r="P31" s="151"/>
      <c r="Q31" s="151"/>
      <c r="R31" s="151"/>
      <c r="S31" s="151"/>
      <c r="T31" s="151"/>
      <c r="U31" s="151"/>
      <c r="V31" s="151"/>
      <c r="W31" s="151"/>
      <c r="X31" s="151"/>
      <c r="Y31" s="151"/>
      <c r="Z31" s="151"/>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c r="CG31" s="74"/>
      <c r="CH31" s="74"/>
      <c r="CI31" s="74"/>
      <c r="CJ31" s="74"/>
      <c r="CK31" s="74"/>
      <c r="CL31" s="74"/>
      <c r="CM31" s="74"/>
      <c r="CN31" s="74"/>
      <c r="CO31" s="74"/>
      <c r="CP31" s="74"/>
      <c r="CQ31" s="74"/>
      <c r="CR31" s="74"/>
      <c r="CS31" s="74"/>
      <c r="CT31" s="74"/>
      <c r="CU31" s="74"/>
      <c r="CV31" s="74"/>
      <c r="CW31" s="74"/>
      <c r="CX31" s="74"/>
      <c r="CY31" s="74"/>
      <c r="CZ31" s="74"/>
      <c r="DA31" s="74"/>
      <c r="DB31" s="74"/>
      <c r="DC31" s="74"/>
      <c r="DD31" s="74"/>
      <c r="DE31" s="74"/>
      <c r="DF31" s="74"/>
      <c r="DG31" s="74"/>
      <c r="DH31" s="74"/>
      <c r="DI31" s="74"/>
      <c r="DJ31" s="74"/>
      <c r="DK31" s="74"/>
      <c r="DL31" s="74"/>
      <c r="DM31" s="74"/>
      <c r="DN31" s="74"/>
      <c r="DO31" s="74"/>
      <c r="DP31" s="74"/>
      <c r="DQ31" s="74"/>
      <c r="DR31" s="74"/>
      <c r="DS31" s="74"/>
      <c r="DT31" s="74"/>
      <c r="DU31" s="74"/>
      <c r="DV31" s="74"/>
      <c r="DW31" s="74"/>
      <c r="DX31" s="74"/>
      <c r="DY31" s="74"/>
      <c r="DZ31" s="74"/>
      <c r="EA31" s="74"/>
      <c r="EB31" s="74"/>
      <c r="EC31" s="74"/>
      <c r="ED31" s="74"/>
      <c r="EE31" s="74"/>
      <c r="EF31" s="74"/>
      <c r="EG31" s="74"/>
      <c r="EH31" s="74"/>
      <c r="EI31" s="74"/>
      <c r="EJ31" s="74"/>
      <c r="EK31" s="74"/>
      <c r="EL31" s="74"/>
      <c r="EM31" s="74"/>
      <c r="EN31" s="74"/>
      <c r="EO31" s="74"/>
      <c r="EP31" s="74"/>
      <c r="EQ31" s="74"/>
      <c r="ER31" s="74"/>
      <c r="ES31" s="74"/>
      <c r="ET31" s="74"/>
      <c r="EU31" s="74"/>
      <c r="EV31" s="74"/>
      <c r="EW31" s="74"/>
      <c r="EX31" s="74"/>
      <c r="EY31" s="74"/>
      <c r="EZ31" s="74"/>
      <c r="FA31" s="74"/>
      <c r="FB31" s="74"/>
      <c r="FC31" s="74"/>
      <c r="FD31" s="74"/>
      <c r="FE31" s="74"/>
      <c r="FF31" s="74"/>
      <c r="FG31" s="74"/>
      <c r="FH31" s="74"/>
      <c r="FI31" s="74"/>
      <c r="FJ31" s="74"/>
      <c r="FK31" s="74"/>
      <c r="FL31" s="74"/>
      <c r="FM31" s="74"/>
      <c r="FN31" s="74"/>
      <c r="FO31" s="74"/>
      <c r="FP31" s="74"/>
      <c r="FQ31" s="74"/>
      <c r="FR31" s="74"/>
      <c r="FS31" s="74"/>
      <c r="FT31" s="74"/>
      <c r="FU31" s="74"/>
      <c r="FV31" s="74"/>
      <c r="FW31" s="74"/>
      <c r="FX31" s="74"/>
      <c r="FY31" s="74"/>
      <c r="FZ31" s="74"/>
      <c r="GA31" s="74"/>
      <c r="GB31" s="74"/>
      <c r="GC31" s="74"/>
      <c r="GD31" s="74"/>
      <c r="GE31" s="74"/>
      <c r="GF31" s="74"/>
      <c r="GG31" s="74"/>
      <c r="GH31" s="74"/>
      <c r="GI31" s="74"/>
      <c r="GJ31" s="74"/>
      <c r="GK31" s="74"/>
      <c r="GL31" s="74"/>
      <c r="GM31" s="74"/>
      <c r="GN31" s="74"/>
      <c r="GO31" s="74"/>
      <c r="GP31" s="74"/>
      <c r="GQ31" s="74"/>
      <c r="GR31" s="74"/>
      <c r="GS31" s="74"/>
      <c r="GT31" s="74"/>
      <c r="GU31" s="74"/>
      <c r="GV31" s="74"/>
      <c r="GW31" s="74"/>
      <c r="GX31" s="74"/>
      <c r="GY31" s="74"/>
      <c r="GZ31" s="74"/>
      <c r="HA31" s="74"/>
      <c r="HB31" s="74"/>
      <c r="HC31" s="74"/>
      <c r="HD31" s="74"/>
      <c r="HE31" s="74"/>
      <c r="HF31" s="74"/>
      <c r="HG31" s="74"/>
      <c r="HH31" s="74"/>
      <c r="HI31" s="74"/>
      <c r="HJ31" s="74"/>
      <c r="HK31" s="74"/>
      <c r="HL31" s="74"/>
      <c r="HM31" s="74"/>
      <c r="HN31" s="74"/>
      <c r="HO31" s="74"/>
      <c r="HP31" s="74"/>
      <c r="HQ31" s="74"/>
      <c r="HR31" s="74"/>
      <c r="HS31" s="74"/>
      <c r="HT31" s="74"/>
      <c r="HU31" s="74"/>
      <c r="HV31" s="74"/>
      <c r="HW31" s="74"/>
      <c r="HX31" s="74"/>
      <c r="HY31" s="74"/>
      <c r="HZ31" s="74"/>
      <c r="IA31" s="74"/>
      <c r="IB31" s="74"/>
      <c r="IC31" s="74"/>
      <c r="ID31" s="74"/>
      <c r="IE31" s="74"/>
      <c r="IF31" s="74"/>
      <c r="IG31" s="74"/>
      <c r="IH31" s="74"/>
      <c r="II31" s="74"/>
      <c r="IJ31" s="74"/>
      <c r="IK31" s="74"/>
      <c r="IL31" s="74"/>
      <c r="IM31" s="74"/>
      <c r="IN31" s="74"/>
      <c r="IO31" s="74"/>
      <c r="IP31" s="74"/>
      <c r="IQ31" s="74"/>
      <c r="IR31" s="74"/>
      <c r="IS31" s="74"/>
      <c r="IT31" s="74"/>
      <c r="IU31" s="74"/>
      <c r="IV31" s="74"/>
      <c r="IW31" s="74"/>
      <c r="IX31" s="74"/>
      <c r="IY31" s="74"/>
      <c r="IZ31" s="74"/>
      <c r="JA31" s="74"/>
      <c r="JB31" s="74"/>
      <c r="JC31" s="74"/>
      <c r="JD31" s="74"/>
      <c r="JE31" s="74"/>
      <c r="JF31" s="74"/>
      <c r="JG31" s="74"/>
      <c r="JH31" s="74"/>
      <c r="JI31" s="74"/>
      <c r="JJ31" s="74"/>
      <c r="JK31" s="74"/>
      <c r="JL31" s="74"/>
      <c r="JM31" s="74"/>
      <c r="JN31" s="74"/>
      <c r="JO31" s="74"/>
      <c r="JP31" s="74"/>
      <c r="JQ31" s="74"/>
      <c r="JR31" s="74"/>
      <c r="JS31" s="74"/>
      <c r="JT31" s="74"/>
      <c r="JU31" s="74"/>
      <c r="JV31" s="74"/>
      <c r="JW31" s="74"/>
      <c r="JX31" s="74"/>
      <c r="JY31" s="74"/>
      <c r="JZ31" s="74"/>
      <c r="KA31" s="74"/>
      <c r="KB31" s="74"/>
      <c r="KC31" s="74"/>
      <c r="KD31" s="74"/>
      <c r="KE31" s="74"/>
      <c r="KF31" s="74"/>
      <c r="KG31" s="74"/>
      <c r="KH31" s="74"/>
      <c r="KI31" s="74"/>
      <c r="KJ31" s="74"/>
      <c r="KK31" s="74"/>
      <c r="KL31" s="74"/>
      <c r="KM31" s="74"/>
      <c r="KN31" s="74"/>
      <c r="KO31" s="74"/>
      <c r="KP31" s="74"/>
      <c r="KQ31" s="74"/>
      <c r="KR31" s="74"/>
      <c r="KS31" s="74"/>
      <c r="KT31" s="74"/>
      <c r="KU31" s="74"/>
      <c r="KV31" s="74"/>
      <c r="KW31" s="74"/>
      <c r="KX31" s="74"/>
      <c r="KY31" s="74"/>
      <c r="KZ31" s="74"/>
      <c r="LA31" s="74"/>
      <c r="LB31" s="74"/>
      <c r="LC31" s="74"/>
      <c r="LD31" s="74"/>
      <c r="LE31" s="74"/>
      <c r="LF31" s="74"/>
      <c r="LG31" s="74"/>
      <c r="LH31" s="74"/>
      <c r="LI31" s="74"/>
      <c r="LJ31" s="74"/>
      <c r="LK31" s="74"/>
      <c r="LL31" s="74"/>
      <c r="LM31" s="74"/>
      <c r="LN31" s="74"/>
      <c r="LO31" s="74"/>
      <c r="LP31" s="74"/>
      <c r="LQ31" s="74"/>
      <c r="LR31" s="74"/>
      <c r="LS31" s="74"/>
      <c r="LT31" s="74"/>
      <c r="LU31" s="74"/>
      <c r="LV31" s="74"/>
      <c r="LW31" s="74"/>
      <c r="LX31" s="74"/>
      <c r="LY31" s="74"/>
      <c r="LZ31" s="74"/>
      <c r="MA31" s="74"/>
      <c r="MB31" s="74"/>
      <c r="MC31" s="74"/>
      <c r="MD31" s="74"/>
      <c r="ME31" s="74"/>
      <c r="MF31" s="74"/>
      <c r="MG31" s="74"/>
      <c r="MH31" s="74"/>
      <c r="MI31" s="74"/>
      <c r="MJ31" s="74"/>
      <c r="MK31" s="74"/>
      <c r="ML31" s="74"/>
      <c r="MM31" s="74"/>
      <c r="MN31" s="74"/>
      <c r="MO31" s="74"/>
      <c r="MP31" s="74"/>
      <c r="MQ31" s="74"/>
      <c r="MR31" s="74"/>
      <c r="MS31" s="74"/>
      <c r="MT31" s="74"/>
      <c r="MU31" s="74"/>
      <c r="MV31" s="74"/>
      <c r="MW31" s="74"/>
      <c r="MX31" s="74"/>
      <c r="MY31" s="74"/>
      <c r="MZ31" s="74"/>
      <c r="NA31" s="74"/>
      <c r="NB31" s="74"/>
      <c r="NC31" s="74"/>
      <c r="ND31" s="74"/>
      <c r="NE31" s="74"/>
      <c r="NF31" s="74"/>
      <c r="NG31" s="74"/>
      <c r="NH31" s="74"/>
      <c r="NI31" s="74"/>
      <c r="NJ31" s="74"/>
      <c r="NK31" s="74"/>
      <c r="NL31" s="74"/>
      <c r="NM31" s="74"/>
      <c r="NN31" s="74"/>
      <c r="NO31" s="74"/>
      <c r="NP31" s="74"/>
      <c r="NQ31" s="74"/>
      <c r="NR31" s="74"/>
      <c r="NS31" s="74"/>
      <c r="NT31" s="74"/>
      <c r="NU31" s="74"/>
      <c r="NV31" s="74"/>
      <c r="NW31" s="74"/>
      <c r="NX31" s="74"/>
      <c r="NY31" s="74"/>
      <c r="NZ31" s="74"/>
      <c r="OA31" s="74"/>
      <c r="OB31" s="74"/>
      <c r="OC31" s="74"/>
      <c r="OD31" s="74"/>
      <c r="OE31" s="74"/>
      <c r="OF31" s="74"/>
      <c r="OG31" s="74"/>
      <c r="OH31" s="74"/>
      <c r="OI31" s="74"/>
      <c r="OJ31" s="75"/>
    </row>
    <row r="32" spans="1:400" ht="25.95" customHeight="1" x14ac:dyDescent="0.3">
      <c r="A32" s="499" t="s">
        <v>27</v>
      </c>
      <c r="B32" s="500">
        <v>1</v>
      </c>
      <c r="C32" s="501">
        <v>35101</v>
      </c>
      <c r="D32" s="502">
        <v>0</v>
      </c>
      <c r="E32" s="501">
        <v>35101</v>
      </c>
      <c r="F32" s="500" t="s">
        <v>103</v>
      </c>
      <c r="G32" s="1762" t="s">
        <v>1198</v>
      </c>
      <c r="H32" s="1742"/>
      <c r="I32" s="1742"/>
      <c r="J32" s="1742"/>
      <c r="K32" s="1742"/>
      <c r="L32" s="1743"/>
      <c r="M32" s="1761"/>
      <c r="N32" s="1694"/>
      <c r="O32" s="192"/>
      <c r="P32" s="192"/>
      <c r="Q32" s="192"/>
      <c r="R32" s="192"/>
      <c r="S32" s="192"/>
      <c r="T32" s="192"/>
      <c r="U32" s="192"/>
      <c r="V32" s="192"/>
      <c r="W32" s="192"/>
      <c r="X32" s="192"/>
      <c r="Y32" s="192"/>
      <c r="Z32" s="192"/>
      <c r="AA32" s="68"/>
      <c r="AB32" s="68"/>
      <c r="AC32" s="68"/>
      <c r="AD32" s="68"/>
      <c r="AE32" s="68"/>
      <c r="AF32" s="68"/>
      <c r="AG32" s="68"/>
      <c r="AH32" s="68"/>
      <c r="AI32" s="68"/>
      <c r="AJ32" s="68"/>
      <c r="AK32" s="68"/>
      <c r="AL32" s="68"/>
      <c r="AM32" s="68"/>
      <c r="AN32" s="68"/>
      <c r="AO32" s="68"/>
      <c r="AP32" s="68"/>
      <c r="AQ32" s="68"/>
      <c r="AR32" s="68"/>
      <c r="AS32" s="68"/>
      <c r="AT32" s="68"/>
      <c r="AU32" s="68"/>
      <c r="AV32" s="68"/>
      <c r="AW32" s="68"/>
      <c r="AX32" s="68"/>
      <c r="AY32" s="68"/>
      <c r="AZ32" s="68"/>
      <c r="BA32" s="68"/>
      <c r="BB32" s="68"/>
      <c r="BC32" s="68"/>
      <c r="BD32" s="68"/>
      <c r="BE32" s="68"/>
      <c r="BF32" s="68"/>
      <c r="BG32" s="68"/>
      <c r="BH32" s="68"/>
      <c r="BI32" s="68"/>
      <c r="BJ32" s="68"/>
      <c r="BK32" s="68"/>
      <c r="BL32" s="68"/>
      <c r="BM32" s="68"/>
      <c r="BN32" s="68"/>
      <c r="BO32" s="68"/>
      <c r="BP32" s="68"/>
      <c r="BQ32" s="68"/>
      <c r="BR32" s="68"/>
      <c r="BS32" s="68"/>
      <c r="BT32" s="68"/>
      <c r="BU32" s="68"/>
      <c r="BV32" s="68"/>
      <c r="BW32" s="68"/>
      <c r="BX32" s="68"/>
      <c r="BY32" s="68"/>
      <c r="BZ32" s="68"/>
      <c r="CA32" s="68"/>
      <c r="CB32" s="68"/>
      <c r="CC32" s="68"/>
      <c r="CD32" s="68"/>
      <c r="CE32" s="68"/>
      <c r="CF32" s="68"/>
      <c r="CG32" s="68"/>
      <c r="CH32" s="68"/>
      <c r="CI32" s="68"/>
      <c r="CJ32" s="68"/>
      <c r="CK32" s="68"/>
      <c r="CL32" s="68"/>
      <c r="CM32" s="68"/>
      <c r="CN32" s="68"/>
      <c r="CO32" s="68"/>
      <c r="CP32" s="68"/>
      <c r="CQ32" s="68"/>
      <c r="CR32" s="68"/>
      <c r="CS32" s="68"/>
      <c r="CT32" s="68"/>
      <c r="CU32" s="68"/>
      <c r="CV32" s="68"/>
      <c r="CW32" s="68"/>
      <c r="CX32" s="68"/>
      <c r="CY32" s="68"/>
      <c r="CZ32" s="68"/>
      <c r="DA32" s="68"/>
      <c r="DB32" s="68"/>
      <c r="DC32" s="68"/>
      <c r="DD32" s="68"/>
      <c r="DE32" s="68"/>
      <c r="DF32" s="68"/>
      <c r="DG32" s="68"/>
      <c r="DH32" s="68"/>
      <c r="DI32" s="68"/>
      <c r="DJ32" s="68"/>
      <c r="DK32" s="68"/>
      <c r="DL32" s="68"/>
      <c r="DM32" s="68"/>
      <c r="DN32" s="68"/>
      <c r="DO32" s="68"/>
      <c r="DP32" s="68"/>
      <c r="DQ32" s="68"/>
      <c r="DR32" s="68"/>
      <c r="DS32" s="68"/>
      <c r="DT32" s="68"/>
      <c r="DU32" s="68"/>
      <c r="DV32" s="68"/>
      <c r="DW32" s="68"/>
      <c r="DX32" s="68"/>
      <c r="DY32" s="68"/>
      <c r="DZ32" s="68"/>
      <c r="EA32" s="68"/>
      <c r="EB32" s="68"/>
      <c r="EC32" s="68"/>
      <c r="ED32" s="68"/>
      <c r="EE32" s="68"/>
      <c r="EF32" s="68"/>
      <c r="EG32" s="68"/>
      <c r="EH32" s="68"/>
      <c r="EI32" s="68"/>
      <c r="EJ32" s="68"/>
      <c r="EK32" s="68"/>
      <c r="EL32" s="68"/>
      <c r="EM32" s="68"/>
      <c r="EN32" s="68"/>
      <c r="EO32" s="68"/>
      <c r="EP32" s="68"/>
      <c r="EQ32" s="68"/>
      <c r="ER32" s="68"/>
      <c r="ES32" s="68"/>
      <c r="ET32" s="68"/>
      <c r="EU32" s="68"/>
      <c r="EV32" s="68"/>
      <c r="EW32" s="68"/>
      <c r="EX32" s="68"/>
      <c r="EY32" s="68"/>
      <c r="EZ32" s="68"/>
      <c r="FA32" s="68"/>
      <c r="FB32" s="68"/>
      <c r="FC32" s="68"/>
      <c r="FD32" s="68"/>
      <c r="FE32" s="68"/>
      <c r="FF32" s="68"/>
      <c r="FG32" s="68"/>
      <c r="FH32" s="68"/>
      <c r="FI32" s="68"/>
      <c r="FJ32" s="68"/>
      <c r="FK32" s="68"/>
      <c r="FL32" s="68"/>
      <c r="FM32" s="68"/>
      <c r="FN32" s="68"/>
      <c r="FO32" s="68"/>
      <c r="FP32" s="68"/>
      <c r="FQ32" s="68"/>
      <c r="FR32" s="68"/>
      <c r="FS32" s="68"/>
      <c r="FT32" s="68"/>
      <c r="FU32" s="68"/>
      <c r="FV32" s="68"/>
      <c r="FW32" s="68"/>
      <c r="FX32" s="68"/>
      <c r="FY32" s="68"/>
      <c r="FZ32" s="68"/>
      <c r="GA32" s="68"/>
      <c r="GB32" s="68"/>
      <c r="GC32" s="68"/>
      <c r="GD32" s="68"/>
      <c r="GE32" s="68"/>
      <c r="GF32" s="68"/>
      <c r="GG32" s="68"/>
      <c r="GH32" s="68"/>
      <c r="GI32" s="68"/>
      <c r="GJ32" s="68"/>
      <c r="GK32" s="68"/>
      <c r="GL32" s="68"/>
      <c r="GM32" s="68"/>
      <c r="GN32" s="68"/>
      <c r="GO32" s="68"/>
      <c r="GP32" s="68"/>
      <c r="GQ32" s="68"/>
      <c r="GR32" s="68"/>
      <c r="GS32" s="68"/>
      <c r="GT32" s="68"/>
      <c r="GU32" s="68"/>
      <c r="GV32" s="68"/>
      <c r="GW32" s="68"/>
      <c r="GX32" s="68"/>
      <c r="GY32" s="68"/>
      <c r="GZ32" s="68"/>
      <c r="HA32" s="68"/>
      <c r="HB32" s="68"/>
      <c r="HC32" s="68"/>
      <c r="HD32" s="68"/>
      <c r="HE32" s="68"/>
      <c r="HF32" s="68"/>
      <c r="HG32" s="68"/>
      <c r="HH32" s="68"/>
      <c r="HI32" s="68"/>
      <c r="HJ32" s="68"/>
      <c r="HK32" s="68"/>
      <c r="HL32" s="68"/>
      <c r="HM32" s="68"/>
      <c r="HN32" s="68"/>
      <c r="HO32" s="68"/>
      <c r="HP32" s="68"/>
      <c r="HQ32" s="68"/>
      <c r="HR32" s="68"/>
      <c r="HS32" s="68"/>
      <c r="HT32" s="68"/>
      <c r="HU32" s="68"/>
      <c r="HV32" s="68"/>
      <c r="HW32" s="68"/>
      <c r="HX32" s="68"/>
      <c r="HY32" s="68"/>
      <c r="HZ32" s="68"/>
      <c r="IA32" s="68"/>
      <c r="IB32" s="68"/>
      <c r="IC32" s="68"/>
      <c r="ID32" s="68"/>
      <c r="IE32" s="68"/>
      <c r="IF32" s="68"/>
      <c r="IG32" s="68"/>
      <c r="IH32" s="68"/>
      <c r="II32" s="68"/>
      <c r="IJ32" s="68"/>
      <c r="IK32" s="68"/>
      <c r="IL32" s="68"/>
      <c r="IM32" s="68"/>
      <c r="IN32" s="68"/>
      <c r="IO32" s="68"/>
      <c r="IP32" s="68"/>
      <c r="IQ32" s="68"/>
      <c r="IR32" s="68"/>
      <c r="IS32" s="68"/>
      <c r="IT32" s="68"/>
      <c r="IU32" s="68"/>
      <c r="IV32" s="68"/>
      <c r="IW32" s="68"/>
      <c r="IX32" s="68"/>
      <c r="IY32" s="68"/>
      <c r="IZ32" s="68"/>
      <c r="JA32" s="68"/>
      <c r="JB32" s="68"/>
      <c r="JC32" s="68"/>
      <c r="JD32" s="68"/>
      <c r="JE32" s="68"/>
      <c r="JF32" s="68"/>
      <c r="JG32" s="68"/>
      <c r="JH32" s="68"/>
      <c r="JI32" s="68"/>
      <c r="JJ32" s="68"/>
      <c r="JK32" s="68"/>
      <c r="JL32" s="68"/>
      <c r="JM32" s="68"/>
      <c r="JN32" s="68"/>
      <c r="JO32" s="68"/>
      <c r="JP32" s="68"/>
      <c r="JQ32" s="68"/>
      <c r="JR32" s="68"/>
      <c r="JS32" s="68"/>
      <c r="JT32" s="68"/>
      <c r="JU32" s="68"/>
      <c r="JV32" s="68"/>
      <c r="JW32" s="68"/>
      <c r="JX32" s="68"/>
      <c r="JY32" s="68"/>
      <c r="JZ32" s="68"/>
      <c r="KA32" s="68"/>
      <c r="KB32" s="68"/>
      <c r="KC32" s="68"/>
      <c r="KD32" s="68"/>
      <c r="KE32" s="68"/>
      <c r="KF32" s="68"/>
      <c r="KG32" s="68"/>
      <c r="KH32" s="68"/>
      <c r="KI32" s="68"/>
      <c r="KJ32" s="68"/>
      <c r="KK32" s="68"/>
      <c r="KL32" s="68"/>
      <c r="KM32" s="68"/>
      <c r="KN32" s="68"/>
      <c r="KO32" s="68"/>
      <c r="KP32" s="68"/>
      <c r="KQ32" s="68"/>
      <c r="KR32" s="68"/>
      <c r="KS32" s="68"/>
      <c r="KT32" s="68"/>
      <c r="KU32" s="68"/>
      <c r="KV32" s="68"/>
      <c r="KW32" s="68"/>
      <c r="KX32" s="68"/>
      <c r="KY32" s="68"/>
      <c r="KZ32" s="68"/>
      <c r="LA32" s="68"/>
      <c r="LB32" s="68"/>
      <c r="LC32" s="68"/>
      <c r="LD32" s="68"/>
      <c r="LE32" s="68"/>
      <c r="LF32" s="68"/>
      <c r="LG32" s="68"/>
      <c r="LH32" s="68"/>
      <c r="LI32" s="68"/>
      <c r="LJ32" s="68"/>
      <c r="LK32" s="68"/>
      <c r="LL32" s="68"/>
      <c r="LM32" s="68"/>
      <c r="LN32" s="68"/>
      <c r="LO32" s="68"/>
      <c r="LP32" s="68"/>
      <c r="LQ32" s="68"/>
      <c r="LR32" s="68"/>
      <c r="LS32" s="68"/>
      <c r="LT32" s="68"/>
      <c r="LU32" s="68"/>
      <c r="LV32" s="68"/>
      <c r="LW32" s="68"/>
      <c r="LX32" s="68"/>
      <c r="LY32" s="68"/>
      <c r="LZ32" s="68"/>
      <c r="MA32" s="68"/>
      <c r="MB32" s="68"/>
      <c r="MC32" s="68"/>
      <c r="MD32" s="68"/>
      <c r="ME32" s="68"/>
      <c r="MF32" s="68"/>
      <c r="MG32" s="68"/>
      <c r="MH32" s="68"/>
      <c r="MI32" s="68"/>
      <c r="MJ32" s="68"/>
      <c r="MK32" s="68"/>
      <c r="ML32" s="68"/>
      <c r="MM32" s="68"/>
      <c r="MN32" s="68"/>
      <c r="MO32" s="68"/>
      <c r="MP32" s="68"/>
      <c r="MQ32" s="68"/>
      <c r="MR32" s="68"/>
      <c r="MS32" s="68"/>
      <c r="MT32" s="68"/>
      <c r="MU32" s="68"/>
      <c r="MV32" s="68"/>
      <c r="MW32" s="68"/>
      <c r="MX32" s="68"/>
      <c r="MY32" s="68"/>
      <c r="MZ32" s="68"/>
      <c r="NA32" s="68"/>
      <c r="NB32" s="68"/>
      <c r="NC32" s="68"/>
      <c r="ND32" s="68"/>
      <c r="NE32" s="68"/>
      <c r="NF32" s="68"/>
      <c r="NG32" s="68"/>
      <c r="NH32" s="68"/>
      <c r="NI32" s="68"/>
      <c r="NJ32" s="68"/>
      <c r="NK32" s="68"/>
      <c r="NL32" s="68"/>
      <c r="NM32" s="68"/>
      <c r="NN32" s="68"/>
      <c r="NO32" s="68"/>
      <c r="NP32" s="68"/>
      <c r="NQ32" s="68"/>
      <c r="NR32" s="68"/>
      <c r="NS32" s="68"/>
      <c r="NT32" s="68"/>
      <c r="NU32" s="68"/>
      <c r="NV32" s="68"/>
      <c r="NW32" s="68"/>
      <c r="NX32" s="68"/>
      <c r="NY32" s="68"/>
      <c r="NZ32" s="68"/>
      <c r="OA32" s="68"/>
      <c r="OB32" s="68"/>
      <c r="OC32" s="68"/>
      <c r="OD32" s="68"/>
      <c r="OE32" s="68"/>
      <c r="OF32" s="68"/>
      <c r="OG32" s="68"/>
      <c r="OH32" s="68"/>
      <c r="OI32" s="68"/>
      <c r="OJ32" s="69"/>
    </row>
    <row r="33" spans="1:400" ht="19.95" customHeight="1" x14ac:dyDescent="0.3">
      <c r="A33" s="1763"/>
      <c r="B33" s="1764"/>
      <c r="C33" s="1764"/>
      <c r="D33" s="1764"/>
      <c r="E33" s="1764"/>
      <c r="F33" s="1764"/>
      <c r="G33" s="1764"/>
      <c r="H33" s="1764"/>
      <c r="I33" s="1764"/>
      <c r="J33" s="1764"/>
      <c r="K33" s="1764"/>
      <c r="L33" s="1764"/>
      <c r="M33" s="1764"/>
      <c r="N33" s="1764"/>
      <c r="O33" s="1764"/>
      <c r="P33" s="1764"/>
      <c r="Q33" s="1764"/>
      <c r="R33" s="1765"/>
      <c r="S33" s="151"/>
      <c r="T33" s="151"/>
      <c r="U33" s="151"/>
      <c r="V33" s="151"/>
      <c r="W33" s="151"/>
      <c r="X33" s="151"/>
      <c r="Y33" s="151"/>
      <c r="Z33" s="151"/>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4"/>
      <c r="BV33" s="74"/>
      <c r="BW33" s="74"/>
      <c r="BX33" s="74"/>
      <c r="BY33" s="74"/>
      <c r="BZ33" s="74"/>
      <c r="CA33" s="74"/>
      <c r="CB33" s="74"/>
      <c r="CC33" s="74"/>
      <c r="CD33" s="74"/>
      <c r="CE33" s="74"/>
      <c r="CF33" s="74"/>
      <c r="CG33" s="74"/>
      <c r="CH33" s="74"/>
      <c r="CI33" s="74"/>
      <c r="CJ33" s="74"/>
      <c r="CK33" s="74"/>
      <c r="CL33" s="74"/>
      <c r="CM33" s="74"/>
      <c r="CN33" s="74"/>
      <c r="CO33" s="74"/>
      <c r="CP33" s="74"/>
      <c r="CQ33" s="74"/>
      <c r="CR33" s="74"/>
      <c r="CS33" s="74"/>
      <c r="CT33" s="74"/>
      <c r="CU33" s="74"/>
      <c r="CV33" s="74"/>
      <c r="CW33" s="74"/>
      <c r="CX33" s="74"/>
      <c r="CY33" s="74"/>
      <c r="CZ33" s="74"/>
      <c r="DA33" s="74"/>
      <c r="DB33" s="74"/>
      <c r="DC33" s="74"/>
      <c r="DD33" s="74"/>
      <c r="DE33" s="74"/>
      <c r="DF33" s="74"/>
      <c r="DG33" s="74"/>
      <c r="DH33" s="74"/>
      <c r="DI33" s="74"/>
      <c r="DJ33" s="74"/>
      <c r="DK33" s="74"/>
      <c r="DL33" s="74"/>
      <c r="DM33" s="74"/>
      <c r="DN33" s="74"/>
      <c r="DO33" s="74"/>
      <c r="DP33" s="74"/>
      <c r="DQ33" s="74"/>
      <c r="DR33" s="74"/>
      <c r="DS33" s="74"/>
      <c r="DT33" s="74"/>
      <c r="DU33" s="74"/>
      <c r="DV33" s="74"/>
      <c r="DW33" s="74"/>
      <c r="DX33" s="74"/>
      <c r="DY33" s="74"/>
      <c r="DZ33" s="74"/>
      <c r="EA33" s="74"/>
      <c r="EB33" s="74"/>
      <c r="EC33" s="74"/>
      <c r="ED33" s="74"/>
      <c r="EE33" s="74"/>
      <c r="EF33" s="74"/>
      <c r="EG33" s="74"/>
      <c r="EH33" s="74"/>
      <c r="EI33" s="74"/>
      <c r="EJ33" s="74"/>
      <c r="EK33" s="74"/>
      <c r="EL33" s="74"/>
      <c r="EM33" s="74"/>
      <c r="EN33" s="74"/>
      <c r="EO33" s="74"/>
      <c r="EP33" s="74"/>
      <c r="EQ33" s="74"/>
      <c r="ER33" s="74"/>
      <c r="ES33" s="74"/>
      <c r="ET33" s="74"/>
      <c r="EU33" s="74"/>
      <c r="EV33" s="74"/>
      <c r="EW33" s="74"/>
      <c r="EX33" s="74"/>
      <c r="EY33" s="74"/>
      <c r="EZ33" s="74"/>
      <c r="FA33" s="74"/>
      <c r="FB33" s="74"/>
      <c r="FC33" s="74"/>
      <c r="FD33" s="74"/>
      <c r="FE33" s="74"/>
      <c r="FF33" s="74"/>
      <c r="FG33" s="74"/>
      <c r="FH33" s="74"/>
      <c r="FI33" s="74"/>
      <c r="FJ33" s="74"/>
      <c r="FK33" s="74"/>
      <c r="FL33" s="74"/>
      <c r="FM33" s="74"/>
      <c r="FN33" s="74"/>
      <c r="FO33" s="74"/>
      <c r="FP33" s="74"/>
      <c r="FQ33" s="74"/>
      <c r="FR33" s="74"/>
      <c r="FS33" s="74"/>
      <c r="FT33" s="74"/>
      <c r="FU33" s="74"/>
      <c r="FV33" s="74"/>
      <c r="FW33" s="74"/>
      <c r="FX33" s="74"/>
      <c r="FY33" s="74"/>
      <c r="FZ33" s="74"/>
      <c r="GA33" s="74"/>
      <c r="GB33" s="74"/>
      <c r="GC33" s="74"/>
      <c r="GD33" s="74"/>
      <c r="GE33" s="74"/>
      <c r="GF33" s="74"/>
      <c r="GG33" s="74"/>
      <c r="GH33" s="74"/>
      <c r="GI33" s="74"/>
      <c r="GJ33" s="74"/>
      <c r="GK33" s="74"/>
      <c r="GL33" s="74"/>
      <c r="GM33" s="74"/>
      <c r="GN33" s="74"/>
      <c r="GO33" s="74"/>
      <c r="GP33" s="74"/>
      <c r="GQ33" s="74"/>
      <c r="GR33" s="74"/>
      <c r="GS33" s="74"/>
      <c r="GT33" s="74"/>
      <c r="GU33" s="74"/>
      <c r="GV33" s="74"/>
      <c r="GW33" s="74"/>
      <c r="GX33" s="74"/>
      <c r="GY33" s="74"/>
      <c r="GZ33" s="74"/>
      <c r="HA33" s="74"/>
      <c r="HB33" s="74"/>
      <c r="HC33" s="74"/>
      <c r="HD33" s="74"/>
      <c r="HE33" s="74"/>
      <c r="HF33" s="74"/>
      <c r="HG33" s="74"/>
      <c r="HH33" s="74"/>
      <c r="HI33" s="74"/>
      <c r="HJ33" s="74"/>
      <c r="HK33" s="74"/>
      <c r="HL33" s="74"/>
      <c r="HM33" s="74"/>
      <c r="HN33" s="74"/>
      <c r="HO33" s="74"/>
      <c r="HP33" s="74"/>
      <c r="HQ33" s="74"/>
      <c r="HR33" s="74"/>
      <c r="HS33" s="74"/>
      <c r="HT33" s="74"/>
      <c r="HU33" s="74"/>
      <c r="HV33" s="74"/>
      <c r="HW33" s="74"/>
      <c r="HX33" s="74"/>
      <c r="HY33" s="74"/>
      <c r="HZ33" s="74"/>
      <c r="IA33" s="74"/>
      <c r="IB33" s="74"/>
      <c r="IC33" s="74"/>
      <c r="ID33" s="74"/>
      <c r="IE33" s="74"/>
      <c r="IF33" s="74"/>
      <c r="IG33" s="74"/>
      <c r="IH33" s="74"/>
      <c r="II33" s="74"/>
      <c r="IJ33" s="74"/>
      <c r="IK33" s="74"/>
      <c r="IL33" s="74"/>
      <c r="IM33" s="74"/>
      <c r="IN33" s="74"/>
      <c r="IO33" s="74"/>
      <c r="IP33" s="74"/>
      <c r="IQ33" s="74"/>
      <c r="IR33" s="74"/>
      <c r="IS33" s="74"/>
      <c r="IT33" s="74"/>
      <c r="IU33" s="74"/>
      <c r="IV33" s="74"/>
      <c r="IW33" s="74"/>
      <c r="IX33" s="74"/>
      <c r="IY33" s="74"/>
      <c r="IZ33" s="74"/>
      <c r="JA33" s="74"/>
      <c r="JB33" s="74"/>
      <c r="JC33" s="74"/>
      <c r="JD33" s="74"/>
      <c r="JE33" s="74"/>
      <c r="JF33" s="74"/>
      <c r="JG33" s="74"/>
      <c r="JH33" s="74"/>
      <c r="JI33" s="74"/>
      <c r="JJ33" s="74"/>
      <c r="JK33" s="74"/>
      <c r="JL33" s="74"/>
      <c r="JM33" s="74"/>
      <c r="JN33" s="74"/>
      <c r="JO33" s="74"/>
      <c r="JP33" s="74"/>
      <c r="JQ33" s="74"/>
      <c r="JR33" s="74"/>
      <c r="JS33" s="74"/>
      <c r="JT33" s="74"/>
      <c r="JU33" s="74"/>
      <c r="JV33" s="74"/>
      <c r="JW33" s="74"/>
      <c r="JX33" s="74"/>
      <c r="JY33" s="74"/>
      <c r="JZ33" s="74"/>
      <c r="KA33" s="74"/>
      <c r="KB33" s="74"/>
      <c r="KC33" s="74"/>
      <c r="KD33" s="74"/>
      <c r="KE33" s="74"/>
      <c r="KF33" s="74"/>
      <c r="KG33" s="74"/>
      <c r="KH33" s="74"/>
      <c r="KI33" s="74"/>
      <c r="KJ33" s="74"/>
      <c r="KK33" s="74"/>
      <c r="KL33" s="74"/>
      <c r="KM33" s="74"/>
      <c r="KN33" s="74"/>
      <c r="KO33" s="74"/>
      <c r="KP33" s="74"/>
      <c r="KQ33" s="74"/>
      <c r="KR33" s="74"/>
      <c r="KS33" s="74"/>
      <c r="KT33" s="74"/>
      <c r="KU33" s="74"/>
      <c r="KV33" s="74"/>
      <c r="KW33" s="74"/>
      <c r="KX33" s="74"/>
      <c r="KY33" s="74"/>
      <c r="KZ33" s="74"/>
      <c r="LA33" s="74"/>
      <c r="LB33" s="74"/>
      <c r="LC33" s="74"/>
      <c r="LD33" s="74"/>
      <c r="LE33" s="74"/>
      <c r="LF33" s="74"/>
      <c r="LG33" s="74"/>
      <c r="LH33" s="74"/>
      <c r="LI33" s="74"/>
      <c r="LJ33" s="74"/>
      <c r="LK33" s="74"/>
      <c r="LL33" s="74"/>
      <c r="LM33" s="74"/>
      <c r="LN33" s="74"/>
      <c r="LO33" s="74"/>
      <c r="LP33" s="74"/>
      <c r="LQ33" s="74"/>
      <c r="LR33" s="74"/>
      <c r="LS33" s="74"/>
      <c r="LT33" s="74"/>
      <c r="LU33" s="74"/>
      <c r="LV33" s="74"/>
      <c r="LW33" s="74"/>
      <c r="LX33" s="74"/>
      <c r="LY33" s="74"/>
      <c r="LZ33" s="74"/>
      <c r="MA33" s="74"/>
      <c r="MB33" s="74"/>
      <c r="MC33" s="74"/>
      <c r="MD33" s="74"/>
      <c r="ME33" s="74"/>
      <c r="MF33" s="74"/>
      <c r="MG33" s="74"/>
      <c r="MH33" s="74"/>
      <c r="MI33" s="74"/>
      <c r="MJ33" s="74"/>
      <c r="MK33" s="74"/>
      <c r="ML33" s="74"/>
      <c r="MM33" s="74"/>
      <c r="MN33" s="74"/>
      <c r="MO33" s="74"/>
      <c r="MP33" s="74"/>
      <c r="MQ33" s="74"/>
      <c r="MR33" s="74"/>
      <c r="MS33" s="74"/>
      <c r="MT33" s="74"/>
      <c r="MU33" s="74"/>
      <c r="MV33" s="74"/>
      <c r="MW33" s="74"/>
      <c r="MX33" s="74"/>
      <c r="MY33" s="74"/>
      <c r="MZ33" s="74"/>
      <c r="NA33" s="74"/>
      <c r="NB33" s="74"/>
      <c r="NC33" s="74"/>
      <c r="ND33" s="74"/>
      <c r="NE33" s="74"/>
      <c r="NF33" s="74"/>
      <c r="NG33" s="74"/>
      <c r="NH33" s="74"/>
      <c r="NI33" s="74"/>
      <c r="NJ33" s="74"/>
      <c r="NK33" s="74"/>
      <c r="NL33" s="74"/>
      <c r="NM33" s="74"/>
      <c r="NN33" s="74"/>
      <c r="NO33" s="74"/>
      <c r="NP33" s="74"/>
      <c r="NQ33" s="74"/>
      <c r="NR33" s="74"/>
      <c r="NS33" s="74"/>
      <c r="NT33" s="74"/>
      <c r="NU33" s="74"/>
      <c r="NV33" s="74"/>
      <c r="NW33" s="74"/>
      <c r="NX33" s="74"/>
      <c r="NY33" s="74"/>
      <c r="NZ33" s="74"/>
      <c r="OA33" s="74"/>
      <c r="OB33" s="74"/>
      <c r="OC33" s="74"/>
      <c r="OD33" s="74"/>
      <c r="OE33" s="74"/>
      <c r="OF33" s="74"/>
      <c r="OG33" s="74"/>
      <c r="OH33" s="74"/>
      <c r="OI33" s="74"/>
      <c r="OJ33" s="75"/>
    </row>
    <row r="34" spans="1:400" s="29" customFormat="1" ht="25.95" customHeight="1" x14ac:dyDescent="0.3">
      <c r="A34" s="1936" t="s">
        <v>1199</v>
      </c>
      <c r="B34" s="1758"/>
      <c r="C34" s="1758"/>
      <c r="D34" s="1758"/>
      <c r="E34" s="1758"/>
      <c r="F34" s="1758"/>
      <c r="G34" s="1758"/>
      <c r="H34" s="1758"/>
      <c r="I34" s="1758"/>
      <c r="J34" s="1758"/>
      <c r="K34" s="1758"/>
      <c r="L34" s="1758"/>
      <c r="M34" s="1758"/>
      <c r="N34" s="1758"/>
      <c r="O34" s="1758"/>
      <c r="P34" s="1758"/>
      <c r="Q34" s="1758"/>
      <c r="R34" s="1758"/>
      <c r="S34" s="1759"/>
      <c r="T34" s="1760"/>
      <c r="U34" s="193"/>
      <c r="V34" s="193"/>
      <c r="W34" s="193"/>
      <c r="X34" s="193"/>
      <c r="Y34" s="193"/>
      <c r="Z34" s="193"/>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6"/>
      <c r="AZ34" s="76"/>
      <c r="BA34" s="76"/>
      <c r="BB34" s="76"/>
      <c r="BC34" s="76"/>
      <c r="BD34" s="76"/>
      <c r="BE34" s="76"/>
      <c r="BF34" s="76"/>
      <c r="BG34" s="76"/>
      <c r="BH34" s="76"/>
      <c r="BI34" s="76"/>
      <c r="BJ34" s="76"/>
      <c r="BK34" s="76"/>
      <c r="BL34" s="76"/>
      <c r="BM34" s="76"/>
      <c r="BN34" s="76"/>
      <c r="BO34" s="76"/>
      <c r="BP34" s="76"/>
      <c r="BQ34" s="76"/>
      <c r="BR34" s="76"/>
      <c r="BS34" s="76"/>
      <c r="BT34" s="76"/>
      <c r="BU34" s="76"/>
      <c r="BV34" s="76"/>
      <c r="BW34" s="76"/>
      <c r="BX34" s="76"/>
      <c r="BY34" s="76"/>
      <c r="BZ34" s="76"/>
      <c r="CA34" s="76"/>
      <c r="CB34" s="76"/>
      <c r="CC34" s="76"/>
      <c r="CD34" s="76"/>
      <c r="CE34" s="76"/>
      <c r="CF34" s="76"/>
      <c r="CG34" s="76"/>
      <c r="CH34" s="76"/>
      <c r="CI34" s="76"/>
      <c r="CJ34" s="76"/>
      <c r="CK34" s="76"/>
      <c r="CL34" s="76"/>
      <c r="CM34" s="76"/>
      <c r="CN34" s="76"/>
      <c r="CO34" s="76"/>
      <c r="CP34" s="76"/>
      <c r="CQ34" s="76"/>
      <c r="CR34" s="76"/>
      <c r="CS34" s="76"/>
      <c r="CT34" s="76"/>
      <c r="CU34" s="76"/>
      <c r="CV34" s="76"/>
      <c r="CW34" s="76"/>
      <c r="CX34" s="76"/>
      <c r="CY34" s="76"/>
      <c r="CZ34" s="76"/>
      <c r="DA34" s="76"/>
      <c r="DB34" s="76"/>
      <c r="DC34" s="76"/>
      <c r="DD34" s="76"/>
      <c r="DE34" s="76"/>
      <c r="DF34" s="76"/>
      <c r="DG34" s="76"/>
      <c r="DH34" s="76"/>
      <c r="DI34" s="76"/>
      <c r="DJ34" s="76"/>
      <c r="DK34" s="76"/>
      <c r="DL34" s="76"/>
      <c r="DM34" s="76"/>
      <c r="DN34" s="76"/>
      <c r="DO34" s="76"/>
      <c r="DP34" s="76"/>
      <c r="DQ34" s="76"/>
      <c r="DR34" s="76"/>
      <c r="DS34" s="76"/>
      <c r="DT34" s="76"/>
      <c r="DU34" s="76"/>
      <c r="DV34" s="76"/>
      <c r="DW34" s="76"/>
      <c r="DX34" s="76"/>
      <c r="DY34" s="76"/>
      <c r="DZ34" s="76"/>
      <c r="EA34" s="76"/>
      <c r="EB34" s="76"/>
      <c r="EC34" s="76"/>
      <c r="ED34" s="76"/>
      <c r="EE34" s="76"/>
      <c r="EF34" s="76"/>
      <c r="EG34" s="76"/>
      <c r="EH34" s="76"/>
      <c r="EI34" s="76"/>
      <c r="EJ34" s="76"/>
      <c r="EK34" s="76"/>
      <c r="EL34" s="76"/>
      <c r="EM34" s="76"/>
      <c r="EN34" s="76"/>
      <c r="EO34" s="76"/>
      <c r="EP34" s="76"/>
      <c r="EQ34" s="76"/>
      <c r="ER34" s="76"/>
      <c r="ES34" s="76"/>
      <c r="ET34" s="76"/>
      <c r="EU34" s="76"/>
      <c r="EV34" s="76"/>
      <c r="EW34" s="76"/>
      <c r="EX34" s="76"/>
      <c r="EY34" s="76"/>
      <c r="EZ34" s="76"/>
      <c r="FA34" s="76"/>
      <c r="FB34" s="76"/>
      <c r="FC34" s="76"/>
      <c r="FD34" s="76"/>
      <c r="FE34" s="76"/>
      <c r="FF34" s="76"/>
      <c r="FG34" s="76"/>
      <c r="FH34" s="76"/>
      <c r="FI34" s="76"/>
      <c r="FJ34" s="76"/>
      <c r="FK34" s="76"/>
      <c r="FL34" s="76"/>
      <c r="FM34" s="76"/>
      <c r="FN34" s="76"/>
      <c r="FO34" s="76"/>
      <c r="FP34" s="76"/>
      <c r="FQ34" s="76"/>
      <c r="FR34" s="76"/>
      <c r="FS34" s="76"/>
      <c r="FT34" s="76"/>
      <c r="FU34" s="76"/>
      <c r="FV34" s="76"/>
      <c r="FW34" s="76"/>
      <c r="FX34" s="76"/>
      <c r="FY34" s="76"/>
      <c r="FZ34" s="76"/>
      <c r="GA34" s="76"/>
      <c r="GB34" s="76"/>
      <c r="GC34" s="76"/>
      <c r="GD34" s="76"/>
      <c r="GE34" s="76"/>
      <c r="GF34" s="76"/>
      <c r="GG34" s="76"/>
      <c r="GH34" s="76"/>
      <c r="GI34" s="76"/>
      <c r="GJ34" s="76"/>
      <c r="GK34" s="76"/>
      <c r="GL34" s="76"/>
      <c r="GM34" s="76"/>
      <c r="GN34" s="76"/>
      <c r="GO34" s="76"/>
      <c r="GP34" s="76"/>
      <c r="GQ34" s="76"/>
      <c r="GR34" s="76"/>
      <c r="GS34" s="76"/>
      <c r="GT34" s="76"/>
      <c r="GU34" s="76"/>
      <c r="GV34" s="76"/>
      <c r="GW34" s="76"/>
      <c r="GX34" s="76"/>
      <c r="GY34" s="76"/>
      <c r="GZ34" s="76"/>
      <c r="HA34" s="76"/>
      <c r="HB34" s="76"/>
      <c r="HC34" s="76"/>
      <c r="HD34" s="76"/>
      <c r="HE34" s="76"/>
      <c r="HF34" s="76"/>
      <c r="HG34" s="76"/>
      <c r="HH34" s="76"/>
      <c r="HI34" s="76"/>
      <c r="HJ34" s="76"/>
      <c r="HK34" s="76"/>
      <c r="HL34" s="76"/>
      <c r="HM34" s="76"/>
      <c r="HN34" s="76"/>
      <c r="HO34" s="76"/>
      <c r="HP34" s="76"/>
      <c r="HQ34" s="76"/>
      <c r="HR34" s="76"/>
      <c r="HS34" s="76"/>
      <c r="HT34" s="76"/>
      <c r="HU34" s="76"/>
      <c r="HV34" s="76"/>
      <c r="HW34" s="76"/>
      <c r="HX34" s="76"/>
      <c r="HY34" s="76"/>
      <c r="HZ34" s="76"/>
      <c r="IA34" s="76"/>
      <c r="IB34" s="76"/>
      <c r="IC34" s="76"/>
      <c r="ID34" s="76"/>
      <c r="IE34" s="76"/>
      <c r="IF34" s="76"/>
      <c r="IG34" s="76"/>
      <c r="IH34" s="76"/>
      <c r="II34" s="76"/>
      <c r="IJ34" s="76"/>
      <c r="IK34" s="76"/>
      <c r="IL34" s="76"/>
      <c r="IM34" s="76"/>
      <c r="IN34" s="76"/>
      <c r="IO34" s="76"/>
      <c r="IP34" s="76"/>
      <c r="IQ34" s="76"/>
      <c r="IR34" s="76"/>
      <c r="IS34" s="76"/>
      <c r="IT34" s="76"/>
      <c r="IU34" s="76"/>
      <c r="IV34" s="76"/>
      <c r="IW34" s="76"/>
      <c r="IX34" s="76"/>
      <c r="IY34" s="76"/>
      <c r="IZ34" s="76"/>
      <c r="JA34" s="76"/>
      <c r="JB34" s="76"/>
      <c r="JC34" s="76"/>
      <c r="JD34" s="76"/>
      <c r="JE34" s="76"/>
      <c r="JF34" s="76"/>
      <c r="JG34" s="76"/>
      <c r="JH34" s="76"/>
      <c r="JI34" s="76"/>
      <c r="JJ34" s="76"/>
      <c r="JK34" s="76"/>
      <c r="JL34" s="76"/>
      <c r="JM34" s="76"/>
      <c r="JN34" s="76"/>
      <c r="JO34" s="76"/>
      <c r="JP34" s="76"/>
      <c r="JQ34" s="76"/>
      <c r="JR34" s="76"/>
      <c r="JS34" s="76"/>
      <c r="JT34" s="76"/>
      <c r="JU34" s="76"/>
      <c r="JV34" s="76"/>
      <c r="JW34" s="76"/>
      <c r="JX34" s="76"/>
      <c r="JY34" s="76"/>
      <c r="JZ34" s="76"/>
      <c r="KA34" s="76"/>
      <c r="KB34" s="76"/>
      <c r="KC34" s="76"/>
      <c r="KD34" s="76"/>
      <c r="KE34" s="76"/>
      <c r="KF34" s="76"/>
      <c r="KG34" s="76"/>
      <c r="KH34" s="76"/>
      <c r="KI34" s="76"/>
      <c r="KJ34" s="76"/>
      <c r="KK34" s="76"/>
      <c r="KL34" s="76"/>
      <c r="KM34" s="76"/>
      <c r="KN34" s="76"/>
      <c r="KO34" s="76"/>
      <c r="KP34" s="76"/>
      <c r="KQ34" s="76"/>
      <c r="KR34" s="76"/>
      <c r="KS34" s="76"/>
      <c r="KT34" s="76"/>
      <c r="KU34" s="76"/>
      <c r="KV34" s="76"/>
      <c r="KW34" s="76"/>
      <c r="KX34" s="76"/>
      <c r="KY34" s="76"/>
      <c r="KZ34" s="76"/>
      <c r="LA34" s="76"/>
      <c r="LB34" s="76"/>
      <c r="LC34" s="76"/>
      <c r="LD34" s="76"/>
      <c r="LE34" s="76"/>
      <c r="LF34" s="76"/>
      <c r="LG34" s="76"/>
      <c r="LH34" s="76"/>
      <c r="LI34" s="76"/>
      <c r="LJ34" s="76"/>
      <c r="LK34" s="76"/>
      <c r="LL34" s="76"/>
      <c r="LM34" s="76"/>
      <c r="LN34" s="76"/>
      <c r="LO34" s="76"/>
      <c r="LP34" s="76"/>
      <c r="LQ34" s="76"/>
      <c r="LR34" s="76"/>
      <c r="LS34" s="76"/>
      <c r="LT34" s="76"/>
      <c r="LU34" s="76"/>
      <c r="LV34" s="76"/>
      <c r="LW34" s="76"/>
      <c r="LX34" s="76"/>
      <c r="LY34" s="76"/>
      <c r="LZ34" s="76"/>
      <c r="MA34" s="76"/>
      <c r="MB34" s="76"/>
      <c r="MC34" s="76"/>
      <c r="MD34" s="76"/>
      <c r="ME34" s="76"/>
      <c r="MF34" s="76"/>
      <c r="MG34" s="76"/>
      <c r="MH34" s="76"/>
      <c r="MI34" s="76"/>
      <c r="MJ34" s="76"/>
      <c r="MK34" s="76"/>
      <c r="ML34" s="76"/>
      <c r="MM34" s="76"/>
      <c r="MN34" s="76"/>
      <c r="MO34" s="76"/>
      <c r="MP34" s="76"/>
      <c r="MQ34" s="76"/>
      <c r="MR34" s="76"/>
      <c r="MS34" s="76"/>
      <c r="MT34" s="76"/>
      <c r="MU34" s="76"/>
      <c r="MV34" s="76"/>
      <c r="MW34" s="76"/>
      <c r="MX34" s="76"/>
      <c r="MY34" s="76"/>
      <c r="MZ34" s="76"/>
      <c r="NA34" s="76"/>
      <c r="NB34" s="76"/>
      <c r="NC34" s="76"/>
      <c r="ND34" s="76"/>
      <c r="NE34" s="76"/>
      <c r="NF34" s="76"/>
      <c r="NG34" s="76"/>
      <c r="NH34" s="76"/>
      <c r="NI34" s="76"/>
      <c r="NJ34" s="76"/>
      <c r="NK34" s="76"/>
      <c r="NL34" s="76"/>
      <c r="NM34" s="76"/>
      <c r="NN34" s="76"/>
      <c r="NO34" s="76"/>
      <c r="NP34" s="76"/>
      <c r="NQ34" s="76"/>
      <c r="NR34" s="76"/>
      <c r="NS34" s="76"/>
      <c r="NT34" s="76"/>
      <c r="NU34" s="76"/>
      <c r="NV34" s="76"/>
      <c r="NW34" s="76"/>
      <c r="NX34" s="76"/>
      <c r="NY34" s="76"/>
      <c r="NZ34" s="76"/>
      <c r="OA34" s="76"/>
      <c r="OB34" s="76"/>
      <c r="OC34" s="76"/>
      <c r="OD34" s="76"/>
      <c r="OE34" s="76"/>
      <c r="OF34" s="76"/>
      <c r="OG34" s="76"/>
      <c r="OH34" s="76"/>
      <c r="OI34" s="76"/>
      <c r="OJ34" s="77"/>
    </row>
    <row r="35" spans="1:400" ht="45" customHeight="1" x14ac:dyDescent="0.3">
      <c r="A35" s="1523" t="s">
        <v>1200</v>
      </c>
      <c r="B35" s="1766" t="s">
        <v>1201</v>
      </c>
      <c r="C35" s="1767"/>
      <c r="D35" s="1767"/>
      <c r="E35" s="1767"/>
      <c r="F35" s="1767"/>
      <c r="G35" s="1767"/>
      <c r="H35" s="1767"/>
      <c r="I35" s="1767"/>
      <c r="J35" s="1767"/>
      <c r="K35" s="1767"/>
      <c r="L35" s="1767"/>
      <c r="M35" s="1767"/>
      <c r="N35" s="1767"/>
      <c r="O35" s="1767"/>
      <c r="P35" s="1767"/>
      <c r="Q35" s="1767"/>
      <c r="R35" s="1768"/>
      <c r="S35" s="185"/>
      <c r="T35" s="185"/>
      <c r="U35" s="151"/>
      <c r="V35" s="151"/>
      <c r="W35" s="151"/>
      <c r="X35" s="151"/>
      <c r="Y35" s="151"/>
      <c r="Z35" s="151"/>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4"/>
      <c r="BF35" s="74"/>
      <c r="BG35" s="74"/>
      <c r="BH35" s="74"/>
      <c r="BI35" s="74"/>
      <c r="BJ35" s="74"/>
      <c r="BK35" s="74"/>
      <c r="BL35" s="74"/>
      <c r="BM35" s="74"/>
      <c r="BN35" s="74"/>
      <c r="BO35" s="74"/>
      <c r="BP35" s="74"/>
      <c r="BQ35" s="74"/>
      <c r="BR35" s="74"/>
      <c r="BS35" s="74"/>
      <c r="BT35" s="74"/>
      <c r="BU35" s="74"/>
      <c r="BV35" s="74"/>
      <c r="BW35" s="74"/>
      <c r="BX35" s="74"/>
      <c r="BY35" s="74"/>
      <c r="BZ35" s="74"/>
      <c r="CA35" s="74"/>
      <c r="CB35" s="74"/>
      <c r="CC35" s="74"/>
      <c r="CD35" s="74"/>
      <c r="CE35" s="74"/>
      <c r="CF35" s="74"/>
      <c r="CG35" s="74"/>
      <c r="CH35" s="74"/>
      <c r="CI35" s="74"/>
      <c r="CJ35" s="74"/>
      <c r="CK35" s="74"/>
      <c r="CL35" s="74"/>
      <c r="CM35" s="74"/>
      <c r="CN35" s="74"/>
      <c r="CO35" s="74"/>
      <c r="CP35" s="74"/>
      <c r="CQ35" s="74"/>
      <c r="CR35" s="74"/>
      <c r="CS35" s="74"/>
      <c r="CT35" s="74"/>
      <c r="CU35" s="74"/>
      <c r="CV35" s="74"/>
      <c r="CW35" s="74"/>
      <c r="CX35" s="74"/>
      <c r="CY35" s="74"/>
      <c r="CZ35" s="74"/>
      <c r="DA35" s="74"/>
      <c r="DB35" s="74"/>
      <c r="DC35" s="74"/>
      <c r="DD35" s="74"/>
      <c r="DE35" s="74"/>
      <c r="DF35" s="74"/>
      <c r="DG35" s="74"/>
      <c r="DH35" s="74"/>
      <c r="DI35" s="74"/>
      <c r="DJ35" s="74"/>
      <c r="DK35" s="74"/>
      <c r="DL35" s="74"/>
      <c r="DM35" s="74"/>
      <c r="DN35" s="74"/>
      <c r="DO35" s="74"/>
      <c r="DP35" s="74"/>
      <c r="DQ35" s="74"/>
      <c r="DR35" s="74"/>
      <c r="DS35" s="74"/>
      <c r="DT35" s="74"/>
      <c r="DU35" s="74"/>
      <c r="DV35" s="74"/>
      <c r="DW35" s="74"/>
      <c r="DX35" s="74"/>
      <c r="DY35" s="74"/>
      <c r="DZ35" s="74"/>
      <c r="EA35" s="74"/>
      <c r="EB35" s="74"/>
      <c r="EC35" s="74"/>
      <c r="ED35" s="74"/>
      <c r="EE35" s="74"/>
      <c r="EF35" s="74"/>
      <c r="EG35" s="74"/>
      <c r="EH35" s="74"/>
      <c r="EI35" s="74"/>
      <c r="EJ35" s="74"/>
      <c r="EK35" s="74"/>
      <c r="EL35" s="74"/>
      <c r="EM35" s="74"/>
      <c r="EN35" s="74"/>
      <c r="EO35" s="74"/>
      <c r="EP35" s="74"/>
      <c r="EQ35" s="74"/>
      <c r="ER35" s="74"/>
      <c r="ES35" s="74"/>
      <c r="ET35" s="74"/>
      <c r="EU35" s="74"/>
      <c r="EV35" s="74"/>
      <c r="EW35" s="74"/>
      <c r="EX35" s="74"/>
      <c r="EY35" s="74"/>
      <c r="EZ35" s="74"/>
      <c r="FA35" s="74"/>
      <c r="FB35" s="74"/>
      <c r="FC35" s="74"/>
      <c r="FD35" s="74"/>
      <c r="FE35" s="74"/>
      <c r="FF35" s="74"/>
      <c r="FG35" s="74"/>
      <c r="FH35" s="74"/>
      <c r="FI35" s="74"/>
      <c r="FJ35" s="74"/>
      <c r="FK35" s="74"/>
      <c r="FL35" s="74"/>
      <c r="FM35" s="74"/>
      <c r="FN35" s="74"/>
      <c r="FO35" s="74"/>
      <c r="FP35" s="74"/>
      <c r="FQ35" s="74"/>
      <c r="FR35" s="74"/>
      <c r="FS35" s="74"/>
      <c r="FT35" s="74"/>
      <c r="FU35" s="74"/>
      <c r="FV35" s="74"/>
      <c r="FW35" s="74"/>
      <c r="FX35" s="74"/>
      <c r="FY35" s="74"/>
      <c r="FZ35" s="74"/>
      <c r="GA35" s="74"/>
      <c r="GB35" s="74"/>
      <c r="GC35" s="74"/>
      <c r="GD35" s="74"/>
      <c r="GE35" s="74"/>
      <c r="GF35" s="74"/>
      <c r="GG35" s="74"/>
      <c r="GH35" s="74"/>
      <c r="GI35" s="74"/>
      <c r="GJ35" s="74"/>
      <c r="GK35" s="74"/>
      <c r="GL35" s="74"/>
      <c r="GM35" s="74"/>
      <c r="GN35" s="74"/>
      <c r="GO35" s="74"/>
      <c r="GP35" s="74"/>
      <c r="GQ35" s="74"/>
      <c r="GR35" s="74"/>
      <c r="GS35" s="74"/>
      <c r="GT35" s="74"/>
      <c r="GU35" s="74"/>
      <c r="GV35" s="74"/>
      <c r="GW35" s="74"/>
      <c r="GX35" s="74"/>
      <c r="GY35" s="74"/>
      <c r="GZ35" s="74"/>
      <c r="HA35" s="74"/>
      <c r="HB35" s="74"/>
      <c r="HC35" s="74"/>
      <c r="HD35" s="74"/>
      <c r="HE35" s="74"/>
      <c r="HF35" s="74"/>
      <c r="HG35" s="74"/>
      <c r="HH35" s="74"/>
      <c r="HI35" s="74"/>
      <c r="HJ35" s="74"/>
      <c r="HK35" s="74"/>
      <c r="HL35" s="74"/>
      <c r="HM35" s="74"/>
      <c r="HN35" s="74"/>
      <c r="HO35" s="74"/>
      <c r="HP35" s="74"/>
      <c r="HQ35" s="74"/>
      <c r="HR35" s="74"/>
      <c r="HS35" s="74"/>
      <c r="HT35" s="74"/>
      <c r="HU35" s="74"/>
      <c r="HV35" s="74"/>
      <c r="HW35" s="74"/>
      <c r="HX35" s="74"/>
      <c r="HY35" s="74"/>
      <c r="HZ35" s="74"/>
      <c r="IA35" s="74"/>
      <c r="IB35" s="74"/>
      <c r="IC35" s="74"/>
      <c r="ID35" s="74"/>
      <c r="IE35" s="74"/>
      <c r="IF35" s="74"/>
      <c r="IG35" s="74"/>
      <c r="IH35" s="74"/>
      <c r="II35" s="74"/>
      <c r="IJ35" s="74"/>
      <c r="IK35" s="74"/>
      <c r="IL35" s="74"/>
      <c r="IM35" s="74"/>
      <c r="IN35" s="74"/>
      <c r="IO35" s="74"/>
      <c r="IP35" s="74"/>
      <c r="IQ35" s="74"/>
      <c r="IR35" s="74"/>
      <c r="IS35" s="74"/>
      <c r="IT35" s="74"/>
      <c r="IU35" s="74"/>
      <c r="IV35" s="74"/>
      <c r="IW35" s="74"/>
      <c r="IX35" s="74"/>
      <c r="IY35" s="74"/>
      <c r="IZ35" s="74"/>
      <c r="JA35" s="74"/>
      <c r="JB35" s="74"/>
      <c r="JC35" s="74"/>
      <c r="JD35" s="74"/>
      <c r="JE35" s="74"/>
      <c r="JF35" s="74"/>
      <c r="JG35" s="74"/>
      <c r="JH35" s="74"/>
      <c r="JI35" s="74"/>
      <c r="JJ35" s="74"/>
      <c r="JK35" s="74"/>
      <c r="JL35" s="74"/>
      <c r="JM35" s="74"/>
      <c r="JN35" s="74"/>
      <c r="JO35" s="74"/>
      <c r="JP35" s="74"/>
      <c r="JQ35" s="74"/>
      <c r="JR35" s="74"/>
      <c r="JS35" s="74"/>
      <c r="JT35" s="74"/>
      <c r="JU35" s="74"/>
      <c r="JV35" s="74"/>
      <c r="JW35" s="74"/>
      <c r="JX35" s="74"/>
      <c r="JY35" s="74"/>
      <c r="JZ35" s="74"/>
      <c r="KA35" s="74"/>
      <c r="KB35" s="74"/>
      <c r="KC35" s="74"/>
      <c r="KD35" s="74"/>
      <c r="KE35" s="74"/>
      <c r="KF35" s="74"/>
      <c r="KG35" s="74"/>
      <c r="KH35" s="74"/>
      <c r="KI35" s="74"/>
      <c r="KJ35" s="74"/>
      <c r="KK35" s="74"/>
      <c r="KL35" s="74"/>
      <c r="KM35" s="74"/>
      <c r="KN35" s="74"/>
      <c r="KO35" s="74"/>
      <c r="KP35" s="74"/>
      <c r="KQ35" s="74"/>
      <c r="KR35" s="74"/>
      <c r="KS35" s="74"/>
      <c r="KT35" s="74"/>
      <c r="KU35" s="74"/>
      <c r="KV35" s="74"/>
      <c r="KW35" s="74"/>
      <c r="KX35" s="74"/>
      <c r="KY35" s="74"/>
      <c r="KZ35" s="74"/>
      <c r="LA35" s="74"/>
      <c r="LB35" s="74"/>
      <c r="LC35" s="74"/>
      <c r="LD35" s="74"/>
      <c r="LE35" s="74"/>
      <c r="LF35" s="74"/>
      <c r="LG35" s="74"/>
      <c r="LH35" s="74"/>
      <c r="LI35" s="74"/>
      <c r="LJ35" s="74"/>
      <c r="LK35" s="74"/>
      <c r="LL35" s="74"/>
      <c r="LM35" s="74"/>
      <c r="LN35" s="74"/>
      <c r="LO35" s="74"/>
      <c r="LP35" s="74"/>
      <c r="LQ35" s="74"/>
      <c r="LR35" s="74"/>
      <c r="LS35" s="74"/>
      <c r="LT35" s="74"/>
      <c r="LU35" s="74"/>
      <c r="LV35" s="74"/>
      <c r="LW35" s="74"/>
      <c r="LX35" s="74"/>
      <c r="LY35" s="74"/>
      <c r="LZ35" s="74"/>
      <c r="MA35" s="74"/>
      <c r="MB35" s="74"/>
      <c r="MC35" s="74"/>
      <c r="MD35" s="74"/>
      <c r="ME35" s="74"/>
      <c r="MF35" s="74"/>
      <c r="MG35" s="74"/>
      <c r="MH35" s="74"/>
      <c r="MI35" s="74"/>
      <c r="MJ35" s="74"/>
      <c r="MK35" s="74"/>
      <c r="ML35" s="74"/>
      <c r="MM35" s="74"/>
      <c r="MN35" s="74"/>
      <c r="MO35" s="74"/>
      <c r="MP35" s="74"/>
      <c r="MQ35" s="74"/>
      <c r="MR35" s="74"/>
      <c r="MS35" s="74"/>
      <c r="MT35" s="74"/>
      <c r="MU35" s="74"/>
      <c r="MV35" s="74"/>
      <c r="MW35" s="74"/>
      <c r="MX35" s="74"/>
      <c r="MY35" s="74"/>
      <c r="MZ35" s="74"/>
      <c r="NA35" s="74"/>
      <c r="NB35" s="74"/>
      <c r="NC35" s="74"/>
      <c r="ND35" s="74"/>
      <c r="NE35" s="74"/>
      <c r="NF35" s="74"/>
      <c r="NG35" s="74"/>
      <c r="NH35" s="74"/>
      <c r="NI35" s="74"/>
      <c r="NJ35" s="74"/>
      <c r="NK35" s="74"/>
      <c r="NL35" s="74"/>
      <c r="NM35" s="74"/>
      <c r="NN35" s="74"/>
      <c r="NO35" s="74"/>
      <c r="NP35" s="74"/>
      <c r="NQ35" s="74"/>
      <c r="NR35" s="74"/>
      <c r="NS35" s="74"/>
      <c r="NT35" s="74"/>
      <c r="NU35" s="74"/>
      <c r="NV35" s="74"/>
      <c r="NW35" s="74"/>
      <c r="NX35" s="74"/>
      <c r="NY35" s="74"/>
      <c r="NZ35" s="74"/>
      <c r="OA35" s="74"/>
      <c r="OB35" s="74"/>
      <c r="OC35" s="74"/>
      <c r="OD35" s="74"/>
      <c r="OE35" s="74"/>
      <c r="OF35" s="74"/>
      <c r="OG35" s="74"/>
      <c r="OH35" s="74"/>
      <c r="OI35" s="74"/>
      <c r="OJ35" s="75"/>
    </row>
    <row r="36" spans="1:400" ht="45" customHeight="1" x14ac:dyDescent="0.3">
      <c r="A36" s="499" t="s">
        <v>1202</v>
      </c>
      <c r="B36" s="1769" t="s">
        <v>1203</v>
      </c>
      <c r="C36" s="1770"/>
      <c r="D36" s="1770"/>
      <c r="E36" s="1770"/>
      <c r="F36" s="1770"/>
      <c r="G36" s="1770"/>
      <c r="H36" s="1770"/>
      <c r="I36" s="1770"/>
      <c r="J36" s="1770"/>
      <c r="K36" s="1770"/>
      <c r="L36" s="1770"/>
      <c r="M36" s="1770"/>
      <c r="N36" s="1770"/>
      <c r="O36" s="1770"/>
      <c r="P36" s="1770"/>
      <c r="Q36" s="1770"/>
      <c r="R36" s="1771"/>
      <c r="S36" s="195"/>
      <c r="T36" s="195"/>
      <c r="U36" s="192"/>
      <c r="V36" s="192"/>
      <c r="W36" s="192"/>
      <c r="X36" s="192"/>
      <c r="Y36" s="192"/>
      <c r="Z36" s="192"/>
      <c r="AA36" s="68"/>
      <c r="AB36" s="68"/>
      <c r="AC36" s="68"/>
      <c r="AD36" s="68"/>
      <c r="AE36" s="68"/>
      <c r="AF36" s="68"/>
      <c r="AG36" s="68"/>
      <c r="AH36" s="68"/>
      <c r="AI36" s="68"/>
      <c r="AJ36" s="68"/>
      <c r="AK36" s="68"/>
      <c r="AL36" s="68"/>
      <c r="AM36" s="68"/>
      <c r="AN36" s="68"/>
      <c r="AO36" s="68"/>
      <c r="AP36" s="68"/>
      <c r="AQ36" s="68"/>
      <c r="AR36" s="68"/>
      <c r="AS36" s="68"/>
      <c r="AT36" s="68"/>
      <c r="AU36" s="68"/>
      <c r="AV36" s="68"/>
      <c r="AW36" s="68"/>
      <c r="AX36" s="68"/>
      <c r="AY36" s="68"/>
      <c r="AZ36" s="68"/>
      <c r="BA36" s="68"/>
      <c r="BB36" s="68"/>
      <c r="BC36" s="68"/>
      <c r="BD36" s="68"/>
      <c r="BE36" s="68"/>
      <c r="BF36" s="68"/>
      <c r="BG36" s="68"/>
      <c r="BH36" s="68"/>
      <c r="BI36" s="68"/>
      <c r="BJ36" s="68"/>
      <c r="BK36" s="68"/>
      <c r="BL36" s="68"/>
      <c r="BM36" s="68"/>
      <c r="BN36" s="68"/>
      <c r="BO36" s="68"/>
      <c r="BP36" s="68"/>
      <c r="BQ36" s="68"/>
      <c r="BR36" s="68"/>
      <c r="BS36" s="68"/>
      <c r="BT36" s="68"/>
      <c r="BU36" s="68"/>
      <c r="BV36" s="68"/>
      <c r="BW36" s="68"/>
      <c r="BX36" s="68"/>
      <c r="BY36" s="68"/>
      <c r="BZ36" s="68"/>
      <c r="CA36" s="68"/>
      <c r="CB36" s="68"/>
      <c r="CC36" s="68"/>
      <c r="CD36" s="68"/>
      <c r="CE36" s="68"/>
      <c r="CF36" s="68"/>
      <c r="CG36" s="68"/>
      <c r="CH36" s="68"/>
      <c r="CI36" s="68"/>
      <c r="CJ36" s="68"/>
      <c r="CK36" s="68"/>
      <c r="CL36" s="68"/>
      <c r="CM36" s="68"/>
      <c r="CN36" s="68"/>
      <c r="CO36" s="68"/>
      <c r="CP36" s="68"/>
      <c r="CQ36" s="68"/>
      <c r="CR36" s="68"/>
      <c r="CS36" s="68"/>
      <c r="CT36" s="68"/>
      <c r="CU36" s="68"/>
      <c r="CV36" s="68"/>
      <c r="CW36" s="68"/>
      <c r="CX36" s="68"/>
      <c r="CY36" s="68"/>
      <c r="CZ36" s="68"/>
      <c r="DA36" s="68"/>
      <c r="DB36" s="68"/>
      <c r="DC36" s="68"/>
      <c r="DD36" s="68"/>
      <c r="DE36" s="68"/>
      <c r="DF36" s="68"/>
      <c r="DG36" s="68"/>
      <c r="DH36" s="68"/>
      <c r="DI36" s="68"/>
      <c r="DJ36" s="68"/>
      <c r="DK36" s="68"/>
      <c r="DL36" s="68"/>
      <c r="DM36" s="68"/>
      <c r="DN36" s="68"/>
      <c r="DO36" s="68"/>
      <c r="DP36" s="68"/>
      <c r="DQ36" s="68"/>
      <c r="DR36" s="68"/>
      <c r="DS36" s="68"/>
      <c r="DT36" s="68"/>
      <c r="DU36" s="68"/>
      <c r="DV36" s="68"/>
      <c r="DW36" s="68"/>
      <c r="DX36" s="68"/>
      <c r="DY36" s="68"/>
      <c r="DZ36" s="68"/>
      <c r="EA36" s="68"/>
      <c r="EB36" s="68"/>
      <c r="EC36" s="68"/>
      <c r="ED36" s="68"/>
      <c r="EE36" s="68"/>
      <c r="EF36" s="68"/>
      <c r="EG36" s="68"/>
      <c r="EH36" s="68"/>
      <c r="EI36" s="68"/>
      <c r="EJ36" s="68"/>
      <c r="EK36" s="68"/>
      <c r="EL36" s="68"/>
      <c r="EM36" s="68"/>
      <c r="EN36" s="68"/>
      <c r="EO36" s="68"/>
      <c r="EP36" s="68"/>
      <c r="EQ36" s="68"/>
      <c r="ER36" s="68"/>
      <c r="ES36" s="68"/>
      <c r="ET36" s="68"/>
      <c r="EU36" s="68"/>
      <c r="EV36" s="68"/>
      <c r="EW36" s="68"/>
      <c r="EX36" s="68"/>
      <c r="EY36" s="68"/>
      <c r="EZ36" s="68"/>
      <c r="FA36" s="68"/>
      <c r="FB36" s="68"/>
      <c r="FC36" s="68"/>
      <c r="FD36" s="68"/>
      <c r="FE36" s="68"/>
      <c r="FF36" s="68"/>
      <c r="FG36" s="68"/>
      <c r="FH36" s="68"/>
      <c r="FI36" s="68"/>
      <c r="FJ36" s="68"/>
      <c r="FK36" s="68"/>
      <c r="FL36" s="68"/>
      <c r="FM36" s="68"/>
      <c r="FN36" s="68"/>
      <c r="FO36" s="68"/>
      <c r="FP36" s="68"/>
      <c r="FQ36" s="68"/>
      <c r="FR36" s="68"/>
      <c r="FS36" s="68"/>
      <c r="FT36" s="68"/>
      <c r="FU36" s="68"/>
      <c r="FV36" s="68"/>
      <c r="FW36" s="68"/>
      <c r="FX36" s="68"/>
      <c r="FY36" s="68"/>
      <c r="FZ36" s="68"/>
      <c r="GA36" s="68"/>
      <c r="GB36" s="68"/>
      <c r="GC36" s="68"/>
      <c r="GD36" s="68"/>
      <c r="GE36" s="68"/>
      <c r="GF36" s="68"/>
      <c r="GG36" s="68"/>
      <c r="GH36" s="68"/>
      <c r="GI36" s="68"/>
      <c r="GJ36" s="68"/>
      <c r="GK36" s="68"/>
      <c r="GL36" s="68"/>
      <c r="GM36" s="68"/>
      <c r="GN36" s="68"/>
      <c r="GO36" s="68"/>
      <c r="GP36" s="68"/>
      <c r="GQ36" s="68"/>
      <c r="GR36" s="68"/>
      <c r="GS36" s="68"/>
      <c r="GT36" s="68"/>
      <c r="GU36" s="68"/>
      <c r="GV36" s="68"/>
      <c r="GW36" s="68"/>
      <c r="GX36" s="68"/>
      <c r="GY36" s="68"/>
      <c r="GZ36" s="68"/>
      <c r="HA36" s="68"/>
      <c r="HB36" s="68"/>
      <c r="HC36" s="68"/>
      <c r="HD36" s="68"/>
      <c r="HE36" s="68"/>
      <c r="HF36" s="68"/>
      <c r="HG36" s="68"/>
      <c r="HH36" s="68"/>
      <c r="HI36" s="68"/>
      <c r="HJ36" s="68"/>
      <c r="HK36" s="68"/>
      <c r="HL36" s="68"/>
      <c r="HM36" s="68"/>
      <c r="HN36" s="68"/>
      <c r="HO36" s="68"/>
      <c r="HP36" s="68"/>
      <c r="HQ36" s="68"/>
      <c r="HR36" s="68"/>
      <c r="HS36" s="68"/>
      <c r="HT36" s="68"/>
      <c r="HU36" s="68"/>
      <c r="HV36" s="68"/>
      <c r="HW36" s="68"/>
      <c r="HX36" s="68"/>
      <c r="HY36" s="68"/>
      <c r="HZ36" s="68"/>
      <c r="IA36" s="68"/>
      <c r="IB36" s="68"/>
      <c r="IC36" s="68"/>
      <c r="ID36" s="68"/>
      <c r="IE36" s="68"/>
      <c r="IF36" s="68"/>
      <c r="IG36" s="68"/>
      <c r="IH36" s="68"/>
      <c r="II36" s="68"/>
      <c r="IJ36" s="68"/>
      <c r="IK36" s="68"/>
      <c r="IL36" s="68"/>
      <c r="IM36" s="68"/>
      <c r="IN36" s="68"/>
      <c r="IO36" s="68"/>
      <c r="IP36" s="68"/>
      <c r="IQ36" s="68"/>
      <c r="IR36" s="68"/>
      <c r="IS36" s="68"/>
      <c r="IT36" s="68"/>
      <c r="IU36" s="68"/>
      <c r="IV36" s="68"/>
      <c r="IW36" s="68"/>
      <c r="IX36" s="68"/>
      <c r="IY36" s="68"/>
      <c r="IZ36" s="68"/>
      <c r="JA36" s="68"/>
      <c r="JB36" s="68"/>
      <c r="JC36" s="68"/>
      <c r="JD36" s="68"/>
      <c r="JE36" s="68"/>
      <c r="JF36" s="68"/>
      <c r="JG36" s="68"/>
      <c r="JH36" s="68"/>
      <c r="JI36" s="68"/>
      <c r="JJ36" s="68"/>
      <c r="JK36" s="68"/>
      <c r="JL36" s="68"/>
      <c r="JM36" s="68"/>
      <c r="JN36" s="68"/>
      <c r="JO36" s="68"/>
      <c r="JP36" s="68"/>
      <c r="JQ36" s="68"/>
      <c r="JR36" s="68"/>
      <c r="JS36" s="68"/>
      <c r="JT36" s="68"/>
      <c r="JU36" s="68"/>
      <c r="JV36" s="68"/>
      <c r="JW36" s="68"/>
      <c r="JX36" s="68"/>
      <c r="JY36" s="68"/>
      <c r="JZ36" s="68"/>
      <c r="KA36" s="68"/>
      <c r="KB36" s="68"/>
      <c r="KC36" s="68"/>
      <c r="KD36" s="68"/>
      <c r="KE36" s="68"/>
      <c r="KF36" s="68"/>
      <c r="KG36" s="68"/>
      <c r="KH36" s="68"/>
      <c r="KI36" s="68"/>
      <c r="KJ36" s="68"/>
      <c r="KK36" s="68"/>
      <c r="KL36" s="68"/>
      <c r="KM36" s="68"/>
      <c r="KN36" s="68"/>
      <c r="KO36" s="68"/>
      <c r="KP36" s="68"/>
      <c r="KQ36" s="68"/>
      <c r="KR36" s="68"/>
      <c r="KS36" s="68"/>
      <c r="KT36" s="68"/>
      <c r="KU36" s="68"/>
      <c r="KV36" s="68"/>
      <c r="KW36" s="68"/>
      <c r="KX36" s="68"/>
      <c r="KY36" s="68"/>
      <c r="KZ36" s="68"/>
      <c r="LA36" s="68"/>
      <c r="LB36" s="68"/>
      <c r="LC36" s="68"/>
      <c r="LD36" s="68"/>
      <c r="LE36" s="68"/>
      <c r="LF36" s="68"/>
      <c r="LG36" s="68"/>
      <c r="LH36" s="68"/>
      <c r="LI36" s="68"/>
      <c r="LJ36" s="68"/>
      <c r="LK36" s="68"/>
      <c r="LL36" s="68"/>
      <c r="LM36" s="68"/>
      <c r="LN36" s="68"/>
      <c r="LO36" s="68"/>
      <c r="LP36" s="68"/>
      <c r="LQ36" s="68"/>
      <c r="LR36" s="68"/>
      <c r="LS36" s="68"/>
      <c r="LT36" s="68"/>
      <c r="LU36" s="68"/>
      <c r="LV36" s="68"/>
      <c r="LW36" s="68"/>
      <c r="LX36" s="68"/>
      <c r="LY36" s="68"/>
      <c r="LZ36" s="68"/>
      <c r="MA36" s="68"/>
      <c r="MB36" s="68"/>
      <c r="MC36" s="68"/>
      <c r="MD36" s="68"/>
      <c r="ME36" s="68"/>
      <c r="MF36" s="68"/>
      <c r="MG36" s="68"/>
      <c r="MH36" s="68"/>
      <c r="MI36" s="68"/>
      <c r="MJ36" s="68"/>
      <c r="MK36" s="68"/>
      <c r="ML36" s="68"/>
      <c r="MM36" s="68"/>
      <c r="MN36" s="68"/>
      <c r="MO36" s="68"/>
      <c r="MP36" s="68"/>
      <c r="MQ36" s="68"/>
      <c r="MR36" s="68"/>
      <c r="MS36" s="68"/>
      <c r="MT36" s="68"/>
      <c r="MU36" s="68"/>
      <c r="MV36" s="68"/>
      <c r="MW36" s="68"/>
      <c r="MX36" s="68"/>
      <c r="MY36" s="68"/>
      <c r="MZ36" s="68"/>
      <c r="NA36" s="68"/>
      <c r="NB36" s="68"/>
      <c r="NC36" s="68"/>
      <c r="ND36" s="68"/>
      <c r="NE36" s="68"/>
      <c r="NF36" s="68"/>
      <c r="NG36" s="68"/>
      <c r="NH36" s="68"/>
      <c r="NI36" s="68"/>
      <c r="NJ36" s="68"/>
      <c r="NK36" s="68"/>
      <c r="NL36" s="68"/>
      <c r="NM36" s="68"/>
      <c r="NN36" s="68"/>
      <c r="NO36" s="68"/>
      <c r="NP36" s="68"/>
      <c r="NQ36" s="68"/>
      <c r="NR36" s="68"/>
      <c r="NS36" s="68"/>
      <c r="NT36" s="68"/>
      <c r="NU36" s="68"/>
      <c r="NV36" s="68"/>
      <c r="NW36" s="68"/>
      <c r="NX36" s="68"/>
      <c r="NY36" s="68"/>
      <c r="NZ36" s="68"/>
      <c r="OA36" s="68"/>
      <c r="OB36" s="68"/>
      <c r="OC36" s="68"/>
      <c r="OD36" s="68"/>
      <c r="OE36" s="68"/>
      <c r="OF36" s="68"/>
      <c r="OG36" s="68"/>
      <c r="OH36" s="68"/>
      <c r="OI36" s="68"/>
      <c r="OJ36" s="69"/>
    </row>
    <row r="37" spans="1:400" ht="45" customHeight="1" x14ac:dyDescent="0.3">
      <c r="A37" s="1523" t="s">
        <v>1204</v>
      </c>
      <c r="B37" s="1772" t="s">
        <v>1205</v>
      </c>
      <c r="C37" s="1773"/>
      <c r="D37" s="1773"/>
      <c r="E37" s="1773"/>
      <c r="F37" s="1773"/>
      <c r="G37" s="1773"/>
      <c r="H37" s="1773"/>
      <c r="I37" s="1773"/>
      <c r="J37" s="1773"/>
      <c r="K37" s="1773"/>
      <c r="L37" s="1773"/>
      <c r="M37" s="1773"/>
      <c r="N37" s="1773"/>
      <c r="O37" s="1773"/>
      <c r="P37" s="1773"/>
      <c r="Q37" s="1773"/>
      <c r="R37" s="1774"/>
      <c r="S37" s="185"/>
      <c r="T37" s="185"/>
      <c r="U37" s="151"/>
      <c r="V37" s="151"/>
      <c r="W37" s="151"/>
      <c r="X37" s="151"/>
      <c r="Y37" s="151"/>
      <c r="Z37" s="151"/>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c r="BA37" s="74"/>
      <c r="BB37" s="74"/>
      <c r="BC37" s="74"/>
      <c r="BD37" s="74"/>
      <c r="BE37" s="74"/>
      <c r="BF37" s="74"/>
      <c r="BG37" s="74"/>
      <c r="BH37" s="74"/>
      <c r="BI37" s="74"/>
      <c r="BJ37" s="74"/>
      <c r="BK37" s="74"/>
      <c r="BL37" s="74"/>
      <c r="BM37" s="74"/>
      <c r="BN37" s="74"/>
      <c r="BO37" s="74"/>
      <c r="BP37" s="74"/>
      <c r="BQ37" s="74"/>
      <c r="BR37" s="74"/>
      <c r="BS37" s="74"/>
      <c r="BT37" s="74"/>
      <c r="BU37" s="74"/>
      <c r="BV37" s="74"/>
      <c r="BW37" s="74"/>
      <c r="BX37" s="74"/>
      <c r="BY37" s="74"/>
      <c r="BZ37" s="74"/>
      <c r="CA37" s="74"/>
      <c r="CB37" s="74"/>
      <c r="CC37" s="74"/>
      <c r="CD37" s="74"/>
      <c r="CE37" s="74"/>
      <c r="CF37" s="74"/>
      <c r="CG37" s="74"/>
      <c r="CH37" s="74"/>
      <c r="CI37" s="74"/>
      <c r="CJ37" s="74"/>
      <c r="CK37" s="74"/>
      <c r="CL37" s="74"/>
      <c r="CM37" s="74"/>
      <c r="CN37" s="74"/>
      <c r="CO37" s="74"/>
      <c r="CP37" s="74"/>
      <c r="CQ37" s="74"/>
      <c r="CR37" s="74"/>
      <c r="CS37" s="74"/>
      <c r="CT37" s="74"/>
      <c r="CU37" s="74"/>
      <c r="CV37" s="74"/>
      <c r="CW37" s="74"/>
      <c r="CX37" s="74"/>
      <c r="CY37" s="74"/>
      <c r="CZ37" s="74"/>
      <c r="DA37" s="74"/>
      <c r="DB37" s="74"/>
      <c r="DC37" s="74"/>
      <c r="DD37" s="74"/>
      <c r="DE37" s="74"/>
      <c r="DF37" s="74"/>
      <c r="DG37" s="74"/>
      <c r="DH37" s="74"/>
      <c r="DI37" s="74"/>
      <c r="DJ37" s="74"/>
      <c r="DK37" s="74"/>
      <c r="DL37" s="74"/>
      <c r="DM37" s="74"/>
      <c r="DN37" s="74"/>
      <c r="DO37" s="74"/>
      <c r="DP37" s="74"/>
      <c r="DQ37" s="74"/>
      <c r="DR37" s="74"/>
      <c r="DS37" s="74"/>
      <c r="DT37" s="74"/>
      <c r="DU37" s="74"/>
      <c r="DV37" s="74"/>
      <c r="DW37" s="74"/>
      <c r="DX37" s="74"/>
      <c r="DY37" s="74"/>
      <c r="DZ37" s="74"/>
      <c r="EA37" s="74"/>
      <c r="EB37" s="74"/>
      <c r="EC37" s="74"/>
      <c r="ED37" s="74"/>
      <c r="EE37" s="74"/>
      <c r="EF37" s="74"/>
      <c r="EG37" s="74"/>
      <c r="EH37" s="74"/>
      <c r="EI37" s="74"/>
      <c r="EJ37" s="74"/>
      <c r="EK37" s="74"/>
      <c r="EL37" s="74"/>
      <c r="EM37" s="74"/>
      <c r="EN37" s="74"/>
      <c r="EO37" s="74"/>
      <c r="EP37" s="74"/>
      <c r="EQ37" s="74"/>
      <c r="ER37" s="74"/>
      <c r="ES37" s="74"/>
      <c r="ET37" s="74"/>
      <c r="EU37" s="74"/>
      <c r="EV37" s="74"/>
      <c r="EW37" s="74"/>
      <c r="EX37" s="74"/>
      <c r="EY37" s="74"/>
      <c r="EZ37" s="74"/>
      <c r="FA37" s="74"/>
      <c r="FB37" s="74"/>
      <c r="FC37" s="74"/>
      <c r="FD37" s="74"/>
      <c r="FE37" s="74"/>
      <c r="FF37" s="74"/>
      <c r="FG37" s="74"/>
      <c r="FH37" s="74"/>
      <c r="FI37" s="74"/>
      <c r="FJ37" s="74"/>
      <c r="FK37" s="74"/>
      <c r="FL37" s="74"/>
      <c r="FM37" s="74"/>
      <c r="FN37" s="74"/>
      <c r="FO37" s="74"/>
      <c r="FP37" s="74"/>
      <c r="FQ37" s="74"/>
      <c r="FR37" s="74"/>
      <c r="FS37" s="74"/>
      <c r="FT37" s="74"/>
      <c r="FU37" s="74"/>
      <c r="FV37" s="74"/>
      <c r="FW37" s="74"/>
      <c r="FX37" s="74"/>
      <c r="FY37" s="74"/>
      <c r="FZ37" s="74"/>
      <c r="GA37" s="74"/>
      <c r="GB37" s="74"/>
      <c r="GC37" s="74"/>
      <c r="GD37" s="74"/>
      <c r="GE37" s="74"/>
      <c r="GF37" s="74"/>
      <c r="GG37" s="74"/>
      <c r="GH37" s="74"/>
      <c r="GI37" s="74"/>
      <c r="GJ37" s="74"/>
      <c r="GK37" s="74"/>
      <c r="GL37" s="74"/>
      <c r="GM37" s="74"/>
      <c r="GN37" s="74"/>
      <c r="GO37" s="74"/>
      <c r="GP37" s="74"/>
      <c r="GQ37" s="74"/>
      <c r="GR37" s="74"/>
      <c r="GS37" s="74"/>
      <c r="GT37" s="74"/>
      <c r="GU37" s="74"/>
      <c r="GV37" s="74"/>
      <c r="GW37" s="74"/>
      <c r="GX37" s="74"/>
      <c r="GY37" s="74"/>
      <c r="GZ37" s="74"/>
      <c r="HA37" s="74"/>
      <c r="HB37" s="74"/>
      <c r="HC37" s="74"/>
      <c r="HD37" s="74"/>
      <c r="HE37" s="74"/>
      <c r="HF37" s="74"/>
      <c r="HG37" s="74"/>
      <c r="HH37" s="74"/>
      <c r="HI37" s="74"/>
      <c r="HJ37" s="74"/>
      <c r="HK37" s="74"/>
      <c r="HL37" s="74"/>
      <c r="HM37" s="74"/>
      <c r="HN37" s="74"/>
      <c r="HO37" s="74"/>
      <c r="HP37" s="74"/>
      <c r="HQ37" s="74"/>
      <c r="HR37" s="74"/>
      <c r="HS37" s="74"/>
      <c r="HT37" s="74"/>
      <c r="HU37" s="74"/>
      <c r="HV37" s="74"/>
      <c r="HW37" s="74"/>
      <c r="HX37" s="74"/>
      <c r="HY37" s="74"/>
      <c r="HZ37" s="74"/>
      <c r="IA37" s="74"/>
      <c r="IB37" s="74"/>
      <c r="IC37" s="74"/>
      <c r="ID37" s="74"/>
      <c r="IE37" s="74"/>
      <c r="IF37" s="74"/>
      <c r="IG37" s="74"/>
      <c r="IH37" s="74"/>
      <c r="II37" s="74"/>
      <c r="IJ37" s="74"/>
      <c r="IK37" s="74"/>
      <c r="IL37" s="74"/>
      <c r="IM37" s="74"/>
      <c r="IN37" s="74"/>
      <c r="IO37" s="74"/>
      <c r="IP37" s="74"/>
      <c r="IQ37" s="74"/>
      <c r="IR37" s="74"/>
      <c r="IS37" s="74"/>
      <c r="IT37" s="74"/>
      <c r="IU37" s="74"/>
      <c r="IV37" s="74"/>
      <c r="IW37" s="74"/>
      <c r="IX37" s="74"/>
      <c r="IY37" s="74"/>
      <c r="IZ37" s="74"/>
      <c r="JA37" s="74"/>
      <c r="JB37" s="74"/>
      <c r="JC37" s="74"/>
      <c r="JD37" s="74"/>
      <c r="JE37" s="74"/>
      <c r="JF37" s="74"/>
      <c r="JG37" s="74"/>
      <c r="JH37" s="74"/>
      <c r="JI37" s="74"/>
      <c r="JJ37" s="74"/>
      <c r="JK37" s="74"/>
      <c r="JL37" s="74"/>
      <c r="JM37" s="74"/>
      <c r="JN37" s="74"/>
      <c r="JO37" s="74"/>
      <c r="JP37" s="74"/>
      <c r="JQ37" s="74"/>
      <c r="JR37" s="74"/>
      <c r="JS37" s="74"/>
      <c r="JT37" s="74"/>
      <c r="JU37" s="74"/>
      <c r="JV37" s="74"/>
      <c r="JW37" s="74"/>
      <c r="JX37" s="74"/>
      <c r="JY37" s="74"/>
      <c r="JZ37" s="74"/>
      <c r="KA37" s="74"/>
      <c r="KB37" s="74"/>
      <c r="KC37" s="74"/>
      <c r="KD37" s="74"/>
      <c r="KE37" s="74"/>
      <c r="KF37" s="74"/>
      <c r="KG37" s="74"/>
      <c r="KH37" s="74"/>
      <c r="KI37" s="74"/>
      <c r="KJ37" s="74"/>
      <c r="KK37" s="74"/>
      <c r="KL37" s="74"/>
      <c r="KM37" s="74"/>
      <c r="KN37" s="74"/>
      <c r="KO37" s="74"/>
      <c r="KP37" s="74"/>
      <c r="KQ37" s="74"/>
      <c r="KR37" s="74"/>
      <c r="KS37" s="74"/>
      <c r="KT37" s="74"/>
      <c r="KU37" s="74"/>
      <c r="KV37" s="74"/>
      <c r="KW37" s="74"/>
      <c r="KX37" s="74"/>
      <c r="KY37" s="74"/>
      <c r="KZ37" s="74"/>
      <c r="LA37" s="74"/>
      <c r="LB37" s="74"/>
      <c r="LC37" s="74"/>
      <c r="LD37" s="74"/>
      <c r="LE37" s="74"/>
      <c r="LF37" s="74"/>
      <c r="LG37" s="74"/>
      <c r="LH37" s="74"/>
      <c r="LI37" s="74"/>
      <c r="LJ37" s="74"/>
      <c r="LK37" s="74"/>
      <c r="LL37" s="74"/>
      <c r="LM37" s="74"/>
      <c r="LN37" s="74"/>
      <c r="LO37" s="74"/>
      <c r="LP37" s="74"/>
      <c r="LQ37" s="74"/>
      <c r="LR37" s="74"/>
      <c r="LS37" s="74"/>
      <c r="LT37" s="74"/>
      <c r="LU37" s="74"/>
      <c r="LV37" s="74"/>
      <c r="LW37" s="74"/>
      <c r="LX37" s="74"/>
      <c r="LY37" s="74"/>
      <c r="LZ37" s="74"/>
      <c r="MA37" s="74"/>
      <c r="MB37" s="74"/>
      <c r="MC37" s="74"/>
      <c r="MD37" s="74"/>
      <c r="ME37" s="74"/>
      <c r="MF37" s="74"/>
      <c r="MG37" s="74"/>
      <c r="MH37" s="74"/>
      <c r="MI37" s="74"/>
      <c r="MJ37" s="74"/>
      <c r="MK37" s="74"/>
      <c r="ML37" s="74"/>
      <c r="MM37" s="74"/>
      <c r="MN37" s="74"/>
      <c r="MO37" s="74"/>
      <c r="MP37" s="74"/>
      <c r="MQ37" s="74"/>
      <c r="MR37" s="74"/>
      <c r="MS37" s="74"/>
      <c r="MT37" s="74"/>
      <c r="MU37" s="74"/>
      <c r="MV37" s="74"/>
      <c r="MW37" s="74"/>
      <c r="MX37" s="74"/>
      <c r="MY37" s="74"/>
      <c r="MZ37" s="74"/>
      <c r="NA37" s="74"/>
      <c r="NB37" s="74"/>
      <c r="NC37" s="74"/>
      <c r="ND37" s="74"/>
      <c r="NE37" s="74"/>
      <c r="NF37" s="74"/>
      <c r="NG37" s="74"/>
      <c r="NH37" s="74"/>
      <c r="NI37" s="74"/>
      <c r="NJ37" s="74"/>
      <c r="NK37" s="74"/>
      <c r="NL37" s="74"/>
      <c r="NM37" s="74"/>
      <c r="NN37" s="74"/>
      <c r="NO37" s="74"/>
      <c r="NP37" s="74"/>
      <c r="NQ37" s="74"/>
      <c r="NR37" s="74"/>
      <c r="NS37" s="74"/>
      <c r="NT37" s="74"/>
      <c r="NU37" s="74"/>
      <c r="NV37" s="74"/>
      <c r="NW37" s="74"/>
      <c r="NX37" s="74"/>
      <c r="NY37" s="74"/>
      <c r="NZ37" s="74"/>
      <c r="OA37" s="74"/>
      <c r="OB37" s="74"/>
      <c r="OC37" s="74"/>
      <c r="OD37" s="74"/>
      <c r="OE37" s="74"/>
      <c r="OF37" s="74"/>
      <c r="OG37" s="74"/>
      <c r="OH37" s="74"/>
      <c r="OI37" s="74"/>
      <c r="OJ37" s="75"/>
    </row>
    <row r="38" spans="1:400" ht="16.05" customHeight="1" x14ac:dyDescent="0.3">
      <c r="A38" s="402" t="s">
        <v>1207</v>
      </c>
      <c r="B38" s="1737" t="s">
        <v>1208</v>
      </c>
      <c r="C38" s="1738"/>
      <c r="D38" s="413" t="s">
        <v>1206</v>
      </c>
      <c r="E38" s="413" t="s">
        <v>1209</v>
      </c>
      <c r="F38" s="413" t="s">
        <v>1210</v>
      </c>
      <c r="G38" s="413" t="s">
        <v>1211</v>
      </c>
      <c r="H38" s="413" t="s">
        <v>1212</v>
      </c>
      <c r="I38" s="413" t="s">
        <v>1213</v>
      </c>
      <c r="J38" s="1737" t="s">
        <v>1214</v>
      </c>
      <c r="K38" s="1738"/>
      <c r="L38" s="1746"/>
      <c r="M38" s="1747"/>
      <c r="N38" s="1731"/>
      <c r="O38" s="188"/>
      <c r="P38" s="188"/>
      <c r="Q38" s="188"/>
      <c r="R38" s="188"/>
      <c r="S38" s="188"/>
      <c r="T38" s="188"/>
      <c r="U38" s="192"/>
      <c r="V38" s="192"/>
      <c r="W38" s="192"/>
      <c r="X38" s="192"/>
      <c r="Y38" s="192"/>
      <c r="Z38" s="192"/>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c r="BA38" s="68"/>
      <c r="BB38" s="68"/>
      <c r="BC38" s="68"/>
      <c r="BD38" s="68"/>
      <c r="BE38" s="68"/>
      <c r="BF38" s="68"/>
      <c r="BG38" s="68"/>
      <c r="BH38" s="68"/>
      <c r="BI38" s="68"/>
      <c r="BJ38" s="68"/>
      <c r="BK38" s="68"/>
      <c r="BL38" s="68"/>
      <c r="BM38" s="68"/>
      <c r="BN38" s="68"/>
      <c r="BO38" s="68"/>
      <c r="BP38" s="68"/>
      <c r="BQ38" s="68"/>
      <c r="BR38" s="68"/>
      <c r="BS38" s="68"/>
      <c r="BT38" s="68"/>
      <c r="BU38" s="68"/>
      <c r="BV38" s="68"/>
      <c r="BW38" s="68"/>
      <c r="BX38" s="68"/>
      <c r="BY38" s="68"/>
      <c r="BZ38" s="68"/>
      <c r="CA38" s="68"/>
      <c r="CB38" s="68"/>
      <c r="CC38" s="68"/>
      <c r="CD38" s="68"/>
      <c r="CE38" s="68"/>
      <c r="CF38" s="68"/>
      <c r="CG38" s="68"/>
      <c r="CH38" s="68"/>
      <c r="CI38" s="68"/>
      <c r="CJ38" s="68"/>
      <c r="CK38" s="68"/>
      <c r="CL38" s="68"/>
      <c r="CM38" s="68"/>
      <c r="CN38" s="68"/>
      <c r="CO38" s="68"/>
      <c r="CP38" s="68"/>
      <c r="CQ38" s="68"/>
      <c r="CR38" s="68"/>
      <c r="CS38" s="68"/>
      <c r="CT38" s="68"/>
      <c r="CU38" s="68"/>
      <c r="CV38" s="68"/>
      <c r="CW38" s="68"/>
      <c r="CX38" s="68"/>
      <c r="CY38" s="68"/>
      <c r="CZ38" s="68"/>
      <c r="DA38" s="68"/>
      <c r="DB38" s="68"/>
      <c r="DC38" s="68"/>
      <c r="DD38" s="68"/>
      <c r="DE38" s="68"/>
      <c r="DF38" s="68"/>
      <c r="DG38" s="68"/>
      <c r="DH38" s="68"/>
      <c r="DI38" s="68"/>
      <c r="DJ38" s="68"/>
      <c r="DK38" s="68"/>
      <c r="DL38" s="68"/>
      <c r="DM38" s="68"/>
      <c r="DN38" s="68"/>
      <c r="DO38" s="68"/>
      <c r="DP38" s="68"/>
      <c r="DQ38" s="68"/>
      <c r="DR38" s="68"/>
      <c r="DS38" s="68"/>
      <c r="DT38" s="68"/>
      <c r="DU38" s="68"/>
      <c r="DV38" s="68"/>
      <c r="DW38" s="68"/>
      <c r="DX38" s="68"/>
      <c r="DY38" s="68"/>
      <c r="DZ38" s="68"/>
      <c r="EA38" s="68"/>
      <c r="EB38" s="68"/>
      <c r="EC38" s="68"/>
      <c r="ED38" s="68"/>
      <c r="EE38" s="68"/>
      <c r="EF38" s="68"/>
      <c r="EG38" s="68"/>
      <c r="EH38" s="68"/>
      <c r="EI38" s="68"/>
      <c r="EJ38" s="68"/>
      <c r="EK38" s="68"/>
      <c r="EL38" s="68"/>
      <c r="EM38" s="68"/>
      <c r="EN38" s="68"/>
      <c r="EO38" s="68"/>
      <c r="EP38" s="68"/>
      <c r="EQ38" s="68"/>
      <c r="ER38" s="68"/>
      <c r="ES38" s="68"/>
      <c r="ET38" s="68"/>
      <c r="EU38" s="68"/>
      <c r="EV38" s="68"/>
      <c r="EW38" s="68"/>
      <c r="EX38" s="68"/>
      <c r="EY38" s="68"/>
      <c r="EZ38" s="68"/>
      <c r="FA38" s="68"/>
      <c r="FB38" s="68"/>
      <c r="FC38" s="68"/>
      <c r="FD38" s="68"/>
      <c r="FE38" s="68"/>
      <c r="FF38" s="68"/>
      <c r="FG38" s="68"/>
      <c r="FH38" s="68"/>
      <c r="FI38" s="68"/>
      <c r="FJ38" s="68"/>
      <c r="FK38" s="68"/>
      <c r="FL38" s="68"/>
      <c r="FM38" s="68"/>
      <c r="FN38" s="68"/>
      <c r="FO38" s="68"/>
      <c r="FP38" s="68"/>
      <c r="FQ38" s="68"/>
      <c r="FR38" s="68"/>
      <c r="FS38" s="68"/>
      <c r="FT38" s="68"/>
      <c r="FU38" s="68"/>
      <c r="FV38" s="68"/>
      <c r="FW38" s="68"/>
      <c r="FX38" s="68"/>
      <c r="FY38" s="68"/>
      <c r="FZ38" s="68"/>
      <c r="GA38" s="68"/>
      <c r="GB38" s="68"/>
      <c r="GC38" s="68"/>
      <c r="GD38" s="68"/>
      <c r="GE38" s="68"/>
      <c r="GF38" s="68"/>
      <c r="GG38" s="68"/>
      <c r="GH38" s="68"/>
      <c r="GI38" s="68"/>
      <c r="GJ38" s="68"/>
      <c r="GK38" s="68"/>
      <c r="GL38" s="68"/>
      <c r="GM38" s="68"/>
      <c r="GN38" s="68"/>
      <c r="GO38" s="68"/>
      <c r="GP38" s="68"/>
      <c r="GQ38" s="68"/>
      <c r="GR38" s="68"/>
      <c r="GS38" s="68"/>
      <c r="GT38" s="68"/>
      <c r="GU38" s="68"/>
      <c r="GV38" s="68"/>
      <c r="GW38" s="68"/>
      <c r="GX38" s="68"/>
      <c r="GY38" s="68"/>
      <c r="GZ38" s="68"/>
      <c r="HA38" s="68"/>
      <c r="HB38" s="68"/>
      <c r="HC38" s="68"/>
      <c r="HD38" s="68"/>
      <c r="HE38" s="68"/>
      <c r="HF38" s="68"/>
      <c r="HG38" s="68"/>
      <c r="HH38" s="68"/>
      <c r="HI38" s="68"/>
      <c r="HJ38" s="68"/>
      <c r="HK38" s="68"/>
      <c r="HL38" s="68"/>
      <c r="HM38" s="68"/>
      <c r="HN38" s="68"/>
      <c r="HO38" s="68"/>
      <c r="HP38" s="68"/>
      <c r="HQ38" s="68"/>
      <c r="HR38" s="68"/>
      <c r="HS38" s="68"/>
      <c r="HT38" s="68"/>
      <c r="HU38" s="68"/>
      <c r="HV38" s="68"/>
      <c r="HW38" s="68"/>
      <c r="HX38" s="68"/>
      <c r="HY38" s="68"/>
      <c r="HZ38" s="68"/>
      <c r="IA38" s="68"/>
      <c r="IB38" s="68"/>
      <c r="IC38" s="68"/>
      <c r="ID38" s="68"/>
      <c r="IE38" s="68"/>
      <c r="IF38" s="68"/>
      <c r="IG38" s="68"/>
      <c r="IH38" s="68"/>
      <c r="II38" s="68"/>
      <c r="IJ38" s="68"/>
      <c r="IK38" s="68"/>
      <c r="IL38" s="68"/>
      <c r="IM38" s="68"/>
      <c r="IN38" s="68"/>
      <c r="IO38" s="68"/>
      <c r="IP38" s="68"/>
      <c r="IQ38" s="68"/>
      <c r="IR38" s="68"/>
      <c r="IS38" s="68"/>
      <c r="IT38" s="68"/>
      <c r="IU38" s="68"/>
      <c r="IV38" s="68"/>
      <c r="IW38" s="68"/>
      <c r="IX38" s="68"/>
      <c r="IY38" s="68"/>
      <c r="IZ38" s="68"/>
      <c r="JA38" s="68"/>
      <c r="JB38" s="68"/>
      <c r="JC38" s="68"/>
      <c r="JD38" s="68"/>
      <c r="JE38" s="68"/>
      <c r="JF38" s="68"/>
      <c r="JG38" s="68"/>
      <c r="JH38" s="68"/>
      <c r="JI38" s="68"/>
      <c r="JJ38" s="68"/>
      <c r="JK38" s="68"/>
      <c r="JL38" s="68"/>
      <c r="JM38" s="68"/>
      <c r="JN38" s="68"/>
      <c r="JO38" s="68"/>
      <c r="JP38" s="68"/>
      <c r="JQ38" s="68"/>
      <c r="JR38" s="68"/>
      <c r="JS38" s="68"/>
      <c r="JT38" s="68"/>
      <c r="JU38" s="68"/>
      <c r="JV38" s="68"/>
      <c r="JW38" s="68"/>
      <c r="JX38" s="68"/>
      <c r="JY38" s="68"/>
      <c r="JZ38" s="68"/>
      <c r="KA38" s="68"/>
      <c r="KB38" s="68"/>
      <c r="KC38" s="68"/>
      <c r="KD38" s="68"/>
      <c r="KE38" s="68"/>
      <c r="KF38" s="68"/>
      <c r="KG38" s="68"/>
      <c r="KH38" s="68"/>
      <c r="KI38" s="68"/>
      <c r="KJ38" s="68"/>
      <c r="KK38" s="68"/>
      <c r="KL38" s="68"/>
      <c r="KM38" s="68"/>
      <c r="KN38" s="68"/>
      <c r="KO38" s="68"/>
      <c r="KP38" s="68"/>
      <c r="KQ38" s="68"/>
      <c r="KR38" s="68"/>
      <c r="KS38" s="68"/>
      <c r="KT38" s="68"/>
      <c r="KU38" s="68"/>
      <c r="KV38" s="68"/>
      <c r="KW38" s="68"/>
      <c r="KX38" s="68"/>
      <c r="KY38" s="68"/>
      <c r="KZ38" s="68"/>
      <c r="LA38" s="68"/>
      <c r="LB38" s="68"/>
      <c r="LC38" s="68"/>
      <c r="LD38" s="68"/>
      <c r="LE38" s="68"/>
      <c r="LF38" s="68"/>
      <c r="LG38" s="68"/>
      <c r="LH38" s="68"/>
      <c r="LI38" s="68"/>
      <c r="LJ38" s="68"/>
      <c r="LK38" s="68"/>
      <c r="LL38" s="68"/>
      <c r="LM38" s="68"/>
      <c r="LN38" s="68"/>
      <c r="LO38" s="68"/>
      <c r="LP38" s="68"/>
      <c r="LQ38" s="68"/>
      <c r="LR38" s="68"/>
      <c r="LS38" s="68"/>
      <c r="LT38" s="68"/>
      <c r="LU38" s="68"/>
      <c r="LV38" s="68"/>
      <c r="LW38" s="68"/>
      <c r="LX38" s="68"/>
      <c r="LY38" s="68"/>
      <c r="LZ38" s="68"/>
      <c r="MA38" s="68"/>
      <c r="MB38" s="68"/>
      <c r="MC38" s="68"/>
      <c r="MD38" s="68"/>
      <c r="ME38" s="68"/>
      <c r="MF38" s="68"/>
      <c r="MG38" s="68"/>
      <c r="MH38" s="68"/>
      <c r="MI38" s="68"/>
      <c r="MJ38" s="68"/>
      <c r="MK38" s="68"/>
      <c r="ML38" s="68"/>
      <c r="MM38" s="68"/>
      <c r="MN38" s="68"/>
      <c r="MO38" s="68"/>
      <c r="MP38" s="68"/>
      <c r="MQ38" s="68"/>
      <c r="MR38" s="68"/>
      <c r="MS38" s="68"/>
      <c r="MT38" s="68"/>
      <c r="MU38" s="68"/>
      <c r="MV38" s="68"/>
      <c r="MW38" s="68"/>
      <c r="MX38" s="68"/>
      <c r="MY38" s="68"/>
      <c r="MZ38" s="68"/>
      <c r="NA38" s="68"/>
      <c r="NB38" s="68"/>
      <c r="NC38" s="68"/>
      <c r="ND38" s="68"/>
      <c r="NE38" s="68"/>
      <c r="NF38" s="68"/>
      <c r="NG38" s="68"/>
      <c r="NH38" s="68"/>
      <c r="NI38" s="68"/>
      <c r="NJ38" s="68"/>
      <c r="NK38" s="68"/>
      <c r="NL38" s="68"/>
      <c r="NM38" s="68"/>
      <c r="NN38" s="68"/>
      <c r="NO38" s="68"/>
      <c r="NP38" s="68"/>
      <c r="NQ38" s="68"/>
      <c r="NR38" s="68"/>
      <c r="NS38" s="68"/>
      <c r="NT38" s="68"/>
      <c r="NU38" s="68"/>
      <c r="NV38" s="68"/>
      <c r="NW38" s="68"/>
      <c r="NX38" s="68"/>
      <c r="NY38" s="68"/>
      <c r="NZ38" s="68"/>
      <c r="OA38" s="68"/>
      <c r="OB38" s="68"/>
      <c r="OC38" s="68"/>
      <c r="OD38" s="68"/>
      <c r="OE38" s="68"/>
      <c r="OF38" s="68"/>
      <c r="OG38" s="68"/>
      <c r="OH38" s="68"/>
      <c r="OI38" s="68"/>
      <c r="OJ38" s="69"/>
    </row>
    <row r="39" spans="1:400" ht="18" customHeight="1" x14ac:dyDescent="0.3">
      <c r="A39" s="409"/>
      <c r="B39" s="410"/>
      <c r="C39" s="410"/>
      <c r="D39" s="410"/>
      <c r="E39" s="410"/>
      <c r="F39" s="410"/>
      <c r="G39" s="410"/>
      <c r="H39" s="410"/>
      <c r="I39" s="410"/>
      <c r="J39" s="410"/>
      <c r="K39" s="410"/>
      <c r="L39" s="410"/>
      <c r="M39" s="54"/>
      <c r="N39" s="54"/>
      <c r="O39" s="55"/>
      <c r="P39" s="55"/>
      <c r="Q39" s="55"/>
      <c r="R39" s="55"/>
      <c r="S39" s="55"/>
      <c r="T39" s="55"/>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4"/>
      <c r="BV39" s="74"/>
      <c r="BW39" s="74"/>
      <c r="BX39" s="74"/>
      <c r="BY39" s="74"/>
      <c r="BZ39" s="74"/>
      <c r="CA39" s="74"/>
      <c r="CB39" s="74"/>
      <c r="CC39" s="74"/>
      <c r="CD39" s="74"/>
      <c r="CE39" s="74"/>
      <c r="CF39" s="74"/>
      <c r="CG39" s="74"/>
      <c r="CH39" s="74"/>
      <c r="CI39" s="74"/>
      <c r="CJ39" s="74"/>
      <c r="CK39" s="74"/>
      <c r="CL39" s="74"/>
      <c r="CM39" s="74"/>
      <c r="CN39" s="74"/>
      <c r="CO39" s="74"/>
      <c r="CP39" s="74"/>
      <c r="CQ39" s="74"/>
      <c r="CR39" s="74"/>
      <c r="CS39" s="74"/>
      <c r="CT39" s="74"/>
      <c r="CU39" s="74"/>
      <c r="CV39" s="74"/>
      <c r="CW39" s="74"/>
      <c r="CX39" s="74"/>
      <c r="CY39" s="74"/>
      <c r="CZ39" s="74"/>
      <c r="DA39" s="74"/>
      <c r="DB39" s="74"/>
      <c r="DC39" s="74"/>
      <c r="DD39" s="74"/>
      <c r="DE39" s="74"/>
      <c r="DF39" s="74"/>
      <c r="DG39" s="74"/>
      <c r="DH39" s="74"/>
      <c r="DI39" s="74"/>
      <c r="DJ39" s="74"/>
      <c r="DK39" s="74"/>
      <c r="DL39" s="74"/>
      <c r="DM39" s="74"/>
      <c r="DN39" s="74"/>
      <c r="DO39" s="74"/>
      <c r="DP39" s="74"/>
      <c r="DQ39" s="74"/>
      <c r="DR39" s="74"/>
      <c r="DS39" s="74"/>
      <c r="DT39" s="74"/>
      <c r="DU39" s="74"/>
      <c r="DV39" s="74"/>
      <c r="DW39" s="74"/>
      <c r="DX39" s="74"/>
      <c r="DY39" s="74"/>
      <c r="DZ39" s="74"/>
      <c r="EA39" s="74"/>
      <c r="EB39" s="74"/>
      <c r="EC39" s="74"/>
      <c r="ED39" s="74"/>
      <c r="EE39" s="74"/>
      <c r="EF39" s="74"/>
      <c r="EG39" s="74"/>
      <c r="EH39" s="74"/>
      <c r="EI39" s="74"/>
      <c r="EJ39" s="74"/>
      <c r="EK39" s="74"/>
      <c r="EL39" s="74"/>
      <c r="EM39" s="74"/>
      <c r="EN39" s="74"/>
      <c r="EO39" s="74"/>
      <c r="EP39" s="74"/>
      <c r="EQ39" s="74"/>
      <c r="ER39" s="74"/>
      <c r="ES39" s="74"/>
      <c r="ET39" s="74"/>
      <c r="EU39" s="74"/>
      <c r="EV39" s="74"/>
      <c r="EW39" s="74"/>
      <c r="EX39" s="74"/>
      <c r="EY39" s="74"/>
      <c r="EZ39" s="74"/>
      <c r="FA39" s="74"/>
      <c r="FB39" s="74"/>
      <c r="FC39" s="74"/>
      <c r="FD39" s="74"/>
      <c r="FE39" s="74"/>
      <c r="FF39" s="74"/>
      <c r="FG39" s="74"/>
      <c r="FH39" s="74"/>
      <c r="FI39" s="74"/>
      <c r="FJ39" s="74"/>
      <c r="FK39" s="74"/>
      <c r="FL39" s="74"/>
      <c r="FM39" s="74"/>
      <c r="FN39" s="74"/>
      <c r="FO39" s="74"/>
      <c r="FP39" s="74"/>
      <c r="FQ39" s="74"/>
      <c r="FR39" s="74"/>
      <c r="FS39" s="74"/>
      <c r="FT39" s="74"/>
      <c r="FU39" s="74"/>
      <c r="FV39" s="74"/>
      <c r="FW39" s="74"/>
      <c r="FX39" s="74"/>
      <c r="FY39" s="74"/>
      <c r="FZ39" s="74"/>
      <c r="GA39" s="74"/>
      <c r="GB39" s="74"/>
      <c r="GC39" s="74"/>
      <c r="GD39" s="74"/>
      <c r="GE39" s="74"/>
      <c r="GF39" s="74"/>
      <c r="GG39" s="74"/>
      <c r="GH39" s="74"/>
      <c r="GI39" s="74"/>
      <c r="GJ39" s="74"/>
      <c r="GK39" s="74"/>
      <c r="GL39" s="74"/>
      <c r="GM39" s="74"/>
      <c r="GN39" s="74"/>
      <c r="GO39" s="74"/>
      <c r="GP39" s="74"/>
      <c r="GQ39" s="74"/>
      <c r="GR39" s="74"/>
      <c r="GS39" s="74"/>
      <c r="GT39" s="74"/>
      <c r="GU39" s="74"/>
      <c r="GV39" s="74"/>
      <c r="GW39" s="74"/>
      <c r="GX39" s="74"/>
      <c r="GY39" s="74"/>
      <c r="GZ39" s="74"/>
      <c r="HA39" s="74"/>
      <c r="HB39" s="74"/>
      <c r="HC39" s="74"/>
      <c r="HD39" s="74"/>
      <c r="HE39" s="74"/>
      <c r="HF39" s="74"/>
      <c r="HG39" s="74"/>
      <c r="HH39" s="74"/>
      <c r="HI39" s="74"/>
      <c r="HJ39" s="74"/>
      <c r="HK39" s="74"/>
      <c r="HL39" s="74"/>
      <c r="HM39" s="74"/>
      <c r="HN39" s="74"/>
      <c r="HO39" s="74"/>
      <c r="HP39" s="74"/>
      <c r="HQ39" s="74"/>
      <c r="HR39" s="74"/>
      <c r="HS39" s="74"/>
      <c r="HT39" s="74"/>
      <c r="HU39" s="74"/>
      <c r="HV39" s="74"/>
      <c r="HW39" s="74"/>
      <c r="HX39" s="74"/>
      <c r="HY39" s="74"/>
      <c r="HZ39" s="74"/>
      <c r="IA39" s="74"/>
      <c r="IB39" s="74"/>
      <c r="IC39" s="74"/>
      <c r="ID39" s="74"/>
      <c r="IE39" s="74"/>
      <c r="IF39" s="74"/>
      <c r="IG39" s="74"/>
      <c r="IH39" s="74"/>
      <c r="II39" s="74"/>
      <c r="IJ39" s="74"/>
      <c r="IK39" s="74"/>
      <c r="IL39" s="74"/>
      <c r="IM39" s="74"/>
      <c r="IN39" s="74"/>
      <c r="IO39" s="74"/>
      <c r="IP39" s="74"/>
      <c r="IQ39" s="74"/>
      <c r="IR39" s="74"/>
      <c r="IS39" s="74"/>
      <c r="IT39" s="74"/>
      <c r="IU39" s="74"/>
      <c r="IV39" s="74"/>
      <c r="IW39" s="74"/>
      <c r="IX39" s="74"/>
      <c r="IY39" s="74"/>
      <c r="IZ39" s="74"/>
      <c r="JA39" s="74"/>
      <c r="JB39" s="74"/>
      <c r="JC39" s="74"/>
      <c r="JD39" s="74"/>
      <c r="JE39" s="74"/>
      <c r="JF39" s="74"/>
      <c r="JG39" s="74"/>
      <c r="JH39" s="74"/>
      <c r="JI39" s="74"/>
      <c r="JJ39" s="74"/>
      <c r="JK39" s="74"/>
      <c r="JL39" s="74"/>
      <c r="JM39" s="74"/>
      <c r="JN39" s="74"/>
      <c r="JO39" s="74"/>
      <c r="JP39" s="74"/>
      <c r="JQ39" s="74"/>
      <c r="JR39" s="74"/>
      <c r="JS39" s="74"/>
      <c r="JT39" s="74"/>
      <c r="JU39" s="74"/>
      <c r="JV39" s="74"/>
      <c r="JW39" s="74"/>
      <c r="JX39" s="74"/>
      <c r="JY39" s="74"/>
      <c r="JZ39" s="74"/>
      <c r="KA39" s="74"/>
      <c r="KB39" s="74"/>
      <c r="KC39" s="74"/>
      <c r="KD39" s="74"/>
      <c r="KE39" s="74"/>
      <c r="KF39" s="74"/>
      <c r="KG39" s="74"/>
      <c r="KH39" s="74"/>
      <c r="KI39" s="74"/>
      <c r="KJ39" s="74"/>
      <c r="KK39" s="74"/>
      <c r="KL39" s="74"/>
      <c r="KM39" s="74"/>
      <c r="KN39" s="74"/>
      <c r="KO39" s="74"/>
      <c r="KP39" s="74"/>
      <c r="KQ39" s="74"/>
      <c r="KR39" s="74"/>
      <c r="KS39" s="74"/>
      <c r="KT39" s="74"/>
      <c r="KU39" s="74"/>
      <c r="KV39" s="74"/>
      <c r="KW39" s="74"/>
      <c r="KX39" s="74"/>
      <c r="KY39" s="74"/>
      <c r="KZ39" s="74"/>
      <c r="LA39" s="74"/>
      <c r="LB39" s="74"/>
      <c r="LC39" s="74"/>
      <c r="LD39" s="74"/>
      <c r="LE39" s="74"/>
      <c r="LF39" s="74"/>
      <c r="LG39" s="74"/>
      <c r="LH39" s="74"/>
      <c r="LI39" s="74"/>
      <c r="LJ39" s="74"/>
      <c r="LK39" s="74"/>
      <c r="LL39" s="74"/>
      <c r="LM39" s="74"/>
      <c r="LN39" s="74"/>
      <c r="LO39" s="74"/>
      <c r="LP39" s="74"/>
      <c r="LQ39" s="74"/>
      <c r="LR39" s="74"/>
      <c r="LS39" s="74"/>
      <c r="LT39" s="74"/>
      <c r="LU39" s="74"/>
      <c r="LV39" s="74"/>
      <c r="LW39" s="74"/>
      <c r="LX39" s="74"/>
      <c r="LY39" s="74"/>
      <c r="LZ39" s="74"/>
      <c r="MA39" s="74"/>
      <c r="MB39" s="74"/>
      <c r="MC39" s="74"/>
      <c r="MD39" s="74"/>
      <c r="ME39" s="74"/>
      <c r="MF39" s="74"/>
      <c r="MG39" s="74"/>
      <c r="MH39" s="74"/>
      <c r="MI39" s="74"/>
      <c r="MJ39" s="74"/>
      <c r="MK39" s="74"/>
      <c r="ML39" s="74"/>
      <c r="MM39" s="74"/>
      <c r="MN39" s="74"/>
      <c r="MO39" s="74"/>
      <c r="MP39" s="74"/>
      <c r="MQ39" s="74"/>
      <c r="MR39" s="74"/>
      <c r="MS39" s="74"/>
      <c r="MT39" s="74"/>
      <c r="MU39" s="74"/>
      <c r="MV39" s="74"/>
      <c r="MW39" s="74"/>
      <c r="MX39" s="74"/>
      <c r="MY39" s="74"/>
      <c r="MZ39" s="74"/>
      <c r="NA39" s="74"/>
      <c r="NB39" s="74"/>
      <c r="NC39" s="74"/>
      <c r="ND39" s="74"/>
      <c r="NE39" s="74"/>
      <c r="NF39" s="74"/>
      <c r="NG39" s="74"/>
      <c r="NH39" s="74"/>
      <c r="NI39" s="74"/>
      <c r="NJ39" s="74"/>
      <c r="NK39" s="74"/>
      <c r="NL39" s="74"/>
      <c r="NM39" s="74"/>
      <c r="NN39" s="74"/>
      <c r="NO39" s="74"/>
      <c r="NP39" s="74"/>
      <c r="NQ39" s="74"/>
      <c r="NR39" s="74"/>
      <c r="NS39" s="74"/>
      <c r="NT39" s="74"/>
      <c r="NU39" s="74"/>
      <c r="NV39" s="74"/>
      <c r="NW39" s="74"/>
      <c r="NX39" s="74"/>
      <c r="NY39" s="74"/>
      <c r="NZ39" s="74"/>
      <c r="OA39" s="74"/>
      <c r="OB39" s="74"/>
      <c r="OC39" s="74"/>
      <c r="OD39" s="74"/>
      <c r="OE39" s="74"/>
      <c r="OF39" s="74"/>
      <c r="OG39" s="74"/>
      <c r="OH39" s="74"/>
      <c r="OI39" s="74"/>
      <c r="OJ39" s="75"/>
    </row>
    <row r="40" spans="1:400" ht="18" customHeight="1" x14ac:dyDescent="0.3">
      <c r="A40" s="78"/>
      <c r="B40" s="1739"/>
      <c r="C40" s="1740"/>
      <c r="D40" s="1740"/>
      <c r="E40" s="1740"/>
      <c r="F40" s="1739"/>
      <c r="G40" s="1740"/>
      <c r="H40" s="1740"/>
      <c r="I40" s="1740"/>
      <c r="J40" s="1740"/>
      <c r="K40" s="1740"/>
      <c r="L40" s="1740"/>
      <c r="M40" s="1740"/>
      <c r="N40" s="1740"/>
      <c r="O40" s="79"/>
      <c r="P40" s="79"/>
      <c r="Q40" s="79"/>
      <c r="R40" s="79"/>
      <c r="S40" s="79"/>
      <c r="T40" s="79"/>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c r="BB40" s="80"/>
      <c r="BC40" s="80"/>
      <c r="BD40" s="80"/>
      <c r="BE40" s="80"/>
      <c r="BF40" s="80"/>
      <c r="BG40" s="80"/>
      <c r="BH40" s="80"/>
      <c r="BI40" s="80"/>
      <c r="BJ40" s="80"/>
      <c r="BK40" s="80"/>
      <c r="BL40" s="80"/>
      <c r="BM40" s="80"/>
      <c r="BN40" s="80"/>
      <c r="BO40" s="80"/>
      <c r="BP40" s="80"/>
      <c r="BQ40" s="80"/>
      <c r="BR40" s="80"/>
      <c r="BS40" s="80"/>
      <c r="BT40" s="80"/>
      <c r="BU40" s="80"/>
      <c r="BV40" s="80"/>
      <c r="BW40" s="80"/>
      <c r="BX40" s="80"/>
      <c r="BY40" s="80"/>
      <c r="BZ40" s="80"/>
      <c r="CA40" s="80"/>
      <c r="CB40" s="80"/>
      <c r="CC40" s="80"/>
      <c r="CD40" s="80"/>
      <c r="CE40" s="80"/>
      <c r="CF40" s="80"/>
      <c r="CG40" s="80"/>
      <c r="CH40" s="80"/>
      <c r="CI40" s="80"/>
      <c r="CJ40" s="80"/>
      <c r="CK40" s="80"/>
      <c r="CL40" s="80"/>
      <c r="CM40" s="80"/>
      <c r="CN40" s="80"/>
      <c r="CO40" s="80"/>
      <c r="CP40" s="80"/>
      <c r="CQ40" s="80"/>
      <c r="CR40" s="80"/>
      <c r="CS40" s="80"/>
      <c r="CT40" s="80"/>
      <c r="CU40" s="80"/>
      <c r="CV40" s="80"/>
      <c r="CW40" s="80"/>
      <c r="CX40" s="80"/>
      <c r="CY40" s="80"/>
      <c r="CZ40" s="80"/>
      <c r="DA40" s="80"/>
      <c r="DB40" s="80"/>
      <c r="DC40" s="80"/>
      <c r="DD40" s="80"/>
      <c r="DE40" s="80"/>
      <c r="DF40" s="80"/>
      <c r="DG40" s="80"/>
      <c r="DH40" s="80"/>
      <c r="DI40" s="80"/>
      <c r="DJ40" s="80"/>
      <c r="DK40" s="80"/>
      <c r="DL40" s="80"/>
      <c r="DM40" s="80"/>
      <c r="DN40" s="80"/>
      <c r="DO40" s="80"/>
      <c r="DP40" s="80"/>
      <c r="DQ40" s="80"/>
      <c r="DR40" s="80"/>
      <c r="DS40" s="80"/>
      <c r="DT40" s="80"/>
      <c r="DU40" s="80"/>
      <c r="DV40" s="80"/>
      <c r="DW40" s="80"/>
      <c r="DX40" s="80"/>
      <c r="DY40" s="80"/>
      <c r="DZ40" s="80"/>
      <c r="EA40" s="80"/>
      <c r="EB40" s="80"/>
      <c r="EC40" s="80"/>
      <c r="ED40" s="80"/>
      <c r="EE40" s="80"/>
      <c r="EF40" s="80"/>
      <c r="EG40" s="80"/>
      <c r="EH40" s="80"/>
      <c r="EI40" s="80"/>
      <c r="EJ40" s="80"/>
      <c r="EK40" s="80"/>
      <c r="EL40" s="80"/>
      <c r="EM40" s="80"/>
      <c r="EN40" s="80"/>
      <c r="EO40" s="80"/>
      <c r="EP40" s="80"/>
      <c r="EQ40" s="80"/>
      <c r="ER40" s="80"/>
      <c r="ES40" s="80"/>
      <c r="ET40" s="80"/>
      <c r="EU40" s="80"/>
      <c r="EV40" s="80"/>
      <c r="EW40" s="80"/>
      <c r="EX40" s="80"/>
      <c r="EY40" s="80"/>
      <c r="EZ40" s="80"/>
      <c r="FA40" s="80"/>
      <c r="FB40" s="80"/>
      <c r="FC40" s="80"/>
      <c r="FD40" s="80"/>
      <c r="FE40" s="80"/>
      <c r="FF40" s="80"/>
      <c r="FG40" s="80"/>
      <c r="FH40" s="80"/>
      <c r="FI40" s="80"/>
      <c r="FJ40" s="80"/>
      <c r="FK40" s="80"/>
      <c r="FL40" s="80"/>
      <c r="FM40" s="80"/>
      <c r="FN40" s="80"/>
      <c r="FO40" s="80"/>
      <c r="FP40" s="80"/>
      <c r="FQ40" s="80"/>
      <c r="FR40" s="80"/>
      <c r="FS40" s="80"/>
      <c r="FT40" s="80"/>
      <c r="FU40" s="80"/>
      <c r="FV40" s="80"/>
      <c r="FW40" s="80"/>
      <c r="FX40" s="80"/>
      <c r="FY40" s="80"/>
      <c r="FZ40" s="80"/>
      <c r="GA40" s="80"/>
      <c r="GB40" s="80"/>
      <c r="GC40" s="80"/>
      <c r="GD40" s="80"/>
      <c r="GE40" s="80"/>
      <c r="GF40" s="80"/>
      <c r="GG40" s="80"/>
      <c r="GH40" s="80"/>
      <c r="GI40" s="80"/>
      <c r="GJ40" s="80"/>
      <c r="GK40" s="80"/>
      <c r="GL40" s="80"/>
      <c r="GM40" s="80"/>
      <c r="GN40" s="80"/>
      <c r="GO40" s="80"/>
      <c r="GP40" s="80"/>
      <c r="GQ40" s="80"/>
      <c r="GR40" s="80"/>
      <c r="GS40" s="80"/>
      <c r="GT40" s="80"/>
      <c r="GU40" s="80"/>
      <c r="GV40" s="80"/>
      <c r="GW40" s="80"/>
      <c r="GX40" s="80"/>
      <c r="GY40" s="80"/>
      <c r="GZ40" s="80"/>
      <c r="HA40" s="80"/>
      <c r="HB40" s="80"/>
      <c r="HC40" s="80"/>
      <c r="HD40" s="80"/>
      <c r="HE40" s="80"/>
      <c r="HF40" s="80"/>
      <c r="HG40" s="80"/>
      <c r="HH40" s="80"/>
      <c r="HI40" s="80"/>
      <c r="HJ40" s="80"/>
      <c r="HK40" s="80"/>
      <c r="HL40" s="80"/>
      <c r="HM40" s="80"/>
      <c r="HN40" s="80"/>
      <c r="HO40" s="80"/>
      <c r="HP40" s="80"/>
      <c r="HQ40" s="80"/>
      <c r="HR40" s="80"/>
      <c r="HS40" s="80"/>
      <c r="HT40" s="80"/>
      <c r="HU40" s="80"/>
      <c r="HV40" s="80"/>
      <c r="HW40" s="80"/>
      <c r="HX40" s="80"/>
      <c r="HY40" s="80"/>
      <c r="HZ40" s="80"/>
      <c r="IA40" s="80"/>
      <c r="IB40" s="80"/>
      <c r="IC40" s="80"/>
      <c r="ID40" s="80"/>
      <c r="IE40" s="80"/>
      <c r="IF40" s="80"/>
      <c r="IG40" s="80"/>
      <c r="IH40" s="80"/>
      <c r="II40" s="80"/>
      <c r="IJ40" s="80"/>
      <c r="IK40" s="80"/>
      <c r="IL40" s="80"/>
      <c r="IM40" s="80"/>
      <c r="IN40" s="80"/>
      <c r="IO40" s="80"/>
      <c r="IP40" s="80"/>
      <c r="IQ40" s="80"/>
      <c r="IR40" s="80"/>
      <c r="IS40" s="80"/>
      <c r="IT40" s="80"/>
      <c r="IU40" s="80"/>
      <c r="IV40" s="80"/>
      <c r="IW40" s="80"/>
      <c r="IX40" s="80"/>
      <c r="IY40" s="80"/>
      <c r="IZ40" s="80"/>
      <c r="JA40" s="80"/>
      <c r="JB40" s="80"/>
      <c r="JC40" s="80"/>
      <c r="JD40" s="80"/>
      <c r="JE40" s="80"/>
      <c r="JF40" s="80"/>
      <c r="JG40" s="80"/>
      <c r="JH40" s="80"/>
      <c r="JI40" s="80"/>
      <c r="JJ40" s="80"/>
      <c r="JK40" s="80"/>
      <c r="JL40" s="80"/>
      <c r="JM40" s="80"/>
      <c r="JN40" s="80"/>
      <c r="JO40" s="80"/>
      <c r="JP40" s="80"/>
      <c r="JQ40" s="80"/>
      <c r="JR40" s="80"/>
      <c r="JS40" s="80"/>
      <c r="JT40" s="80"/>
      <c r="JU40" s="80"/>
      <c r="JV40" s="80"/>
      <c r="JW40" s="80"/>
      <c r="JX40" s="80"/>
      <c r="JY40" s="80"/>
      <c r="JZ40" s="80"/>
      <c r="KA40" s="80"/>
      <c r="KB40" s="80"/>
      <c r="KC40" s="80"/>
      <c r="KD40" s="80"/>
      <c r="KE40" s="80"/>
      <c r="KF40" s="80"/>
      <c r="KG40" s="80"/>
      <c r="KH40" s="80"/>
      <c r="KI40" s="80"/>
      <c r="KJ40" s="80"/>
      <c r="KK40" s="80"/>
      <c r="KL40" s="80"/>
      <c r="KM40" s="80"/>
      <c r="KN40" s="80"/>
      <c r="KO40" s="80"/>
      <c r="KP40" s="80"/>
      <c r="KQ40" s="80"/>
      <c r="KR40" s="80"/>
      <c r="KS40" s="80"/>
      <c r="KT40" s="80"/>
      <c r="KU40" s="80"/>
      <c r="KV40" s="80"/>
      <c r="KW40" s="80"/>
      <c r="KX40" s="80"/>
      <c r="KY40" s="80"/>
      <c r="KZ40" s="80"/>
      <c r="LA40" s="80"/>
      <c r="LB40" s="80"/>
      <c r="LC40" s="80"/>
      <c r="LD40" s="80"/>
      <c r="LE40" s="80"/>
      <c r="LF40" s="80"/>
      <c r="LG40" s="80"/>
      <c r="LH40" s="80"/>
      <c r="LI40" s="80"/>
      <c r="LJ40" s="80"/>
      <c r="LK40" s="80"/>
      <c r="LL40" s="80"/>
      <c r="LM40" s="80"/>
      <c r="LN40" s="80"/>
      <c r="LO40" s="80"/>
      <c r="LP40" s="80"/>
      <c r="LQ40" s="80"/>
      <c r="LR40" s="80"/>
      <c r="LS40" s="80"/>
      <c r="LT40" s="80"/>
      <c r="LU40" s="80"/>
      <c r="LV40" s="80"/>
      <c r="LW40" s="80"/>
      <c r="LX40" s="80"/>
      <c r="LY40" s="80"/>
      <c r="LZ40" s="80"/>
      <c r="MA40" s="80"/>
      <c r="MB40" s="80"/>
      <c r="MC40" s="80"/>
      <c r="MD40" s="80"/>
      <c r="ME40" s="80"/>
      <c r="MF40" s="80"/>
      <c r="MG40" s="80"/>
      <c r="MH40" s="80"/>
      <c r="MI40" s="80"/>
      <c r="MJ40" s="80"/>
      <c r="MK40" s="80"/>
      <c r="ML40" s="80"/>
      <c r="MM40" s="80"/>
      <c r="MN40" s="80"/>
      <c r="MO40" s="80"/>
      <c r="MP40" s="80"/>
      <c r="MQ40" s="80"/>
      <c r="MR40" s="80"/>
      <c r="MS40" s="80"/>
      <c r="MT40" s="80"/>
      <c r="MU40" s="80"/>
      <c r="MV40" s="80"/>
      <c r="MW40" s="80"/>
      <c r="MX40" s="80"/>
      <c r="MY40" s="80"/>
      <c r="MZ40" s="80"/>
      <c r="NA40" s="80"/>
      <c r="NB40" s="80"/>
      <c r="NC40" s="80"/>
      <c r="ND40" s="80"/>
      <c r="NE40" s="80"/>
      <c r="NF40" s="80"/>
      <c r="NG40" s="80"/>
      <c r="NH40" s="80"/>
      <c r="NI40" s="80"/>
      <c r="NJ40" s="80"/>
      <c r="NK40" s="80"/>
      <c r="NL40" s="80"/>
      <c r="NM40" s="80"/>
      <c r="NN40" s="80"/>
      <c r="NO40" s="80"/>
      <c r="NP40" s="80"/>
      <c r="NQ40" s="80"/>
      <c r="NR40" s="80"/>
      <c r="NS40" s="80"/>
      <c r="NT40" s="80"/>
      <c r="NU40" s="80"/>
      <c r="NV40" s="80"/>
      <c r="NW40" s="80"/>
      <c r="NX40" s="80"/>
      <c r="NY40" s="80"/>
      <c r="NZ40" s="80"/>
      <c r="OA40" s="80"/>
      <c r="OB40" s="80"/>
      <c r="OC40" s="80"/>
      <c r="OD40" s="80"/>
      <c r="OE40" s="80"/>
      <c r="OF40" s="80"/>
      <c r="OG40" s="80"/>
      <c r="OH40" s="80"/>
      <c r="OI40" s="80"/>
      <c r="OJ40" s="81"/>
    </row>
  </sheetData>
  <mergeCells count="19">
    <mergeCell ref="A1:L1"/>
    <mergeCell ref="B25:R25"/>
    <mergeCell ref="A27:R27"/>
    <mergeCell ref="G31:N31"/>
    <mergeCell ref="A3:T3"/>
    <mergeCell ref="B38:C38"/>
    <mergeCell ref="B40:E40"/>
    <mergeCell ref="G28:N28"/>
    <mergeCell ref="J38:N38"/>
    <mergeCell ref="A26:T26"/>
    <mergeCell ref="G29:N29"/>
    <mergeCell ref="A34:T34"/>
    <mergeCell ref="G30:N30"/>
    <mergeCell ref="G32:N32"/>
    <mergeCell ref="A33:R33"/>
    <mergeCell ref="B35:R35"/>
    <mergeCell ref="B36:R36"/>
    <mergeCell ref="B37:R37"/>
    <mergeCell ref="F40:N40"/>
  </mergeCells>
  <hyperlinks>
    <hyperlink ref="Z1" location="'M-INDEX'!A1" tooltip="Volver al Índice Principal" display="⌂ ÍNDICE" xr:uid="{076EA7FD-9CA5-4ECF-BD09-9863C88B4308}"/>
  </hyperlink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DEEAF1"/>
  </sheetPr>
  <dimension ref="A1:Z201"/>
  <sheetViews>
    <sheetView showGridLines="0" topLeftCell="E1" zoomScale="70" zoomScaleNormal="70" workbookViewId="0">
      <pane ySplit="4" topLeftCell="A5" activePane="bottomLeft" state="frozen"/>
      <selection activeCell="E1" sqref="E1"/>
      <selection pane="bottomLeft" sqref="A1:Z1"/>
    </sheetView>
  </sheetViews>
  <sheetFormatPr baseColWidth="10" defaultRowHeight="14.4" x14ac:dyDescent="0.3"/>
  <cols>
    <col min="1" max="1" width="5.21875" style="15" customWidth="1"/>
    <col min="2" max="2" width="17.5546875" style="15" customWidth="1"/>
    <col min="3" max="3" width="13.88671875" style="15" customWidth="1"/>
    <col min="4" max="4" width="12" style="15" customWidth="1"/>
    <col min="5" max="5" width="8.33203125" style="15" customWidth="1"/>
    <col min="6" max="6" width="32.44140625" style="15" customWidth="1"/>
    <col min="7" max="7" width="6.44140625" style="15" customWidth="1"/>
    <col min="8" max="8" width="9.21875" style="15" customWidth="1"/>
    <col min="9" max="10" width="12" style="15" customWidth="1"/>
    <col min="11" max="11" width="14.77734375" style="15" customWidth="1"/>
    <col min="12" max="12" width="18.5546875" style="15" customWidth="1"/>
    <col min="13" max="13" width="20.33203125" style="15" customWidth="1"/>
    <col min="14" max="14" width="12" style="15" customWidth="1"/>
    <col min="15" max="16" width="11.5546875" style="15" customWidth="1"/>
    <col min="17" max="25" width="11.5546875" style="15"/>
    <col min="26" max="26" width="8.33203125" style="15" bestFit="1" customWidth="1"/>
    <col min="27" max="16384" width="11.5546875" style="15"/>
  </cols>
  <sheetData>
    <row r="1" spans="1:26" ht="28.05" customHeight="1" x14ac:dyDescent="0.3">
      <c r="A1" s="1928" t="s">
        <v>4788</v>
      </c>
      <c r="B1" s="1656"/>
      <c r="C1" s="1656"/>
      <c r="D1" s="1656"/>
      <c r="E1" s="1656"/>
      <c r="F1" s="1656"/>
      <c r="G1" s="1656"/>
      <c r="H1" s="1656"/>
      <c r="I1" s="1656"/>
      <c r="J1" s="1656"/>
      <c r="K1" s="1656"/>
      <c r="L1" s="1656"/>
      <c r="M1" s="523" t="str">
        <f>HYPERLINK("#'CEDULAS'!A1","CEDULAS  ›")</f>
        <v>CEDULAS  ›</v>
      </c>
      <c r="N1" s="523" t="str">
        <f>HYPERLINK("#'DASHBOARD'!A1","DASHBOARD  ›")</f>
        <v>DASHBOARD  ›</v>
      </c>
      <c r="O1" s="92"/>
      <c r="P1" s="92"/>
      <c r="Q1" s="92"/>
      <c r="R1" s="92"/>
      <c r="S1" s="92"/>
      <c r="T1" s="92"/>
      <c r="U1" s="92"/>
      <c r="V1" s="92"/>
      <c r="W1" s="92"/>
      <c r="X1" s="92"/>
      <c r="Y1" s="92"/>
      <c r="Z1" s="93" t="s">
        <v>4300</v>
      </c>
    </row>
    <row r="2" spans="1:26" ht="19.95" customHeight="1" x14ac:dyDescent="0.3">
      <c r="A2" s="472"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473"/>
      <c r="N2" s="473"/>
      <c r="O2" s="94"/>
      <c r="P2" s="94"/>
      <c r="Q2" s="94"/>
      <c r="R2" s="94"/>
      <c r="S2" s="94"/>
      <c r="T2" s="94"/>
      <c r="U2" s="94"/>
      <c r="V2" s="94"/>
      <c r="W2" s="94"/>
      <c r="X2" s="94"/>
      <c r="Y2" s="94"/>
      <c r="Z2" s="94"/>
    </row>
    <row r="3" spans="1:26" ht="16.05" customHeight="1" thickBot="1" x14ac:dyDescent="0.35">
      <c r="A3" s="1658" t="s">
        <v>4063</v>
      </c>
      <c r="B3" s="1658"/>
      <c r="C3" s="1658"/>
      <c r="D3" s="1658"/>
      <c r="E3" s="1658"/>
      <c r="F3" s="1658"/>
      <c r="G3" s="1658"/>
      <c r="H3" s="1658"/>
      <c r="I3" s="1658"/>
      <c r="J3" s="1658"/>
      <c r="K3" s="1658"/>
      <c r="L3" s="1658"/>
      <c r="M3" s="1782"/>
      <c r="N3" s="1782"/>
      <c r="O3" s="196"/>
      <c r="P3" s="196"/>
      <c r="Q3" s="196"/>
      <c r="R3" s="196"/>
      <c r="S3" s="196"/>
      <c r="T3" s="196"/>
      <c r="U3" s="196"/>
      <c r="V3" s="196"/>
      <c r="W3" s="196"/>
      <c r="X3" s="196"/>
      <c r="Y3" s="196"/>
      <c r="Z3" s="196"/>
    </row>
    <row r="4" spans="1:26" ht="30" customHeight="1" thickTop="1" thickBot="1" x14ac:dyDescent="0.35">
      <c r="A4" s="764" t="s">
        <v>1215</v>
      </c>
      <c r="B4" s="756" t="s">
        <v>1216</v>
      </c>
      <c r="C4" s="659" t="s">
        <v>1217</v>
      </c>
      <c r="D4" s="659" t="s">
        <v>1218</v>
      </c>
      <c r="E4" s="659" t="s">
        <v>1219</v>
      </c>
      <c r="F4" s="659" t="s">
        <v>1220</v>
      </c>
      <c r="G4" s="659" t="s">
        <v>1221</v>
      </c>
      <c r="H4" s="659" t="s">
        <v>1222</v>
      </c>
      <c r="I4" s="659" t="s">
        <v>1223</v>
      </c>
      <c r="J4" s="659" t="s">
        <v>1224</v>
      </c>
      <c r="K4" s="659" t="s">
        <v>1225</v>
      </c>
      <c r="L4" s="659" t="s">
        <v>1226</v>
      </c>
      <c r="M4" s="659" t="s">
        <v>1227</v>
      </c>
      <c r="N4" s="660" t="s">
        <v>1228</v>
      </c>
      <c r="O4" s="573"/>
      <c r="P4" s="197"/>
      <c r="Q4" s="197"/>
      <c r="R4" s="197"/>
      <c r="S4" s="197"/>
      <c r="T4" s="197"/>
      <c r="U4" s="197"/>
      <c r="V4" s="197"/>
      <c r="W4" s="197"/>
      <c r="X4" s="197"/>
      <c r="Y4" s="197"/>
      <c r="Z4" s="198"/>
    </row>
    <row r="5" spans="1:26" ht="30" customHeight="1" thickBot="1" x14ac:dyDescent="0.35">
      <c r="A5" s="1507">
        <v>2023</v>
      </c>
      <c r="B5" s="757">
        <v>1</v>
      </c>
      <c r="C5" s="676" t="s">
        <v>1229</v>
      </c>
      <c r="D5" s="676">
        <v>322300013</v>
      </c>
      <c r="E5" s="676" t="s">
        <v>1230</v>
      </c>
      <c r="F5" s="676" t="s">
        <v>1231</v>
      </c>
      <c r="G5" s="676">
        <v>1</v>
      </c>
      <c r="H5" s="676" t="s">
        <v>1232</v>
      </c>
      <c r="I5" s="723">
        <v>1000</v>
      </c>
      <c r="J5" s="723">
        <v>1000</v>
      </c>
      <c r="K5" s="676" t="s">
        <v>1233</v>
      </c>
      <c r="L5" s="676" t="s">
        <v>103</v>
      </c>
      <c r="M5" s="676" t="s">
        <v>1234</v>
      </c>
      <c r="N5" s="724" t="s">
        <v>1235</v>
      </c>
      <c r="O5" s="574"/>
      <c r="P5" s="199"/>
      <c r="Q5" s="199"/>
      <c r="R5" s="199"/>
      <c r="S5" s="199"/>
      <c r="T5" s="199"/>
      <c r="U5" s="199"/>
      <c r="V5" s="199"/>
      <c r="W5" s="199"/>
      <c r="X5" s="199"/>
      <c r="Y5" s="199"/>
      <c r="Z5" s="200"/>
    </row>
    <row r="6" spans="1:26" ht="30" customHeight="1" thickBot="1" x14ac:dyDescent="0.35">
      <c r="A6" s="765">
        <v>2023</v>
      </c>
      <c r="B6" s="758">
        <v>7</v>
      </c>
      <c r="C6" s="726" t="s">
        <v>1236</v>
      </c>
      <c r="D6" s="725">
        <v>625830011</v>
      </c>
      <c r="E6" s="726" t="s">
        <v>1230</v>
      </c>
      <c r="F6" s="727" t="s">
        <v>1237</v>
      </c>
      <c r="G6" s="725">
        <v>1</v>
      </c>
      <c r="H6" s="595" t="s">
        <v>1232</v>
      </c>
      <c r="I6" s="728">
        <v>15000</v>
      </c>
      <c r="J6" s="728">
        <v>15000</v>
      </c>
      <c r="K6" s="726" t="s">
        <v>1233</v>
      </c>
      <c r="L6" s="726" t="s">
        <v>103</v>
      </c>
      <c r="M6" s="727" t="s">
        <v>1234</v>
      </c>
      <c r="N6" s="729" t="s">
        <v>1235</v>
      </c>
      <c r="O6" s="575"/>
      <c r="P6" s="201"/>
      <c r="Q6" s="201"/>
      <c r="R6" s="201"/>
      <c r="S6" s="201"/>
      <c r="T6" s="201"/>
      <c r="U6" s="201"/>
      <c r="V6" s="201"/>
      <c r="W6" s="201"/>
      <c r="X6" s="201"/>
      <c r="Y6" s="201"/>
      <c r="Z6" s="202"/>
    </row>
    <row r="7" spans="1:26" ht="30" customHeight="1" thickBot="1" x14ac:dyDescent="0.35">
      <c r="A7" s="1510">
        <v>2023</v>
      </c>
      <c r="B7" s="759">
        <v>8</v>
      </c>
      <c r="C7" s="731" t="s">
        <v>1238</v>
      </c>
      <c r="D7" s="730">
        <v>713340112</v>
      </c>
      <c r="E7" s="731" t="s">
        <v>1239</v>
      </c>
      <c r="F7" s="732" t="s">
        <v>1240</v>
      </c>
      <c r="G7" s="730">
        <v>1</v>
      </c>
      <c r="H7" s="590" t="s">
        <v>1232</v>
      </c>
      <c r="I7" s="733">
        <v>120000</v>
      </c>
      <c r="J7" s="733">
        <v>120000</v>
      </c>
      <c r="K7" s="731" t="s">
        <v>1233</v>
      </c>
      <c r="L7" s="731" t="s">
        <v>103</v>
      </c>
      <c r="M7" s="732" t="s">
        <v>1234</v>
      </c>
      <c r="N7" s="734" t="s">
        <v>1235</v>
      </c>
      <c r="O7" s="576"/>
      <c r="P7" s="203"/>
      <c r="Q7" s="203"/>
      <c r="R7" s="203"/>
      <c r="S7" s="203"/>
      <c r="T7" s="203"/>
      <c r="U7" s="203"/>
      <c r="V7" s="203"/>
      <c r="W7" s="203"/>
      <c r="X7" s="203"/>
      <c r="Y7" s="203"/>
      <c r="Z7" s="204"/>
    </row>
    <row r="8" spans="1:26" ht="30" customHeight="1" thickBot="1" x14ac:dyDescent="0.35">
      <c r="A8" s="765">
        <v>2023</v>
      </c>
      <c r="B8" s="758">
        <v>11</v>
      </c>
      <c r="C8" s="726" t="s">
        <v>1241</v>
      </c>
      <c r="D8" s="725">
        <v>532900011</v>
      </c>
      <c r="E8" s="726" t="s">
        <v>1242</v>
      </c>
      <c r="F8" s="727" t="s">
        <v>1243</v>
      </c>
      <c r="G8" s="725">
        <v>1</v>
      </c>
      <c r="H8" s="595" t="s">
        <v>1232</v>
      </c>
      <c r="I8" s="728">
        <v>213000</v>
      </c>
      <c r="J8" s="728">
        <v>213000</v>
      </c>
      <c r="K8" s="726" t="s">
        <v>1233</v>
      </c>
      <c r="L8" s="726" t="s">
        <v>495</v>
      </c>
      <c r="M8" s="727" t="s">
        <v>747</v>
      </c>
      <c r="N8" s="735" t="s">
        <v>1244</v>
      </c>
      <c r="O8" s="575"/>
      <c r="P8" s="201"/>
      <c r="Q8" s="201"/>
      <c r="R8" s="201"/>
      <c r="S8" s="201"/>
      <c r="T8" s="201"/>
      <c r="U8" s="201"/>
      <c r="V8" s="201"/>
      <c r="W8" s="201"/>
      <c r="X8" s="201"/>
      <c r="Y8" s="201"/>
      <c r="Z8" s="202"/>
    </row>
    <row r="9" spans="1:26" ht="30" customHeight="1" thickBot="1" x14ac:dyDescent="0.35">
      <c r="A9" s="1510">
        <v>2023</v>
      </c>
      <c r="B9" s="759">
        <v>12</v>
      </c>
      <c r="C9" s="731" t="s">
        <v>1245</v>
      </c>
      <c r="D9" s="730">
        <v>532510012</v>
      </c>
      <c r="E9" s="731" t="s">
        <v>1230</v>
      </c>
      <c r="F9" s="732" t="s">
        <v>1246</v>
      </c>
      <c r="G9" s="730">
        <v>1</v>
      </c>
      <c r="H9" s="590" t="s">
        <v>1232</v>
      </c>
      <c r="I9" s="733">
        <v>220000</v>
      </c>
      <c r="J9" s="733">
        <v>220000</v>
      </c>
      <c r="K9" s="731" t="s">
        <v>1233</v>
      </c>
      <c r="L9" s="731" t="s">
        <v>495</v>
      </c>
      <c r="M9" s="732" t="s">
        <v>747</v>
      </c>
      <c r="N9" s="736" t="s">
        <v>1244</v>
      </c>
      <c r="O9" s="576"/>
      <c r="P9" s="203"/>
      <c r="Q9" s="203"/>
      <c r="R9" s="203"/>
      <c r="S9" s="203"/>
      <c r="T9" s="203"/>
      <c r="U9" s="203"/>
      <c r="V9" s="203"/>
      <c r="W9" s="203"/>
      <c r="X9" s="203"/>
      <c r="Y9" s="203"/>
      <c r="Z9" s="204"/>
    </row>
    <row r="10" spans="1:26" ht="30" customHeight="1" thickBot="1" x14ac:dyDescent="0.35">
      <c r="A10" s="765">
        <v>2023</v>
      </c>
      <c r="B10" s="758">
        <v>13</v>
      </c>
      <c r="C10" s="726" t="s">
        <v>1247</v>
      </c>
      <c r="D10" s="725">
        <v>881600011</v>
      </c>
      <c r="E10" s="726" t="s">
        <v>1230</v>
      </c>
      <c r="F10" s="727" t="s">
        <v>1248</v>
      </c>
      <c r="G10" s="725">
        <v>1</v>
      </c>
      <c r="H10" s="595" t="s">
        <v>1232</v>
      </c>
      <c r="I10" s="728">
        <v>40000</v>
      </c>
      <c r="J10" s="728">
        <v>40000</v>
      </c>
      <c r="K10" s="726" t="s">
        <v>1233</v>
      </c>
      <c r="L10" s="726" t="s">
        <v>495</v>
      </c>
      <c r="M10" s="727" t="s">
        <v>747</v>
      </c>
      <c r="N10" s="735" t="s">
        <v>1244</v>
      </c>
      <c r="O10" s="575"/>
      <c r="P10" s="201"/>
      <c r="Q10" s="201"/>
      <c r="R10" s="201"/>
      <c r="S10" s="201"/>
      <c r="T10" s="201"/>
      <c r="U10" s="201"/>
      <c r="V10" s="201"/>
      <c r="W10" s="201"/>
      <c r="X10" s="201"/>
      <c r="Y10" s="201"/>
      <c r="Z10" s="202"/>
    </row>
    <row r="11" spans="1:26" ht="30" customHeight="1" thickBot="1" x14ac:dyDescent="0.35">
      <c r="A11" s="1510">
        <v>2023</v>
      </c>
      <c r="B11" s="759">
        <v>14</v>
      </c>
      <c r="C11" s="731" t="s">
        <v>1249</v>
      </c>
      <c r="D11" s="730">
        <v>932900011</v>
      </c>
      <c r="E11" s="731" t="s">
        <v>1242</v>
      </c>
      <c r="F11" s="732" t="s">
        <v>1250</v>
      </c>
      <c r="G11" s="730">
        <v>1</v>
      </c>
      <c r="H11" s="590" t="s">
        <v>1232</v>
      </c>
      <c r="I11" s="733">
        <v>389657.49</v>
      </c>
      <c r="J11" s="733">
        <v>389657.49</v>
      </c>
      <c r="K11" s="731" t="s">
        <v>1233</v>
      </c>
      <c r="L11" s="731" t="s">
        <v>495</v>
      </c>
      <c r="M11" s="732" t="s">
        <v>747</v>
      </c>
      <c r="N11" s="736" t="s">
        <v>1244</v>
      </c>
      <c r="O11" s="576"/>
      <c r="P11" s="203"/>
      <c r="Q11" s="203"/>
      <c r="R11" s="203"/>
      <c r="S11" s="203"/>
      <c r="T11" s="203"/>
      <c r="U11" s="203"/>
      <c r="V11" s="203"/>
      <c r="W11" s="203"/>
      <c r="X11" s="203"/>
      <c r="Y11" s="203"/>
      <c r="Z11" s="204"/>
    </row>
    <row r="12" spans="1:26" ht="30" customHeight="1" thickBot="1" x14ac:dyDescent="0.35">
      <c r="A12" s="765">
        <v>2023</v>
      </c>
      <c r="B12" s="758">
        <v>21</v>
      </c>
      <c r="C12" s="725">
        <v>750105.01699999999</v>
      </c>
      <c r="D12" s="725">
        <v>120100013</v>
      </c>
      <c r="E12" s="726" t="s">
        <v>1242</v>
      </c>
      <c r="F12" s="737" t="s">
        <v>1251</v>
      </c>
      <c r="G12" s="725">
        <v>1</v>
      </c>
      <c r="H12" s="595" t="s">
        <v>1232</v>
      </c>
      <c r="I12" s="728">
        <v>127060</v>
      </c>
      <c r="J12" s="728">
        <v>127060</v>
      </c>
      <c r="K12" s="726" t="s">
        <v>1233</v>
      </c>
      <c r="L12" s="726" t="s">
        <v>539</v>
      </c>
      <c r="M12" s="727" t="s">
        <v>1252</v>
      </c>
      <c r="N12" s="735" t="s">
        <v>1244</v>
      </c>
      <c r="O12" s="575"/>
      <c r="P12" s="201"/>
      <c r="Q12" s="201"/>
      <c r="R12" s="201"/>
      <c r="S12" s="201"/>
      <c r="T12" s="201"/>
      <c r="U12" s="201"/>
      <c r="V12" s="201"/>
      <c r="W12" s="201"/>
      <c r="X12" s="201"/>
      <c r="Y12" s="201"/>
      <c r="Z12" s="202"/>
    </row>
    <row r="13" spans="1:26" ht="30" customHeight="1" thickBot="1" x14ac:dyDescent="0.35">
      <c r="A13" s="1510">
        <v>2023</v>
      </c>
      <c r="B13" s="759">
        <v>22</v>
      </c>
      <c r="C13" s="731" t="s">
        <v>1253</v>
      </c>
      <c r="D13" s="730">
        <v>532900011</v>
      </c>
      <c r="E13" s="731" t="s">
        <v>1242</v>
      </c>
      <c r="F13" s="732" t="s">
        <v>1254</v>
      </c>
      <c r="G13" s="730">
        <v>1</v>
      </c>
      <c r="H13" s="590" t="s">
        <v>1232</v>
      </c>
      <c r="I13" s="733">
        <v>242500</v>
      </c>
      <c r="J13" s="733">
        <v>242500</v>
      </c>
      <c r="K13" s="731" t="s">
        <v>1233</v>
      </c>
      <c r="L13" s="731" t="s">
        <v>539</v>
      </c>
      <c r="M13" s="732" t="s">
        <v>1252</v>
      </c>
      <c r="N13" s="736" t="s">
        <v>1244</v>
      </c>
      <c r="O13" s="576"/>
      <c r="P13" s="203"/>
      <c r="Q13" s="203"/>
      <c r="R13" s="203"/>
      <c r="S13" s="203"/>
      <c r="T13" s="203"/>
      <c r="U13" s="203"/>
      <c r="V13" s="203"/>
      <c r="W13" s="203"/>
      <c r="X13" s="203"/>
      <c r="Y13" s="203"/>
      <c r="Z13" s="204"/>
    </row>
    <row r="14" spans="1:26" ht="30" customHeight="1" thickBot="1" x14ac:dyDescent="0.35">
      <c r="A14" s="765">
        <v>2023</v>
      </c>
      <c r="B14" s="758">
        <v>23</v>
      </c>
      <c r="C14" s="726" t="s">
        <v>1255</v>
      </c>
      <c r="D14" s="725">
        <v>532900011</v>
      </c>
      <c r="E14" s="726" t="s">
        <v>1242</v>
      </c>
      <c r="F14" s="727" t="s">
        <v>1256</v>
      </c>
      <c r="G14" s="725">
        <v>1</v>
      </c>
      <c r="H14" s="595" t="s">
        <v>1232</v>
      </c>
      <c r="I14" s="728">
        <v>800000</v>
      </c>
      <c r="J14" s="728">
        <v>800000</v>
      </c>
      <c r="K14" s="726" t="s">
        <v>1233</v>
      </c>
      <c r="L14" s="726" t="s">
        <v>539</v>
      </c>
      <c r="M14" s="727" t="s">
        <v>1252</v>
      </c>
      <c r="N14" s="735" t="s">
        <v>1244</v>
      </c>
      <c r="O14" s="575"/>
      <c r="P14" s="201"/>
      <c r="Q14" s="201"/>
      <c r="R14" s="201"/>
      <c r="S14" s="201"/>
      <c r="T14" s="201"/>
      <c r="U14" s="201"/>
      <c r="V14" s="201"/>
      <c r="W14" s="201"/>
      <c r="X14" s="201"/>
      <c r="Y14" s="201"/>
      <c r="Z14" s="202"/>
    </row>
    <row r="15" spans="1:26" ht="30" customHeight="1" thickBot="1" x14ac:dyDescent="0.35">
      <c r="A15" s="1510">
        <v>2023</v>
      </c>
      <c r="B15" s="759">
        <v>24</v>
      </c>
      <c r="C15" s="730">
        <v>750105.01599999995</v>
      </c>
      <c r="D15" s="730">
        <v>532510011</v>
      </c>
      <c r="E15" s="731" t="s">
        <v>1230</v>
      </c>
      <c r="F15" s="732" t="s">
        <v>1257</v>
      </c>
      <c r="G15" s="730">
        <v>1</v>
      </c>
      <c r="H15" s="590" t="s">
        <v>1232</v>
      </c>
      <c r="I15" s="733">
        <v>150000</v>
      </c>
      <c r="J15" s="733">
        <v>150000</v>
      </c>
      <c r="K15" s="731" t="s">
        <v>1233</v>
      </c>
      <c r="L15" s="731" t="s">
        <v>539</v>
      </c>
      <c r="M15" s="732" t="s">
        <v>1252</v>
      </c>
      <c r="N15" s="736" t="s">
        <v>1244</v>
      </c>
      <c r="O15" s="576"/>
      <c r="P15" s="203"/>
      <c r="Q15" s="203"/>
      <c r="R15" s="203"/>
      <c r="S15" s="203"/>
      <c r="T15" s="203"/>
      <c r="U15" s="203"/>
      <c r="V15" s="203"/>
      <c r="W15" s="203"/>
      <c r="X15" s="203"/>
      <c r="Y15" s="203"/>
      <c r="Z15" s="204"/>
    </row>
    <row r="16" spans="1:26" ht="30" customHeight="1" thickBot="1" x14ac:dyDescent="0.35">
      <c r="A16" s="765">
        <v>2023</v>
      </c>
      <c r="B16" s="758">
        <v>25</v>
      </c>
      <c r="C16" s="726" t="s">
        <v>1255</v>
      </c>
      <c r="D16" s="725">
        <v>532900011</v>
      </c>
      <c r="E16" s="726" t="s">
        <v>1242</v>
      </c>
      <c r="F16" s="727" t="s">
        <v>1258</v>
      </c>
      <c r="G16" s="725">
        <v>1</v>
      </c>
      <c r="H16" s="595" t="s">
        <v>1232</v>
      </c>
      <c r="I16" s="728">
        <v>604996.01</v>
      </c>
      <c r="J16" s="728">
        <v>604996.01</v>
      </c>
      <c r="K16" s="726" t="s">
        <v>1233</v>
      </c>
      <c r="L16" s="726" t="s">
        <v>539</v>
      </c>
      <c r="M16" s="727" t="s">
        <v>1252</v>
      </c>
      <c r="N16" s="735" t="s">
        <v>1244</v>
      </c>
      <c r="O16" s="575"/>
      <c r="P16" s="201"/>
      <c r="Q16" s="201"/>
      <c r="R16" s="201"/>
      <c r="S16" s="201"/>
      <c r="T16" s="201"/>
      <c r="U16" s="201"/>
      <c r="V16" s="201"/>
      <c r="W16" s="201"/>
      <c r="X16" s="201"/>
      <c r="Y16" s="201"/>
      <c r="Z16" s="202"/>
    </row>
    <row r="17" spans="1:26" ht="30" customHeight="1" thickBot="1" x14ac:dyDescent="0.35">
      <c r="A17" s="1510">
        <v>2023</v>
      </c>
      <c r="B17" s="759">
        <v>27</v>
      </c>
      <c r="C17" s="730">
        <v>750504.00100000005</v>
      </c>
      <c r="D17" s="730">
        <v>871520211</v>
      </c>
      <c r="E17" s="731" t="s">
        <v>1242</v>
      </c>
      <c r="F17" s="732" t="s">
        <v>1259</v>
      </c>
      <c r="G17" s="730">
        <v>1</v>
      </c>
      <c r="H17" s="590" t="s">
        <v>1232</v>
      </c>
      <c r="I17" s="733">
        <v>108741.21</v>
      </c>
      <c r="J17" s="733">
        <v>108741.21</v>
      </c>
      <c r="K17" s="731" t="s">
        <v>1233</v>
      </c>
      <c r="L17" s="731" t="s">
        <v>711</v>
      </c>
      <c r="M17" s="732" t="s">
        <v>1260</v>
      </c>
      <c r="N17" s="736" t="s">
        <v>1244</v>
      </c>
      <c r="O17" s="576"/>
      <c r="P17" s="203"/>
      <c r="Q17" s="203"/>
      <c r="R17" s="203"/>
      <c r="S17" s="203"/>
      <c r="T17" s="203"/>
      <c r="U17" s="203"/>
      <c r="V17" s="203"/>
      <c r="W17" s="203"/>
      <c r="X17" s="203"/>
      <c r="Y17" s="203"/>
      <c r="Z17" s="204"/>
    </row>
    <row r="18" spans="1:26" ht="30" customHeight="1" thickBot="1" x14ac:dyDescent="0.35">
      <c r="A18" s="765">
        <v>2023</v>
      </c>
      <c r="B18" s="758">
        <v>28</v>
      </c>
      <c r="C18" s="726" t="s">
        <v>1261</v>
      </c>
      <c r="D18" s="725">
        <v>546190012</v>
      </c>
      <c r="E18" s="726" t="s">
        <v>1239</v>
      </c>
      <c r="F18" s="727" t="s">
        <v>1262</v>
      </c>
      <c r="G18" s="725">
        <v>1</v>
      </c>
      <c r="H18" s="595" t="s">
        <v>1232</v>
      </c>
      <c r="I18" s="728">
        <v>378584.89</v>
      </c>
      <c r="J18" s="728">
        <v>378584.89</v>
      </c>
      <c r="K18" s="726" t="s">
        <v>1233</v>
      </c>
      <c r="L18" s="726" t="s">
        <v>539</v>
      </c>
      <c r="M18" s="727" t="s">
        <v>1252</v>
      </c>
      <c r="N18" s="735" t="s">
        <v>1244</v>
      </c>
      <c r="O18" s="575"/>
      <c r="P18" s="201"/>
      <c r="Q18" s="201"/>
      <c r="R18" s="201"/>
      <c r="S18" s="201"/>
      <c r="T18" s="201"/>
      <c r="U18" s="201"/>
      <c r="V18" s="201"/>
      <c r="W18" s="201"/>
      <c r="X18" s="201"/>
      <c r="Y18" s="201"/>
      <c r="Z18" s="202"/>
    </row>
    <row r="19" spans="1:26" ht="30" customHeight="1" thickBot="1" x14ac:dyDescent="0.35">
      <c r="A19" s="1510">
        <v>2023</v>
      </c>
      <c r="B19" s="759">
        <v>32</v>
      </c>
      <c r="C19" s="730">
        <v>750101.00199999998</v>
      </c>
      <c r="D19" s="730">
        <v>532510014</v>
      </c>
      <c r="E19" s="731" t="s">
        <v>1242</v>
      </c>
      <c r="F19" s="738" t="s">
        <v>1263</v>
      </c>
      <c r="G19" s="730">
        <v>1</v>
      </c>
      <c r="H19" s="590" t="s">
        <v>1232</v>
      </c>
      <c r="I19" s="733">
        <v>249859.46</v>
      </c>
      <c r="J19" s="733">
        <v>249859.46</v>
      </c>
      <c r="K19" s="731" t="s">
        <v>1233</v>
      </c>
      <c r="L19" s="731" t="s">
        <v>507</v>
      </c>
      <c r="M19" s="732" t="s">
        <v>748</v>
      </c>
      <c r="N19" s="736" t="s">
        <v>1244</v>
      </c>
      <c r="O19" s="576"/>
      <c r="P19" s="203"/>
      <c r="Q19" s="203"/>
      <c r="R19" s="203"/>
      <c r="S19" s="203"/>
      <c r="T19" s="203"/>
      <c r="U19" s="203"/>
      <c r="V19" s="203"/>
      <c r="W19" s="203"/>
      <c r="X19" s="203"/>
      <c r="Y19" s="203"/>
      <c r="Z19" s="204"/>
    </row>
    <row r="20" spans="1:26" ht="30" customHeight="1" thickBot="1" x14ac:dyDescent="0.35">
      <c r="A20" s="765">
        <v>2023</v>
      </c>
      <c r="B20" s="758">
        <v>33</v>
      </c>
      <c r="C20" s="726" t="s">
        <v>1264</v>
      </c>
      <c r="D20" s="725">
        <v>881600011</v>
      </c>
      <c r="E20" s="726" t="s">
        <v>1239</v>
      </c>
      <c r="F20" s="727" t="s">
        <v>1265</v>
      </c>
      <c r="G20" s="725">
        <v>1</v>
      </c>
      <c r="H20" s="595" t="s">
        <v>1232</v>
      </c>
      <c r="I20" s="728">
        <v>2000</v>
      </c>
      <c r="J20" s="728">
        <v>2000</v>
      </c>
      <c r="K20" s="726" t="s">
        <v>1233</v>
      </c>
      <c r="L20" s="726" t="s">
        <v>470</v>
      </c>
      <c r="M20" s="727" t="s">
        <v>760</v>
      </c>
      <c r="N20" s="735" t="s">
        <v>1244</v>
      </c>
      <c r="O20" s="575"/>
      <c r="P20" s="201"/>
      <c r="Q20" s="201"/>
      <c r="R20" s="201"/>
      <c r="S20" s="201"/>
      <c r="T20" s="201"/>
      <c r="U20" s="201"/>
      <c r="V20" s="201"/>
      <c r="W20" s="201"/>
      <c r="X20" s="201"/>
      <c r="Y20" s="201"/>
      <c r="Z20" s="202"/>
    </row>
    <row r="21" spans="1:26" ht="30" customHeight="1" thickBot="1" x14ac:dyDescent="0.35">
      <c r="A21" s="1510">
        <v>2023</v>
      </c>
      <c r="B21" s="759">
        <v>34</v>
      </c>
      <c r="C21" s="731" t="s">
        <v>1266</v>
      </c>
      <c r="D21" s="730">
        <v>512900011</v>
      </c>
      <c r="E21" s="731" t="s">
        <v>1230</v>
      </c>
      <c r="F21" s="732" t="s">
        <v>1267</v>
      </c>
      <c r="G21" s="730">
        <v>1</v>
      </c>
      <c r="H21" s="590" t="s">
        <v>1232</v>
      </c>
      <c r="I21" s="733">
        <v>150000</v>
      </c>
      <c r="J21" s="733">
        <v>150000</v>
      </c>
      <c r="K21" s="731" t="s">
        <v>1233</v>
      </c>
      <c r="L21" s="731" t="s">
        <v>633</v>
      </c>
      <c r="M21" s="732" t="s">
        <v>1268</v>
      </c>
      <c r="N21" s="736" t="s">
        <v>1244</v>
      </c>
      <c r="O21" s="576"/>
      <c r="P21" s="203"/>
      <c r="Q21" s="203"/>
      <c r="R21" s="203"/>
      <c r="S21" s="203"/>
      <c r="T21" s="203"/>
      <c r="U21" s="203"/>
      <c r="V21" s="203"/>
      <c r="W21" s="203"/>
      <c r="X21" s="203"/>
      <c r="Y21" s="203"/>
      <c r="Z21" s="204"/>
    </row>
    <row r="22" spans="1:26" ht="30" customHeight="1" thickBot="1" x14ac:dyDescent="0.35">
      <c r="A22" s="765">
        <v>2023</v>
      </c>
      <c r="B22" s="758">
        <v>35</v>
      </c>
      <c r="C22" s="726" t="s">
        <v>1269</v>
      </c>
      <c r="D22" s="725">
        <v>873400034</v>
      </c>
      <c r="E22" s="726" t="s">
        <v>1239</v>
      </c>
      <c r="F22" s="727" t="s">
        <v>1270</v>
      </c>
      <c r="G22" s="725">
        <v>1</v>
      </c>
      <c r="H22" s="595" t="s">
        <v>1232</v>
      </c>
      <c r="I22" s="728">
        <v>12000</v>
      </c>
      <c r="J22" s="728">
        <v>12000</v>
      </c>
      <c r="K22" s="726" t="s">
        <v>1233</v>
      </c>
      <c r="L22" s="726" t="s">
        <v>633</v>
      </c>
      <c r="M22" s="727" t="s">
        <v>1268</v>
      </c>
      <c r="N22" s="735" t="s">
        <v>1244</v>
      </c>
      <c r="O22" s="575"/>
      <c r="P22" s="201"/>
      <c r="Q22" s="201"/>
      <c r="R22" s="201"/>
      <c r="S22" s="201"/>
      <c r="T22" s="201"/>
      <c r="U22" s="201"/>
      <c r="V22" s="201"/>
      <c r="W22" s="201"/>
      <c r="X22" s="201"/>
      <c r="Y22" s="201"/>
      <c r="Z22" s="202"/>
    </row>
    <row r="23" spans="1:26" ht="30" customHeight="1" thickBot="1" x14ac:dyDescent="0.35">
      <c r="A23" s="1510">
        <v>2023</v>
      </c>
      <c r="B23" s="759">
        <v>36</v>
      </c>
      <c r="C23" s="731" t="s">
        <v>1271</v>
      </c>
      <c r="D23" s="730">
        <v>532900011</v>
      </c>
      <c r="E23" s="731" t="s">
        <v>1242</v>
      </c>
      <c r="F23" s="732" t="s">
        <v>1272</v>
      </c>
      <c r="G23" s="730">
        <v>1</v>
      </c>
      <c r="H23" s="590" t="s">
        <v>1232</v>
      </c>
      <c r="I23" s="733">
        <v>41255.800000000003</v>
      </c>
      <c r="J23" s="733">
        <v>41255.800000000003</v>
      </c>
      <c r="K23" s="731" t="s">
        <v>1233</v>
      </c>
      <c r="L23" s="731" t="s">
        <v>687</v>
      </c>
      <c r="M23" s="732" t="s">
        <v>750</v>
      </c>
      <c r="N23" s="736" t="s">
        <v>1244</v>
      </c>
      <c r="O23" s="576"/>
      <c r="P23" s="203"/>
      <c r="Q23" s="203"/>
      <c r="R23" s="203"/>
      <c r="S23" s="203"/>
      <c r="T23" s="203"/>
      <c r="U23" s="203"/>
      <c r="V23" s="203"/>
      <c r="W23" s="203"/>
      <c r="X23" s="203"/>
      <c r="Y23" s="203"/>
      <c r="Z23" s="204"/>
    </row>
    <row r="24" spans="1:26" ht="30" customHeight="1" thickBot="1" x14ac:dyDescent="0.35">
      <c r="A24" s="765">
        <v>2023</v>
      </c>
      <c r="B24" s="758">
        <v>37</v>
      </c>
      <c r="C24" s="726" t="s">
        <v>1273</v>
      </c>
      <c r="D24" s="725">
        <v>912200211</v>
      </c>
      <c r="E24" s="726" t="s">
        <v>1239</v>
      </c>
      <c r="F24" s="727" t="s">
        <v>1274</v>
      </c>
      <c r="G24" s="725">
        <v>1</v>
      </c>
      <c r="H24" s="595" t="s">
        <v>1232</v>
      </c>
      <c r="I24" s="728">
        <v>12000</v>
      </c>
      <c r="J24" s="728">
        <v>12000</v>
      </c>
      <c r="K24" s="726" t="s">
        <v>1233</v>
      </c>
      <c r="L24" s="726" t="s">
        <v>53</v>
      </c>
      <c r="M24" s="727" t="s">
        <v>1275</v>
      </c>
      <c r="N24" s="735" t="s">
        <v>1244</v>
      </c>
      <c r="O24" s="575"/>
      <c r="P24" s="201"/>
      <c r="Q24" s="201"/>
      <c r="R24" s="201"/>
      <c r="S24" s="201"/>
      <c r="T24" s="201"/>
      <c r="U24" s="201"/>
      <c r="V24" s="201"/>
      <c r="W24" s="201"/>
      <c r="X24" s="201"/>
      <c r="Y24" s="201"/>
      <c r="Z24" s="202"/>
    </row>
    <row r="25" spans="1:26" ht="30" customHeight="1" thickBot="1" x14ac:dyDescent="0.35">
      <c r="A25" s="1510">
        <v>2023</v>
      </c>
      <c r="B25" s="759">
        <v>38</v>
      </c>
      <c r="C25" s="731" t="s">
        <v>1276</v>
      </c>
      <c r="D25" s="730">
        <v>912200211</v>
      </c>
      <c r="E25" s="731" t="s">
        <v>1239</v>
      </c>
      <c r="F25" s="738" t="s">
        <v>1277</v>
      </c>
      <c r="G25" s="730">
        <v>1</v>
      </c>
      <c r="H25" s="590" t="s">
        <v>1232</v>
      </c>
      <c r="I25" s="733">
        <v>8000</v>
      </c>
      <c r="J25" s="733">
        <v>8000</v>
      </c>
      <c r="K25" s="731" t="s">
        <v>1233</v>
      </c>
      <c r="L25" s="731" t="s">
        <v>53</v>
      </c>
      <c r="M25" s="732" t="s">
        <v>1275</v>
      </c>
      <c r="N25" s="736" t="s">
        <v>1244</v>
      </c>
      <c r="O25" s="576"/>
      <c r="P25" s="203"/>
      <c r="Q25" s="203"/>
      <c r="R25" s="203"/>
      <c r="S25" s="203"/>
      <c r="T25" s="203"/>
      <c r="U25" s="203"/>
      <c r="V25" s="203"/>
      <c r="W25" s="203"/>
      <c r="X25" s="203"/>
      <c r="Y25" s="203"/>
      <c r="Z25" s="204"/>
    </row>
    <row r="26" spans="1:26" ht="30" customHeight="1" thickBot="1" x14ac:dyDescent="0.35">
      <c r="A26" s="765">
        <v>2023</v>
      </c>
      <c r="B26" s="758">
        <v>39</v>
      </c>
      <c r="C26" s="726" t="s">
        <v>1278</v>
      </c>
      <c r="D26" s="725">
        <v>912200211</v>
      </c>
      <c r="E26" s="726" t="s">
        <v>1239</v>
      </c>
      <c r="F26" s="727" t="s">
        <v>1279</v>
      </c>
      <c r="G26" s="725">
        <v>1</v>
      </c>
      <c r="H26" s="595" t="s">
        <v>1232</v>
      </c>
      <c r="I26" s="728">
        <v>5000</v>
      </c>
      <c r="J26" s="728">
        <v>5000</v>
      </c>
      <c r="K26" s="726" t="s">
        <v>1233</v>
      </c>
      <c r="L26" s="726" t="s">
        <v>53</v>
      </c>
      <c r="M26" s="727" t="s">
        <v>1275</v>
      </c>
      <c r="N26" s="735" t="s">
        <v>1244</v>
      </c>
      <c r="O26" s="575"/>
      <c r="P26" s="201"/>
      <c r="Q26" s="201"/>
      <c r="R26" s="201"/>
      <c r="S26" s="201"/>
      <c r="T26" s="201"/>
      <c r="U26" s="201"/>
      <c r="V26" s="201"/>
      <c r="W26" s="201"/>
      <c r="X26" s="201"/>
      <c r="Y26" s="201"/>
      <c r="Z26" s="202"/>
    </row>
    <row r="27" spans="1:26" ht="30" customHeight="1" thickBot="1" x14ac:dyDescent="0.35">
      <c r="A27" s="1510">
        <v>2023</v>
      </c>
      <c r="B27" s="759">
        <v>44</v>
      </c>
      <c r="C27" s="731" t="s">
        <v>1280</v>
      </c>
      <c r="D27" s="730">
        <v>472110215</v>
      </c>
      <c r="E27" s="731" t="s">
        <v>1230</v>
      </c>
      <c r="F27" s="732" t="s">
        <v>1281</v>
      </c>
      <c r="G27" s="730">
        <v>1</v>
      </c>
      <c r="H27" s="590" t="s">
        <v>1232</v>
      </c>
      <c r="I27" s="733">
        <v>5900</v>
      </c>
      <c r="J27" s="733">
        <v>5900</v>
      </c>
      <c r="K27" s="731" t="s">
        <v>1233</v>
      </c>
      <c r="L27" s="731" t="s">
        <v>633</v>
      </c>
      <c r="M27" s="732" t="s">
        <v>1268</v>
      </c>
      <c r="N27" s="736" t="s">
        <v>1244</v>
      </c>
      <c r="O27" s="576"/>
      <c r="P27" s="203"/>
      <c r="Q27" s="203"/>
      <c r="R27" s="203"/>
      <c r="S27" s="203"/>
      <c r="T27" s="203"/>
      <c r="U27" s="203"/>
      <c r="V27" s="203"/>
      <c r="W27" s="203"/>
      <c r="X27" s="203"/>
      <c r="Y27" s="203"/>
      <c r="Z27" s="204"/>
    </row>
    <row r="28" spans="1:26" ht="30" customHeight="1" thickBot="1" x14ac:dyDescent="0.35">
      <c r="A28" s="765">
        <v>2023</v>
      </c>
      <c r="B28" s="758">
        <v>45</v>
      </c>
      <c r="C28" s="726" t="s">
        <v>1282</v>
      </c>
      <c r="D28" s="725">
        <v>444400211</v>
      </c>
      <c r="E28" s="726" t="s">
        <v>1230</v>
      </c>
      <c r="F28" s="727" t="s">
        <v>1283</v>
      </c>
      <c r="G28" s="725">
        <v>1</v>
      </c>
      <c r="H28" s="595" t="s">
        <v>1232</v>
      </c>
      <c r="I28" s="728">
        <v>14476.33</v>
      </c>
      <c r="J28" s="728">
        <v>14476.33</v>
      </c>
      <c r="K28" s="726" t="s">
        <v>1233</v>
      </c>
      <c r="L28" s="726" t="s">
        <v>495</v>
      </c>
      <c r="M28" s="727" t="s">
        <v>747</v>
      </c>
      <c r="N28" s="735" t="s">
        <v>1244</v>
      </c>
      <c r="O28" s="575"/>
      <c r="P28" s="201"/>
      <c r="Q28" s="201"/>
      <c r="R28" s="201"/>
      <c r="S28" s="201"/>
      <c r="T28" s="201"/>
      <c r="U28" s="201"/>
      <c r="V28" s="201"/>
      <c r="W28" s="201"/>
      <c r="X28" s="201"/>
      <c r="Y28" s="201"/>
      <c r="Z28" s="202"/>
    </row>
    <row r="29" spans="1:26" ht="30" customHeight="1" thickBot="1" x14ac:dyDescent="0.35">
      <c r="A29" s="1510">
        <v>2023</v>
      </c>
      <c r="B29" s="759">
        <v>46</v>
      </c>
      <c r="C29" s="731" t="s">
        <v>1284</v>
      </c>
      <c r="D29" s="730">
        <v>482200014</v>
      </c>
      <c r="E29" s="731" t="s">
        <v>1230</v>
      </c>
      <c r="F29" s="732" t="s">
        <v>1285</v>
      </c>
      <c r="G29" s="730">
        <v>1</v>
      </c>
      <c r="H29" s="590" t="s">
        <v>1232</v>
      </c>
      <c r="I29" s="733">
        <v>61900</v>
      </c>
      <c r="J29" s="733">
        <v>61900</v>
      </c>
      <c r="K29" s="731" t="s">
        <v>1233</v>
      </c>
      <c r="L29" s="731" t="s">
        <v>622</v>
      </c>
      <c r="M29" s="732" t="s">
        <v>1286</v>
      </c>
      <c r="N29" s="736" t="s">
        <v>1244</v>
      </c>
      <c r="O29" s="576"/>
      <c r="P29" s="203"/>
      <c r="Q29" s="203"/>
      <c r="R29" s="203"/>
      <c r="S29" s="203"/>
      <c r="T29" s="203"/>
      <c r="U29" s="203"/>
      <c r="V29" s="203"/>
      <c r="W29" s="203"/>
      <c r="X29" s="203"/>
      <c r="Y29" s="203"/>
      <c r="Z29" s="204"/>
    </row>
    <row r="30" spans="1:26" ht="30" customHeight="1" thickBot="1" x14ac:dyDescent="0.35">
      <c r="A30" s="765">
        <v>2023</v>
      </c>
      <c r="B30" s="758">
        <v>47</v>
      </c>
      <c r="C30" s="726" t="s">
        <v>1287</v>
      </c>
      <c r="D30" s="725">
        <v>483530011</v>
      </c>
      <c r="E30" s="726" t="s">
        <v>1230</v>
      </c>
      <c r="F30" s="727" t="s">
        <v>1288</v>
      </c>
      <c r="G30" s="725">
        <v>1</v>
      </c>
      <c r="H30" s="595" t="s">
        <v>1232</v>
      </c>
      <c r="I30" s="728">
        <v>16989</v>
      </c>
      <c r="J30" s="728">
        <v>16989</v>
      </c>
      <c r="K30" s="726" t="s">
        <v>1233</v>
      </c>
      <c r="L30" s="726" t="s">
        <v>633</v>
      </c>
      <c r="M30" s="727" t="s">
        <v>1268</v>
      </c>
      <c r="N30" s="735" t="s">
        <v>1244</v>
      </c>
      <c r="O30" s="575"/>
      <c r="P30" s="201"/>
      <c r="Q30" s="201"/>
      <c r="R30" s="201"/>
      <c r="S30" s="201"/>
      <c r="T30" s="201"/>
      <c r="U30" s="201"/>
      <c r="V30" s="201"/>
      <c r="W30" s="201"/>
      <c r="X30" s="201"/>
      <c r="Y30" s="201"/>
      <c r="Z30" s="202"/>
    </row>
    <row r="31" spans="1:26" ht="30" customHeight="1" thickBot="1" x14ac:dyDescent="0.35">
      <c r="A31" s="1510">
        <v>2023</v>
      </c>
      <c r="B31" s="759">
        <v>48</v>
      </c>
      <c r="C31" s="731" t="s">
        <v>1289</v>
      </c>
      <c r="D31" s="730">
        <v>473230011</v>
      </c>
      <c r="E31" s="731" t="s">
        <v>1230</v>
      </c>
      <c r="F31" s="732" t="s">
        <v>1290</v>
      </c>
      <c r="G31" s="730">
        <v>1</v>
      </c>
      <c r="H31" s="590" t="s">
        <v>1232</v>
      </c>
      <c r="I31" s="733">
        <v>3500</v>
      </c>
      <c r="J31" s="733">
        <v>3500</v>
      </c>
      <c r="K31" s="731" t="s">
        <v>1233</v>
      </c>
      <c r="L31" s="731" t="s">
        <v>622</v>
      </c>
      <c r="M31" s="732" t="s">
        <v>1286</v>
      </c>
      <c r="N31" s="736" t="s">
        <v>1244</v>
      </c>
      <c r="O31" s="576"/>
      <c r="P31" s="203"/>
      <c r="Q31" s="203"/>
      <c r="R31" s="203"/>
      <c r="S31" s="203"/>
      <c r="T31" s="203"/>
      <c r="U31" s="203"/>
      <c r="V31" s="203"/>
      <c r="W31" s="203"/>
      <c r="X31" s="203"/>
      <c r="Y31" s="203"/>
      <c r="Z31" s="204"/>
    </row>
    <row r="32" spans="1:26" ht="30" customHeight="1" thickBot="1" x14ac:dyDescent="0.35">
      <c r="A32" s="765">
        <v>2023</v>
      </c>
      <c r="B32" s="758">
        <v>58</v>
      </c>
      <c r="C32" s="726" t="s">
        <v>1291</v>
      </c>
      <c r="D32" s="725">
        <v>532900011</v>
      </c>
      <c r="E32" s="726" t="s">
        <v>1242</v>
      </c>
      <c r="F32" s="727" t="s">
        <v>1292</v>
      </c>
      <c r="G32" s="725">
        <v>1</v>
      </c>
      <c r="H32" s="595" t="s">
        <v>1232</v>
      </c>
      <c r="I32" s="728">
        <v>120000</v>
      </c>
      <c r="J32" s="728">
        <v>120000</v>
      </c>
      <c r="K32" s="726" t="s">
        <v>1233</v>
      </c>
      <c r="L32" s="726" t="s">
        <v>526</v>
      </c>
      <c r="M32" s="727" t="s">
        <v>1293</v>
      </c>
      <c r="N32" s="735" t="s">
        <v>1244</v>
      </c>
      <c r="O32" s="575"/>
      <c r="P32" s="201"/>
      <c r="Q32" s="201"/>
      <c r="R32" s="201"/>
      <c r="S32" s="201"/>
      <c r="T32" s="201"/>
      <c r="U32" s="201"/>
      <c r="V32" s="201"/>
      <c r="W32" s="201"/>
      <c r="X32" s="201"/>
      <c r="Y32" s="201"/>
      <c r="Z32" s="202"/>
    </row>
    <row r="33" spans="1:26" ht="30" customHeight="1" thickBot="1" x14ac:dyDescent="0.35">
      <c r="A33" s="1510">
        <v>2023</v>
      </c>
      <c r="B33" s="759">
        <v>60</v>
      </c>
      <c r="C33" s="731" t="s">
        <v>1294</v>
      </c>
      <c r="D33" s="730">
        <v>871520211</v>
      </c>
      <c r="E33" s="731" t="s">
        <v>1242</v>
      </c>
      <c r="F33" s="732" t="s">
        <v>1295</v>
      </c>
      <c r="G33" s="730">
        <v>1</v>
      </c>
      <c r="H33" s="590" t="s">
        <v>1232</v>
      </c>
      <c r="I33" s="733">
        <v>116599.53</v>
      </c>
      <c r="J33" s="733">
        <v>116599.53</v>
      </c>
      <c r="K33" s="731" t="s">
        <v>1233</v>
      </c>
      <c r="L33" s="731" t="s">
        <v>526</v>
      </c>
      <c r="M33" s="732" t="s">
        <v>1293</v>
      </c>
      <c r="N33" s="736" t="s">
        <v>1244</v>
      </c>
      <c r="O33" s="576"/>
      <c r="P33" s="203"/>
      <c r="Q33" s="203"/>
      <c r="R33" s="203"/>
      <c r="S33" s="203"/>
      <c r="T33" s="203"/>
      <c r="U33" s="203"/>
      <c r="V33" s="203"/>
      <c r="W33" s="203"/>
      <c r="X33" s="203"/>
      <c r="Y33" s="203"/>
      <c r="Z33" s="204"/>
    </row>
    <row r="34" spans="1:26" ht="30" customHeight="1" thickBot="1" x14ac:dyDescent="0.35">
      <c r="A34" s="765">
        <v>2023</v>
      </c>
      <c r="B34" s="758">
        <v>61</v>
      </c>
      <c r="C34" s="726" t="s">
        <v>1296</v>
      </c>
      <c r="D34" s="725">
        <v>473230011</v>
      </c>
      <c r="E34" s="726" t="s">
        <v>1230</v>
      </c>
      <c r="F34" s="727" t="s">
        <v>1297</v>
      </c>
      <c r="G34" s="725">
        <v>1</v>
      </c>
      <c r="H34" s="595" t="s">
        <v>1232</v>
      </c>
      <c r="I34" s="728">
        <v>30000</v>
      </c>
      <c r="J34" s="728">
        <v>30000</v>
      </c>
      <c r="K34" s="726" t="s">
        <v>1233</v>
      </c>
      <c r="L34" s="726" t="s">
        <v>545</v>
      </c>
      <c r="M34" s="727" t="s">
        <v>1165</v>
      </c>
      <c r="N34" s="735" t="s">
        <v>1244</v>
      </c>
      <c r="O34" s="575"/>
      <c r="P34" s="201"/>
      <c r="Q34" s="201"/>
      <c r="R34" s="201"/>
      <c r="S34" s="201"/>
      <c r="T34" s="201"/>
      <c r="U34" s="201"/>
      <c r="V34" s="201"/>
      <c r="W34" s="201"/>
      <c r="X34" s="201"/>
      <c r="Y34" s="201"/>
      <c r="Z34" s="202"/>
    </row>
    <row r="35" spans="1:26" ht="30" customHeight="1" thickBot="1" x14ac:dyDescent="0.35">
      <c r="A35" s="1510">
        <v>2023</v>
      </c>
      <c r="B35" s="759">
        <v>63</v>
      </c>
      <c r="C35" s="731" t="s">
        <v>1298</v>
      </c>
      <c r="D35" s="730">
        <v>512900011</v>
      </c>
      <c r="E35" s="731" t="s">
        <v>1230</v>
      </c>
      <c r="F35" s="732" t="s">
        <v>1299</v>
      </c>
      <c r="G35" s="730">
        <v>1</v>
      </c>
      <c r="H35" s="590" t="s">
        <v>1232</v>
      </c>
      <c r="I35" s="733">
        <v>100000</v>
      </c>
      <c r="J35" s="733">
        <v>100000</v>
      </c>
      <c r="K35" s="731" t="s">
        <v>1233</v>
      </c>
      <c r="L35" s="731" t="s">
        <v>633</v>
      </c>
      <c r="M35" s="732" t="s">
        <v>1268</v>
      </c>
      <c r="N35" s="736" t="s">
        <v>1244</v>
      </c>
      <c r="O35" s="576"/>
      <c r="P35" s="203"/>
      <c r="Q35" s="203"/>
      <c r="R35" s="203"/>
      <c r="S35" s="203"/>
      <c r="T35" s="203"/>
      <c r="U35" s="203"/>
      <c r="V35" s="203"/>
      <c r="W35" s="203"/>
      <c r="X35" s="203"/>
      <c r="Y35" s="203"/>
      <c r="Z35" s="204"/>
    </row>
    <row r="36" spans="1:26" ht="30" customHeight="1" thickBot="1" x14ac:dyDescent="0.35">
      <c r="A36" s="765">
        <v>2023</v>
      </c>
      <c r="B36" s="758">
        <v>64</v>
      </c>
      <c r="C36" s="726" t="s">
        <v>1300</v>
      </c>
      <c r="D36" s="725">
        <v>532900011</v>
      </c>
      <c r="E36" s="726" t="s">
        <v>1242</v>
      </c>
      <c r="F36" s="727" t="s">
        <v>1301</v>
      </c>
      <c r="G36" s="725">
        <v>1</v>
      </c>
      <c r="H36" s="595" t="s">
        <v>1232</v>
      </c>
      <c r="I36" s="728">
        <v>0</v>
      </c>
      <c r="J36" s="728">
        <v>0</v>
      </c>
      <c r="K36" s="726" t="s">
        <v>1233</v>
      </c>
      <c r="L36" s="726" t="s">
        <v>487</v>
      </c>
      <c r="M36" s="727" t="s">
        <v>757</v>
      </c>
      <c r="N36" s="735" t="s">
        <v>1244</v>
      </c>
      <c r="O36" s="575"/>
      <c r="P36" s="201"/>
      <c r="Q36" s="201"/>
      <c r="R36" s="201"/>
      <c r="S36" s="201"/>
      <c r="T36" s="201"/>
      <c r="U36" s="201"/>
      <c r="V36" s="201"/>
      <c r="W36" s="201"/>
      <c r="X36" s="201"/>
      <c r="Y36" s="201"/>
      <c r="Z36" s="202"/>
    </row>
    <row r="37" spans="1:26" ht="30" customHeight="1" thickBot="1" x14ac:dyDescent="0.35">
      <c r="A37" s="1510">
        <v>2023</v>
      </c>
      <c r="B37" s="759">
        <v>65</v>
      </c>
      <c r="C37" s="731" t="s">
        <v>1302</v>
      </c>
      <c r="D37" s="730">
        <v>532900011</v>
      </c>
      <c r="E37" s="731" t="s">
        <v>1242</v>
      </c>
      <c r="F37" s="738" t="s">
        <v>1303</v>
      </c>
      <c r="G37" s="730">
        <v>1</v>
      </c>
      <c r="H37" s="590" t="s">
        <v>1232</v>
      </c>
      <c r="I37" s="733">
        <v>35920</v>
      </c>
      <c r="J37" s="733">
        <v>35920</v>
      </c>
      <c r="K37" s="731" t="s">
        <v>1233</v>
      </c>
      <c r="L37" s="731" t="s">
        <v>515</v>
      </c>
      <c r="M37" s="732" t="s">
        <v>1304</v>
      </c>
      <c r="N37" s="736" t="s">
        <v>1244</v>
      </c>
      <c r="O37" s="576"/>
      <c r="P37" s="203"/>
      <c r="Q37" s="203"/>
      <c r="R37" s="203"/>
      <c r="S37" s="203"/>
      <c r="T37" s="203"/>
      <c r="U37" s="203"/>
      <c r="V37" s="203"/>
      <c r="W37" s="203"/>
      <c r="X37" s="203"/>
      <c r="Y37" s="203"/>
      <c r="Z37" s="204"/>
    </row>
    <row r="38" spans="1:26" ht="30" customHeight="1" thickBot="1" x14ac:dyDescent="0.35">
      <c r="A38" s="765">
        <v>2023</v>
      </c>
      <c r="B38" s="758">
        <v>52</v>
      </c>
      <c r="C38" s="726" t="s">
        <v>1305</v>
      </c>
      <c r="D38" s="725">
        <v>871410011</v>
      </c>
      <c r="E38" s="726" t="s">
        <v>1239</v>
      </c>
      <c r="F38" s="727" t="s">
        <v>1306</v>
      </c>
      <c r="G38" s="725">
        <v>1</v>
      </c>
      <c r="H38" s="595" t="s">
        <v>1232</v>
      </c>
      <c r="I38" s="728">
        <v>2000</v>
      </c>
      <c r="J38" s="728">
        <v>2000</v>
      </c>
      <c r="K38" s="726" t="s">
        <v>1233</v>
      </c>
      <c r="L38" s="726" t="s">
        <v>103</v>
      </c>
      <c r="M38" s="727" t="s">
        <v>1234</v>
      </c>
      <c r="N38" s="729" t="s">
        <v>1235</v>
      </c>
      <c r="O38" s="575"/>
      <c r="P38" s="201"/>
      <c r="Q38" s="201"/>
      <c r="R38" s="201"/>
      <c r="S38" s="201"/>
      <c r="T38" s="201"/>
      <c r="U38" s="201"/>
      <c r="V38" s="201"/>
      <c r="W38" s="201"/>
      <c r="X38" s="201"/>
      <c r="Y38" s="201"/>
      <c r="Z38" s="202"/>
    </row>
    <row r="39" spans="1:26" ht="30" customHeight="1" thickBot="1" x14ac:dyDescent="0.35">
      <c r="A39" s="1510">
        <v>2023</v>
      </c>
      <c r="B39" s="759">
        <v>53</v>
      </c>
      <c r="C39" s="731" t="s">
        <v>1307</v>
      </c>
      <c r="D39" s="730">
        <v>721120011</v>
      </c>
      <c r="E39" s="731" t="s">
        <v>1239</v>
      </c>
      <c r="F39" s="732" t="s">
        <v>1308</v>
      </c>
      <c r="G39" s="730">
        <v>1</v>
      </c>
      <c r="H39" s="590" t="s">
        <v>1232</v>
      </c>
      <c r="I39" s="733">
        <v>48600</v>
      </c>
      <c r="J39" s="733">
        <v>48600</v>
      </c>
      <c r="K39" s="731" t="s">
        <v>1233</v>
      </c>
      <c r="L39" s="731" t="s">
        <v>103</v>
      </c>
      <c r="M39" s="732" t="s">
        <v>1234</v>
      </c>
      <c r="N39" s="734" t="s">
        <v>1235</v>
      </c>
      <c r="O39" s="576"/>
      <c r="P39" s="203"/>
      <c r="Q39" s="203"/>
      <c r="R39" s="203"/>
      <c r="S39" s="203"/>
      <c r="T39" s="203"/>
      <c r="U39" s="203"/>
      <c r="V39" s="203"/>
      <c r="W39" s="203"/>
      <c r="X39" s="203"/>
      <c r="Y39" s="203"/>
      <c r="Z39" s="204"/>
    </row>
    <row r="40" spans="1:26" ht="30" customHeight="1" thickBot="1" x14ac:dyDescent="0.35">
      <c r="A40" s="765">
        <v>2023</v>
      </c>
      <c r="B40" s="758">
        <v>54</v>
      </c>
      <c r="C40" s="726" t="s">
        <v>1309</v>
      </c>
      <c r="D40" s="725">
        <v>625830011</v>
      </c>
      <c r="E40" s="726" t="s">
        <v>1239</v>
      </c>
      <c r="F40" s="727" t="s">
        <v>1310</v>
      </c>
      <c r="G40" s="725">
        <v>1</v>
      </c>
      <c r="H40" s="595" t="s">
        <v>1232</v>
      </c>
      <c r="I40" s="728">
        <v>2000</v>
      </c>
      <c r="J40" s="728">
        <v>2000</v>
      </c>
      <c r="K40" s="726" t="s">
        <v>1233</v>
      </c>
      <c r="L40" s="726" t="s">
        <v>103</v>
      </c>
      <c r="M40" s="727" t="s">
        <v>1234</v>
      </c>
      <c r="N40" s="729" t="s">
        <v>1235</v>
      </c>
      <c r="O40" s="575"/>
      <c r="P40" s="201"/>
      <c r="Q40" s="201"/>
      <c r="R40" s="201"/>
      <c r="S40" s="201"/>
      <c r="T40" s="201"/>
      <c r="U40" s="201"/>
      <c r="V40" s="201"/>
      <c r="W40" s="201"/>
      <c r="X40" s="201"/>
      <c r="Y40" s="201"/>
      <c r="Z40" s="202"/>
    </row>
    <row r="41" spans="1:26" ht="30" customHeight="1" thickBot="1" x14ac:dyDescent="0.35">
      <c r="A41" s="1510">
        <v>2023</v>
      </c>
      <c r="B41" s="759">
        <v>55</v>
      </c>
      <c r="C41" s="731" t="s">
        <v>1311</v>
      </c>
      <c r="D41" s="730">
        <v>871520211</v>
      </c>
      <c r="E41" s="731" t="s">
        <v>1239</v>
      </c>
      <c r="F41" s="732" t="s">
        <v>1312</v>
      </c>
      <c r="G41" s="730">
        <v>1</v>
      </c>
      <c r="H41" s="590" t="s">
        <v>1232</v>
      </c>
      <c r="I41" s="733">
        <v>50000</v>
      </c>
      <c r="J41" s="733">
        <v>50000</v>
      </c>
      <c r="K41" s="731" t="s">
        <v>1233</v>
      </c>
      <c r="L41" s="731" t="s">
        <v>103</v>
      </c>
      <c r="M41" s="732" t="s">
        <v>1234</v>
      </c>
      <c r="N41" s="734" t="s">
        <v>1235</v>
      </c>
      <c r="O41" s="576"/>
      <c r="P41" s="203"/>
      <c r="Q41" s="203"/>
      <c r="R41" s="203"/>
      <c r="S41" s="203"/>
      <c r="T41" s="203"/>
      <c r="U41" s="203"/>
      <c r="V41" s="203"/>
      <c r="W41" s="203"/>
      <c r="X41" s="203"/>
      <c r="Y41" s="203"/>
      <c r="Z41" s="204"/>
    </row>
    <row r="42" spans="1:26" ht="30" customHeight="1" thickBot="1" x14ac:dyDescent="0.35">
      <c r="A42" s="765">
        <v>2023</v>
      </c>
      <c r="B42" s="758">
        <v>56</v>
      </c>
      <c r="C42" s="726" t="s">
        <v>1313</v>
      </c>
      <c r="D42" s="725">
        <v>681110011</v>
      </c>
      <c r="E42" s="726" t="s">
        <v>1239</v>
      </c>
      <c r="F42" s="727" t="s">
        <v>1314</v>
      </c>
      <c r="G42" s="725">
        <v>1</v>
      </c>
      <c r="H42" s="595" t="s">
        <v>1232</v>
      </c>
      <c r="I42" s="728">
        <v>3000</v>
      </c>
      <c r="J42" s="728">
        <v>3000</v>
      </c>
      <c r="K42" s="726" t="s">
        <v>1233</v>
      </c>
      <c r="L42" s="726" t="s">
        <v>103</v>
      </c>
      <c r="M42" s="727" t="s">
        <v>1234</v>
      </c>
      <c r="N42" s="729" t="s">
        <v>1235</v>
      </c>
      <c r="O42" s="575"/>
      <c r="P42" s="201"/>
      <c r="Q42" s="201"/>
      <c r="R42" s="201"/>
      <c r="S42" s="201"/>
      <c r="T42" s="201"/>
      <c r="U42" s="201"/>
      <c r="V42" s="201"/>
      <c r="W42" s="201"/>
      <c r="X42" s="201"/>
      <c r="Y42" s="201"/>
      <c r="Z42" s="202"/>
    </row>
    <row r="43" spans="1:26" ht="30" customHeight="1" thickBot="1" x14ac:dyDescent="0.35">
      <c r="A43" s="1510">
        <v>2023</v>
      </c>
      <c r="B43" s="759">
        <v>66</v>
      </c>
      <c r="C43" s="731" t="s">
        <v>1315</v>
      </c>
      <c r="D43" s="730">
        <v>532900011</v>
      </c>
      <c r="E43" s="731" t="s">
        <v>1239</v>
      </c>
      <c r="F43" s="732" t="s">
        <v>1316</v>
      </c>
      <c r="G43" s="730">
        <v>1</v>
      </c>
      <c r="H43" s="590" t="s">
        <v>1232</v>
      </c>
      <c r="I43" s="733">
        <v>24000</v>
      </c>
      <c r="J43" s="733">
        <v>24000</v>
      </c>
      <c r="K43" s="731" t="s">
        <v>1233</v>
      </c>
      <c r="L43" s="731" t="s">
        <v>103</v>
      </c>
      <c r="M43" s="732" t="s">
        <v>1234</v>
      </c>
      <c r="N43" s="734" t="s">
        <v>1235</v>
      </c>
      <c r="O43" s="576"/>
      <c r="P43" s="203"/>
      <c r="Q43" s="203"/>
      <c r="R43" s="203"/>
      <c r="S43" s="203"/>
      <c r="T43" s="203"/>
      <c r="U43" s="203"/>
      <c r="V43" s="203"/>
      <c r="W43" s="203"/>
      <c r="X43" s="203"/>
      <c r="Y43" s="203"/>
      <c r="Z43" s="204"/>
    </row>
    <row r="44" spans="1:26" ht="30" customHeight="1" thickBot="1" x14ac:dyDescent="0.35">
      <c r="A44" s="765">
        <v>2023</v>
      </c>
      <c r="B44" s="758">
        <v>67</v>
      </c>
      <c r="C44" s="726" t="s">
        <v>1317</v>
      </c>
      <c r="D44" s="725">
        <v>713340112</v>
      </c>
      <c r="E44" s="726" t="s">
        <v>1239</v>
      </c>
      <c r="F44" s="727" t="s">
        <v>1318</v>
      </c>
      <c r="G44" s="725">
        <v>1</v>
      </c>
      <c r="H44" s="595" t="s">
        <v>1232</v>
      </c>
      <c r="I44" s="728">
        <v>18000</v>
      </c>
      <c r="J44" s="728">
        <v>18000</v>
      </c>
      <c r="K44" s="726" t="s">
        <v>1233</v>
      </c>
      <c r="L44" s="726" t="s">
        <v>103</v>
      </c>
      <c r="M44" s="727" t="s">
        <v>1234</v>
      </c>
      <c r="N44" s="729" t="s">
        <v>1235</v>
      </c>
      <c r="O44" s="575"/>
      <c r="P44" s="201"/>
      <c r="Q44" s="201"/>
      <c r="R44" s="201"/>
      <c r="S44" s="201"/>
      <c r="T44" s="201"/>
      <c r="U44" s="201"/>
      <c r="V44" s="201"/>
      <c r="W44" s="201"/>
      <c r="X44" s="201"/>
      <c r="Y44" s="201"/>
      <c r="Z44" s="202"/>
    </row>
    <row r="45" spans="1:26" ht="30" customHeight="1" thickBot="1" x14ac:dyDescent="0.35">
      <c r="A45" s="1510">
        <v>2023</v>
      </c>
      <c r="B45" s="759">
        <v>68</v>
      </c>
      <c r="C45" s="731" t="s">
        <v>1319</v>
      </c>
      <c r="D45" s="730">
        <v>622910013</v>
      </c>
      <c r="E45" s="731" t="s">
        <v>1239</v>
      </c>
      <c r="F45" s="732" t="s">
        <v>1320</v>
      </c>
      <c r="G45" s="730">
        <v>1</v>
      </c>
      <c r="H45" s="590" t="s">
        <v>1232</v>
      </c>
      <c r="I45" s="733">
        <v>12000</v>
      </c>
      <c r="J45" s="733">
        <v>12000</v>
      </c>
      <c r="K45" s="731" t="s">
        <v>1233</v>
      </c>
      <c r="L45" s="731" t="s">
        <v>103</v>
      </c>
      <c r="M45" s="732" t="s">
        <v>1234</v>
      </c>
      <c r="N45" s="734" t="s">
        <v>1235</v>
      </c>
      <c r="O45" s="576"/>
      <c r="P45" s="203"/>
      <c r="Q45" s="203"/>
      <c r="R45" s="203"/>
      <c r="S45" s="203"/>
      <c r="T45" s="203"/>
      <c r="U45" s="203"/>
      <c r="V45" s="203"/>
      <c r="W45" s="203"/>
      <c r="X45" s="203"/>
      <c r="Y45" s="203"/>
      <c r="Z45" s="204"/>
    </row>
    <row r="46" spans="1:26" ht="30" customHeight="1" thickBot="1" x14ac:dyDescent="0.35">
      <c r="A46" s="765">
        <v>2023</v>
      </c>
      <c r="B46" s="758">
        <v>69</v>
      </c>
      <c r="C46" s="726" t="s">
        <v>1321</v>
      </c>
      <c r="D46" s="725">
        <v>532900011</v>
      </c>
      <c r="E46" s="726" t="s">
        <v>1239</v>
      </c>
      <c r="F46" s="727" t="s">
        <v>1322</v>
      </c>
      <c r="G46" s="725">
        <v>1</v>
      </c>
      <c r="H46" s="595" t="s">
        <v>1232</v>
      </c>
      <c r="I46" s="728">
        <v>5000</v>
      </c>
      <c r="J46" s="728">
        <v>5000</v>
      </c>
      <c r="K46" s="726" t="s">
        <v>1233</v>
      </c>
      <c r="L46" s="726" t="s">
        <v>103</v>
      </c>
      <c r="M46" s="727" t="s">
        <v>1234</v>
      </c>
      <c r="N46" s="729" t="s">
        <v>1235</v>
      </c>
      <c r="O46" s="575"/>
      <c r="P46" s="201"/>
      <c r="Q46" s="201"/>
      <c r="R46" s="201"/>
      <c r="S46" s="201"/>
      <c r="T46" s="201"/>
      <c r="U46" s="201"/>
      <c r="V46" s="201"/>
      <c r="W46" s="201"/>
      <c r="X46" s="201"/>
      <c r="Y46" s="201"/>
      <c r="Z46" s="202"/>
    </row>
    <row r="47" spans="1:26" ht="30" customHeight="1" thickBot="1" x14ac:dyDescent="0.35">
      <c r="A47" s="1510">
        <v>2023</v>
      </c>
      <c r="B47" s="759">
        <v>70</v>
      </c>
      <c r="C47" s="731" t="s">
        <v>1323</v>
      </c>
      <c r="D47" s="730">
        <v>532900011</v>
      </c>
      <c r="E47" s="731" t="s">
        <v>1239</v>
      </c>
      <c r="F47" s="732" t="s">
        <v>1324</v>
      </c>
      <c r="G47" s="730">
        <v>1</v>
      </c>
      <c r="H47" s="590" t="s">
        <v>1232</v>
      </c>
      <c r="I47" s="733">
        <v>15000</v>
      </c>
      <c r="J47" s="733">
        <v>15000</v>
      </c>
      <c r="K47" s="731" t="s">
        <v>1233</v>
      </c>
      <c r="L47" s="731" t="s">
        <v>103</v>
      </c>
      <c r="M47" s="732" t="s">
        <v>1234</v>
      </c>
      <c r="N47" s="734" t="s">
        <v>1235</v>
      </c>
      <c r="O47" s="576"/>
      <c r="P47" s="203"/>
      <c r="Q47" s="203"/>
      <c r="R47" s="203"/>
      <c r="S47" s="203"/>
      <c r="T47" s="203"/>
      <c r="U47" s="203"/>
      <c r="V47" s="203"/>
      <c r="W47" s="203"/>
      <c r="X47" s="203"/>
      <c r="Y47" s="203"/>
      <c r="Z47" s="204"/>
    </row>
    <row r="48" spans="1:26" ht="30" customHeight="1" thickBot="1" x14ac:dyDescent="0.35">
      <c r="A48" s="765">
        <v>2023</v>
      </c>
      <c r="B48" s="758">
        <v>71</v>
      </c>
      <c r="C48" s="726" t="s">
        <v>1325</v>
      </c>
      <c r="D48" s="725">
        <v>871520211</v>
      </c>
      <c r="E48" s="726" t="s">
        <v>1239</v>
      </c>
      <c r="F48" s="727" t="s">
        <v>1326</v>
      </c>
      <c r="G48" s="725">
        <v>1</v>
      </c>
      <c r="H48" s="595" t="s">
        <v>1232</v>
      </c>
      <c r="I48" s="728">
        <v>8000</v>
      </c>
      <c r="J48" s="728">
        <v>8000</v>
      </c>
      <c r="K48" s="726" t="s">
        <v>1233</v>
      </c>
      <c r="L48" s="726" t="s">
        <v>103</v>
      </c>
      <c r="M48" s="727" t="s">
        <v>1234</v>
      </c>
      <c r="N48" s="729" t="s">
        <v>1235</v>
      </c>
      <c r="O48" s="575"/>
      <c r="P48" s="201"/>
      <c r="Q48" s="201"/>
      <c r="R48" s="201"/>
      <c r="S48" s="201"/>
      <c r="T48" s="201"/>
      <c r="U48" s="201"/>
      <c r="V48" s="201"/>
      <c r="W48" s="201"/>
      <c r="X48" s="201"/>
      <c r="Y48" s="201"/>
      <c r="Z48" s="202"/>
    </row>
    <row r="49" spans="1:26" ht="30" customHeight="1" thickBot="1" x14ac:dyDescent="0.35">
      <c r="A49" s="1510">
        <v>2023</v>
      </c>
      <c r="B49" s="759">
        <v>72</v>
      </c>
      <c r="C49" s="731" t="s">
        <v>1327</v>
      </c>
      <c r="D49" s="730">
        <v>532900011</v>
      </c>
      <c r="E49" s="731" t="s">
        <v>1239</v>
      </c>
      <c r="F49" s="732" t="s">
        <v>1328</v>
      </c>
      <c r="G49" s="730">
        <v>1</v>
      </c>
      <c r="H49" s="590" t="s">
        <v>1232</v>
      </c>
      <c r="I49" s="733">
        <v>20000</v>
      </c>
      <c r="J49" s="733">
        <v>20000</v>
      </c>
      <c r="K49" s="731" t="s">
        <v>1233</v>
      </c>
      <c r="L49" s="731" t="s">
        <v>103</v>
      </c>
      <c r="M49" s="732" t="s">
        <v>1234</v>
      </c>
      <c r="N49" s="734" t="s">
        <v>1235</v>
      </c>
      <c r="O49" s="576"/>
      <c r="P49" s="203"/>
      <c r="Q49" s="203"/>
      <c r="R49" s="203"/>
      <c r="S49" s="203"/>
      <c r="T49" s="203"/>
      <c r="U49" s="203"/>
      <c r="V49" s="203"/>
      <c r="W49" s="203"/>
      <c r="X49" s="203"/>
      <c r="Y49" s="203"/>
      <c r="Z49" s="204"/>
    </row>
    <row r="50" spans="1:26" ht="30" customHeight="1" thickBot="1" x14ac:dyDescent="0.35">
      <c r="A50" s="765">
        <v>2023</v>
      </c>
      <c r="B50" s="758">
        <v>73</v>
      </c>
      <c r="C50" s="726" t="s">
        <v>1329</v>
      </c>
      <c r="D50" s="725">
        <v>532900011</v>
      </c>
      <c r="E50" s="726" t="s">
        <v>1239</v>
      </c>
      <c r="F50" s="727" t="s">
        <v>1330</v>
      </c>
      <c r="G50" s="725">
        <v>1</v>
      </c>
      <c r="H50" s="595" t="s">
        <v>1232</v>
      </c>
      <c r="I50" s="728">
        <v>8000</v>
      </c>
      <c r="J50" s="728">
        <v>8000</v>
      </c>
      <c r="K50" s="726" t="s">
        <v>1233</v>
      </c>
      <c r="L50" s="726" t="s">
        <v>103</v>
      </c>
      <c r="M50" s="727" t="s">
        <v>1234</v>
      </c>
      <c r="N50" s="729" t="s">
        <v>1235</v>
      </c>
      <c r="O50" s="575"/>
      <c r="P50" s="201"/>
      <c r="Q50" s="201"/>
      <c r="R50" s="201"/>
      <c r="S50" s="201"/>
      <c r="T50" s="201"/>
      <c r="U50" s="201"/>
      <c r="V50" s="201"/>
      <c r="W50" s="201"/>
      <c r="X50" s="201"/>
      <c r="Y50" s="201"/>
      <c r="Z50" s="202"/>
    </row>
    <row r="51" spans="1:26" ht="30" customHeight="1" thickBot="1" x14ac:dyDescent="0.35">
      <c r="A51" s="1510">
        <v>2023</v>
      </c>
      <c r="B51" s="759">
        <v>74</v>
      </c>
      <c r="C51" s="731" t="s">
        <v>1331</v>
      </c>
      <c r="D51" s="730">
        <v>429110013</v>
      </c>
      <c r="E51" s="731" t="s">
        <v>1239</v>
      </c>
      <c r="F51" s="732" t="s">
        <v>1332</v>
      </c>
      <c r="G51" s="730">
        <v>1</v>
      </c>
      <c r="H51" s="590" t="s">
        <v>1232</v>
      </c>
      <c r="I51" s="733">
        <v>300000</v>
      </c>
      <c r="J51" s="733">
        <v>300000</v>
      </c>
      <c r="K51" s="731" t="s">
        <v>1233</v>
      </c>
      <c r="L51" s="731" t="s">
        <v>103</v>
      </c>
      <c r="M51" s="732" t="s">
        <v>1234</v>
      </c>
      <c r="N51" s="734" t="s">
        <v>1235</v>
      </c>
      <c r="O51" s="576"/>
      <c r="P51" s="203"/>
      <c r="Q51" s="203"/>
      <c r="R51" s="203"/>
      <c r="S51" s="203"/>
      <c r="T51" s="203"/>
      <c r="U51" s="203"/>
      <c r="V51" s="203"/>
      <c r="W51" s="203"/>
      <c r="X51" s="203"/>
      <c r="Y51" s="203"/>
      <c r="Z51" s="204"/>
    </row>
    <row r="52" spans="1:26" ht="30" customHeight="1" thickBot="1" x14ac:dyDescent="0.35">
      <c r="A52" s="765">
        <v>2023</v>
      </c>
      <c r="B52" s="758">
        <v>75</v>
      </c>
      <c r="C52" s="726" t="s">
        <v>1333</v>
      </c>
      <c r="D52" s="725">
        <v>429110013</v>
      </c>
      <c r="E52" s="726" t="s">
        <v>1239</v>
      </c>
      <c r="F52" s="727" t="s">
        <v>1334</v>
      </c>
      <c r="G52" s="725">
        <v>1</v>
      </c>
      <c r="H52" s="595" t="s">
        <v>1232</v>
      </c>
      <c r="I52" s="728">
        <v>150000</v>
      </c>
      <c r="J52" s="728">
        <v>150000</v>
      </c>
      <c r="K52" s="726" t="s">
        <v>1233</v>
      </c>
      <c r="L52" s="726" t="s">
        <v>103</v>
      </c>
      <c r="M52" s="727" t="s">
        <v>1234</v>
      </c>
      <c r="N52" s="729" t="s">
        <v>1235</v>
      </c>
      <c r="O52" s="575"/>
      <c r="P52" s="201"/>
      <c r="Q52" s="201"/>
      <c r="R52" s="201"/>
      <c r="S52" s="201"/>
      <c r="T52" s="201"/>
      <c r="U52" s="201"/>
      <c r="V52" s="201"/>
      <c r="W52" s="201"/>
      <c r="X52" s="201"/>
      <c r="Y52" s="201"/>
      <c r="Z52" s="202"/>
    </row>
    <row r="53" spans="1:26" ht="30" customHeight="1" thickBot="1" x14ac:dyDescent="0.35">
      <c r="A53" s="1510">
        <v>2023</v>
      </c>
      <c r="B53" s="759">
        <v>76</v>
      </c>
      <c r="C53" s="731" t="s">
        <v>1335</v>
      </c>
      <c r="D53" s="730">
        <v>429110013</v>
      </c>
      <c r="E53" s="731" t="s">
        <v>1239</v>
      </c>
      <c r="F53" s="732" t="s">
        <v>1336</v>
      </c>
      <c r="G53" s="730">
        <v>1</v>
      </c>
      <c r="H53" s="590" t="s">
        <v>1232</v>
      </c>
      <c r="I53" s="733">
        <v>80000</v>
      </c>
      <c r="J53" s="733">
        <v>80000</v>
      </c>
      <c r="K53" s="731" t="s">
        <v>1233</v>
      </c>
      <c r="L53" s="731" t="s">
        <v>103</v>
      </c>
      <c r="M53" s="732" t="s">
        <v>1234</v>
      </c>
      <c r="N53" s="734" t="s">
        <v>1235</v>
      </c>
      <c r="O53" s="576"/>
      <c r="P53" s="203"/>
      <c r="Q53" s="203"/>
      <c r="R53" s="203"/>
      <c r="S53" s="203"/>
      <c r="T53" s="203"/>
      <c r="U53" s="203"/>
      <c r="V53" s="203"/>
      <c r="W53" s="203"/>
      <c r="X53" s="203"/>
      <c r="Y53" s="203"/>
      <c r="Z53" s="204"/>
    </row>
    <row r="54" spans="1:26" ht="30" customHeight="1" thickBot="1" x14ac:dyDescent="0.35">
      <c r="A54" s="765">
        <v>2023</v>
      </c>
      <c r="B54" s="758">
        <v>101</v>
      </c>
      <c r="C54" s="726" t="s">
        <v>1337</v>
      </c>
      <c r="D54" s="725">
        <v>444210111</v>
      </c>
      <c r="E54" s="726" t="s">
        <v>1230</v>
      </c>
      <c r="F54" s="727" t="s">
        <v>1338</v>
      </c>
      <c r="G54" s="725">
        <v>1</v>
      </c>
      <c r="H54" s="595" t="s">
        <v>1232</v>
      </c>
      <c r="I54" s="728">
        <v>0</v>
      </c>
      <c r="J54" s="728">
        <v>0</v>
      </c>
      <c r="K54" s="726" t="s">
        <v>1233</v>
      </c>
      <c r="L54" s="726" t="s">
        <v>545</v>
      </c>
      <c r="M54" s="727" t="s">
        <v>1165</v>
      </c>
      <c r="N54" s="735" t="s">
        <v>1244</v>
      </c>
      <c r="O54" s="575"/>
      <c r="P54" s="201"/>
      <c r="Q54" s="201"/>
      <c r="R54" s="201"/>
      <c r="S54" s="201"/>
      <c r="T54" s="201"/>
      <c r="U54" s="201"/>
      <c r="V54" s="201"/>
      <c r="W54" s="201"/>
      <c r="X54" s="201"/>
      <c r="Y54" s="201"/>
      <c r="Z54" s="202"/>
    </row>
    <row r="55" spans="1:26" ht="30" customHeight="1" thickBot="1" x14ac:dyDescent="0.35">
      <c r="A55" s="1510">
        <v>2024</v>
      </c>
      <c r="B55" s="759">
        <v>1</v>
      </c>
      <c r="C55" s="731" t="s">
        <v>1339</v>
      </c>
      <c r="D55" s="730">
        <v>3641000228</v>
      </c>
      <c r="E55" s="731" t="s">
        <v>1230</v>
      </c>
      <c r="F55" s="732" t="s">
        <v>1340</v>
      </c>
      <c r="G55" s="730">
        <v>1</v>
      </c>
      <c r="H55" s="590" t="s">
        <v>1232</v>
      </c>
      <c r="I55" s="733">
        <v>15000</v>
      </c>
      <c r="J55" s="733">
        <v>15000</v>
      </c>
      <c r="K55" s="731" t="s">
        <v>1233</v>
      </c>
      <c r="L55" s="731" t="s">
        <v>103</v>
      </c>
      <c r="M55" s="732" t="s">
        <v>1234</v>
      </c>
      <c r="N55" s="734" t="s">
        <v>1235</v>
      </c>
      <c r="O55" s="576"/>
      <c r="P55" s="203"/>
      <c r="Q55" s="203"/>
      <c r="R55" s="203"/>
      <c r="S55" s="203"/>
      <c r="T55" s="203"/>
      <c r="U55" s="203"/>
      <c r="V55" s="203"/>
      <c r="W55" s="203"/>
      <c r="X55" s="203"/>
      <c r="Y55" s="203"/>
      <c r="Z55" s="204"/>
    </row>
    <row r="56" spans="1:26" ht="30" customHeight="1" thickBot="1" x14ac:dyDescent="0.35">
      <c r="A56" s="765">
        <v>2024</v>
      </c>
      <c r="B56" s="758">
        <v>2</v>
      </c>
      <c r="C56" s="726" t="s">
        <v>1341</v>
      </c>
      <c r="D56" s="725">
        <v>293100021</v>
      </c>
      <c r="E56" s="726" t="s">
        <v>1230</v>
      </c>
      <c r="F56" s="727" t="s">
        <v>1342</v>
      </c>
      <c r="G56" s="725">
        <v>1</v>
      </c>
      <c r="H56" s="595" t="s">
        <v>1232</v>
      </c>
      <c r="I56" s="728">
        <v>6944.9</v>
      </c>
      <c r="J56" s="728">
        <v>6944.9</v>
      </c>
      <c r="K56" s="726" t="s">
        <v>1233</v>
      </c>
      <c r="L56" s="726" t="s">
        <v>103</v>
      </c>
      <c r="M56" s="727" t="s">
        <v>1234</v>
      </c>
      <c r="N56" s="729" t="s">
        <v>1235</v>
      </c>
      <c r="O56" s="575"/>
      <c r="P56" s="201"/>
      <c r="Q56" s="201"/>
      <c r="R56" s="201"/>
      <c r="S56" s="201"/>
      <c r="T56" s="201"/>
      <c r="U56" s="201"/>
      <c r="V56" s="201"/>
      <c r="W56" s="201"/>
      <c r="X56" s="201"/>
      <c r="Y56" s="201"/>
      <c r="Z56" s="202"/>
    </row>
    <row r="57" spans="1:26" ht="30" customHeight="1" thickBot="1" x14ac:dyDescent="0.35">
      <c r="A57" s="1510">
        <v>2024</v>
      </c>
      <c r="B57" s="759">
        <v>3</v>
      </c>
      <c r="C57" s="730">
        <v>840402</v>
      </c>
      <c r="D57" s="730">
        <v>512900025</v>
      </c>
      <c r="E57" s="731" t="s">
        <v>1239</v>
      </c>
      <c r="F57" s="732" t="s">
        <v>1343</v>
      </c>
      <c r="G57" s="730">
        <v>1</v>
      </c>
      <c r="H57" s="590" t="s">
        <v>1232</v>
      </c>
      <c r="I57" s="733">
        <v>15000</v>
      </c>
      <c r="J57" s="733">
        <v>15000</v>
      </c>
      <c r="K57" s="731" t="s">
        <v>1233</v>
      </c>
      <c r="L57" s="731" t="s">
        <v>47</v>
      </c>
      <c r="M57" s="732" t="s">
        <v>1344</v>
      </c>
      <c r="N57" s="736" t="s">
        <v>1244</v>
      </c>
      <c r="O57" s="576"/>
      <c r="P57" s="203"/>
      <c r="Q57" s="203"/>
      <c r="R57" s="203"/>
      <c r="S57" s="203"/>
      <c r="T57" s="203"/>
      <c r="U57" s="203"/>
      <c r="V57" s="203"/>
      <c r="W57" s="203"/>
      <c r="X57" s="203"/>
      <c r="Y57" s="203"/>
      <c r="Z57" s="204"/>
    </row>
    <row r="58" spans="1:26" ht="30" customHeight="1" thickBot="1" x14ac:dyDescent="0.35">
      <c r="A58" s="765">
        <v>2024</v>
      </c>
      <c r="B58" s="758">
        <v>4</v>
      </c>
      <c r="C58" s="725">
        <v>840109</v>
      </c>
      <c r="D58" s="725">
        <v>621510011</v>
      </c>
      <c r="E58" s="726" t="s">
        <v>1230</v>
      </c>
      <c r="F58" s="727" t="s">
        <v>1345</v>
      </c>
      <c r="G58" s="725">
        <v>1</v>
      </c>
      <c r="H58" s="595" t="s">
        <v>1232</v>
      </c>
      <c r="I58" s="728">
        <v>1409</v>
      </c>
      <c r="J58" s="728">
        <v>1409</v>
      </c>
      <c r="K58" s="726" t="s">
        <v>1233</v>
      </c>
      <c r="L58" s="726" t="s">
        <v>103</v>
      </c>
      <c r="M58" s="727" t="s">
        <v>1234</v>
      </c>
      <c r="N58" s="729" t="s">
        <v>1235</v>
      </c>
      <c r="O58" s="575"/>
      <c r="P58" s="201"/>
      <c r="Q58" s="201"/>
      <c r="R58" s="201"/>
      <c r="S58" s="201"/>
      <c r="T58" s="201"/>
      <c r="U58" s="201"/>
      <c r="V58" s="201"/>
      <c r="W58" s="201"/>
      <c r="X58" s="201"/>
      <c r="Y58" s="201"/>
      <c r="Z58" s="202"/>
    </row>
    <row r="59" spans="1:26" ht="30" customHeight="1" thickBot="1" x14ac:dyDescent="0.35">
      <c r="A59" s="1510">
        <v>2024</v>
      </c>
      <c r="B59" s="759">
        <v>5</v>
      </c>
      <c r="C59" s="730">
        <v>840107</v>
      </c>
      <c r="D59" s="730">
        <v>4522000116</v>
      </c>
      <c r="E59" s="731" t="s">
        <v>1230</v>
      </c>
      <c r="F59" s="732" t="s">
        <v>1346</v>
      </c>
      <c r="G59" s="730">
        <v>1</v>
      </c>
      <c r="H59" s="590" t="s">
        <v>1232</v>
      </c>
      <c r="I59" s="733">
        <v>19645.400000000001</v>
      </c>
      <c r="J59" s="733">
        <v>19645.400000000001</v>
      </c>
      <c r="K59" s="731" t="s">
        <v>1233</v>
      </c>
      <c r="L59" s="731" t="s">
        <v>633</v>
      </c>
      <c r="M59" s="732" t="s">
        <v>1268</v>
      </c>
      <c r="N59" s="736" t="s">
        <v>1244</v>
      </c>
      <c r="O59" s="576"/>
      <c r="P59" s="203"/>
      <c r="Q59" s="203"/>
      <c r="R59" s="203"/>
      <c r="S59" s="203"/>
      <c r="T59" s="203"/>
      <c r="U59" s="203"/>
      <c r="V59" s="203"/>
      <c r="W59" s="203"/>
      <c r="X59" s="203"/>
      <c r="Y59" s="203"/>
      <c r="Z59" s="204"/>
    </row>
    <row r="60" spans="1:26" ht="30" customHeight="1" thickBot="1" x14ac:dyDescent="0.35">
      <c r="A60" s="765">
        <v>2024</v>
      </c>
      <c r="B60" s="758">
        <v>6</v>
      </c>
      <c r="C60" s="725">
        <v>840107</v>
      </c>
      <c r="D60" s="725">
        <v>432115011</v>
      </c>
      <c r="E60" s="726" t="s">
        <v>1230</v>
      </c>
      <c r="F60" s="727" t="s">
        <v>1347</v>
      </c>
      <c r="G60" s="725">
        <v>1</v>
      </c>
      <c r="H60" s="595" t="s">
        <v>1232</v>
      </c>
      <c r="I60" s="728">
        <v>10000</v>
      </c>
      <c r="J60" s="728">
        <v>10000</v>
      </c>
      <c r="K60" s="726" t="s">
        <v>1233</v>
      </c>
      <c r="L60" s="726" t="s">
        <v>633</v>
      </c>
      <c r="M60" s="727" t="s">
        <v>1268</v>
      </c>
      <c r="N60" s="735" t="s">
        <v>1244</v>
      </c>
      <c r="O60" s="575"/>
      <c r="P60" s="201"/>
      <c r="Q60" s="201"/>
      <c r="R60" s="201"/>
      <c r="S60" s="201"/>
      <c r="T60" s="201"/>
      <c r="U60" s="201"/>
      <c r="V60" s="201"/>
      <c r="W60" s="201"/>
      <c r="X60" s="201"/>
      <c r="Y60" s="201"/>
      <c r="Z60" s="202"/>
    </row>
    <row r="61" spans="1:26" ht="30" customHeight="1" thickBot="1" x14ac:dyDescent="0.35">
      <c r="A61" s="1510">
        <v>2024</v>
      </c>
      <c r="B61" s="759">
        <v>7</v>
      </c>
      <c r="C61" s="730">
        <v>840107</v>
      </c>
      <c r="D61" s="730">
        <v>481490011</v>
      </c>
      <c r="E61" s="731" t="s">
        <v>1230</v>
      </c>
      <c r="F61" s="732" t="s">
        <v>1348</v>
      </c>
      <c r="G61" s="730">
        <v>1</v>
      </c>
      <c r="H61" s="590" t="s">
        <v>1232</v>
      </c>
      <c r="I61" s="733">
        <v>30345.599999999999</v>
      </c>
      <c r="J61" s="733">
        <v>30345.599999999999</v>
      </c>
      <c r="K61" s="731" t="s">
        <v>1233</v>
      </c>
      <c r="L61" s="731" t="s">
        <v>633</v>
      </c>
      <c r="M61" s="732" t="s">
        <v>1268</v>
      </c>
      <c r="N61" s="736" t="s">
        <v>1244</v>
      </c>
      <c r="O61" s="576"/>
      <c r="P61" s="203"/>
      <c r="Q61" s="203"/>
      <c r="R61" s="203"/>
      <c r="S61" s="203"/>
      <c r="T61" s="203"/>
      <c r="U61" s="203"/>
      <c r="V61" s="203"/>
      <c r="W61" s="203"/>
      <c r="X61" s="203"/>
      <c r="Y61" s="203"/>
      <c r="Z61" s="204"/>
    </row>
    <row r="62" spans="1:26" ht="30" customHeight="1" thickBot="1" x14ac:dyDescent="0.35">
      <c r="A62" s="765">
        <v>2024</v>
      </c>
      <c r="B62" s="758">
        <v>8</v>
      </c>
      <c r="C62" s="725">
        <v>840106</v>
      </c>
      <c r="D62" s="725">
        <v>444610013</v>
      </c>
      <c r="E62" s="726" t="s">
        <v>1230</v>
      </c>
      <c r="F62" s="727" t="s">
        <v>1349</v>
      </c>
      <c r="G62" s="725">
        <v>1</v>
      </c>
      <c r="H62" s="595" t="s">
        <v>1232</v>
      </c>
      <c r="I62" s="728">
        <v>2000</v>
      </c>
      <c r="J62" s="728">
        <v>2000</v>
      </c>
      <c r="K62" s="726" t="s">
        <v>1233</v>
      </c>
      <c r="L62" s="726" t="s">
        <v>103</v>
      </c>
      <c r="M62" s="727" t="s">
        <v>1234</v>
      </c>
      <c r="N62" s="729" t="s">
        <v>1235</v>
      </c>
      <c r="O62" s="575"/>
      <c r="P62" s="201"/>
      <c r="Q62" s="201"/>
      <c r="R62" s="201"/>
      <c r="S62" s="201"/>
      <c r="T62" s="201"/>
      <c r="U62" s="201"/>
      <c r="V62" s="201"/>
      <c r="W62" s="201"/>
      <c r="X62" s="201"/>
      <c r="Y62" s="201"/>
      <c r="Z62" s="202"/>
    </row>
    <row r="63" spans="1:26" ht="30" customHeight="1" thickBot="1" x14ac:dyDescent="0.35">
      <c r="A63" s="1510">
        <v>2024</v>
      </c>
      <c r="B63" s="759">
        <v>9</v>
      </c>
      <c r="C63" s="730">
        <v>840105</v>
      </c>
      <c r="D63" s="730">
        <v>491130025</v>
      </c>
      <c r="E63" s="731" t="s">
        <v>1230</v>
      </c>
      <c r="F63" s="732" t="s">
        <v>1350</v>
      </c>
      <c r="G63" s="730">
        <v>1</v>
      </c>
      <c r="H63" s="590" t="s">
        <v>1232</v>
      </c>
      <c r="I63" s="733">
        <v>138000</v>
      </c>
      <c r="J63" s="733">
        <v>138000</v>
      </c>
      <c r="K63" s="731" t="s">
        <v>1233</v>
      </c>
      <c r="L63" s="731" t="s">
        <v>545</v>
      </c>
      <c r="M63" s="732" t="s">
        <v>1165</v>
      </c>
      <c r="N63" s="736" t="s">
        <v>1244</v>
      </c>
      <c r="O63" s="576"/>
      <c r="P63" s="203"/>
      <c r="Q63" s="203"/>
      <c r="R63" s="203"/>
      <c r="S63" s="203"/>
      <c r="T63" s="203"/>
      <c r="U63" s="203"/>
      <c r="V63" s="203"/>
      <c r="W63" s="203"/>
      <c r="X63" s="203"/>
      <c r="Y63" s="203"/>
      <c r="Z63" s="204"/>
    </row>
    <row r="64" spans="1:26" ht="30" customHeight="1" thickBot="1" x14ac:dyDescent="0.35">
      <c r="A64" s="765">
        <v>2024</v>
      </c>
      <c r="B64" s="758">
        <v>10</v>
      </c>
      <c r="C64" s="725">
        <v>840104</v>
      </c>
      <c r="D64" s="725">
        <v>482650221</v>
      </c>
      <c r="E64" s="726" t="s">
        <v>1230</v>
      </c>
      <c r="F64" s="727" t="s">
        <v>1351</v>
      </c>
      <c r="G64" s="725">
        <v>1</v>
      </c>
      <c r="H64" s="595" t="s">
        <v>1232</v>
      </c>
      <c r="I64" s="728">
        <v>25000</v>
      </c>
      <c r="J64" s="728">
        <v>25000</v>
      </c>
      <c r="K64" s="726" t="s">
        <v>1233</v>
      </c>
      <c r="L64" s="726" t="s">
        <v>495</v>
      </c>
      <c r="M64" s="727" t="s">
        <v>747</v>
      </c>
      <c r="N64" s="735" t="s">
        <v>1244</v>
      </c>
      <c r="O64" s="575"/>
      <c r="P64" s="201"/>
      <c r="Q64" s="201"/>
      <c r="R64" s="201"/>
      <c r="S64" s="201"/>
      <c r="T64" s="201"/>
      <c r="U64" s="201"/>
      <c r="V64" s="201"/>
      <c r="W64" s="201"/>
      <c r="X64" s="201"/>
      <c r="Y64" s="201"/>
      <c r="Z64" s="202"/>
    </row>
    <row r="65" spans="1:26" ht="30" customHeight="1" thickBot="1" x14ac:dyDescent="0.35">
      <c r="A65" s="1510">
        <v>2024</v>
      </c>
      <c r="B65" s="759">
        <v>11</v>
      </c>
      <c r="C65" s="730">
        <v>840104</v>
      </c>
      <c r="D65" s="730">
        <v>439130111</v>
      </c>
      <c r="E65" s="731" t="s">
        <v>1230</v>
      </c>
      <c r="F65" s="732" t="s">
        <v>1352</v>
      </c>
      <c r="G65" s="730">
        <v>1</v>
      </c>
      <c r="H65" s="590" t="s">
        <v>1232</v>
      </c>
      <c r="I65" s="733">
        <v>8000</v>
      </c>
      <c r="J65" s="733">
        <v>8000</v>
      </c>
      <c r="K65" s="731" t="s">
        <v>1233</v>
      </c>
      <c r="L65" s="731" t="s">
        <v>103</v>
      </c>
      <c r="M65" s="732" t="s">
        <v>1234</v>
      </c>
      <c r="N65" s="734" t="s">
        <v>1235</v>
      </c>
      <c r="O65" s="576"/>
      <c r="P65" s="203"/>
      <c r="Q65" s="203"/>
      <c r="R65" s="203"/>
      <c r="S65" s="203"/>
      <c r="T65" s="203"/>
      <c r="U65" s="203"/>
      <c r="V65" s="203"/>
      <c r="W65" s="203"/>
      <c r="X65" s="203"/>
      <c r="Y65" s="203"/>
      <c r="Z65" s="204"/>
    </row>
    <row r="66" spans="1:26" ht="30" customHeight="1" thickBot="1" x14ac:dyDescent="0.35">
      <c r="A66" s="765">
        <v>2024</v>
      </c>
      <c r="B66" s="758">
        <v>12</v>
      </c>
      <c r="C66" s="725">
        <v>840104</v>
      </c>
      <c r="D66" s="725">
        <v>381210017</v>
      </c>
      <c r="E66" s="726" t="s">
        <v>1230</v>
      </c>
      <c r="F66" s="727" t="s">
        <v>1353</v>
      </c>
      <c r="G66" s="725">
        <v>1</v>
      </c>
      <c r="H66" s="595" t="s">
        <v>1232</v>
      </c>
      <c r="I66" s="728">
        <v>3500</v>
      </c>
      <c r="J66" s="728">
        <v>3500</v>
      </c>
      <c r="K66" s="726" t="s">
        <v>1233</v>
      </c>
      <c r="L66" s="726" t="s">
        <v>103</v>
      </c>
      <c r="M66" s="727" t="s">
        <v>1234</v>
      </c>
      <c r="N66" s="729" t="s">
        <v>1235</v>
      </c>
      <c r="O66" s="575"/>
      <c r="P66" s="201"/>
      <c r="Q66" s="201"/>
      <c r="R66" s="201"/>
      <c r="S66" s="201"/>
      <c r="T66" s="201"/>
      <c r="U66" s="201"/>
      <c r="V66" s="201"/>
      <c r="W66" s="201"/>
      <c r="X66" s="201"/>
      <c r="Y66" s="201"/>
      <c r="Z66" s="202"/>
    </row>
    <row r="67" spans="1:26" ht="30" customHeight="1" thickBot="1" x14ac:dyDescent="0.35">
      <c r="A67" s="1510">
        <v>2024</v>
      </c>
      <c r="B67" s="759">
        <v>13</v>
      </c>
      <c r="C67" s="730">
        <v>840104</v>
      </c>
      <c r="D67" s="730">
        <v>442310113</v>
      </c>
      <c r="E67" s="731" t="s">
        <v>1230</v>
      </c>
      <c r="F67" s="732" t="s">
        <v>1354</v>
      </c>
      <c r="G67" s="730">
        <v>1</v>
      </c>
      <c r="H67" s="590" t="s">
        <v>1232</v>
      </c>
      <c r="I67" s="733">
        <v>14000</v>
      </c>
      <c r="J67" s="733">
        <v>14000</v>
      </c>
      <c r="K67" s="731" t="s">
        <v>1233</v>
      </c>
      <c r="L67" s="731" t="s">
        <v>526</v>
      </c>
      <c r="M67" s="732" t="s">
        <v>1293</v>
      </c>
      <c r="N67" s="736" t="s">
        <v>1244</v>
      </c>
      <c r="O67" s="576"/>
      <c r="P67" s="203"/>
      <c r="Q67" s="203"/>
      <c r="R67" s="203"/>
      <c r="S67" s="203"/>
      <c r="T67" s="203"/>
      <c r="U67" s="203"/>
      <c r="V67" s="203"/>
      <c r="W67" s="203"/>
      <c r="X67" s="203"/>
      <c r="Y67" s="203"/>
      <c r="Z67" s="204"/>
    </row>
    <row r="68" spans="1:26" ht="30" customHeight="1" thickBot="1" x14ac:dyDescent="0.35">
      <c r="A68" s="765">
        <v>2024</v>
      </c>
      <c r="B68" s="758">
        <v>14</v>
      </c>
      <c r="C68" s="725">
        <v>840104</v>
      </c>
      <c r="D68" s="725">
        <v>444210111</v>
      </c>
      <c r="E68" s="726" t="s">
        <v>1230</v>
      </c>
      <c r="F68" s="727" t="s">
        <v>1355</v>
      </c>
      <c r="G68" s="725">
        <v>1</v>
      </c>
      <c r="H68" s="595" t="s">
        <v>1232</v>
      </c>
      <c r="I68" s="728">
        <v>600000</v>
      </c>
      <c r="J68" s="728">
        <v>600000</v>
      </c>
      <c r="K68" s="726" t="s">
        <v>1233</v>
      </c>
      <c r="L68" s="726" t="s">
        <v>545</v>
      </c>
      <c r="M68" s="727" t="s">
        <v>1165</v>
      </c>
      <c r="N68" s="735" t="s">
        <v>1244</v>
      </c>
      <c r="O68" s="575"/>
      <c r="P68" s="201"/>
      <c r="Q68" s="201"/>
      <c r="R68" s="201"/>
      <c r="S68" s="201"/>
      <c r="T68" s="201"/>
      <c r="U68" s="201"/>
      <c r="V68" s="201"/>
      <c r="W68" s="201"/>
      <c r="X68" s="201"/>
      <c r="Y68" s="201"/>
      <c r="Z68" s="202"/>
    </row>
    <row r="69" spans="1:26" ht="30" customHeight="1" thickBot="1" x14ac:dyDescent="0.35">
      <c r="A69" s="1510">
        <v>2024</v>
      </c>
      <c r="B69" s="759">
        <v>15</v>
      </c>
      <c r="C69" s="730">
        <v>840104</v>
      </c>
      <c r="D69" s="730">
        <v>421140011</v>
      </c>
      <c r="E69" s="731" t="s">
        <v>1230</v>
      </c>
      <c r="F69" s="732" t="s">
        <v>1356</v>
      </c>
      <c r="G69" s="730">
        <v>1</v>
      </c>
      <c r="H69" s="590" t="s">
        <v>1232</v>
      </c>
      <c r="I69" s="733">
        <v>3200</v>
      </c>
      <c r="J69" s="733">
        <v>3200</v>
      </c>
      <c r="K69" s="731" t="s">
        <v>1233</v>
      </c>
      <c r="L69" s="731" t="s">
        <v>103</v>
      </c>
      <c r="M69" s="732" t="s">
        <v>1234</v>
      </c>
      <c r="N69" s="734" t="s">
        <v>1235</v>
      </c>
      <c r="O69" s="576"/>
      <c r="P69" s="203"/>
      <c r="Q69" s="203"/>
      <c r="R69" s="203"/>
      <c r="S69" s="203"/>
      <c r="T69" s="203"/>
      <c r="U69" s="203"/>
      <c r="V69" s="203"/>
      <c r="W69" s="203"/>
      <c r="X69" s="203"/>
      <c r="Y69" s="203"/>
      <c r="Z69" s="204"/>
    </row>
    <row r="70" spans="1:26" ht="30" customHeight="1" thickBot="1" x14ac:dyDescent="0.35">
      <c r="A70" s="765">
        <v>2024</v>
      </c>
      <c r="B70" s="758">
        <v>16</v>
      </c>
      <c r="C70" s="725">
        <v>840104</v>
      </c>
      <c r="D70" s="725">
        <v>471420011</v>
      </c>
      <c r="E70" s="726" t="s">
        <v>1230</v>
      </c>
      <c r="F70" s="737" t="s">
        <v>1357</v>
      </c>
      <c r="G70" s="725">
        <v>1</v>
      </c>
      <c r="H70" s="595" t="s">
        <v>1232</v>
      </c>
      <c r="I70" s="728">
        <v>15000</v>
      </c>
      <c r="J70" s="728">
        <v>15000</v>
      </c>
      <c r="K70" s="726" t="s">
        <v>1233</v>
      </c>
      <c r="L70" s="726" t="s">
        <v>526</v>
      </c>
      <c r="M70" s="727" t="s">
        <v>1293</v>
      </c>
      <c r="N70" s="735" t="s">
        <v>1244</v>
      </c>
      <c r="O70" s="575"/>
      <c r="P70" s="201"/>
      <c r="Q70" s="201"/>
      <c r="R70" s="201"/>
      <c r="S70" s="201"/>
      <c r="T70" s="201"/>
      <c r="U70" s="201"/>
      <c r="V70" s="201"/>
      <c r="W70" s="201"/>
      <c r="X70" s="201"/>
      <c r="Y70" s="201"/>
      <c r="Z70" s="202"/>
    </row>
    <row r="71" spans="1:26" ht="30" customHeight="1" thickBot="1" x14ac:dyDescent="0.35">
      <c r="A71" s="1510">
        <v>2024</v>
      </c>
      <c r="B71" s="759">
        <v>17</v>
      </c>
      <c r="C71" s="730">
        <v>840104</v>
      </c>
      <c r="D71" s="730">
        <v>471490211</v>
      </c>
      <c r="E71" s="731" t="s">
        <v>1230</v>
      </c>
      <c r="F71" s="732" t="s">
        <v>1358</v>
      </c>
      <c r="G71" s="730">
        <v>1</v>
      </c>
      <c r="H71" s="590" t="s">
        <v>1232</v>
      </c>
      <c r="I71" s="733">
        <v>10000</v>
      </c>
      <c r="J71" s="733">
        <v>10000</v>
      </c>
      <c r="K71" s="731" t="s">
        <v>1233</v>
      </c>
      <c r="L71" s="731" t="s">
        <v>539</v>
      </c>
      <c r="M71" s="732" t="s">
        <v>1252</v>
      </c>
      <c r="N71" s="736" t="s">
        <v>1244</v>
      </c>
      <c r="O71" s="576"/>
      <c r="P71" s="203"/>
      <c r="Q71" s="203"/>
      <c r="R71" s="203"/>
      <c r="S71" s="203"/>
      <c r="T71" s="203"/>
      <c r="U71" s="203"/>
      <c r="V71" s="203"/>
      <c r="W71" s="203"/>
      <c r="X71" s="203"/>
      <c r="Y71" s="203"/>
      <c r="Z71" s="204"/>
    </row>
    <row r="72" spans="1:26" ht="30" customHeight="1" thickBot="1" x14ac:dyDescent="0.35">
      <c r="A72" s="765">
        <v>2024</v>
      </c>
      <c r="B72" s="758">
        <v>18</v>
      </c>
      <c r="C72" s="725">
        <v>840104</v>
      </c>
      <c r="D72" s="725">
        <v>482650321</v>
      </c>
      <c r="E72" s="726" t="s">
        <v>1230</v>
      </c>
      <c r="F72" s="727" t="s">
        <v>1359</v>
      </c>
      <c r="G72" s="725">
        <v>1</v>
      </c>
      <c r="H72" s="595" t="s">
        <v>1232</v>
      </c>
      <c r="I72" s="728">
        <v>26500</v>
      </c>
      <c r="J72" s="728">
        <v>26500</v>
      </c>
      <c r="K72" s="726" t="s">
        <v>1233</v>
      </c>
      <c r="L72" s="726" t="s">
        <v>487</v>
      </c>
      <c r="M72" s="727" t="s">
        <v>757</v>
      </c>
      <c r="N72" s="735" t="s">
        <v>1244</v>
      </c>
      <c r="O72" s="575"/>
      <c r="P72" s="201"/>
      <c r="Q72" s="201"/>
      <c r="R72" s="201"/>
      <c r="S72" s="201"/>
      <c r="T72" s="201"/>
      <c r="U72" s="201"/>
      <c r="V72" s="201"/>
      <c r="W72" s="201"/>
      <c r="X72" s="201"/>
      <c r="Y72" s="201"/>
      <c r="Z72" s="202"/>
    </row>
    <row r="73" spans="1:26" ht="30" customHeight="1" thickBot="1" x14ac:dyDescent="0.35">
      <c r="A73" s="1510">
        <v>2024</v>
      </c>
      <c r="B73" s="759">
        <v>19</v>
      </c>
      <c r="C73" s="730">
        <v>840104</v>
      </c>
      <c r="D73" s="730">
        <v>432205014</v>
      </c>
      <c r="E73" s="731" t="s">
        <v>1230</v>
      </c>
      <c r="F73" s="732" t="s">
        <v>1360</v>
      </c>
      <c r="G73" s="730">
        <v>1</v>
      </c>
      <c r="H73" s="590" t="s">
        <v>1232</v>
      </c>
      <c r="I73" s="733">
        <v>16000</v>
      </c>
      <c r="J73" s="733">
        <v>16000</v>
      </c>
      <c r="K73" s="731" t="s">
        <v>1233</v>
      </c>
      <c r="L73" s="731" t="s">
        <v>495</v>
      </c>
      <c r="M73" s="732" t="s">
        <v>747</v>
      </c>
      <c r="N73" s="736" t="s">
        <v>1244</v>
      </c>
      <c r="O73" s="576"/>
      <c r="P73" s="203"/>
      <c r="Q73" s="203"/>
      <c r="R73" s="203"/>
      <c r="S73" s="203"/>
      <c r="T73" s="203"/>
      <c r="U73" s="203"/>
      <c r="V73" s="203"/>
      <c r="W73" s="203"/>
      <c r="X73" s="203"/>
      <c r="Y73" s="203"/>
      <c r="Z73" s="204"/>
    </row>
    <row r="74" spans="1:26" ht="30" customHeight="1" thickBot="1" x14ac:dyDescent="0.35">
      <c r="A74" s="765">
        <v>2024</v>
      </c>
      <c r="B74" s="758">
        <v>20</v>
      </c>
      <c r="C74" s="725">
        <v>840103</v>
      </c>
      <c r="D74" s="725">
        <v>271600112</v>
      </c>
      <c r="E74" s="726" t="s">
        <v>1239</v>
      </c>
      <c r="F74" s="727" t="s">
        <v>1361</v>
      </c>
      <c r="G74" s="725">
        <v>1</v>
      </c>
      <c r="H74" s="595" t="s">
        <v>1232</v>
      </c>
      <c r="I74" s="728">
        <v>5000</v>
      </c>
      <c r="J74" s="728">
        <v>5000</v>
      </c>
      <c r="K74" s="726" t="s">
        <v>1233</v>
      </c>
      <c r="L74" s="726" t="s">
        <v>103</v>
      </c>
      <c r="M74" s="727" t="s">
        <v>1234</v>
      </c>
      <c r="N74" s="729" t="s">
        <v>1235</v>
      </c>
      <c r="O74" s="575"/>
      <c r="P74" s="201"/>
      <c r="Q74" s="201"/>
      <c r="R74" s="201"/>
      <c r="S74" s="201"/>
      <c r="T74" s="201"/>
      <c r="U74" s="201"/>
      <c r="V74" s="201"/>
      <c r="W74" s="201"/>
      <c r="X74" s="201"/>
      <c r="Y74" s="201"/>
      <c r="Z74" s="202"/>
    </row>
    <row r="75" spans="1:26" ht="30" customHeight="1" thickBot="1" x14ac:dyDescent="0.35">
      <c r="A75" s="1510">
        <v>2024</v>
      </c>
      <c r="B75" s="759">
        <v>21</v>
      </c>
      <c r="C75" s="730">
        <v>840103</v>
      </c>
      <c r="D75" s="730">
        <v>381110211</v>
      </c>
      <c r="E75" s="731" t="s">
        <v>1230</v>
      </c>
      <c r="F75" s="732" t="s">
        <v>1362</v>
      </c>
      <c r="G75" s="730">
        <v>1</v>
      </c>
      <c r="H75" s="590" t="s">
        <v>1232</v>
      </c>
      <c r="I75" s="733">
        <v>20000</v>
      </c>
      <c r="J75" s="733">
        <v>20000</v>
      </c>
      <c r="K75" s="731" t="s">
        <v>1233</v>
      </c>
      <c r="L75" s="731" t="s">
        <v>103</v>
      </c>
      <c r="M75" s="732" t="s">
        <v>1234</v>
      </c>
      <c r="N75" s="734" t="s">
        <v>1235</v>
      </c>
      <c r="O75" s="576"/>
      <c r="P75" s="203"/>
      <c r="Q75" s="203"/>
      <c r="R75" s="203"/>
      <c r="S75" s="203"/>
      <c r="T75" s="203"/>
      <c r="U75" s="203"/>
      <c r="V75" s="203"/>
      <c r="W75" s="203"/>
      <c r="X75" s="203"/>
      <c r="Y75" s="203"/>
      <c r="Z75" s="204"/>
    </row>
    <row r="76" spans="1:26" ht="30" customHeight="1" thickBot="1" x14ac:dyDescent="0.35">
      <c r="A76" s="765">
        <v>2024</v>
      </c>
      <c r="B76" s="758">
        <v>22</v>
      </c>
      <c r="C76" s="725">
        <v>840103</v>
      </c>
      <c r="D76" s="725">
        <v>492210011</v>
      </c>
      <c r="E76" s="726" t="s">
        <v>1230</v>
      </c>
      <c r="F76" s="727" t="s">
        <v>1363</v>
      </c>
      <c r="G76" s="725">
        <v>1</v>
      </c>
      <c r="H76" s="595" t="s">
        <v>1232</v>
      </c>
      <c r="I76" s="728">
        <v>15000</v>
      </c>
      <c r="J76" s="728">
        <v>15000</v>
      </c>
      <c r="K76" s="726" t="s">
        <v>1233</v>
      </c>
      <c r="L76" s="726" t="s">
        <v>103</v>
      </c>
      <c r="M76" s="727" t="s">
        <v>1234</v>
      </c>
      <c r="N76" s="729" t="s">
        <v>1235</v>
      </c>
      <c r="O76" s="575"/>
      <c r="P76" s="201"/>
      <c r="Q76" s="201"/>
      <c r="R76" s="201"/>
      <c r="S76" s="201"/>
      <c r="T76" s="201"/>
      <c r="U76" s="201"/>
      <c r="V76" s="201"/>
      <c r="W76" s="201"/>
      <c r="X76" s="201"/>
      <c r="Y76" s="201"/>
      <c r="Z76" s="202"/>
    </row>
    <row r="77" spans="1:26" ht="30" customHeight="1" thickBot="1" x14ac:dyDescent="0.35">
      <c r="A77" s="1510">
        <v>2024</v>
      </c>
      <c r="B77" s="759">
        <v>23</v>
      </c>
      <c r="C77" s="730">
        <v>780206</v>
      </c>
      <c r="D77" s="730">
        <v>929000011</v>
      </c>
      <c r="E77" s="731" t="s">
        <v>1239</v>
      </c>
      <c r="F77" s="732" t="s">
        <v>1364</v>
      </c>
      <c r="G77" s="730">
        <v>1</v>
      </c>
      <c r="H77" s="590" t="s">
        <v>1232</v>
      </c>
      <c r="I77" s="733">
        <v>18000</v>
      </c>
      <c r="J77" s="733">
        <v>18000</v>
      </c>
      <c r="K77" s="731" t="s">
        <v>1233</v>
      </c>
      <c r="L77" s="731" t="s">
        <v>53</v>
      </c>
      <c r="M77" s="732" t="s">
        <v>1275</v>
      </c>
      <c r="N77" s="736" t="s">
        <v>1244</v>
      </c>
      <c r="O77" s="576"/>
      <c r="P77" s="203"/>
      <c r="Q77" s="203"/>
      <c r="R77" s="203"/>
      <c r="S77" s="203"/>
      <c r="T77" s="203"/>
      <c r="U77" s="203"/>
      <c r="V77" s="203"/>
      <c r="W77" s="203"/>
      <c r="X77" s="203"/>
      <c r="Y77" s="203"/>
      <c r="Z77" s="204"/>
    </row>
    <row r="78" spans="1:26" ht="30" customHeight="1" thickBot="1" x14ac:dyDescent="0.35">
      <c r="A78" s="765">
        <v>2024</v>
      </c>
      <c r="B78" s="758">
        <v>24</v>
      </c>
      <c r="C78" s="725">
        <v>770201</v>
      </c>
      <c r="D78" s="725">
        <v>713340112</v>
      </c>
      <c r="E78" s="726" t="s">
        <v>1239</v>
      </c>
      <c r="F78" s="727" t="s">
        <v>1365</v>
      </c>
      <c r="G78" s="725">
        <v>1</v>
      </c>
      <c r="H78" s="595" t="s">
        <v>1232</v>
      </c>
      <c r="I78" s="728">
        <v>75144.740000000005</v>
      </c>
      <c r="J78" s="728">
        <v>75144.740000000005</v>
      </c>
      <c r="K78" s="726" t="s">
        <v>1233</v>
      </c>
      <c r="L78" s="726" t="s">
        <v>103</v>
      </c>
      <c r="M78" s="727" t="s">
        <v>1234</v>
      </c>
      <c r="N78" s="729" t="s">
        <v>1235</v>
      </c>
      <c r="O78" s="575"/>
      <c r="P78" s="201"/>
      <c r="Q78" s="201"/>
      <c r="R78" s="201"/>
      <c r="S78" s="201"/>
      <c r="T78" s="201"/>
      <c r="U78" s="201"/>
      <c r="V78" s="201"/>
      <c r="W78" s="201"/>
      <c r="X78" s="201"/>
      <c r="Y78" s="201"/>
      <c r="Z78" s="202"/>
    </row>
    <row r="79" spans="1:26" ht="30" customHeight="1" thickBot="1" x14ac:dyDescent="0.35">
      <c r="A79" s="1510">
        <v>2024</v>
      </c>
      <c r="B79" s="759">
        <v>25</v>
      </c>
      <c r="C79" s="730">
        <v>750501</v>
      </c>
      <c r="D79" s="730">
        <v>532900011</v>
      </c>
      <c r="E79" s="731" t="s">
        <v>1242</v>
      </c>
      <c r="F79" s="732" t="s">
        <v>1366</v>
      </c>
      <c r="G79" s="730">
        <v>1</v>
      </c>
      <c r="H79" s="590" t="s">
        <v>1232</v>
      </c>
      <c r="I79" s="733">
        <v>450000</v>
      </c>
      <c r="J79" s="733">
        <v>450000</v>
      </c>
      <c r="K79" s="731" t="s">
        <v>1233</v>
      </c>
      <c r="L79" s="731" t="s">
        <v>495</v>
      </c>
      <c r="M79" s="732" t="s">
        <v>747</v>
      </c>
      <c r="N79" s="736" t="s">
        <v>1244</v>
      </c>
      <c r="O79" s="576"/>
      <c r="P79" s="203"/>
      <c r="Q79" s="203"/>
      <c r="R79" s="203"/>
      <c r="S79" s="203"/>
      <c r="T79" s="203"/>
      <c r="U79" s="203"/>
      <c r="V79" s="203"/>
      <c r="W79" s="203"/>
      <c r="X79" s="203"/>
      <c r="Y79" s="203"/>
      <c r="Z79" s="204"/>
    </row>
    <row r="80" spans="1:26" ht="30" customHeight="1" thickBot="1" x14ac:dyDescent="0.35">
      <c r="A80" s="765">
        <v>2024</v>
      </c>
      <c r="B80" s="758">
        <v>26</v>
      </c>
      <c r="C80" s="725">
        <v>750501</v>
      </c>
      <c r="D80" s="725">
        <v>532510012</v>
      </c>
      <c r="E80" s="726" t="s">
        <v>1230</v>
      </c>
      <c r="F80" s="727" t="s">
        <v>1367</v>
      </c>
      <c r="G80" s="725">
        <v>1</v>
      </c>
      <c r="H80" s="595" t="s">
        <v>1232</v>
      </c>
      <c r="I80" s="728">
        <v>220000</v>
      </c>
      <c r="J80" s="728">
        <v>220000</v>
      </c>
      <c r="K80" s="726" t="s">
        <v>1233</v>
      </c>
      <c r="L80" s="726" t="s">
        <v>495</v>
      </c>
      <c r="M80" s="727" t="s">
        <v>747</v>
      </c>
      <c r="N80" s="735" t="s">
        <v>1244</v>
      </c>
      <c r="O80" s="575"/>
      <c r="P80" s="201"/>
      <c r="Q80" s="201"/>
      <c r="R80" s="201"/>
      <c r="S80" s="201"/>
      <c r="T80" s="201"/>
      <c r="U80" s="201"/>
      <c r="V80" s="201"/>
      <c r="W80" s="201"/>
      <c r="X80" s="201"/>
      <c r="Y80" s="201"/>
      <c r="Z80" s="202"/>
    </row>
    <row r="81" spans="1:26" ht="30" customHeight="1" thickBot="1" x14ac:dyDescent="0.35">
      <c r="A81" s="1510">
        <v>2024</v>
      </c>
      <c r="B81" s="759">
        <v>27</v>
      </c>
      <c r="C81" s="730">
        <v>750501</v>
      </c>
      <c r="D81" s="730">
        <v>881600011</v>
      </c>
      <c r="E81" s="731" t="s">
        <v>1230</v>
      </c>
      <c r="F81" s="732" t="s">
        <v>1368</v>
      </c>
      <c r="G81" s="730">
        <v>1</v>
      </c>
      <c r="H81" s="590" t="s">
        <v>1232</v>
      </c>
      <c r="I81" s="733">
        <v>40000</v>
      </c>
      <c r="J81" s="733">
        <v>40000</v>
      </c>
      <c r="K81" s="731" t="s">
        <v>1233</v>
      </c>
      <c r="L81" s="731" t="s">
        <v>495</v>
      </c>
      <c r="M81" s="732" t="s">
        <v>747</v>
      </c>
      <c r="N81" s="736" t="s">
        <v>1244</v>
      </c>
      <c r="O81" s="576"/>
      <c r="P81" s="203"/>
      <c r="Q81" s="203"/>
      <c r="R81" s="203"/>
      <c r="S81" s="203"/>
      <c r="T81" s="203"/>
      <c r="U81" s="203"/>
      <c r="V81" s="203"/>
      <c r="W81" s="203"/>
      <c r="X81" s="203"/>
      <c r="Y81" s="203"/>
      <c r="Z81" s="204"/>
    </row>
    <row r="82" spans="1:26" ht="30" customHeight="1" thickBot="1" x14ac:dyDescent="0.35">
      <c r="A82" s="765">
        <v>2024</v>
      </c>
      <c r="B82" s="758">
        <v>28</v>
      </c>
      <c r="C82" s="725">
        <v>750501</v>
      </c>
      <c r="D82" s="725">
        <v>532900011</v>
      </c>
      <c r="E82" s="726" t="s">
        <v>1242</v>
      </c>
      <c r="F82" s="727" t="s">
        <v>1369</v>
      </c>
      <c r="G82" s="725">
        <v>1</v>
      </c>
      <c r="H82" s="595" t="s">
        <v>1232</v>
      </c>
      <c r="I82" s="728">
        <v>439000</v>
      </c>
      <c r="J82" s="728">
        <v>439000</v>
      </c>
      <c r="K82" s="726" t="s">
        <v>1233</v>
      </c>
      <c r="L82" s="726" t="s">
        <v>495</v>
      </c>
      <c r="M82" s="727" t="s">
        <v>747</v>
      </c>
      <c r="N82" s="735" t="s">
        <v>1244</v>
      </c>
      <c r="O82" s="575"/>
      <c r="P82" s="201"/>
      <c r="Q82" s="201"/>
      <c r="R82" s="201"/>
      <c r="S82" s="201"/>
      <c r="T82" s="201"/>
      <c r="U82" s="201"/>
      <c r="V82" s="201"/>
      <c r="W82" s="201"/>
      <c r="X82" s="201"/>
      <c r="Y82" s="201"/>
      <c r="Z82" s="202"/>
    </row>
    <row r="83" spans="1:26" ht="30" customHeight="1" thickBot="1" x14ac:dyDescent="0.35">
      <c r="A83" s="1510">
        <v>2024</v>
      </c>
      <c r="B83" s="759">
        <v>29</v>
      </c>
      <c r="C83" s="730">
        <v>750105</v>
      </c>
      <c r="D83" s="730">
        <v>532900011</v>
      </c>
      <c r="E83" s="731" t="s">
        <v>1242</v>
      </c>
      <c r="F83" s="732" t="s">
        <v>1370</v>
      </c>
      <c r="G83" s="730">
        <v>1</v>
      </c>
      <c r="H83" s="590" t="s">
        <v>1232</v>
      </c>
      <c r="I83" s="733">
        <v>300000</v>
      </c>
      <c r="J83" s="733">
        <v>300000</v>
      </c>
      <c r="K83" s="731" t="s">
        <v>1233</v>
      </c>
      <c r="L83" s="731" t="s">
        <v>539</v>
      </c>
      <c r="M83" s="732" t="s">
        <v>1252</v>
      </c>
      <c r="N83" s="736" t="s">
        <v>1244</v>
      </c>
      <c r="O83" s="576"/>
      <c r="P83" s="203"/>
      <c r="Q83" s="203"/>
      <c r="R83" s="203"/>
      <c r="S83" s="203"/>
      <c r="T83" s="203"/>
      <c r="U83" s="203"/>
      <c r="V83" s="203"/>
      <c r="W83" s="203"/>
      <c r="X83" s="203"/>
      <c r="Y83" s="203"/>
      <c r="Z83" s="204"/>
    </row>
    <row r="84" spans="1:26" ht="30" customHeight="1" thickBot="1" x14ac:dyDescent="0.35">
      <c r="A84" s="765">
        <v>2024</v>
      </c>
      <c r="B84" s="758">
        <v>30</v>
      </c>
      <c r="C84" s="725">
        <v>750105</v>
      </c>
      <c r="D84" s="725">
        <v>120100013</v>
      </c>
      <c r="E84" s="726" t="s">
        <v>1242</v>
      </c>
      <c r="F84" s="727" t="s">
        <v>1371</v>
      </c>
      <c r="G84" s="725">
        <v>1</v>
      </c>
      <c r="H84" s="595" t="s">
        <v>1232</v>
      </c>
      <c r="I84" s="728">
        <v>150000</v>
      </c>
      <c r="J84" s="728">
        <v>150000</v>
      </c>
      <c r="K84" s="726" t="s">
        <v>1233</v>
      </c>
      <c r="L84" s="726" t="s">
        <v>539</v>
      </c>
      <c r="M84" s="727" t="s">
        <v>1252</v>
      </c>
      <c r="N84" s="735" t="s">
        <v>1244</v>
      </c>
      <c r="O84" s="575"/>
      <c r="P84" s="201"/>
      <c r="Q84" s="201"/>
      <c r="R84" s="201"/>
      <c r="S84" s="201"/>
      <c r="T84" s="201"/>
      <c r="U84" s="201"/>
      <c r="V84" s="201"/>
      <c r="W84" s="201"/>
      <c r="X84" s="201"/>
      <c r="Y84" s="201"/>
      <c r="Z84" s="202"/>
    </row>
    <row r="85" spans="1:26" ht="30" customHeight="1" thickBot="1" x14ac:dyDescent="0.35">
      <c r="A85" s="1510">
        <v>2024</v>
      </c>
      <c r="B85" s="759">
        <v>31</v>
      </c>
      <c r="C85" s="730">
        <v>750105</v>
      </c>
      <c r="D85" s="730">
        <v>532900011</v>
      </c>
      <c r="E85" s="731" t="s">
        <v>1242</v>
      </c>
      <c r="F85" s="732" t="s">
        <v>1372</v>
      </c>
      <c r="G85" s="730">
        <v>1</v>
      </c>
      <c r="H85" s="590" t="s">
        <v>1232</v>
      </c>
      <c r="I85" s="733">
        <v>100000</v>
      </c>
      <c r="J85" s="733">
        <v>100000</v>
      </c>
      <c r="K85" s="731" t="s">
        <v>1233</v>
      </c>
      <c r="L85" s="731" t="s">
        <v>539</v>
      </c>
      <c r="M85" s="732" t="s">
        <v>1252</v>
      </c>
      <c r="N85" s="736" t="s">
        <v>1244</v>
      </c>
      <c r="O85" s="576"/>
      <c r="P85" s="203"/>
      <c r="Q85" s="203"/>
      <c r="R85" s="203"/>
      <c r="S85" s="203"/>
      <c r="T85" s="203"/>
      <c r="U85" s="203"/>
      <c r="V85" s="203"/>
      <c r="W85" s="203"/>
      <c r="X85" s="203"/>
      <c r="Y85" s="203"/>
      <c r="Z85" s="204"/>
    </row>
    <row r="86" spans="1:26" ht="30" customHeight="1" thickBot="1" x14ac:dyDescent="0.35">
      <c r="A86" s="765">
        <v>2024</v>
      </c>
      <c r="B86" s="758">
        <v>32</v>
      </c>
      <c r="C86" s="725">
        <v>750104</v>
      </c>
      <c r="D86" s="725">
        <v>532900011</v>
      </c>
      <c r="E86" s="726" t="s">
        <v>1242</v>
      </c>
      <c r="F86" s="727" t="s">
        <v>1373</v>
      </c>
      <c r="G86" s="725">
        <v>1</v>
      </c>
      <c r="H86" s="595" t="s">
        <v>1232</v>
      </c>
      <c r="I86" s="728">
        <v>80000</v>
      </c>
      <c r="J86" s="728">
        <v>80000</v>
      </c>
      <c r="K86" s="726" t="s">
        <v>1233</v>
      </c>
      <c r="L86" s="726" t="s">
        <v>539</v>
      </c>
      <c r="M86" s="727" t="s">
        <v>1252</v>
      </c>
      <c r="N86" s="735" t="s">
        <v>1244</v>
      </c>
      <c r="O86" s="575"/>
      <c r="P86" s="201"/>
      <c r="Q86" s="201"/>
      <c r="R86" s="201"/>
      <c r="S86" s="201"/>
      <c r="T86" s="201"/>
      <c r="U86" s="201"/>
      <c r="V86" s="201"/>
      <c r="W86" s="201"/>
      <c r="X86" s="201"/>
      <c r="Y86" s="201"/>
      <c r="Z86" s="202"/>
    </row>
    <row r="87" spans="1:26" ht="30" customHeight="1" thickBot="1" x14ac:dyDescent="0.35">
      <c r="A87" s="1510">
        <v>2024</v>
      </c>
      <c r="B87" s="759">
        <v>33</v>
      </c>
      <c r="C87" s="730">
        <v>750104</v>
      </c>
      <c r="D87" s="730">
        <v>532900011</v>
      </c>
      <c r="E87" s="731" t="s">
        <v>1242</v>
      </c>
      <c r="F87" s="732" t="s">
        <v>1374</v>
      </c>
      <c r="G87" s="730">
        <v>1</v>
      </c>
      <c r="H87" s="590" t="s">
        <v>1232</v>
      </c>
      <c r="I87" s="733">
        <v>60000</v>
      </c>
      <c r="J87" s="733">
        <v>60000</v>
      </c>
      <c r="K87" s="731" t="s">
        <v>1233</v>
      </c>
      <c r="L87" s="731" t="s">
        <v>539</v>
      </c>
      <c r="M87" s="732" t="s">
        <v>1252</v>
      </c>
      <c r="N87" s="736" t="s">
        <v>1244</v>
      </c>
      <c r="O87" s="576"/>
      <c r="P87" s="203"/>
      <c r="Q87" s="203"/>
      <c r="R87" s="203"/>
      <c r="S87" s="203"/>
      <c r="T87" s="203"/>
      <c r="U87" s="203"/>
      <c r="V87" s="203"/>
      <c r="W87" s="203"/>
      <c r="X87" s="203"/>
      <c r="Y87" s="203"/>
      <c r="Z87" s="204"/>
    </row>
    <row r="88" spans="1:26" ht="30" customHeight="1" thickBot="1" x14ac:dyDescent="0.35">
      <c r="A88" s="765">
        <v>2024</v>
      </c>
      <c r="B88" s="758">
        <v>34</v>
      </c>
      <c r="C88" s="725">
        <v>750104</v>
      </c>
      <c r="D88" s="725">
        <v>546190012</v>
      </c>
      <c r="E88" s="726" t="s">
        <v>1239</v>
      </c>
      <c r="F88" s="727" t="s">
        <v>1375</v>
      </c>
      <c r="G88" s="725">
        <v>1</v>
      </c>
      <c r="H88" s="595" t="s">
        <v>1232</v>
      </c>
      <c r="I88" s="728">
        <v>25000</v>
      </c>
      <c r="J88" s="728">
        <v>25000</v>
      </c>
      <c r="K88" s="726" t="s">
        <v>1233</v>
      </c>
      <c r="L88" s="726" t="s">
        <v>539</v>
      </c>
      <c r="M88" s="727" t="s">
        <v>1252</v>
      </c>
      <c r="N88" s="735" t="s">
        <v>1244</v>
      </c>
      <c r="O88" s="575"/>
      <c r="P88" s="201"/>
      <c r="Q88" s="201"/>
      <c r="R88" s="201"/>
      <c r="S88" s="201"/>
      <c r="T88" s="201"/>
      <c r="U88" s="201"/>
      <c r="V88" s="201"/>
      <c r="W88" s="201"/>
      <c r="X88" s="201"/>
      <c r="Y88" s="201"/>
      <c r="Z88" s="202"/>
    </row>
    <row r="89" spans="1:26" ht="30" customHeight="1" thickBot="1" x14ac:dyDescent="0.35">
      <c r="A89" s="1510">
        <v>2024</v>
      </c>
      <c r="B89" s="759">
        <v>35</v>
      </c>
      <c r="C89" s="730">
        <v>750104</v>
      </c>
      <c r="D89" s="730">
        <v>871520211</v>
      </c>
      <c r="E89" s="731" t="s">
        <v>1242</v>
      </c>
      <c r="F89" s="732" t="s">
        <v>1376</v>
      </c>
      <c r="G89" s="730">
        <v>1</v>
      </c>
      <c r="H89" s="590" t="s">
        <v>1232</v>
      </c>
      <c r="I89" s="733">
        <v>50000</v>
      </c>
      <c r="J89" s="733">
        <v>50000</v>
      </c>
      <c r="K89" s="731" t="s">
        <v>1233</v>
      </c>
      <c r="L89" s="731" t="s">
        <v>539</v>
      </c>
      <c r="M89" s="732" t="s">
        <v>1252</v>
      </c>
      <c r="N89" s="736" t="s">
        <v>1244</v>
      </c>
      <c r="O89" s="576"/>
      <c r="P89" s="203"/>
      <c r="Q89" s="203"/>
      <c r="R89" s="203"/>
      <c r="S89" s="203"/>
      <c r="T89" s="203"/>
      <c r="U89" s="203"/>
      <c r="V89" s="203"/>
      <c r="W89" s="203"/>
      <c r="X89" s="203"/>
      <c r="Y89" s="203"/>
      <c r="Z89" s="204"/>
    </row>
    <row r="90" spans="1:26" ht="30" customHeight="1" thickBot="1" x14ac:dyDescent="0.35">
      <c r="A90" s="765">
        <v>2024</v>
      </c>
      <c r="B90" s="758">
        <v>36</v>
      </c>
      <c r="C90" s="725">
        <v>750104</v>
      </c>
      <c r="D90" s="725">
        <v>532900011</v>
      </c>
      <c r="E90" s="726" t="s">
        <v>1242</v>
      </c>
      <c r="F90" s="727" t="s">
        <v>1377</v>
      </c>
      <c r="G90" s="725">
        <v>1</v>
      </c>
      <c r="H90" s="595" t="s">
        <v>1232</v>
      </c>
      <c r="I90" s="728">
        <v>60646.48</v>
      </c>
      <c r="J90" s="728">
        <v>60646.48</v>
      </c>
      <c r="K90" s="726" t="s">
        <v>1233</v>
      </c>
      <c r="L90" s="726" t="s">
        <v>539</v>
      </c>
      <c r="M90" s="727" t="s">
        <v>1252</v>
      </c>
      <c r="N90" s="735" t="s">
        <v>1244</v>
      </c>
      <c r="O90" s="575"/>
      <c r="P90" s="201"/>
      <c r="Q90" s="201"/>
      <c r="R90" s="201"/>
      <c r="S90" s="201"/>
      <c r="T90" s="201"/>
      <c r="U90" s="201"/>
      <c r="V90" s="201"/>
      <c r="W90" s="201"/>
      <c r="X90" s="201"/>
      <c r="Y90" s="201"/>
      <c r="Z90" s="202"/>
    </row>
    <row r="91" spans="1:26" ht="30" customHeight="1" thickBot="1" x14ac:dyDescent="0.35">
      <c r="A91" s="1510">
        <v>2024</v>
      </c>
      <c r="B91" s="759">
        <v>37</v>
      </c>
      <c r="C91" s="730">
        <v>750106</v>
      </c>
      <c r="D91" s="730">
        <v>871520211</v>
      </c>
      <c r="E91" s="731" t="s">
        <v>1242</v>
      </c>
      <c r="F91" s="732" t="s">
        <v>1378</v>
      </c>
      <c r="G91" s="730">
        <v>1</v>
      </c>
      <c r="H91" s="590" t="s">
        <v>1232</v>
      </c>
      <c r="I91" s="733">
        <v>44524.46</v>
      </c>
      <c r="J91" s="733">
        <v>44524.46</v>
      </c>
      <c r="K91" s="731" t="s">
        <v>1233</v>
      </c>
      <c r="L91" s="731" t="s">
        <v>526</v>
      </c>
      <c r="M91" s="732" t="s">
        <v>1293</v>
      </c>
      <c r="N91" s="736" t="s">
        <v>1244</v>
      </c>
      <c r="O91" s="576"/>
      <c r="P91" s="203"/>
      <c r="Q91" s="203"/>
      <c r="R91" s="203"/>
      <c r="S91" s="203"/>
      <c r="T91" s="203"/>
      <c r="U91" s="203"/>
      <c r="V91" s="203"/>
      <c r="W91" s="203"/>
      <c r="X91" s="203"/>
      <c r="Y91" s="203"/>
      <c r="Z91" s="204"/>
    </row>
    <row r="92" spans="1:26" ht="30" customHeight="1" thickBot="1" x14ac:dyDescent="0.35">
      <c r="A92" s="765">
        <v>2024</v>
      </c>
      <c r="B92" s="758">
        <v>38</v>
      </c>
      <c r="C92" s="725">
        <v>750106</v>
      </c>
      <c r="D92" s="725">
        <v>532900011</v>
      </c>
      <c r="E92" s="726" t="s">
        <v>1242</v>
      </c>
      <c r="F92" s="727" t="s">
        <v>1379</v>
      </c>
      <c r="G92" s="725">
        <v>1</v>
      </c>
      <c r="H92" s="595" t="s">
        <v>1232</v>
      </c>
      <c r="I92" s="728">
        <v>15000</v>
      </c>
      <c r="J92" s="728">
        <v>15000</v>
      </c>
      <c r="K92" s="726" t="s">
        <v>1233</v>
      </c>
      <c r="L92" s="726" t="s">
        <v>526</v>
      </c>
      <c r="M92" s="727" t="s">
        <v>1293</v>
      </c>
      <c r="N92" s="735" t="s">
        <v>1244</v>
      </c>
      <c r="O92" s="575"/>
      <c r="P92" s="201"/>
      <c r="Q92" s="201"/>
      <c r="R92" s="201"/>
      <c r="S92" s="201"/>
      <c r="T92" s="201"/>
      <c r="U92" s="201"/>
      <c r="V92" s="201"/>
      <c r="W92" s="201"/>
      <c r="X92" s="201"/>
      <c r="Y92" s="201"/>
      <c r="Z92" s="202"/>
    </row>
    <row r="93" spans="1:26" ht="30" customHeight="1" thickBot="1" x14ac:dyDescent="0.35">
      <c r="A93" s="1510">
        <v>2024</v>
      </c>
      <c r="B93" s="759">
        <v>39</v>
      </c>
      <c r="C93" s="730">
        <v>750107</v>
      </c>
      <c r="D93" s="730">
        <v>532510011</v>
      </c>
      <c r="E93" s="731" t="s">
        <v>1230</v>
      </c>
      <c r="F93" s="732" t="s">
        <v>1380</v>
      </c>
      <c r="G93" s="730">
        <v>1</v>
      </c>
      <c r="H93" s="590" t="s">
        <v>1232</v>
      </c>
      <c r="I93" s="733">
        <v>15000</v>
      </c>
      <c r="J93" s="733">
        <v>15000</v>
      </c>
      <c r="K93" s="731" t="s">
        <v>1233</v>
      </c>
      <c r="L93" s="731" t="s">
        <v>711</v>
      </c>
      <c r="M93" s="732" t="s">
        <v>1260</v>
      </c>
      <c r="N93" s="736" t="s">
        <v>1244</v>
      </c>
      <c r="O93" s="576"/>
      <c r="P93" s="203"/>
      <c r="Q93" s="203"/>
      <c r="R93" s="203"/>
      <c r="S93" s="203"/>
      <c r="T93" s="203"/>
      <c r="U93" s="203"/>
      <c r="V93" s="203"/>
      <c r="W93" s="203"/>
      <c r="X93" s="203"/>
      <c r="Y93" s="203"/>
      <c r="Z93" s="204"/>
    </row>
    <row r="94" spans="1:26" ht="30" customHeight="1" thickBot="1" x14ac:dyDescent="0.35">
      <c r="A94" s="765">
        <v>2024</v>
      </c>
      <c r="B94" s="758">
        <v>40</v>
      </c>
      <c r="C94" s="725">
        <v>750501.00300000003</v>
      </c>
      <c r="D94" s="725">
        <v>532900011</v>
      </c>
      <c r="E94" s="726" t="s">
        <v>1242</v>
      </c>
      <c r="F94" s="737" t="s">
        <v>1381</v>
      </c>
      <c r="G94" s="725">
        <v>1</v>
      </c>
      <c r="H94" s="595" t="s">
        <v>1232</v>
      </c>
      <c r="I94" s="728">
        <v>213000</v>
      </c>
      <c r="J94" s="728">
        <v>213000</v>
      </c>
      <c r="K94" s="726" t="s">
        <v>1233</v>
      </c>
      <c r="L94" s="726" t="s">
        <v>495</v>
      </c>
      <c r="M94" s="727" t="s">
        <v>747</v>
      </c>
      <c r="N94" s="735" t="s">
        <v>1244</v>
      </c>
      <c r="O94" s="575"/>
      <c r="P94" s="201"/>
      <c r="Q94" s="201"/>
      <c r="R94" s="201"/>
      <c r="S94" s="201"/>
      <c r="T94" s="201"/>
      <c r="U94" s="201"/>
      <c r="V94" s="201"/>
      <c r="W94" s="201"/>
      <c r="X94" s="201"/>
      <c r="Y94" s="201"/>
      <c r="Z94" s="202"/>
    </row>
    <row r="95" spans="1:26" ht="30" customHeight="1" thickBot="1" x14ac:dyDescent="0.35">
      <c r="A95" s="1510">
        <v>2024</v>
      </c>
      <c r="B95" s="759">
        <v>41</v>
      </c>
      <c r="C95" s="730">
        <v>730613</v>
      </c>
      <c r="D95" s="730">
        <v>912200211</v>
      </c>
      <c r="E95" s="731" t="s">
        <v>1239</v>
      </c>
      <c r="F95" s="732" t="s">
        <v>1382</v>
      </c>
      <c r="G95" s="730">
        <v>1</v>
      </c>
      <c r="H95" s="590" t="s">
        <v>1232</v>
      </c>
      <c r="I95" s="733">
        <v>12000</v>
      </c>
      <c r="J95" s="733">
        <v>12000</v>
      </c>
      <c r="K95" s="731" t="s">
        <v>1233</v>
      </c>
      <c r="L95" s="731" t="s">
        <v>53</v>
      </c>
      <c r="M95" s="732" t="s">
        <v>1275</v>
      </c>
      <c r="N95" s="736" t="s">
        <v>1244</v>
      </c>
      <c r="O95" s="576"/>
      <c r="P95" s="203"/>
      <c r="Q95" s="203"/>
      <c r="R95" s="203"/>
      <c r="S95" s="203"/>
      <c r="T95" s="203"/>
      <c r="U95" s="203"/>
      <c r="V95" s="203"/>
      <c r="W95" s="203"/>
      <c r="X95" s="203"/>
      <c r="Y95" s="203"/>
      <c r="Z95" s="204"/>
    </row>
    <row r="96" spans="1:26" ht="30" customHeight="1" thickBot="1" x14ac:dyDescent="0.35">
      <c r="A96" s="765">
        <v>2024</v>
      </c>
      <c r="B96" s="758">
        <v>42</v>
      </c>
      <c r="C96" s="725">
        <v>730613</v>
      </c>
      <c r="D96" s="725">
        <v>912200211</v>
      </c>
      <c r="E96" s="726" t="s">
        <v>1239</v>
      </c>
      <c r="F96" s="727" t="s">
        <v>1383</v>
      </c>
      <c r="G96" s="725">
        <v>1</v>
      </c>
      <c r="H96" s="595" t="s">
        <v>1232</v>
      </c>
      <c r="I96" s="728">
        <v>10000</v>
      </c>
      <c r="J96" s="728">
        <v>10000</v>
      </c>
      <c r="K96" s="726" t="s">
        <v>1233</v>
      </c>
      <c r="L96" s="726" t="s">
        <v>53</v>
      </c>
      <c r="M96" s="727" t="s">
        <v>1275</v>
      </c>
      <c r="N96" s="735" t="s">
        <v>1244</v>
      </c>
      <c r="O96" s="575"/>
      <c r="P96" s="201"/>
      <c r="Q96" s="201"/>
      <c r="R96" s="201"/>
      <c r="S96" s="201"/>
      <c r="T96" s="201"/>
      <c r="U96" s="201"/>
      <c r="V96" s="201"/>
      <c r="W96" s="201"/>
      <c r="X96" s="201"/>
      <c r="Y96" s="201"/>
      <c r="Z96" s="202"/>
    </row>
    <row r="97" spans="1:26" ht="30" customHeight="1" thickBot="1" x14ac:dyDescent="0.35">
      <c r="A97" s="1510">
        <v>2024</v>
      </c>
      <c r="B97" s="759">
        <v>43</v>
      </c>
      <c r="C97" s="730">
        <v>730613</v>
      </c>
      <c r="D97" s="730">
        <v>912200211</v>
      </c>
      <c r="E97" s="731" t="s">
        <v>1239</v>
      </c>
      <c r="F97" s="732" t="s">
        <v>1384</v>
      </c>
      <c r="G97" s="730">
        <v>1</v>
      </c>
      <c r="H97" s="590" t="s">
        <v>1232</v>
      </c>
      <c r="I97" s="733">
        <v>8000</v>
      </c>
      <c r="J97" s="733">
        <v>8000</v>
      </c>
      <c r="K97" s="731" t="s">
        <v>1233</v>
      </c>
      <c r="L97" s="731" t="s">
        <v>53</v>
      </c>
      <c r="M97" s="732" t="s">
        <v>1275</v>
      </c>
      <c r="N97" s="736" t="s">
        <v>1244</v>
      </c>
      <c r="O97" s="576"/>
      <c r="P97" s="203"/>
      <c r="Q97" s="203"/>
      <c r="R97" s="203"/>
      <c r="S97" s="203"/>
      <c r="T97" s="203"/>
      <c r="U97" s="203"/>
      <c r="V97" s="203"/>
      <c r="W97" s="203"/>
      <c r="X97" s="203"/>
      <c r="Y97" s="203"/>
      <c r="Z97" s="204"/>
    </row>
    <row r="98" spans="1:26" ht="30" customHeight="1" thickBot="1" x14ac:dyDescent="0.35">
      <c r="A98" s="765">
        <v>2024</v>
      </c>
      <c r="B98" s="758">
        <v>44</v>
      </c>
      <c r="C98" s="725">
        <v>730613</v>
      </c>
      <c r="D98" s="725">
        <v>912200211</v>
      </c>
      <c r="E98" s="726" t="s">
        <v>1239</v>
      </c>
      <c r="F98" s="737" t="s">
        <v>1385</v>
      </c>
      <c r="G98" s="725">
        <v>1</v>
      </c>
      <c r="H98" s="595" t="s">
        <v>1232</v>
      </c>
      <c r="I98" s="728">
        <v>15900</v>
      </c>
      <c r="J98" s="728">
        <v>15900</v>
      </c>
      <c r="K98" s="726" t="s">
        <v>1233</v>
      </c>
      <c r="L98" s="726" t="s">
        <v>53</v>
      </c>
      <c r="M98" s="727" t="s">
        <v>1275</v>
      </c>
      <c r="N98" s="735" t="s">
        <v>1244</v>
      </c>
      <c r="O98" s="575"/>
      <c r="P98" s="201"/>
      <c r="Q98" s="201"/>
      <c r="R98" s="201"/>
      <c r="S98" s="201"/>
      <c r="T98" s="201"/>
      <c r="U98" s="201"/>
      <c r="V98" s="201"/>
      <c r="W98" s="201"/>
      <c r="X98" s="201"/>
      <c r="Y98" s="201"/>
      <c r="Z98" s="202"/>
    </row>
    <row r="99" spans="1:26" ht="30" customHeight="1" thickBot="1" x14ac:dyDescent="0.35">
      <c r="A99" s="1510">
        <v>2024</v>
      </c>
      <c r="B99" s="759">
        <v>45</v>
      </c>
      <c r="C99" s="730">
        <v>731407</v>
      </c>
      <c r="D99" s="730">
        <v>512900011</v>
      </c>
      <c r="E99" s="731" t="s">
        <v>1230</v>
      </c>
      <c r="F99" s="732" t="s">
        <v>1386</v>
      </c>
      <c r="G99" s="730">
        <v>1</v>
      </c>
      <c r="H99" s="590" t="s">
        <v>1232</v>
      </c>
      <c r="I99" s="733">
        <v>37662</v>
      </c>
      <c r="J99" s="733">
        <v>37662</v>
      </c>
      <c r="K99" s="731" t="s">
        <v>1233</v>
      </c>
      <c r="L99" s="731" t="s">
        <v>633</v>
      </c>
      <c r="M99" s="732" t="s">
        <v>1268</v>
      </c>
      <c r="N99" s="736" t="s">
        <v>1244</v>
      </c>
      <c r="O99" s="576"/>
      <c r="P99" s="203"/>
      <c r="Q99" s="203"/>
      <c r="R99" s="203"/>
      <c r="S99" s="203"/>
      <c r="T99" s="203"/>
      <c r="U99" s="203"/>
      <c r="V99" s="203"/>
      <c r="W99" s="203"/>
      <c r="X99" s="203"/>
      <c r="Y99" s="203"/>
      <c r="Z99" s="204"/>
    </row>
    <row r="100" spans="1:26" ht="30" customHeight="1" thickBot="1" x14ac:dyDescent="0.35">
      <c r="A100" s="765">
        <v>2024</v>
      </c>
      <c r="B100" s="758">
        <v>46</v>
      </c>
      <c r="C100" s="725">
        <v>731407</v>
      </c>
      <c r="D100" s="725">
        <v>873400034</v>
      </c>
      <c r="E100" s="726" t="s">
        <v>1239</v>
      </c>
      <c r="F100" s="727" t="s">
        <v>1387</v>
      </c>
      <c r="G100" s="725">
        <v>1</v>
      </c>
      <c r="H100" s="595" t="s">
        <v>1232</v>
      </c>
      <c r="I100" s="728">
        <v>25000</v>
      </c>
      <c r="J100" s="728">
        <v>25000</v>
      </c>
      <c r="K100" s="726" t="s">
        <v>1233</v>
      </c>
      <c r="L100" s="726" t="s">
        <v>633</v>
      </c>
      <c r="M100" s="727" t="s">
        <v>1268</v>
      </c>
      <c r="N100" s="735" t="s">
        <v>1244</v>
      </c>
      <c r="O100" s="575"/>
      <c r="P100" s="201"/>
      <c r="Q100" s="201"/>
      <c r="R100" s="201"/>
      <c r="S100" s="201"/>
      <c r="T100" s="201"/>
      <c r="U100" s="201"/>
      <c r="V100" s="201"/>
      <c r="W100" s="201"/>
      <c r="X100" s="201"/>
      <c r="Y100" s="201"/>
      <c r="Z100" s="202"/>
    </row>
    <row r="101" spans="1:26" ht="30" customHeight="1" thickBot="1" x14ac:dyDescent="0.35">
      <c r="A101" s="1510">
        <v>2024</v>
      </c>
      <c r="B101" s="759">
        <v>47</v>
      </c>
      <c r="C101" s="730">
        <v>731407</v>
      </c>
      <c r="D101" s="730">
        <v>512900025</v>
      </c>
      <c r="E101" s="731" t="s">
        <v>1230</v>
      </c>
      <c r="F101" s="732" t="s">
        <v>1388</v>
      </c>
      <c r="G101" s="730">
        <v>1</v>
      </c>
      <c r="H101" s="590" t="s">
        <v>1232</v>
      </c>
      <c r="I101" s="733">
        <v>35000</v>
      </c>
      <c r="J101" s="733">
        <v>35000</v>
      </c>
      <c r="K101" s="731" t="s">
        <v>1233</v>
      </c>
      <c r="L101" s="731" t="s">
        <v>633</v>
      </c>
      <c r="M101" s="732" t="s">
        <v>1268</v>
      </c>
      <c r="N101" s="736" t="s">
        <v>1244</v>
      </c>
      <c r="O101" s="576"/>
      <c r="P101" s="203"/>
      <c r="Q101" s="203"/>
      <c r="R101" s="203"/>
      <c r="S101" s="203"/>
      <c r="T101" s="203"/>
      <c r="U101" s="203"/>
      <c r="V101" s="203"/>
      <c r="W101" s="203"/>
      <c r="X101" s="203"/>
      <c r="Y101" s="203"/>
      <c r="Z101" s="204"/>
    </row>
    <row r="102" spans="1:26" ht="30" customHeight="1" thickBot="1" x14ac:dyDescent="0.35">
      <c r="A102" s="765">
        <v>2024</v>
      </c>
      <c r="B102" s="758">
        <v>48</v>
      </c>
      <c r="C102" s="725">
        <v>731406</v>
      </c>
      <c r="D102" s="725">
        <v>429921511</v>
      </c>
      <c r="E102" s="726" t="s">
        <v>1230</v>
      </c>
      <c r="F102" s="727" t="s">
        <v>1389</v>
      </c>
      <c r="G102" s="725">
        <v>1</v>
      </c>
      <c r="H102" s="595" t="s">
        <v>1232</v>
      </c>
      <c r="I102" s="728">
        <v>0</v>
      </c>
      <c r="J102" s="728">
        <v>0</v>
      </c>
      <c r="K102" s="726" t="s">
        <v>1233</v>
      </c>
      <c r="L102" s="726" t="s">
        <v>633</v>
      </c>
      <c r="M102" s="727" t="s">
        <v>1268</v>
      </c>
      <c r="N102" s="735" t="s">
        <v>1244</v>
      </c>
      <c r="O102" s="575"/>
      <c r="P102" s="201"/>
      <c r="Q102" s="201"/>
      <c r="R102" s="201"/>
      <c r="S102" s="201"/>
      <c r="T102" s="201"/>
      <c r="U102" s="201"/>
      <c r="V102" s="201"/>
      <c r="W102" s="201"/>
      <c r="X102" s="201"/>
      <c r="Y102" s="201"/>
      <c r="Z102" s="202"/>
    </row>
    <row r="103" spans="1:26" ht="30" customHeight="1" thickBot="1" x14ac:dyDescent="0.35">
      <c r="A103" s="1510">
        <v>2024</v>
      </c>
      <c r="B103" s="759">
        <v>50</v>
      </c>
      <c r="C103" s="730">
        <v>840104.00199999998</v>
      </c>
      <c r="D103" s="730">
        <v>482200014</v>
      </c>
      <c r="E103" s="731" t="s">
        <v>1230</v>
      </c>
      <c r="F103" s="732" t="s">
        <v>1390</v>
      </c>
      <c r="G103" s="730">
        <v>1</v>
      </c>
      <c r="H103" s="590" t="s">
        <v>1232</v>
      </c>
      <c r="I103" s="733">
        <v>61900</v>
      </c>
      <c r="J103" s="733">
        <v>61900</v>
      </c>
      <c r="K103" s="731" t="s">
        <v>1233</v>
      </c>
      <c r="L103" s="731" t="s">
        <v>622</v>
      </c>
      <c r="M103" s="732" t="s">
        <v>1286</v>
      </c>
      <c r="N103" s="736" t="s">
        <v>1244</v>
      </c>
      <c r="O103" s="576"/>
      <c r="P103" s="203"/>
      <c r="Q103" s="203"/>
      <c r="R103" s="203"/>
      <c r="S103" s="203"/>
      <c r="T103" s="203"/>
      <c r="U103" s="203"/>
      <c r="V103" s="203"/>
      <c r="W103" s="203"/>
      <c r="X103" s="203"/>
      <c r="Y103" s="203"/>
      <c r="Z103" s="204"/>
    </row>
    <row r="104" spans="1:26" ht="30" customHeight="1" thickBot="1" x14ac:dyDescent="0.35">
      <c r="A104" s="765">
        <v>2024</v>
      </c>
      <c r="B104" s="758">
        <v>51</v>
      </c>
      <c r="C104" s="725">
        <v>840104.00100000005</v>
      </c>
      <c r="D104" s="725">
        <v>473230011</v>
      </c>
      <c r="E104" s="726" t="s">
        <v>1230</v>
      </c>
      <c r="F104" s="727" t="s">
        <v>1391</v>
      </c>
      <c r="G104" s="725">
        <v>1</v>
      </c>
      <c r="H104" s="595" t="s">
        <v>1232</v>
      </c>
      <c r="I104" s="728">
        <v>3500</v>
      </c>
      <c r="J104" s="728">
        <v>3500</v>
      </c>
      <c r="K104" s="726" t="s">
        <v>1233</v>
      </c>
      <c r="L104" s="726" t="s">
        <v>622</v>
      </c>
      <c r="M104" s="727" t="s">
        <v>1286</v>
      </c>
      <c r="N104" s="735" t="s">
        <v>1244</v>
      </c>
      <c r="O104" s="575"/>
      <c r="P104" s="201"/>
      <c r="Q104" s="201"/>
      <c r="R104" s="201"/>
      <c r="S104" s="201"/>
      <c r="T104" s="201"/>
      <c r="U104" s="201"/>
      <c r="V104" s="201"/>
      <c r="W104" s="201"/>
      <c r="X104" s="201"/>
      <c r="Y104" s="201"/>
      <c r="Z104" s="202"/>
    </row>
    <row r="105" spans="1:26" ht="30" customHeight="1" thickBot="1" x14ac:dyDescent="0.35">
      <c r="A105" s="1510">
        <v>2024</v>
      </c>
      <c r="B105" s="759">
        <v>52</v>
      </c>
      <c r="C105" s="730">
        <v>840104</v>
      </c>
      <c r="D105" s="730">
        <v>512900011</v>
      </c>
      <c r="E105" s="731" t="s">
        <v>1230</v>
      </c>
      <c r="F105" s="732" t="s">
        <v>1392</v>
      </c>
      <c r="G105" s="730">
        <v>1</v>
      </c>
      <c r="H105" s="590" t="s">
        <v>1232</v>
      </c>
      <c r="I105" s="733">
        <v>50000</v>
      </c>
      <c r="J105" s="733">
        <v>50000</v>
      </c>
      <c r="K105" s="731" t="s">
        <v>1233</v>
      </c>
      <c r="L105" s="731" t="s">
        <v>622</v>
      </c>
      <c r="M105" s="732" t="s">
        <v>1286</v>
      </c>
      <c r="N105" s="736" t="s">
        <v>1244</v>
      </c>
      <c r="O105" s="576"/>
      <c r="P105" s="203"/>
      <c r="Q105" s="203"/>
      <c r="R105" s="203"/>
      <c r="S105" s="203"/>
      <c r="T105" s="203"/>
      <c r="U105" s="203"/>
      <c r="V105" s="203"/>
      <c r="W105" s="203"/>
      <c r="X105" s="203"/>
      <c r="Y105" s="203"/>
      <c r="Z105" s="204"/>
    </row>
    <row r="106" spans="1:26" ht="30" customHeight="1" thickBot="1" x14ac:dyDescent="0.35">
      <c r="A106" s="765">
        <v>2024</v>
      </c>
      <c r="B106" s="758">
        <v>53</v>
      </c>
      <c r="C106" s="725">
        <v>840104</v>
      </c>
      <c r="D106" s="725">
        <v>481490011</v>
      </c>
      <c r="E106" s="726" t="s">
        <v>1230</v>
      </c>
      <c r="F106" s="727" t="s">
        <v>1393</v>
      </c>
      <c r="G106" s="725">
        <v>1</v>
      </c>
      <c r="H106" s="595" t="s">
        <v>1232</v>
      </c>
      <c r="I106" s="728">
        <v>250000</v>
      </c>
      <c r="J106" s="728">
        <v>250000</v>
      </c>
      <c r="K106" s="726" t="s">
        <v>1233</v>
      </c>
      <c r="L106" s="726" t="s">
        <v>622</v>
      </c>
      <c r="M106" s="727" t="s">
        <v>1286</v>
      </c>
      <c r="N106" s="735" t="s">
        <v>1244</v>
      </c>
      <c r="O106" s="575"/>
      <c r="P106" s="201"/>
      <c r="Q106" s="201"/>
      <c r="R106" s="201"/>
      <c r="S106" s="201"/>
      <c r="T106" s="201"/>
      <c r="U106" s="201"/>
      <c r="V106" s="201"/>
      <c r="W106" s="201"/>
      <c r="X106" s="201"/>
      <c r="Y106" s="201"/>
      <c r="Z106" s="202"/>
    </row>
    <row r="107" spans="1:26" ht="30" customHeight="1" thickBot="1" x14ac:dyDescent="0.35">
      <c r="A107" s="1510">
        <v>2024</v>
      </c>
      <c r="B107" s="759">
        <v>54</v>
      </c>
      <c r="C107" s="730">
        <v>840104</v>
      </c>
      <c r="D107" s="730">
        <v>483530011</v>
      </c>
      <c r="E107" s="731" t="s">
        <v>1230</v>
      </c>
      <c r="F107" s="732" t="s">
        <v>1394</v>
      </c>
      <c r="G107" s="730">
        <v>1</v>
      </c>
      <c r="H107" s="590" t="s">
        <v>1232</v>
      </c>
      <c r="I107" s="733">
        <v>16000</v>
      </c>
      <c r="J107" s="733">
        <v>16000</v>
      </c>
      <c r="K107" s="731" t="s">
        <v>1233</v>
      </c>
      <c r="L107" s="731" t="s">
        <v>622</v>
      </c>
      <c r="M107" s="732" t="s">
        <v>1286</v>
      </c>
      <c r="N107" s="736" t="s">
        <v>1244</v>
      </c>
      <c r="O107" s="576"/>
      <c r="P107" s="203"/>
      <c r="Q107" s="203"/>
      <c r="R107" s="203"/>
      <c r="S107" s="203"/>
      <c r="T107" s="203"/>
      <c r="U107" s="203"/>
      <c r="V107" s="203"/>
      <c r="W107" s="203"/>
      <c r="X107" s="203"/>
      <c r="Y107" s="203"/>
      <c r="Z107" s="204"/>
    </row>
    <row r="108" spans="1:26" ht="30" customHeight="1" thickBot="1" x14ac:dyDescent="0.35">
      <c r="A108" s="765">
        <v>2024</v>
      </c>
      <c r="B108" s="758">
        <v>55</v>
      </c>
      <c r="C108" s="725">
        <v>840104</v>
      </c>
      <c r="D108" s="725">
        <v>432115011</v>
      </c>
      <c r="E108" s="726" t="s">
        <v>1230</v>
      </c>
      <c r="F108" s="727" t="s">
        <v>1395</v>
      </c>
      <c r="G108" s="725">
        <v>1</v>
      </c>
      <c r="H108" s="595" t="s">
        <v>1232</v>
      </c>
      <c r="I108" s="728">
        <v>10000</v>
      </c>
      <c r="J108" s="728">
        <v>10000</v>
      </c>
      <c r="K108" s="726" t="s">
        <v>1233</v>
      </c>
      <c r="L108" s="726" t="s">
        <v>622</v>
      </c>
      <c r="M108" s="727" t="s">
        <v>1286</v>
      </c>
      <c r="N108" s="735" t="s">
        <v>1244</v>
      </c>
      <c r="O108" s="575"/>
      <c r="P108" s="201"/>
      <c r="Q108" s="201"/>
      <c r="R108" s="201"/>
      <c r="S108" s="201"/>
      <c r="T108" s="201"/>
      <c r="U108" s="201"/>
      <c r="V108" s="201"/>
      <c r="W108" s="201"/>
      <c r="X108" s="201"/>
      <c r="Y108" s="201"/>
      <c r="Z108" s="202"/>
    </row>
    <row r="109" spans="1:26" ht="30" customHeight="1" thickBot="1" x14ac:dyDescent="0.35">
      <c r="A109" s="1510">
        <v>2024</v>
      </c>
      <c r="B109" s="759">
        <v>56</v>
      </c>
      <c r="C109" s="730">
        <v>840104</v>
      </c>
      <c r="D109" s="730">
        <v>439130111</v>
      </c>
      <c r="E109" s="731" t="s">
        <v>1230</v>
      </c>
      <c r="F109" s="732" t="s">
        <v>1396</v>
      </c>
      <c r="G109" s="730">
        <v>1</v>
      </c>
      <c r="H109" s="590" t="s">
        <v>1232</v>
      </c>
      <c r="I109" s="733">
        <v>4000</v>
      </c>
      <c r="J109" s="733">
        <v>4000</v>
      </c>
      <c r="K109" s="731" t="s">
        <v>1233</v>
      </c>
      <c r="L109" s="731" t="s">
        <v>622</v>
      </c>
      <c r="M109" s="732" t="s">
        <v>1286</v>
      </c>
      <c r="N109" s="736" t="s">
        <v>1244</v>
      </c>
      <c r="O109" s="576"/>
      <c r="P109" s="203"/>
      <c r="Q109" s="203"/>
      <c r="R109" s="203"/>
      <c r="S109" s="203"/>
      <c r="T109" s="203"/>
      <c r="U109" s="203"/>
      <c r="V109" s="203"/>
      <c r="W109" s="203"/>
      <c r="X109" s="203"/>
      <c r="Y109" s="203"/>
      <c r="Z109" s="204"/>
    </row>
    <row r="110" spans="1:26" ht="30" customHeight="1" thickBot="1" x14ac:dyDescent="0.35">
      <c r="A110" s="765">
        <v>2024</v>
      </c>
      <c r="B110" s="758">
        <v>57</v>
      </c>
      <c r="C110" s="725">
        <v>840104</v>
      </c>
      <c r="D110" s="725">
        <v>381210017</v>
      </c>
      <c r="E110" s="726" t="s">
        <v>1230</v>
      </c>
      <c r="F110" s="727" t="s">
        <v>1397</v>
      </c>
      <c r="G110" s="725">
        <v>1</v>
      </c>
      <c r="H110" s="595" t="s">
        <v>1232</v>
      </c>
      <c r="I110" s="728">
        <v>4500</v>
      </c>
      <c r="J110" s="728">
        <v>4500</v>
      </c>
      <c r="K110" s="726" t="s">
        <v>1233</v>
      </c>
      <c r="L110" s="726" t="s">
        <v>622</v>
      </c>
      <c r="M110" s="727" t="s">
        <v>1286</v>
      </c>
      <c r="N110" s="735" t="s">
        <v>1244</v>
      </c>
      <c r="O110" s="575"/>
      <c r="P110" s="201"/>
      <c r="Q110" s="201"/>
      <c r="R110" s="201"/>
      <c r="S110" s="201"/>
      <c r="T110" s="201"/>
      <c r="U110" s="201"/>
      <c r="V110" s="201"/>
      <c r="W110" s="201"/>
      <c r="X110" s="201"/>
      <c r="Y110" s="201"/>
      <c r="Z110" s="202"/>
    </row>
    <row r="111" spans="1:26" ht="30" customHeight="1" thickBot="1" x14ac:dyDescent="0.35">
      <c r="A111" s="1510">
        <v>2024</v>
      </c>
      <c r="B111" s="759">
        <v>58</v>
      </c>
      <c r="C111" s="730">
        <v>840104</v>
      </c>
      <c r="D111" s="730">
        <v>442310113</v>
      </c>
      <c r="E111" s="731" t="s">
        <v>1230</v>
      </c>
      <c r="F111" s="732" t="s">
        <v>1398</v>
      </c>
      <c r="G111" s="730">
        <v>1</v>
      </c>
      <c r="H111" s="590" t="s">
        <v>1232</v>
      </c>
      <c r="I111" s="733">
        <v>200000</v>
      </c>
      <c r="J111" s="733">
        <v>200000</v>
      </c>
      <c r="K111" s="731" t="s">
        <v>1233</v>
      </c>
      <c r="L111" s="731" t="s">
        <v>622</v>
      </c>
      <c r="M111" s="732" t="s">
        <v>1286</v>
      </c>
      <c r="N111" s="736" t="s">
        <v>1244</v>
      </c>
      <c r="O111" s="576"/>
      <c r="P111" s="203"/>
      <c r="Q111" s="203"/>
      <c r="R111" s="203"/>
      <c r="S111" s="203"/>
      <c r="T111" s="203"/>
      <c r="U111" s="203"/>
      <c r="V111" s="203"/>
      <c r="W111" s="203"/>
      <c r="X111" s="203"/>
      <c r="Y111" s="203"/>
      <c r="Z111" s="204"/>
    </row>
    <row r="112" spans="1:26" ht="30" customHeight="1" thickBot="1" x14ac:dyDescent="0.35">
      <c r="A112" s="765">
        <v>2024</v>
      </c>
      <c r="B112" s="758">
        <v>60</v>
      </c>
      <c r="C112" s="725">
        <v>750501.00100000005</v>
      </c>
      <c r="D112" s="725">
        <v>532900011</v>
      </c>
      <c r="E112" s="726" t="s">
        <v>1242</v>
      </c>
      <c r="F112" s="727" t="s">
        <v>1399</v>
      </c>
      <c r="G112" s="725">
        <v>1</v>
      </c>
      <c r="H112" s="595" t="s">
        <v>1232</v>
      </c>
      <c r="I112" s="728">
        <v>160000</v>
      </c>
      <c r="J112" s="728">
        <v>160000</v>
      </c>
      <c r="K112" s="726" t="s">
        <v>1233</v>
      </c>
      <c r="L112" s="726" t="s">
        <v>495</v>
      </c>
      <c r="M112" s="727" t="s">
        <v>747</v>
      </c>
      <c r="N112" s="735" t="s">
        <v>1244</v>
      </c>
      <c r="O112" s="575"/>
      <c r="P112" s="201"/>
      <c r="Q112" s="201"/>
      <c r="R112" s="201"/>
      <c r="S112" s="201"/>
      <c r="T112" s="201"/>
      <c r="U112" s="201"/>
      <c r="V112" s="201"/>
      <c r="W112" s="201"/>
      <c r="X112" s="201"/>
      <c r="Y112" s="201"/>
      <c r="Z112" s="202"/>
    </row>
    <row r="113" spans="1:26" ht="30" customHeight="1" thickBot="1" x14ac:dyDescent="0.35">
      <c r="A113" s="1510">
        <v>2024</v>
      </c>
      <c r="B113" s="759">
        <v>61</v>
      </c>
      <c r="C113" s="730">
        <v>750501.00100000005</v>
      </c>
      <c r="D113" s="730">
        <v>532900011</v>
      </c>
      <c r="E113" s="731" t="s">
        <v>1242</v>
      </c>
      <c r="F113" s="732" t="s">
        <v>1400</v>
      </c>
      <c r="G113" s="730">
        <v>1</v>
      </c>
      <c r="H113" s="590" t="s">
        <v>1232</v>
      </c>
      <c r="I113" s="733">
        <v>280000</v>
      </c>
      <c r="J113" s="733">
        <v>280000</v>
      </c>
      <c r="K113" s="731" t="s">
        <v>1233</v>
      </c>
      <c r="L113" s="731" t="s">
        <v>501</v>
      </c>
      <c r="M113" s="732" t="s">
        <v>763</v>
      </c>
      <c r="N113" s="736" t="s">
        <v>1244</v>
      </c>
      <c r="O113" s="576"/>
      <c r="P113" s="203"/>
      <c r="Q113" s="203"/>
      <c r="R113" s="203"/>
      <c r="S113" s="203"/>
      <c r="T113" s="203"/>
      <c r="U113" s="203"/>
      <c r="V113" s="203"/>
      <c r="W113" s="203"/>
      <c r="X113" s="203"/>
      <c r="Y113" s="203"/>
      <c r="Z113" s="204"/>
    </row>
    <row r="114" spans="1:26" ht="30" customHeight="1" thickBot="1" x14ac:dyDescent="0.35">
      <c r="A114" s="765">
        <v>2024</v>
      </c>
      <c r="B114" s="758">
        <v>62</v>
      </c>
      <c r="C114" s="725">
        <v>750101.00199999998</v>
      </c>
      <c r="D114" s="725">
        <v>532510014</v>
      </c>
      <c r="E114" s="726" t="s">
        <v>1242</v>
      </c>
      <c r="F114" s="727" t="s">
        <v>1401</v>
      </c>
      <c r="G114" s="725">
        <v>1</v>
      </c>
      <c r="H114" s="595" t="s">
        <v>1232</v>
      </c>
      <c r="I114" s="728">
        <v>1500000</v>
      </c>
      <c r="J114" s="728">
        <v>1500000</v>
      </c>
      <c r="K114" s="726" t="s">
        <v>1233</v>
      </c>
      <c r="L114" s="726" t="s">
        <v>507</v>
      </c>
      <c r="M114" s="727" t="s">
        <v>748</v>
      </c>
      <c r="N114" s="735" t="s">
        <v>1244</v>
      </c>
      <c r="O114" s="575"/>
      <c r="P114" s="201"/>
      <c r="Q114" s="201"/>
      <c r="R114" s="201"/>
      <c r="S114" s="201"/>
      <c r="T114" s="201"/>
      <c r="U114" s="201"/>
      <c r="V114" s="201"/>
      <c r="W114" s="201"/>
      <c r="X114" s="201"/>
      <c r="Y114" s="201"/>
      <c r="Z114" s="202"/>
    </row>
    <row r="115" spans="1:26" ht="30" customHeight="1" thickBot="1" x14ac:dyDescent="0.35">
      <c r="A115" s="1510">
        <v>2024</v>
      </c>
      <c r="B115" s="759">
        <v>63</v>
      </c>
      <c r="C115" s="730">
        <v>750101.00199999998</v>
      </c>
      <c r="D115" s="730">
        <v>532900011</v>
      </c>
      <c r="E115" s="731" t="s">
        <v>1242</v>
      </c>
      <c r="F115" s="732" t="s">
        <v>1402</v>
      </c>
      <c r="G115" s="730">
        <v>1</v>
      </c>
      <c r="H115" s="590" t="s">
        <v>1232</v>
      </c>
      <c r="I115" s="733">
        <v>800000</v>
      </c>
      <c r="J115" s="733">
        <v>800000</v>
      </c>
      <c r="K115" s="731" t="s">
        <v>1233</v>
      </c>
      <c r="L115" s="731" t="s">
        <v>507</v>
      </c>
      <c r="M115" s="732" t="s">
        <v>748</v>
      </c>
      <c r="N115" s="736" t="s">
        <v>1244</v>
      </c>
      <c r="O115" s="576"/>
      <c r="P115" s="203"/>
      <c r="Q115" s="203"/>
      <c r="R115" s="203"/>
      <c r="S115" s="203"/>
      <c r="T115" s="203"/>
      <c r="U115" s="203"/>
      <c r="V115" s="203"/>
      <c r="W115" s="203"/>
      <c r="X115" s="203"/>
      <c r="Y115" s="203"/>
      <c r="Z115" s="204"/>
    </row>
    <row r="116" spans="1:26" ht="30" customHeight="1" thickBot="1" x14ac:dyDescent="0.35">
      <c r="A116" s="765">
        <v>2024</v>
      </c>
      <c r="B116" s="758">
        <v>64</v>
      </c>
      <c r="C116" s="725">
        <v>730606</v>
      </c>
      <c r="D116" s="725">
        <v>532900011</v>
      </c>
      <c r="E116" s="726" t="s">
        <v>1239</v>
      </c>
      <c r="F116" s="727" t="s">
        <v>1403</v>
      </c>
      <c r="G116" s="725">
        <v>1</v>
      </c>
      <c r="H116" s="595" t="s">
        <v>1232</v>
      </c>
      <c r="I116" s="728">
        <v>0</v>
      </c>
      <c r="J116" s="728">
        <v>0</v>
      </c>
      <c r="K116" s="726" t="s">
        <v>1233</v>
      </c>
      <c r="L116" s="726" t="s">
        <v>693</v>
      </c>
      <c r="M116" s="727" t="s">
        <v>1404</v>
      </c>
      <c r="N116" s="735" t="s">
        <v>1244</v>
      </c>
      <c r="O116" s="575"/>
      <c r="P116" s="201"/>
      <c r="Q116" s="201"/>
      <c r="R116" s="201"/>
      <c r="S116" s="201"/>
      <c r="T116" s="201"/>
      <c r="U116" s="201"/>
      <c r="V116" s="201"/>
      <c r="W116" s="201"/>
      <c r="X116" s="201"/>
      <c r="Y116" s="201"/>
      <c r="Z116" s="202"/>
    </row>
    <row r="117" spans="1:26" ht="30" customHeight="1" thickBot="1" x14ac:dyDescent="0.35">
      <c r="A117" s="1510">
        <v>2024</v>
      </c>
      <c r="B117" s="759">
        <v>65</v>
      </c>
      <c r="C117" s="730">
        <v>730612</v>
      </c>
      <c r="D117" s="730">
        <v>912200211</v>
      </c>
      <c r="E117" s="731" t="s">
        <v>1239</v>
      </c>
      <c r="F117" s="732" t="s">
        <v>1405</v>
      </c>
      <c r="G117" s="730">
        <v>1</v>
      </c>
      <c r="H117" s="590" t="s">
        <v>1232</v>
      </c>
      <c r="I117" s="733">
        <v>30000</v>
      </c>
      <c r="J117" s="733">
        <v>30000</v>
      </c>
      <c r="K117" s="731" t="s">
        <v>1233</v>
      </c>
      <c r="L117" s="731" t="s">
        <v>103</v>
      </c>
      <c r="M117" s="732" t="s">
        <v>1234</v>
      </c>
      <c r="N117" s="734" t="s">
        <v>1235</v>
      </c>
      <c r="O117" s="576"/>
      <c r="P117" s="203"/>
      <c r="Q117" s="203"/>
      <c r="R117" s="203"/>
      <c r="S117" s="203"/>
      <c r="T117" s="203"/>
      <c r="U117" s="203"/>
      <c r="V117" s="203"/>
      <c r="W117" s="203"/>
      <c r="X117" s="203"/>
      <c r="Y117" s="203"/>
      <c r="Z117" s="204"/>
    </row>
    <row r="118" spans="1:26" ht="30" customHeight="1" thickBot="1" x14ac:dyDescent="0.35">
      <c r="A118" s="765">
        <v>2024</v>
      </c>
      <c r="B118" s="758">
        <v>66</v>
      </c>
      <c r="C118" s="725">
        <v>750505</v>
      </c>
      <c r="D118" s="725">
        <v>532900011</v>
      </c>
      <c r="E118" s="726" t="s">
        <v>1242</v>
      </c>
      <c r="F118" s="727" t="s">
        <v>1406</v>
      </c>
      <c r="G118" s="725">
        <v>1</v>
      </c>
      <c r="H118" s="595" t="s">
        <v>1232</v>
      </c>
      <c r="I118" s="728">
        <v>0</v>
      </c>
      <c r="J118" s="728">
        <v>0</v>
      </c>
      <c r="K118" s="726" t="s">
        <v>1233</v>
      </c>
      <c r="L118" s="726" t="s">
        <v>515</v>
      </c>
      <c r="M118" s="727" t="s">
        <v>1304</v>
      </c>
      <c r="N118" s="735" t="s">
        <v>1244</v>
      </c>
      <c r="O118" s="575"/>
      <c r="P118" s="201"/>
      <c r="Q118" s="201"/>
      <c r="R118" s="201"/>
      <c r="S118" s="201"/>
      <c r="T118" s="201"/>
      <c r="U118" s="201"/>
      <c r="V118" s="201"/>
      <c r="W118" s="201"/>
      <c r="X118" s="201"/>
      <c r="Y118" s="201"/>
      <c r="Z118" s="202"/>
    </row>
    <row r="119" spans="1:26" ht="30" customHeight="1" thickBot="1" x14ac:dyDescent="0.35">
      <c r="A119" s="1510">
        <v>2024</v>
      </c>
      <c r="B119" s="759">
        <v>67</v>
      </c>
      <c r="C119" s="730">
        <v>750503</v>
      </c>
      <c r="D119" s="730">
        <v>532900011</v>
      </c>
      <c r="E119" s="731" t="s">
        <v>1242</v>
      </c>
      <c r="F119" s="732" t="s">
        <v>1407</v>
      </c>
      <c r="G119" s="730">
        <v>1</v>
      </c>
      <c r="H119" s="590" t="s">
        <v>1232</v>
      </c>
      <c r="I119" s="733">
        <v>0</v>
      </c>
      <c r="J119" s="733">
        <v>0</v>
      </c>
      <c r="K119" s="731" t="s">
        <v>1233</v>
      </c>
      <c r="L119" s="731" t="s">
        <v>487</v>
      </c>
      <c r="M119" s="732" t="s">
        <v>757</v>
      </c>
      <c r="N119" s="736" t="s">
        <v>1244</v>
      </c>
      <c r="O119" s="576"/>
      <c r="P119" s="203"/>
      <c r="Q119" s="203"/>
      <c r="R119" s="203"/>
      <c r="S119" s="203"/>
      <c r="T119" s="203"/>
      <c r="U119" s="203"/>
      <c r="V119" s="203"/>
      <c r="W119" s="203"/>
      <c r="X119" s="203"/>
      <c r="Y119" s="203"/>
      <c r="Z119" s="204"/>
    </row>
    <row r="120" spans="1:26" ht="30" customHeight="1" thickBot="1" x14ac:dyDescent="0.35">
      <c r="A120" s="765">
        <v>2024</v>
      </c>
      <c r="B120" s="758">
        <v>68</v>
      </c>
      <c r="C120" s="725">
        <v>750501.00100000005</v>
      </c>
      <c r="D120" s="725">
        <v>532900011</v>
      </c>
      <c r="E120" s="726" t="s">
        <v>1242</v>
      </c>
      <c r="F120" s="727" t="s">
        <v>1408</v>
      </c>
      <c r="G120" s="725">
        <v>1</v>
      </c>
      <c r="H120" s="595" t="s">
        <v>1232</v>
      </c>
      <c r="I120" s="728">
        <v>0</v>
      </c>
      <c r="J120" s="728">
        <v>0</v>
      </c>
      <c r="K120" s="726" t="s">
        <v>1233</v>
      </c>
      <c r="L120" s="726" t="s">
        <v>495</v>
      </c>
      <c r="M120" s="727" t="s">
        <v>747</v>
      </c>
      <c r="N120" s="735" t="s">
        <v>1244</v>
      </c>
      <c r="O120" s="575"/>
      <c r="P120" s="201"/>
      <c r="Q120" s="201"/>
      <c r="R120" s="201"/>
      <c r="S120" s="201"/>
      <c r="T120" s="201"/>
      <c r="U120" s="201"/>
      <c r="V120" s="201"/>
      <c r="W120" s="201"/>
      <c r="X120" s="201"/>
      <c r="Y120" s="201"/>
      <c r="Z120" s="202"/>
    </row>
    <row r="121" spans="1:26" ht="30" customHeight="1" thickBot="1" x14ac:dyDescent="0.35">
      <c r="A121" s="1510">
        <v>2024</v>
      </c>
      <c r="B121" s="759">
        <v>69</v>
      </c>
      <c r="C121" s="730">
        <v>750101.00199999998</v>
      </c>
      <c r="D121" s="730">
        <v>532900011</v>
      </c>
      <c r="E121" s="731" t="s">
        <v>1242</v>
      </c>
      <c r="F121" s="732" t="s">
        <v>1409</v>
      </c>
      <c r="G121" s="730">
        <v>1</v>
      </c>
      <c r="H121" s="590" t="s">
        <v>1232</v>
      </c>
      <c r="I121" s="733">
        <v>1207000</v>
      </c>
      <c r="J121" s="733">
        <v>1207000</v>
      </c>
      <c r="K121" s="731" t="s">
        <v>1233</v>
      </c>
      <c r="L121" s="731" t="s">
        <v>507</v>
      </c>
      <c r="M121" s="732" t="s">
        <v>748</v>
      </c>
      <c r="N121" s="736" t="s">
        <v>1244</v>
      </c>
      <c r="O121" s="576"/>
      <c r="P121" s="203"/>
      <c r="Q121" s="203"/>
      <c r="R121" s="203"/>
      <c r="S121" s="203"/>
      <c r="T121" s="203"/>
      <c r="U121" s="203"/>
      <c r="V121" s="203"/>
      <c r="W121" s="203"/>
      <c r="X121" s="203"/>
      <c r="Y121" s="203"/>
      <c r="Z121" s="204"/>
    </row>
    <row r="122" spans="1:26" ht="30" customHeight="1" thickBot="1" x14ac:dyDescent="0.35">
      <c r="A122" s="765">
        <v>2024</v>
      </c>
      <c r="B122" s="758">
        <v>70</v>
      </c>
      <c r="C122" s="725">
        <v>750106</v>
      </c>
      <c r="D122" s="725">
        <v>871520211</v>
      </c>
      <c r="E122" s="726" t="s">
        <v>1242</v>
      </c>
      <c r="F122" s="727" t="s">
        <v>1410</v>
      </c>
      <c r="G122" s="725">
        <v>1</v>
      </c>
      <c r="H122" s="595" t="s">
        <v>1232</v>
      </c>
      <c r="I122" s="728">
        <v>85000</v>
      </c>
      <c r="J122" s="728">
        <v>85000</v>
      </c>
      <c r="K122" s="726" t="s">
        <v>1233</v>
      </c>
      <c r="L122" s="726" t="s">
        <v>463</v>
      </c>
      <c r="M122" s="727" t="s">
        <v>1411</v>
      </c>
      <c r="N122" s="735" t="s">
        <v>1244</v>
      </c>
      <c r="O122" s="575"/>
      <c r="P122" s="201"/>
      <c r="Q122" s="201"/>
      <c r="R122" s="201"/>
      <c r="S122" s="201"/>
      <c r="T122" s="201"/>
      <c r="U122" s="201"/>
      <c r="V122" s="201"/>
      <c r="W122" s="201"/>
      <c r="X122" s="201"/>
      <c r="Y122" s="201"/>
      <c r="Z122" s="202"/>
    </row>
    <row r="123" spans="1:26" ht="30" customHeight="1" thickBot="1" x14ac:dyDescent="0.35">
      <c r="A123" s="1510">
        <v>2024</v>
      </c>
      <c r="B123" s="759">
        <v>71</v>
      </c>
      <c r="C123" s="730">
        <v>750501.00399999996</v>
      </c>
      <c r="D123" s="730">
        <v>532900011</v>
      </c>
      <c r="E123" s="731" t="s">
        <v>1242</v>
      </c>
      <c r="F123" s="732" t="s">
        <v>1412</v>
      </c>
      <c r="G123" s="730">
        <v>1</v>
      </c>
      <c r="H123" s="590" t="s">
        <v>1232</v>
      </c>
      <c r="I123" s="733">
        <v>0</v>
      </c>
      <c r="J123" s="733">
        <v>0</v>
      </c>
      <c r="K123" s="731" t="s">
        <v>1233</v>
      </c>
      <c r="L123" s="731" t="s">
        <v>495</v>
      </c>
      <c r="M123" s="732" t="s">
        <v>747</v>
      </c>
      <c r="N123" s="736" t="s">
        <v>1244</v>
      </c>
      <c r="O123" s="576"/>
      <c r="P123" s="203"/>
      <c r="Q123" s="203"/>
      <c r="R123" s="203"/>
      <c r="S123" s="203"/>
      <c r="T123" s="203"/>
      <c r="U123" s="203"/>
      <c r="V123" s="203"/>
      <c r="W123" s="203"/>
      <c r="X123" s="203"/>
      <c r="Y123" s="203"/>
      <c r="Z123" s="204"/>
    </row>
    <row r="124" spans="1:26" ht="30" customHeight="1" thickBot="1" x14ac:dyDescent="0.35">
      <c r="A124" s="765">
        <v>2024</v>
      </c>
      <c r="B124" s="758">
        <v>72</v>
      </c>
      <c r="C124" s="725">
        <v>730402</v>
      </c>
      <c r="D124" s="725">
        <v>532900011</v>
      </c>
      <c r="E124" s="726" t="s">
        <v>1242</v>
      </c>
      <c r="F124" s="727" t="s">
        <v>1413</v>
      </c>
      <c r="G124" s="725">
        <v>1</v>
      </c>
      <c r="H124" s="595" t="s">
        <v>1232</v>
      </c>
      <c r="I124" s="728">
        <v>0</v>
      </c>
      <c r="J124" s="728">
        <v>0</v>
      </c>
      <c r="K124" s="726" t="s">
        <v>1233</v>
      </c>
      <c r="L124" s="726" t="s">
        <v>539</v>
      </c>
      <c r="M124" s="727" t="s">
        <v>1252</v>
      </c>
      <c r="N124" s="735" t="s">
        <v>1244</v>
      </c>
      <c r="O124" s="575"/>
      <c r="P124" s="201"/>
      <c r="Q124" s="201"/>
      <c r="R124" s="201"/>
      <c r="S124" s="201"/>
      <c r="T124" s="201"/>
      <c r="U124" s="201"/>
      <c r="V124" s="201"/>
      <c r="W124" s="201"/>
      <c r="X124" s="201"/>
      <c r="Y124" s="201"/>
      <c r="Z124" s="202"/>
    </row>
    <row r="125" spans="1:26" ht="30" customHeight="1" thickBot="1" x14ac:dyDescent="0.35">
      <c r="A125" s="1510">
        <v>2024</v>
      </c>
      <c r="B125" s="759">
        <v>73</v>
      </c>
      <c r="C125" s="730">
        <v>730404</v>
      </c>
      <c r="D125" s="730">
        <v>871590611</v>
      </c>
      <c r="E125" s="731" t="s">
        <v>1239</v>
      </c>
      <c r="F125" s="732" t="s">
        <v>1414</v>
      </c>
      <c r="G125" s="730">
        <v>1</v>
      </c>
      <c r="H125" s="590" t="s">
        <v>1232</v>
      </c>
      <c r="I125" s="733">
        <v>0</v>
      </c>
      <c r="J125" s="733">
        <v>0</v>
      </c>
      <c r="K125" s="731" t="s">
        <v>1233</v>
      </c>
      <c r="L125" s="731" t="s">
        <v>526</v>
      </c>
      <c r="M125" s="732" t="s">
        <v>1293</v>
      </c>
      <c r="N125" s="736" t="s">
        <v>1244</v>
      </c>
      <c r="O125" s="576"/>
      <c r="P125" s="203"/>
      <c r="Q125" s="203"/>
      <c r="R125" s="203"/>
      <c r="S125" s="203"/>
      <c r="T125" s="203"/>
      <c r="U125" s="203"/>
      <c r="V125" s="203"/>
      <c r="W125" s="203"/>
      <c r="X125" s="203"/>
      <c r="Y125" s="203"/>
      <c r="Z125" s="204"/>
    </row>
    <row r="126" spans="1:26" ht="30" customHeight="1" thickBot="1" x14ac:dyDescent="0.35">
      <c r="A126" s="765">
        <v>2024</v>
      </c>
      <c r="B126" s="758">
        <v>74</v>
      </c>
      <c r="C126" s="725">
        <v>730601</v>
      </c>
      <c r="D126" s="725">
        <v>532900011</v>
      </c>
      <c r="E126" s="726" t="s">
        <v>1239</v>
      </c>
      <c r="F126" s="727" t="s">
        <v>1415</v>
      </c>
      <c r="G126" s="725">
        <v>1</v>
      </c>
      <c r="H126" s="595" t="s">
        <v>1232</v>
      </c>
      <c r="I126" s="728">
        <v>80000</v>
      </c>
      <c r="J126" s="728">
        <v>80000</v>
      </c>
      <c r="K126" s="726" t="s">
        <v>1233</v>
      </c>
      <c r="L126" s="726" t="s">
        <v>103</v>
      </c>
      <c r="M126" s="727" t="s">
        <v>1234</v>
      </c>
      <c r="N126" s="729" t="s">
        <v>1235</v>
      </c>
      <c r="O126" s="575"/>
      <c r="P126" s="201"/>
      <c r="Q126" s="201"/>
      <c r="R126" s="201"/>
      <c r="S126" s="201"/>
      <c r="T126" s="201"/>
      <c r="U126" s="201"/>
      <c r="V126" s="201"/>
      <c r="W126" s="201"/>
      <c r="X126" s="201"/>
      <c r="Y126" s="201"/>
      <c r="Z126" s="202"/>
    </row>
    <row r="127" spans="1:26" ht="30" customHeight="1" thickBot="1" x14ac:dyDescent="0.35">
      <c r="A127" s="1510">
        <v>2024</v>
      </c>
      <c r="B127" s="759">
        <v>75</v>
      </c>
      <c r="C127" s="730">
        <v>730602</v>
      </c>
      <c r="D127" s="730">
        <v>532900011</v>
      </c>
      <c r="E127" s="731" t="s">
        <v>1239</v>
      </c>
      <c r="F127" s="732" t="s">
        <v>1416</v>
      </c>
      <c r="G127" s="730">
        <v>1</v>
      </c>
      <c r="H127" s="590" t="s">
        <v>1232</v>
      </c>
      <c r="I127" s="733">
        <v>35000</v>
      </c>
      <c r="J127" s="733">
        <v>35000</v>
      </c>
      <c r="K127" s="731" t="s">
        <v>1233</v>
      </c>
      <c r="L127" s="731" t="s">
        <v>103</v>
      </c>
      <c r="M127" s="732" t="s">
        <v>1234</v>
      </c>
      <c r="N127" s="734" t="s">
        <v>1235</v>
      </c>
      <c r="O127" s="576"/>
      <c r="P127" s="203"/>
      <c r="Q127" s="203"/>
      <c r="R127" s="203"/>
      <c r="S127" s="203"/>
      <c r="T127" s="203"/>
      <c r="U127" s="203"/>
      <c r="V127" s="203"/>
      <c r="W127" s="203"/>
      <c r="X127" s="203"/>
      <c r="Y127" s="203"/>
      <c r="Z127" s="204"/>
    </row>
    <row r="128" spans="1:26" ht="30" customHeight="1" thickBot="1" x14ac:dyDescent="0.35">
      <c r="A128" s="765">
        <v>2024</v>
      </c>
      <c r="B128" s="758">
        <v>76</v>
      </c>
      <c r="C128" s="725">
        <v>730604</v>
      </c>
      <c r="D128" s="725">
        <v>532900011</v>
      </c>
      <c r="E128" s="726" t="s">
        <v>1239</v>
      </c>
      <c r="F128" s="727" t="s">
        <v>1417</v>
      </c>
      <c r="G128" s="725">
        <v>1</v>
      </c>
      <c r="H128" s="595" t="s">
        <v>1232</v>
      </c>
      <c r="I128" s="728">
        <v>15000</v>
      </c>
      <c r="J128" s="728">
        <v>15000</v>
      </c>
      <c r="K128" s="726" t="s">
        <v>1233</v>
      </c>
      <c r="L128" s="726" t="s">
        <v>633</v>
      </c>
      <c r="M128" s="727" t="s">
        <v>1268</v>
      </c>
      <c r="N128" s="735" t="s">
        <v>1244</v>
      </c>
      <c r="O128" s="575"/>
      <c r="P128" s="201"/>
      <c r="Q128" s="201"/>
      <c r="R128" s="201"/>
      <c r="S128" s="201"/>
      <c r="T128" s="201"/>
      <c r="U128" s="201"/>
      <c r="V128" s="201"/>
      <c r="W128" s="201"/>
      <c r="X128" s="201"/>
      <c r="Y128" s="201"/>
      <c r="Z128" s="202"/>
    </row>
    <row r="129" spans="1:26" ht="30" customHeight="1" thickBot="1" x14ac:dyDescent="0.35">
      <c r="A129" s="1510">
        <v>2024</v>
      </c>
      <c r="B129" s="759">
        <v>80</v>
      </c>
      <c r="C129" s="731" t="s">
        <v>1418</v>
      </c>
      <c r="D129" s="730">
        <v>622910013</v>
      </c>
      <c r="E129" s="731" t="s">
        <v>1239</v>
      </c>
      <c r="F129" s="732" t="s">
        <v>1419</v>
      </c>
      <c r="G129" s="730">
        <v>1</v>
      </c>
      <c r="H129" s="590" t="s">
        <v>1232</v>
      </c>
      <c r="I129" s="733">
        <v>0</v>
      </c>
      <c r="J129" s="733">
        <v>0</v>
      </c>
      <c r="K129" s="731" t="s">
        <v>1233</v>
      </c>
      <c r="L129" s="731" t="s">
        <v>103</v>
      </c>
      <c r="M129" s="732" t="s">
        <v>1234</v>
      </c>
      <c r="N129" s="734" t="s">
        <v>1235</v>
      </c>
      <c r="O129" s="576"/>
      <c r="P129" s="203"/>
      <c r="Q129" s="203"/>
      <c r="R129" s="203"/>
      <c r="S129" s="203"/>
      <c r="T129" s="203"/>
      <c r="U129" s="203"/>
      <c r="V129" s="203"/>
      <c r="W129" s="203"/>
      <c r="X129" s="203"/>
      <c r="Y129" s="203"/>
      <c r="Z129" s="204"/>
    </row>
    <row r="130" spans="1:26" s="10" customFormat="1" ht="30" customHeight="1" thickBot="1" x14ac:dyDescent="0.35">
      <c r="A130" s="765" t="s">
        <v>712</v>
      </c>
      <c r="B130" s="760"/>
      <c r="C130" s="739"/>
      <c r="D130" s="739"/>
      <c r="E130" s="739"/>
      <c r="F130" s="740"/>
      <c r="G130" s="741"/>
      <c r="H130" s="741"/>
      <c r="I130" s="742"/>
      <c r="J130" s="742">
        <f>SUM(J5:J129)</f>
        <v>13431862.300000001</v>
      </c>
      <c r="K130" s="739"/>
      <c r="L130" s="739"/>
      <c r="M130" s="743"/>
      <c r="N130" s="735"/>
      <c r="O130" s="575"/>
      <c r="P130" s="201"/>
      <c r="Q130" s="201"/>
      <c r="R130" s="201"/>
      <c r="S130" s="201"/>
      <c r="T130" s="201"/>
      <c r="U130" s="201"/>
      <c r="V130" s="201"/>
      <c r="W130" s="201"/>
      <c r="X130" s="201"/>
      <c r="Y130" s="201"/>
      <c r="Z130" s="202"/>
    </row>
    <row r="131" spans="1:26" s="40" customFormat="1" ht="30" customHeight="1" thickBot="1" x14ac:dyDescent="0.35">
      <c r="A131" s="1621" t="s">
        <v>3784</v>
      </c>
      <c r="B131" s="1787"/>
      <c r="C131" s="1788"/>
      <c r="D131" s="1788"/>
      <c r="E131" s="1788"/>
      <c r="F131" s="1788"/>
      <c r="G131" s="1788"/>
      <c r="H131" s="1788"/>
      <c r="I131" s="733"/>
      <c r="J131" s="733">
        <f>SUMIF(A5:A129,"2023",J5:J129)</f>
        <v>5141539.72</v>
      </c>
      <c r="K131" s="731"/>
      <c r="L131" s="731"/>
      <c r="M131" s="744"/>
      <c r="N131" s="734"/>
      <c r="O131" s="576"/>
      <c r="P131" s="203"/>
      <c r="Q131" s="203"/>
      <c r="R131" s="203"/>
      <c r="S131" s="203"/>
      <c r="T131" s="203"/>
      <c r="U131" s="203"/>
      <c r="V131" s="203"/>
      <c r="W131" s="203"/>
      <c r="X131" s="203"/>
      <c r="Y131" s="203"/>
      <c r="Z131" s="204"/>
    </row>
    <row r="132" spans="1:26" s="10" customFormat="1" ht="30" customHeight="1" thickBot="1" x14ac:dyDescent="0.35">
      <c r="A132" s="1629" t="s">
        <v>3785</v>
      </c>
      <c r="B132" s="1789"/>
      <c r="C132" s="1790"/>
      <c r="D132" s="1790"/>
      <c r="E132" s="1790"/>
      <c r="F132" s="1790"/>
      <c r="G132" s="1790"/>
      <c r="H132" s="1790"/>
      <c r="I132" s="728"/>
      <c r="J132" s="728">
        <f>SUMIF(A5:A129,"2024",J5:J129)</f>
        <v>8290322.5800000001</v>
      </c>
      <c r="K132" s="726"/>
      <c r="L132" s="726"/>
      <c r="M132" s="745"/>
      <c r="N132" s="729"/>
      <c r="O132" s="575"/>
      <c r="P132" s="201"/>
      <c r="Q132" s="201"/>
      <c r="R132" s="201"/>
      <c r="S132" s="201"/>
      <c r="T132" s="201"/>
      <c r="U132" s="201"/>
      <c r="V132" s="201"/>
      <c r="W132" s="201"/>
      <c r="X132" s="201"/>
      <c r="Y132" s="201"/>
      <c r="Z132" s="202"/>
    </row>
    <row r="133" spans="1:26" s="40" customFormat="1" ht="19.95" customHeight="1" thickBot="1" x14ac:dyDescent="0.35">
      <c r="A133" s="1784" t="s">
        <v>1420</v>
      </c>
      <c r="B133" s="1785"/>
      <c r="C133" s="1785"/>
      <c r="D133" s="1785"/>
      <c r="E133" s="1785"/>
      <c r="F133" s="1785"/>
      <c r="G133" s="1785"/>
      <c r="H133" s="1785"/>
      <c r="I133" s="1785"/>
      <c r="J133" s="1785"/>
      <c r="K133" s="1785"/>
      <c r="L133" s="1785"/>
      <c r="M133" s="1785"/>
      <c r="N133" s="1786"/>
      <c r="O133" s="576"/>
      <c r="P133" s="203"/>
      <c r="Q133" s="203"/>
      <c r="R133" s="203"/>
      <c r="S133" s="203"/>
      <c r="T133" s="203"/>
      <c r="U133" s="203"/>
      <c r="V133" s="203"/>
      <c r="W133" s="203"/>
      <c r="X133" s="203"/>
      <c r="Y133" s="203"/>
      <c r="Z133" s="204"/>
    </row>
    <row r="134" spans="1:26" s="10" customFormat="1" ht="30" customHeight="1" thickBot="1" x14ac:dyDescent="0.35">
      <c r="A134" s="765" t="s">
        <v>662</v>
      </c>
      <c r="B134" s="760" t="s">
        <v>664</v>
      </c>
      <c r="C134" s="739" t="s">
        <v>1421</v>
      </c>
      <c r="D134" s="739" t="s">
        <v>1422</v>
      </c>
      <c r="E134" s="739" t="s">
        <v>1423</v>
      </c>
      <c r="F134" s="740" t="s">
        <v>1424</v>
      </c>
      <c r="G134" s="595"/>
      <c r="H134" s="595"/>
      <c r="I134" s="728"/>
      <c r="J134" s="728"/>
      <c r="K134" s="726"/>
      <c r="L134" s="726"/>
      <c r="M134" s="745"/>
      <c r="N134" s="729"/>
      <c r="O134" s="575"/>
      <c r="P134" s="201"/>
      <c r="Q134" s="201"/>
      <c r="R134" s="201"/>
      <c r="S134" s="201"/>
      <c r="T134" s="201"/>
      <c r="U134" s="201"/>
      <c r="V134" s="201"/>
      <c r="W134" s="201"/>
      <c r="X134" s="201"/>
      <c r="Y134" s="201"/>
      <c r="Z134" s="202"/>
    </row>
    <row r="135" spans="1:26" ht="30" customHeight="1" thickBot="1" x14ac:dyDescent="0.35">
      <c r="A135" s="1510" t="s">
        <v>495</v>
      </c>
      <c r="B135" s="761" t="s">
        <v>747</v>
      </c>
      <c r="C135" s="746">
        <f>COUNTIFS($A$5:$A$129,"2023",$L$5:$L$129,"PDOT.AS.OE1.M1.01")</f>
        <v>5</v>
      </c>
      <c r="D135" s="747">
        <v>839221.66</v>
      </c>
      <c r="E135" s="747">
        <f>COUNTIFS($A$5:$A$129,"2024",$L$5:$L$129,"PDOT.AS.OE1.M1.01")</f>
        <v>10</v>
      </c>
      <c r="F135" s="747">
        <v>451855</v>
      </c>
      <c r="G135" s="590"/>
      <c r="H135" s="590"/>
      <c r="I135" s="733"/>
      <c r="J135" s="733"/>
      <c r="K135" s="731"/>
      <c r="L135" s="731"/>
      <c r="M135" s="744"/>
      <c r="N135" s="734"/>
      <c r="O135" s="576"/>
      <c r="P135" s="203"/>
      <c r="Q135" s="203"/>
      <c r="R135" s="203"/>
      <c r="S135" s="203"/>
      <c r="T135" s="203"/>
      <c r="U135" s="203"/>
      <c r="V135" s="203"/>
      <c r="W135" s="203"/>
      <c r="X135" s="203"/>
      <c r="Y135" s="203"/>
      <c r="Z135" s="204"/>
    </row>
    <row r="136" spans="1:26" ht="30" customHeight="1" thickBot="1" x14ac:dyDescent="0.35">
      <c r="A136" s="765" t="s">
        <v>507</v>
      </c>
      <c r="B136" s="762" t="s">
        <v>748</v>
      </c>
      <c r="C136" s="748">
        <f>COUNTIFS($A$5:$A$129,"2023",$L$5:$L$129,"PDOT.AS.OE1.M1.02")</f>
        <v>1</v>
      </c>
      <c r="D136" s="749">
        <v>4133102.96</v>
      </c>
      <c r="E136" s="749">
        <f>COUNTIFS($A$5:$A$129,"2024",$L$5:$L$129,"PDOT.AS.OE1.M1.02")</f>
        <v>3</v>
      </c>
      <c r="F136" s="749">
        <v>529859.46</v>
      </c>
      <c r="G136" s="595"/>
      <c r="H136" s="595"/>
      <c r="I136" s="728"/>
      <c r="J136" s="728"/>
      <c r="K136" s="726"/>
      <c r="L136" s="726"/>
      <c r="M136" s="745"/>
      <c r="N136" s="729"/>
      <c r="O136" s="575"/>
      <c r="P136" s="201"/>
      <c r="Q136" s="201"/>
      <c r="R136" s="201"/>
      <c r="S136" s="201"/>
      <c r="T136" s="201"/>
      <c r="U136" s="201"/>
      <c r="V136" s="201"/>
      <c r="W136" s="201"/>
      <c r="X136" s="201"/>
      <c r="Y136" s="201"/>
      <c r="Z136" s="202"/>
    </row>
    <row r="137" spans="1:26" ht="30" customHeight="1" thickBot="1" x14ac:dyDescent="0.35">
      <c r="A137" s="1510" t="s">
        <v>501</v>
      </c>
      <c r="B137" s="761" t="s">
        <v>763</v>
      </c>
      <c r="C137" s="746">
        <f>COUNTIFS($A$5:$A$129,"2023",$L$5:$L$129,"PDOT.AS.OE1.M1.03")</f>
        <v>0</v>
      </c>
      <c r="D137" s="747">
        <v>62000</v>
      </c>
      <c r="E137" s="747">
        <f>COUNTIFS($A$5:$A$129,"2024",$L$5:$L$129,"PDOT.AS.OE1.M1.03")</f>
        <v>1</v>
      </c>
      <c r="F137" s="747">
        <v>0</v>
      </c>
      <c r="G137" s="590"/>
      <c r="H137" s="590"/>
      <c r="I137" s="733"/>
      <c r="J137" s="733"/>
      <c r="K137" s="731"/>
      <c r="L137" s="731"/>
      <c r="M137" s="744"/>
      <c r="N137" s="734"/>
      <c r="O137" s="576"/>
      <c r="P137" s="203"/>
      <c r="Q137" s="203"/>
      <c r="R137" s="203"/>
      <c r="S137" s="203"/>
      <c r="T137" s="203"/>
      <c r="U137" s="203"/>
      <c r="V137" s="203"/>
      <c r="W137" s="203"/>
      <c r="X137" s="203"/>
      <c r="Y137" s="203"/>
      <c r="Z137" s="204"/>
    </row>
    <row r="138" spans="1:26" ht="30" customHeight="1" thickBot="1" x14ac:dyDescent="0.35">
      <c r="A138" s="765" t="s">
        <v>687</v>
      </c>
      <c r="B138" s="762" t="s">
        <v>750</v>
      </c>
      <c r="C138" s="748">
        <f>COUNTIFS($A$5:$A$129,"2023",$L$5:$L$129,"PDOT.AS.OE1.M2.01")</f>
        <v>1</v>
      </c>
      <c r="D138" s="749">
        <v>0</v>
      </c>
      <c r="E138" s="749">
        <f>COUNTIFS($A$5:$A$129,"2024",$L$5:$L$129,"PDOT.AS.OE1.M2.01")</f>
        <v>0</v>
      </c>
      <c r="F138" s="749">
        <v>0</v>
      </c>
      <c r="G138" s="595"/>
      <c r="H138" s="595"/>
      <c r="I138" s="728"/>
      <c r="J138" s="728"/>
      <c r="K138" s="726"/>
      <c r="L138" s="726"/>
      <c r="M138" s="745"/>
      <c r="N138" s="729"/>
      <c r="O138" s="575"/>
      <c r="P138" s="201"/>
      <c r="Q138" s="201"/>
      <c r="R138" s="201"/>
      <c r="S138" s="201"/>
      <c r="T138" s="201"/>
      <c r="U138" s="201"/>
      <c r="V138" s="201"/>
      <c r="W138" s="201"/>
      <c r="X138" s="201"/>
      <c r="Y138" s="201"/>
      <c r="Z138" s="202"/>
    </row>
    <row r="139" spans="1:26" ht="30" customHeight="1" thickBot="1" x14ac:dyDescent="0.35">
      <c r="A139" s="1510" t="s">
        <v>57</v>
      </c>
      <c r="B139" s="761" t="s">
        <v>751</v>
      </c>
      <c r="C139" s="746">
        <f>COUNTIFS($A$5:$A$129,"2023",$L$5:$L$129,"PDOT.AS.OE1.M2.02")</f>
        <v>0</v>
      </c>
      <c r="D139" s="747">
        <v>0</v>
      </c>
      <c r="E139" s="747">
        <f>COUNTIFS($A$5:$A$129,"2024",$L$5:$L$129,"PDOT.AS.OE1.M2.02")</f>
        <v>0</v>
      </c>
      <c r="F139" s="747">
        <v>0</v>
      </c>
      <c r="G139" s="590"/>
      <c r="H139" s="590"/>
      <c r="I139" s="733"/>
      <c r="J139" s="733"/>
      <c r="K139" s="731"/>
      <c r="L139" s="731"/>
      <c r="M139" s="744"/>
      <c r="N139" s="734"/>
      <c r="O139" s="576"/>
      <c r="P139" s="203"/>
      <c r="Q139" s="203"/>
      <c r="R139" s="203"/>
      <c r="S139" s="203"/>
      <c r="T139" s="203"/>
      <c r="U139" s="203"/>
      <c r="V139" s="203"/>
      <c r="W139" s="203"/>
      <c r="X139" s="203"/>
      <c r="Y139" s="203"/>
      <c r="Z139" s="204"/>
    </row>
    <row r="140" spans="1:26" ht="30" customHeight="1" thickBot="1" x14ac:dyDescent="0.35">
      <c r="A140" s="765" t="s">
        <v>43</v>
      </c>
      <c r="B140" s="762" t="s">
        <v>749</v>
      </c>
      <c r="C140" s="748">
        <f>COUNTIFS($A$5:$A$129,"2023",$L$5:$L$129,"PDOT.SC.OE2.M1.01")</f>
        <v>0</v>
      </c>
      <c r="D140" s="749">
        <v>0</v>
      </c>
      <c r="E140" s="749">
        <f>COUNTIFS($A$5:$A$129,"2024",$L$5:$L$129,"PDOT.SC.OE2.M1.01")</f>
        <v>0</v>
      </c>
      <c r="F140" s="749">
        <v>0</v>
      </c>
      <c r="G140" s="595"/>
      <c r="H140" s="595"/>
      <c r="I140" s="728"/>
      <c r="J140" s="728"/>
      <c r="K140" s="726"/>
      <c r="L140" s="726"/>
      <c r="M140" s="745"/>
      <c r="N140" s="729"/>
      <c r="O140" s="575"/>
      <c r="P140" s="201"/>
      <c r="Q140" s="201"/>
      <c r="R140" s="201"/>
      <c r="S140" s="201"/>
      <c r="T140" s="201"/>
      <c r="U140" s="201"/>
      <c r="V140" s="201"/>
      <c r="W140" s="201"/>
      <c r="X140" s="201"/>
      <c r="Y140" s="201"/>
      <c r="Z140" s="202"/>
    </row>
    <row r="141" spans="1:26" ht="30" customHeight="1" thickBot="1" x14ac:dyDescent="0.35">
      <c r="A141" s="1510" t="s">
        <v>693</v>
      </c>
      <c r="B141" s="761" t="s">
        <v>1404</v>
      </c>
      <c r="C141" s="746">
        <f>COUNTIFS($A$5:$A$129,"2023",$L$5:$L$129,"PDOT.SC.OE2.M2.01")</f>
        <v>0</v>
      </c>
      <c r="D141" s="747">
        <v>1673.18</v>
      </c>
      <c r="E141" s="747">
        <f>COUNTIFS($A$5:$A$129,"2024",$L$5:$L$129,"PDOT.SC.OE2.M2.01")</f>
        <v>1</v>
      </c>
      <c r="F141" s="747">
        <v>24426.560000000001</v>
      </c>
      <c r="G141" s="590"/>
      <c r="H141" s="590"/>
      <c r="I141" s="733"/>
      <c r="J141" s="733"/>
      <c r="K141" s="731"/>
      <c r="L141" s="731"/>
      <c r="M141" s="744"/>
      <c r="N141" s="734"/>
      <c r="O141" s="576"/>
      <c r="P141" s="203"/>
      <c r="Q141" s="203"/>
      <c r="R141" s="203"/>
      <c r="S141" s="203"/>
      <c r="T141" s="203"/>
      <c r="U141" s="203"/>
      <c r="V141" s="203"/>
      <c r="W141" s="203"/>
      <c r="X141" s="203"/>
      <c r="Y141" s="203"/>
      <c r="Z141" s="204"/>
    </row>
    <row r="142" spans="1:26" ht="30" customHeight="1" thickBot="1" x14ac:dyDescent="0.35">
      <c r="A142" s="765" t="s">
        <v>47</v>
      </c>
      <c r="B142" s="762" t="s">
        <v>1344</v>
      </c>
      <c r="C142" s="748">
        <f>COUNTIFS($A$5:$A$129,"2023",$L$5:$L$129,"PDOT.SC.OE2.M3.01")</f>
        <v>0</v>
      </c>
      <c r="D142" s="749">
        <v>348541.36</v>
      </c>
      <c r="E142" s="749">
        <f>COUNTIFS($A$5:$A$129,"2024",$L$5:$L$129,"PDOT.SC.OE2.M3.01")</f>
        <v>1</v>
      </c>
      <c r="F142" s="749">
        <v>401000</v>
      </c>
      <c r="G142" s="595"/>
      <c r="H142" s="595"/>
      <c r="I142" s="728"/>
      <c r="J142" s="728"/>
      <c r="K142" s="726"/>
      <c r="L142" s="726"/>
      <c r="M142" s="745"/>
      <c r="N142" s="729"/>
      <c r="O142" s="575"/>
      <c r="P142" s="201"/>
      <c r="Q142" s="201"/>
      <c r="R142" s="201"/>
      <c r="S142" s="201"/>
      <c r="T142" s="201"/>
      <c r="U142" s="201"/>
      <c r="V142" s="201"/>
      <c r="W142" s="201"/>
      <c r="X142" s="201"/>
      <c r="Y142" s="201"/>
      <c r="Z142" s="202"/>
    </row>
    <row r="143" spans="1:26" ht="30" customHeight="1" thickBot="1" x14ac:dyDescent="0.35">
      <c r="A143" s="1510" t="s">
        <v>53</v>
      </c>
      <c r="B143" s="761" t="s">
        <v>1275</v>
      </c>
      <c r="C143" s="746">
        <f>COUNTIFS($A$5:$A$129,"2023",$L$5:$L$129,"PDOT.SC.OE2.M4.01")</f>
        <v>3</v>
      </c>
      <c r="D143" s="747">
        <v>306795.65999999997</v>
      </c>
      <c r="E143" s="747">
        <f>COUNTIFS($A$5:$A$129,"2024",$L$5:$L$129,"PDOT.SC.OE2.M4.01")</f>
        <v>5</v>
      </c>
      <c r="F143" s="747">
        <v>768054.29</v>
      </c>
      <c r="G143" s="590"/>
      <c r="H143" s="590"/>
      <c r="I143" s="733"/>
      <c r="J143" s="733"/>
      <c r="K143" s="731"/>
      <c r="L143" s="731"/>
      <c r="M143" s="744"/>
      <c r="N143" s="734"/>
      <c r="O143" s="576"/>
      <c r="P143" s="203"/>
      <c r="Q143" s="203"/>
      <c r="R143" s="203"/>
      <c r="S143" s="203"/>
      <c r="T143" s="203"/>
      <c r="U143" s="203"/>
      <c r="V143" s="203"/>
      <c r="W143" s="203"/>
      <c r="X143" s="203"/>
      <c r="Y143" s="203"/>
      <c r="Z143" s="204"/>
    </row>
    <row r="144" spans="1:26" ht="30" customHeight="1" thickBot="1" x14ac:dyDescent="0.35">
      <c r="A144" s="765" t="s">
        <v>515</v>
      </c>
      <c r="B144" s="762" t="s">
        <v>1304</v>
      </c>
      <c r="C144" s="748">
        <f>COUNTIFS($A$5:$A$129,"2023",$L$5:$L$129,"PDOT.AM.OE3.M1.01")</f>
        <v>1</v>
      </c>
      <c r="D144" s="749">
        <v>164866</v>
      </c>
      <c r="E144" s="749">
        <f>COUNTIFS($A$5:$A$129,"2024",$L$5:$L$129,"PDOT.AM.OE3.M1.01")</f>
        <v>1</v>
      </c>
      <c r="F144" s="749">
        <v>125000</v>
      </c>
      <c r="G144" s="595"/>
      <c r="H144" s="595"/>
      <c r="I144" s="728"/>
      <c r="J144" s="728"/>
      <c r="K144" s="726"/>
      <c r="L144" s="726"/>
      <c r="M144" s="745"/>
      <c r="N144" s="729"/>
      <c r="O144" s="575"/>
      <c r="P144" s="201"/>
      <c r="Q144" s="201"/>
      <c r="R144" s="201"/>
      <c r="S144" s="201"/>
      <c r="T144" s="201"/>
      <c r="U144" s="201"/>
      <c r="V144" s="201"/>
      <c r="W144" s="201"/>
      <c r="X144" s="201"/>
      <c r="Y144" s="201"/>
      <c r="Z144" s="202"/>
    </row>
    <row r="145" spans="1:26" ht="30" customHeight="1" thickBot="1" x14ac:dyDescent="0.35">
      <c r="A145" s="1510" t="s">
        <v>487</v>
      </c>
      <c r="B145" s="761" t="s">
        <v>757</v>
      </c>
      <c r="C145" s="746">
        <f>COUNTIFS($A$5:$A$129,"2023",$L$5:$L$129,"PDOT.AM.OE3.M2.01")</f>
        <v>1</v>
      </c>
      <c r="D145" s="747">
        <v>0</v>
      </c>
      <c r="E145" s="747">
        <f>COUNTIFS($A$5:$A$129,"2024",$L$5:$L$129,"PDOT.AM.OE3.M2.01")</f>
        <v>2</v>
      </c>
      <c r="F145" s="747">
        <v>31500</v>
      </c>
      <c r="G145" s="590"/>
      <c r="H145" s="590"/>
      <c r="I145" s="733"/>
      <c r="J145" s="733"/>
      <c r="K145" s="731"/>
      <c r="L145" s="731"/>
      <c r="M145" s="744"/>
      <c r="N145" s="734"/>
      <c r="O145" s="576"/>
      <c r="P145" s="203"/>
      <c r="Q145" s="203"/>
      <c r="R145" s="203"/>
      <c r="S145" s="203"/>
      <c r="T145" s="203"/>
      <c r="U145" s="203"/>
      <c r="V145" s="203"/>
      <c r="W145" s="203"/>
      <c r="X145" s="203"/>
      <c r="Y145" s="203"/>
      <c r="Z145" s="204"/>
    </row>
    <row r="146" spans="1:26" ht="30" customHeight="1" thickBot="1" x14ac:dyDescent="0.35">
      <c r="A146" s="765" t="s">
        <v>470</v>
      </c>
      <c r="B146" s="762" t="s">
        <v>760</v>
      </c>
      <c r="C146" s="725">
        <f>COUNTIFS($A$5:$A$129,"2023",$L$5:$L$129,"PDOT.AM.SC.M3.01")</f>
        <v>1</v>
      </c>
      <c r="D146" s="749">
        <v>2000</v>
      </c>
      <c r="E146" s="728">
        <f>COUNTIFS($A$5:$A$129,"2024",$L$5:$L$129,"PDOT.AM.SC.M3.01")</f>
        <v>0</v>
      </c>
      <c r="F146" s="749">
        <v>0</v>
      </c>
      <c r="G146" s="595"/>
      <c r="H146" s="595"/>
      <c r="I146" s="728"/>
      <c r="J146" s="728"/>
      <c r="K146" s="726"/>
      <c r="L146" s="726"/>
      <c r="M146" s="745"/>
      <c r="N146" s="729"/>
      <c r="O146" s="575"/>
      <c r="P146" s="201"/>
      <c r="Q146" s="201"/>
      <c r="R146" s="201"/>
      <c r="S146" s="201"/>
      <c r="T146" s="201"/>
      <c r="U146" s="201"/>
      <c r="V146" s="201"/>
      <c r="W146" s="201"/>
      <c r="X146" s="201"/>
      <c r="Y146" s="201"/>
      <c r="Z146" s="202"/>
    </row>
    <row r="147" spans="1:26" ht="30" customHeight="1" thickBot="1" x14ac:dyDescent="0.35">
      <c r="A147" s="1510" t="s">
        <v>539</v>
      </c>
      <c r="B147" s="761" t="s">
        <v>1252</v>
      </c>
      <c r="C147" s="730">
        <f>COUNTIFS($A$5:$A$129,"2023",$L$5:$L$129,"PDOT.AS.VL.M1.01")</f>
        <v>6</v>
      </c>
      <c r="D147" s="747">
        <v>2958076.49</v>
      </c>
      <c r="E147" s="733">
        <f>COUNTIFS($A$5:$A$129,"2024",$L$5:$L$129,"PDOT.AS.VL.M1.01")</f>
        <v>10</v>
      </c>
      <c r="F147" s="747">
        <v>1807000</v>
      </c>
      <c r="G147" s="590"/>
      <c r="H147" s="590"/>
      <c r="I147" s="733"/>
      <c r="J147" s="733"/>
      <c r="K147" s="731"/>
      <c r="L147" s="731"/>
      <c r="M147" s="744"/>
      <c r="N147" s="734"/>
      <c r="O147" s="576"/>
      <c r="P147" s="203"/>
      <c r="Q147" s="203"/>
      <c r="R147" s="203"/>
      <c r="S147" s="203"/>
      <c r="T147" s="203"/>
      <c r="U147" s="203"/>
      <c r="V147" s="203"/>
      <c r="W147" s="203"/>
      <c r="X147" s="203"/>
      <c r="Y147" s="203"/>
      <c r="Z147" s="204"/>
    </row>
    <row r="148" spans="1:26" ht="30" customHeight="1" thickBot="1" x14ac:dyDescent="0.35">
      <c r="A148" s="765" t="s">
        <v>545</v>
      </c>
      <c r="B148" s="762" t="s">
        <v>1165</v>
      </c>
      <c r="C148" s="725">
        <f>COUNTIFS($A$5:$A$129,"2023",$L$5:$L$129,"PDOT.AS.VL.M1.02")</f>
        <v>2</v>
      </c>
      <c r="D148" s="749">
        <v>80000</v>
      </c>
      <c r="E148" s="728">
        <f>COUNTIFS($A$5:$A$129,"2024",$L$5:$L$129,"PDOT.AS.VL.M1.02")</f>
        <v>2</v>
      </c>
      <c r="F148" s="749">
        <v>738000</v>
      </c>
      <c r="G148" s="595"/>
      <c r="H148" s="595"/>
      <c r="I148" s="728"/>
      <c r="J148" s="728"/>
      <c r="K148" s="726"/>
      <c r="L148" s="726"/>
      <c r="M148" s="745"/>
      <c r="N148" s="729"/>
      <c r="O148" s="575"/>
      <c r="P148" s="201"/>
      <c r="Q148" s="201"/>
      <c r="R148" s="201"/>
      <c r="S148" s="201"/>
      <c r="T148" s="201"/>
      <c r="U148" s="201"/>
      <c r="V148" s="201"/>
      <c r="W148" s="201"/>
      <c r="X148" s="201"/>
      <c r="Y148" s="201"/>
      <c r="Z148" s="202"/>
    </row>
    <row r="149" spans="1:26" ht="30" customHeight="1" thickBot="1" x14ac:dyDescent="0.35">
      <c r="A149" s="1510" t="s">
        <v>711</v>
      </c>
      <c r="B149" s="761" t="s">
        <v>1260</v>
      </c>
      <c r="C149" s="730">
        <f>COUNTIFS($A$5:$A$129,"2023",$L$5:$L$129,"PDOT.AS.VL.M2.01")</f>
        <v>1</v>
      </c>
      <c r="D149" s="747">
        <v>693326.1</v>
      </c>
      <c r="E149" s="733">
        <f>COUNTIFS($A$5:$A$129,"2024",$L$5:$L$129,"PDOT.AS.VL.M2.01")</f>
        <v>1</v>
      </c>
      <c r="F149" s="747">
        <v>321741.21000000002</v>
      </c>
      <c r="G149" s="590"/>
      <c r="H149" s="590"/>
      <c r="I149" s="733"/>
      <c r="J149" s="733"/>
      <c r="K149" s="731"/>
      <c r="L149" s="731"/>
      <c r="M149" s="744"/>
      <c r="N149" s="734"/>
      <c r="O149" s="576"/>
      <c r="P149" s="203"/>
      <c r="Q149" s="203"/>
      <c r="R149" s="203"/>
      <c r="S149" s="203"/>
      <c r="T149" s="203"/>
      <c r="U149" s="203"/>
      <c r="V149" s="203"/>
      <c r="W149" s="203"/>
      <c r="X149" s="203"/>
      <c r="Y149" s="203"/>
      <c r="Z149" s="204"/>
    </row>
    <row r="150" spans="1:26" ht="30" customHeight="1" thickBot="1" x14ac:dyDescent="0.35">
      <c r="A150" s="765" t="s">
        <v>526</v>
      </c>
      <c r="B150" s="762" t="s">
        <v>1293</v>
      </c>
      <c r="C150" s="748">
        <f>COUNTIFS($A$5:$A$129,"2023",$L$5:$L$129,"PDOT.AV.OE1.M1.01")</f>
        <v>2</v>
      </c>
      <c r="D150" s="749">
        <v>288243.69</v>
      </c>
      <c r="E150" s="749">
        <f>COUNTIFS($A$5:$A$129,"2024",$L$5:$L$129,"PDOT.AV.OE1.M1.01")</f>
        <v>5</v>
      </c>
      <c r="F150" s="749">
        <v>442500</v>
      </c>
      <c r="G150" s="595"/>
      <c r="H150" s="595"/>
      <c r="I150" s="728"/>
      <c r="J150" s="728"/>
      <c r="K150" s="726"/>
      <c r="L150" s="726"/>
      <c r="M150" s="745"/>
      <c r="N150" s="729"/>
      <c r="O150" s="575"/>
      <c r="P150" s="201"/>
      <c r="Q150" s="201"/>
      <c r="R150" s="201"/>
      <c r="S150" s="201"/>
      <c r="T150" s="201"/>
      <c r="U150" s="201"/>
      <c r="V150" s="201"/>
      <c r="W150" s="201"/>
      <c r="X150" s="201"/>
      <c r="Y150" s="201"/>
      <c r="Z150" s="202"/>
    </row>
    <row r="151" spans="1:26" ht="30" customHeight="1" thickBot="1" x14ac:dyDescent="0.35">
      <c r="A151" s="1510" t="s">
        <v>50</v>
      </c>
      <c r="B151" s="761" t="s">
        <v>1425</v>
      </c>
      <c r="C151" s="730">
        <f>COUNTIFS($A$5:$A$129,"2023",$L$5:$L$129,"PDOT.SC.PI.M5.01")</f>
        <v>0</v>
      </c>
      <c r="D151" s="747">
        <v>6000</v>
      </c>
      <c r="E151" s="733">
        <f>COUNTIFS($A$5:$A$129,"2024",$L$5:$L$129,"PDOT.SC.PI.M5.01")</f>
        <v>0</v>
      </c>
      <c r="F151" s="747">
        <v>47612.41</v>
      </c>
      <c r="G151" s="590"/>
      <c r="H151" s="590"/>
      <c r="I151" s="733"/>
      <c r="J151" s="733"/>
      <c r="K151" s="731"/>
      <c r="L151" s="731"/>
      <c r="M151" s="744"/>
      <c r="N151" s="734"/>
      <c r="O151" s="576"/>
      <c r="P151" s="203"/>
      <c r="Q151" s="203"/>
      <c r="R151" s="203"/>
      <c r="S151" s="203"/>
      <c r="T151" s="203"/>
      <c r="U151" s="203"/>
      <c r="V151" s="203"/>
      <c r="W151" s="203"/>
      <c r="X151" s="203"/>
      <c r="Y151" s="203"/>
      <c r="Z151" s="204"/>
    </row>
    <row r="152" spans="1:26" ht="30" customHeight="1" thickBot="1" x14ac:dyDescent="0.35">
      <c r="A152" s="765" t="s">
        <v>633</v>
      </c>
      <c r="B152" s="762" t="s">
        <v>1268</v>
      </c>
      <c r="C152" s="748">
        <f>COUNTIFS($A$5:$A$129,"2023",$L$5:$L$129,"PDOT.PI.OE4.M1.01")</f>
        <v>5</v>
      </c>
      <c r="D152" s="749">
        <v>371300</v>
      </c>
      <c r="E152" s="749">
        <f>COUNTIFS($A$5:$A$129,"2024",$L$5:$L$129,"PDOT.PI.OE4.M1.01")</f>
        <v>8</v>
      </c>
      <c r="F152" s="749">
        <v>390475</v>
      </c>
      <c r="G152" s="595"/>
      <c r="H152" s="595"/>
      <c r="I152" s="728"/>
      <c r="J152" s="728"/>
      <c r="K152" s="726"/>
      <c r="L152" s="726"/>
      <c r="M152" s="745"/>
      <c r="N152" s="729"/>
      <c r="O152" s="575"/>
      <c r="P152" s="201"/>
      <c r="Q152" s="201"/>
      <c r="R152" s="201"/>
      <c r="S152" s="201"/>
      <c r="T152" s="201"/>
      <c r="U152" s="201"/>
      <c r="V152" s="201"/>
      <c r="W152" s="201"/>
      <c r="X152" s="201"/>
      <c r="Y152" s="201"/>
      <c r="Z152" s="202"/>
    </row>
    <row r="153" spans="1:26" ht="30" customHeight="1" thickBot="1" x14ac:dyDescent="0.35">
      <c r="A153" s="1510" t="s">
        <v>622</v>
      </c>
      <c r="B153" s="761" t="s">
        <v>1286</v>
      </c>
      <c r="C153" s="746">
        <f>COUNTIFS($A$5:$A$129,"2023",$L$5:$L$129,"PDOT.PI.OE4.M2.01")</f>
        <v>2</v>
      </c>
      <c r="D153" s="747">
        <v>65400</v>
      </c>
      <c r="E153" s="747">
        <f>COUNTIFS($A$5:$A$129,"2024",$L$5:$L$129,"PDOT.PI.OE4.M2.01")</f>
        <v>9</v>
      </c>
      <c r="F153" s="747">
        <v>107200</v>
      </c>
      <c r="G153" s="590"/>
      <c r="H153" s="590"/>
      <c r="I153" s="733"/>
      <c r="J153" s="733"/>
      <c r="K153" s="731"/>
      <c r="L153" s="731"/>
      <c r="M153" s="744"/>
      <c r="N153" s="734"/>
      <c r="O153" s="576"/>
      <c r="P153" s="203"/>
      <c r="Q153" s="203"/>
      <c r="R153" s="203"/>
      <c r="S153" s="203"/>
      <c r="T153" s="203"/>
      <c r="U153" s="203"/>
      <c r="V153" s="203"/>
      <c r="W153" s="203"/>
      <c r="X153" s="203"/>
      <c r="Y153" s="203"/>
      <c r="Z153" s="204"/>
    </row>
    <row r="154" spans="1:26" ht="30" customHeight="1" thickBot="1" x14ac:dyDescent="0.35">
      <c r="A154" s="766" t="s">
        <v>463</v>
      </c>
      <c r="B154" s="763" t="s">
        <v>1411</v>
      </c>
      <c r="C154" s="751">
        <f>COUNTIFS($A$5:$A$129,"2023",$L$5:$L$129,"PDOT.EP.OE5.M1.01")</f>
        <v>0</v>
      </c>
      <c r="D154" s="752">
        <v>35101.31</v>
      </c>
      <c r="E154" s="752">
        <f>COUNTIFS($A$5:$A$129,"2024",$L$5:$L$129,"PDOT.EP.OE5.M1.01")</f>
        <v>1</v>
      </c>
      <c r="F154" s="752">
        <v>0</v>
      </c>
      <c r="G154" s="604"/>
      <c r="H154" s="604"/>
      <c r="I154" s="753"/>
      <c r="J154" s="753"/>
      <c r="K154" s="750"/>
      <c r="L154" s="750"/>
      <c r="M154" s="754"/>
      <c r="N154" s="755"/>
      <c r="O154" s="577"/>
      <c r="P154" s="205"/>
      <c r="Q154" s="205"/>
      <c r="R154" s="205"/>
      <c r="S154" s="205"/>
      <c r="T154" s="205"/>
      <c r="U154" s="205"/>
      <c r="V154" s="205"/>
      <c r="W154" s="205"/>
      <c r="X154" s="205"/>
      <c r="Y154" s="205"/>
      <c r="Z154" s="206"/>
    </row>
    <row r="155" spans="1:26" ht="15" customHeight="1" thickTop="1" x14ac:dyDescent="0.3">
      <c r="A155" s="36"/>
      <c r="B155" s="36"/>
      <c r="C155" s="36"/>
      <c r="D155" s="36"/>
      <c r="E155" s="36"/>
      <c r="F155" s="37"/>
      <c r="G155" s="38"/>
      <c r="H155" s="38"/>
      <c r="I155" s="39"/>
      <c r="J155" s="39"/>
      <c r="K155" s="36"/>
      <c r="L155" s="36"/>
      <c r="M155" s="38"/>
      <c r="N155" s="36"/>
    </row>
    <row r="156" spans="1:26" ht="15" customHeight="1" x14ac:dyDescent="0.3">
      <c r="A156" s="36"/>
      <c r="B156" s="36"/>
      <c r="C156" s="36"/>
      <c r="D156" s="36"/>
      <c r="E156" s="36"/>
      <c r="F156" s="37"/>
      <c r="G156" s="38"/>
      <c r="H156" s="38"/>
      <c r="I156" s="39"/>
      <c r="J156" s="39"/>
      <c r="K156" s="36"/>
      <c r="L156" s="36"/>
      <c r="M156" s="38"/>
      <c r="N156" s="36"/>
    </row>
    <row r="157" spans="1:26" ht="15" customHeight="1" x14ac:dyDescent="0.3">
      <c r="A157" s="36"/>
      <c r="B157" s="36"/>
      <c r="C157" s="36"/>
      <c r="D157" s="36"/>
      <c r="E157" s="36"/>
      <c r="F157" s="37"/>
      <c r="G157" s="38"/>
      <c r="H157" s="38"/>
      <c r="I157" s="39"/>
      <c r="J157" s="39"/>
      <c r="K157" s="36"/>
      <c r="L157" s="36"/>
      <c r="M157" s="38"/>
      <c r="N157" s="36"/>
    </row>
    <row r="158" spans="1:26" ht="15" customHeight="1" x14ac:dyDescent="0.3">
      <c r="A158" s="36"/>
      <c r="B158" s="36"/>
      <c r="C158" s="36"/>
      <c r="D158" s="36"/>
      <c r="E158" s="36"/>
      <c r="F158" s="37"/>
      <c r="G158" s="38"/>
      <c r="H158" s="38"/>
      <c r="I158" s="39"/>
      <c r="J158" s="39"/>
      <c r="K158" s="36"/>
      <c r="L158" s="36"/>
      <c r="M158" s="38"/>
      <c r="N158" s="36"/>
    </row>
    <row r="159" spans="1:26" ht="15" customHeight="1" x14ac:dyDescent="0.3">
      <c r="A159" s="36"/>
      <c r="B159" s="36"/>
      <c r="C159" s="36"/>
      <c r="D159" s="36"/>
      <c r="E159" s="36"/>
      <c r="F159" s="37"/>
      <c r="G159" s="38"/>
      <c r="H159" s="38"/>
      <c r="I159" s="39"/>
      <c r="J159" s="39"/>
      <c r="K159" s="36"/>
      <c r="L159" s="36"/>
      <c r="M159" s="38"/>
      <c r="N159" s="36"/>
    </row>
    <row r="160" spans="1:26" ht="15" customHeight="1" x14ac:dyDescent="0.3">
      <c r="A160" s="36"/>
      <c r="B160" s="36"/>
      <c r="C160" s="36"/>
      <c r="D160" s="36"/>
      <c r="E160" s="36"/>
      <c r="F160" s="37"/>
      <c r="G160" s="38"/>
      <c r="H160" s="38"/>
      <c r="I160" s="39"/>
      <c r="J160" s="39"/>
      <c r="K160" s="36"/>
      <c r="L160" s="36"/>
      <c r="M160" s="38"/>
      <c r="N160" s="36"/>
    </row>
    <row r="161" spans="1:14" ht="15" customHeight="1" x14ac:dyDescent="0.3">
      <c r="A161" s="36"/>
      <c r="B161" s="36"/>
      <c r="C161" s="36"/>
      <c r="D161" s="36"/>
      <c r="E161" s="36"/>
      <c r="F161" s="37"/>
      <c r="G161" s="38"/>
      <c r="H161" s="38"/>
      <c r="I161" s="39"/>
      <c r="J161" s="39"/>
      <c r="K161" s="36"/>
      <c r="L161" s="36"/>
      <c r="M161" s="38"/>
      <c r="N161" s="36"/>
    </row>
    <row r="162" spans="1:14" ht="15" customHeight="1" x14ac:dyDescent="0.3">
      <c r="A162" s="36"/>
      <c r="B162" s="36"/>
      <c r="C162" s="36"/>
      <c r="D162" s="36"/>
      <c r="E162" s="36"/>
      <c r="F162" s="37"/>
      <c r="G162" s="38"/>
      <c r="H162" s="38"/>
      <c r="I162" s="39"/>
      <c r="J162" s="39"/>
      <c r="K162" s="36"/>
      <c r="L162" s="36"/>
      <c r="M162" s="38"/>
      <c r="N162" s="36"/>
    </row>
    <row r="163" spans="1:14" ht="15" customHeight="1" x14ac:dyDescent="0.3">
      <c r="A163" s="36"/>
      <c r="B163" s="36"/>
      <c r="C163" s="36"/>
      <c r="D163" s="36"/>
      <c r="E163" s="36"/>
      <c r="F163" s="37"/>
      <c r="G163" s="38"/>
      <c r="H163" s="38"/>
      <c r="I163" s="39"/>
      <c r="J163" s="39"/>
      <c r="K163" s="36"/>
      <c r="L163" s="36"/>
      <c r="M163" s="38"/>
      <c r="N163" s="36"/>
    </row>
    <row r="164" spans="1:14" ht="15" customHeight="1" x14ac:dyDescent="0.3">
      <c r="A164" s="36"/>
      <c r="B164" s="36"/>
      <c r="C164" s="36"/>
      <c r="D164" s="36"/>
      <c r="E164" s="36"/>
      <c r="F164" s="37"/>
      <c r="G164" s="38"/>
      <c r="H164" s="38"/>
      <c r="I164" s="39"/>
      <c r="J164" s="39"/>
      <c r="K164" s="36"/>
      <c r="L164" s="36"/>
      <c r="M164" s="38"/>
      <c r="N164" s="36"/>
    </row>
    <row r="165" spans="1:14" ht="15" customHeight="1" x14ac:dyDescent="0.3">
      <c r="A165" s="36"/>
      <c r="B165" s="36"/>
      <c r="C165" s="36"/>
      <c r="D165" s="36"/>
      <c r="E165" s="36"/>
      <c r="F165" s="37"/>
      <c r="G165" s="38"/>
      <c r="H165" s="38"/>
      <c r="I165" s="39"/>
      <c r="J165" s="39"/>
      <c r="K165" s="36"/>
      <c r="L165" s="36"/>
      <c r="M165" s="38"/>
      <c r="N165" s="36"/>
    </row>
    <row r="166" spans="1:14" ht="15" customHeight="1" x14ac:dyDescent="0.3">
      <c r="A166" s="36"/>
      <c r="B166" s="36"/>
      <c r="C166" s="36"/>
      <c r="D166" s="36"/>
      <c r="E166" s="36"/>
      <c r="F166" s="37"/>
      <c r="G166" s="38"/>
      <c r="H166" s="38"/>
      <c r="I166" s="39"/>
      <c r="J166" s="39"/>
      <c r="K166" s="36"/>
      <c r="L166" s="36"/>
      <c r="M166" s="38"/>
      <c r="N166" s="36"/>
    </row>
    <row r="167" spans="1:14" ht="15" customHeight="1" x14ac:dyDescent="0.3">
      <c r="A167" s="36"/>
      <c r="B167" s="36"/>
      <c r="C167" s="36"/>
      <c r="D167" s="36"/>
      <c r="E167" s="36"/>
      <c r="F167" s="37"/>
      <c r="G167" s="38"/>
      <c r="H167" s="38"/>
      <c r="I167" s="39"/>
      <c r="J167" s="39"/>
      <c r="K167" s="36"/>
      <c r="L167" s="36"/>
      <c r="M167" s="38"/>
      <c r="N167" s="36"/>
    </row>
    <row r="168" spans="1:14" ht="15" customHeight="1" x14ac:dyDescent="0.3">
      <c r="A168" s="36"/>
      <c r="B168" s="36"/>
      <c r="C168" s="36"/>
      <c r="D168" s="36"/>
      <c r="E168" s="36"/>
      <c r="F168" s="37"/>
      <c r="G168" s="38"/>
      <c r="H168" s="38"/>
      <c r="I168" s="39"/>
      <c r="J168" s="39"/>
      <c r="K168" s="36"/>
      <c r="L168" s="36"/>
      <c r="M168" s="38"/>
      <c r="N168" s="36"/>
    </row>
    <row r="169" spans="1:14" ht="15" customHeight="1" x14ac:dyDescent="0.3">
      <c r="A169" s="36"/>
      <c r="B169" s="36"/>
      <c r="C169" s="36"/>
      <c r="D169" s="36"/>
      <c r="E169" s="36"/>
      <c r="F169" s="37"/>
      <c r="G169" s="38"/>
      <c r="H169" s="38"/>
      <c r="I169" s="39"/>
      <c r="J169" s="39"/>
      <c r="K169" s="36"/>
      <c r="L169" s="36"/>
      <c r="M169" s="38"/>
      <c r="N169" s="36"/>
    </row>
    <row r="170" spans="1:14" ht="15" customHeight="1" x14ac:dyDescent="0.3">
      <c r="A170" s="36"/>
      <c r="B170" s="36"/>
      <c r="C170" s="36"/>
      <c r="D170" s="36"/>
      <c r="E170" s="36"/>
      <c r="F170" s="37"/>
      <c r="G170" s="38"/>
      <c r="H170" s="38"/>
      <c r="I170" s="39"/>
      <c r="J170" s="39"/>
      <c r="K170" s="36"/>
      <c r="L170" s="36"/>
      <c r="M170" s="38"/>
      <c r="N170" s="36"/>
    </row>
    <row r="171" spans="1:14" ht="15" customHeight="1" x14ac:dyDescent="0.3">
      <c r="A171" s="36"/>
      <c r="B171" s="36"/>
      <c r="C171" s="36"/>
      <c r="D171" s="36"/>
      <c r="E171" s="36"/>
      <c r="F171" s="37"/>
      <c r="G171" s="38"/>
      <c r="H171" s="38"/>
      <c r="I171" s="39"/>
      <c r="J171" s="39"/>
      <c r="K171" s="36"/>
      <c r="L171" s="36"/>
      <c r="M171" s="38"/>
      <c r="N171" s="36"/>
    </row>
    <row r="172" spans="1:14" ht="15" customHeight="1" x14ac:dyDescent="0.3">
      <c r="A172" s="36"/>
      <c r="B172" s="36"/>
      <c r="C172" s="36"/>
      <c r="D172" s="36"/>
      <c r="E172" s="36"/>
      <c r="F172" s="37"/>
      <c r="G172" s="38"/>
      <c r="H172" s="38"/>
      <c r="I172" s="39"/>
      <c r="J172" s="39"/>
      <c r="K172" s="36"/>
      <c r="L172" s="36"/>
      <c r="M172" s="38"/>
      <c r="N172" s="36"/>
    </row>
    <row r="173" spans="1:14" ht="15" customHeight="1" x14ac:dyDescent="0.3">
      <c r="A173" s="36"/>
      <c r="B173" s="36"/>
      <c r="C173" s="36"/>
      <c r="D173" s="36"/>
      <c r="E173" s="36"/>
      <c r="F173" s="37"/>
      <c r="G173" s="38"/>
      <c r="H173" s="38"/>
      <c r="I173" s="39"/>
      <c r="J173" s="39"/>
      <c r="K173" s="36"/>
      <c r="L173" s="36"/>
      <c r="M173" s="38"/>
      <c r="N173" s="36"/>
    </row>
    <row r="174" spans="1:14" ht="15" customHeight="1" x14ac:dyDescent="0.3">
      <c r="A174" s="36"/>
      <c r="B174" s="36"/>
      <c r="C174" s="36"/>
      <c r="D174" s="36"/>
      <c r="E174" s="36"/>
      <c r="F174" s="37"/>
      <c r="G174" s="38"/>
      <c r="H174" s="38"/>
      <c r="I174" s="39"/>
      <c r="J174" s="39"/>
      <c r="K174" s="36"/>
      <c r="L174" s="36"/>
      <c r="M174" s="38"/>
      <c r="N174" s="36"/>
    </row>
    <row r="175" spans="1:14" ht="15" customHeight="1" x14ac:dyDescent="0.3">
      <c r="A175" s="36"/>
      <c r="B175" s="36"/>
      <c r="C175" s="36"/>
      <c r="D175" s="36"/>
      <c r="E175" s="36"/>
      <c r="F175" s="37"/>
      <c r="G175" s="38"/>
      <c r="H175" s="38"/>
      <c r="I175" s="39"/>
      <c r="J175" s="39"/>
      <c r="K175" s="36"/>
      <c r="L175" s="36"/>
      <c r="M175" s="38"/>
      <c r="N175" s="36"/>
    </row>
    <row r="176" spans="1:14" ht="15" customHeight="1" x14ac:dyDescent="0.3">
      <c r="A176" s="36"/>
      <c r="B176" s="36"/>
      <c r="C176" s="36"/>
      <c r="D176" s="36"/>
      <c r="E176" s="36"/>
      <c r="F176" s="37"/>
      <c r="G176" s="38"/>
      <c r="H176" s="38"/>
      <c r="I176" s="39"/>
      <c r="J176" s="39"/>
      <c r="K176" s="36"/>
      <c r="L176" s="36"/>
      <c r="M176" s="38"/>
      <c r="N176" s="36"/>
    </row>
    <row r="177" spans="1:14" ht="15" customHeight="1" x14ac:dyDescent="0.3">
      <c r="A177" s="36"/>
      <c r="B177" s="36"/>
      <c r="C177" s="36"/>
      <c r="D177" s="36"/>
      <c r="E177" s="36"/>
      <c r="F177" s="37"/>
      <c r="G177" s="38"/>
      <c r="H177" s="38"/>
      <c r="I177" s="39"/>
      <c r="J177" s="39"/>
      <c r="K177" s="36"/>
      <c r="L177" s="36"/>
      <c r="M177" s="38"/>
      <c r="N177" s="36"/>
    </row>
    <row r="178" spans="1:14" ht="15" customHeight="1" x14ac:dyDescent="0.3">
      <c r="A178" s="36"/>
      <c r="B178" s="36"/>
      <c r="C178" s="36"/>
      <c r="D178" s="36"/>
      <c r="E178" s="36"/>
      <c r="F178" s="37"/>
      <c r="G178" s="38"/>
      <c r="H178" s="38"/>
      <c r="I178" s="39"/>
      <c r="J178" s="39"/>
      <c r="K178" s="36"/>
      <c r="L178" s="36"/>
      <c r="M178" s="38"/>
      <c r="N178" s="36"/>
    </row>
    <row r="179" spans="1:14" ht="15" customHeight="1" x14ac:dyDescent="0.3">
      <c r="A179" s="36"/>
      <c r="B179" s="36"/>
      <c r="C179" s="36"/>
      <c r="D179" s="36"/>
      <c r="E179" s="36"/>
      <c r="F179" s="37"/>
      <c r="G179" s="38"/>
      <c r="H179" s="38"/>
      <c r="I179" s="39"/>
      <c r="J179" s="39"/>
      <c r="K179" s="36"/>
      <c r="L179" s="36"/>
      <c r="M179" s="38"/>
      <c r="N179" s="36"/>
    </row>
    <row r="180" spans="1:14" ht="15" customHeight="1" x14ac:dyDescent="0.3">
      <c r="A180" s="36"/>
      <c r="B180" s="36"/>
      <c r="C180" s="36"/>
      <c r="D180" s="36"/>
      <c r="E180" s="36"/>
      <c r="F180" s="37"/>
      <c r="G180" s="38"/>
      <c r="H180" s="38"/>
      <c r="I180" s="39"/>
      <c r="J180" s="39"/>
      <c r="K180" s="36"/>
      <c r="L180" s="36"/>
      <c r="M180" s="38"/>
      <c r="N180" s="36"/>
    </row>
    <row r="181" spans="1:14" ht="15" customHeight="1" x14ac:dyDescent="0.3">
      <c r="A181" s="36"/>
      <c r="B181" s="36"/>
      <c r="C181" s="36"/>
      <c r="D181" s="36"/>
      <c r="E181" s="36"/>
      <c r="F181" s="37"/>
      <c r="G181" s="38"/>
      <c r="H181" s="38"/>
      <c r="I181" s="39"/>
      <c r="J181" s="39"/>
      <c r="K181" s="36"/>
      <c r="L181" s="36"/>
      <c r="M181" s="38"/>
      <c r="N181" s="36"/>
    </row>
    <row r="182" spans="1:14" ht="15" customHeight="1" x14ac:dyDescent="0.3">
      <c r="A182" s="36"/>
      <c r="B182" s="36"/>
      <c r="C182" s="36"/>
      <c r="D182" s="36"/>
      <c r="E182" s="36"/>
      <c r="F182" s="37"/>
      <c r="G182" s="38"/>
      <c r="H182" s="38"/>
      <c r="I182" s="39"/>
      <c r="J182" s="39"/>
      <c r="K182" s="36"/>
      <c r="L182" s="36"/>
      <c r="M182" s="38"/>
      <c r="N182" s="36"/>
    </row>
    <row r="183" spans="1:14" ht="15" customHeight="1" x14ac:dyDescent="0.3">
      <c r="A183" s="36"/>
      <c r="B183" s="36"/>
      <c r="C183" s="36"/>
      <c r="D183" s="36"/>
      <c r="E183" s="36"/>
      <c r="F183" s="37"/>
      <c r="G183" s="38"/>
      <c r="H183" s="38"/>
      <c r="I183" s="39"/>
      <c r="J183" s="39"/>
      <c r="K183" s="36"/>
      <c r="L183" s="36"/>
      <c r="M183" s="38"/>
      <c r="N183" s="36"/>
    </row>
    <row r="184" spans="1:14" ht="15" customHeight="1" x14ac:dyDescent="0.3">
      <c r="A184" s="36"/>
      <c r="B184" s="36"/>
      <c r="C184" s="36"/>
      <c r="D184" s="36"/>
      <c r="E184" s="36"/>
      <c r="F184" s="37"/>
      <c r="G184" s="38"/>
      <c r="H184" s="38"/>
      <c r="I184" s="39"/>
      <c r="J184" s="39"/>
      <c r="K184" s="36"/>
      <c r="L184" s="36"/>
      <c r="M184" s="38"/>
      <c r="N184" s="36"/>
    </row>
    <row r="185" spans="1:14" ht="15" customHeight="1" x14ac:dyDescent="0.3">
      <c r="A185" s="36"/>
      <c r="B185" s="36"/>
      <c r="C185" s="36"/>
      <c r="D185" s="36"/>
      <c r="E185" s="36"/>
      <c r="F185" s="37"/>
      <c r="G185" s="38"/>
      <c r="H185" s="38"/>
      <c r="I185" s="39"/>
      <c r="J185" s="39"/>
      <c r="K185" s="36"/>
      <c r="L185" s="36"/>
      <c r="M185" s="38"/>
      <c r="N185" s="36"/>
    </row>
    <row r="186" spans="1:14" ht="15" customHeight="1" x14ac:dyDescent="0.3">
      <c r="A186" s="36"/>
      <c r="B186" s="36"/>
      <c r="C186" s="36"/>
      <c r="D186" s="36"/>
      <c r="E186" s="36"/>
      <c r="F186" s="37"/>
      <c r="G186" s="38"/>
      <c r="H186" s="38"/>
      <c r="I186" s="39"/>
      <c r="J186" s="39"/>
      <c r="K186" s="36"/>
      <c r="L186" s="36"/>
      <c r="M186" s="38"/>
      <c r="N186" s="36"/>
    </row>
    <row r="187" spans="1:14" ht="15" customHeight="1" x14ac:dyDescent="0.3">
      <c r="A187" s="36"/>
      <c r="B187" s="36"/>
      <c r="C187" s="36"/>
      <c r="D187" s="36"/>
      <c r="E187" s="36"/>
      <c r="F187" s="37"/>
      <c r="G187" s="38"/>
      <c r="H187" s="38"/>
      <c r="I187" s="39"/>
      <c r="J187" s="39"/>
      <c r="K187" s="36"/>
      <c r="L187" s="36"/>
      <c r="M187" s="38"/>
      <c r="N187" s="36"/>
    </row>
    <row r="188" spans="1:14" ht="15" customHeight="1" x14ac:dyDescent="0.3">
      <c r="A188" s="36"/>
      <c r="B188" s="36"/>
      <c r="C188" s="36"/>
      <c r="D188" s="36"/>
      <c r="E188" s="36"/>
      <c r="F188" s="37"/>
      <c r="G188" s="38"/>
      <c r="H188" s="38"/>
      <c r="I188" s="39"/>
      <c r="J188" s="39"/>
      <c r="K188" s="36"/>
      <c r="L188" s="36"/>
      <c r="M188" s="38"/>
      <c r="N188" s="36"/>
    </row>
    <row r="189" spans="1:14" ht="15" customHeight="1" x14ac:dyDescent="0.3">
      <c r="A189" s="36"/>
      <c r="B189" s="36"/>
      <c r="C189" s="36"/>
      <c r="D189" s="36"/>
      <c r="E189" s="36"/>
      <c r="F189" s="37"/>
      <c r="G189" s="38"/>
      <c r="H189" s="38"/>
      <c r="I189" s="39"/>
      <c r="J189" s="39"/>
      <c r="K189" s="36"/>
      <c r="L189" s="36"/>
      <c r="M189" s="38"/>
      <c r="N189" s="36"/>
    </row>
    <row r="190" spans="1:14" ht="15" customHeight="1" x14ac:dyDescent="0.3">
      <c r="A190" s="36"/>
      <c r="B190" s="36"/>
      <c r="C190" s="36"/>
      <c r="D190" s="36"/>
      <c r="E190" s="36"/>
      <c r="F190" s="37"/>
      <c r="G190" s="38"/>
      <c r="H190" s="38"/>
      <c r="I190" s="39"/>
      <c r="J190" s="39"/>
      <c r="K190" s="36"/>
      <c r="L190" s="36"/>
      <c r="M190" s="38"/>
      <c r="N190" s="36"/>
    </row>
    <row r="191" spans="1:14" ht="15" customHeight="1" x14ac:dyDescent="0.3">
      <c r="A191" s="36"/>
      <c r="B191" s="36"/>
      <c r="C191" s="36"/>
      <c r="D191" s="36"/>
      <c r="E191" s="36"/>
      <c r="F191" s="37"/>
      <c r="G191" s="38"/>
      <c r="H191" s="38"/>
      <c r="I191" s="39"/>
      <c r="J191" s="39"/>
      <c r="K191" s="36"/>
      <c r="L191" s="36"/>
      <c r="M191" s="38"/>
      <c r="N191" s="36"/>
    </row>
    <row r="192" spans="1:14" ht="15" customHeight="1" x14ac:dyDescent="0.3">
      <c r="A192" s="36"/>
      <c r="B192" s="36"/>
      <c r="C192" s="36"/>
      <c r="D192" s="36"/>
      <c r="E192" s="36"/>
      <c r="F192" s="37"/>
      <c r="G192" s="38"/>
      <c r="H192" s="38"/>
      <c r="I192" s="39"/>
      <c r="J192" s="39"/>
      <c r="K192" s="36"/>
      <c r="L192" s="36"/>
      <c r="M192" s="38"/>
      <c r="N192" s="36"/>
    </row>
    <row r="193" spans="1:14" ht="15" customHeight="1" x14ac:dyDescent="0.3">
      <c r="A193" s="36"/>
      <c r="B193" s="36"/>
      <c r="C193" s="36"/>
      <c r="D193" s="36"/>
      <c r="E193" s="36"/>
      <c r="F193" s="37"/>
      <c r="G193" s="38"/>
      <c r="H193" s="38"/>
      <c r="I193" s="39"/>
      <c r="J193" s="39"/>
      <c r="K193" s="36"/>
      <c r="L193" s="36"/>
      <c r="M193" s="38"/>
      <c r="N193" s="36"/>
    </row>
    <row r="194" spans="1:14" ht="15" customHeight="1" x14ac:dyDescent="0.3">
      <c r="A194" s="36"/>
      <c r="B194" s="36"/>
      <c r="C194" s="36"/>
      <c r="D194" s="36"/>
      <c r="E194" s="36"/>
      <c r="F194" s="37"/>
      <c r="G194" s="38"/>
      <c r="H194" s="38"/>
      <c r="I194" s="39"/>
      <c r="J194" s="39"/>
      <c r="K194" s="36"/>
      <c r="L194" s="36"/>
      <c r="M194" s="38"/>
      <c r="N194" s="36"/>
    </row>
    <row r="195" spans="1:14" ht="15" customHeight="1" x14ac:dyDescent="0.3">
      <c r="A195" s="36"/>
      <c r="B195" s="36"/>
      <c r="C195" s="36"/>
      <c r="D195" s="36"/>
      <c r="E195" s="36"/>
      <c r="F195" s="37"/>
      <c r="G195" s="38"/>
      <c r="H195" s="38"/>
      <c r="I195" s="39"/>
      <c r="J195" s="39"/>
      <c r="K195" s="36"/>
      <c r="L195" s="36"/>
      <c r="M195" s="38"/>
      <c r="N195" s="36"/>
    </row>
    <row r="196" spans="1:14" ht="15" customHeight="1" x14ac:dyDescent="0.3">
      <c r="A196" s="36"/>
      <c r="B196" s="36"/>
      <c r="C196" s="36"/>
      <c r="D196" s="36"/>
      <c r="E196" s="36"/>
      <c r="F196" s="37"/>
      <c r="G196" s="38"/>
      <c r="H196" s="38"/>
      <c r="I196" s="39"/>
      <c r="J196" s="39"/>
      <c r="K196" s="36"/>
      <c r="L196" s="36"/>
      <c r="M196" s="38"/>
      <c r="N196" s="36"/>
    </row>
    <row r="197" spans="1:14" ht="15" customHeight="1" x14ac:dyDescent="0.3">
      <c r="A197" s="36"/>
      <c r="B197" s="36"/>
      <c r="C197" s="36"/>
      <c r="D197" s="36"/>
      <c r="E197" s="36"/>
      <c r="F197" s="37"/>
      <c r="G197" s="38"/>
      <c r="H197" s="38"/>
      <c r="I197" s="39"/>
      <c r="J197" s="39"/>
      <c r="K197" s="36"/>
      <c r="L197" s="36"/>
      <c r="M197" s="38"/>
      <c r="N197" s="36"/>
    </row>
    <row r="198" spans="1:14" ht="15" customHeight="1" x14ac:dyDescent="0.3">
      <c r="A198" s="36"/>
      <c r="B198" s="36"/>
      <c r="C198" s="36"/>
      <c r="D198" s="36"/>
      <c r="E198" s="36"/>
      <c r="F198" s="37"/>
      <c r="G198" s="38"/>
      <c r="H198" s="38"/>
      <c r="I198" s="39"/>
      <c r="J198" s="39"/>
      <c r="K198" s="36"/>
      <c r="L198" s="36"/>
      <c r="M198" s="38"/>
      <c r="N198" s="36"/>
    </row>
    <row r="199" spans="1:14" ht="15" customHeight="1" x14ac:dyDescent="0.3">
      <c r="A199" s="36"/>
      <c r="B199" s="36"/>
      <c r="C199" s="36"/>
      <c r="D199" s="36"/>
      <c r="E199" s="36"/>
      <c r="F199" s="37"/>
      <c r="G199" s="38"/>
      <c r="H199" s="38"/>
      <c r="I199" s="39"/>
      <c r="J199" s="39"/>
      <c r="K199" s="36"/>
      <c r="L199" s="36"/>
      <c r="M199" s="38"/>
      <c r="N199" s="36"/>
    </row>
    <row r="200" spans="1:14" ht="15" customHeight="1" x14ac:dyDescent="0.3">
      <c r="A200" s="36"/>
      <c r="B200" s="36"/>
      <c r="C200" s="36"/>
      <c r="D200" s="36"/>
      <c r="E200" s="36"/>
      <c r="F200" s="37"/>
      <c r="G200" s="38"/>
      <c r="H200" s="38"/>
      <c r="I200" s="39"/>
      <c r="J200" s="39"/>
      <c r="K200" s="36"/>
      <c r="L200" s="36"/>
      <c r="M200" s="38"/>
      <c r="N200" s="36"/>
    </row>
    <row r="201" spans="1:14" ht="15" customHeight="1" x14ac:dyDescent="0.3">
      <c r="A201" s="36"/>
      <c r="B201" s="36"/>
      <c r="C201" s="36"/>
      <c r="D201" s="36"/>
      <c r="E201" s="36"/>
      <c r="F201" s="37"/>
      <c r="G201" s="38"/>
      <c r="H201" s="38"/>
      <c r="I201" s="39"/>
      <c r="J201" s="39"/>
      <c r="K201" s="36"/>
      <c r="L201" s="36"/>
      <c r="M201" s="38"/>
      <c r="N201" s="36"/>
    </row>
  </sheetData>
  <mergeCells count="5">
    <mergeCell ref="A3:N3"/>
    <mergeCell ref="A133:N133"/>
    <mergeCell ref="A131:H131"/>
    <mergeCell ref="A132:H132"/>
    <mergeCell ref="A1:L1"/>
  </mergeCells>
  <hyperlinks>
    <hyperlink ref="Z1" location="'M-INDEX'!A1" tooltip="Volver al Índice Principal" display="⌂ ÍNDICE" xr:uid="{D570DA77-5A25-4A61-BB64-A1CAB0B68E44}"/>
  </hyperlink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CE4D6"/>
  </sheetPr>
  <dimension ref="A1:AA31"/>
  <sheetViews>
    <sheetView showGridLines="0" zoomScale="75" zoomScaleNormal="75" workbookViewId="0">
      <pane ySplit="4" topLeftCell="A16" activePane="bottomLeft" state="frozen"/>
      <selection pane="bottomLeft" sqref="A1:Z1"/>
    </sheetView>
  </sheetViews>
  <sheetFormatPr baseColWidth="10" defaultRowHeight="14.4" x14ac:dyDescent="0.3"/>
  <cols>
    <col min="1" max="1" width="5.21875" customWidth="1"/>
    <col min="2" max="2" width="17.5546875" customWidth="1"/>
    <col min="3" max="4" width="10.21875" customWidth="1"/>
    <col min="5" max="5" width="8.33203125" customWidth="1"/>
    <col min="6" max="6" width="9.21875" customWidth="1"/>
    <col min="7" max="7" width="13" customWidth="1"/>
    <col min="8" max="8" width="13.88671875" customWidth="1"/>
    <col min="9" max="9" width="9.21875" customWidth="1"/>
    <col min="10" max="10" width="10.21875" customWidth="1"/>
    <col min="11" max="11" width="14.77734375" customWidth="1"/>
    <col min="12" max="12" width="9.21875" customWidth="1"/>
    <col min="13" max="24" width="16.6640625" customWidth="1"/>
    <col min="25" max="25" width="14.6640625" bestFit="1" customWidth="1"/>
    <col min="26" max="26" width="10.6640625" bestFit="1" customWidth="1"/>
  </cols>
  <sheetData>
    <row r="1" spans="1:27" ht="28.05" customHeight="1" thickBot="1" x14ac:dyDescent="0.35">
      <c r="A1" s="1918" t="s">
        <v>4774</v>
      </c>
      <c r="B1" s="1793"/>
      <c r="C1" s="1793"/>
      <c r="D1" s="1793"/>
      <c r="E1" s="1793"/>
      <c r="F1" s="1793"/>
      <c r="G1" s="1793"/>
      <c r="H1" s="1793"/>
      <c r="I1" s="1793"/>
      <c r="J1" s="1793"/>
      <c r="K1" s="1793"/>
      <c r="L1" s="1793"/>
      <c r="M1" s="207"/>
      <c r="N1" s="207"/>
      <c r="O1" s="207"/>
      <c r="P1" s="207"/>
      <c r="Q1" s="207"/>
      <c r="R1" s="207"/>
      <c r="S1" s="207"/>
      <c r="T1" s="207"/>
      <c r="U1" s="207"/>
      <c r="V1" s="207"/>
      <c r="W1" s="207"/>
      <c r="X1" s="207"/>
      <c r="Y1" s="331" t="str">
        <f>HYPERLINK("#'RESULTADOS'!A1","RESULTADOS  ›")</f>
        <v>RESULTADOS  ›</v>
      </c>
      <c r="Z1" s="332" t="s">
        <v>4300</v>
      </c>
      <c r="AA1" s="14"/>
    </row>
    <row r="2" spans="1:27" ht="19.95" customHeight="1" thickBot="1" x14ac:dyDescent="0.35">
      <c r="A2" s="472" t="str">
        <f>HYPERLINK("#'M-INDEX'!A1","⌂ INDICE")</f>
        <v>⌂ INDICE</v>
      </c>
      <c r="B2" s="472" t="str">
        <f>HYPERLINK("#'M1-ITME'!A1","M1")</f>
        <v>M1</v>
      </c>
      <c r="C2" s="472" t="str">
        <f>HYPERLINK("#'M2-PDOT'!A1","M2")</f>
        <v>M2</v>
      </c>
      <c r="D2" s="472" t="str">
        <f>HYPERLINK("#'M3-MAO'!A1","M3")</f>
        <v>M3</v>
      </c>
      <c r="E2" s="472" t="str">
        <f>HYPERLINK("#'M4-AUDIT'!A1","M4")</f>
        <v>M4</v>
      </c>
      <c r="F2" s="472" t="str">
        <f>HYPERLINK("#'M5-ICPI'!A1","◉ M5-ICPI")</f>
        <v>◉ M5-ICPI</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338"/>
      <c r="N2" s="338"/>
      <c r="O2" s="338"/>
      <c r="P2" s="338"/>
      <c r="Q2" s="338"/>
      <c r="R2" s="338"/>
      <c r="S2" s="338"/>
      <c r="T2" s="338"/>
      <c r="U2" s="338"/>
      <c r="V2" s="338"/>
      <c r="W2" s="338"/>
      <c r="X2" s="338"/>
      <c r="Y2" s="338"/>
      <c r="Z2" s="338"/>
      <c r="AA2" s="12"/>
    </row>
    <row r="3" spans="1:27" ht="16.05" customHeight="1" thickTop="1" thickBot="1" x14ac:dyDescent="0.35">
      <c r="A3" s="1791" t="s">
        <v>661</v>
      </c>
      <c r="B3" s="1733"/>
      <c r="C3" s="1733"/>
      <c r="D3" s="1733"/>
      <c r="E3" s="1733"/>
      <c r="F3" s="1733"/>
      <c r="G3" s="1733"/>
      <c r="H3" s="1733"/>
      <c r="I3" s="1733"/>
      <c r="J3" s="1733"/>
      <c r="K3" s="1733"/>
      <c r="L3" s="1734"/>
      <c r="M3" s="1792"/>
      <c r="N3" s="1792"/>
      <c r="O3" s="1792"/>
      <c r="P3" s="1792"/>
      <c r="Q3" s="1792"/>
      <c r="R3" s="1792"/>
      <c r="S3" s="1792"/>
      <c r="T3" s="1792"/>
      <c r="U3" s="1792"/>
      <c r="V3" s="1792"/>
      <c r="W3" s="1792"/>
      <c r="X3" s="1792"/>
      <c r="Y3" s="1792"/>
      <c r="Z3" s="1792"/>
      <c r="AA3" s="8"/>
    </row>
    <row r="4" spans="1:27" ht="30" customHeight="1" thickTop="1" x14ac:dyDescent="0.3">
      <c r="A4" s="610" t="s">
        <v>662</v>
      </c>
      <c r="B4" s="606" t="s">
        <v>28</v>
      </c>
      <c r="C4" s="584" t="s">
        <v>3895</v>
      </c>
      <c r="D4" s="584" t="s">
        <v>4351</v>
      </c>
      <c r="E4" s="584" t="s">
        <v>4352</v>
      </c>
      <c r="F4" s="584" t="s">
        <v>4353</v>
      </c>
      <c r="G4" s="584" t="s">
        <v>1426</v>
      </c>
      <c r="H4" s="584" t="s">
        <v>4354</v>
      </c>
      <c r="I4" s="584" t="s">
        <v>866</v>
      </c>
      <c r="J4" s="584" t="s">
        <v>4355</v>
      </c>
      <c r="K4" s="584" t="s">
        <v>926</v>
      </c>
      <c r="L4" s="613" t="s">
        <v>927</v>
      </c>
      <c r="M4" s="392"/>
      <c r="N4" s="111"/>
      <c r="O4" s="111"/>
      <c r="P4" s="111"/>
      <c r="Q4" s="111"/>
      <c r="R4" s="111"/>
      <c r="S4" s="111"/>
      <c r="T4" s="111"/>
      <c r="U4" s="111"/>
      <c r="V4" s="111"/>
      <c r="W4" s="111"/>
      <c r="X4" s="111"/>
      <c r="Y4" s="111"/>
      <c r="Z4" s="111"/>
      <c r="AA4" s="59"/>
    </row>
    <row r="5" spans="1:27" ht="31.95" customHeight="1" x14ac:dyDescent="0.3">
      <c r="A5" s="920" t="str">
        <f>'M2-PDOT'!B4</f>
        <v>PDOT.AS.VL.M1.01</v>
      </c>
      <c r="B5" s="794" t="str">
        <f>'M2-PDOT'!C4</f>
        <v>Asentamientos Humanos</v>
      </c>
      <c r="C5" s="784">
        <f>'M2-PLAN-Pi'!F14</f>
        <v>0.3315584274613419</v>
      </c>
      <c r="D5" s="785">
        <f>'DATA-TFR'!F5</f>
        <v>1</v>
      </c>
      <c r="E5" s="785">
        <f>IFERROR(VLOOKUP(A5,'M4-AUDIT'!$A$5:$P$24,MATCH("Vi",'M4-AUDIT'!$A$4:$P$4,0),0),0)</f>
        <v>1</v>
      </c>
      <c r="F5" s="786">
        <f>IFERROR(VLOOKUP(A5,'M4-AUDIT'!$A$5:$P$24,MATCH("Ti (H)",'M4-AUDIT'!$A$4:$P$4,0),0),0)</f>
        <v>0.25</v>
      </c>
      <c r="G5" s="784">
        <f t="shared" ref="G5:G24" si="0">C5*D5*E5*F5*I5</f>
        <v>8.2889606865335475E-2</v>
      </c>
      <c r="H5" s="784">
        <f t="shared" ref="H5:H24" si="1">C5*D5</f>
        <v>0.3315584274613419</v>
      </c>
      <c r="I5" s="787">
        <f>IFERROR(VLOOKUP(A5,'M4-AUDIT'!$A$5:$P$24,MATCH("Pi / Ci",'M4-AUDIT'!$A$4:$P$4,0),0),0.75)</f>
        <v>1</v>
      </c>
      <c r="J5" s="674" t="str">
        <f t="shared" ref="J5:J24" si="2">IF(E5=0,"⬛ Vi=0 SIN EVIDENCIA",IF(F5&gt;=0.85,"🔵",IF(F5&gt;=0.7,"🟢",IF(F5&gt;=0.4,"🟠",IF(F5&gt;=0.2,"🔴","⬛")))))</f>
        <v>🔴</v>
      </c>
      <c r="K5" s="674"/>
      <c r="L5" s="788"/>
      <c r="M5" s="393"/>
      <c r="N5" s="112"/>
      <c r="O5" s="112"/>
      <c r="P5" s="112"/>
      <c r="Q5" s="112"/>
      <c r="R5" s="112"/>
      <c r="S5" s="112"/>
      <c r="T5" s="112"/>
      <c r="U5" s="112"/>
      <c r="V5" s="112"/>
      <c r="W5" s="112"/>
      <c r="X5" s="112"/>
      <c r="Y5" s="112"/>
      <c r="Z5" s="112"/>
      <c r="AA5" s="49"/>
    </row>
    <row r="6" spans="1:27" s="11" customFormat="1" ht="31.95" customHeight="1" x14ac:dyDescent="0.3">
      <c r="A6" s="658" t="str">
        <f>'M2-PDOT'!B5</f>
        <v>PDOT.SC.OE2.M1.01</v>
      </c>
      <c r="B6" s="657" t="str">
        <f>'M2-PDOT'!C5</f>
        <v>Socio Cultural</v>
      </c>
      <c r="C6" s="789">
        <f>'M2-PLAN-Pi'!F15</f>
        <v>0.17737919272791763</v>
      </c>
      <c r="D6" s="790">
        <f>'DATA-TFR'!F6</f>
        <v>1.5</v>
      </c>
      <c r="E6" s="791">
        <f>IFERROR(VLOOKUP(A6,'M4-AUDIT'!$A$5:$P$24,MATCH("Vi",'M4-AUDIT'!$A$4:$P$4,0),0),0)</f>
        <v>1</v>
      </c>
      <c r="F6" s="792">
        <f>IFERROR(VLOOKUP(A6,'M4-AUDIT'!$A$5:$P$24,MATCH("Ti (H)",'M4-AUDIT'!$A$4:$P$4,0),0),0)</f>
        <v>0.65</v>
      </c>
      <c r="G6" s="789">
        <f t="shared" si="0"/>
        <v>0.15565024161874774</v>
      </c>
      <c r="H6" s="789">
        <f t="shared" si="1"/>
        <v>0.26606878909187648</v>
      </c>
      <c r="I6" s="793">
        <f>IFERROR(VLOOKUP(A6,'M4-AUDIT'!$A$5:$P$24,MATCH("Pi / Ci",'M4-AUDIT'!$A$4:$P$4,0),0),0.75)</f>
        <v>0.9</v>
      </c>
      <c r="J6" s="651" t="str">
        <f t="shared" si="2"/>
        <v>🟠</v>
      </c>
      <c r="K6" s="651"/>
      <c r="L6" s="653"/>
      <c r="M6" s="394"/>
      <c r="N6" s="208"/>
      <c r="O6" s="208"/>
      <c r="P6" s="208"/>
      <c r="Q6" s="208"/>
      <c r="R6" s="208"/>
      <c r="S6" s="208"/>
      <c r="T6" s="208"/>
      <c r="U6" s="208"/>
      <c r="V6" s="208"/>
      <c r="W6" s="208"/>
      <c r="X6" s="208"/>
      <c r="Y6" s="208"/>
      <c r="Z6" s="208"/>
      <c r="AA6" s="53"/>
    </row>
    <row r="7" spans="1:27" s="11" customFormat="1" ht="31.95" customHeight="1" x14ac:dyDescent="0.3">
      <c r="A7" s="920" t="str">
        <f>'M2-PDOT'!B6</f>
        <v>PDOT.AM.OE3.M2.01</v>
      </c>
      <c r="B7" s="636" t="str">
        <f>'M2-PDOT'!C6</f>
        <v>Ambiental</v>
      </c>
      <c r="C7" s="648">
        <f>'M2-PLAN-Pi'!F16</f>
        <v>0.152251843537762</v>
      </c>
      <c r="D7" s="649">
        <f>'DATA-TFR'!F7</f>
        <v>1</v>
      </c>
      <c r="E7" s="785">
        <f>IFERROR(VLOOKUP(A7,'M4-AUDIT'!$A$5:$P$24,MATCH("Vi",'M4-AUDIT'!$A$4:$P$4,0),0),0)</f>
        <v>1</v>
      </c>
      <c r="F7" s="786">
        <f>IFERROR(VLOOKUP(A7,'M4-AUDIT'!$A$5:$P$24,MATCH("Ti (H)",'M4-AUDIT'!$A$4:$P$4,0),0),0)</f>
        <v>0.75</v>
      </c>
      <c r="G7" s="648">
        <f t="shared" si="0"/>
        <v>8.5641661989991125E-2</v>
      </c>
      <c r="H7" s="648">
        <f t="shared" si="1"/>
        <v>0.152251843537762</v>
      </c>
      <c r="I7" s="787">
        <f>IFERROR(VLOOKUP(A7,'M4-AUDIT'!$A$5:$P$24,MATCH("Pi / Ci",'M4-AUDIT'!$A$4:$P$4,0),0),0.75)</f>
        <v>0.75</v>
      </c>
      <c r="J7" s="614" t="str">
        <f t="shared" si="2"/>
        <v>🟢</v>
      </c>
      <c r="K7" s="614"/>
      <c r="L7" s="650"/>
      <c r="M7" s="395"/>
      <c r="N7" s="113"/>
      <c r="O7" s="113"/>
      <c r="P7" s="113"/>
      <c r="Q7" s="113"/>
      <c r="R7" s="113"/>
      <c r="S7" s="113"/>
      <c r="T7" s="113"/>
      <c r="U7" s="113"/>
      <c r="V7" s="113"/>
      <c r="W7" s="113"/>
      <c r="X7" s="113"/>
      <c r="Y7" s="113"/>
      <c r="Z7" s="113"/>
      <c r="AA7" s="53"/>
    </row>
    <row r="8" spans="1:27" s="11" customFormat="1" ht="31.95" customHeight="1" x14ac:dyDescent="0.3">
      <c r="A8" s="658" t="str">
        <f>'M2-PDOT'!B7</f>
        <v>PDOT.AS.OE1.M2.01</v>
      </c>
      <c r="B8" s="657" t="str">
        <f>'M2-PDOT'!C7</f>
        <v>Asentamientos Humanos</v>
      </c>
      <c r="C8" s="789">
        <f>'M2-PLAN-Pi'!F17</f>
        <v>5.1556595872029501E-2</v>
      </c>
      <c r="D8" s="790">
        <f>'DATA-TFR'!F8</f>
        <v>1</v>
      </c>
      <c r="E8" s="791">
        <f>IFERROR(VLOOKUP(A8,'M4-AUDIT'!$A$5:$P$24,MATCH("Vi",'M4-AUDIT'!$A$4:$P$4,0),0),0)</f>
        <v>0</v>
      </c>
      <c r="F8" s="792">
        <f>IFERROR(VLOOKUP(A8,'M4-AUDIT'!$A$5:$P$24,MATCH("Ti (H)",'M4-AUDIT'!$A$4:$P$4,0),0),0)</f>
        <v>0.1</v>
      </c>
      <c r="G8" s="789">
        <f t="shared" si="0"/>
        <v>0</v>
      </c>
      <c r="H8" s="789">
        <f t="shared" si="1"/>
        <v>5.1556595872029501E-2</v>
      </c>
      <c r="I8" s="793">
        <f>IFERROR(VLOOKUP(A8,'M4-AUDIT'!$A$5:$P$24,MATCH("Pi / Ci",'M4-AUDIT'!$A$4:$P$4,0),0),0.75)</f>
        <v>1</v>
      </c>
      <c r="J8" s="651" t="str">
        <f t="shared" si="2"/>
        <v>⬛ Vi=0 SIN EVIDENCIA</v>
      </c>
      <c r="K8" s="651"/>
      <c r="L8" s="653"/>
      <c r="M8" s="394"/>
      <c r="N8" s="208"/>
      <c r="O8" s="208"/>
      <c r="P8" s="208"/>
      <c r="Q8" s="208"/>
      <c r="R8" s="208"/>
      <c r="S8" s="208"/>
      <c r="T8" s="208"/>
      <c r="U8" s="208"/>
      <c r="V8" s="208"/>
      <c r="W8" s="208"/>
      <c r="X8" s="208"/>
      <c r="Y8" s="208"/>
      <c r="Z8" s="208"/>
      <c r="AA8" s="53"/>
    </row>
    <row r="9" spans="1:27" s="11" customFormat="1" ht="31.95" customHeight="1" x14ac:dyDescent="0.3">
      <c r="A9" s="920" t="str">
        <f>'M2-PDOT'!B8</f>
        <v>PDOT.SC.OE2.M4.01</v>
      </c>
      <c r="B9" s="636" t="str">
        <f>'M2-PDOT'!C8</f>
        <v>Socio Cultural</v>
      </c>
      <c r="C9" s="648">
        <f>'M2-PLAN-Pi'!F18</f>
        <v>4.903830362803583E-2</v>
      </c>
      <c r="D9" s="649">
        <f>'DATA-TFR'!F9</f>
        <v>1</v>
      </c>
      <c r="E9" s="785">
        <f>IFERROR(VLOOKUP(A9,'M4-AUDIT'!$A$5:$P$24,MATCH("Vi",'M4-AUDIT'!$A$4:$P$4,0),0),0)</f>
        <v>1</v>
      </c>
      <c r="F9" s="786">
        <f>IFERROR(VLOOKUP(A9,'M4-AUDIT'!$A$5:$P$24,MATCH("Ti (H)",'M4-AUDIT'!$A$4:$P$4,0),0),0)</f>
        <v>0.2</v>
      </c>
      <c r="G9" s="648">
        <f t="shared" si="0"/>
        <v>8.8268946530464503E-3</v>
      </c>
      <c r="H9" s="648">
        <f t="shared" si="1"/>
        <v>4.903830362803583E-2</v>
      </c>
      <c r="I9" s="787">
        <f>IFERROR(VLOOKUP(A9,'M4-AUDIT'!$A$5:$P$24,MATCH("Pi / Ci",'M4-AUDIT'!$A$4:$P$4,0),0),0.75)</f>
        <v>0.9</v>
      </c>
      <c r="J9" s="614" t="str">
        <f t="shared" si="2"/>
        <v>🔴</v>
      </c>
      <c r="K9" s="614"/>
      <c r="L9" s="650"/>
      <c r="M9" s="395"/>
      <c r="N9" s="113"/>
      <c r="O9" s="113"/>
      <c r="P9" s="113"/>
      <c r="Q9" s="113"/>
      <c r="R9" s="113"/>
      <c r="S9" s="113"/>
      <c r="T9" s="113"/>
      <c r="U9" s="113"/>
      <c r="V9" s="113"/>
      <c r="W9" s="113"/>
      <c r="X9" s="113"/>
      <c r="Y9" s="113"/>
      <c r="Z9" s="113"/>
      <c r="AA9" s="53"/>
    </row>
    <row r="10" spans="1:27" s="11" customFormat="1" ht="31.95" customHeight="1" x14ac:dyDescent="0.3">
      <c r="A10" s="658" t="str">
        <f>'M2-PDOT'!B9</f>
        <v>PDOT.AS.OE1.M1.02</v>
      </c>
      <c r="B10" s="657" t="str">
        <f>'M2-PDOT'!C9</f>
        <v>Asentamientos Humanos</v>
      </c>
      <c r="C10" s="789">
        <f>'M2-PLAN-Pi'!F19</f>
        <v>3.8652515641453306E-2</v>
      </c>
      <c r="D10" s="790">
        <f>'DATA-TFR'!F10</f>
        <v>1.5</v>
      </c>
      <c r="E10" s="791">
        <f>IFERROR(VLOOKUP(A10,'M4-AUDIT'!$A$5:$P$24,MATCH("Vi",'M4-AUDIT'!$A$4:$P$4,0),0),0)</f>
        <v>0</v>
      </c>
      <c r="F10" s="792">
        <f>IFERROR(VLOOKUP(A10,'M4-AUDIT'!$A$5:$P$24,MATCH("Ti (H)",'M4-AUDIT'!$A$4:$P$4,0),0),0)</f>
        <v>0</v>
      </c>
      <c r="G10" s="789">
        <f t="shared" si="0"/>
        <v>0</v>
      </c>
      <c r="H10" s="789">
        <f t="shared" si="1"/>
        <v>5.7978773462179958E-2</v>
      </c>
      <c r="I10" s="793">
        <f>IFERROR(VLOOKUP(A10,'M4-AUDIT'!$A$5:$P$24,MATCH("Pi / Ci",'M4-AUDIT'!$A$4:$P$4,0),0),0.75)</f>
        <v>1</v>
      </c>
      <c r="J10" s="651" t="str">
        <f t="shared" si="2"/>
        <v>⬛ Vi=0 SIN EVIDENCIA</v>
      </c>
      <c r="K10" s="651"/>
      <c r="L10" s="653"/>
      <c r="M10" s="394"/>
      <c r="N10" s="208"/>
      <c r="O10" s="208"/>
      <c r="P10" s="208"/>
      <c r="Q10" s="208"/>
      <c r="R10" s="208"/>
      <c r="S10" s="208"/>
      <c r="T10" s="208"/>
      <c r="U10" s="208"/>
      <c r="V10" s="208"/>
      <c r="W10" s="208"/>
      <c r="X10" s="208"/>
      <c r="Y10" s="208"/>
      <c r="Z10" s="208"/>
      <c r="AA10" s="53"/>
    </row>
    <row r="11" spans="1:27" s="11" customFormat="1" ht="31.95" customHeight="1" x14ac:dyDescent="0.3">
      <c r="A11" s="920" t="str">
        <f>'M2-PDOT'!B10</f>
        <v>PDOT.PI.OE4.M1.01</v>
      </c>
      <c r="B11" s="636" t="str">
        <f>'M2-PDOT'!C10</f>
        <v>Político Institucional</v>
      </c>
      <c r="C11" s="648">
        <f>'M2-PLAN-Pi'!F20</f>
        <v>3.7123041954043229E-2</v>
      </c>
      <c r="D11" s="649">
        <f>'DATA-TFR'!F11</f>
        <v>0.5</v>
      </c>
      <c r="E11" s="785">
        <f>IFERROR(VLOOKUP(A11,'M4-AUDIT'!$A$5:$P$24,MATCH("Vi",'M4-AUDIT'!$A$4:$P$4,0),0),0)</f>
        <v>1</v>
      </c>
      <c r="F11" s="786">
        <f>IFERROR(VLOOKUP(A11,'M4-AUDIT'!$A$5:$P$24,MATCH("Ti (H)",'M4-AUDIT'!$A$4:$P$4,0),0),0)</f>
        <v>1</v>
      </c>
      <c r="G11" s="648">
        <f t="shared" si="0"/>
        <v>1.8561520977021614E-2</v>
      </c>
      <c r="H11" s="648">
        <f t="shared" si="1"/>
        <v>1.8561520977021614E-2</v>
      </c>
      <c r="I11" s="787">
        <f>IFERROR(VLOOKUP(A11,'M4-AUDIT'!$A$5:$P$24,MATCH("Pi / Ci",'M4-AUDIT'!$A$4:$P$4,0),0),0.75)</f>
        <v>1</v>
      </c>
      <c r="J11" s="614" t="str">
        <f t="shared" si="2"/>
        <v>🔵</v>
      </c>
      <c r="K11" s="614"/>
      <c r="L11" s="650"/>
      <c r="M11" s="395"/>
      <c r="N11" s="113"/>
      <c r="O11" s="113"/>
      <c r="P11" s="113"/>
      <c r="Q11" s="113"/>
      <c r="R11" s="113"/>
      <c r="S11" s="113"/>
      <c r="T11" s="113"/>
      <c r="U11" s="113"/>
      <c r="V11" s="113"/>
      <c r="W11" s="113"/>
      <c r="X11" s="113"/>
      <c r="Y11" s="113"/>
      <c r="Z11" s="113"/>
      <c r="AA11" s="53"/>
    </row>
    <row r="12" spans="1:27" s="11" customFormat="1" ht="31.95" customHeight="1" x14ac:dyDescent="0.3">
      <c r="A12" s="658" t="str">
        <f>'M2-PDOT'!B11</f>
        <v>PDOT.AV.OE1.M1.01</v>
      </c>
      <c r="B12" s="657" t="str">
        <f>'M2-PDOT'!C11</f>
        <v>Asentamientos Humanos</v>
      </c>
      <c r="C12" s="789">
        <f>'M2-PLAN-Pi'!F21</f>
        <v>2.7234952877998854E-2</v>
      </c>
      <c r="D12" s="790">
        <f>'DATA-TFR'!F12</f>
        <v>1</v>
      </c>
      <c r="E12" s="791">
        <f>IFERROR(VLOOKUP(A12,'M4-AUDIT'!$A$5:$P$24,MATCH("Vi",'M4-AUDIT'!$A$4:$P$4,0),0),0)</f>
        <v>1</v>
      </c>
      <c r="F12" s="792">
        <f>IFERROR(VLOOKUP(A12,'M4-AUDIT'!$A$5:$P$24,MATCH("Ti (H)",'M4-AUDIT'!$A$4:$P$4,0),0),0)</f>
        <v>0.9</v>
      </c>
      <c r="G12" s="789">
        <f t="shared" si="0"/>
        <v>2.451145759019897E-2</v>
      </c>
      <c r="H12" s="789">
        <f t="shared" si="1"/>
        <v>2.7234952877998854E-2</v>
      </c>
      <c r="I12" s="793">
        <f>IFERROR(VLOOKUP(A12,'M4-AUDIT'!$A$5:$P$24,MATCH("Pi / Ci",'M4-AUDIT'!$A$4:$P$4,0),0),0.75)</f>
        <v>1</v>
      </c>
      <c r="J12" s="651" t="str">
        <f t="shared" si="2"/>
        <v>🔵</v>
      </c>
      <c r="K12" s="651"/>
      <c r="L12" s="653"/>
      <c r="M12" s="394"/>
      <c r="N12" s="208"/>
      <c r="O12" s="208"/>
      <c r="P12" s="208"/>
      <c r="Q12" s="208"/>
      <c r="R12" s="208"/>
      <c r="S12" s="208"/>
      <c r="T12" s="208"/>
      <c r="U12" s="208"/>
      <c r="V12" s="208"/>
      <c r="W12" s="208"/>
      <c r="X12" s="208"/>
      <c r="Y12" s="208"/>
      <c r="Z12" s="208"/>
      <c r="AA12" s="53"/>
    </row>
    <row r="13" spans="1:27" s="11" customFormat="1" ht="31.95" customHeight="1" x14ac:dyDescent="0.3">
      <c r="A13" s="920" t="str">
        <f>'M2-PDOT'!B12</f>
        <v>PDOT.AM.OE3.M1.01</v>
      </c>
      <c r="B13" s="636" t="str">
        <f>'M2-PDOT'!C12</f>
        <v>Ambiental</v>
      </c>
      <c r="C13" s="648">
        <f>'M2-PLAN-Pi'!F22</f>
        <v>2.5568272837705033E-2</v>
      </c>
      <c r="D13" s="649">
        <f>'DATA-TFR'!F13</f>
        <v>1.5</v>
      </c>
      <c r="E13" s="785">
        <f>IFERROR(VLOOKUP(A13,'M4-AUDIT'!$A$5:$P$24,MATCH("Vi",'M4-AUDIT'!$A$4:$P$4,0),0),0)</f>
        <v>0</v>
      </c>
      <c r="F13" s="786">
        <f>IFERROR(VLOOKUP(A13,'M4-AUDIT'!$A$5:$P$24,MATCH("Ti (H)",'M4-AUDIT'!$A$4:$P$4,0),0),0)</f>
        <v>0.3</v>
      </c>
      <c r="G13" s="648">
        <f t="shared" si="0"/>
        <v>0</v>
      </c>
      <c r="H13" s="648">
        <f t="shared" si="1"/>
        <v>3.835240925655755E-2</v>
      </c>
      <c r="I13" s="787">
        <f>IFERROR(VLOOKUP(A13,'M4-AUDIT'!$A$5:$P$24,MATCH("Pi / Ci",'M4-AUDIT'!$A$4:$P$4,0),0),0.75)</f>
        <v>1</v>
      </c>
      <c r="J13" s="614" t="str">
        <f t="shared" si="2"/>
        <v>⬛ Vi=0 SIN EVIDENCIA</v>
      </c>
      <c r="K13" s="614"/>
      <c r="L13" s="650"/>
      <c r="M13" s="395"/>
      <c r="N13" s="113"/>
      <c r="O13" s="113"/>
      <c r="P13" s="113"/>
      <c r="Q13" s="113"/>
      <c r="R13" s="113"/>
      <c r="S13" s="113"/>
      <c r="T13" s="113"/>
      <c r="U13" s="113"/>
      <c r="V13" s="113"/>
      <c r="W13" s="113"/>
      <c r="X13" s="113"/>
      <c r="Y13" s="113"/>
      <c r="Z13" s="113"/>
      <c r="AA13" s="53"/>
    </row>
    <row r="14" spans="1:27" s="11" customFormat="1" ht="31.95" customHeight="1" x14ac:dyDescent="0.3">
      <c r="A14" s="658" t="str">
        <f>'M2-PDOT'!B13</f>
        <v>PDOT.FA.OE4.AH.02</v>
      </c>
      <c r="B14" s="657" t="str">
        <f>'M2-PDOT'!C13</f>
        <v>Físico Ambiental</v>
      </c>
      <c r="C14" s="789">
        <f>'M2-PLAN-Pi'!F23</f>
        <v>2.2791758387949959E-2</v>
      </c>
      <c r="D14" s="790">
        <f>'DATA-TFR'!F14</f>
        <v>1</v>
      </c>
      <c r="E14" s="791">
        <f>IFERROR(VLOOKUP(A14,'M4-AUDIT'!$A$5:$P$24,MATCH("Vi",'M4-AUDIT'!$A$4:$P$4,0),0),0)</f>
        <v>1</v>
      </c>
      <c r="F14" s="792">
        <f>IFERROR(VLOOKUP(A14,'M4-AUDIT'!$A$5:$P$24,MATCH("Ti (H)",'M4-AUDIT'!$A$4:$P$4,0),0),0)</f>
        <v>0.4</v>
      </c>
      <c r="G14" s="789">
        <f t="shared" si="0"/>
        <v>9.1167033551799847E-3</v>
      </c>
      <c r="H14" s="789">
        <f t="shared" si="1"/>
        <v>2.2791758387949959E-2</v>
      </c>
      <c r="I14" s="793">
        <f>IFERROR(VLOOKUP(A14,'M4-AUDIT'!$A$5:$P$24,MATCH("Pi / Ci",'M4-AUDIT'!$A$4:$P$4,0),0),0.75)</f>
        <v>1</v>
      </c>
      <c r="J14" s="651" t="str">
        <f t="shared" si="2"/>
        <v>🟠</v>
      </c>
      <c r="K14" s="651"/>
      <c r="L14" s="653"/>
      <c r="M14" s="394"/>
      <c r="N14" s="208"/>
      <c r="O14" s="208"/>
      <c r="P14" s="208"/>
      <c r="Q14" s="208"/>
      <c r="R14" s="208"/>
      <c r="S14" s="208"/>
      <c r="T14" s="208"/>
      <c r="U14" s="208"/>
      <c r="V14" s="208"/>
      <c r="W14" s="208"/>
      <c r="X14" s="208"/>
      <c r="Y14" s="208"/>
      <c r="Z14" s="208"/>
      <c r="AA14" s="53"/>
    </row>
    <row r="15" spans="1:27" s="11" customFormat="1" ht="31.95" customHeight="1" x14ac:dyDescent="0.3">
      <c r="A15" s="920" t="str">
        <f>'M2-PDOT'!B14</f>
        <v>PDOT.FA.OE1.PV.01</v>
      </c>
      <c r="B15" s="636" t="str">
        <f>'M2-PDOT'!C14</f>
        <v>Físico Ambiental</v>
      </c>
      <c r="C15" s="648">
        <f>'M2-PLAN-Pi'!F24</f>
        <v>1.8567422225707814E-2</v>
      </c>
      <c r="D15" s="649">
        <f>'DATA-TFR'!F15</f>
        <v>0.5</v>
      </c>
      <c r="E15" s="785">
        <f>IFERROR(VLOOKUP(A15,'M4-AUDIT'!$A$5:$P$24,MATCH("Vi",'M4-AUDIT'!$A$4:$P$4,0),0),0)</f>
        <v>1</v>
      </c>
      <c r="F15" s="786">
        <f>IFERROR(VLOOKUP(A15,'M4-AUDIT'!$A$5:$P$24,MATCH("Ti (H)",'M4-AUDIT'!$A$4:$P$4,0),0),0)</f>
        <v>0.5</v>
      </c>
      <c r="G15" s="648">
        <f t="shared" si="0"/>
        <v>4.6418555564269534E-3</v>
      </c>
      <c r="H15" s="648">
        <f t="shared" si="1"/>
        <v>9.2837111128539068E-3</v>
      </c>
      <c r="I15" s="787">
        <f>IFERROR(VLOOKUP(A15,'M4-AUDIT'!$A$5:$P$24,MATCH("Pi / Ci",'M4-AUDIT'!$A$4:$P$4,0),0),0.75)</f>
        <v>1</v>
      </c>
      <c r="J15" s="614" t="str">
        <f t="shared" si="2"/>
        <v>🟠</v>
      </c>
      <c r="K15" s="614"/>
      <c r="L15" s="650"/>
      <c r="M15" s="395"/>
      <c r="N15" s="113"/>
      <c r="O15" s="113"/>
      <c r="P15" s="113"/>
      <c r="Q15" s="113"/>
      <c r="R15" s="113"/>
      <c r="S15" s="113"/>
      <c r="T15" s="113"/>
      <c r="U15" s="113"/>
      <c r="V15" s="113"/>
      <c r="W15" s="113"/>
      <c r="X15" s="113"/>
      <c r="Y15" s="113"/>
      <c r="Z15" s="113"/>
      <c r="AA15" s="53"/>
    </row>
    <row r="16" spans="1:27" s="11" customFormat="1" ht="31.95" customHeight="1" x14ac:dyDescent="0.3">
      <c r="A16" s="658" t="str">
        <f>'M2-PDOT'!B15</f>
        <v>PDOT.PI.OE4.M2.01</v>
      </c>
      <c r="B16" s="657" t="str">
        <f>'M2-PDOT'!C15</f>
        <v>Político Institucional</v>
      </c>
      <c r="C16" s="789">
        <f>'M2-PLAN-Pi'!F25</f>
        <v>1.8292145981963669E-2</v>
      </c>
      <c r="D16" s="790">
        <f>'DATA-TFR'!F16</f>
        <v>0.5</v>
      </c>
      <c r="E16" s="791">
        <f>IFERROR(VLOOKUP(A16,'M4-AUDIT'!$A$5:$P$24,MATCH("Vi",'M4-AUDIT'!$A$4:$P$4,0),0),0)</f>
        <v>0</v>
      </c>
      <c r="F16" s="792">
        <f>IFERROR(VLOOKUP(A16,'M4-AUDIT'!$A$5:$P$24,MATCH("Ti (H)",'M4-AUDIT'!$A$4:$P$4,0),0),0)</f>
        <v>0</v>
      </c>
      <c r="G16" s="789">
        <f t="shared" si="0"/>
        <v>0</v>
      </c>
      <c r="H16" s="789">
        <f t="shared" si="1"/>
        <v>9.1460729909818347E-3</v>
      </c>
      <c r="I16" s="793">
        <f>IFERROR(VLOOKUP(A16,'M4-AUDIT'!$A$5:$P$24,MATCH("Pi / Ci",'M4-AUDIT'!$A$4:$P$4,0),0),0.75)</f>
        <v>1</v>
      </c>
      <c r="J16" s="651" t="str">
        <f t="shared" si="2"/>
        <v>⬛ Vi=0 SIN EVIDENCIA</v>
      </c>
      <c r="K16" s="651"/>
      <c r="L16" s="653"/>
      <c r="M16" s="394"/>
      <c r="N16" s="208"/>
      <c r="O16" s="208"/>
      <c r="P16" s="208"/>
      <c r="Q16" s="208"/>
      <c r="R16" s="208"/>
      <c r="S16" s="208"/>
      <c r="T16" s="208"/>
      <c r="U16" s="208"/>
      <c r="V16" s="208"/>
      <c r="W16" s="208"/>
      <c r="X16" s="208"/>
      <c r="Y16" s="208"/>
      <c r="Z16" s="208"/>
      <c r="AA16" s="53"/>
    </row>
    <row r="17" spans="1:27" s="11" customFormat="1" ht="31.95" customHeight="1" x14ac:dyDescent="0.3">
      <c r="A17" s="920" t="str">
        <f>'M2-PDOT'!B16</f>
        <v>PDOT.PI.OE4.FI.01</v>
      </c>
      <c r="B17" s="636" t="str">
        <f>'M2-PDOT'!C16</f>
        <v>Político Institucional</v>
      </c>
      <c r="C17" s="648">
        <f>'M2-PLAN-Pi'!F26</f>
        <v>1.2570245641197094E-2</v>
      </c>
      <c r="D17" s="649">
        <f>'DATA-TFR'!F17</f>
        <v>0.5</v>
      </c>
      <c r="E17" s="785">
        <f>IFERROR(VLOOKUP(A17,'M4-AUDIT'!$A$5:$P$24,MATCH("Vi",'M4-AUDIT'!$A$4:$P$4,0),0),0)</f>
        <v>1</v>
      </c>
      <c r="F17" s="786">
        <f>IFERROR(VLOOKUP(A17,'M4-AUDIT'!$A$5:$P$24,MATCH("Ti (H)",'M4-AUDIT'!$A$4:$P$4,0),0),0)</f>
        <v>0.3</v>
      </c>
      <c r="G17" s="648">
        <f t="shared" si="0"/>
        <v>1.8855368461795641E-3</v>
      </c>
      <c r="H17" s="648">
        <f t="shared" si="1"/>
        <v>6.2851228205985472E-3</v>
      </c>
      <c r="I17" s="787">
        <f>IFERROR(VLOOKUP(A17,'M4-AUDIT'!$A$5:$P$24,MATCH("Pi / Ci",'M4-AUDIT'!$A$4:$P$4,0),0),0.75)</f>
        <v>1</v>
      </c>
      <c r="J17" s="614" t="str">
        <f t="shared" si="2"/>
        <v>🔴</v>
      </c>
      <c r="K17" s="614"/>
      <c r="L17" s="650"/>
      <c r="M17" s="395"/>
      <c r="N17" s="113"/>
      <c r="O17" s="113"/>
      <c r="P17" s="113"/>
      <c r="Q17" s="113"/>
      <c r="R17" s="113"/>
      <c r="S17" s="113"/>
      <c r="T17" s="113"/>
      <c r="U17" s="113"/>
      <c r="V17" s="113"/>
      <c r="W17" s="113"/>
      <c r="X17" s="113"/>
      <c r="Y17" s="113"/>
      <c r="Z17" s="113"/>
      <c r="AA17" s="53"/>
    </row>
    <row r="18" spans="1:27" s="11" customFormat="1" ht="31.95" customHeight="1" x14ac:dyDescent="0.3">
      <c r="A18" s="658" t="str">
        <f>'M2-PDOT'!B17</f>
        <v>PDOT.AS.VV.HB.01</v>
      </c>
      <c r="B18" s="657" t="str">
        <f>'M2-PDOT'!C17</f>
        <v>Asentamientos Humanos</v>
      </c>
      <c r="C18" s="789">
        <f>'M2-PLAN-Pi'!F27</f>
        <v>9.8620480945433697E-3</v>
      </c>
      <c r="D18" s="790">
        <f>'DATA-TFR'!F18</f>
        <v>1</v>
      </c>
      <c r="E18" s="791">
        <f>IFERROR(VLOOKUP(A18,'M4-AUDIT'!$A$5:$P$24,MATCH("Vi",'M4-AUDIT'!$A$4:$P$4,0),0),0)</f>
        <v>1</v>
      </c>
      <c r="F18" s="792">
        <f>IFERROR(VLOOKUP(A18,'M4-AUDIT'!$A$5:$P$24,MATCH("Ti (H)",'M4-AUDIT'!$A$4:$P$4,0),0),0)</f>
        <v>1</v>
      </c>
      <c r="G18" s="789">
        <f t="shared" si="0"/>
        <v>9.8620480945433697E-3</v>
      </c>
      <c r="H18" s="789">
        <f t="shared" si="1"/>
        <v>9.8620480945433697E-3</v>
      </c>
      <c r="I18" s="793">
        <f>IFERROR(VLOOKUP(A18,'M4-AUDIT'!$A$5:$P$24,MATCH("Pi / Ci",'M4-AUDIT'!$A$4:$P$4,0),0),0.75)</f>
        <v>1</v>
      </c>
      <c r="J18" s="651" t="str">
        <f t="shared" si="2"/>
        <v>🔵</v>
      </c>
      <c r="K18" s="651"/>
      <c r="L18" s="653"/>
      <c r="M18" s="394"/>
      <c r="N18" s="208"/>
      <c r="O18" s="208"/>
      <c r="P18" s="208"/>
      <c r="Q18" s="208"/>
      <c r="R18" s="208"/>
      <c r="S18" s="208"/>
      <c r="T18" s="208"/>
      <c r="U18" s="208"/>
      <c r="V18" s="208"/>
      <c r="W18" s="208"/>
      <c r="X18" s="208"/>
      <c r="Y18" s="208"/>
      <c r="Z18" s="208"/>
      <c r="AA18" s="53"/>
    </row>
    <row r="19" spans="1:27" s="11" customFormat="1" ht="31.95" customHeight="1" x14ac:dyDescent="0.3">
      <c r="A19" s="920" t="str">
        <f>'M2-PDOT'!B18</f>
        <v>PDOT.SC.PA.CP.01</v>
      </c>
      <c r="B19" s="636" t="str">
        <f>'M2-PDOT'!C18</f>
        <v>Socio Cultural</v>
      </c>
      <c r="C19" s="648">
        <f>'M2-PLAN-Pi'!F28</f>
        <v>8.6459571177000243E-3</v>
      </c>
      <c r="D19" s="649">
        <f>'DATA-TFR'!F19</f>
        <v>0.5</v>
      </c>
      <c r="E19" s="785">
        <f>IFERROR(VLOOKUP(A19,'M4-AUDIT'!$A$5:$P$24,MATCH("Vi",'M4-AUDIT'!$A$4:$P$4,0),0),0)</f>
        <v>0</v>
      </c>
      <c r="F19" s="786">
        <f>IFERROR(VLOOKUP(A19,'M4-AUDIT'!$A$5:$P$24,MATCH("Ti (H)",'M4-AUDIT'!$A$4:$P$4,0),0),0)</f>
        <v>0.2</v>
      </c>
      <c r="G19" s="648">
        <f t="shared" si="0"/>
        <v>0</v>
      </c>
      <c r="H19" s="648">
        <f t="shared" si="1"/>
        <v>4.3229785588500122E-3</v>
      </c>
      <c r="I19" s="787">
        <f>IFERROR(VLOOKUP(A19,'M4-AUDIT'!$A$5:$P$24,MATCH("Pi / Ci",'M4-AUDIT'!$A$4:$P$4,0),0),0.75)</f>
        <v>1</v>
      </c>
      <c r="J19" s="614" t="str">
        <f t="shared" si="2"/>
        <v>⬛ Vi=0 SIN EVIDENCIA</v>
      </c>
      <c r="K19" s="614"/>
      <c r="L19" s="650"/>
      <c r="M19" s="395"/>
      <c r="N19" s="113"/>
      <c r="O19" s="113"/>
      <c r="P19" s="113"/>
      <c r="Q19" s="113"/>
      <c r="R19" s="113"/>
      <c r="S19" s="113"/>
      <c r="T19" s="113"/>
      <c r="U19" s="113"/>
      <c r="V19" s="113"/>
      <c r="W19" s="113"/>
      <c r="X19" s="113"/>
      <c r="Y19" s="113"/>
      <c r="Z19" s="113"/>
      <c r="AA19" s="53"/>
    </row>
    <row r="20" spans="1:27" s="11" customFormat="1" ht="31.95" customHeight="1" x14ac:dyDescent="0.3">
      <c r="A20" s="658" t="str">
        <f>'M2-PDOT'!B19</f>
        <v>PDOT.EP.OE5.PD.01</v>
      </c>
      <c r="B20" s="657" t="str">
        <f>'M2-PDOT'!C19</f>
        <v>Económico Productivo</v>
      </c>
      <c r="C20" s="789">
        <f>'M2-PLAN-Pi'!F29</f>
        <v>3.3410244747549434E-3</v>
      </c>
      <c r="D20" s="790">
        <f>'DATA-TFR'!F20</f>
        <v>0.5</v>
      </c>
      <c r="E20" s="791">
        <f>IFERROR(VLOOKUP(A20,'M4-AUDIT'!$A$5:$P$24,MATCH("Vi",'M4-AUDIT'!$A$4:$P$4,0),0),0)</f>
        <v>1</v>
      </c>
      <c r="F20" s="792">
        <f>IFERROR(VLOOKUP(A20,'M4-AUDIT'!$A$5:$P$24,MATCH("Ti (H)",'M4-AUDIT'!$A$4:$P$4,0),0),0)</f>
        <v>0.7</v>
      </c>
      <c r="G20" s="789">
        <f t="shared" si="0"/>
        <v>1.1693585661642302E-3</v>
      </c>
      <c r="H20" s="789">
        <f t="shared" si="1"/>
        <v>1.6705122373774717E-3</v>
      </c>
      <c r="I20" s="793">
        <f>IFERROR(VLOOKUP(A20,'M4-AUDIT'!$A$5:$P$24,MATCH("Pi / Ci",'M4-AUDIT'!$A$4:$P$4,0),0),0.75)</f>
        <v>1</v>
      </c>
      <c r="J20" s="651" t="str">
        <f t="shared" si="2"/>
        <v>🟢</v>
      </c>
      <c r="K20" s="651"/>
      <c r="L20" s="653"/>
      <c r="M20" s="394"/>
      <c r="N20" s="208"/>
      <c r="O20" s="208"/>
      <c r="P20" s="208"/>
      <c r="Q20" s="208"/>
      <c r="R20" s="208"/>
      <c r="S20" s="208"/>
      <c r="T20" s="208"/>
      <c r="U20" s="208"/>
      <c r="V20" s="208"/>
      <c r="W20" s="208"/>
      <c r="X20" s="208"/>
      <c r="Y20" s="208"/>
      <c r="Z20" s="208"/>
      <c r="AA20" s="53"/>
    </row>
    <row r="21" spans="1:27" s="11" customFormat="1" ht="31.95" customHeight="1" x14ac:dyDescent="0.3">
      <c r="A21" s="920" t="str">
        <f>'M2-PDOT'!B20</f>
        <v>PDOT.SC.PA.CP.02</v>
      </c>
      <c r="B21" s="636" t="str">
        <f>'M2-PDOT'!C20</f>
        <v>Socio Cultural</v>
      </c>
      <c r="C21" s="648">
        <f>'M2-PLAN-Pi'!F30</f>
        <v>6.5260407845644242E-3</v>
      </c>
      <c r="D21" s="649">
        <f>'DATA-TFR'!F21</f>
        <v>0.5</v>
      </c>
      <c r="E21" s="785">
        <f>IFERROR(VLOOKUP(A21,'M4-AUDIT'!$A$5:$P$24,MATCH("Vi",'M4-AUDIT'!$A$4:$P$4,0),0),0)</f>
        <v>1</v>
      </c>
      <c r="F21" s="786">
        <f>IFERROR(VLOOKUP(A21,'M4-AUDIT'!$A$5:$P$24,MATCH("Ti (H)",'M4-AUDIT'!$A$4:$P$4,0),0),0)</f>
        <v>1</v>
      </c>
      <c r="G21" s="648">
        <f t="shared" si="0"/>
        <v>3.2630203922822121E-3</v>
      </c>
      <c r="H21" s="648">
        <f t="shared" si="1"/>
        <v>3.2630203922822121E-3</v>
      </c>
      <c r="I21" s="787">
        <f>IFERROR(VLOOKUP(A21,'M4-AUDIT'!$A$5:$P$24,MATCH("Pi / Ci",'M4-AUDIT'!$A$4:$P$4,0),0),0.75)</f>
        <v>1</v>
      </c>
      <c r="J21" s="614" t="str">
        <f t="shared" si="2"/>
        <v>🔵</v>
      </c>
      <c r="K21" s="614"/>
      <c r="L21" s="650"/>
      <c r="M21" s="395"/>
      <c r="N21" s="113"/>
      <c r="O21" s="113"/>
      <c r="P21" s="113"/>
      <c r="Q21" s="113"/>
      <c r="R21" s="113"/>
      <c r="S21" s="113"/>
      <c r="T21" s="113"/>
      <c r="U21" s="113"/>
      <c r="V21" s="113"/>
      <c r="W21" s="113"/>
      <c r="X21" s="113"/>
      <c r="Y21" s="113"/>
      <c r="Z21" s="113"/>
      <c r="AA21" s="53"/>
    </row>
    <row r="22" spans="1:27" s="11" customFormat="1" ht="31.95" customHeight="1" x14ac:dyDescent="0.3">
      <c r="A22" s="658" t="str">
        <f>'M2-PDOT'!B21</f>
        <v>PDOT.AS.VL.SV.01</v>
      </c>
      <c r="B22" s="657" t="str">
        <f>'M2-PDOT'!C21</f>
        <v>Asentamientos Humanos</v>
      </c>
      <c r="C22" s="789">
        <f>'M2-PLAN-Pi'!F31</f>
        <v>4.6570782668677018E-3</v>
      </c>
      <c r="D22" s="790">
        <f>'DATA-TFR'!F22</f>
        <v>1</v>
      </c>
      <c r="E22" s="791">
        <f>IFERROR(VLOOKUP(A22,'M4-AUDIT'!$A$5:$P$24,MATCH("Vi",'M4-AUDIT'!$A$4:$P$4,0),0),0)</f>
        <v>1</v>
      </c>
      <c r="F22" s="792">
        <f>IFERROR(VLOOKUP(A22,'M4-AUDIT'!$A$5:$P$24,MATCH("Ti (H)",'M4-AUDIT'!$A$4:$P$4,0),0),0)</f>
        <v>0.35</v>
      </c>
      <c r="G22" s="789">
        <f t="shared" si="0"/>
        <v>1.6299773934036956E-3</v>
      </c>
      <c r="H22" s="789">
        <f t="shared" si="1"/>
        <v>4.6570782668677018E-3</v>
      </c>
      <c r="I22" s="793">
        <f>IFERROR(VLOOKUP(A22,'M4-AUDIT'!$A$5:$P$24,MATCH("Pi / Ci",'M4-AUDIT'!$A$4:$P$4,0),0),0.75)</f>
        <v>1</v>
      </c>
      <c r="J22" s="651" t="str">
        <f t="shared" si="2"/>
        <v>🔴</v>
      </c>
      <c r="K22" s="651"/>
      <c r="L22" s="653"/>
      <c r="M22" s="394"/>
      <c r="N22" s="208"/>
      <c r="O22" s="208"/>
      <c r="P22" s="208"/>
      <c r="Q22" s="208"/>
      <c r="R22" s="208"/>
      <c r="S22" s="208"/>
      <c r="T22" s="208"/>
      <c r="U22" s="208"/>
      <c r="V22" s="208"/>
      <c r="W22" s="208"/>
      <c r="X22" s="208"/>
      <c r="Y22" s="208"/>
      <c r="Z22" s="208"/>
      <c r="AA22" s="53"/>
    </row>
    <row r="23" spans="1:27" s="11" customFormat="1" ht="31.95" customHeight="1" x14ac:dyDescent="0.3">
      <c r="A23" s="920" t="str">
        <f>'M2-PDOT'!B22</f>
        <v>PDOT.SC.OE2.M2.01</v>
      </c>
      <c r="B23" s="636" t="str">
        <f>'M2-PDOT'!C22</f>
        <v>Socio Cultural</v>
      </c>
      <c r="C23" s="648">
        <f>'M2-PLAN-Pi'!F32</f>
        <v>4.3831324864637197E-3</v>
      </c>
      <c r="D23" s="649">
        <f>'DATA-TFR'!F23</f>
        <v>1</v>
      </c>
      <c r="E23" s="785">
        <f>IFERROR(VLOOKUP(A23,'M4-AUDIT'!$A$5:$P$24,MATCH("Vi",'M4-AUDIT'!$A$4:$P$4,0),0),0)</f>
        <v>1</v>
      </c>
      <c r="F23" s="786">
        <f>IFERROR(VLOOKUP(A23,'M4-AUDIT'!$A$5:$P$24,MATCH("Ti (H)",'M4-AUDIT'!$A$4:$P$4,0),0),0)</f>
        <v>0.3</v>
      </c>
      <c r="G23" s="648">
        <f t="shared" si="0"/>
        <v>1.3149397459391158E-3</v>
      </c>
      <c r="H23" s="648">
        <f t="shared" si="1"/>
        <v>4.3831324864637197E-3</v>
      </c>
      <c r="I23" s="787">
        <f>IFERROR(VLOOKUP(A23,'M4-AUDIT'!$A$5:$P$24,MATCH("Pi / Ci",'M4-AUDIT'!$A$4:$P$4,0),0),0.75)</f>
        <v>1</v>
      </c>
      <c r="J23" s="614" t="str">
        <f t="shared" si="2"/>
        <v>🔴</v>
      </c>
      <c r="K23" s="614"/>
      <c r="L23" s="650"/>
      <c r="M23" s="395"/>
      <c r="N23" s="113"/>
      <c r="O23" s="113"/>
      <c r="P23" s="113"/>
      <c r="Q23" s="113"/>
      <c r="R23" s="113"/>
      <c r="S23" s="113"/>
      <c r="T23" s="113"/>
      <c r="U23" s="113"/>
      <c r="V23" s="113"/>
      <c r="W23" s="113"/>
      <c r="X23" s="113"/>
      <c r="Y23" s="113"/>
      <c r="Z23" s="113"/>
      <c r="AA23" s="53"/>
    </row>
    <row r="24" spans="1:27" s="11" customFormat="1" ht="31.95" customHeight="1" x14ac:dyDescent="0.3">
      <c r="A24" s="658" t="str">
        <f>'M2-PDOT'!B23</f>
        <v>PDOT.FA.OE2.MA.01</v>
      </c>
      <c r="B24" s="657">
        <f>'M2-PDOT'!C23</f>
        <v>0</v>
      </c>
      <c r="C24" s="789">
        <f>'M2-PLAN-Pi'!F33</f>
        <v>0</v>
      </c>
      <c r="D24" s="790">
        <f>'DATA-TFR'!F24</f>
        <v>0.5</v>
      </c>
      <c r="E24" s="791">
        <f>IFERROR(VLOOKUP(A24,'M4-AUDIT'!$A$5:$P$24,MATCH("Vi",'M4-AUDIT'!$A$4:$P$4,0),0),0)</f>
        <v>1</v>
      </c>
      <c r="F24" s="792">
        <f>IFERROR(VLOOKUP(A24,'M4-AUDIT'!$A$5:$P$24,MATCH("Ti (H)",'M4-AUDIT'!$A$4:$P$4,0),0),0)</f>
        <v>1</v>
      </c>
      <c r="G24" s="789">
        <f t="shared" si="0"/>
        <v>0</v>
      </c>
      <c r="H24" s="789">
        <f t="shared" si="1"/>
        <v>0</v>
      </c>
      <c r="I24" s="793">
        <f>IFERROR(VLOOKUP(A24,'M4-AUDIT'!$A$5:$P$24,MATCH("Pi / Ci",'M4-AUDIT'!$A$4:$P$4,0),0),0.75)</f>
        <v>1</v>
      </c>
      <c r="J24" s="651" t="str">
        <f t="shared" si="2"/>
        <v>🔵</v>
      </c>
      <c r="K24" s="651"/>
      <c r="L24" s="653"/>
      <c r="M24" s="395"/>
      <c r="N24" s="113"/>
      <c r="O24" s="113"/>
      <c r="P24" s="113"/>
      <c r="Q24" s="113"/>
      <c r="R24" s="113"/>
      <c r="S24" s="113"/>
      <c r="T24" s="113"/>
      <c r="U24" s="113"/>
      <c r="V24" s="113"/>
      <c r="W24" s="113"/>
      <c r="X24" s="113"/>
      <c r="Y24" s="113"/>
      <c r="Z24" s="113"/>
      <c r="AA24" s="53"/>
    </row>
    <row r="25" spans="1:27" s="11" customFormat="1" ht="25.95" customHeight="1" x14ac:dyDescent="0.3">
      <c r="A25" s="1556" t="s">
        <v>1427</v>
      </c>
      <c r="B25" s="1553" t="s">
        <v>660</v>
      </c>
      <c r="C25" s="1554"/>
      <c r="D25" s="1554"/>
      <c r="E25" s="1554"/>
      <c r="F25" s="1554"/>
      <c r="G25" s="1554">
        <f>IFERROR(SUM(G5:G24),0)</f>
        <v>0.40896482364446052</v>
      </c>
      <c r="H25" s="1554">
        <f>IFERROR(SUM(H5:H24),0)</f>
        <v>1.0682670515135724</v>
      </c>
      <c r="I25" s="1554"/>
      <c r="J25" s="1554"/>
      <c r="K25" s="1554"/>
      <c r="L25" s="1555"/>
      <c r="M25" s="396"/>
      <c r="N25" s="209"/>
      <c r="O25" s="209"/>
      <c r="P25" s="209"/>
      <c r="Q25" s="209"/>
      <c r="R25" s="209"/>
      <c r="S25" s="209"/>
      <c r="T25" s="209"/>
      <c r="U25" s="209"/>
      <c r="V25" s="209"/>
      <c r="W25" s="209"/>
      <c r="X25" s="209"/>
      <c r="Y25" s="209"/>
      <c r="Z25" s="209"/>
      <c r="AA25" s="53"/>
    </row>
    <row r="26" spans="1:27" s="11" customFormat="1" ht="18" customHeight="1" x14ac:dyDescent="0.3">
      <c r="A26" s="1610" t="s">
        <v>1428</v>
      </c>
      <c r="B26" s="1611"/>
      <c r="C26" s="1611"/>
      <c r="D26" s="1611"/>
      <c r="E26" s="1611"/>
      <c r="F26" s="1611"/>
      <c r="G26" s="1611"/>
      <c r="H26" s="1611"/>
      <c r="I26" s="1611"/>
      <c r="J26" s="1611"/>
      <c r="K26" s="1611"/>
      <c r="L26" s="1612"/>
      <c r="M26" s="397"/>
      <c r="N26" s="210"/>
      <c r="O26" s="209"/>
      <c r="P26" s="209"/>
      <c r="Q26" s="209"/>
      <c r="R26" s="209"/>
      <c r="S26" s="209"/>
      <c r="T26" s="209"/>
      <c r="U26" s="209"/>
      <c r="V26" s="209"/>
      <c r="W26" s="209"/>
      <c r="X26" s="209"/>
      <c r="Y26" s="209"/>
      <c r="Z26" s="209"/>
      <c r="AA26" s="53"/>
    </row>
    <row r="27" spans="1:27" s="11" customFormat="1" ht="19.95" customHeight="1" x14ac:dyDescent="0.3">
      <c r="A27" s="1519" t="s">
        <v>4356</v>
      </c>
      <c r="B27" s="1520"/>
      <c r="C27" s="1520"/>
      <c r="D27" s="1520"/>
      <c r="E27" s="1520"/>
      <c r="F27" s="1520"/>
      <c r="G27" s="1520"/>
      <c r="H27" s="1520"/>
      <c r="I27" s="1520"/>
      <c r="J27" s="1520"/>
      <c r="K27" s="1520"/>
      <c r="L27" s="1521"/>
      <c r="M27" s="398"/>
      <c r="N27" s="211"/>
      <c r="O27" s="209"/>
      <c r="P27" s="209"/>
      <c r="Q27" s="209"/>
      <c r="R27" s="209"/>
      <c r="S27" s="209"/>
      <c r="T27" s="209"/>
      <c r="U27" s="209"/>
      <c r="V27" s="209"/>
      <c r="W27" s="209"/>
      <c r="X27" s="209"/>
      <c r="Y27" s="209"/>
      <c r="Z27" s="209"/>
      <c r="AA27" s="53"/>
    </row>
    <row r="28" spans="1:27" s="11" customFormat="1" ht="31.95" customHeight="1" x14ac:dyDescent="0.3">
      <c r="A28" s="1939" t="s">
        <v>1429</v>
      </c>
      <c r="B28" s="1613"/>
      <c r="C28" s="1614"/>
      <c r="D28" s="1614"/>
      <c r="E28" s="1614"/>
      <c r="F28" s="1614"/>
      <c r="G28" s="1614"/>
      <c r="H28" s="1614"/>
      <c r="I28" s="1614"/>
      <c r="J28" s="1614"/>
      <c r="K28" s="1614"/>
      <c r="L28" s="1615"/>
      <c r="M28" s="399"/>
      <c r="N28" s="212"/>
      <c r="O28" s="209"/>
      <c r="P28" s="209"/>
      <c r="Q28" s="209"/>
      <c r="R28" s="209"/>
      <c r="S28" s="209"/>
      <c r="T28" s="209"/>
      <c r="U28" s="209"/>
      <c r="V28" s="209"/>
      <c r="W28" s="209"/>
      <c r="X28" s="209"/>
      <c r="Y28" s="209"/>
      <c r="Z28" s="209"/>
      <c r="AA28" s="53"/>
    </row>
    <row r="29" spans="1:27" s="11" customFormat="1" ht="34.049999999999997" customHeight="1" thickBot="1" x14ac:dyDescent="0.35">
      <c r="A29" s="1616" t="s">
        <v>1430</v>
      </c>
      <c r="B29" s="1617"/>
      <c r="C29" s="1617"/>
      <c r="D29" s="1617"/>
      <c r="E29" s="1617"/>
      <c r="F29" s="1617"/>
      <c r="G29" s="1617">
        <f>IFERROR(G25/H25*100,0)</f>
        <v>38.283013883562113</v>
      </c>
      <c r="H29" s="1617"/>
      <c r="I29" s="1617"/>
      <c r="J29" s="1617"/>
      <c r="K29" s="1617"/>
      <c r="L29" s="1618"/>
      <c r="M29" s="395"/>
      <c r="N29" s="113"/>
      <c r="O29" s="113"/>
      <c r="P29" s="113"/>
      <c r="Q29" s="113"/>
      <c r="R29" s="113"/>
      <c r="S29" s="113"/>
      <c r="T29" s="113"/>
      <c r="U29" s="113"/>
      <c r="V29" s="113"/>
      <c r="W29" s="113"/>
      <c r="X29" s="113"/>
      <c r="Y29" s="113"/>
      <c r="Z29" s="113"/>
      <c r="AA29" s="53"/>
    </row>
    <row r="30" spans="1:27" s="11" customFormat="1" ht="16.05" customHeight="1" thickTop="1" x14ac:dyDescent="0.3">
      <c r="A30" s="581"/>
      <c r="B30" s="1619" t="str">
        <f>"◈ ICPI = Σ(Pi × Ri × Vi × Ti × Ci) ÷ Σ(Pi × Ri) = "&amp;ROUND(G25,4)&amp;" ÷ "&amp;ROUND(H25,4)&amp;" = "&amp;TEXT(G29,"0,00")&amp;" % — n=20 metas §3.7"</f>
        <v>◈ ICPI = Σ(Pi × Ri × Vi × Ti × Ci) ÷ Σ(Pi × Ri) = 0,409 ÷ 1,0683 = 38,28 % — n=20 metas §3.7</v>
      </c>
      <c r="C30" s="582"/>
      <c r="D30" s="582"/>
      <c r="E30" s="582"/>
      <c r="F30" s="582"/>
      <c r="G30" s="582"/>
      <c r="H30" s="582"/>
      <c r="I30" s="582"/>
      <c r="J30" s="582"/>
      <c r="K30" s="582"/>
      <c r="L30" s="583"/>
      <c r="M30" s="400"/>
      <c r="N30" s="213"/>
      <c r="O30" s="213"/>
      <c r="P30" s="213"/>
      <c r="Q30" s="213"/>
      <c r="R30" s="213"/>
      <c r="S30" s="213"/>
      <c r="T30" s="213"/>
      <c r="U30" s="213"/>
      <c r="V30" s="213"/>
      <c r="W30" s="213"/>
      <c r="X30" s="213"/>
      <c r="Y30" s="213"/>
      <c r="Z30" s="214" t="s">
        <v>1431</v>
      </c>
      <c r="AA30" s="56"/>
    </row>
    <row r="31" spans="1:27" s="11" customFormat="1" ht="37.950000000000003" customHeight="1" x14ac:dyDescent="0.3"/>
  </sheetData>
  <mergeCells count="2">
    <mergeCell ref="A3:Z3"/>
    <mergeCell ref="A1:L1"/>
  </mergeCells>
  <conditionalFormatting sqref="G5:G24">
    <cfRule type="cellIs" dxfId="33" priority="1" operator="equal">
      <formula>0</formula>
    </cfRule>
  </conditionalFormatting>
  <hyperlinks>
    <hyperlink ref="Z1" location="'M-INDEX'!A1" tooltip="Volver al Índice Principal" display="⌂ ÍNDICE" xr:uid="{EA7B4C8A-270C-47D9-B921-E462E2AC69B1}"/>
  </hyperlink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E2EFDA"/>
  </sheetPr>
  <dimension ref="A1:V59"/>
  <sheetViews>
    <sheetView showGridLines="0" topLeftCell="B1" zoomScaleNormal="100" workbookViewId="0">
      <pane ySplit="3" topLeftCell="A4" activePane="bottomLeft" state="frozen"/>
      <selection pane="bottomLeft" sqref="A1:Z1"/>
    </sheetView>
  </sheetViews>
  <sheetFormatPr baseColWidth="10" defaultRowHeight="14.4" x14ac:dyDescent="0.3"/>
  <cols>
    <col min="1" max="1" width="5.21875" customWidth="1"/>
    <col min="2" max="2" width="15.109375" bestFit="1" customWidth="1"/>
    <col min="3" max="3" width="43.21875" bestFit="1" customWidth="1"/>
    <col min="4" max="4" width="56.77734375" bestFit="1" customWidth="1"/>
    <col min="5" max="5" width="102.44140625" bestFit="1" customWidth="1"/>
    <col min="6" max="6" width="5.33203125" bestFit="1" customWidth="1"/>
    <col min="7" max="7" width="12" bestFit="1" customWidth="1"/>
    <col min="22" max="22" width="7.88671875" bestFit="1" customWidth="1"/>
  </cols>
  <sheetData>
    <row r="1" spans="1:22" ht="19.95" customHeight="1" x14ac:dyDescent="0.3">
      <c r="A1" s="1925" t="s">
        <v>4789</v>
      </c>
      <c r="B1" s="1713"/>
      <c r="C1" s="1713"/>
      <c r="D1" s="1713"/>
      <c r="E1" s="1713"/>
      <c r="F1" s="1713"/>
      <c r="G1" s="1713"/>
      <c r="H1" s="1713"/>
      <c r="I1" s="1713"/>
      <c r="J1" s="1713"/>
      <c r="K1" s="1713"/>
      <c r="L1" s="1713"/>
      <c r="M1" s="1713"/>
      <c r="N1" s="1713"/>
      <c r="O1" s="1713"/>
      <c r="P1" s="1713"/>
      <c r="Q1" s="1713"/>
      <c r="R1" s="1713"/>
      <c r="S1" s="1713"/>
      <c r="T1" s="1713"/>
      <c r="U1" s="1713"/>
      <c r="V1" s="1713"/>
    </row>
    <row r="2" spans="1:22"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536"/>
      <c r="N2" s="536"/>
      <c r="O2" s="536"/>
      <c r="P2" s="536"/>
      <c r="Q2" s="536"/>
      <c r="R2" s="536"/>
      <c r="S2" s="536"/>
      <c r="T2" s="536"/>
      <c r="U2" s="536"/>
      <c r="V2" s="536"/>
    </row>
    <row r="3" spans="1:22" ht="19.95" customHeight="1" thickBot="1" x14ac:dyDescent="0.35">
      <c r="A3" s="1714" t="s">
        <v>4064</v>
      </c>
      <c r="B3" s="1714"/>
      <c r="C3" s="1714"/>
      <c r="D3" s="1714"/>
      <c r="E3" s="1714"/>
      <c r="F3" s="1714"/>
      <c r="G3" s="1714"/>
      <c r="H3" s="1714"/>
      <c r="I3" s="1714"/>
      <c r="J3" s="1714"/>
      <c r="K3" s="1714"/>
      <c r="L3" s="1714"/>
      <c r="M3" s="1714"/>
      <c r="N3" s="1714"/>
      <c r="O3" s="1714"/>
      <c r="P3" s="1714"/>
      <c r="Q3" s="1714"/>
      <c r="R3" s="1714"/>
      <c r="S3" s="1714"/>
      <c r="T3" s="1714"/>
      <c r="U3" s="1714"/>
      <c r="V3" s="1714"/>
    </row>
    <row r="4" spans="1:22" ht="19.95" customHeight="1" thickTop="1" x14ac:dyDescent="0.3">
      <c r="A4" s="1671" t="s">
        <v>1438</v>
      </c>
      <c r="B4" s="1672"/>
      <c r="C4" s="1672"/>
      <c r="D4" s="1672"/>
      <c r="E4" s="1672"/>
      <c r="F4" s="1672"/>
      <c r="G4" s="1672"/>
      <c r="H4" s="1672"/>
      <c r="I4" s="1672"/>
      <c r="J4" s="1672"/>
      <c r="K4" s="1672"/>
      <c r="L4" s="1672"/>
      <c r="M4" s="1672"/>
      <c r="N4" s="1672"/>
      <c r="O4" s="1672"/>
      <c r="P4" s="1672"/>
      <c r="Q4" s="1672"/>
      <c r="R4" s="1672"/>
      <c r="S4" s="1672"/>
      <c r="T4" s="1672"/>
      <c r="U4" s="1672"/>
      <c r="V4" s="1673"/>
    </row>
    <row r="5" spans="1:22" ht="16.05" customHeight="1" x14ac:dyDescent="0.3">
      <c r="A5" s="999">
        <v>1</v>
      </c>
      <c r="B5" s="1258" t="s">
        <v>1439</v>
      </c>
      <c r="C5" s="1232" t="s">
        <v>1440</v>
      </c>
      <c r="D5" s="1232" t="s">
        <v>1441</v>
      </c>
      <c r="E5" s="1232" t="s">
        <v>1442</v>
      </c>
      <c r="F5" s="415"/>
      <c r="G5" s="415"/>
      <c r="H5" s="415"/>
      <c r="I5" s="415"/>
      <c r="J5" s="415"/>
      <c r="K5" s="184"/>
      <c r="L5" s="184"/>
      <c r="M5" s="184"/>
      <c r="N5" s="184"/>
      <c r="O5" s="184"/>
      <c r="P5" s="184"/>
      <c r="Q5" s="184"/>
      <c r="R5" s="184"/>
      <c r="S5" s="184"/>
      <c r="T5" s="184"/>
      <c r="U5" s="184"/>
      <c r="V5" s="928"/>
    </row>
    <row r="6" spans="1:22" s="11" customFormat="1" ht="16.05" customHeight="1" x14ac:dyDescent="0.3">
      <c r="A6" s="1019">
        <v>2</v>
      </c>
      <c r="B6" s="1259" t="s">
        <v>1443</v>
      </c>
      <c r="C6" s="1233" t="s">
        <v>1444</v>
      </c>
      <c r="D6" s="1234" t="s">
        <v>1445</v>
      </c>
      <c r="E6" s="1235" t="s">
        <v>1446</v>
      </c>
      <c r="F6" s="357"/>
      <c r="G6" s="357"/>
      <c r="H6" s="347"/>
      <c r="I6" s="347"/>
      <c r="J6" s="347"/>
      <c r="K6" s="139"/>
      <c r="L6" s="139"/>
      <c r="M6" s="139"/>
      <c r="N6" s="139"/>
      <c r="O6" s="139"/>
      <c r="P6" s="139"/>
      <c r="Q6" s="139"/>
      <c r="R6" s="139"/>
      <c r="S6" s="139"/>
      <c r="T6" s="139"/>
      <c r="U6" s="139"/>
      <c r="V6" s="985"/>
    </row>
    <row r="7" spans="1:22" s="11" customFormat="1" ht="16.05" customHeight="1" x14ac:dyDescent="0.3">
      <c r="A7" s="1268">
        <v>3</v>
      </c>
      <c r="B7" s="1260" t="s">
        <v>1447</v>
      </c>
      <c r="C7" s="1236" t="s">
        <v>1448</v>
      </c>
      <c r="D7" s="1237" t="s">
        <v>1449</v>
      </c>
      <c r="E7" s="1238" t="s">
        <v>1450</v>
      </c>
      <c r="F7" s="418"/>
      <c r="G7" s="418"/>
      <c r="H7" s="446"/>
      <c r="I7" s="446"/>
      <c r="J7" s="446"/>
      <c r="K7" s="221"/>
      <c r="L7" s="221"/>
      <c r="M7" s="221"/>
      <c r="N7" s="221"/>
      <c r="O7" s="221"/>
      <c r="P7" s="221"/>
      <c r="Q7" s="221"/>
      <c r="R7" s="221"/>
      <c r="S7" s="221"/>
      <c r="T7" s="221"/>
      <c r="U7" s="221"/>
      <c r="V7" s="986"/>
    </row>
    <row r="8" spans="1:22" s="11" customFormat="1" ht="16.05" customHeight="1" x14ac:dyDescent="0.3">
      <c r="A8" s="1269">
        <v>4</v>
      </c>
      <c r="B8" s="1261" t="s">
        <v>1451</v>
      </c>
      <c r="C8" s="1239" t="s">
        <v>1452</v>
      </c>
      <c r="D8" s="1240" t="s">
        <v>1453</v>
      </c>
      <c r="E8" s="1241" t="s">
        <v>1454</v>
      </c>
      <c r="F8" s="357"/>
      <c r="G8" s="357"/>
      <c r="H8" s="347"/>
      <c r="I8" s="347"/>
      <c r="J8" s="347"/>
      <c r="K8" s="139"/>
      <c r="L8" s="139"/>
      <c r="M8" s="139"/>
      <c r="N8" s="139"/>
      <c r="O8" s="139"/>
      <c r="P8" s="139"/>
      <c r="Q8" s="139"/>
      <c r="R8" s="139"/>
      <c r="S8" s="139"/>
      <c r="T8" s="139"/>
      <c r="U8" s="139"/>
      <c r="V8" s="985"/>
    </row>
    <row r="9" spans="1:22" s="11" customFormat="1" ht="16.05" customHeight="1" x14ac:dyDescent="0.3">
      <c r="A9" s="1019">
        <v>5</v>
      </c>
      <c r="B9" s="1262" t="s">
        <v>1455</v>
      </c>
      <c r="C9" s="1242" t="s">
        <v>1456</v>
      </c>
      <c r="D9" s="1243" t="s">
        <v>1457</v>
      </c>
      <c r="E9" s="1244" t="s">
        <v>1458</v>
      </c>
      <c r="F9" s="418"/>
      <c r="G9" s="418"/>
      <c r="H9" s="446"/>
      <c r="I9" s="446"/>
      <c r="J9" s="446"/>
      <c r="K9" s="221"/>
      <c r="L9" s="221"/>
      <c r="M9" s="221"/>
      <c r="N9" s="221"/>
      <c r="O9" s="221"/>
      <c r="P9" s="221"/>
      <c r="Q9" s="221"/>
      <c r="R9" s="221"/>
      <c r="S9" s="221"/>
      <c r="T9" s="221"/>
      <c r="U9" s="221"/>
      <c r="V9" s="986"/>
    </row>
    <row r="10" spans="1:22" s="11" customFormat="1" ht="16.05" customHeight="1" x14ac:dyDescent="0.3">
      <c r="A10" s="1019"/>
      <c r="B10" s="1135"/>
      <c r="C10" s="357"/>
      <c r="D10" s="357"/>
      <c r="E10" s="357"/>
      <c r="F10" s="347"/>
      <c r="G10" s="347"/>
      <c r="H10" s="347"/>
      <c r="I10" s="347"/>
      <c r="J10" s="347"/>
      <c r="K10" s="139"/>
      <c r="L10" s="139"/>
      <c r="M10" s="139"/>
      <c r="N10" s="139"/>
      <c r="O10" s="139"/>
      <c r="P10" s="139"/>
      <c r="Q10" s="139"/>
      <c r="R10" s="139"/>
      <c r="S10" s="139"/>
      <c r="T10" s="139"/>
      <c r="U10" s="139"/>
      <c r="V10" s="985"/>
    </row>
    <row r="11" spans="1:22" s="11" customFormat="1" ht="19.95" customHeight="1" x14ac:dyDescent="0.3">
      <c r="A11" s="1797" t="s">
        <v>1459</v>
      </c>
      <c r="B11" s="1798"/>
      <c r="C11" s="1798"/>
      <c r="D11" s="1798"/>
      <c r="E11" s="1798"/>
      <c r="F11" s="1798"/>
      <c r="G11" s="1798"/>
      <c r="H11" s="1798"/>
      <c r="I11" s="1798"/>
      <c r="J11" s="1798"/>
      <c r="K11" s="1798"/>
      <c r="L11" s="1798"/>
      <c r="M11" s="1798"/>
      <c r="N11" s="1798"/>
      <c r="O11" s="1798"/>
      <c r="P11" s="1798"/>
      <c r="Q11" s="1798"/>
      <c r="R11" s="1798"/>
      <c r="S11" s="1798"/>
      <c r="T11" s="1798"/>
      <c r="U11" s="1798"/>
      <c r="V11" s="1799"/>
    </row>
    <row r="12" spans="1:22" s="11" customFormat="1" ht="16.05" customHeight="1" x14ac:dyDescent="0.3">
      <c r="A12" s="1019" t="s">
        <v>1460</v>
      </c>
      <c r="B12" s="991" t="s">
        <v>1461</v>
      </c>
      <c r="C12" s="358" t="s">
        <v>85</v>
      </c>
      <c r="D12" s="358" t="s">
        <v>1462</v>
      </c>
      <c r="E12" s="358" t="s">
        <v>1463</v>
      </c>
      <c r="F12" s="357"/>
      <c r="G12" s="357"/>
      <c r="H12" s="347"/>
      <c r="I12" s="347"/>
      <c r="J12" s="347"/>
      <c r="K12" s="139"/>
      <c r="L12" s="139"/>
      <c r="M12" s="139"/>
      <c r="N12" s="139"/>
      <c r="O12" s="139"/>
      <c r="P12" s="139"/>
      <c r="Q12" s="139"/>
      <c r="R12" s="139"/>
      <c r="S12" s="139"/>
      <c r="T12" s="139"/>
      <c r="U12" s="139"/>
      <c r="V12" s="985"/>
    </row>
    <row r="13" spans="1:22" s="11" customFormat="1" ht="19.95" customHeight="1" x14ac:dyDescent="0.3">
      <c r="A13" s="1797" t="s">
        <v>1464</v>
      </c>
      <c r="B13" s="1798"/>
      <c r="C13" s="1798"/>
      <c r="D13" s="1798"/>
      <c r="E13" s="1798"/>
      <c r="F13" s="1798"/>
      <c r="G13" s="1798"/>
      <c r="H13" s="1798"/>
      <c r="I13" s="1798"/>
      <c r="J13" s="1798"/>
      <c r="K13" s="1798"/>
      <c r="L13" s="1798"/>
      <c r="M13" s="1798"/>
      <c r="N13" s="1798"/>
      <c r="O13" s="1798"/>
      <c r="P13" s="1798"/>
      <c r="Q13" s="1798"/>
      <c r="R13" s="1798"/>
      <c r="S13" s="1798"/>
      <c r="T13" s="1798"/>
      <c r="U13" s="1798"/>
      <c r="V13" s="1799"/>
    </row>
    <row r="14" spans="1:22" s="11" customFormat="1" ht="19.95" customHeight="1" x14ac:dyDescent="0.3">
      <c r="A14" s="1797" t="s">
        <v>1466</v>
      </c>
      <c r="B14" s="1798"/>
      <c r="C14" s="1798"/>
      <c r="D14" s="1798"/>
      <c r="E14" s="1798"/>
      <c r="F14" s="1798"/>
      <c r="G14" s="1798"/>
      <c r="H14" s="1798"/>
      <c r="I14" s="1798"/>
      <c r="J14" s="1798"/>
      <c r="K14" s="1798"/>
      <c r="L14" s="1798"/>
      <c r="M14" s="1798"/>
      <c r="N14" s="1798"/>
      <c r="O14" s="1798"/>
      <c r="P14" s="1798"/>
      <c r="Q14" s="1798"/>
      <c r="R14" s="1798"/>
      <c r="S14" s="1798"/>
      <c r="T14" s="1798"/>
      <c r="U14" s="1798"/>
      <c r="V14" s="1799"/>
    </row>
    <row r="15" spans="1:22" s="11" customFormat="1" ht="19.95" customHeight="1" x14ac:dyDescent="0.3">
      <c r="A15" s="1797" t="s">
        <v>1467</v>
      </c>
      <c r="B15" s="1798"/>
      <c r="C15" s="1798"/>
      <c r="D15" s="1798"/>
      <c r="E15" s="1798"/>
      <c r="F15" s="1798"/>
      <c r="G15" s="1798"/>
      <c r="H15" s="1798"/>
      <c r="I15" s="1798"/>
      <c r="J15" s="1798"/>
      <c r="K15" s="1798"/>
      <c r="L15" s="1798"/>
      <c r="M15" s="1798"/>
      <c r="N15" s="1798"/>
      <c r="O15" s="1798"/>
      <c r="P15" s="1798"/>
      <c r="Q15" s="1798"/>
      <c r="R15" s="1798"/>
      <c r="S15" s="1798"/>
      <c r="T15" s="1798"/>
      <c r="U15" s="1798"/>
      <c r="V15" s="1799"/>
    </row>
    <row r="16" spans="1:22" s="11" customFormat="1" ht="19.95" customHeight="1" x14ac:dyDescent="0.3">
      <c r="A16" s="1797" t="s">
        <v>1468</v>
      </c>
      <c r="B16" s="1798"/>
      <c r="C16" s="1798"/>
      <c r="D16" s="1798"/>
      <c r="E16" s="1798"/>
      <c r="F16" s="1798"/>
      <c r="G16" s="1798"/>
      <c r="H16" s="1798"/>
      <c r="I16" s="1798"/>
      <c r="J16" s="1798"/>
      <c r="K16" s="1798"/>
      <c r="L16" s="1798"/>
      <c r="M16" s="1798"/>
      <c r="N16" s="1798"/>
      <c r="O16" s="1798"/>
      <c r="P16" s="1798"/>
      <c r="Q16" s="1798"/>
      <c r="R16" s="1798"/>
      <c r="S16" s="1798"/>
      <c r="T16" s="1798"/>
      <c r="U16" s="1798"/>
      <c r="V16" s="1799"/>
    </row>
    <row r="17" spans="1:22" s="11" customFormat="1" ht="19.95" customHeight="1" x14ac:dyDescent="0.3">
      <c r="A17" s="1797" t="s">
        <v>1470</v>
      </c>
      <c r="B17" s="1798"/>
      <c r="C17" s="1798"/>
      <c r="D17" s="1798"/>
      <c r="E17" s="1798"/>
      <c r="F17" s="1798"/>
      <c r="G17" s="1798"/>
      <c r="H17" s="1798"/>
      <c r="I17" s="1798"/>
      <c r="J17" s="1798"/>
      <c r="K17" s="1798"/>
      <c r="L17" s="1798"/>
      <c r="M17" s="1798"/>
      <c r="N17" s="1798"/>
      <c r="O17" s="1798"/>
      <c r="P17" s="1798"/>
      <c r="Q17" s="1798"/>
      <c r="R17" s="1798"/>
      <c r="S17" s="1798"/>
      <c r="T17" s="1798"/>
      <c r="U17" s="1798"/>
      <c r="V17" s="1799"/>
    </row>
    <row r="18" spans="1:22" s="11" customFormat="1" ht="16.05" customHeight="1" x14ac:dyDescent="0.3">
      <c r="A18" s="999" t="s">
        <v>1471</v>
      </c>
      <c r="B18" s="1263" t="s">
        <v>1472</v>
      </c>
      <c r="C18" s="1245" t="s">
        <v>1473</v>
      </c>
      <c r="D18" s="1245" t="s">
        <v>1474</v>
      </c>
      <c r="E18" s="1245" t="s">
        <v>1475</v>
      </c>
      <c r="F18" s="357"/>
      <c r="G18" s="357"/>
      <c r="H18" s="347"/>
      <c r="I18" s="347"/>
      <c r="J18" s="347"/>
      <c r="K18" s="139"/>
      <c r="L18" s="139"/>
      <c r="M18" s="139"/>
      <c r="N18" s="139"/>
      <c r="O18" s="139"/>
      <c r="P18" s="139"/>
      <c r="Q18" s="139"/>
      <c r="R18" s="139"/>
      <c r="S18" s="139"/>
      <c r="T18" s="139"/>
      <c r="U18" s="139"/>
      <c r="V18" s="985"/>
    </row>
    <row r="19" spans="1:22" s="11" customFormat="1" ht="16.05" customHeight="1" x14ac:dyDescent="0.3">
      <c r="A19" s="999" t="s">
        <v>1476</v>
      </c>
      <c r="B19" s="1264" t="s">
        <v>1439</v>
      </c>
      <c r="C19" s="1246" t="s">
        <v>1477</v>
      </c>
      <c r="D19" s="1247" t="s">
        <v>1478</v>
      </c>
      <c r="E19" s="423" t="s">
        <v>1479</v>
      </c>
      <c r="F19" s="418"/>
      <c r="G19" s="418"/>
      <c r="H19" s="446"/>
      <c r="I19" s="446"/>
      <c r="J19" s="446"/>
      <c r="K19" s="221"/>
      <c r="L19" s="221"/>
      <c r="M19" s="221"/>
      <c r="N19" s="221"/>
      <c r="O19" s="221"/>
      <c r="P19" s="221"/>
      <c r="Q19" s="221"/>
      <c r="R19" s="221"/>
      <c r="S19" s="221"/>
      <c r="T19" s="221"/>
      <c r="U19" s="221"/>
      <c r="V19" s="986"/>
    </row>
    <row r="20" spans="1:22" s="11" customFormat="1" ht="16.05" customHeight="1" x14ac:dyDescent="0.3">
      <c r="A20" s="999" t="s">
        <v>1480</v>
      </c>
      <c r="B20" s="1265" t="s">
        <v>1443</v>
      </c>
      <c r="C20" s="1248" t="s">
        <v>1481</v>
      </c>
      <c r="D20" s="1249" t="s">
        <v>1482</v>
      </c>
      <c r="E20" s="356" t="s">
        <v>1483</v>
      </c>
      <c r="F20" s="357"/>
      <c r="G20" s="357"/>
      <c r="H20" s="347"/>
      <c r="I20" s="347"/>
      <c r="J20" s="347"/>
      <c r="K20" s="139"/>
      <c r="L20" s="139"/>
      <c r="M20" s="139"/>
      <c r="N20" s="139"/>
      <c r="O20" s="139"/>
      <c r="P20" s="139"/>
      <c r="Q20" s="139"/>
      <c r="R20" s="139"/>
      <c r="S20" s="139"/>
      <c r="T20" s="139"/>
      <c r="U20" s="139"/>
      <c r="V20" s="985"/>
    </row>
    <row r="21" spans="1:22" s="11" customFormat="1" ht="19.95" customHeight="1" x14ac:dyDescent="0.3">
      <c r="A21" s="1794" t="s">
        <v>1484</v>
      </c>
      <c r="B21" s="1795"/>
      <c r="C21" s="1795"/>
      <c r="D21" s="1795"/>
      <c r="E21" s="1795"/>
      <c r="F21" s="1795"/>
      <c r="G21" s="1795"/>
      <c r="H21" s="1795"/>
      <c r="I21" s="1795"/>
      <c r="J21" s="1795"/>
      <c r="K21" s="1795"/>
      <c r="L21" s="1795"/>
      <c r="M21" s="1795"/>
      <c r="N21" s="1795"/>
      <c r="O21" s="1795"/>
      <c r="P21" s="1795"/>
      <c r="Q21" s="1795"/>
      <c r="R21" s="1795"/>
      <c r="S21" s="1795"/>
      <c r="T21" s="1795"/>
      <c r="U21" s="1795"/>
      <c r="V21" s="1796"/>
    </row>
    <row r="22" spans="1:22" s="11" customFormat="1" ht="16.05" customHeight="1" x14ac:dyDescent="0.3">
      <c r="A22" s="1270" t="s">
        <v>1485</v>
      </c>
      <c r="B22" s="1266" t="s">
        <v>1451</v>
      </c>
      <c r="C22" s="1250" t="s">
        <v>1486</v>
      </c>
      <c r="D22" s="1239" t="s">
        <v>1487</v>
      </c>
      <c r="E22" s="1251" t="s">
        <v>1488</v>
      </c>
      <c r="F22" s="357"/>
      <c r="G22" s="357"/>
      <c r="H22" s="347"/>
      <c r="I22" s="347"/>
      <c r="J22" s="347"/>
      <c r="K22" s="139"/>
      <c r="L22" s="139"/>
      <c r="M22" s="139"/>
      <c r="N22" s="139"/>
      <c r="O22" s="139"/>
      <c r="P22" s="139"/>
      <c r="Q22" s="139"/>
      <c r="R22" s="139"/>
      <c r="S22" s="139"/>
      <c r="T22" s="139"/>
      <c r="U22" s="139"/>
      <c r="V22" s="985"/>
    </row>
    <row r="23" spans="1:22" s="11" customFormat="1" ht="16.05" customHeight="1" thickBot="1" x14ac:dyDescent="0.35">
      <c r="A23" s="1001" t="s">
        <v>1489</v>
      </c>
      <c r="B23" s="1267"/>
      <c r="C23" s="1252"/>
      <c r="D23" s="1253"/>
      <c r="E23" s="1253"/>
      <c r="F23" s="1254"/>
      <c r="G23" s="1254"/>
      <c r="H23" s="1255"/>
      <c r="I23" s="1255"/>
      <c r="J23" s="1255"/>
      <c r="K23" s="1256"/>
      <c r="L23" s="1256"/>
      <c r="M23" s="1256"/>
      <c r="N23" s="1256"/>
      <c r="O23" s="1256"/>
      <c r="P23" s="1256"/>
      <c r="Q23" s="1256"/>
      <c r="R23" s="1256"/>
      <c r="S23" s="1256"/>
      <c r="T23" s="1256"/>
      <c r="U23" s="1256"/>
      <c r="V23" s="1257"/>
    </row>
    <row r="24" spans="1:22" s="11" customFormat="1" ht="37.950000000000003" customHeight="1" thickTop="1" x14ac:dyDescent="0.3"/>
    <row r="25" spans="1:22" s="11" customFormat="1" ht="37.950000000000003" customHeight="1" x14ac:dyDescent="0.3"/>
    <row r="26" spans="1:22" s="11" customFormat="1" ht="37.950000000000003" customHeight="1" x14ac:dyDescent="0.3"/>
    <row r="27" spans="1:22" ht="18" customHeight="1" x14ac:dyDescent="0.3"/>
    <row r="28" spans="1:22" ht="18" customHeight="1" x14ac:dyDescent="0.3"/>
    <row r="29" spans="1:22" ht="18" customHeight="1" x14ac:dyDescent="0.3"/>
    <row r="30" spans="1:22" ht="18" customHeight="1" x14ac:dyDescent="0.3"/>
    <row r="31" spans="1:22" ht="18" customHeight="1" x14ac:dyDescent="0.3"/>
    <row r="32" spans="1:22" ht="18" customHeight="1" x14ac:dyDescent="0.3"/>
    <row r="33" ht="18" customHeight="1" x14ac:dyDescent="0.3"/>
    <row r="34" ht="18" customHeight="1" x14ac:dyDescent="0.3"/>
    <row r="35" ht="18" customHeight="1" x14ac:dyDescent="0.3"/>
    <row r="36" ht="18" customHeight="1" x14ac:dyDescent="0.3"/>
    <row r="37" ht="18" customHeight="1" x14ac:dyDescent="0.3"/>
    <row r="38" ht="18" customHeight="1" x14ac:dyDescent="0.3"/>
    <row r="39" ht="18" customHeight="1" x14ac:dyDescent="0.3"/>
    <row r="40" ht="18" customHeight="1" x14ac:dyDescent="0.3"/>
    <row r="41" ht="18" customHeight="1" x14ac:dyDescent="0.3"/>
    <row r="42" ht="18" customHeight="1" x14ac:dyDescent="0.3"/>
    <row r="43" ht="18" customHeight="1" x14ac:dyDescent="0.3"/>
    <row r="44" ht="18" customHeight="1" x14ac:dyDescent="0.3"/>
    <row r="45" ht="18" customHeight="1" x14ac:dyDescent="0.3"/>
    <row r="46" ht="18" customHeight="1" x14ac:dyDescent="0.3"/>
    <row r="47" ht="18" customHeight="1" x14ac:dyDescent="0.3"/>
    <row r="48" ht="18" customHeight="1" x14ac:dyDescent="0.3"/>
    <row r="49" ht="18" customHeight="1" x14ac:dyDescent="0.3"/>
    <row r="50" ht="18" customHeight="1" x14ac:dyDescent="0.3"/>
    <row r="51" ht="18" customHeight="1" x14ac:dyDescent="0.3"/>
    <row r="52" ht="18" customHeight="1" x14ac:dyDescent="0.3"/>
    <row r="53" ht="18" customHeight="1" x14ac:dyDescent="0.3"/>
    <row r="54" ht="18" customHeight="1" x14ac:dyDescent="0.3"/>
    <row r="55" ht="18" customHeight="1" x14ac:dyDescent="0.3"/>
    <row r="56" ht="18" customHeight="1" x14ac:dyDescent="0.3"/>
    <row r="57" ht="18" customHeight="1" x14ac:dyDescent="0.3"/>
    <row r="58" ht="18" customHeight="1" x14ac:dyDescent="0.3"/>
    <row r="59" ht="18" customHeight="1" x14ac:dyDescent="0.3"/>
  </sheetData>
  <mergeCells count="10">
    <mergeCell ref="A21:V21"/>
    <mergeCell ref="A1:V1"/>
    <mergeCell ref="A3:V3"/>
    <mergeCell ref="A4:V4"/>
    <mergeCell ref="A11:V11"/>
    <mergeCell ref="A13:V13"/>
    <mergeCell ref="A14:V14"/>
    <mergeCell ref="A15:V15"/>
    <mergeCell ref="A16:V16"/>
    <mergeCell ref="A17:V1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EAD1DC"/>
  </sheetPr>
  <dimension ref="A1:Z50"/>
  <sheetViews>
    <sheetView showGridLines="0" zoomScale="82" zoomScaleNormal="82" workbookViewId="0">
      <pane ySplit="3" topLeftCell="A23" activePane="bottomLeft" state="frozen"/>
      <selection pane="bottomLeft" sqref="A1:Z1"/>
    </sheetView>
  </sheetViews>
  <sheetFormatPr baseColWidth="10" defaultRowHeight="14.4" x14ac:dyDescent="0.3"/>
  <cols>
    <col min="1" max="1" width="5.21875" style="4" customWidth="1"/>
    <col min="2" max="2" width="32.44140625" style="4" bestFit="1" customWidth="1"/>
    <col min="3" max="3" width="97.5546875" style="4" bestFit="1" customWidth="1"/>
    <col min="4" max="25" width="11.5546875" style="4"/>
    <col min="26" max="26" width="8.109375" style="4" bestFit="1" customWidth="1"/>
    <col min="27" max="16384" width="11.5546875" style="4"/>
  </cols>
  <sheetData>
    <row r="1" spans="1:26" ht="19.95" customHeight="1" x14ac:dyDescent="0.3">
      <c r="A1" s="1925" t="s">
        <v>4790</v>
      </c>
      <c r="B1" s="1713"/>
      <c r="C1" s="1713"/>
      <c r="D1" s="1713"/>
      <c r="E1" s="1713"/>
      <c r="F1" s="1713"/>
      <c r="G1" s="1713"/>
      <c r="H1" s="1713"/>
      <c r="I1" s="1713"/>
      <c r="J1" s="1713"/>
      <c r="K1" s="1713"/>
      <c r="L1" s="1713"/>
      <c r="M1" s="1713"/>
      <c r="N1" s="1713"/>
      <c r="O1" s="1713"/>
      <c r="P1" s="1713"/>
      <c r="Q1" s="1713"/>
      <c r="R1" s="1713"/>
      <c r="S1" s="1713"/>
      <c r="T1" s="1713"/>
      <c r="U1" s="1713"/>
      <c r="V1" s="1713"/>
      <c r="W1" s="1713"/>
      <c r="X1" s="1713"/>
      <c r="Y1" s="1713"/>
      <c r="Z1" s="1713"/>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473"/>
      <c r="N2" s="473"/>
      <c r="O2" s="473"/>
      <c r="P2" s="473"/>
      <c r="Q2" s="473"/>
      <c r="R2" s="473"/>
      <c r="S2" s="473"/>
      <c r="T2" s="473"/>
      <c r="U2" s="473"/>
      <c r="V2" s="473"/>
      <c r="W2" s="473"/>
      <c r="X2" s="473"/>
      <c r="Y2" s="473"/>
      <c r="Z2" s="473"/>
    </row>
    <row r="3" spans="1:26" ht="19.95" customHeight="1" thickBot="1" x14ac:dyDescent="0.35">
      <c r="A3" s="1714" t="s">
        <v>4065</v>
      </c>
      <c r="B3" s="1714"/>
      <c r="C3" s="1714"/>
      <c r="D3" s="1714"/>
      <c r="E3" s="1714"/>
      <c r="F3" s="1714"/>
      <c r="G3" s="1714"/>
      <c r="H3" s="1714"/>
      <c r="I3" s="1714"/>
      <c r="J3" s="1714"/>
      <c r="K3" s="1714"/>
      <c r="L3" s="1714"/>
      <c r="M3" s="1714"/>
      <c r="N3" s="1714"/>
      <c r="O3" s="1714"/>
      <c r="P3" s="1714"/>
      <c r="Q3" s="1714"/>
      <c r="R3" s="1714"/>
      <c r="S3" s="1714"/>
      <c r="T3" s="1714"/>
      <c r="U3" s="1714"/>
      <c r="V3" s="1714"/>
      <c r="W3" s="1714"/>
      <c r="X3" s="1714"/>
      <c r="Y3" s="1714"/>
      <c r="Z3" s="1714"/>
    </row>
    <row r="4" spans="1:26" ht="19.95" customHeight="1" thickTop="1" x14ac:dyDescent="0.3">
      <c r="A4" s="1671" t="s">
        <v>1490</v>
      </c>
      <c r="B4" s="1672"/>
      <c r="C4" s="1672"/>
      <c r="D4" s="1672"/>
      <c r="E4" s="1672"/>
      <c r="F4" s="1672"/>
      <c r="G4" s="1672"/>
      <c r="H4" s="1672"/>
      <c r="I4" s="1672"/>
      <c r="J4" s="1672"/>
      <c r="K4" s="1672"/>
      <c r="L4" s="1672"/>
      <c r="M4" s="1672"/>
      <c r="N4" s="1672"/>
      <c r="O4" s="1672"/>
      <c r="P4" s="1672"/>
      <c r="Q4" s="1672"/>
      <c r="R4" s="1672"/>
      <c r="S4" s="1672"/>
      <c r="T4" s="1672"/>
      <c r="U4" s="1672"/>
      <c r="V4" s="1672"/>
      <c r="W4" s="1672"/>
      <c r="X4" s="1672"/>
      <c r="Y4" s="1672"/>
      <c r="Z4" s="1673"/>
    </row>
    <row r="5" spans="1:26" ht="19.95" customHeight="1" x14ac:dyDescent="0.3">
      <c r="A5" s="1797" t="s">
        <v>1491</v>
      </c>
      <c r="B5" s="1798"/>
      <c r="C5" s="1798"/>
      <c r="D5" s="1798"/>
      <c r="E5" s="1798"/>
      <c r="F5" s="1798"/>
      <c r="G5" s="1798"/>
      <c r="H5" s="1798"/>
      <c r="I5" s="1798"/>
      <c r="J5" s="1798"/>
      <c r="K5" s="1798"/>
      <c r="L5" s="1798"/>
      <c r="M5" s="1798"/>
      <c r="N5" s="1798"/>
      <c r="O5" s="1798"/>
      <c r="P5" s="1798"/>
      <c r="Q5" s="1798"/>
      <c r="R5" s="1798"/>
      <c r="S5" s="1798"/>
      <c r="T5" s="1798"/>
      <c r="U5" s="1798"/>
      <c r="V5" s="1798"/>
      <c r="W5" s="1798"/>
      <c r="X5" s="1798"/>
      <c r="Y5" s="1798"/>
      <c r="Z5" s="1799"/>
    </row>
    <row r="6" spans="1:26" s="19" customFormat="1" ht="16.05" customHeight="1" x14ac:dyDescent="0.3">
      <c r="A6" s="1019" t="s">
        <v>1492</v>
      </c>
      <c r="B6" s="1137">
        <f>'M5-ICPI'!H25</f>
        <v>1.0682670515135724</v>
      </c>
      <c r="C6" s="436" t="s">
        <v>1493</v>
      </c>
      <c r="D6" s="1330"/>
      <c r="E6" s="144"/>
      <c r="F6" s="144"/>
      <c r="G6" s="144"/>
      <c r="H6" s="144"/>
      <c r="I6" s="144"/>
      <c r="J6" s="144"/>
      <c r="K6" s="144"/>
      <c r="L6" s="144"/>
      <c r="M6" s="144"/>
      <c r="N6" s="144"/>
      <c r="O6" s="144"/>
      <c r="P6" s="144"/>
      <c r="Q6" s="144"/>
      <c r="R6" s="144"/>
      <c r="S6" s="144"/>
      <c r="T6" s="144"/>
      <c r="U6" s="144"/>
      <c r="V6" s="144"/>
      <c r="W6" s="144"/>
      <c r="X6" s="144"/>
      <c r="Y6" s="144"/>
      <c r="Z6" s="929"/>
    </row>
    <row r="7" spans="1:26" s="19" customFormat="1" ht="19.95" customHeight="1" x14ac:dyDescent="0.3">
      <c r="A7" s="1797" t="s">
        <v>1494</v>
      </c>
      <c r="B7" s="1798"/>
      <c r="C7" s="1798"/>
      <c r="D7" s="1798"/>
      <c r="E7" s="1798"/>
      <c r="F7" s="1798"/>
      <c r="G7" s="1798"/>
      <c r="H7" s="1798"/>
      <c r="I7" s="1798"/>
      <c r="J7" s="1798"/>
      <c r="K7" s="1798"/>
      <c r="L7" s="1798"/>
      <c r="M7" s="1798"/>
      <c r="N7" s="1798"/>
      <c r="O7" s="1798"/>
      <c r="P7" s="1798"/>
      <c r="Q7" s="1798"/>
      <c r="R7" s="1798"/>
      <c r="S7" s="1798"/>
      <c r="T7" s="1798"/>
      <c r="U7" s="1798"/>
      <c r="V7" s="1798"/>
      <c r="W7" s="1798"/>
      <c r="X7" s="1798"/>
      <c r="Y7" s="1798"/>
      <c r="Z7" s="1799"/>
    </row>
    <row r="8" spans="1:26" s="19" customFormat="1" ht="16.05" customHeight="1" x14ac:dyDescent="0.3">
      <c r="A8" s="1019"/>
      <c r="B8" s="1335"/>
      <c r="C8" s="352"/>
      <c r="D8" s="1330"/>
      <c r="E8" s="144"/>
      <c r="F8" s="144"/>
      <c r="G8" s="144"/>
      <c r="H8" s="144"/>
      <c r="I8" s="144"/>
      <c r="J8" s="144"/>
      <c r="K8" s="144"/>
      <c r="L8" s="144"/>
      <c r="M8" s="144"/>
      <c r="N8" s="144"/>
      <c r="O8" s="144"/>
      <c r="P8" s="144"/>
      <c r="Q8" s="144"/>
      <c r="R8" s="144"/>
      <c r="S8" s="144"/>
      <c r="T8" s="144"/>
      <c r="U8" s="144"/>
      <c r="V8" s="144"/>
      <c r="W8" s="144"/>
      <c r="X8" s="144"/>
      <c r="Y8" s="144"/>
      <c r="Z8" s="929"/>
    </row>
    <row r="9" spans="1:26" s="19" customFormat="1" ht="19.95" customHeight="1" x14ac:dyDescent="0.3">
      <c r="A9" s="1797" t="s">
        <v>1495</v>
      </c>
      <c r="B9" s="1798"/>
      <c r="C9" s="1798"/>
      <c r="D9" s="1798"/>
      <c r="E9" s="1798"/>
      <c r="F9" s="1798"/>
      <c r="G9" s="1798"/>
      <c r="H9" s="1798"/>
      <c r="I9" s="1798"/>
      <c r="J9" s="1798"/>
      <c r="K9" s="1798"/>
      <c r="L9" s="1798"/>
      <c r="M9" s="1798"/>
      <c r="N9" s="1798"/>
      <c r="O9" s="1798"/>
      <c r="P9" s="1798"/>
      <c r="Q9" s="1798"/>
      <c r="R9" s="1798"/>
      <c r="S9" s="1798"/>
      <c r="T9" s="1798"/>
      <c r="U9" s="1798"/>
      <c r="V9" s="1798"/>
      <c r="W9" s="1798"/>
      <c r="X9" s="1798"/>
      <c r="Y9" s="1798"/>
      <c r="Z9" s="1799"/>
    </row>
    <row r="10" spans="1:26" s="19" customFormat="1" ht="16.05" customHeight="1" x14ac:dyDescent="0.3">
      <c r="A10" s="1019" t="s">
        <v>1496</v>
      </c>
      <c r="B10" s="1137" t="s">
        <v>1497</v>
      </c>
      <c r="C10" s="1331" t="s">
        <v>1498</v>
      </c>
      <c r="D10" s="1330"/>
      <c r="E10" s="144"/>
      <c r="F10" s="144"/>
      <c r="G10" s="144"/>
      <c r="H10" s="144"/>
      <c r="I10" s="144"/>
      <c r="J10" s="144"/>
      <c r="K10" s="144"/>
      <c r="L10" s="144"/>
      <c r="M10" s="144"/>
      <c r="N10" s="144"/>
      <c r="O10" s="144"/>
      <c r="P10" s="144"/>
      <c r="Q10" s="144"/>
      <c r="R10" s="144"/>
      <c r="S10" s="144"/>
      <c r="T10" s="144"/>
      <c r="U10" s="144"/>
      <c r="V10" s="144"/>
      <c r="W10" s="144"/>
      <c r="X10" s="144"/>
      <c r="Y10" s="144"/>
      <c r="Z10" s="929"/>
    </row>
    <row r="11" spans="1:26" s="19" customFormat="1" ht="19.95" customHeight="1" x14ac:dyDescent="0.3">
      <c r="A11" s="1797" t="s">
        <v>1499</v>
      </c>
      <c r="B11" s="1798"/>
      <c r="C11" s="1798"/>
      <c r="D11" s="1798"/>
      <c r="E11" s="1798"/>
      <c r="F11" s="1798"/>
      <c r="G11" s="1798"/>
      <c r="H11" s="1798"/>
      <c r="I11" s="1798"/>
      <c r="J11" s="1798"/>
      <c r="K11" s="1798"/>
      <c r="L11" s="1798"/>
      <c r="M11" s="1798"/>
      <c r="N11" s="1798"/>
      <c r="O11" s="1798"/>
      <c r="P11" s="1798"/>
      <c r="Q11" s="1798"/>
      <c r="R11" s="1798"/>
      <c r="S11" s="1798"/>
      <c r="T11" s="1798"/>
      <c r="U11" s="1798"/>
      <c r="V11" s="1798"/>
      <c r="W11" s="1798"/>
      <c r="X11" s="1798"/>
      <c r="Y11" s="1798"/>
      <c r="Z11" s="1799"/>
    </row>
    <row r="12" spans="1:26" s="19" customFormat="1" ht="19.95" customHeight="1" x14ac:dyDescent="0.3">
      <c r="A12" s="1797" t="s">
        <v>1500</v>
      </c>
      <c r="B12" s="1798"/>
      <c r="C12" s="1798"/>
      <c r="D12" s="1798"/>
      <c r="E12" s="1798"/>
      <c r="F12" s="1798"/>
      <c r="G12" s="1798"/>
      <c r="H12" s="1798"/>
      <c r="I12" s="1798"/>
      <c r="J12" s="1798"/>
      <c r="K12" s="1798"/>
      <c r="L12" s="1798"/>
      <c r="M12" s="1798"/>
      <c r="N12" s="1798"/>
      <c r="O12" s="1798"/>
      <c r="P12" s="1798"/>
      <c r="Q12" s="1798"/>
      <c r="R12" s="1798"/>
      <c r="S12" s="1798"/>
      <c r="T12" s="1798"/>
      <c r="U12" s="1798"/>
      <c r="V12" s="1798"/>
      <c r="W12" s="1798"/>
      <c r="X12" s="1798"/>
      <c r="Y12" s="1798"/>
      <c r="Z12" s="1799"/>
    </row>
    <row r="13" spans="1:26" s="19" customFormat="1" ht="19.95" customHeight="1" x14ac:dyDescent="0.3">
      <c r="A13" s="1797" t="s">
        <v>1501</v>
      </c>
      <c r="B13" s="1798"/>
      <c r="C13" s="1798"/>
      <c r="D13" s="1798"/>
      <c r="E13" s="1798"/>
      <c r="F13" s="1798"/>
      <c r="G13" s="1798"/>
      <c r="H13" s="1798"/>
      <c r="I13" s="1798"/>
      <c r="J13" s="1798"/>
      <c r="K13" s="1798"/>
      <c r="L13" s="1798"/>
      <c r="M13" s="1798"/>
      <c r="N13" s="1798"/>
      <c r="O13" s="1798"/>
      <c r="P13" s="1798"/>
      <c r="Q13" s="1798"/>
      <c r="R13" s="1798"/>
      <c r="S13" s="1798"/>
      <c r="T13" s="1798"/>
      <c r="U13" s="1798"/>
      <c r="V13" s="1798"/>
      <c r="W13" s="1798"/>
      <c r="X13" s="1798"/>
      <c r="Y13" s="1798"/>
      <c r="Z13" s="1799"/>
    </row>
    <row r="14" spans="1:26" s="19" customFormat="1" ht="19.95" customHeight="1" x14ac:dyDescent="0.3">
      <c r="A14" s="1797" t="s">
        <v>1502</v>
      </c>
      <c r="B14" s="1798"/>
      <c r="C14" s="1798"/>
      <c r="D14" s="1798"/>
      <c r="E14" s="1798"/>
      <c r="F14" s="1798"/>
      <c r="G14" s="1798"/>
      <c r="H14" s="1798"/>
      <c r="I14" s="1798"/>
      <c r="J14" s="1798"/>
      <c r="K14" s="1798"/>
      <c r="L14" s="1798"/>
      <c r="M14" s="1798"/>
      <c r="N14" s="1798"/>
      <c r="O14" s="1798"/>
      <c r="P14" s="1798"/>
      <c r="Q14" s="1798"/>
      <c r="R14" s="1798"/>
      <c r="S14" s="1798"/>
      <c r="T14" s="1798"/>
      <c r="U14" s="1798"/>
      <c r="V14" s="1798"/>
      <c r="W14" s="1798"/>
      <c r="X14" s="1798"/>
      <c r="Y14" s="1798"/>
      <c r="Z14" s="1799"/>
    </row>
    <row r="15" spans="1:26" s="19" customFormat="1" ht="19.95" customHeight="1" x14ac:dyDescent="0.3">
      <c r="A15" s="1797" t="s">
        <v>1503</v>
      </c>
      <c r="B15" s="1798"/>
      <c r="C15" s="1798"/>
      <c r="D15" s="1798"/>
      <c r="E15" s="1798"/>
      <c r="F15" s="1798"/>
      <c r="G15" s="1798"/>
      <c r="H15" s="1798"/>
      <c r="I15" s="1798"/>
      <c r="J15" s="1798"/>
      <c r="K15" s="1798"/>
      <c r="L15" s="1798"/>
      <c r="M15" s="1798"/>
      <c r="N15" s="1798"/>
      <c r="O15" s="1798"/>
      <c r="P15" s="1798"/>
      <c r="Q15" s="1798"/>
      <c r="R15" s="1798"/>
      <c r="S15" s="1798"/>
      <c r="T15" s="1798"/>
      <c r="U15" s="1798"/>
      <c r="V15" s="1798"/>
      <c r="W15" s="1798"/>
      <c r="X15" s="1798"/>
      <c r="Y15" s="1798"/>
      <c r="Z15" s="1799"/>
    </row>
    <row r="16" spans="1:26" s="19" customFormat="1" ht="19.95" customHeight="1" x14ac:dyDescent="0.3">
      <c r="A16" s="1797" t="s">
        <v>1504</v>
      </c>
      <c r="B16" s="1798"/>
      <c r="C16" s="1798"/>
      <c r="D16" s="1798"/>
      <c r="E16" s="1798"/>
      <c r="F16" s="1798"/>
      <c r="G16" s="1798"/>
      <c r="H16" s="1798"/>
      <c r="I16" s="1798"/>
      <c r="J16" s="1798"/>
      <c r="K16" s="1798"/>
      <c r="L16" s="1798"/>
      <c r="M16" s="1798"/>
      <c r="N16" s="1798"/>
      <c r="O16" s="1798"/>
      <c r="P16" s="1798"/>
      <c r="Q16" s="1798"/>
      <c r="R16" s="1798"/>
      <c r="S16" s="1798"/>
      <c r="T16" s="1798"/>
      <c r="U16" s="1798"/>
      <c r="V16" s="1798"/>
      <c r="W16" s="1798"/>
      <c r="X16" s="1798"/>
      <c r="Y16" s="1798"/>
      <c r="Z16" s="1799"/>
    </row>
    <row r="17" spans="1:26" s="19" customFormat="1" ht="19.95" customHeight="1" x14ac:dyDescent="0.3">
      <c r="A17" s="1797" t="s">
        <v>1505</v>
      </c>
      <c r="B17" s="1798"/>
      <c r="C17" s="1798"/>
      <c r="D17" s="1798"/>
      <c r="E17" s="1798"/>
      <c r="F17" s="1798"/>
      <c r="G17" s="1798"/>
      <c r="H17" s="1798"/>
      <c r="I17" s="1798"/>
      <c r="J17" s="1798"/>
      <c r="K17" s="1798"/>
      <c r="L17" s="1798"/>
      <c r="M17" s="1798"/>
      <c r="N17" s="1798"/>
      <c r="O17" s="1798"/>
      <c r="P17" s="1798"/>
      <c r="Q17" s="1798"/>
      <c r="R17" s="1798"/>
      <c r="S17" s="1798"/>
      <c r="T17" s="1798"/>
      <c r="U17" s="1798"/>
      <c r="V17" s="1798"/>
      <c r="W17" s="1798"/>
      <c r="X17" s="1798"/>
      <c r="Y17" s="1798"/>
      <c r="Z17" s="1799"/>
    </row>
    <row r="18" spans="1:26" s="19" customFormat="1" ht="16.05" customHeight="1" x14ac:dyDescent="0.3">
      <c r="A18" s="1019"/>
      <c r="B18" s="1335"/>
      <c r="C18" s="352"/>
      <c r="D18" s="1330"/>
      <c r="E18" s="144"/>
      <c r="F18" s="144"/>
      <c r="G18" s="144"/>
      <c r="H18" s="144"/>
      <c r="I18" s="144"/>
      <c r="J18" s="144"/>
      <c r="K18" s="144"/>
      <c r="L18" s="144"/>
      <c r="M18" s="144"/>
      <c r="N18" s="144"/>
      <c r="O18" s="144"/>
      <c r="P18" s="144"/>
      <c r="Q18" s="144"/>
      <c r="R18" s="144"/>
      <c r="S18" s="144"/>
      <c r="T18" s="144"/>
      <c r="U18" s="144"/>
      <c r="V18" s="144"/>
      <c r="W18" s="144"/>
      <c r="X18" s="144"/>
      <c r="Y18" s="144"/>
      <c r="Z18" s="929"/>
    </row>
    <row r="19" spans="1:26" s="19" customFormat="1" ht="19.95" customHeight="1" x14ac:dyDescent="0.3">
      <c r="A19" s="1940" t="s">
        <v>1506</v>
      </c>
      <c r="B19" s="1798"/>
      <c r="C19" s="1798"/>
      <c r="D19" s="1798"/>
      <c r="E19" s="1798"/>
      <c r="F19" s="1798"/>
      <c r="G19" s="1798"/>
      <c r="H19" s="1798"/>
      <c r="I19" s="1798"/>
      <c r="J19" s="1798"/>
      <c r="K19" s="1798"/>
      <c r="L19" s="1798"/>
      <c r="M19" s="1798"/>
      <c r="N19" s="1798"/>
      <c r="O19" s="1798"/>
      <c r="P19" s="1798"/>
      <c r="Q19" s="1798"/>
      <c r="R19" s="1798"/>
      <c r="S19" s="1798"/>
      <c r="T19" s="1798"/>
      <c r="U19" s="1798"/>
      <c r="V19" s="1798"/>
      <c r="W19" s="1798"/>
      <c r="X19" s="1798"/>
      <c r="Y19" s="1798"/>
      <c r="Z19" s="1799"/>
    </row>
    <row r="20" spans="1:26" s="19" customFormat="1" ht="19.95" customHeight="1" x14ac:dyDescent="0.3">
      <c r="A20" s="1800" t="s">
        <v>1507</v>
      </c>
      <c r="B20" s="1801"/>
      <c r="C20" s="1801"/>
      <c r="D20" s="1801"/>
      <c r="E20" s="1801"/>
      <c r="F20" s="1801"/>
      <c r="G20" s="1801"/>
      <c r="H20" s="1801"/>
      <c r="I20" s="1801"/>
      <c r="J20" s="1801"/>
      <c r="K20" s="1801"/>
      <c r="L20" s="1801"/>
      <c r="M20" s="1801"/>
      <c r="N20" s="1801"/>
      <c r="O20" s="1801"/>
      <c r="P20" s="1801"/>
      <c r="Q20" s="1801"/>
      <c r="R20" s="1801"/>
      <c r="S20" s="1801"/>
      <c r="T20" s="1801"/>
      <c r="U20" s="1801"/>
      <c r="V20" s="1801"/>
      <c r="W20" s="1801"/>
      <c r="X20" s="1801"/>
      <c r="Y20" s="1801"/>
      <c r="Z20" s="1802"/>
    </row>
    <row r="21" spans="1:26" s="19" customFormat="1" ht="19.95" customHeight="1" x14ac:dyDescent="0.3">
      <c r="A21" s="1800" t="s">
        <v>1508</v>
      </c>
      <c r="B21" s="1801"/>
      <c r="C21" s="1801"/>
      <c r="D21" s="1801"/>
      <c r="E21" s="1801"/>
      <c r="F21" s="1801"/>
      <c r="G21" s="1801"/>
      <c r="H21" s="1801"/>
      <c r="I21" s="1801"/>
      <c r="J21" s="1801"/>
      <c r="K21" s="1801"/>
      <c r="L21" s="1801"/>
      <c r="M21" s="1801"/>
      <c r="N21" s="1801"/>
      <c r="O21" s="1801"/>
      <c r="P21" s="1801"/>
      <c r="Q21" s="1801"/>
      <c r="R21" s="1801"/>
      <c r="S21" s="1801"/>
      <c r="T21" s="1801"/>
      <c r="U21" s="1801"/>
      <c r="V21" s="1801"/>
      <c r="W21" s="1801"/>
      <c r="X21" s="1801"/>
      <c r="Y21" s="1801"/>
      <c r="Z21" s="1802"/>
    </row>
    <row r="22" spans="1:26" s="19" customFormat="1" ht="19.95" customHeight="1" x14ac:dyDescent="0.3">
      <c r="A22" s="1803" t="s">
        <v>1509</v>
      </c>
      <c r="B22" s="1804"/>
      <c r="C22" s="1804"/>
      <c r="D22" s="1804"/>
      <c r="E22" s="1804"/>
      <c r="F22" s="1804"/>
      <c r="G22" s="1804"/>
      <c r="H22" s="1804"/>
      <c r="I22" s="1804"/>
      <c r="J22" s="1804"/>
      <c r="K22" s="1804"/>
      <c r="L22" s="1804"/>
      <c r="M22" s="1804"/>
      <c r="N22" s="1804"/>
      <c r="O22" s="1804"/>
      <c r="P22" s="1804"/>
      <c r="Q22" s="1804"/>
      <c r="R22" s="1804"/>
      <c r="S22" s="1804"/>
      <c r="T22" s="1804"/>
      <c r="U22" s="1804"/>
      <c r="V22" s="1804"/>
      <c r="W22" s="1804"/>
      <c r="X22" s="1804"/>
      <c r="Y22" s="1804"/>
      <c r="Z22" s="1805"/>
    </row>
    <row r="23" spans="1:26" s="19" customFormat="1" ht="19.95" customHeight="1" x14ac:dyDescent="0.3">
      <c r="A23" s="1806" t="s">
        <v>1510</v>
      </c>
      <c r="B23" s="1807"/>
      <c r="C23" s="1807"/>
      <c r="D23" s="1807"/>
      <c r="E23" s="1807"/>
      <c r="F23" s="1807"/>
      <c r="G23" s="1807"/>
      <c r="H23" s="1807"/>
      <c r="I23" s="1807"/>
      <c r="J23" s="1807"/>
      <c r="K23" s="1807"/>
      <c r="L23" s="1807"/>
      <c r="M23" s="1807"/>
      <c r="N23" s="1807"/>
      <c r="O23" s="1807"/>
      <c r="P23" s="1807"/>
      <c r="Q23" s="1807"/>
      <c r="R23" s="1807"/>
      <c r="S23" s="1807"/>
      <c r="T23" s="1807"/>
      <c r="U23" s="1807"/>
      <c r="V23" s="1807"/>
      <c r="W23" s="1807"/>
      <c r="X23" s="1807"/>
      <c r="Y23" s="1807"/>
      <c r="Z23" s="1808"/>
    </row>
    <row r="24" spans="1:26" s="19" customFormat="1" ht="16.05" customHeight="1" x14ac:dyDescent="0.3">
      <c r="A24" s="1019"/>
      <c r="B24" s="1335"/>
      <c r="C24" s="352"/>
      <c r="D24" s="1330"/>
      <c r="E24" s="144"/>
      <c r="F24" s="144"/>
      <c r="G24" s="144"/>
      <c r="H24" s="144"/>
      <c r="I24" s="144"/>
      <c r="J24" s="144"/>
      <c r="K24" s="144"/>
      <c r="L24" s="144"/>
      <c r="M24" s="144"/>
      <c r="N24" s="144"/>
      <c r="O24" s="144"/>
      <c r="P24" s="144"/>
      <c r="Q24" s="144"/>
      <c r="R24" s="144"/>
      <c r="S24" s="144"/>
      <c r="T24" s="144"/>
      <c r="U24" s="144"/>
      <c r="V24" s="144"/>
      <c r="W24" s="144"/>
      <c r="X24" s="144"/>
      <c r="Y24" s="144"/>
      <c r="Z24" s="929"/>
    </row>
    <row r="25" spans="1:26" s="19" customFormat="1" ht="19.95" customHeight="1" x14ac:dyDescent="0.3">
      <c r="A25" s="1797" t="s">
        <v>1511</v>
      </c>
      <c r="B25" s="1798"/>
      <c r="C25" s="1798"/>
      <c r="D25" s="1798"/>
      <c r="E25" s="1798"/>
      <c r="F25" s="1798"/>
      <c r="G25" s="1798"/>
      <c r="H25" s="1798"/>
      <c r="I25" s="1798"/>
      <c r="J25" s="1798"/>
      <c r="K25" s="1798"/>
      <c r="L25" s="1798"/>
      <c r="M25" s="1798"/>
      <c r="N25" s="1798"/>
      <c r="O25" s="1798"/>
      <c r="P25" s="1798"/>
      <c r="Q25" s="1798"/>
      <c r="R25" s="1798"/>
      <c r="S25" s="1798"/>
      <c r="T25" s="1798"/>
      <c r="U25" s="1798"/>
      <c r="V25" s="1798"/>
      <c r="W25" s="1798"/>
      <c r="X25" s="1798"/>
      <c r="Y25" s="1798"/>
      <c r="Z25" s="1799"/>
    </row>
    <row r="26" spans="1:26" s="19" customFormat="1" ht="16.05" customHeight="1" x14ac:dyDescent="0.3">
      <c r="A26" s="999" t="s">
        <v>1496</v>
      </c>
      <c r="B26" s="1336" t="s">
        <v>1497</v>
      </c>
      <c r="C26" s="366" t="s">
        <v>1498</v>
      </c>
      <c r="D26" s="1330"/>
      <c r="E26" s="144"/>
      <c r="F26" s="144"/>
      <c r="G26" s="144"/>
      <c r="H26" s="144"/>
      <c r="I26" s="144"/>
      <c r="J26" s="144"/>
      <c r="K26" s="144"/>
      <c r="L26" s="144"/>
      <c r="M26" s="144"/>
      <c r="N26" s="144"/>
      <c r="O26" s="144"/>
      <c r="P26" s="144"/>
      <c r="Q26" s="144"/>
      <c r="R26" s="144"/>
      <c r="S26" s="144"/>
      <c r="T26" s="144"/>
      <c r="U26" s="144"/>
      <c r="V26" s="144"/>
      <c r="W26" s="144"/>
      <c r="X26" s="144"/>
      <c r="Y26" s="144"/>
      <c r="Z26" s="929"/>
    </row>
    <row r="27" spans="1:26" s="19" customFormat="1" ht="19.95" customHeight="1" x14ac:dyDescent="0.3">
      <c r="A27" s="1797" t="s">
        <v>4089</v>
      </c>
      <c r="B27" s="1798"/>
      <c r="C27" s="1798"/>
      <c r="D27" s="1798"/>
      <c r="E27" s="1798"/>
      <c r="F27" s="1798"/>
      <c r="G27" s="1798"/>
      <c r="H27" s="1798"/>
      <c r="I27" s="1798"/>
      <c r="J27" s="1798"/>
      <c r="K27" s="1798"/>
      <c r="L27" s="1798"/>
      <c r="M27" s="1798"/>
      <c r="N27" s="1798"/>
      <c r="O27" s="1798"/>
      <c r="P27" s="1798"/>
      <c r="Q27" s="1798"/>
      <c r="R27" s="1798"/>
      <c r="S27" s="1798"/>
      <c r="T27" s="1798"/>
      <c r="U27" s="1798"/>
      <c r="V27" s="1798"/>
      <c r="W27" s="1798"/>
      <c r="X27" s="1798"/>
      <c r="Y27" s="1798"/>
      <c r="Z27" s="1799"/>
    </row>
    <row r="28" spans="1:26" s="19" customFormat="1" ht="19.95" customHeight="1" x14ac:dyDescent="0.3">
      <c r="A28" s="1797" t="s">
        <v>1512</v>
      </c>
      <c r="B28" s="1798"/>
      <c r="C28" s="1798"/>
      <c r="D28" s="1798"/>
      <c r="E28" s="1798"/>
      <c r="F28" s="1798"/>
      <c r="G28" s="1798"/>
      <c r="H28" s="1798"/>
      <c r="I28" s="1798"/>
      <c r="J28" s="1798"/>
      <c r="K28" s="1798"/>
      <c r="L28" s="1798"/>
      <c r="M28" s="1798"/>
      <c r="N28" s="1798"/>
      <c r="O28" s="1798"/>
      <c r="P28" s="1798"/>
      <c r="Q28" s="1798"/>
      <c r="R28" s="1798"/>
      <c r="S28" s="1798"/>
      <c r="T28" s="1798"/>
      <c r="U28" s="1798"/>
      <c r="V28" s="1798"/>
      <c r="W28" s="1798"/>
      <c r="X28" s="1798"/>
      <c r="Y28" s="1798"/>
      <c r="Z28" s="1799"/>
    </row>
    <row r="29" spans="1:26" s="19" customFormat="1" ht="19.95" customHeight="1" x14ac:dyDescent="0.3">
      <c r="A29" s="1797" t="s">
        <v>1513</v>
      </c>
      <c r="B29" s="1798"/>
      <c r="C29" s="1798"/>
      <c r="D29" s="1798"/>
      <c r="E29" s="1798"/>
      <c r="F29" s="1798"/>
      <c r="G29" s="1798"/>
      <c r="H29" s="1798"/>
      <c r="I29" s="1798"/>
      <c r="J29" s="1798"/>
      <c r="K29" s="1798"/>
      <c r="L29" s="1798"/>
      <c r="M29" s="1798"/>
      <c r="N29" s="1798"/>
      <c r="O29" s="1798"/>
      <c r="P29" s="1798"/>
      <c r="Q29" s="1798"/>
      <c r="R29" s="1798"/>
      <c r="S29" s="1798"/>
      <c r="T29" s="1798"/>
      <c r="U29" s="1798"/>
      <c r="V29" s="1798"/>
      <c r="W29" s="1798"/>
      <c r="X29" s="1798"/>
      <c r="Y29" s="1798"/>
      <c r="Z29" s="1799"/>
    </row>
    <row r="30" spans="1:26" s="19" customFormat="1" ht="37.950000000000003" customHeight="1" thickBot="1" x14ac:dyDescent="0.35">
      <c r="A30" s="1167"/>
      <c r="B30" s="1337"/>
      <c r="C30" s="1332"/>
      <c r="D30" s="1333"/>
      <c r="E30" s="1333"/>
      <c r="F30" s="1333"/>
      <c r="G30" s="1333"/>
      <c r="H30" s="1333"/>
      <c r="I30" s="1333"/>
      <c r="J30" s="1333"/>
      <c r="K30" s="1333"/>
      <c r="L30" s="1333"/>
      <c r="M30" s="1333"/>
      <c r="N30" s="1333"/>
      <c r="O30" s="1333"/>
      <c r="P30" s="1333"/>
      <c r="Q30" s="1333"/>
      <c r="R30" s="1333"/>
      <c r="S30" s="1333"/>
      <c r="T30" s="1333"/>
      <c r="U30" s="1333"/>
      <c r="V30" s="1333"/>
      <c r="W30" s="1333"/>
      <c r="X30" s="1333"/>
      <c r="Y30" s="1333"/>
      <c r="Z30" s="1334"/>
    </row>
    <row r="31" spans="1:26" ht="18" customHeight="1" thickTop="1" x14ac:dyDescent="0.3"/>
    <row r="32" spans="1:26" ht="18" customHeight="1" x14ac:dyDescent="0.3"/>
    <row r="33" ht="18" customHeight="1" x14ac:dyDescent="0.3"/>
    <row r="34" ht="18" customHeight="1" x14ac:dyDescent="0.3"/>
    <row r="35" ht="18" customHeight="1" x14ac:dyDescent="0.3"/>
    <row r="36" ht="18" customHeight="1" x14ac:dyDescent="0.3"/>
    <row r="37" ht="18" customHeight="1" x14ac:dyDescent="0.3"/>
    <row r="38" ht="18" customHeight="1" x14ac:dyDescent="0.3"/>
    <row r="39" ht="18" customHeight="1" x14ac:dyDescent="0.3"/>
    <row r="40" ht="18" customHeight="1" x14ac:dyDescent="0.3"/>
    <row r="41" ht="18" customHeight="1" x14ac:dyDescent="0.3"/>
    <row r="42" ht="18" customHeight="1" x14ac:dyDescent="0.3"/>
    <row r="43" ht="18" customHeight="1" x14ac:dyDescent="0.3"/>
    <row r="44" ht="18" customHeight="1" x14ac:dyDescent="0.3"/>
    <row r="45" ht="18" customHeight="1" x14ac:dyDescent="0.3"/>
    <row r="46" ht="18" customHeight="1" x14ac:dyDescent="0.3"/>
    <row r="47" ht="18" customHeight="1" x14ac:dyDescent="0.3"/>
    <row r="48" ht="18" customHeight="1" x14ac:dyDescent="0.3"/>
    <row r="49" ht="18" customHeight="1" x14ac:dyDescent="0.3"/>
    <row r="50" ht="18" customHeight="1" x14ac:dyDescent="0.3"/>
  </sheetData>
  <mergeCells count="22">
    <mergeCell ref="A9:Z9"/>
    <mergeCell ref="A11:Z11"/>
    <mergeCell ref="A12:Z12"/>
    <mergeCell ref="A13:Z13"/>
    <mergeCell ref="A1:Z1"/>
    <mergeCell ref="A3:Z3"/>
    <mergeCell ref="A4:Z4"/>
    <mergeCell ref="A5:Z5"/>
    <mergeCell ref="A7:Z7"/>
    <mergeCell ref="A14:Z14"/>
    <mergeCell ref="A15:Z15"/>
    <mergeCell ref="A16:Z16"/>
    <mergeCell ref="A17:Z17"/>
    <mergeCell ref="A19:Z19"/>
    <mergeCell ref="A27:Z27"/>
    <mergeCell ref="A28:Z28"/>
    <mergeCell ref="A29:Z29"/>
    <mergeCell ref="A20:Z20"/>
    <mergeCell ref="A21:Z21"/>
    <mergeCell ref="A22:Z22"/>
    <mergeCell ref="A23:Z23"/>
    <mergeCell ref="A25:Z25"/>
  </mergeCell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CE4D6"/>
  </sheetPr>
  <dimension ref="A1:Z35"/>
  <sheetViews>
    <sheetView showGridLines="0" zoomScale="86" zoomScaleNormal="86" workbookViewId="0">
      <pane ySplit="3" topLeftCell="A29" activePane="bottomLeft" state="frozen"/>
      <selection pane="bottomLeft" sqref="A1:Z1"/>
    </sheetView>
  </sheetViews>
  <sheetFormatPr baseColWidth="10" defaultRowHeight="14.4" x14ac:dyDescent="0.3"/>
  <cols>
    <col min="1" max="1" width="5.21875" style="2" customWidth="1"/>
    <col min="2" max="2" width="26" bestFit="1" customWidth="1"/>
    <col min="3" max="3" width="26.33203125" bestFit="1" customWidth="1"/>
    <col min="4" max="4" width="8.77734375" bestFit="1" customWidth="1"/>
    <col min="5" max="5" width="8.6640625" bestFit="1" customWidth="1"/>
    <col min="6" max="6" width="9" bestFit="1" customWidth="1"/>
    <col min="7" max="7" width="18.109375" bestFit="1" customWidth="1"/>
    <col min="8" max="8" width="39.6640625" bestFit="1" customWidth="1"/>
    <col min="26" max="26" width="8.21875" bestFit="1" customWidth="1"/>
  </cols>
  <sheetData>
    <row r="1" spans="1:26" ht="19.95" customHeight="1" x14ac:dyDescent="0.3">
      <c r="A1" s="1923" t="s">
        <v>4782</v>
      </c>
      <c r="B1" s="1713"/>
      <c r="C1" s="1713"/>
      <c r="D1" s="1713"/>
      <c r="E1" s="1713"/>
      <c r="F1" s="1713"/>
      <c r="G1" s="1713"/>
      <c r="H1" s="1713"/>
      <c r="I1" s="1713"/>
      <c r="J1" s="1713"/>
      <c r="K1" s="1713"/>
      <c r="L1" s="1713"/>
      <c r="M1" s="1713"/>
      <c r="N1" s="1713"/>
      <c r="O1" s="1713"/>
      <c r="P1" s="1713"/>
      <c r="Q1" s="1713"/>
      <c r="R1" s="1713"/>
      <c r="S1" s="1713"/>
      <c r="T1" s="1713"/>
      <c r="U1" s="1713"/>
      <c r="V1" s="1713"/>
      <c r="W1" s="1713"/>
      <c r="X1" s="1713"/>
      <c r="Y1" s="1713"/>
      <c r="Z1" s="1713"/>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 M7-PROSP")</f>
        <v>◉ M7-PROSP</v>
      </c>
      <c r="I2" s="472" t="str">
        <f>HYPERLINK("#'DATA-POA'!A1","DATA-POA")</f>
        <v>DATA-POA</v>
      </c>
      <c r="J2" s="472" t="str">
        <f>HYPERLINK("#'DATA-CNE'!A1","DATA-CNE")</f>
        <v>DATA-CNE</v>
      </c>
      <c r="K2" s="472" t="str">
        <f>HYPERLINK("#'DATA-ORG'!A1","DATA-ORG")</f>
        <v>DATA-ORG</v>
      </c>
      <c r="L2" s="472" t="str">
        <f>HYPERLINK("#'M-DASHBOARD'!A1","DASH")</f>
        <v>DASH</v>
      </c>
      <c r="M2" s="473"/>
      <c r="N2" s="473"/>
      <c r="O2" s="473"/>
      <c r="P2" s="473"/>
      <c r="Q2" s="473"/>
      <c r="R2" s="473"/>
      <c r="S2" s="473"/>
      <c r="T2" s="473"/>
      <c r="U2" s="473"/>
      <c r="V2" s="473"/>
      <c r="W2" s="473"/>
      <c r="X2" s="473"/>
      <c r="Y2" s="473"/>
      <c r="Z2" s="473"/>
    </row>
    <row r="3" spans="1:26" ht="19.95" customHeight="1" thickBot="1" x14ac:dyDescent="0.35">
      <c r="A3" s="1714" t="s">
        <v>4066</v>
      </c>
      <c r="B3" s="1714"/>
      <c r="C3" s="1714"/>
      <c r="D3" s="1714"/>
      <c r="E3" s="1714"/>
      <c r="F3" s="1714"/>
      <c r="G3" s="1714"/>
      <c r="H3" s="1714"/>
      <c r="I3" s="1714"/>
      <c r="J3" s="1714"/>
      <c r="K3" s="1714"/>
      <c r="L3" s="1714"/>
      <c r="M3" s="1714"/>
      <c r="N3" s="1714"/>
      <c r="O3" s="1714"/>
      <c r="P3" s="1714"/>
      <c r="Q3" s="1714"/>
      <c r="R3" s="1714"/>
      <c r="S3" s="1714"/>
      <c r="T3" s="1714"/>
      <c r="U3" s="1714"/>
      <c r="V3" s="1714"/>
      <c r="W3" s="1714"/>
      <c r="X3" s="1714"/>
      <c r="Y3" s="1714"/>
      <c r="Z3" s="1714"/>
    </row>
    <row r="4" spans="1:26" ht="19.95" customHeight="1" thickTop="1" x14ac:dyDescent="0.3">
      <c r="A4" s="1671" t="s">
        <v>4108</v>
      </c>
      <c r="B4" s="1672"/>
      <c r="C4" s="1672"/>
      <c r="D4" s="1672"/>
      <c r="E4" s="1672"/>
      <c r="F4" s="1672"/>
      <c r="G4" s="1672"/>
      <c r="H4" s="1672"/>
      <c r="I4" s="1672"/>
      <c r="J4" s="1672"/>
      <c r="K4" s="1672"/>
      <c r="L4" s="1672"/>
      <c r="M4" s="1672"/>
      <c r="N4" s="1672"/>
      <c r="O4" s="1672"/>
      <c r="P4" s="1672"/>
      <c r="Q4" s="1672"/>
      <c r="R4" s="1672"/>
      <c r="S4" s="1672"/>
      <c r="T4" s="1672"/>
      <c r="U4" s="1672"/>
      <c r="V4" s="1672"/>
      <c r="W4" s="1672"/>
      <c r="X4" s="1672"/>
      <c r="Y4" s="1672"/>
      <c r="Z4" s="1673"/>
    </row>
    <row r="5" spans="1:26" ht="16.05" customHeight="1" x14ac:dyDescent="0.3">
      <c r="A5" s="999" t="s">
        <v>661</v>
      </c>
      <c r="B5" s="1012" t="s">
        <v>662</v>
      </c>
      <c r="C5" s="415" t="s">
        <v>1514</v>
      </c>
      <c r="D5" s="415" t="s">
        <v>667</v>
      </c>
      <c r="E5" s="415" t="s">
        <v>1515</v>
      </c>
      <c r="F5" s="453" t="s">
        <v>1516</v>
      </c>
      <c r="G5" s="415" t="s">
        <v>916</v>
      </c>
      <c r="H5" s="415" t="s">
        <v>1517</v>
      </c>
      <c r="I5" s="415"/>
      <c r="J5" s="415"/>
      <c r="K5" s="415"/>
      <c r="L5" s="415"/>
      <c r="M5" s="415"/>
      <c r="N5" s="415"/>
      <c r="O5" s="415"/>
      <c r="P5" s="415"/>
      <c r="Q5" s="415"/>
      <c r="R5" s="415"/>
      <c r="S5" s="415"/>
      <c r="T5" s="415"/>
      <c r="U5" s="415"/>
      <c r="V5" s="415"/>
      <c r="W5" s="415"/>
      <c r="X5" s="415"/>
      <c r="Y5" s="415"/>
      <c r="Z5" s="1003"/>
    </row>
    <row r="6" spans="1:26" ht="16.05" customHeight="1" x14ac:dyDescent="0.3">
      <c r="A6" s="999">
        <v>2</v>
      </c>
      <c r="B6" s="1013" t="s">
        <v>507</v>
      </c>
      <c r="C6" s="438">
        <v>0.75</v>
      </c>
      <c r="D6" s="438">
        <v>1</v>
      </c>
      <c r="E6" s="438">
        <f t="shared" ref="E6:E24" si="0">C6-D6</f>
        <v>-0.25</v>
      </c>
      <c r="F6" s="354" t="s">
        <v>1518</v>
      </c>
      <c r="G6" s="354" t="s">
        <v>1519</v>
      </c>
      <c r="H6" s="356" t="s">
        <v>1520</v>
      </c>
      <c r="I6" s="981"/>
      <c r="J6" s="981"/>
      <c r="K6" s="981"/>
      <c r="L6" s="981"/>
      <c r="M6" s="981"/>
      <c r="N6" s="981"/>
      <c r="O6" s="981"/>
      <c r="P6" s="981"/>
      <c r="Q6" s="981"/>
      <c r="R6" s="981"/>
      <c r="S6" s="981"/>
      <c r="T6" s="981"/>
      <c r="U6" s="981"/>
      <c r="V6" s="981"/>
      <c r="W6" s="981"/>
      <c r="X6" s="981"/>
      <c r="Y6" s="981"/>
      <c r="Z6" s="1004"/>
    </row>
    <row r="7" spans="1:26" s="11" customFormat="1" ht="16.05" customHeight="1" x14ac:dyDescent="0.3">
      <c r="A7" s="1019">
        <v>3</v>
      </c>
      <c r="B7" s="992" t="s">
        <v>43</v>
      </c>
      <c r="C7" s="440">
        <v>0</v>
      </c>
      <c r="D7" s="440">
        <v>1</v>
      </c>
      <c r="E7" s="444">
        <f t="shared" si="0"/>
        <v>-1</v>
      </c>
      <c r="F7" s="441" t="s">
        <v>1521</v>
      </c>
      <c r="G7" s="441" t="s">
        <v>1522</v>
      </c>
      <c r="H7" s="419" t="s">
        <v>1523</v>
      </c>
      <c r="I7" s="979"/>
      <c r="J7" s="979"/>
      <c r="K7" s="979"/>
      <c r="L7" s="979"/>
      <c r="M7" s="979"/>
      <c r="N7" s="979"/>
      <c r="O7" s="979"/>
      <c r="P7" s="979"/>
      <c r="Q7" s="979"/>
      <c r="R7" s="979"/>
      <c r="S7" s="979"/>
      <c r="T7" s="979"/>
      <c r="U7" s="979"/>
      <c r="V7" s="979"/>
      <c r="W7" s="979"/>
      <c r="X7" s="979"/>
      <c r="Y7" s="979"/>
      <c r="Z7" s="1005"/>
    </row>
    <row r="8" spans="1:26" s="11" customFormat="1" ht="16.05" customHeight="1" x14ac:dyDescent="0.3">
      <c r="A8" s="1019">
        <v>4</v>
      </c>
      <c r="B8" s="991" t="s">
        <v>687</v>
      </c>
      <c r="C8" s="367">
        <v>0.45</v>
      </c>
      <c r="D8" s="367">
        <v>1</v>
      </c>
      <c r="E8" s="368">
        <f t="shared" si="0"/>
        <v>-0.55000000000000004</v>
      </c>
      <c r="F8" s="361" t="s">
        <v>1524</v>
      </c>
      <c r="G8" s="361" t="s">
        <v>1522</v>
      </c>
      <c r="H8" s="358" t="s">
        <v>1525</v>
      </c>
      <c r="I8" s="346"/>
      <c r="J8" s="346"/>
      <c r="K8" s="346"/>
      <c r="L8" s="346"/>
      <c r="M8" s="346"/>
      <c r="N8" s="346"/>
      <c r="O8" s="346"/>
      <c r="P8" s="346"/>
      <c r="Q8" s="346"/>
      <c r="R8" s="346"/>
      <c r="S8" s="346"/>
      <c r="T8" s="346"/>
      <c r="U8" s="346"/>
      <c r="V8" s="346"/>
      <c r="W8" s="346"/>
      <c r="X8" s="346"/>
      <c r="Y8" s="346"/>
      <c r="Z8" s="1006"/>
    </row>
    <row r="9" spans="1:26" s="11" customFormat="1" ht="16.05" customHeight="1" x14ac:dyDescent="0.3">
      <c r="A9" s="1019">
        <v>5</v>
      </c>
      <c r="B9" s="992" t="s">
        <v>57</v>
      </c>
      <c r="C9" s="440">
        <v>0</v>
      </c>
      <c r="D9" s="440">
        <v>1</v>
      </c>
      <c r="E9" s="444">
        <f t="shared" si="0"/>
        <v>-1</v>
      </c>
      <c r="F9" s="441" t="s">
        <v>1521</v>
      </c>
      <c r="G9" s="441" t="s">
        <v>1522</v>
      </c>
      <c r="H9" s="419" t="s">
        <v>1526</v>
      </c>
      <c r="I9" s="979"/>
      <c r="J9" s="979"/>
      <c r="K9" s="979"/>
      <c r="L9" s="979"/>
      <c r="M9" s="979"/>
      <c r="N9" s="979"/>
      <c r="O9" s="979"/>
      <c r="P9" s="979"/>
      <c r="Q9" s="979"/>
      <c r="R9" s="979"/>
      <c r="S9" s="979"/>
      <c r="T9" s="979"/>
      <c r="U9" s="979"/>
      <c r="V9" s="979"/>
      <c r="W9" s="979"/>
      <c r="X9" s="979"/>
      <c r="Y9" s="979"/>
      <c r="Z9" s="1005"/>
    </row>
    <row r="10" spans="1:26" s="11" customFormat="1" ht="16.05" customHeight="1" x14ac:dyDescent="0.3">
      <c r="A10" s="1019">
        <v>6</v>
      </c>
      <c r="B10" s="991" t="s">
        <v>693</v>
      </c>
      <c r="C10" s="367">
        <v>1</v>
      </c>
      <c r="D10" s="367">
        <v>1</v>
      </c>
      <c r="E10" s="368">
        <f t="shared" si="0"/>
        <v>0</v>
      </c>
      <c r="F10" s="361" t="s">
        <v>1518</v>
      </c>
      <c r="G10" s="361" t="s">
        <v>1519</v>
      </c>
      <c r="H10" s="356" t="s">
        <v>1527</v>
      </c>
      <c r="I10" s="346"/>
      <c r="J10" s="346"/>
      <c r="K10" s="346"/>
      <c r="L10" s="346"/>
      <c r="M10" s="346"/>
      <c r="N10" s="346"/>
      <c r="O10" s="346"/>
      <c r="P10" s="346"/>
      <c r="Q10" s="346"/>
      <c r="R10" s="346"/>
      <c r="S10" s="346"/>
      <c r="T10" s="346"/>
      <c r="U10" s="346"/>
      <c r="V10" s="346"/>
      <c r="W10" s="346"/>
      <c r="X10" s="346"/>
      <c r="Y10" s="346"/>
      <c r="Z10" s="1006"/>
    </row>
    <row r="11" spans="1:26" s="11" customFormat="1" ht="16.05" customHeight="1" x14ac:dyDescent="0.3">
      <c r="A11" s="1019">
        <v>7</v>
      </c>
      <c r="B11" s="992" t="s">
        <v>539</v>
      </c>
      <c r="C11" s="440">
        <v>0.9</v>
      </c>
      <c r="D11" s="440">
        <v>1</v>
      </c>
      <c r="E11" s="444">
        <f t="shared" si="0"/>
        <v>-9.9999999999999978E-2</v>
      </c>
      <c r="F11" s="441" t="s">
        <v>1528</v>
      </c>
      <c r="G11" s="441" t="s">
        <v>1522</v>
      </c>
      <c r="H11" s="419" t="s">
        <v>1529</v>
      </c>
      <c r="I11" s="979"/>
      <c r="J11" s="979"/>
      <c r="K11" s="979"/>
      <c r="L11" s="979"/>
      <c r="M11" s="979"/>
      <c r="N11" s="979"/>
      <c r="O11" s="979"/>
      <c r="P11" s="979"/>
      <c r="Q11" s="979"/>
      <c r="R11" s="979"/>
      <c r="S11" s="979"/>
      <c r="T11" s="979"/>
      <c r="U11" s="979"/>
      <c r="V11" s="979"/>
      <c r="W11" s="979"/>
      <c r="X11" s="979"/>
      <c r="Y11" s="979"/>
      <c r="Z11" s="1005"/>
    </row>
    <row r="12" spans="1:26" s="11" customFormat="1" ht="16.05" customHeight="1" x14ac:dyDescent="0.3">
      <c r="A12" s="1019">
        <v>8</v>
      </c>
      <c r="B12" s="991" t="s">
        <v>47</v>
      </c>
      <c r="C12" s="367">
        <v>0</v>
      </c>
      <c r="D12" s="367">
        <v>1</v>
      </c>
      <c r="E12" s="368">
        <f t="shared" si="0"/>
        <v>-1</v>
      </c>
      <c r="F12" s="361" t="s">
        <v>1521</v>
      </c>
      <c r="G12" s="361" t="s">
        <v>1522</v>
      </c>
      <c r="H12" s="358" t="s">
        <v>1530</v>
      </c>
      <c r="I12" s="346"/>
      <c r="J12" s="346"/>
      <c r="K12" s="346"/>
      <c r="L12" s="346"/>
      <c r="M12" s="346"/>
      <c r="N12" s="346"/>
      <c r="O12" s="346"/>
      <c r="P12" s="346"/>
      <c r="Q12" s="346"/>
      <c r="R12" s="346"/>
      <c r="S12" s="346"/>
      <c r="T12" s="346"/>
      <c r="U12" s="346"/>
      <c r="V12" s="346"/>
      <c r="W12" s="346"/>
      <c r="X12" s="346"/>
      <c r="Y12" s="346"/>
      <c r="Z12" s="1006"/>
    </row>
    <row r="13" spans="1:26" s="11" customFormat="1" ht="16.05" customHeight="1" x14ac:dyDescent="0.3">
      <c r="A13" s="1019">
        <v>9</v>
      </c>
      <c r="B13" s="992" t="s">
        <v>515</v>
      </c>
      <c r="C13" s="440">
        <v>0.36</v>
      </c>
      <c r="D13" s="440">
        <v>1</v>
      </c>
      <c r="E13" s="444">
        <f t="shared" si="0"/>
        <v>-0.64</v>
      </c>
      <c r="F13" s="441" t="s">
        <v>1524</v>
      </c>
      <c r="G13" s="441" t="s">
        <v>1522</v>
      </c>
      <c r="H13" s="419" t="s">
        <v>1531</v>
      </c>
      <c r="I13" s="979"/>
      <c r="J13" s="979"/>
      <c r="K13" s="979"/>
      <c r="L13" s="979"/>
      <c r="M13" s="979"/>
      <c r="N13" s="979"/>
      <c r="O13" s="979"/>
      <c r="P13" s="979"/>
      <c r="Q13" s="979"/>
      <c r="R13" s="979"/>
      <c r="S13" s="979"/>
      <c r="T13" s="979"/>
      <c r="U13" s="979"/>
      <c r="V13" s="979"/>
      <c r="W13" s="979"/>
      <c r="X13" s="979"/>
      <c r="Y13" s="979"/>
      <c r="Z13" s="1005"/>
    </row>
    <row r="14" spans="1:26" s="11" customFormat="1" ht="16.05" customHeight="1" x14ac:dyDescent="0.3">
      <c r="A14" s="1019">
        <v>10</v>
      </c>
      <c r="B14" s="991" t="s">
        <v>526</v>
      </c>
      <c r="C14" s="367">
        <v>0.5</v>
      </c>
      <c r="D14" s="367">
        <v>1</v>
      </c>
      <c r="E14" s="368">
        <f t="shared" si="0"/>
        <v>-0.5</v>
      </c>
      <c r="F14" s="361" t="s">
        <v>1524</v>
      </c>
      <c r="G14" s="361" t="s">
        <v>1522</v>
      </c>
      <c r="H14" s="358" t="s">
        <v>1532</v>
      </c>
      <c r="I14" s="346"/>
      <c r="J14" s="346"/>
      <c r="K14" s="346"/>
      <c r="L14" s="346"/>
      <c r="M14" s="346"/>
      <c r="N14" s="346"/>
      <c r="O14" s="346"/>
      <c r="P14" s="346"/>
      <c r="Q14" s="346"/>
      <c r="R14" s="346"/>
      <c r="S14" s="346"/>
      <c r="T14" s="346"/>
      <c r="U14" s="346"/>
      <c r="V14" s="346"/>
      <c r="W14" s="346"/>
      <c r="X14" s="346"/>
      <c r="Y14" s="346"/>
      <c r="Z14" s="1006"/>
    </row>
    <row r="15" spans="1:26" s="11" customFormat="1" ht="16.05" customHeight="1" x14ac:dyDescent="0.3">
      <c r="A15" s="1019">
        <v>11</v>
      </c>
      <c r="B15" s="992" t="s">
        <v>53</v>
      </c>
      <c r="C15" s="440">
        <v>0</v>
      </c>
      <c r="D15" s="440">
        <v>1</v>
      </c>
      <c r="E15" s="444">
        <f t="shared" si="0"/>
        <v>-1</v>
      </c>
      <c r="F15" s="441" t="s">
        <v>1521</v>
      </c>
      <c r="G15" s="441" t="s">
        <v>1522</v>
      </c>
      <c r="H15" s="419" t="s">
        <v>1533</v>
      </c>
      <c r="I15" s="979"/>
      <c r="J15" s="979"/>
      <c r="K15" s="979"/>
      <c r="L15" s="979"/>
      <c r="M15" s="979"/>
      <c r="N15" s="979"/>
      <c r="O15" s="979"/>
      <c r="P15" s="979"/>
      <c r="Q15" s="979"/>
      <c r="R15" s="979"/>
      <c r="S15" s="979"/>
      <c r="T15" s="979"/>
      <c r="U15" s="979"/>
      <c r="V15" s="979"/>
      <c r="W15" s="979"/>
      <c r="X15" s="979"/>
      <c r="Y15" s="979"/>
      <c r="Z15" s="1005"/>
    </row>
    <row r="16" spans="1:26" s="11" customFormat="1" ht="16.05" customHeight="1" x14ac:dyDescent="0.3">
      <c r="A16" s="1019">
        <v>12</v>
      </c>
      <c r="B16" s="991" t="s">
        <v>487</v>
      </c>
      <c r="C16" s="367">
        <v>0.27</v>
      </c>
      <c r="D16" s="367">
        <v>1</v>
      </c>
      <c r="E16" s="368">
        <f t="shared" si="0"/>
        <v>-0.73</v>
      </c>
      <c r="F16" s="361" t="s">
        <v>1524</v>
      </c>
      <c r="G16" s="361" t="s">
        <v>1522</v>
      </c>
      <c r="H16" s="358" t="s">
        <v>1534</v>
      </c>
      <c r="I16" s="346"/>
      <c r="J16" s="346"/>
      <c r="K16" s="346"/>
      <c r="L16" s="346"/>
      <c r="M16" s="346"/>
      <c r="N16" s="346"/>
      <c r="O16" s="346"/>
      <c r="P16" s="346"/>
      <c r="Q16" s="346"/>
      <c r="R16" s="346"/>
      <c r="S16" s="346"/>
      <c r="T16" s="346"/>
      <c r="U16" s="346"/>
      <c r="V16" s="346"/>
      <c r="W16" s="346"/>
      <c r="X16" s="346"/>
      <c r="Y16" s="346"/>
      <c r="Z16" s="1006"/>
    </row>
    <row r="17" spans="1:26" s="11" customFormat="1" ht="16.05" customHeight="1" x14ac:dyDescent="0.3">
      <c r="A17" s="1019">
        <v>13</v>
      </c>
      <c r="B17" s="992" t="s">
        <v>545</v>
      </c>
      <c r="C17" s="440">
        <v>1</v>
      </c>
      <c r="D17" s="440">
        <v>1</v>
      </c>
      <c r="E17" s="444">
        <f t="shared" si="0"/>
        <v>0</v>
      </c>
      <c r="F17" s="441" t="s">
        <v>1535</v>
      </c>
      <c r="G17" s="441" t="s">
        <v>1519</v>
      </c>
      <c r="H17" s="423" t="s">
        <v>1536</v>
      </c>
      <c r="I17" s="979"/>
      <c r="J17" s="979"/>
      <c r="K17" s="979"/>
      <c r="L17" s="979"/>
      <c r="M17" s="979"/>
      <c r="N17" s="979"/>
      <c r="O17" s="979"/>
      <c r="P17" s="979"/>
      <c r="Q17" s="979"/>
      <c r="R17" s="979"/>
      <c r="S17" s="979"/>
      <c r="T17" s="979"/>
      <c r="U17" s="979"/>
      <c r="V17" s="979"/>
      <c r="W17" s="979"/>
      <c r="X17" s="979"/>
      <c r="Y17" s="979"/>
      <c r="Z17" s="1005"/>
    </row>
    <row r="18" spans="1:26" s="11" customFormat="1" ht="16.05" customHeight="1" x14ac:dyDescent="0.3">
      <c r="A18" s="1019">
        <v>14</v>
      </c>
      <c r="B18" s="991" t="s">
        <v>50</v>
      </c>
      <c r="C18" s="367">
        <v>0</v>
      </c>
      <c r="D18" s="367">
        <v>1</v>
      </c>
      <c r="E18" s="368">
        <f t="shared" si="0"/>
        <v>-1</v>
      </c>
      <c r="F18" s="361" t="s">
        <v>1521</v>
      </c>
      <c r="G18" s="361" t="s">
        <v>1522</v>
      </c>
      <c r="H18" s="358" t="s">
        <v>1537</v>
      </c>
      <c r="I18" s="346"/>
      <c r="J18" s="346"/>
      <c r="K18" s="346"/>
      <c r="L18" s="346"/>
      <c r="M18" s="346"/>
      <c r="N18" s="346"/>
      <c r="O18" s="346"/>
      <c r="P18" s="346"/>
      <c r="Q18" s="346"/>
      <c r="R18" s="346"/>
      <c r="S18" s="346"/>
      <c r="T18" s="346"/>
      <c r="U18" s="346"/>
      <c r="V18" s="346"/>
      <c r="W18" s="346"/>
      <c r="X18" s="346"/>
      <c r="Y18" s="346"/>
      <c r="Z18" s="1006"/>
    </row>
    <row r="19" spans="1:26" s="11" customFormat="1" ht="16.05" customHeight="1" x14ac:dyDescent="0.3">
      <c r="A19" s="1019">
        <v>15</v>
      </c>
      <c r="B19" s="992" t="s">
        <v>633</v>
      </c>
      <c r="C19" s="440">
        <v>0.7</v>
      </c>
      <c r="D19" s="440">
        <v>0.55000000000000004</v>
      </c>
      <c r="E19" s="444">
        <f t="shared" si="0"/>
        <v>0.14999999999999991</v>
      </c>
      <c r="F19" s="441" t="s">
        <v>1538</v>
      </c>
      <c r="G19" s="441" t="s">
        <v>1522</v>
      </c>
      <c r="H19" s="423" t="s">
        <v>1539</v>
      </c>
      <c r="I19" s="979"/>
      <c r="J19" s="979"/>
      <c r="K19" s="979"/>
      <c r="L19" s="979"/>
      <c r="M19" s="979"/>
      <c r="N19" s="979"/>
      <c r="O19" s="979"/>
      <c r="P19" s="979"/>
      <c r="Q19" s="979"/>
      <c r="R19" s="979"/>
      <c r="S19" s="979"/>
      <c r="T19" s="979"/>
      <c r="U19" s="979"/>
      <c r="V19" s="979"/>
      <c r="W19" s="979"/>
      <c r="X19" s="979"/>
      <c r="Y19" s="979"/>
      <c r="Z19" s="1005"/>
    </row>
    <row r="20" spans="1:26" s="11" customFormat="1" ht="16.05" customHeight="1" x14ac:dyDescent="0.3">
      <c r="A20" s="1019">
        <v>16</v>
      </c>
      <c r="B20" s="991" t="s">
        <v>622</v>
      </c>
      <c r="C20" s="367">
        <v>1</v>
      </c>
      <c r="D20" s="367">
        <v>1</v>
      </c>
      <c r="E20" s="368">
        <f t="shared" si="0"/>
        <v>0</v>
      </c>
      <c r="F20" s="361" t="s">
        <v>1535</v>
      </c>
      <c r="G20" s="361" t="s">
        <v>1519</v>
      </c>
      <c r="H20" s="356" t="s">
        <v>1540</v>
      </c>
      <c r="I20" s="346"/>
      <c r="J20" s="346"/>
      <c r="K20" s="346"/>
      <c r="L20" s="346"/>
      <c r="M20" s="346"/>
      <c r="N20" s="346"/>
      <c r="O20" s="346"/>
      <c r="P20" s="346"/>
      <c r="Q20" s="346"/>
      <c r="R20" s="346"/>
      <c r="S20" s="346"/>
      <c r="T20" s="346"/>
      <c r="U20" s="346"/>
      <c r="V20" s="346"/>
      <c r="W20" s="346"/>
      <c r="X20" s="346"/>
      <c r="Y20" s="346"/>
      <c r="Z20" s="1006"/>
    </row>
    <row r="21" spans="1:26" s="11" customFormat="1" ht="16.05" customHeight="1" x14ac:dyDescent="0.3">
      <c r="A21" s="1019">
        <v>17</v>
      </c>
      <c r="B21" s="992" t="s">
        <v>470</v>
      </c>
      <c r="C21" s="440">
        <v>0.32</v>
      </c>
      <c r="D21" s="440">
        <v>1</v>
      </c>
      <c r="E21" s="444">
        <f t="shared" si="0"/>
        <v>-0.67999999999999994</v>
      </c>
      <c r="F21" s="441" t="s">
        <v>1524</v>
      </c>
      <c r="G21" s="441" t="s">
        <v>1522</v>
      </c>
      <c r="H21" s="419" t="s">
        <v>1541</v>
      </c>
      <c r="I21" s="979"/>
      <c r="J21" s="979"/>
      <c r="K21" s="979"/>
      <c r="L21" s="979"/>
      <c r="M21" s="979"/>
      <c r="N21" s="979"/>
      <c r="O21" s="979"/>
      <c r="P21" s="979"/>
      <c r="Q21" s="979"/>
      <c r="R21" s="979"/>
      <c r="S21" s="979"/>
      <c r="T21" s="979"/>
      <c r="U21" s="979"/>
      <c r="V21" s="979"/>
      <c r="W21" s="979"/>
      <c r="X21" s="979"/>
      <c r="Y21" s="979"/>
      <c r="Z21" s="1005"/>
    </row>
    <row r="22" spans="1:26" s="11" customFormat="1" ht="16.05" customHeight="1" x14ac:dyDescent="0.3">
      <c r="A22" s="1019">
        <v>18</v>
      </c>
      <c r="B22" s="991" t="s">
        <v>463</v>
      </c>
      <c r="C22" s="367">
        <v>0.27</v>
      </c>
      <c r="D22" s="367">
        <v>1</v>
      </c>
      <c r="E22" s="368">
        <f t="shared" si="0"/>
        <v>-0.73</v>
      </c>
      <c r="F22" s="361" t="s">
        <v>1524</v>
      </c>
      <c r="G22" s="361" t="s">
        <v>1522</v>
      </c>
      <c r="H22" s="358" t="s">
        <v>1542</v>
      </c>
      <c r="I22" s="346"/>
      <c r="J22" s="346"/>
      <c r="K22" s="346"/>
      <c r="L22" s="346"/>
      <c r="M22" s="346"/>
      <c r="N22" s="346"/>
      <c r="O22" s="346"/>
      <c r="P22" s="346"/>
      <c r="Q22" s="346"/>
      <c r="R22" s="346"/>
      <c r="S22" s="346"/>
      <c r="T22" s="346"/>
      <c r="U22" s="346"/>
      <c r="V22" s="346"/>
      <c r="W22" s="346"/>
      <c r="X22" s="346"/>
      <c r="Y22" s="346"/>
      <c r="Z22" s="1006"/>
    </row>
    <row r="23" spans="1:26" s="11" customFormat="1" ht="16.05" customHeight="1" x14ac:dyDescent="0.3">
      <c r="A23" s="1019">
        <v>19</v>
      </c>
      <c r="B23" s="992" t="s">
        <v>711</v>
      </c>
      <c r="C23" s="440">
        <v>1</v>
      </c>
      <c r="D23" s="440">
        <v>1</v>
      </c>
      <c r="E23" s="444">
        <f t="shared" si="0"/>
        <v>0</v>
      </c>
      <c r="F23" s="441" t="s">
        <v>1518</v>
      </c>
      <c r="G23" s="441" t="s">
        <v>1519</v>
      </c>
      <c r="H23" s="423" t="s">
        <v>1543</v>
      </c>
      <c r="I23" s="979"/>
      <c r="J23" s="979"/>
      <c r="K23" s="979"/>
      <c r="L23" s="979"/>
      <c r="M23" s="979"/>
      <c r="N23" s="979"/>
      <c r="O23" s="979"/>
      <c r="P23" s="979"/>
      <c r="Q23" s="979"/>
      <c r="R23" s="979"/>
      <c r="S23" s="979"/>
      <c r="T23" s="979"/>
      <c r="U23" s="979"/>
      <c r="V23" s="979"/>
      <c r="W23" s="979"/>
      <c r="X23" s="979"/>
      <c r="Y23" s="979"/>
      <c r="Z23" s="1005"/>
    </row>
    <row r="24" spans="1:26" s="11" customFormat="1" ht="16.05" customHeight="1" x14ac:dyDescent="0.3">
      <c r="A24" s="1019">
        <v>20</v>
      </c>
      <c r="B24" s="991" t="s">
        <v>501</v>
      </c>
      <c r="C24" s="367">
        <v>0.25</v>
      </c>
      <c r="D24" s="367">
        <v>0.1</v>
      </c>
      <c r="E24" s="368">
        <f t="shared" si="0"/>
        <v>0.15</v>
      </c>
      <c r="F24" s="361" t="s">
        <v>1521</v>
      </c>
      <c r="G24" s="361" t="s">
        <v>1522</v>
      </c>
      <c r="H24" s="356" t="s">
        <v>1544</v>
      </c>
      <c r="I24" s="346"/>
      <c r="J24" s="346"/>
      <c r="K24" s="346"/>
      <c r="L24" s="346"/>
      <c r="M24" s="346"/>
      <c r="N24" s="346"/>
      <c r="O24" s="346"/>
      <c r="P24" s="346"/>
      <c r="Q24" s="346"/>
      <c r="R24" s="346"/>
      <c r="S24" s="346"/>
      <c r="T24" s="346"/>
      <c r="U24" s="346"/>
      <c r="V24" s="346"/>
      <c r="W24" s="346"/>
      <c r="X24" s="346"/>
      <c r="Y24" s="346"/>
      <c r="Z24" s="1006"/>
    </row>
    <row r="25" spans="1:26" s="11" customFormat="1" ht="16.05" customHeight="1" x14ac:dyDescent="0.3">
      <c r="A25" s="999" t="s">
        <v>103</v>
      </c>
      <c r="B25" s="1014" t="s">
        <v>1545</v>
      </c>
      <c r="C25" s="444">
        <f>AVERAGE(C4:C24)</f>
        <v>0.46157894736842114</v>
      </c>
      <c r="D25" s="444">
        <v>0.9375</v>
      </c>
      <c r="E25" s="444">
        <f>AVERAGE(E6:E24)</f>
        <v>-0.46736842105263154</v>
      </c>
      <c r="F25" s="441" t="s">
        <v>1521</v>
      </c>
      <c r="G25" s="441" t="s">
        <v>1546</v>
      </c>
      <c r="H25" s="441" t="s">
        <v>1547</v>
      </c>
      <c r="I25" s="979"/>
      <c r="J25" s="979"/>
      <c r="K25" s="979"/>
      <c r="L25" s="979"/>
      <c r="M25" s="979"/>
      <c r="N25" s="979"/>
      <c r="O25" s="979"/>
      <c r="P25" s="979"/>
      <c r="Q25" s="979"/>
      <c r="R25" s="979"/>
      <c r="S25" s="979"/>
      <c r="T25" s="979"/>
      <c r="U25" s="979"/>
      <c r="V25" s="979"/>
      <c r="W25" s="979"/>
      <c r="X25" s="979"/>
      <c r="Y25" s="979"/>
      <c r="Z25" s="1005"/>
    </row>
    <row r="26" spans="1:26" s="11" customFormat="1" ht="16.05" customHeight="1" x14ac:dyDescent="0.3">
      <c r="A26" s="1019"/>
      <c r="B26" s="1015"/>
      <c r="C26" s="346"/>
      <c r="D26" s="346"/>
      <c r="E26" s="346"/>
      <c r="F26" s="346"/>
      <c r="G26" s="346"/>
      <c r="H26" s="346"/>
      <c r="I26" s="346"/>
      <c r="J26" s="346"/>
      <c r="K26" s="346"/>
      <c r="L26" s="346"/>
      <c r="M26" s="346"/>
      <c r="N26" s="346"/>
      <c r="O26" s="346"/>
      <c r="P26" s="346"/>
      <c r="Q26" s="346"/>
      <c r="R26" s="346"/>
      <c r="S26" s="346"/>
      <c r="T26" s="346"/>
      <c r="U26" s="346"/>
      <c r="V26" s="346"/>
      <c r="W26" s="346"/>
      <c r="X26" s="346"/>
      <c r="Y26" s="346"/>
      <c r="Z26" s="1006"/>
    </row>
    <row r="27" spans="1:26" s="11" customFormat="1" ht="19.95" customHeight="1" x14ac:dyDescent="0.3">
      <c r="A27" s="1940" t="s">
        <v>1548</v>
      </c>
      <c r="B27" s="1798"/>
      <c r="C27" s="1798"/>
      <c r="D27" s="1798"/>
      <c r="E27" s="1798"/>
      <c r="F27" s="1798"/>
      <c r="G27" s="1798"/>
      <c r="H27" s="1798"/>
      <c r="I27" s="1798"/>
      <c r="J27" s="1798"/>
      <c r="K27" s="1798"/>
      <c r="L27" s="1798"/>
      <c r="M27" s="1798"/>
      <c r="N27" s="1798"/>
      <c r="O27" s="1798"/>
      <c r="P27" s="1798"/>
      <c r="Q27" s="1798"/>
      <c r="R27" s="1798"/>
      <c r="S27" s="1798"/>
      <c r="T27" s="1798"/>
      <c r="U27" s="1798"/>
      <c r="V27" s="1798"/>
      <c r="W27" s="1798"/>
      <c r="X27" s="1798"/>
      <c r="Y27" s="1798"/>
      <c r="Z27" s="1799"/>
    </row>
    <row r="28" spans="1:26" s="11" customFormat="1" ht="19.95" customHeight="1" x14ac:dyDescent="0.3">
      <c r="A28" s="1797" t="s">
        <v>1549</v>
      </c>
      <c r="B28" s="1798"/>
      <c r="C28" s="1798"/>
      <c r="D28" s="1798"/>
      <c r="E28" s="1798"/>
      <c r="F28" s="1798"/>
      <c r="G28" s="1798"/>
      <c r="H28" s="1798"/>
      <c r="I28" s="1798"/>
      <c r="J28" s="1798"/>
      <c r="K28" s="1798"/>
      <c r="L28" s="1798"/>
      <c r="M28" s="1798"/>
      <c r="N28" s="1798"/>
      <c r="O28" s="1798"/>
      <c r="P28" s="1798"/>
      <c r="Q28" s="1798"/>
      <c r="R28" s="1798"/>
      <c r="S28" s="1798"/>
      <c r="T28" s="1798"/>
      <c r="U28" s="1798"/>
      <c r="V28" s="1798"/>
      <c r="W28" s="1798"/>
      <c r="X28" s="1798"/>
      <c r="Y28" s="1798"/>
      <c r="Z28" s="1799"/>
    </row>
    <row r="29" spans="1:26" s="11" customFormat="1" ht="16.05" customHeight="1" x14ac:dyDescent="0.3">
      <c r="A29" s="1019" t="s">
        <v>1551</v>
      </c>
      <c r="B29" s="1016" t="s">
        <v>1552</v>
      </c>
      <c r="C29" s="1002">
        <v>5</v>
      </c>
      <c r="D29" s="1002">
        <v>0.79</v>
      </c>
      <c r="E29" s="1002">
        <v>0.93</v>
      </c>
      <c r="F29" s="455" t="s">
        <v>1553</v>
      </c>
      <c r="G29" s="455" t="s">
        <v>1554</v>
      </c>
      <c r="H29" s="455" t="s">
        <v>1555</v>
      </c>
      <c r="I29" s="979"/>
      <c r="J29" s="979"/>
      <c r="K29" s="979"/>
      <c r="L29" s="979"/>
      <c r="M29" s="979"/>
      <c r="N29" s="979"/>
      <c r="O29" s="979"/>
      <c r="P29" s="979"/>
      <c r="Q29" s="979"/>
      <c r="R29" s="979"/>
      <c r="S29" s="979"/>
      <c r="T29" s="979"/>
      <c r="U29" s="979"/>
      <c r="V29" s="979"/>
      <c r="W29" s="979"/>
      <c r="X29" s="979"/>
      <c r="Y29" s="979"/>
      <c r="Z29" s="1005"/>
    </row>
    <row r="30" spans="1:26" s="11" customFormat="1" ht="16.05" customHeight="1" x14ac:dyDescent="0.3">
      <c r="A30" s="1019" t="s">
        <v>1556</v>
      </c>
      <c r="B30" s="1017" t="s">
        <v>1557</v>
      </c>
      <c r="C30" s="369">
        <v>5</v>
      </c>
      <c r="D30" s="369">
        <v>0.79</v>
      </c>
      <c r="E30" s="369">
        <v>0.92</v>
      </c>
      <c r="F30" s="349">
        <v>0</v>
      </c>
      <c r="G30" s="349" t="s">
        <v>1558</v>
      </c>
      <c r="H30" s="349" t="s">
        <v>1559</v>
      </c>
      <c r="I30" s="346"/>
      <c r="J30" s="346"/>
      <c r="K30" s="346"/>
      <c r="L30" s="346"/>
      <c r="M30" s="346"/>
      <c r="N30" s="346"/>
      <c r="O30" s="346"/>
      <c r="P30" s="346"/>
      <c r="Q30" s="346"/>
      <c r="R30" s="346"/>
      <c r="S30" s="346"/>
      <c r="T30" s="346"/>
      <c r="U30" s="346"/>
      <c r="V30" s="346"/>
      <c r="W30" s="346"/>
      <c r="X30" s="346"/>
      <c r="Y30" s="346"/>
      <c r="Z30" s="1006"/>
    </row>
    <row r="31" spans="1:26" s="11" customFormat="1" ht="16.05" customHeight="1" x14ac:dyDescent="0.3">
      <c r="A31" s="1019" t="s">
        <v>1560</v>
      </c>
      <c r="B31" s="1016" t="s">
        <v>1561</v>
      </c>
      <c r="C31" s="1002">
        <v>3</v>
      </c>
      <c r="D31" s="1002">
        <v>0.78</v>
      </c>
      <c r="E31" s="1002">
        <v>1</v>
      </c>
      <c r="F31" s="455">
        <v>-0.23</v>
      </c>
      <c r="G31" s="455" t="s">
        <v>1562</v>
      </c>
      <c r="H31" s="455" t="s">
        <v>1563</v>
      </c>
      <c r="I31" s="979"/>
      <c r="J31" s="979"/>
      <c r="K31" s="979"/>
      <c r="L31" s="979"/>
      <c r="M31" s="979"/>
      <c r="N31" s="979"/>
      <c r="O31" s="979"/>
      <c r="P31" s="979"/>
      <c r="Q31" s="979"/>
      <c r="R31" s="979"/>
      <c r="S31" s="979"/>
      <c r="T31" s="979"/>
      <c r="U31" s="979"/>
      <c r="V31" s="979"/>
      <c r="W31" s="979"/>
      <c r="X31" s="979"/>
      <c r="Y31" s="979"/>
      <c r="Z31" s="1005"/>
    </row>
    <row r="32" spans="1:26" ht="16.05" customHeight="1" x14ac:dyDescent="0.3">
      <c r="A32" s="1019" t="s">
        <v>1564</v>
      </c>
      <c r="B32" s="1017" t="s">
        <v>1565</v>
      </c>
      <c r="C32" s="369">
        <v>8</v>
      </c>
      <c r="D32" s="369">
        <v>0.37</v>
      </c>
      <c r="E32" s="369">
        <v>1</v>
      </c>
      <c r="F32" s="349">
        <v>-0.63</v>
      </c>
      <c r="G32" s="349" t="s">
        <v>1566</v>
      </c>
      <c r="H32" s="349" t="s">
        <v>1567</v>
      </c>
      <c r="I32" s="981"/>
      <c r="J32" s="981"/>
      <c r="K32" s="981"/>
      <c r="L32" s="981"/>
      <c r="M32" s="981"/>
      <c r="N32" s="981"/>
      <c r="O32" s="981"/>
      <c r="P32" s="981"/>
      <c r="Q32" s="981"/>
      <c r="R32" s="981"/>
      <c r="S32" s="981"/>
      <c r="T32" s="981"/>
      <c r="U32" s="981"/>
      <c r="V32" s="981"/>
      <c r="W32" s="981"/>
      <c r="X32" s="981"/>
      <c r="Y32" s="981"/>
      <c r="Z32" s="1004"/>
    </row>
    <row r="33" spans="1:26" ht="16.05" customHeight="1" thickBot="1" x14ac:dyDescent="0.35">
      <c r="A33" s="1020" t="s">
        <v>1568</v>
      </c>
      <c r="B33" s="1018" t="s">
        <v>1569</v>
      </c>
      <c r="C33" s="1009">
        <v>4</v>
      </c>
      <c r="D33" s="1009">
        <v>0</v>
      </c>
      <c r="E33" s="1009">
        <v>1</v>
      </c>
      <c r="F33" s="1008">
        <v>-1</v>
      </c>
      <c r="G33" s="1008" t="s">
        <v>1570</v>
      </c>
      <c r="H33" s="1008" t="s">
        <v>1571</v>
      </c>
      <c r="I33" s="1010"/>
      <c r="J33" s="1010"/>
      <c r="K33" s="1010"/>
      <c r="L33" s="1010"/>
      <c r="M33" s="1010"/>
      <c r="N33" s="1010"/>
      <c r="O33" s="1010"/>
      <c r="P33" s="1010"/>
      <c r="Q33" s="1010"/>
      <c r="R33" s="1010"/>
      <c r="S33" s="1010"/>
      <c r="T33" s="1010"/>
      <c r="U33" s="1010"/>
      <c r="V33" s="1010"/>
      <c r="W33" s="1010"/>
      <c r="X33" s="1010"/>
      <c r="Y33" s="1010"/>
      <c r="Z33" s="1011"/>
    </row>
    <row r="34" spans="1:26" ht="18" customHeight="1" thickTop="1" x14ac:dyDescent="0.3"/>
    <row r="35" spans="1:26" ht="18" customHeight="1" x14ac:dyDescent="0.3"/>
  </sheetData>
  <mergeCells count="5">
    <mergeCell ref="A28:Z28"/>
    <mergeCell ref="A1:Z1"/>
    <mergeCell ref="A3:Z3"/>
    <mergeCell ref="A4:Z4"/>
    <mergeCell ref="A27:Z27"/>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EAD1DC"/>
  </sheetPr>
  <dimension ref="A1:Z34"/>
  <sheetViews>
    <sheetView showGridLines="0" zoomScale="79" zoomScaleNormal="79" workbookViewId="0">
      <pane ySplit="3" topLeftCell="A18" activePane="bottomLeft" state="frozen"/>
      <selection pane="bottomLeft" sqref="A1:Z1"/>
    </sheetView>
  </sheetViews>
  <sheetFormatPr baseColWidth="10" defaultRowHeight="14.4" x14ac:dyDescent="0.3"/>
  <cols>
    <col min="1" max="1" width="5.21875" style="2" customWidth="1"/>
    <col min="2" max="2" width="37" bestFit="1" customWidth="1"/>
    <col min="3" max="3" width="24.21875" bestFit="1" customWidth="1"/>
    <col min="4" max="4" width="11.109375" bestFit="1" customWidth="1"/>
    <col min="5" max="5" width="11.21875" bestFit="1" customWidth="1"/>
    <col min="6" max="6" width="13.33203125" bestFit="1" customWidth="1"/>
    <col min="7" max="7" width="6.88671875" style="1" bestFit="1" customWidth="1"/>
    <col min="8" max="8" width="9.6640625" bestFit="1" customWidth="1"/>
    <col min="9" max="9" width="6.88671875" bestFit="1" customWidth="1"/>
    <col min="10" max="10" width="13.6640625" bestFit="1" customWidth="1"/>
    <col min="11" max="11" width="31.33203125" bestFit="1" customWidth="1"/>
    <col min="12" max="12" width="14.5546875" bestFit="1" customWidth="1"/>
    <col min="26" max="26" width="8.44140625" bestFit="1" customWidth="1"/>
  </cols>
  <sheetData>
    <row r="1" spans="1:26" ht="19.95" customHeight="1" x14ac:dyDescent="0.3">
      <c r="A1" s="1925" t="s">
        <v>4791</v>
      </c>
      <c r="B1" s="1713"/>
      <c r="C1" s="1713"/>
      <c r="D1" s="1713"/>
      <c r="E1" s="1713"/>
      <c r="F1" s="1713"/>
      <c r="G1" s="1713"/>
      <c r="H1" s="1713"/>
      <c r="I1" s="1713"/>
      <c r="J1" s="1713"/>
      <c r="K1" s="1713"/>
      <c r="L1" s="1713"/>
      <c r="M1" s="1713"/>
      <c r="N1" s="1713"/>
      <c r="O1" s="1713"/>
      <c r="P1" s="1713"/>
      <c r="Q1" s="1713"/>
      <c r="R1" s="1713"/>
      <c r="S1" s="1713"/>
      <c r="T1" s="1713"/>
      <c r="U1" s="1713"/>
      <c r="V1" s="1713"/>
      <c r="W1" s="1713"/>
      <c r="X1" s="1713"/>
      <c r="Y1" s="1713"/>
      <c r="Z1" s="1713"/>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473"/>
      <c r="N2" s="473"/>
      <c r="O2" s="473"/>
      <c r="P2" s="473"/>
      <c r="Q2" s="473"/>
      <c r="R2" s="473"/>
      <c r="S2" s="473"/>
      <c r="T2" s="473"/>
      <c r="U2" s="473"/>
      <c r="V2" s="473"/>
      <c r="W2" s="473"/>
      <c r="X2" s="473"/>
      <c r="Y2" s="473"/>
      <c r="Z2" s="473"/>
    </row>
    <row r="3" spans="1:26" ht="19.95" customHeight="1" thickBot="1" x14ac:dyDescent="0.35">
      <c r="A3" s="1714" t="s">
        <v>4067</v>
      </c>
      <c r="B3" s="1714"/>
      <c r="C3" s="1714"/>
      <c r="D3" s="1714"/>
      <c r="E3" s="1714"/>
      <c r="F3" s="1714"/>
      <c r="G3" s="1714"/>
      <c r="H3" s="1714"/>
      <c r="I3" s="1714"/>
      <c r="J3" s="1714"/>
      <c r="K3" s="1714"/>
      <c r="L3" s="1714"/>
      <c r="M3" s="1714"/>
      <c r="N3" s="1714"/>
      <c r="O3" s="1714"/>
      <c r="P3" s="1714"/>
      <c r="Q3" s="1714"/>
      <c r="R3" s="1714"/>
      <c r="S3" s="1714"/>
      <c r="T3" s="1714"/>
      <c r="U3" s="1714"/>
      <c r="V3" s="1714"/>
      <c r="W3" s="1714"/>
      <c r="X3" s="1714"/>
      <c r="Y3" s="1714"/>
      <c r="Z3" s="1714"/>
    </row>
    <row r="4" spans="1:26" ht="19.95" customHeight="1" thickTop="1" x14ac:dyDescent="0.3">
      <c r="A4" s="1671" t="s">
        <v>1572</v>
      </c>
      <c r="B4" s="1672"/>
      <c r="C4" s="1672"/>
      <c r="D4" s="1672"/>
      <c r="E4" s="1672"/>
      <c r="F4" s="1672"/>
      <c r="G4" s="1672"/>
      <c r="H4" s="1672"/>
      <c r="I4" s="1672"/>
      <c r="J4" s="1672"/>
      <c r="K4" s="1672"/>
      <c r="L4" s="1672"/>
      <c r="M4" s="1672"/>
      <c r="N4" s="1672"/>
      <c r="O4" s="1672"/>
      <c r="P4" s="1672"/>
      <c r="Q4" s="1672"/>
      <c r="R4" s="1672"/>
      <c r="S4" s="1672"/>
      <c r="T4" s="1672"/>
      <c r="U4" s="1672"/>
      <c r="V4" s="1672"/>
      <c r="W4" s="1672"/>
      <c r="X4" s="1672"/>
      <c r="Y4" s="1672"/>
      <c r="Z4" s="1673"/>
    </row>
    <row r="5" spans="1:26" ht="16.05" customHeight="1" x14ac:dyDescent="0.3">
      <c r="A5" s="999" t="s">
        <v>661</v>
      </c>
      <c r="B5" s="1012" t="s">
        <v>662</v>
      </c>
      <c r="C5" s="415" t="s">
        <v>1573</v>
      </c>
      <c r="D5" s="415" t="s">
        <v>666</v>
      </c>
      <c r="E5" s="415" t="s">
        <v>667</v>
      </c>
      <c r="F5" s="415" t="s">
        <v>665</v>
      </c>
      <c r="G5" s="415" t="s">
        <v>1574</v>
      </c>
      <c r="H5" s="415" t="s">
        <v>1575</v>
      </c>
      <c r="I5" s="415" t="s">
        <v>668</v>
      </c>
      <c r="J5" s="415" t="s">
        <v>1576</v>
      </c>
      <c r="K5" s="415" t="s">
        <v>1517</v>
      </c>
      <c r="L5" s="415" t="s">
        <v>1577</v>
      </c>
      <c r="M5" s="184"/>
      <c r="N5" s="184"/>
      <c r="O5" s="184"/>
      <c r="P5" s="184"/>
      <c r="Q5" s="184"/>
      <c r="R5" s="184"/>
      <c r="S5" s="184"/>
      <c r="T5" s="184"/>
      <c r="U5" s="184"/>
      <c r="V5" s="184"/>
      <c r="W5" s="184"/>
      <c r="X5" s="184"/>
      <c r="Y5" s="184"/>
      <c r="Z5" s="928"/>
    </row>
    <row r="6" spans="1:26" ht="16.05" customHeight="1" x14ac:dyDescent="0.3">
      <c r="A6" s="999">
        <v>2</v>
      </c>
      <c r="B6" s="1343" t="s">
        <v>507</v>
      </c>
      <c r="C6" s="437">
        <v>1269859</v>
      </c>
      <c r="D6" s="438">
        <v>1.5</v>
      </c>
      <c r="E6" s="438">
        <f>IFERROR(VLOOKUP(B6,'M4-AUDIT'!$A$5:$H$24,MATCH("Vi",'M4-AUDIT'!$A$4:$H$4,0),0),0)</f>
        <v>0</v>
      </c>
      <c r="F6" s="438">
        <f>'M2-PLAN-Pi'!F14</f>
        <v>0.3315584274613419</v>
      </c>
      <c r="G6" s="438">
        <v>1.5</v>
      </c>
      <c r="H6" s="438">
        <v>0.36430000000000001</v>
      </c>
      <c r="I6" s="438">
        <f>IFERROR(VLOOKUP(B6,'M4-AUDIT'!$A$5:$H$24,MATCH("Ti (H)",'M4-AUDIT'!$A$4:$H$4,0),0),0)</f>
        <v>0</v>
      </c>
      <c r="J6" s="354" t="str">
        <f t="shared" ref="J6:J24" si="0">IF(E6=1,IF(I6&gt;=0.8,"OK Vi=1 Ti="&amp;TEXT(I6,"0.00"),IF(I6&gt;=0.5,"OK- Vi=1 Ti="&amp;TEXT(I6,"0.00"),"WARN Vi=1 Ti="&amp;TEXT(I6,"0.00"))),"CRIT Vi=0 Ti="&amp;TEXT(I6,"0.00"))</f>
        <v>CRIT Vi=0 Ti=000</v>
      </c>
      <c r="K6" s="365" t="s">
        <v>1578</v>
      </c>
      <c r="L6" s="1317" t="str">
        <f>IF(ISNUMBER(VLOOKUP(B6,'M3-MAO'!$A$3:$G$23,7,0)),IF(VLOOKUP(B6,'M3-MAO'!$A$3:$G$23,7,0)=1,"✅ Ci=1.0 — GAD directo","⚠ Ci="&amp;VLOOKUP(B6,'M3-MAO'!$A$3:$G$23,7,0)&amp;" — adscrito/convenio"),"❌ Sin Ci")</f>
        <v>✅ Ci=1.0 — GAD directo</v>
      </c>
      <c r="M6" s="104"/>
      <c r="N6" s="104"/>
      <c r="O6" s="104"/>
      <c r="P6" s="104"/>
      <c r="Q6" s="104"/>
      <c r="R6" s="104"/>
      <c r="S6" s="104"/>
      <c r="T6" s="104"/>
      <c r="U6" s="104"/>
      <c r="V6" s="104"/>
      <c r="W6" s="104"/>
      <c r="X6" s="104"/>
      <c r="Y6" s="104"/>
      <c r="Z6" s="988"/>
    </row>
    <row r="7" spans="1:26" s="11" customFormat="1" ht="16.05" customHeight="1" x14ac:dyDescent="0.3">
      <c r="A7" s="1019">
        <v>3</v>
      </c>
      <c r="B7" s="1136" t="s">
        <v>43</v>
      </c>
      <c r="C7" s="439">
        <v>1693800</v>
      </c>
      <c r="D7" s="440">
        <v>1.5</v>
      </c>
      <c r="E7" s="1338">
        <f>IFERROR(VLOOKUP(B7,'M4-AUDIT'!$A$5:$H$24,MATCH("Vi",'M4-AUDIT'!$A$4:$H$4,0),0),0)</f>
        <v>1</v>
      </c>
      <c r="F7" s="440">
        <f>'M2-PLAN-Pi'!F15</f>
        <v>0.17737919272791763</v>
      </c>
      <c r="G7" s="440">
        <v>1.5</v>
      </c>
      <c r="H7" s="440">
        <v>0.31879999999999997</v>
      </c>
      <c r="I7" s="1338">
        <f>IFERROR(VLOOKUP(B7,'M4-AUDIT'!$A$5:$H$24,MATCH("Ti (H)",'M4-AUDIT'!$A$4:$H$4,0),0),0)</f>
        <v>0.65</v>
      </c>
      <c r="J7" s="441" t="str">
        <f t="shared" si="0"/>
        <v>OK- Vi=1 Ti=001</v>
      </c>
      <c r="K7" s="428" t="s">
        <v>1579</v>
      </c>
      <c r="L7" s="418" t="str">
        <f>IF(ISNUMBER(VLOOKUP(B7,'M3-MAO'!$A$3:$G$23,7,0)),IF(VLOOKUP(B7,'M3-MAO'!$A$3:$G$23,7,0)=1,"✅ Ci=1.0 — GAD directo","⚠ Ci="&amp;VLOOKUP(B7,'M3-MAO'!$A$3:$G$23,7,0)&amp;" — adscrito/convenio"),"❌ Sin Ci")</f>
        <v>⚠ Ci=0,9 — adscrito/convenio</v>
      </c>
      <c r="M7" s="221"/>
      <c r="N7" s="221"/>
      <c r="O7" s="221"/>
      <c r="P7" s="221"/>
      <c r="Q7" s="221"/>
      <c r="R7" s="221"/>
      <c r="S7" s="221"/>
      <c r="T7" s="221"/>
      <c r="U7" s="221"/>
      <c r="V7" s="221"/>
      <c r="W7" s="221"/>
      <c r="X7" s="221"/>
      <c r="Y7" s="221"/>
      <c r="Z7" s="986"/>
    </row>
    <row r="8" spans="1:26" s="11" customFormat="1" ht="16.05" customHeight="1" x14ac:dyDescent="0.3">
      <c r="A8" s="1019">
        <v>4</v>
      </c>
      <c r="B8" s="1135" t="s">
        <v>687</v>
      </c>
      <c r="C8" s="442">
        <v>1693800</v>
      </c>
      <c r="D8" s="367">
        <v>1</v>
      </c>
      <c r="E8" s="438">
        <f>IFERROR(VLOOKUP(B8,'M4-AUDIT'!$A$5:$H$24,MATCH("Vi",'M4-AUDIT'!$A$4:$H$4,0),0),0)</f>
        <v>0</v>
      </c>
      <c r="F8" s="367">
        <f>'M2-PLAN-Pi'!F16</f>
        <v>0.152251843537762</v>
      </c>
      <c r="G8" s="367">
        <v>1</v>
      </c>
      <c r="H8" s="367">
        <v>0.1406</v>
      </c>
      <c r="I8" s="438">
        <f>IFERROR(VLOOKUP(B8,'M4-AUDIT'!$A$5:$H$24,MATCH("Ti (H)",'M4-AUDIT'!$A$4:$H$4,0),0),0)</f>
        <v>0.1</v>
      </c>
      <c r="J8" s="361" t="str">
        <f t="shared" si="0"/>
        <v>CRIT Vi=0 Ti=000</v>
      </c>
      <c r="K8" s="357" t="s">
        <v>1580</v>
      </c>
      <c r="L8" s="365" t="str">
        <f>IF(ISNUMBER(VLOOKUP(B8,'M3-MAO'!$A$3:$G$23,7,0)),IF(VLOOKUP(B8,'M3-MAO'!$A$3:$G$23,7,0)=1,"✅ Ci=1.0 — GAD directo","⚠ Ci="&amp;VLOOKUP(B8,'M3-MAO'!$A$3:$G$23,7,0)&amp;" — adscrito/convenio"),"❌ Sin Ci")</f>
        <v>✅ Ci=1.0 — GAD directo</v>
      </c>
      <c r="M8" s="139"/>
      <c r="N8" s="139"/>
      <c r="O8" s="139"/>
      <c r="P8" s="139"/>
      <c r="Q8" s="139"/>
      <c r="R8" s="139"/>
      <c r="S8" s="139"/>
      <c r="T8" s="139"/>
      <c r="U8" s="139"/>
      <c r="V8" s="139"/>
      <c r="W8" s="139"/>
      <c r="X8" s="139"/>
      <c r="Y8" s="139"/>
      <c r="Z8" s="985"/>
    </row>
    <row r="9" spans="1:26" s="11" customFormat="1" ht="16.05" customHeight="1" x14ac:dyDescent="0.3">
      <c r="A9" s="1019">
        <v>5</v>
      </c>
      <c r="B9" s="1136" t="s">
        <v>57</v>
      </c>
      <c r="C9" s="439">
        <v>1693800</v>
      </c>
      <c r="D9" s="440">
        <v>1</v>
      </c>
      <c r="E9" s="1338">
        <f>IFERROR(VLOOKUP(B9,'M4-AUDIT'!$A$5:$H$24,MATCH("Vi",'M4-AUDIT'!$A$4:$H$4,0),0),0)</f>
        <v>0</v>
      </c>
      <c r="F9" s="440">
        <f>'M2-PLAN-Pi'!F17</f>
        <v>5.1556595872029501E-2</v>
      </c>
      <c r="G9" s="440">
        <v>1</v>
      </c>
      <c r="H9" s="440">
        <v>7.22E-2</v>
      </c>
      <c r="I9" s="1338">
        <f>IFERROR(VLOOKUP(B9,'M4-AUDIT'!$A$5:$H$24,MATCH("Ti (H)",'M4-AUDIT'!$A$4:$H$4,0),0),0)</f>
        <v>0</v>
      </c>
      <c r="J9" s="441" t="str">
        <f t="shared" si="0"/>
        <v>CRIT Vi=0 Ti=000</v>
      </c>
      <c r="K9" s="418" t="s">
        <v>1581</v>
      </c>
      <c r="L9" s="428" t="str">
        <f>IF(ISNUMBER(VLOOKUP(B9,'M3-MAO'!$A$3:$G$23,7,0)),IF(VLOOKUP(B9,'M3-MAO'!$A$3:$G$23,7,0)=1,"✅ Ci=1.0 — GAD directo","⚠ Ci="&amp;VLOOKUP(B9,'M3-MAO'!$A$3:$G$23,7,0)&amp;" — adscrito/convenio"),"❌ Sin Ci")</f>
        <v>✅ Ci=1.0 — GAD directo</v>
      </c>
      <c r="M9" s="221"/>
      <c r="N9" s="221"/>
      <c r="O9" s="221"/>
      <c r="P9" s="221"/>
      <c r="Q9" s="221"/>
      <c r="R9" s="221"/>
      <c r="S9" s="221"/>
      <c r="T9" s="221"/>
      <c r="U9" s="221"/>
      <c r="V9" s="221"/>
      <c r="W9" s="221"/>
      <c r="X9" s="221"/>
      <c r="Y9" s="221"/>
      <c r="Z9" s="986"/>
    </row>
    <row r="10" spans="1:26" s="11" customFormat="1" ht="16.05" customHeight="1" x14ac:dyDescent="0.3">
      <c r="A10" s="1019">
        <v>6</v>
      </c>
      <c r="B10" s="1135" t="s">
        <v>693</v>
      </c>
      <c r="C10" s="442">
        <v>0</v>
      </c>
      <c r="D10" s="367">
        <v>1.5</v>
      </c>
      <c r="E10" s="438">
        <f>IFERROR(VLOOKUP(B10,'M4-AUDIT'!$A$5:$H$24,MATCH("Vi",'M4-AUDIT'!$A$4:$H$4,0),0),0)</f>
        <v>1</v>
      </c>
      <c r="F10" s="367">
        <f>'M2-PLAN-Pi'!F18</f>
        <v>4.903830362803583E-2</v>
      </c>
      <c r="G10" s="367">
        <v>1.5</v>
      </c>
      <c r="H10" s="367">
        <v>5.1299999999999998E-2</v>
      </c>
      <c r="I10" s="438">
        <f>IFERROR(VLOOKUP(B10,'M4-AUDIT'!$A$5:$H$24,MATCH("Ti (H)",'M4-AUDIT'!$A$4:$H$4,0),0),0)</f>
        <v>0.3</v>
      </c>
      <c r="J10" s="361" t="str">
        <f t="shared" si="0"/>
        <v>WARN Vi=1 Ti=000</v>
      </c>
      <c r="K10" s="357" t="s">
        <v>1582</v>
      </c>
      <c r="L10" s="365" t="str">
        <f>IF(ISNUMBER(VLOOKUP(B10,'M3-MAO'!$A$3:$G$23,7,0)),IF(VLOOKUP(B10,'M3-MAO'!$A$3:$G$23,7,0)=1,"✅ Ci=1.0 — GAD directo","⚠ Ci="&amp;VLOOKUP(B10,'M3-MAO'!$A$3:$G$23,7,0)&amp;" — adscrito/convenio"),"❌ Sin Ci")</f>
        <v>✅ Ci=1.0 — GAD directo</v>
      </c>
      <c r="M10" s="139"/>
      <c r="N10" s="139"/>
      <c r="O10" s="139"/>
      <c r="P10" s="139"/>
      <c r="Q10" s="139"/>
      <c r="R10" s="139"/>
      <c r="S10" s="139"/>
      <c r="T10" s="139"/>
      <c r="U10" s="139"/>
      <c r="V10" s="139"/>
      <c r="W10" s="139"/>
      <c r="X10" s="139"/>
      <c r="Y10" s="139"/>
      <c r="Z10" s="985"/>
    </row>
    <row r="11" spans="1:26" s="11" customFormat="1" ht="16.05" customHeight="1" x14ac:dyDescent="0.3">
      <c r="A11" s="1019">
        <v>7</v>
      </c>
      <c r="B11" s="1136" t="s">
        <v>539</v>
      </c>
      <c r="C11" s="439">
        <v>10892761</v>
      </c>
      <c r="D11" s="440">
        <v>1</v>
      </c>
      <c r="E11" s="1338">
        <f>IFERROR(VLOOKUP(B11,'M4-AUDIT'!$A$5:$H$24,MATCH("Vi",'M4-AUDIT'!$A$4:$H$4,0),0),0)</f>
        <v>1</v>
      </c>
      <c r="F11" s="440">
        <f>'M2-PLAN-Pi'!F19</f>
        <v>3.8652515641453306E-2</v>
      </c>
      <c r="G11" s="440">
        <v>1</v>
      </c>
      <c r="H11" s="440">
        <v>5.7000000000000002E-2</v>
      </c>
      <c r="I11" s="1338">
        <f>IFERROR(VLOOKUP(B11,'M4-AUDIT'!$A$5:$H$24,MATCH("Ti (H)",'M4-AUDIT'!$A$4:$H$4,0),0),0)</f>
        <v>0.25</v>
      </c>
      <c r="J11" s="441" t="str">
        <f t="shared" si="0"/>
        <v>WARN Vi=1 Ti=000</v>
      </c>
      <c r="K11" s="428" t="s">
        <v>1583</v>
      </c>
      <c r="L11" s="428" t="str">
        <f>IF(ISNUMBER(VLOOKUP(B11,'M3-MAO'!$A$3:$G$23,7,0)),IF(VLOOKUP(B11,'M3-MAO'!$A$3:$G$23,7,0)=1,"✅ Ci=1.0 — GAD directo","⚠ Ci="&amp;VLOOKUP(B11,'M3-MAO'!$A$3:$G$23,7,0)&amp;" — adscrito/convenio"),"❌ Sin Ci")</f>
        <v>✅ Ci=1.0 — GAD directo</v>
      </c>
      <c r="M11" s="221"/>
      <c r="N11" s="221"/>
      <c r="O11" s="221"/>
      <c r="P11" s="221"/>
      <c r="Q11" s="221"/>
      <c r="R11" s="221"/>
      <c r="S11" s="221"/>
      <c r="T11" s="221"/>
      <c r="U11" s="221"/>
      <c r="V11" s="221"/>
      <c r="W11" s="221"/>
      <c r="X11" s="221"/>
      <c r="Y11" s="221"/>
      <c r="Z11" s="986"/>
    </row>
    <row r="12" spans="1:26" s="11" customFormat="1" ht="16.05" customHeight="1" x14ac:dyDescent="0.3">
      <c r="A12" s="1019">
        <v>8</v>
      </c>
      <c r="B12" s="1135" t="s">
        <v>47</v>
      </c>
      <c r="C12" s="442">
        <v>0</v>
      </c>
      <c r="D12" s="367">
        <v>1.5</v>
      </c>
      <c r="E12" s="438">
        <f>IFERROR(VLOOKUP(B12,'M4-AUDIT'!$A$5:$H$24,MATCH("Vi",'M4-AUDIT'!$A$4:$H$4,0),0),0)</f>
        <v>0</v>
      </c>
      <c r="F12" s="367">
        <f>'M2-PLAN-Pi'!F20</f>
        <v>3.7123041954043229E-2</v>
      </c>
      <c r="G12" s="367">
        <v>1.5</v>
      </c>
      <c r="H12" s="367">
        <v>0.04</v>
      </c>
      <c r="I12" s="438">
        <f>IFERROR(VLOOKUP(B12,'M4-AUDIT'!$A$5:$H$24,MATCH("Ti (H)",'M4-AUDIT'!$A$4:$H$4,0),0),0)</f>
        <v>0</v>
      </c>
      <c r="J12" s="361" t="str">
        <f t="shared" si="0"/>
        <v>CRIT Vi=0 Ti=000</v>
      </c>
      <c r="K12" s="357" t="s">
        <v>1584</v>
      </c>
      <c r="L12" s="357" t="str">
        <f>IF(ISNUMBER(VLOOKUP(B12,'M3-MAO'!$A$3:$G$23,7,0)),IF(VLOOKUP(B12,'M3-MAO'!$A$3:$G$23,7,0)=1,"✅ Ci=1.0 — GAD directo","⚠ Ci="&amp;VLOOKUP(B12,'M3-MAO'!$A$3:$G$23,7,0)&amp;" — adscrito/convenio"),"❌ Sin Ci")</f>
        <v>⚠ Ci=0,9 — adscrito/convenio</v>
      </c>
      <c r="M12" s="139"/>
      <c r="N12" s="139"/>
      <c r="O12" s="139"/>
      <c r="P12" s="139"/>
      <c r="Q12" s="139"/>
      <c r="R12" s="139"/>
      <c r="S12" s="139"/>
      <c r="T12" s="139"/>
      <c r="U12" s="139"/>
      <c r="V12" s="139"/>
      <c r="W12" s="139"/>
      <c r="X12" s="139"/>
      <c r="Y12" s="139"/>
      <c r="Z12" s="985"/>
    </row>
    <row r="13" spans="1:26" s="11" customFormat="1" ht="16.05" customHeight="1" x14ac:dyDescent="0.3">
      <c r="A13" s="1019">
        <v>9</v>
      </c>
      <c r="B13" s="1136" t="s">
        <v>515</v>
      </c>
      <c r="C13" s="439">
        <v>0</v>
      </c>
      <c r="D13" s="440">
        <v>1.5</v>
      </c>
      <c r="E13" s="1338">
        <f>IFERROR(VLOOKUP(B13,'M4-AUDIT'!$A$5:$H$24,MATCH("Vi",'M4-AUDIT'!$A$4:$H$4,0),0),0)</f>
        <v>0</v>
      </c>
      <c r="F13" s="440">
        <f>'M2-PLAN-Pi'!F21</f>
        <v>2.7234952877998854E-2</v>
      </c>
      <c r="G13" s="440">
        <v>1.5</v>
      </c>
      <c r="H13" s="440">
        <v>7.0599999999999996E-2</v>
      </c>
      <c r="I13" s="1338">
        <f>IFERROR(VLOOKUP(B13,'M4-AUDIT'!$A$5:$H$24,MATCH("Ti (H)",'M4-AUDIT'!$A$4:$H$4,0),0),0)</f>
        <v>0.3</v>
      </c>
      <c r="J13" s="441" t="str">
        <f t="shared" si="0"/>
        <v>CRIT Vi=0 Ti=000</v>
      </c>
      <c r="K13" s="418" t="s">
        <v>1585</v>
      </c>
      <c r="L13" s="418" t="str">
        <f>IF(ISNUMBER(VLOOKUP(B13,'M3-MAO'!$A$3:$G$23,7,0)),IF(VLOOKUP(B13,'M3-MAO'!$A$3:$G$23,7,0)=1,"✅ Ci=1.0 — GAD directo","⚠ Ci="&amp;VLOOKUP(B13,'M3-MAO'!$A$3:$G$23,7,0)&amp;" — adscrito/convenio"),"❌ Sin Ci")</f>
        <v>✅ Ci=1.0 — GAD directo</v>
      </c>
      <c r="M13" s="221"/>
      <c r="N13" s="221"/>
      <c r="O13" s="221"/>
      <c r="P13" s="221"/>
      <c r="Q13" s="221"/>
      <c r="R13" s="221"/>
      <c r="S13" s="221"/>
      <c r="T13" s="221"/>
      <c r="U13" s="221"/>
      <c r="V13" s="221"/>
      <c r="W13" s="221"/>
      <c r="X13" s="221"/>
      <c r="Y13" s="221"/>
      <c r="Z13" s="986"/>
    </row>
    <row r="14" spans="1:26" s="11" customFormat="1" ht="16.05" customHeight="1" x14ac:dyDescent="0.3">
      <c r="A14" s="1019">
        <v>10</v>
      </c>
      <c r="B14" s="1135" t="s">
        <v>526</v>
      </c>
      <c r="C14" s="442">
        <v>2588556</v>
      </c>
      <c r="D14" s="367">
        <v>1</v>
      </c>
      <c r="E14" s="438">
        <f>IFERROR(VLOOKUP(B14,'M4-AUDIT'!$A$5:$H$24,MATCH("Vi",'M4-AUDIT'!$A$4:$H$4,0),0),0)</f>
        <v>1</v>
      </c>
      <c r="F14" s="367">
        <f>'M2-PLAN-Pi'!F22</f>
        <v>2.5568272837705033E-2</v>
      </c>
      <c r="G14" s="367">
        <v>1</v>
      </c>
      <c r="H14" s="367">
        <v>2.1299999999999999E-2</v>
      </c>
      <c r="I14" s="438">
        <f>IFERROR(VLOOKUP(B14,'M4-AUDIT'!$A$5:$H$24,MATCH("Ti (H)",'M4-AUDIT'!$A$4:$H$4,0),0),0)</f>
        <v>0.9</v>
      </c>
      <c r="J14" s="361" t="str">
        <f t="shared" si="0"/>
        <v>OK Vi=1 Ti=001</v>
      </c>
      <c r="K14" s="357" t="s">
        <v>1586</v>
      </c>
      <c r="L14" s="365" t="str">
        <f>IF(ISNUMBER(VLOOKUP(B14,'M3-MAO'!$A$3:$G$23,7,0)),IF(VLOOKUP(B14,'M3-MAO'!$A$3:$G$23,7,0)=1,"✅ Ci=1.0 — GAD directo","⚠ Ci="&amp;VLOOKUP(B14,'M3-MAO'!$A$3:$G$23,7,0)&amp;" — adscrito/convenio"),"❌ Sin Ci")</f>
        <v>✅ Ci=1.0 — GAD directo</v>
      </c>
      <c r="M14" s="139"/>
      <c r="N14" s="139"/>
      <c r="O14" s="139"/>
      <c r="P14" s="139"/>
      <c r="Q14" s="139"/>
      <c r="R14" s="139"/>
      <c r="S14" s="139"/>
      <c r="T14" s="139"/>
      <c r="U14" s="139"/>
      <c r="V14" s="139"/>
      <c r="W14" s="139"/>
      <c r="X14" s="139"/>
      <c r="Y14" s="139"/>
      <c r="Z14" s="985"/>
    </row>
    <row r="15" spans="1:26" s="11" customFormat="1" ht="16.05" customHeight="1" x14ac:dyDescent="0.3">
      <c r="A15" s="1019">
        <v>11</v>
      </c>
      <c r="B15" s="1136" t="s">
        <v>53</v>
      </c>
      <c r="C15" s="439">
        <v>0</v>
      </c>
      <c r="D15" s="440">
        <v>1</v>
      </c>
      <c r="E15" s="1338">
        <f>IFERROR(VLOOKUP(B15,'M4-AUDIT'!$A$5:$H$24,MATCH("Vi",'M4-AUDIT'!$A$4:$H$4,0),0),0)</f>
        <v>1</v>
      </c>
      <c r="F15" s="440">
        <f>'M2-PLAN-Pi'!F23</f>
        <v>2.2791758387949959E-2</v>
      </c>
      <c r="G15" s="440">
        <v>1</v>
      </c>
      <c r="H15" s="440">
        <v>1.37E-2</v>
      </c>
      <c r="I15" s="1338">
        <f>IFERROR(VLOOKUP(B15,'M4-AUDIT'!$A$5:$H$24,MATCH("Ti (H)",'M4-AUDIT'!$A$4:$H$4,0),0),0)</f>
        <v>0.2</v>
      </c>
      <c r="J15" s="441" t="str">
        <f t="shared" si="0"/>
        <v>WARN Vi=1 Ti=000</v>
      </c>
      <c r="K15" s="418" t="s">
        <v>1587</v>
      </c>
      <c r="L15" s="418" t="str">
        <f>IF(ISNUMBER(VLOOKUP(B15,'M3-MAO'!$A$3:$G$23,7,0)),IF(VLOOKUP(B15,'M3-MAO'!$A$3:$G$23,7,0)=1,"✅ Ci=1.0 — GAD directo","⚠ Ci="&amp;VLOOKUP(B15,'M3-MAO'!$A$3:$G$23,7,0)&amp;" — adscrito/convenio"),"❌ Sin Ci")</f>
        <v>⚠ Ci=0,9 — adscrito/convenio</v>
      </c>
      <c r="M15" s="221"/>
      <c r="N15" s="221"/>
      <c r="O15" s="221"/>
      <c r="P15" s="221"/>
      <c r="Q15" s="221"/>
      <c r="R15" s="221"/>
      <c r="S15" s="221"/>
      <c r="T15" s="221"/>
      <c r="U15" s="221"/>
      <c r="V15" s="221"/>
      <c r="W15" s="221"/>
      <c r="X15" s="221"/>
      <c r="Y15" s="221"/>
      <c r="Z15" s="986"/>
    </row>
    <row r="16" spans="1:26" s="11" customFormat="1" ht="16.05" customHeight="1" x14ac:dyDescent="0.3">
      <c r="A16" s="1019">
        <v>12</v>
      </c>
      <c r="B16" s="1135" t="s">
        <v>487</v>
      </c>
      <c r="C16" s="442">
        <v>748783</v>
      </c>
      <c r="D16" s="367">
        <v>1.5</v>
      </c>
      <c r="E16" s="438">
        <f>IFERROR(VLOOKUP(B16,'M4-AUDIT'!$A$5:$H$24,MATCH("Vi",'M4-AUDIT'!$A$4:$H$4,0),0),0)</f>
        <v>1</v>
      </c>
      <c r="F16" s="367">
        <f>'M2-PLAN-Pi'!F24</f>
        <v>1.8567422225707814E-2</v>
      </c>
      <c r="G16" s="367">
        <v>1.5</v>
      </c>
      <c r="H16" s="367">
        <v>2.8500000000000001E-2</v>
      </c>
      <c r="I16" s="438">
        <f>IFERROR(VLOOKUP(B16,'M4-AUDIT'!$A$5:$H$24,MATCH("Ti (H)",'M4-AUDIT'!$A$4:$H$4,0),0),0)</f>
        <v>0.75</v>
      </c>
      <c r="J16" s="361" t="str">
        <f t="shared" si="0"/>
        <v>OK- Vi=1 Ti=001</v>
      </c>
      <c r="K16" s="357" t="s">
        <v>1588</v>
      </c>
      <c r="L16" s="357" t="str">
        <f>IF(ISNUMBER(VLOOKUP(B16,'M3-MAO'!$A$3:$G$23,7,0)),IF(VLOOKUP(B16,'M3-MAO'!$A$3:$G$23,7,0)=1,"✅ Ci=1.0 — GAD directo","⚠ Ci="&amp;VLOOKUP(B16,'M3-MAO'!$A$3:$G$23,7,0)&amp;" — adscrito/convenio"),"❌ Sin Ci")</f>
        <v>⚠ Ci=0,75 — adscrito/convenio</v>
      </c>
      <c r="M16" s="139"/>
      <c r="N16" s="139"/>
      <c r="O16" s="139"/>
      <c r="P16" s="139"/>
      <c r="Q16" s="139"/>
      <c r="R16" s="139"/>
      <c r="S16" s="139"/>
      <c r="T16" s="139"/>
      <c r="U16" s="139"/>
      <c r="V16" s="139"/>
      <c r="W16" s="139"/>
      <c r="X16" s="139"/>
      <c r="Y16" s="139"/>
      <c r="Z16" s="985"/>
    </row>
    <row r="17" spans="1:26" s="11" customFormat="1" ht="16.05" customHeight="1" x14ac:dyDescent="0.3">
      <c r="A17" s="1019">
        <v>13</v>
      </c>
      <c r="B17" s="1136" t="s">
        <v>545</v>
      </c>
      <c r="C17" s="439">
        <v>10892761</v>
      </c>
      <c r="D17" s="440">
        <v>1</v>
      </c>
      <c r="E17" s="1338">
        <f>IFERROR(VLOOKUP(B17,'M4-AUDIT'!$A$5:$H$24,MATCH("Vi",'M4-AUDIT'!$A$4:$H$4,0),0),0)</f>
        <v>0</v>
      </c>
      <c r="F17" s="440">
        <f>'M2-PLAN-Pi'!F25</f>
        <v>1.8292145981963669E-2</v>
      </c>
      <c r="G17" s="440">
        <v>1</v>
      </c>
      <c r="H17" s="440">
        <v>1.14E-2</v>
      </c>
      <c r="I17" s="1338">
        <f>IFERROR(VLOOKUP(B17,'M4-AUDIT'!$A$5:$H$24,MATCH("Ti (H)",'M4-AUDIT'!$A$4:$H$4,0),0),0)</f>
        <v>0</v>
      </c>
      <c r="J17" s="441" t="str">
        <f t="shared" si="0"/>
        <v>CRIT Vi=0 Ti=000</v>
      </c>
      <c r="K17" s="418" t="s">
        <v>1589</v>
      </c>
      <c r="L17" s="428" t="str">
        <f>IF(ISNUMBER(VLOOKUP(B17,'M3-MAO'!$A$3:$G$23,7,0)),IF(VLOOKUP(B17,'M3-MAO'!$A$3:$G$23,7,0)=1,"✅ Ci=1.0 — GAD directo","⚠ Ci="&amp;VLOOKUP(B17,'M3-MAO'!$A$3:$G$23,7,0)&amp;" — adscrito/convenio"),"❌ Sin Ci")</f>
        <v>✅ Ci=1.0 — GAD directo</v>
      </c>
      <c r="M17" s="221"/>
      <c r="N17" s="221"/>
      <c r="O17" s="221"/>
      <c r="P17" s="221"/>
      <c r="Q17" s="221"/>
      <c r="R17" s="221"/>
      <c r="S17" s="221"/>
      <c r="T17" s="221"/>
      <c r="U17" s="221"/>
      <c r="V17" s="221"/>
      <c r="W17" s="221"/>
      <c r="X17" s="221"/>
      <c r="Y17" s="221"/>
      <c r="Z17" s="986"/>
    </row>
    <row r="18" spans="1:26" s="11" customFormat="1" ht="16.05" customHeight="1" x14ac:dyDescent="0.3">
      <c r="A18" s="1019">
        <v>14</v>
      </c>
      <c r="B18" s="1135" t="s">
        <v>50</v>
      </c>
      <c r="C18" s="442">
        <v>117900</v>
      </c>
      <c r="D18" s="367">
        <v>1</v>
      </c>
      <c r="E18" s="438">
        <f>IFERROR(VLOOKUP(B18,'M4-AUDIT'!$A$5:$H$24,MATCH("Vi",'M4-AUDIT'!$A$4:$H$4,0),0),0)</f>
        <v>0</v>
      </c>
      <c r="F18" s="367">
        <f>'M2-PLAN-Pi'!F26</f>
        <v>1.2570245641197094E-2</v>
      </c>
      <c r="G18" s="367">
        <v>1</v>
      </c>
      <c r="H18" s="367">
        <v>9.1000000000000004E-3</v>
      </c>
      <c r="I18" s="438">
        <f>IFERROR(VLOOKUP(B18,'M4-AUDIT'!$A$5:$H$24,MATCH("Ti (H)",'M4-AUDIT'!$A$4:$H$4,0),0),0)</f>
        <v>0</v>
      </c>
      <c r="J18" s="361" t="str">
        <f t="shared" si="0"/>
        <v>CRIT Vi=0 Ti=000</v>
      </c>
      <c r="K18" s="357" t="s">
        <v>1590</v>
      </c>
      <c r="L18" s="365" t="str">
        <f>IF(ISNUMBER(VLOOKUP(B18,'M3-MAO'!$A$3:$G$23,7,0)),IF(VLOOKUP(B18,'M3-MAO'!$A$3:$G$23,7,0)=1,"✅ Ci=1.0 — GAD directo","⚠ Ci="&amp;VLOOKUP(B18,'M3-MAO'!$A$3:$G$23,7,0)&amp;" — adscrito/convenio"),"❌ Sin Ci")</f>
        <v>✅ Ci=1.0 — GAD directo</v>
      </c>
      <c r="M18" s="139"/>
      <c r="N18" s="139"/>
      <c r="O18" s="139"/>
      <c r="P18" s="139"/>
      <c r="Q18" s="139"/>
      <c r="R18" s="139"/>
      <c r="S18" s="139"/>
      <c r="T18" s="139"/>
      <c r="U18" s="139"/>
      <c r="V18" s="139"/>
      <c r="W18" s="139"/>
      <c r="X18" s="139"/>
      <c r="Y18" s="139"/>
      <c r="Z18" s="985"/>
    </row>
    <row r="19" spans="1:26" s="11" customFormat="1" ht="16.05" customHeight="1" x14ac:dyDescent="0.3">
      <c r="A19" s="1019">
        <v>15</v>
      </c>
      <c r="B19" s="1136" t="s">
        <v>633</v>
      </c>
      <c r="C19" s="439">
        <v>0</v>
      </c>
      <c r="D19" s="440">
        <v>0.5</v>
      </c>
      <c r="E19" s="1338">
        <f>IFERROR(VLOOKUP(B19,'M4-AUDIT'!$A$5:$H$24,MATCH("Vi",'M4-AUDIT'!$A$4:$H$4,0),0),0)</f>
        <v>1</v>
      </c>
      <c r="F19" s="440">
        <f>'M2-PLAN-Pi'!F27</f>
        <v>9.8620480945433697E-3</v>
      </c>
      <c r="G19" s="440">
        <v>0.5</v>
      </c>
      <c r="H19" s="440">
        <v>3.2000000000000002E-3</v>
      </c>
      <c r="I19" s="1338">
        <f>IFERROR(VLOOKUP(B19,'M4-AUDIT'!$A$5:$H$24,MATCH("Ti (H)",'M4-AUDIT'!$A$4:$H$4,0),0),0)</f>
        <v>1</v>
      </c>
      <c r="J19" s="441" t="str">
        <f t="shared" si="0"/>
        <v>OK Vi=1 Ti=001</v>
      </c>
      <c r="K19" s="418" t="s">
        <v>1591</v>
      </c>
      <c r="L19" s="428" t="str">
        <f>IF(ISNUMBER(VLOOKUP(B19,'M3-MAO'!$A$3:$G$23,7,0)),IF(VLOOKUP(B19,'M3-MAO'!$A$3:$G$23,7,0)=1,"✅ Ci=1.0 — GAD directo","⚠ Ci="&amp;VLOOKUP(B19,'M3-MAO'!$A$3:$G$23,7,0)&amp;" — adscrito/convenio"),"❌ Sin Ci")</f>
        <v>✅ Ci=1.0 — GAD directo</v>
      </c>
      <c r="M19" s="221"/>
      <c r="N19" s="221"/>
      <c r="O19" s="221"/>
      <c r="P19" s="221"/>
      <c r="Q19" s="221"/>
      <c r="R19" s="221"/>
      <c r="S19" s="221"/>
      <c r="T19" s="221"/>
      <c r="U19" s="221"/>
      <c r="V19" s="221"/>
      <c r="W19" s="221"/>
      <c r="X19" s="221"/>
      <c r="Y19" s="221"/>
      <c r="Z19" s="986"/>
    </row>
    <row r="20" spans="1:26" s="11" customFormat="1" ht="16.05" customHeight="1" x14ac:dyDescent="0.3">
      <c r="A20" s="1019">
        <v>16</v>
      </c>
      <c r="B20" s="1135" t="s">
        <v>622</v>
      </c>
      <c r="C20" s="442">
        <v>0</v>
      </c>
      <c r="D20" s="367">
        <v>0.5</v>
      </c>
      <c r="E20" s="438">
        <f>IFERROR(VLOOKUP(B20,'M4-AUDIT'!$A$5:$H$24,MATCH("Vi",'M4-AUDIT'!$A$4:$H$4,0),0),0)</f>
        <v>0</v>
      </c>
      <c r="F20" s="367">
        <f>'M2-PLAN-Pi'!F28</f>
        <v>8.6459571177000243E-3</v>
      </c>
      <c r="G20" s="367">
        <v>0.5</v>
      </c>
      <c r="H20" s="367">
        <v>3.5999999999999999E-3</v>
      </c>
      <c r="I20" s="438">
        <f>IFERROR(VLOOKUP(B20,'M4-AUDIT'!$A$5:$H$24,MATCH("Ti (H)",'M4-AUDIT'!$A$4:$H$4,0),0),0)</f>
        <v>0</v>
      </c>
      <c r="J20" s="361" t="str">
        <f t="shared" si="0"/>
        <v>CRIT Vi=0 Ti=000</v>
      </c>
      <c r="K20" s="365" t="s">
        <v>1592</v>
      </c>
      <c r="L20" s="365" t="str">
        <f>IF(ISNUMBER(VLOOKUP(B20,'M3-MAO'!$A$3:$G$23,7,0)),IF(VLOOKUP(B20,'M3-MAO'!$A$3:$G$23,7,0)=1,"✅ Ci=1.0 — GAD directo","⚠ Ci="&amp;VLOOKUP(B20,'M3-MAO'!$A$3:$G$23,7,0)&amp;" — adscrito/convenio"),"❌ Sin Ci")</f>
        <v>✅ Ci=1.0 — GAD directo</v>
      </c>
      <c r="M20" s="139"/>
      <c r="N20" s="139"/>
      <c r="O20" s="139"/>
      <c r="P20" s="139"/>
      <c r="Q20" s="139"/>
      <c r="R20" s="139"/>
      <c r="S20" s="139"/>
      <c r="T20" s="139"/>
      <c r="U20" s="139"/>
      <c r="V20" s="139"/>
      <c r="W20" s="139"/>
      <c r="X20" s="139"/>
      <c r="Y20" s="139"/>
      <c r="Z20" s="985"/>
    </row>
    <row r="21" spans="1:26" s="11" customFormat="1" ht="16.05" customHeight="1" x14ac:dyDescent="0.3">
      <c r="A21" s="1019">
        <v>17</v>
      </c>
      <c r="B21" s="1136" t="s">
        <v>470</v>
      </c>
      <c r="C21" s="439">
        <v>0</v>
      </c>
      <c r="D21" s="440">
        <v>0.5</v>
      </c>
      <c r="E21" s="1338">
        <f>IFERROR(VLOOKUP(B21,'M4-AUDIT'!$A$5:$H$24,MATCH("Vi",'M4-AUDIT'!$A$4:$H$4,0),0),0)</f>
        <v>0</v>
      </c>
      <c r="F21" s="440">
        <f>'M2-PLAN-Pi'!F29</f>
        <v>3.3410244747549434E-3</v>
      </c>
      <c r="G21" s="440">
        <v>0.5</v>
      </c>
      <c r="H21" s="440">
        <v>2.5000000000000001E-3</v>
      </c>
      <c r="I21" s="1338">
        <f>IFERROR(VLOOKUP(B21,'M4-AUDIT'!$A$5:$H$24,MATCH("Ti (H)",'M4-AUDIT'!$A$4:$H$4,0),0),0)</f>
        <v>0</v>
      </c>
      <c r="J21" s="441" t="str">
        <f t="shared" si="0"/>
        <v>CRIT Vi=0 Ti=000</v>
      </c>
      <c r="K21" s="1127" t="s">
        <v>1593</v>
      </c>
      <c r="L21" s="418" t="str">
        <f>IF(ISNUMBER(VLOOKUP(B21,'M3-MAO'!$A$3:$G$23,7,0)),IF(VLOOKUP(B21,'M3-MAO'!$A$3:$G$23,7,0)=1,"✅ Ci=1.0 — GAD directo","⚠ Ci="&amp;VLOOKUP(B21,'M3-MAO'!$A$3:$G$23,7,0)&amp;" — adscrito/convenio"),"❌ Sin Ci")</f>
        <v>⚠ Ci=0,9 — adscrito/convenio</v>
      </c>
      <c r="M21" s="221"/>
      <c r="N21" s="221"/>
      <c r="O21" s="221"/>
      <c r="P21" s="221"/>
      <c r="Q21" s="221"/>
      <c r="R21" s="221"/>
      <c r="S21" s="221"/>
      <c r="T21" s="221"/>
      <c r="U21" s="221"/>
      <c r="V21" s="221"/>
      <c r="W21" s="221"/>
      <c r="X21" s="221"/>
      <c r="Y21" s="221"/>
      <c r="Z21" s="986"/>
    </row>
    <row r="22" spans="1:26" s="11" customFormat="1" ht="16.05" customHeight="1" x14ac:dyDescent="0.3">
      <c r="A22" s="1019">
        <v>18</v>
      </c>
      <c r="B22" s="1135" t="s">
        <v>463</v>
      </c>
      <c r="C22" s="442">
        <v>0</v>
      </c>
      <c r="D22" s="367">
        <v>0.5</v>
      </c>
      <c r="E22" s="438">
        <f>IFERROR(VLOOKUP(B22,'M4-AUDIT'!$A$5:$H$24,MATCH("Vi",'M4-AUDIT'!$A$4:$H$4,0),0),0)</f>
        <v>0</v>
      </c>
      <c r="F22" s="367">
        <f>'M2-PLAN-Pi'!F30</f>
        <v>6.5260407845644242E-3</v>
      </c>
      <c r="G22" s="367">
        <v>0.5</v>
      </c>
      <c r="H22" s="367">
        <v>1.6999999999999999E-3</v>
      </c>
      <c r="I22" s="438">
        <f>IFERROR(VLOOKUP(B22,'M4-AUDIT'!$A$5:$H$24,MATCH("Ti (H)",'M4-AUDIT'!$A$4:$H$4,0),0),0)</f>
        <v>0</v>
      </c>
      <c r="J22" s="361" t="str">
        <f t="shared" si="0"/>
        <v>CRIT Vi=0 Ti=000</v>
      </c>
      <c r="K22" s="370" t="s">
        <v>1594</v>
      </c>
      <c r="L22" s="357" t="str">
        <f>IF(ISNUMBER(VLOOKUP(B22,'M3-MAO'!$A$3:$G$23,7,0)),IF(VLOOKUP(B22,'M3-MAO'!$A$3:$G$23,7,0)=1,"✅ Ci=1.0 — GAD directo","⚠ Ci="&amp;VLOOKUP(B22,'M3-MAO'!$A$3:$G$23,7,0)&amp;" — adscrito/convenio"),"❌ Sin Ci")</f>
        <v>⚠ Ci=0,9 — adscrito/convenio</v>
      </c>
      <c r="M22" s="139"/>
      <c r="N22" s="139"/>
      <c r="O22" s="139"/>
      <c r="P22" s="139"/>
      <c r="Q22" s="139"/>
      <c r="R22" s="139"/>
      <c r="S22" s="139"/>
      <c r="T22" s="139"/>
      <c r="U22" s="139"/>
      <c r="V22" s="139"/>
      <c r="W22" s="139"/>
      <c r="X22" s="139"/>
      <c r="Y22" s="139"/>
      <c r="Z22" s="985"/>
    </row>
    <row r="23" spans="1:26" s="11" customFormat="1" ht="16.05" customHeight="1" x14ac:dyDescent="0.3">
      <c r="A23" s="1347">
        <v>19</v>
      </c>
      <c r="B23" s="1344" t="s">
        <v>711</v>
      </c>
      <c r="C23" s="439">
        <v>15600</v>
      </c>
      <c r="D23" s="440">
        <v>0.5</v>
      </c>
      <c r="E23" s="1338">
        <f>IFERROR(VLOOKUP(B23,'M4-AUDIT'!$A$5:$H$24,MATCH("Vi",'M4-AUDIT'!$A$4:$H$4,0),0),0)</f>
        <v>0</v>
      </c>
      <c r="F23" s="440">
        <f>'M2-PLAN-Pi'!F31</f>
        <v>4.6570782668677018E-3</v>
      </c>
      <c r="G23" s="440">
        <v>0.5</v>
      </c>
      <c r="H23" s="440">
        <v>2.0999999999999999E-3</v>
      </c>
      <c r="I23" s="1338">
        <f>IFERROR(VLOOKUP(B23,'M4-AUDIT'!$A$5:$H$24,MATCH("Ti (H)",'M4-AUDIT'!$A$4:$H$4,0),0),0)</f>
        <v>0</v>
      </c>
      <c r="J23" s="441" t="str">
        <f t="shared" si="0"/>
        <v>CRIT Vi=0 Ti=000</v>
      </c>
      <c r="K23" s="443" t="s">
        <v>1595</v>
      </c>
      <c r="L23" s="428" t="str">
        <f>IF(ISNUMBER(VLOOKUP(B23,'M3-MAO'!$A$3:$G$23,7,0)),IF(VLOOKUP(B23,'M3-MAO'!$A$3:$G$23,7,0)=1,"✅ Ci=1.0 — GAD directo","⚠ Ci="&amp;VLOOKUP(B23,'M3-MAO'!$A$3:$G$23,7,0)&amp;" — adscrito/convenio"),"❌ Sin Ci")</f>
        <v>✅ Ci=1.0 — GAD directo</v>
      </c>
      <c r="M23" s="221"/>
      <c r="N23" s="221"/>
      <c r="O23" s="221"/>
      <c r="P23" s="221"/>
      <c r="Q23" s="221"/>
      <c r="R23" s="221"/>
      <c r="S23" s="221"/>
      <c r="T23" s="221"/>
      <c r="U23" s="221"/>
      <c r="V23" s="221"/>
      <c r="W23" s="221"/>
      <c r="X23" s="221"/>
      <c r="Y23" s="221"/>
      <c r="Z23" s="986"/>
    </row>
    <row r="24" spans="1:26" s="11" customFormat="1" ht="16.05" customHeight="1" x14ac:dyDescent="0.3">
      <c r="A24" s="1019">
        <v>20</v>
      </c>
      <c r="B24" s="1135" t="s">
        <v>501</v>
      </c>
      <c r="C24" s="442">
        <v>45625014</v>
      </c>
      <c r="D24" s="367">
        <v>1.5</v>
      </c>
      <c r="E24" s="438">
        <f>IFERROR(VLOOKUP(B24,'M4-AUDIT'!$A$5:$H$24,MATCH("Vi",'M4-AUDIT'!$A$4:$H$4,0),0),0)</f>
        <v>0</v>
      </c>
      <c r="F24" s="367">
        <f>'M2-PLAN-Pi'!F32</f>
        <v>4.3831324864637197E-3</v>
      </c>
      <c r="G24" s="367">
        <v>1.5</v>
      </c>
      <c r="H24" s="367">
        <v>3.3999999999999998E-3</v>
      </c>
      <c r="I24" s="438">
        <f>IFERROR(VLOOKUP(B24,'M4-AUDIT'!$A$5:$H$24,MATCH("Ti (H)",'M4-AUDIT'!$A$4:$H$4,0),0),0)</f>
        <v>0</v>
      </c>
      <c r="J24" s="361" t="str">
        <f t="shared" si="0"/>
        <v>CRIT Vi=0 Ti=000</v>
      </c>
      <c r="K24" s="357" t="s">
        <v>1596</v>
      </c>
      <c r="L24" s="448" t="str">
        <f>"✅ "&amp;COUNTIF(L6:L23,"✅*")&amp;" Ci=1.0  ·  ⚠ "&amp;COUNTIF(L6:L23,"⚠*")&amp;" Ci&lt;1.0  ·  ❌ "&amp;COUNTIF(L6:L23,"❌*")&amp;" sin Ci"</f>
        <v>✅ 12 Ci=1.0  ·  ⚠ 6 Ci&lt;1.0  ·  ❌ 0 sin Ci</v>
      </c>
      <c r="M24" s="139"/>
      <c r="N24" s="139"/>
      <c r="O24" s="139"/>
      <c r="P24" s="139"/>
      <c r="Q24" s="139"/>
      <c r="R24" s="139"/>
      <c r="S24" s="139"/>
      <c r="T24" s="139"/>
      <c r="U24" s="139"/>
      <c r="V24" s="139"/>
      <c r="W24" s="139"/>
      <c r="X24" s="139"/>
      <c r="Y24" s="139"/>
      <c r="Z24" s="985"/>
    </row>
    <row r="25" spans="1:26" s="11" customFormat="1" ht="16.05" customHeight="1" x14ac:dyDescent="0.3">
      <c r="A25" s="1019">
        <v>1</v>
      </c>
      <c r="B25" s="1136" t="s">
        <v>495</v>
      </c>
      <c r="C25" s="439">
        <v>45625014</v>
      </c>
      <c r="D25" s="440">
        <v>1.5</v>
      </c>
      <c r="E25" s="1338">
        <f>IFERROR(VLOOKUP(B25,'M4-AUDIT'!$A$5:$H$24,MATCH("Vi",'M4-AUDIT'!$A$4:$H$4,0),0),0)</f>
        <v>0</v>
      </c>
      <c r="F25" s="440">
        <f>IFERROR(VLOOKUP(B25,'M2-PLAN-Pi'!$B$14:$F$33,5,0),0)</f>
        <v>0</v>
      </c>
      <c r="G25" s="440">
        <f>D25*F25</f>
        <v>0</v>
      </c>
      <c r="H25" s="440"/>
      <c r="I25" s="444">
        <f>IFERROR(VLOOKUP(B25,'M4-AUDIT'!$A$5:$H$24,MATCH("Ti (H)",'M4-AUDIT'!$A$4:$H$4,0),0),0)</f>
        <v>0</v>
      </c>
      <c r="J25" s="441"/>
      <c r="K25" s="418"/>
      <c r="L25" s="444"/>
      <c r="M25" s="221"/>
      <c r="N25" s="221"/>
      <c r="O25" s="221"/>
      <c r="P25" s="221"/>
      <c r="Q25" s="221"/>
      <c r="R25" s="221"/>
      <c r="S25" s="221"/>
      <c r="T25" s="221"/>
      <c r="U25" s="221"/>
      <c r="V25" s="221"/>
      <c r="W25" s="221"/>
      <c r="X25" s="221"/>
      <c r="Y25" s="221"/>
      <c r="Z25" s="986"/>
    </row>
    <row r="26" spans="1:26" s="11" customFormat="1" ht="16.05" customHeight="1" x14ac:dyDescent="0.3">
      <c r="A26" s="1019">
        <v>1</v>
      </c>
      <c r="B26" s="1135" t="s">
        <v>495</v>
      </c>
      <c r="C26" s="442">
        <v>45625014</v>
      </c>
      <c r="D26" s="367">
        <v>1.5</v>
      </c>
      <c r="E26" s="368" t="str">
        <f>COUNTIF(E6:E25,1)&amp;" Vi=1
"&amp;COUNTIF(E6:E25,0)&amp;" Vi=0"</f>
        <v>7 Vi=1
13 Vi=0</v>
      </c>
      <c r="F26" s="367">
        <f>IFERROR(VLOOKUP(B26,'M2-PLAN-Pi'!$B$14:$F$33,5,0),0)</f>
        <v>0</v>
      </c>
      <c r="G26" s="367">
        <f>D26*F26</f>
        <v>0</v>
      </c>
      <c r="H26" s="367"/>
      <c r="I26" s="368"/>
      <c r="J26" s="361"/>
      <c r="K26" s="357"/>
      <c r="L26" s="368"/>
      <c r="M26" s="139"/>
      <c r="N26" s="139"/>
      <c r="O26" s="139"/>
      <c r="P26" s="139"/>
      <c r="Q26" s="139"/>
      <c r="R26" s="139"/>
      <c r="S26" s="139"/>
      <c r="T26" s="139"/>
      <c r="U26" s="139"/>
      <c r="V26" s="139"/>
      <c r="W26" s="139"/>
      <c r="X26" s="139"/>
      <c r="Y26" s="139"/>
      <c r="Z26" s="985"/>
    </row>
    <row r="27" spans="1:26" s="11" customFormat="1" ht="16.05" customHeight="1" x14ac:dyDescent="0.3">
      <c r="A27" s="999" t="s">
        <v>103</v>
      </c>
      <c r="B27" s="1014" t="s">
        <v>1597</v>
      </c>
      <c r="C27" s="445">
        <v>13875000</v>
      </c>
      <c r="D27" s="441" t="s">
        <v>103</v>
      </c>
      <c r="E27" s="441" t="str">
        <f>COUNTIF('M4-AUDIT'!F5:F24,1)&amp;" Vi=1 · "&amp;COUNTIF('M4-AUDIT'!F5:F24,0)&amp;" Vi=0"</f>
        <v>15 Vi=1 · 5 Vi=0</v>
      </c>
      <c r="F27" s="444">
        <v>1</v>
      </c>
      <c r="G27" s="441" t="s">
        <v>103</v>
      </c>
      <c r="H27" s="444">
        <v>1.3209</v>
      </c>
      <c r="I27" s="441" t="str">
        <f>"Tī="&amp;ROUND(AVERAGE('M4-AUDIT'!H5:H24),2)</f>
        <v>Tī=0,5</v>
      </c>
      <c r="J27" s="441" t="str">
        <f>"ICPI="&amp;ROUND('M5-ICPI'!G29,2)&amp;"%"</f>
        <v>ICPI=38,28%</v>
      </c>
      <c r="K27" s="423" t="s">
        <v>1598</v>
      </c>
      <c r="L27" s="418"/>
      <c r="M27" s="221"/>
      <c r="N27" s="221"/>
      <c r="O27" s="221"/>
      <c r="P27" s="221"/>
      <c r="Q27" s="221"/>
      <c r="R27" s="221"/>
      <c r="S27" s="221"/>
      <c r="T27" s="221"/>
      <c r="U27" s="221"/>
      <c r="V27" s="221"/>
      <c r="W27" s="221"/>
      <c r="X27" s="221"/>
      <c r="Y27" s="221"/>
      <c r="Z27" s="986"/>
    </row>
    <row r="28" spans="1:26" s="11" customFormat="1" ht="19.95" customHeight="1" x14ac:dyDescent="0.3">
      <c r="A28" s="1940" t="s">
        <v>1599</v>
      </c>
      <c r="B28" s="1798"/>
      <c r="C28" s="1798"/>
      <c r="D28" s="1798"/>
      <c r="E28" s="1798"/>
      <c r="F28" s="1798"/>
      <c r="G28" s="1798"/>
      <c r="H28" s="1798"/>
      <c r="I28" s="1798"/>
      <c r="J28" s="1798"/>
      <c r="K28" s="1798"/>
      <c r="L28" s="1798"/>
      <c r="M28" s="1798"/>
      <c r="N28" s="1798"/>
      <c r="O28" s="1798"/>
      <c r="P28" s="1798"/>
      <c r="Q28" s="1798"/>
      <c r="R28" s="1798"/>
      <c r="S28" s="1798"/>
      <c r="T28" s="1798"/>
      <c r="U28" s="1798"/>
      <c r="V28" s="1798"/>
      <c r="W28" s="1798"/>
      <c r="X28" s="1798"/>
      <c r="Y28" s="1798"/>
      <c r="Z28" s="1799"/>
    </row>
    <row r="29" spans="1:26" s="11" customFormat="1" ht="16.05" customHeight="1" x14ac:dyDescent="0.3">
      <c r="A29" s="999" t="s">
        <v>30</v>
      </c>
      <c r="B29" s="1014" t="s">
        <v>1600</v>
      </c>
      <c r="C29" s="441" t="s">
        <v>33</v>
      </c>
      <c r="D29" s="441" t="s">
        <v>672</v>
      </c>
      <c r="E29" s="441" t="s">
        <v>1601</v>
      </c>
      <c r="F29" s="441" t="s">
        <v>1602</v>
      </c>
      <c r="G29" s="1813" t="s">
        <v>1550</v>
      </c>
      <c r="H29" s="1812"/>
      <c r="I29" s="1812"/>
      <c r="J29" s="1812"/>
      <c r="K29" s="1812"/>
      <c r="L29" s="418"/>
      <c r="M29" s="221"/>
      <c r="N29" s="221"/>
      <c r="O29" s="221"/>
      <c r="P29" s="221"/>
      <c r="Q29" s="221"/>
      <c r="R29" s="221"/>
      <c r="S29" s="221"/>
      <c r="T29" s="221"/>
      <c r="U29" s="221"/>
      <c r="V29" s="221"/>
      <c r="W29" s="221"/>
      <c r="X29" s="221"/>
      <c r="Y29" s="221"/>
      <c r="Z29" s="986"/>
    </row>
    <row r="30" spans="1:26" s="11" customFormat="1" ht="16.05" customHeight="1" x14ac:dyDescent="0.3">
      <c r="A30" s="999" t="s">
        <v>1603</v>
      </c>
      <c r="B30" s="1327" t="s">
        <v>1604</v>
      </c>
      <c r="C30" s="447">
        <v>15</v>
      </c>
      <c r="D30" s="448">
        <f>SUMIF(E6:E25,1,'M2-PLAN-Pi'!D13:D32)</f>
        <v>0</v>
      </c>
      <c r="E30" s="448">
        <f>SUMIF(E6:E25,1,F6:F25)</f>
        <v>0.3418595135433129</v>
      </c>
      <c r="F30" s="356" t="s">
        <v>1605</v>
      </c>
      <c r="G30" s="1814" t="s">
        <v>1606</v>
      </c>
      <c r="H30" s="1810"/>
      <c r="I30" s="1810"/>
      <c r="J30" s="1810"/>
      <c r="K30" s="1810"/>
      <c r="L30" s="365"/>
      <c r="M30" s="139"/>
      <c r="N30" s="139"/>
      <c r="O30" s="139"/>
      <c r="P30" s="139"/>
      <c r="Q30" s="139"/>
      <c r="R30" s="139"/>
      <c r="S30" s="139"/>
      <c r="T30" s="139"/>
      <c r="U30" s="139"/>
      <c r="V30" s="139"/>
      <c r="W30" s="139"/>
      <c r="X30" s="139"/>
      <c r="Y30" s="139"/>
      <c r="Z30" s="985"/>
    </row>
    <row r="31" spans="1:26" s="11" customFormat="1" ht="16.05" customHeight="1" x14ac:dyDescent="0.3">
      <c r="A31" s="999" t="s">
        <v>1607</v>
      </c>
      <c r="B31" s="1345" t="s">
        <v>1608</v>
      </c>
      <c r="C31" s="449">
        <v>5</v>
      </c>
      <c r="D31" s="450">
        <f>SUMIF(E6:E25,0,'M2-PLAN-Pi'!D13:D32)</f>
        <v>0</v>
      </c>
      <c r="E31" s="450">
        <f>SUMIF(E6:E25,0,F6:F25)</f>
        <v>0.6581404864566871</v>
      </c>
      <c r="F31" s="428" t="s">
        <v>1609</v>
      </c>
      <c r="G31" s="1811" t="s">
        <v>1610</v>
      </c>
      <c r="H31" s="1812"/>
      <c r="I31" s="1812"/>
      <c r="J31" s="1812"/>
      <c r="K31" s="1812"/>
      <c r="L31" s="428"/>
      <c r="M31" s="221"/>
      <c r="N31" s="221"/>
      <c r="O31" s="221"/>
      <c r="P31" s="221"/>
      <c r="Q31" s="221"/>
      <c r="R31" s="221"/>
      <c r="S31" s="221"/>
      <c r="T31" s="221"/>
      <c r="U31" s="221"/>
      <c r="V31" s="221"/>
      <c r="W31" s="221"/>
      <c r="X31" s="221"/>
      <c r="Y31" s="221"/>
      <c r="Z31" s="986"/>
    </row>
    <row r="32" spans="1:26" s="11" customFormat="1" ht="16.05" customHeight="1" x14ac:dyDescent="0.3">
      <c r="A32" s="999" t="s">
        <v>1611</v>
      </c>
      <c r="B32" s="1135" t="s">
        <v>1612</v>
      </c>
      <c r="C32" s="442">
        <v>0</v>
      </c>
      <c r="D32" s="367">
        <v>0</v>
      </c>
      <c r="E32" s="367">
        <v>0</v>
      </c>
      <c r="F32" s="357" t="s">
        <v>1613</v>
      </c>
      <c r="G32" s="1809" t="s">
        <v>1614</v>
      </c>
      <c r="H32" s="1810"/>
      <c r="I32" s="1810"/>
      <c r="J32" s="1810"/>
      <c r="K32" s="1810"/>
      <c r="L32" s="357"/>
      <c r="M32" s="139"/>
      <c r="N32" s="139"/>
      <c r="O32" s="139"/>
      <c r="P32" s="139"/>
      <c r="Q32" s="139"/>
      <c r="R32" s="139"/>
      <c r="S32" s="139"/>
      <c r="T32" s="139"/>
      <c r="U32" s="139"/>
      <c r="V32" s="139"/>
      <c r="W32" s="139"/>
      <c r="X32" s="139"/>
      <c r="Y32" s="139"/>
      <c r="Z32" s="985"/>
    </row>
    <row r="33" spans="1:26" ht="18" customHeight="1" thickBot="1" x14ac:dyDescent="0.35">
      <c r="A33" s="1167"/>
      <c r="B33" s="1346"/>
      <c r="C33" s="1339"/>
      <c r="D33" s="1339"/>
      <c r="E33" s="1339"/>
      <c r="F33" s="1339"/>
      <c r="G33" s="1339"/>
      <c r="H33" s="1339"/>
      <c r="I33" s="1339"/>
      <c r="J33" s="1339"/>
      <c r="K33" s="1339"/>
      <c r="L33" s="1340"/>
      <c r="M33" s="1341"/>
      <c r="N33" s="1341"/>
      <c r="O33" s="1341"/>
      <c r="P33" s="1341"/>
      <c r="Q33" s="1341"/>
      <c r="R33" s="1341"/>
      <c r="S33" s="1341"/>
      <c r="T33" s="1341"/>
      <c r="U33" s="1341"/>
      <c r="V33" s="1341"/>
      <c r="W33" s="1341"/>
      <c r="X33" s="1341"/>
      <c r="Y33" s="1341"/>
      <c r="Z33" s="1342"/>
    </row>
    <row r="34" spans="1:26" ht="15" thickTop="1" x14ac:dyDescent="0.3"/>
  </sheetData>
  <mergeCells count="8">
    <mergeCell ref="G32:K32"/>
    <mergeCell ref="G31:K31"/>
    <mergeCell ref="A1:Z1"/>
    <mergeCell ref="A3:Z3"/>
    <mergeCell ref="A4:Z4"/>
    <mergeCell ref="A28:Z28"/>
    <mergeCell ref="G29:K29"/>
    <mergeCell ref="G30:K30"/>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DEEAF1"/>
  </sheetPr>
  <dimension ref="A1:Z29"/>
  <sheetViews>
    <sheetView showGridLines="0" zoomScale="70" zoomScaleNormal="70" workbookViewId="0">
      <pane ySplit="3" topLeftCell="A13" activePane="bottomLeft" state="frozen"/>
      <selection pane="bottomLeft" sqref="A1:Z1"/>
    </sheetView>
  </sheetViews>
  <sheetFormatPr baseColWidth="10" defaultRowHeight="14.4" x14ac:dyDescent="0.3"/>
  <cols>
    <col min="1" max="1" width="5.21875" customWidth="1"/>
    <col min="2" max="2" width="27.5546875" bestFit="1" customWidth="1"/>
    <col min="3" max="3" width="27.109375" bestFit="1" customWidth="1"/>
    <col min="4" max="4" width="26" bestFit="1" customWidth="1"/>
    <col min="5" max="5" width="15.109375" bestFit="1" customWidth="1"/>
    <col min="6" max="6" width="8" bestFit="1" customWidth="1"/>
    <col min="7" max="7" width="3.5546875" bestFit="1" customWidth="1"/>
    <col min="8" max="8" width="67.21875" bestFit="1" customWidth="1"/>
    <col min="9" max="9" width="23.44140625" bestFit="1" customWidth="1"/>
    <col min="10" max="10" width="10" customWidth="1"/>
    <col min="25" max="25" width="15.6640625" bestFit="1" customWidth="1"/>
    <col min="26" max="26" width="8.33203125" bestFit="1" customWidth="1"/>
  </cols>
  <sheetData>
    <row r="1" spans="1:26" ht="19.95" customHeight="1" x14ac:dyDescent="0.3">
      <c r="A1" s="1925" t="s">
        <v>4792</v>
      </c>
      <c r="B1" s="1713"/>
      <c r="C1" s="1713"/>
      <c r="D1" s="1713"/>
      <c r="E1" s="1713"/>
      <c r="F1" s="1713"/>
      <c r="G1" s="1713"/>
      <c r="H1" s="1713"/>
      <c r="I1" s="1713"/>
      <c r="J1" s="1713"/>
      <c r="K1" s="1713"/>
      <c r="L1" s="1713"/>
      <c r="M1" s="1713"/>
      <c r="N1" s="1713"/>
      <c r="O1" s="1713"/>
      <c r="P1" s="1713"/>
      <c r="Q1" s="1713"/>
      <c r="R1" s="1713"/>
      <c r="S1" s="1713"/>
      <c r="T1" s="1713"/>
      <c r="U1" s="1713"/>
      <c r="V1" s="1713"/>
      <c r="W1" s="1713"/>
      <c r="X1" s="1713"/>
      <c r="Y1" s="1713"/>
      <c r="Z1" s="1713"/>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536"/>
      <c r="N2" s="536"/>
      <c r="O2" s="536"/>
      <c r="P2" s="536"/>
      <c r="Q2" s="536"/>
      <c r="R2" s="536"/>
      <c r="S2" s="536"/>
      <c r="T2" s="536"/>
      <c r="U2" s="536"/>
      <c r="V2" s="536"/>
      <c r="W2" s="536"/>
      <c r="X2" s="536"/>
      <c r="Y2" s="536"/>
      <c r="Z2" s="536"/>
    </row>
    <row r="3" spans="1:26" ht="19.95" customHeight="1" thickBot="1" x14ac:dyDescent="0.35">
      <c r="A3" s="1714" t="s">
        <v>4068</v>
      </c>
      <c r="B3" s="1714"/>
      <c r="C3" s="1714"/>
      <c r="D3" s="1714"/>
      <c r="E3" s="1714"/>
      <c r="F3" s="1714"/>
      <c r="G3" s="1714"/>
      <c r="H3" s="1714"/>
      <c r="I3" s="1714"/>
      <c r="J3" s="1714"/>
      <c r="K3" s="1714"/>
      <c r="L3" s="1714"/>
      <c r="M3" s="1714"/>
      <c r="N3" s="1714"/>
      <c r="O3" s="1714"/>
      <c r="P3" s="1714"/>
      <c r="Q3" s="1714"/>
      <c r="R3" s="1714"/>
      <c r="S3" s="1714"/>
      <c r="T3" s="1714"/>
      <c r="U3" s="1714"/>
      <c r="V3" s="1714"/>
      <c r="W3" s="1714"/>
      <c r="X3" s="1714"/>
      <c r="Y3" s="1714"/>
      <c r="Z3" s="1714"/>
    </row>
    <row r="4" spans="1:26" ht="28.05" customHeight="1" thickTop="1" x14ac:dyDescent="0.3">
      <c r="A4" s="1166" t="s">
        <v>1615</v>
      </c>
      <c r="B4" s="1157">
        <f>SUMIF('M5-ICPI'!B5:B24,"Asentamientos Humanos",'M5-ICPI'!G5:G24)+SUMIF('M5-ICPI'!B5:B24,"Físico Ambiental",'M5-ICPI'!G5:G24)</f>
        <v>0.13265164885508846</v>
      </c>
      <c r="C4" s="1007">
        <f>SUMIF('M5-ICPI'!B5:B24,"Asentamientos Humanos",'M5-ICPI'!H5:H24)+SUMIF('M5-ICPI'!B5:B24,"Físico Ambiental",'M5-ICPI'!H5:H24)</f>
        <v>0.51492334553576513</v>
      </c>
      <c r="D4" s="1007">
        <f>IFERROR(B4/C4*100,0)</f>
        <v>25.761436144843593</v>
      </c>
      <c r="E4" s="1007" t="str">
        <f>TEXT(IFERROR(C4/C9,0),"0.00%")</f>
        <v>048%</v>
      </c>
      <c r="F4" s="1007" t="str">
        <f>IF(D4&gt;=70,"🟢",IF(D4&gt;=40,"🟡",IF(D4&gt;=20,"🟠","🔴")))</f>
        <v>🟠</v>
      </c>
      <c r="G4" s="1007">
        <f>COUNTIF('M5-ICPI'!B5:B24,"Asentamientos Humanos")+COUNTIF('M5-ICPI'!B5:B24,"Físico Ambiental")</f>
        <v>8</v>
      </c>
      <c r="H4" s="1007"/>
      <c r="I4" s="1007"/>
      <c r="J4" s="1007"/>
      <c r="K4" s="565"/>
      <c r="L4" s="565"/>
      <c r="M4" s="565"/>
      <c r="N4" s="565"/>
      <c r="O4" s="565"/>
      <c r="P4" s="565"/>
      <c r="Q4" s="565"/>
      <c r="R4" s="565"/>
      <c r="S4" s="565"/>
      <c r="T4" s="565"/>
      <c r="U4" s="565"/>
      <c r="V4" s="565"/>
      <c r="W4" s="565"/>
      <c r="X4" s="565"/>
      <c r="Y4" s="565"/>
      <c r="Z4" s="566"/>
    </row>
    <row r="5" spans="1:26" ht="16.05" customHeight="1" x14ac:dyDescent="0.3">
      <c r="A5" s="999" t="s">
        <v>1616</v>
      </c>
      <c r="B5" s="1158">
        <f>SUMIF('M5-ICPI'!B5:B24,"Socio Cultural",'M5-ICPI'!G5:G24)</f>
        <v>0.16905509641001551</v>
      </c>
      <c r="C5" s="1139">
        <f>SUMIF('M5-ICPI'!B5:B24,"Socio Cultural",'M5-ICPI'!H5:H24)</f>
        <v>0.32707622415750826</v>
      </c>
      <c r="D5" s="1140">
        <f>IFERROR(B5/C5*100,0)</f>
        <v>51.686757985993069</v>
      </c>
      <c r="E5" s="453" t="str">
        <f>TEXT(IFERROR(C5/C9,0),"0.00%")</f>
        <v>031%</v>
      </c>
      <c r="F5" s="453" t="str">
        <f>IF(D5&gt;=70,"🟢",IF(D5&gt;=40,"🟡",IF(D5&gt;=20,"🟠","🔴")))</f>
        <v>🟡</v>
      </c>
      <c r="G5" s="453">
        <f>COUNTIF('M5-ICPI'!B5:B24,"Socio Cultural")</f>
        <v>5</v>
      </c>
      <c r="H5" s="453" t="s">
        <v>1617</v>
      </c>
      <c r="I5" s="453" t="s">
        <v>1618</v>
      </c>
      <c r="J5" s="453"/>
      <c r="K5" s="541"/>
      <c r="L5" s="184"/>
      <c r="M5" s="184"/>
      <c r="N5" s="184"/>
      <c r="O5" s="184"/>
      <c r="P5" s="184"/>
      <c r="Q5" s="184"/>
      <c r="R5" s="184"/>
      <c r="S5" s="184"/>
      <c r="T5" s="184"/>
      <c r="U5" s="184"/>
      <c r="V5" s="184"/>
      <c r="W5" s="184"/>
      <c r="X5" s="184"/>
      <c r="Y5" s="184"/>
      <c r="Z5" s="928"/>
    </row>
    <row r="6" spans="1:26" s="11" customFormat="1" ht="16.05" customHeight="1" x14ac:dyDescent="0.3">
      <c r="A6" s="999" t="s">
        <v>1619</v>
      </c>
      <c r="B6" s="1159">
        <f>SUMIF('M5-ICPI'!B5:B24,"AMBIENTAL",'M5-ICPI'!G5:G24)</f>
        <v>8.5641661989991125E-2</v>
      </c>
      <c r="C6" s="1141">
        <f>SUMIF('M5-ICPI'!B5:B24,"AMBIENTAL",'M5-ICPI'!H5:H24)</f>
        <v>0.19060425279431956</v>
      </c>
      <c r="D6" s="1142">
        <f>IFERROR(B6/C6*100,0)</f>
        <v>44.93166376639391</v>
      </c>
      <c r="E6" s="366" t="str">
        <f>TEXT(IFERROR(C6/C9,0),"0.00%")</f>
        <v>018%</v>
      </c>
      <c r="F6" s="366" t="str">
        <f>IF(D6&gt;=70,"🟢",IF(D6&gt;=40,"🟡",IF(D6&gt;=20,"🟠","🔴")))</f>
        <v>🟡</v>
      </c>
      <c r="G6" s="366">
        <f>COUNTIF('M5-ICPI'!B5:B24,"AMBIENTAL")</f>
        <v>2</v>
      </c>
      <c r="H6" s="366" t="s">
        <v>1620</v>
      </c>
      <c r="I6" s="366" t="s">
        <v>1621</v>
      </c>
      <c r="J6" s="1143"/>
      <c r="K6" s="1144"/>
      <c r="L6" s="224"/>
      <c r="M6" s="224"/>
      <c r="N6" s="224"/>
      <c r="O6" s="224"/>
      <c r="P6" s="224"/>
      <c r="Q6" s="224"/>
      <c r="R6" s="224"/>
      <c r="S6" s="224"/>
      <c r="T6" s="224"/>
      <c r="U6" s="224"/>
      <c r="V6" s="224"/>
      <c r="W6" s="224"/>
      <c r="X6" s="224"/>
      <c r="Y6" s="224"/>
      <c r="Z6" s="1152"/>
    </row>
    <row r="7" spans="1:26" s="11" customFormat="1" ht="16.05" customHeight="1" x14ac:dyDescent="0.3">
      <c r="A7" s="999" t="s">
        <v>1622</v>
      </c>
      <c r="B7" s="1158">
        <f>SUMIF('M5-ICPI'!B5:B24,"Económico Productivo",'M5-ICPI'!G5:G24)</f>
        <v>1.1693585661642302E-3</v>
      </c>
      <c r="C7" s="1139">
        <f>SUMIF('M5-ICPI'!B5:B24,"Económico Productivo",'M5-ICPI'!H5:H24)</f>
        <v>1.6705122373774717E-3</v>
      </c>
      <c r="D7" s="1140">
        <f>IFERROR(B7/C7*100,0)</f>
        <v>70</v>
      </c>
      <c r="E7" s="453" t="str">
        <f>TEXT(IFERROR(C7/C9,0),"0.00%")</f>
        <v>000%</v>
      </c>
      <c r="F7" s="453" t="str">
        <f>IF(D7&gt;=70,"🟢",IF(D7&gt;=40,"🟡",IF(D7&gt;=20,"🟠","🔴")))</f>
        <v>🟢</v>
      </c>
      <c r="G7" s="453">
        <f>COUNTIF('M5-ICPI'!B5:B24,"Económico Productivo")</f>
        <v>1</v>
      </c>
      <c r="H7" s="453" t="s">
        <v>1623</v>
      </c>
      <c r="I7" s="453" t="s">
        <v>1624</v>
      </c>
      <c r="J7" s="1145"/>
      <c r="K7" s="1146"/>
      <c r="L7" s="225"/>
      <c r="M7" s="225"/>
      <c r="N7" s="225"/>
      <c r="O7" s="225"/>
      <c r="P7" s="225"/>
      <c r="Q7" s="225"/>
      <c r="R7" s="225"/>
      <c r="S7" s="225"/>
      <c r="T7" s="225"/>
      <c r="U7" s="225"/>
      <c r="V7" s="225"/>
      <c r="W7" s="225"/>
      <c r="X7" s="225"/>
      <c r="Y7" s="225"/>
      <c r="Z7" s="1153"/>
    </row>
    <row r="8" spans="1:26" s="11" customFormat="1" ht="16.05" customHeight="1" x14ac:dyDescent="0.3">
      <c r="A8" s="999" t="s">
        <v>1625</v>
      </c>
      <c r="B8" s="1159">
        <f>SUMIF('M5-ICPI'!B5:B24,"Político Institucional",'M5-ICPI'!G5:G24)</f>
        <v>2.0447057823201178E-2</v>
      </c>
      <c r="C8" s="1141">
        <f>SUMIF('M5-ICPI'!B5:B24,"Político Institucional",'M5-ICPI'!H5:H24)</f>
        <v>3.3992716788601995E-2</v>
      </c>
      <c r="D8" s="1142">
        <f>IFERROR(B8/C8*100,0)</f>
        <v>60.151290496607871</v>
      </c>
      <c r="E8" s="366" t="str">
        <f>TEXT(IFERROR(C8/C9,0),"0.00%")</f>
        <v>003%</v>
      </c>
      <c r="F8" s="366" t="str">
        <f>IF(D8&gt;=70,"🟢",IF(D8&gt;=40,"🟡",IF(D8&gt;=20,"🟠","🔴")))</f>
        <v>🟡</v>
      </c>
      <c r="G8" s="366">
        <f>COUNTIF('M5-ICPI'!B5:B24,"Político Institucional")</f>
        <v>3</v>
      </c>
      <c r="H8" s="366" t="s">
        <v>1626</v>
      </c>
      <c r="I8" s="366" t="s">
        <v>1627</v>
      </c>
      <c r="J8" s="1143"/>
      <c r="K8" s="1144"/>
      <c r="L8" s="224"/>
      <c r="M8" s="224"/>
      <c r="N8" s="224"/>
      <c r="O8" s="224"/>
      <c r="P8" s="224"/>
      <c r="Q8" s="224"/>
      <c r="R8" s="224"/>
      <c r="S8" s="224"/>
      <c r="T8" s="224"/>
      <c r="U8" s="224"/>
      <c r="V8" s="224"/>
      <c r="W8" s="224"/>
      <c r="X8" s="224"/>
      <c r="Y8" s="224"/>
      <c r="Z8" s="1152"/>
    </row>
    <row r="9" spans="1:26" s="11" customFormat="1" ht="16.05" customHeight="1" x14ac:dyDescent="0.3">
      <c r="A9" s="1019"/>
      <c r="B9" s="1138">
        <f>SUM(B4:B8)</f>
        <v>0.40896482364446052</v>
      </c>
      <c r="C9" s="432">
        <f>SUM(C4:C8)</f>
        <v>1.0682670515135724</v>
      </c>
      <c r="D9" s="432">
        <f>'M5-ICPI'!G29</f>
        <v>38.283013883562113</v>
      </c>
      <c r="E9" s="432" t="str">
        <f>TEXT(SUM(C4:C8)/C9,"0.00%")</f>
        <v>100%</v>
      </c>
      <c r="F9" s="432"/>
      <c r="G9" s="432"/>
      <c r="H9" s="432"/>
      <c r="I9" s="432"/>
      <c r="J9" s="418"/>
      <c r="K9" s="219"/>
      <c r="L9" s="219"/>
      <c r="M9" s="219"/>
      <c r="N9" s="219"/>
      <c r="O9" s="219"/>
      <c r="P9" s="219"/>
      <c r="Q9" s="219"/>
      <c r="R9" s="219"/>
      <c r="S9" s="219"/>
      <c r="T9" s="219"/>
      <c r="U9" s="219"/>
      <c r="V9" s="219"/>
      <c r="W9" s="219"/>
      <c r="X9" s="219"/>
      <c r="Y9" s="219"/>
      <c r="Z9" s="1131"/>
    </row>
    <row r="10" spans="1:26" s="11" customFormat="1" ht="19.95" customHeight="1" x14ac:dyDescent="0.3">
      <c r="A10" s="1797" t="s">
        <v>1628</v>
      </c>
      <c r="B10" s="1798"/>
      <c r="C10" s="1798"/>
      <c r="D10" s="1798"/>
      <c r="E10" s="1798"/>
      <c r="F10" s="1798"/>
      <c r="G10" s="1798"/>
      <c r="H10" s="1798"/>
      <c r="I10" s="1798"/>
      <c r="J10" s="1798"/>
      <c r="K10" s="1798"/>
      <c r="L10" s="1798"/>
      <c r="M10" s="1798"/>
      <c r="N10" s="1798"/>
      <c r="O10" s="1798"/>
      <c r="P10" s="1798"/>
      <c r="Q10" s="1798"/>
      <c r="R10" s="1798"/>
      <c r="S10" s="1798"/>
      <c r="T10" s="1798"/>
      <c r="U10" s="1798"/>
      <c r="V10" s="1798"/>
      <c r="W10" s="1798"/>
      <c r="X10" s="1798"/>
      <c r="Y10" s="1798"/>
      <c r="Z10" s="1799"/>
    </row>
    <row r="11" spans="1:26" s="11" customFormat="1" ht="16.05" customHeight="1" x14ac:dyDescent="0.3">
      <c r="A11" s="1019"/>
      <c r="B11" s="1160" t="str">
        <f>TEXT('M5-ICPI'!G26*100,"0,00")&amp;"% — ✅ VERIFICADO"</f>
        <v>0,00% — ✅ VERIFICADO</v>
      </c>
      <c r="C11" s="455"/>
      <c r="D11" s="455" t="s">
        <v>1629</v>
      </c>
      <c r="E11" s="455"/>
      <c r="F11" s="455"/>
      <c r="G11" s="455"/>
      <c r="H11" s="455"/>
      <c r="I11" s="455"/>
      <c r="J11" s="458"/>
      <c r="K11" s="1147"/>
      <c r="L11" s="219"/>
      <c r="M11" s="219"/>
      <c r="N11" s="219"/>
      <c r="O11" s="219"/>
      <c r="P11" s="219"/>
      <c r="Q11" s="219"/>
      <c r="R11" s="219"/>
      <c r="S11" s="219"/>
      <c r="T11" s="219"/>
      <c r="U11" s="219"/>
      <c r="V11" s="219"/>
      <c r="W11" s="219"/>
      <c r="X11" s="219"/>
      <c r="Y11" s="219"/>
      <c r="Z11" s="1131"/>
    </row>
    <row r="12" spans="1:26" s="11" customFormat="1" ht="19.95" customHeight="1" x14ac:dyDescent="0.3">
      <c r="A12" s="1797" t="s">
        <v>1630</v>
      </c>
      <c r="B12" s="1798"/>
      <c r="C12" s="1798"/>
      <c r="D12" s="1798"/>
      <c r="E12" s="1798"/>
      <c r="F12" s="1798"/>
      <c r="G12" s="1798"/>
      <c r="H12" s="1798"/>
      <c r="I12" s="1798"/>
      <c r="J12" s="1798"/>
      <c r="K12" s="1798"/>
      <c r="L12" s="1798"/>
      <c r="M12" s="1798"/>
      <c r="N12" s="1798"/>
      <c r="O12" s="1798"/>
      <c r="P12" s="1798"/>
      <c r="Q12" s="1798"/>
      <c r="R12" s="1798"/>
      <c r="S12" s="1798"/>
      <c r="T12" s="1798"/>
      <c r="U12" s="1798"/>
      <c r="V12" s="1798"/>
      <c r="W12" s="1798"/>
      <c r="X12" s="1798"/>
      <c r="Y12" s="1798"/>
      <c r="Z12" s="1799"/>
    </row>
    <row r="13" spans="1:26" s="11" customFormat="1" ht="16.05" customHeight="1" x14ac:dyDescent="0.3">
      <c r="A13" s="1019" t="s">
        <v>1631</v>
      </c>
      <c r="B13" s="1160" t="str">
        <f>TEXT(ABS(D7-'M5-ICPI'!G26),"0,0000")&amp;" pp — ✅ CONSISTENTE"</f>
        <v>70,0000 pp — ✅ CONSISTENTE</v>
      </c>
      <c r="C13" s="1820" t="s">
        <v>1632</v>
      </c>
      <c r="D13" s="1820"/>
      <c r="E13" s="1820"/>
      <c r="F13" s="1820"/>
      <c r="G13" s="1820"/>
      <c r="H13" s="1820"/>
      <c r="I13" s="1820"/>
      <c r="J13" s="455"/>
      <c r="K13" s="1093"/>
      <c r="L13" s="1093"/>
      <c r="M13" s="1147"/>
      <c r="N13" s="1147"/>
      <c r="O13" s="219"/>
      <c r="P13" s="219"/>
      <c r="Q13" s="219"/>
      <c r="R13" s="219"/>
      <c r="S13" s="219"/>
      <c r="T13" s="219"/>
      <c r="U13" s="219"/>
      <c r="V13" s="219"/>
      <c r="W13" s="219"/>
      <c r="X13" s="219"/>
      <c r="Y13" s="219"/>
      <c r="Z13" s="1131"/>
    </row>
    <row r="14" spans="1:26" s="11" customFormat="1" ht="19.95" customHeight="1" x14ac:dyDescent="0.3">
      <c r="A14" s="1797" t="s">
        <v>1633</v>
      </c>
      <c r="B14" s="1798"/>
      <c r="C14" s="1798"/>
      <c r="D14" s="1798"/>
      <c r="E14" s="1798"/>
      <c r="F14" s="1798"/>
      <c r="G14" s="1798"/>
      <c r="H14" s="1798"/>
      <c r="I14" s="1798"/>
      <c r="J14" s="1798"/>
      <c r="K14" s="1798"/>
      <c r="L14" s="1798"/>
      <c r="M14" s="1798"/>
      <c r="N14" s="1798"/>
      <c r="O14" s="1798"/>
      <c r="P14" s="1798"/>
      <c r="Q14" s="1798"/>
      <c r="R14" s="1798"/>
      <c r="S14" s="1798"/>
      <c r="T14" s="1798"/>
      <c r="U14" s="1798"/>
      <c r="V14" s="1798"/>
      <c r="W14" s="1798"/>
      <c r="X14" s="1798"/>
      <c r="Y14" s="1798"/>
      <c r="Z14" s="1799"/>
    </row>
    <row r="15" spans="1:26" s="11" customFormat="1" ht="16.05" customHeight="1" x14ac:dyDescent="0.3">
      <c r="A15" s="1019" t="s">
        <v>1634</v>
      </c>
      <c r="B15" s="1016" t="s">
        <v>1635</v>
      </c>
      <c r="C15" s="1819" t="s">
        <v>1636</v>
      </c>
      <c r="D15" s="1820"/>
      <c r="E15" s="1820"/>
      <c r="F15" s="1820"/>
      <c r="G15" s="1820"/>
      <c r="H15" s="1820"/>
      <c r="I15" s="1820"/>
      <c r="J15" s="455"/>
      <c r="K15" s="1093"/>
      <c r="L15" s="1093"/>
      <c r="M15" s="1147"/>
      <c r="N15" s="1147"/>
      <c r="O15" s="219"/>
      <c r="P15" s="219"/>
      <c r="Q15" s="219"/>
      <c r="R15" s="219"/>
      <c r="S15" s="219"/>
      <c r="T15" s="219"/>
      <c r="U15" s="219"/>
      <c r="V15" s="219"/>
      <c r="W15" s="219"/>
      <c r="X15" s="219"/>
      <c r="Y15" s="219"/>
      <c r="Z15" s="1131"/>
    </row>
    <row r="16" spans="1:26" s="11" customFormat="1" ht="16.05" customHeight="1" x14ac:dyDescent="0.3">
      <c r="A16" s="1019"/>
      <c r="B16" s="1161"/>
      <c r="C16" s="347"/>
      <c r="D16" s="347"/>
      <c r="E16" s="347"/>
      <c r="F16" s="347"/>
      <c r="G16" s="347"/>
      <c r="H16" s="347"/>
      <c r="I16" s="347"/>
      <c r="J16" s="347"/>
      <c r="K16" s="139"/>
      <c r="L16" s="139"/>
      <c r="M16" s="139"/>
      <c r="N16" s="139"/>
      <c r="O16" s="139"/>
      <c r="P16" s="139"/>
      <c r="Q16" s="139"/>
      <c r="R16" s="139"/>
      <c r="S16" s="139"/>
      <c r="T16" s="139"/>
      <c r="U16" s="139"/>
      <c r="V16" s="139"/>
      <c r="W16" s="139"/>
      <c r="X16" s="139"/>
      <c r="Y16" s="139"/>
      <c r="Z16" s="985"/>
    </row>
    <row r="17" spans="1:26" s="11" customFormat="1" ht="19.95" customHeight="1" x14ac:dyDescent="0.3">
      <c r="A17" s="1797" t="s">
        <v>1637</v>
      </c>
      <c r="B17" s="1798"/>
      <c r="C17" s="1798"/>
      <c r="D17" s="1798"/>
      <c r="E17" s="1798"/>
      <c r="F17" s="1798"/>
      <c r="G17" s="1798"/>
      <c r="H17" s="1798"/>
      <c r="I17" s="1798"/>
      <c r="J17" s="1798"/>
      <c r="K17" s="1798"/>
      <c r="L17" s="1798"/>
      <c r="M17" s="1798"/>
      <c r="N17" s="1798"/>
      <c r="O17" s="1798"/>
      <c r="P17" s="1798"/>
      <c r="Q17" s="1798"/>
      <c r="R17" s="1798"/>
      <c r="S17" s="1798"/>
      <c r="T17" s="1798"/>
      <c r="U17" s="1798"/>
      <c r="V17" s="1798"/>
      <c r="W17" s="1798"/>
      <c r="X17" s="1798"/>
      <c r="Y17" s="1798"/>
      <c r="Z17" s="1799"/>
    </row>
    <row r="18" spans="1:26" s="11" customFormat="1" ht="16.05" customHeight="1" x14ac:dyDescent="0.3">
      <c r="A18" s="1019" t="s">
        <v>661</v>
      </c>
      <c r="B18" s="1017" t="s">
        <v>663</v>
      </c>
      <c r="C18" s="349" t="s">
        <v>1638</v>
      </c>
      <c r="D18" s="349" t="s">
        <v>1639</v>
      </c>
      <c r="E18" s="349" t="s">
        <v>1640</v>
      </c>
      <c r="F18" s="349" t="s">
        <v>1641</v>
      </c>
      <c r="G18" s="349" t="s">
        <v>33</v>
      </c>
      <c r="H18" s="1817" t="s">
        <v>1642</v>
      </c>
      <c r="I18" s="1816"/>
      <c r="J18" s="1149"/>
      <c r="K18" s="145"/>
      <c r="L18" s="145"/>
      <c r="M18" s="145"/>
      <c r="N18" s="145"/>
      <c r="O18" s="215"/>
      <c r="P18" s="215"/>
      <c r="Q18" s="215"/>
      <c r="R18" s="215"/>
      <c r="S18" s="215"/>
      <c r="T18" s="215"/>
      <c r="U18" s="215"/>
      <c r="V18" s="215"/>
      <c r="W18" s="215"/>
      <c r="X18" s="215"/>
      <c r="Y18" s="215"/>
      <c r="Z18" s="1130"/>
    </row>
    <row r="19" spans="1:26" s="11" customFormat="1" ht="16.05" customHeight="1" x14ac:dyDescent="0.3">
      <c r="A19" s="1019" t="s">
        <v>1643</v>
      </c>
      <c r="B19" s="1162" t="s">
        <v>1625</v>
      </c>
      <c r="C19" s="455">
        <f>D8</f>
        <v>60.151290496607871</v>
      </c>
      <c r="D19" s="455" t="str">
        <f>TEXT(D8-100,"0.0")&amp;" pp"</f>
        <v>-40 pp</v>
      </c>
      <c r="E19" s="455" t="str">
        <f>TEXT(E8*100,"0,00")&amp;"%"</f>
        <v>3,00%</v>
      </c>
      <c r="F19" s="455" t="s">
        <v>1644</v>
      </c>
      <c r="G19" s="455">
        <f>G8</f>
        <v>3</v>
      </c>
      <c r="H19" s="1818" t="s">
        <v>1645</v>
      </c>
      <c r="I19" s="1815"/>
      <c r="J19" s="1150"/>
      <c r="K19" s="1151"/>
      <c r="L19" s="1151"/>
      <c r="M19" s="1151"/>
      <c r="N19" s="1151"/>
      <c r="O19" s="219"/>
      <c r="P19" s="219"/>
      <c r="Q19" s="219"/>
      <c r="R19" s="219"/>
      <c r="S19" s="219"/>
      <c r="T19" s="219"/>
      <c r="U19" s="219"/>
      <c r="V19" s="219"/>
      <c r="W19" s="219"/>
      <c r="X19" s="219"/>
      <c r="Y19" s="219"/>
      <c r="Z19" s="1131"/>
    </row>
    <row r="20" spans="1:26" s="11" customFormat="1" ht="16.05" customHeight="1" x14ac:dyDescent="0.3">
      <c r="A20" s="1019" t="s">
        <v>1646</v>
      </c>
      <c r="B20" s="1163" t="s">
        <v>1615</v>
      </c>
      <c r="C20" s="349">
        <f>D4</f>
        <v>25.761436144843593</v>
      </c>
      <c r="D20" s="349" t="str">
        <f>TEXT(D4-100,"0.0")&amp;" pp"</f>
        <v>-74 pp</v>
      </c>
      <c r="E20" s="349" t="str">
        <f>TEXT(E4*100,"0,00")&amp;"%"</f>
        <v>48,00%</v>
      </c>
      <c r="F20" s="349" t="s">
        <v>1647</v>
      </c>
      <c r="G20" s="349">
        <f>G4</f>
        <v>8</v>
      </c>
      <c r="H20" s="1816" t="s">
        <v>1648</v>
      </c>
      <c r="I20" s="1816"/>
      <c r="J20" s="1149"/>
      <c r="K20" s="145"/>
      <c r="L20" s="145"/>
      <c r="M20" s="145"/>
      <c r="N20" s="145"/>
      <c r="O20" s="1148"/>
      <c r="P20" s="215"/>
      <c r="Q20" s="215"/>
      <c r="R20" s="215"/>
      <c r="S20" s="215"/>
      <c r="T20" s="215"/>
      <c r="U20" s="215"/>
      <c r="V20" s="215"/>
      <c r="W20" s="215"/>
      <c r="X20" s="215"/>
      <c r="Y20" s="215"/>
      <c r="Z20" s="1130"/>
    </row>
    <row r="21" spans="1:26" s="11" customFormat="1" ht="16.05" customHeight="1" x14ac:dyDescent="0.3">
      <c r="A21" s="1019" t="s">
        <v>1649</v>
      </c>
      <c r="B21" s="1162" t="s">
        <v>1619</v>
      </c>
      <c r="C21" s="455">
        <f>D6</f>
        <v>44.93166376639391</v>
      </c>
      <c r="D21" s="455" t="str">
        <f>TEXT(D6-100,"0.0")&amp;" pp"</f>
        <v>-55 pp</v>
      </c>
      <c r="E21" s="455" t="str">
        <f>TEXT(E6*100,"0,00")&amp;"%"</f>
        <v>18,00%</v>
      </c>
      <c r="F21" s="455" t="s">
        <v>1650</v>
      </c>
      <c r="G21" s="455">
        <f>G6</f>
        <v>2</v>
      </c>
      <c r="H21" s="1815" t="s">
        <v>1651</v>
      </c>
      <c r="I21" s="1815"/>
      <c r="J21" s="1150"/>
      <c r="K21" s="1151"/>
      <c r="L21" s="1151"/>
      <c r="M21" s="1151"/>
      <c r="N21" s="1151"/>
      <c r="O21" s="219"/>
      <c r="P21" s="219"/>
      <c r="Q21" s="219"/>
      <c r="R21" s="219"/>
      <c r="S21" s="219"/>
      <c r="T21" s="219"/>
      <c r="U21" s="219"/>
      <c r="V21" s="219"/>
      <c r="W21" s="219"/>
      <c r="X21" s="219"/>
      <c r="Y21" s="219"/>
      <c r="Z21" s="1131"/>
    </row>
    <row r="22" spans="1:26" s="11" customFormat="1" ht="16.05" customHeight="1" x14ac:dyDescent="0.3">
      <c r="A22" s="1019" t="s">
        <v>1652</v>
      </c>
      <c r="B22" s="1163" t="s">
        <v>1622</v>
      </c>
      <c r="C22" s="1149">
        <f>D7</f>
        <v>70</v>
      </c>
      <c r="D22" s="1149" t="str">
        <f>TEXT(D7-100,"0.0")&amp;" pp"</f>
        <v>-30 pp</v>
      </c>
      <c r="E22" s="1149" t="str">
        <f>TEXT(E7*100,"0,00")&amp;"%"</f>
        <v>0,00%</v>
      </c>
      <c r="F22" s="1149" t="s">
        <v>1650</v>
      </c>
      <c r="G22" s="349">
        <f>G7</f>
        <v>1</v>
      </c>
      <c r="H22" s="1149"/>
      <c r="I22" s="1149"/>
      <c r="J22" s="1149"/>
      <c r="K22" s="145"/>
      <c r="L22" s="145"/>
      <c r="M22" s="145"/>
      <c r="N22" s="145"/>
      <c r="O22" s="1148"/>
      <c r="P22" s="139"/>
      <c r="Q22" s="139"/>
      <c r="R22" s="139"/>
      <c r="S22" s="139"/>
      <c r="T22" s="139"/>
      <c r="U22" s="139"/>
      <c r="V22" s="139"/>
      <c r="W22" s="139"/>
      <c r="X22" s="139"/>
      <c r="Y22" s="139"/>
      <c r="Z22" s="985"/>
    </row>
    <row r="23" spans="1:26" s="11" customFormat="1" ht="16.05" customHeight="1" x14ac:dyDescent="0.3">
      <c r="A23" s="999" t="s">
        <v>1653</v>
      </c>
      <c r="B23" s="1162" t="s">
        <v>1616</v>
      </c>
      <c r="C23" s="1150">
        <f>D5</f>
        <v>51.686757985993069</v>
      </c>
      <c r="D23" s="1150" t="str">
        <f>TEXT(D5-100,"0.0")&amp;" pp"</f>
        <v>-48 pp</v>
      </c>
      <c r="E23" s="1150" t="str">
        <f>TEXT(E5*100,"0,00")&amp;"%"</f>
        <v>31,00%</v>
      </c>
      <c r="F23" s="1150" t="s">
        <v>1654</v>
      </c>
      <c r="G23" s="1150">
        <f>G5</f>
        <v>5</v>
      </c>
      <c r="H23" s="1150"/>
      <c r="I23" s="1150"/>
      <c r="J23" s="1150"/>
      <c r="K23" s="1151"/>
      <c r="L23" s="1151"/>
      <c r="M23" s="1151"/>
      <c r="N23" s="189"/>
      <c r="O23" s="221"/>
      <c r="P23" s="221"/>
      <c r="Q23" s="221"/>
      <c r="R23" s="221"/>
      <c r="S23" s="221"/>
      <c r="T23" s="221"/>
      <c r="U23" s="221"/>
      <c r="V23" s="221"/>
      <c r="W23" s="221"/>
      <c r="X23" s="221"/>
      <c r="Y23" s="221"/>
      <c r="Z23" s="986"/>
    </row>
    <row r="24" spans="1:26" s="11" customFormat="1" ht="37.950000000000003" customHeight="1" x14ac:dyDescent="0.3">
      <c r="A24" s="1072"/>
      <c r="B24" s="1164"/>
      <c r="C24" s="52"/>
      <c r="D24" s="52"/>
      <c r="E24" s="52"/>
      <c r="F24" s="52"/>
      <c r="G24" s="52"/>
      <c r="H24" s="52"/>
      <c r="I24" s="52"/>
      <c r="J24" s="52"/>
      <c r="K24" s="52"/>
      <c r="L24" s="52"/>
      <c r="M24" s="52"/>
      <c r="N24" s="52"/>
      <c r="O24" s="52"/>
      <c r="P24" s="52"/>
      <c r="Q24" s="52"/>
      <c r="R24" s="52"/>
      <c r="S24" s="52"/>
      <c r="T24" s="52"/>
      <c r="U24" s="52"/>
      <c r="V24" s="52"/>
      <c r="W24" s="52"/>
      <c r="X24" s="52"/>
      <c r="Y24" s="52"/>
      <c r="Z24" s="1154"/>
    </row>
    <row r="25" spans="1:26" s="11" customFormat="1" ht="37.950000000000003" customHeight="1" thickBot="1" x14ac:dyDescent="0.35">
      <c r="A25" s="1167"/>
      <c r="B25" s="1165"/>
      <c r="C25" s="1155"/>
      <c r="D25" s="1155"/>
      <c r="E25" s="1155"/>
      <c r="F25" s="1155"/>
      <c r="G25" s="1155"/>
      <c r="H25" s="1155"/>
      <c r="I25" s="1155"/>
      <c r="J25" s="1155"/>
      <c r="K25" s="1155"/>
      <c r="L25" s="1155"/>
      <c r="M25" s="1155"/>
      <c r="N25" s="1155"/>
      <c r="O25" s="1155"/>
      <c r="P25" s="1155"/>
      <c r="Q25" s="1155"/>
      <c r="R25" s="1155"/>
      <c r="S25" s="1155"/>
      <c r="T25" s="1155"/>
      <c r="U25" s="1155"/>
      <c r="V25" s="1155"/>
      <c r="W25" s="1155"/>
      <c r="X25" s="1155"/>
      <c r="Y25" s="1155"/>
      <c r="Z25" s="1156"/>
    </row>
    <row r="26" spans="1:26" s="11" customFormat="1" ht="37.950000000000003" customHeight="1" thickTop="1" x14ac:dyDescent="0.3"/>
    <row r="27" spans="1:26" s="11" customFormat="1" ht="37.950000000000003" customHeight="1" x14ac:dyDescent="0.3"/>
    <row r="28" spans="1:26" s="11" customFormat="1" ht="37.950000000000003" customHeight="1" x14ac:dyDescent="0.3"/>
    <row r="29" spans="1:26" s="11" customFormat="1" ht="37.950000000000003" customHeight="1" x14ac:dyDescent="0.3"/>
  </sheetData>
  <mergeCells count="12">
    <mergeCell ref="A1:Z1"/>
    <mergeCell ref="A10:Z10"/>
    <mergeCell ref="A12:Z12"/>
    <mergeCell ref="A14:Z14"/>
    <mergeCell ref="A17:Z17"/>
    <mergeCell ref="H21:I21"/>
    <mergeCell ref="H20:I20"/>
    <mergeCell ref="A3:Z3"/>
    <mergeCell ref="H18:I18"/>
    <mergeCell ref="H19:I19"/>
    <mergeCell ref="C15:I15"/>
    <mergeCell ref="C13:I13"/>
  </mergeCells>
  <pageMargins left="0.7" right="0.7" top="0.75" bottom="0.75" header="0.3" footer="0.3"/>
  <pageSetup orientation="portrait"/>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EAD1DC"/>
  </sheetPr>
  <dimension ref="A1:Z36"/>
  <sheetViews>
    <sheetView showGridLines="0" zoomScale="40" zoomScaleNormal="40" workbookViewId="0">
      <pane ySplit="3" topLeftCell="A16" activePane="bottomLeft" state="frozen"/>
      <selection pane="bottomLeft" sqref="A1:Z1"/>
    </sheetView>
  </sheetViews>
  <sheetFormatPr baseColWidth="10" defaultRowHeight="14.4" x14ac:dyDescent="0.3"/>
  <cols>
    <col min="1" max="1" width="5.21875" customWidth="1"/>
    <col min="2" max="2" width="26" bestFit="1" customWidth="1"/>
    <col min="3" max="3" width="46.5546875" bestFit="1" customWidth="1"/>
    <col min="4" max="4" width="15.6640625" bestFit="1" customWidth="1"/>
    <col min="5" max="5" width="16.33203125" bestFit="1" customWidth="1"/>
    <col min="6" max="6" width="14.33203125" bestFit="1" customWidth="1"/>
    <col min="7" max="7" width="19" bestFit="1" customWidth="1"/>
    <col min="8" max="8" width="37.33203125" bestFit="1" customWidth="1"/>
    <col min="9" max="9" width="11.77734375" bestFit="1" customWidth="1"/>
    <col min="10" max="10" width="12.33203125" bestFit="1" customWidth="1"/>
    <col min="26" max="26" width="10.109375" bestFit="1" customWidth="1"/>
  </cols>
  <sheetData>
    <row r="1" spans="1:26" ht="19.95" customHeight="1" x14ac:dyDescent="0.3">
      <c r="A1" s="1925" t="s">
        <v>4793</v>
      </c>
      <c r="B1" s="1713"/>
      <c r="C1" s="1713"/>
      <c r="D1" s="1713"/>
      <c r="E1" s="1713"/>
      <c r="F1" s="1713"/>
      <c r="G1" s="1713"/>
      <c r="H1" s="1713"/>
      <c r="I1" s="1713"/>
      <c r="J1" s="1713"/>
      <c r="K1" s="1713"/>
      <c r="L1" s="1713"/>
      <c r="M1" s="1713"/>
      <c r="N1" s="1713"/>
      <c r="O1" s="1713"/>
      <c r="P1" s="1713"/>
      <c r="Q1" s="1713"/>
      <c r="R1" s="1713"/>
      <c r="S1" s="1713"/>
      <c r="T1" s="1713"/>
      <c r="U1" s="1713"/>
      <c r="V1" s="1713"/>
      <c r="W1" s="1713"/>
      <c r="X1" s="1713"/>
      <c r="Y1" s="1713"/>
      <c r="Z1" s="1713"/>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536"/>
      <c r="N2" s="536"/>
      <c r="O2" s="536"/>
      <c r="P2" s="536"/>
      <c r="Q2" s="536"/>
      <c r="R2" s="536"/>
      <c r="S2" s="536"/>
      <c r="T2" s="536"/>
      <c r="U2" s="536"/>
      <c r="V2" s="536"/>
      <c r="W2" s="536"/>
      <c r="X2" s="536"/>
      <c r="Y2" s="536"/>
      <c r="Z2" s="536"/>
    </row>
    <row r="3" spans="1:26" ht="19.95" customHeight="1" thickBot="1" x14ac:dyDescent="0.35">
      <c r="A3" s="1714" t="s">
        <v>4069</v>
      </c>
      <c r="B3" s="1714"/>
      <c r="C3" s="1714"/>
      <c r="D3" s="1714"/>
      <c r="E3" s="1714"/>
      <c r="F3" s="1714"/>
      <c r="G3" s="1714"/>
      <c r="H3" s="1714"/>
      <c r="I3" s="1714"/>
      <c r="J3" s="1714"/>
      <c r="K3" s="1714"/>
      <c r="L3" s="1714"/>
      <c r="M3" s="1714"/>
      <c r="N3" s="1714"/>
      <c r="O3" s="1714"/>
      <c r="P3" s="1714"/>
      <c r="Q3" s="1714"/>
      <c r="R3" s="1714"/>
      <c r="S3" s="1714"/>
      <c r="T3" s="1714"/>
      <c r="U3" s="1714"/>
      <c r="V3" s="1714"/>
      <c r="W3" s="1714"/>
      <c r="X3" s="1714"/>
      <c r="Y3" s="1714"/>
      <c r="Z3" s="1714"/>
    </row>
    <row r="4" spans="1:26" ht="19.95" customHeight="1" thickTop="1" x14ac:dyDescent="0.3">
      <c r="A4" s="1671" t="s">
        <v>1655</v>
      </c>
      <c r="B4" s="1672"/>
      <c r="C4" s="1672"/>
      <c r="D4" s="1672"/>
      <c r="E4" s="1672"/>
      <c r="F4" s="1672"/>
      <c r="G4" s="1672"/>
      <c r="H4" s="1672"/>
      <c r="I4" s="1672"/>
      <c r="J4" s="1672"/>
      <c r="K4" s="1672"/>
      <c r="L4" s="1672"/>
      <c r="M4" s="1672"/>
      <c r="N4" s="1672"/>
      <c r="O4" s="1672"/>
      <c r="P4" s="1672"/>
      <c r="Q4" s="1672"/>
      <c r="R4" s="1672"/>
      <c r="S4" s="1672"/>
      <c r="T4" s="1672"/>
      <c r="U4" s="1672"/>
      <c r="V4" s="1672"/>
      <c r="W4" s="1672"/>
      <c r="X4" s="1672"/>
      <c r="Y4" s="1672"/>
      <c r="Z4" s="1673"/>
    </row>
    <row r="5" spans="1:26" ht="16.05" customHeight="1" x14ac:dyDescent="0.3">
      <c r="A5" s="999" t="s">
        <v>1656</v>
      </c>
      <c r="B5" s="1012" t="s">
        <v>662</v>
      </c>
      <c r="C5" s="415" t="s">
        <v>664</v>
      </c>
      <c r="D5" s="415" t="s">
        <v>1657</v>
      </c>
      <c r="E5" s="415" t="s">
        <v>1658</v>
      </c>
      <c r="F5" s="415" t="s">
        <v>1659</v>
      </c>
      <c r="G5" s="415" t="s">
        <v>1660</v>
      </c>
      <c r="H5" s="415" t="s">
        <v>1661</v>
      </c>
      <c r="I5" s="415" t="s">
        <v>1662</v>
      </c>
      <c r="J5" s="415" t="s">
        <v>927</v>
      </c>
      <c r="K5" s="415"/>
      <c r="L5" s="415"/>
      <c r="M5" s="184"/>
      <c r="N5" s="184"/>
      <c r="O5" s="184"/>
      <c r="P5" s="184"/>
      <c r="Q5" s="184"/>
      <c r="R5" s="184"/>
      <c r="S5" s="184"/>
      <c r="T5" s="184"/>
      <c r="U5" s="184"/>
      <c r="V5" s="184"/>
      <c r="W5" s="184"/>
      <c r="X5" s="184"/>
      <c r="Y5" s="184"/>
      <c r="Z5" s="928"/>
    </row>
    <row r="6" spans="1:26" ht="16.05" customHeight="1" x14ac:dyDescent="0.3">
      <c r="A6" s="999">
        <v>1</v>
      </c>
      <c r="B6" s="1013" t="s">
        <v>43</v>
      </c>
      <c r="C6" s="354" t="s">
        <v>749</v>
      </c>
      <c r="D6" s="438">
        <f>'M5-ICPI'!G29</f>
        <v>38.283013883562113</v>
      </c>
      <c r="E6" s="438">
        <v>67.64</v>
      </c>
      <c r="F6" s="438">
        <v>20.62</v>
      </c>
      <c r="G6" s="354" t="s">
        <v>1663</v>
      </c>
      <c r="H6" s="354" t="s">
        <v>1664</v>
      </c>
      <c r="I6" s="354"/>
      <c r="J6" s="354"/>
      <c r="K6" s="425"/>
      <c r="L6" s="425"/>
      <c r="M6" s="295"/>
      <c r="N6" s="295"/>
      <c r="O6" s="295"/>
      <c r="P6" s="295"/>
      <c r="Q6" s="295"/>
      <c r="R6" s="295"/>
      <c r="S6" s="295"/>
      <c r="T6" s="295"/>
      <c r="U6" s="295"/>
      <c r="V6" s="295"/>
      <c r="W6" s="295"/>
      <c r="X6" s="295"/>
      <c r="Y6" s="295"/>
      <c r="Z6" s="798"/>
    </row>
    <row r="7" spans="1:26" s="11" customFormat="1" ht="16.05" customHeight="1" x14ac:dyDescent="0.3">
      <c r="A7" s="999">
        <v>2</v>
      </c>
      <c r="B7" s="992" t="s">
        <v>57</v>
      </c>
      <c r="C7" s="1348" t="s">
        <v>751</v>
      </c>
      <c r="D7" s="440">
        <f>'M5-ICPI'!G29</f>
        <v>38.283013883562113</v>
      </c>
      <c r="E7" s="444">
        <v>52.2</v>
      </c>
      <c r="F7" s="440">
        <v>5.18</v>
      </c>
      <c r="G7" s="423" t="s">
        <v>1665</v>
      </c>
      <c r="H7" s="1349" t="s">
        <v>1666</v>
      </c>
      <c r="I7" s="418"/>
      <c r="J7" s="418"/>
      <c r="K7" s="446"/>
      <c r="L7" s="446"/>
      <c r="M7" s="221"/>
      <c r="N7" s="221"/>
      <c r="O7" s="221"/>
      <c r="P7" s="221"/>
      <c r="Q7" s="221"/>
      <c r="R7" s="221"/>
      <c r="S7" s="221"/>
      <c r="T7" s="221"/>
      <c r="U7" s="221"/>
      <c r="V7" s="221"/>
      <c r="W7" s="221"/>
      <c r="X7" s="221"/>
      <c r="Y7" s="221"/>
      <c r="Z7" s="986"/>
    </row>
    <row r="8" spans="1:26" s="11" customFormat="1" ht="16.05" customHeight="1" x14ac:dyDescent="0.3">
      <c r="A8" s="999">
        <v>3</v>
      </c>
      <c r="B8" s="991" t="s">
        <v>47</v>
      </c>
      <c r="C8" s="370" t="s">
        <v>754</v>
      </c>
      <c r="D8" s="367">
        <f>'M5-ICPI'!G29</f>
        <v>38.283013883562113</v>
      </c>
      <c r="E8" s="368">
        <v>49.6</v>
      </c>
      <c r="F8" s="367">
        <v>2.58</v>
      </c>
      <c r="G8" s="361" t="s">
        <v>1667</v>
      </c>
      <c r="H8" s="357" t="s">
        <v>1668</v>
      </c>
      <c r="I8" s="357"/>
      <c r="J8" s="357"/>
      <c r="K8" s="347"/>
      <c r="L8" s="347"/>
      <c r="M8" s="139"/>
      <c r="N8" s="139"/>
      <c r="O8" s="139"/>
      <c r="P8" s="139"/>
      <c r="Q8" s="139"/>
      <c r="R8" s="139"/>
      <c r="S8" s="139"/>
      <c r="T8" s="139"/>
      <c r="U8" s="139"/>
      <c r="V8" s="139"/>
      <c r="W8" s="139"/>
      <c r="X8" s="139"/>
      <c r="Y8" s="139"/>
      <c r="Z8" s="985"/>
    </row>
    <row r="9" spans="1:26" s="11" customFormat="1" ht="16.05" customHeight="1" x14ac:dyDescent="0.3">
      <c r="A9" s="999">
        <v>4</v>
      </c>
      <c r="B9" s="992" t="s">
        <v>53</v>
      </c>
      <c r="C9" s="1127" t="s">
        <v>756</v>
      </c>
      <c r="D9" s="440">
        <f>'M5-ICPI'!G29</f>
        <v>38.283013883562113</v>
      </c>
      <c r="E9" s="444">
        <v>47.9</v>
      </c>
      <c r="F9" s="444">
        <v>0.88</v>
      </c>
      <c r="G9" s="441" t="s">
        <v>1669</v>
      </c>
      <c r="H9" s="418" t="s">
        <v>1670</v>
      </c>
      <c r="I9" s="418"/>
      <c r="J9" s="418"/>
      <c r="K9" s="446"/>
      <c r="L9" s="446"/>
      <c r="M9" s="221"/>
      <c r="N9" s="221"/>
      <c r="O9" s="221"/>
      <c r="P9" s="221"/>
      <c r="Q9" s="221"/>
      <c r="R9" s="221"/>
      <c r="S9" s="221"/>
      <c r="T9" s="221"/>
      <c r="U9" s="221"/>
      <c r="V9" s="221"/>
      <c r="W9" s="221"/>
      <c r="X9" s="221"/>
      <c r="Y9" s="221"/>
      <c r="Z9" s="986"/>
    </row>
    <row r="10" spans="1:26" s="11" customFormat="1" ht="16.05" customHeight="1" x14ac:dyDescent="0.3">
      <c r="A10" s="999">
        <v>5</v>
      </c>
      <c r="B10" s="991" t="s">
        <v>50</v>
      </c>
      <c r="C10" s="370" t="s">
        <v>1087</v>
      </c>
      <c r="D10" s="367">
        <f>'M5-ICPI'!G29</f>
        <v>38.283013883562113</v>
      </c>
      <c r="E10" s="368">
        <v>47.67</v>
      </c>
      <c r="F10" s="368">
        <v>0.65</v>
      </c>
      <c r="G10" s="361" t="s">
        <v>1671</v>
      </c>
      <c r="H10" s="357" t="s">
        <v>1672</v>
      </c>
      <c r="I10" s="357"/>
      <c r="J10" s="357"/>
      <c r="K10" s="347"/>
      <c r="L10" s="347"/>
      <c r="M10" s="139"/>
      <c r="N10" s="139"/>
      <c r="O10" s="139"/>
      <c r="P10" s="139"/>
      <c r="Q10" s="139"/>
      <c r="R10" s="139"/>
      <c r="S10" s="139"/>
      <c r="T10" s="139"/>
      <c r="U10" s="139"/>
      <c r="V10" s="139"/>
      <c r="W10" s="139"/>
      <c r="X10" s="139"/>
      <c r="Y10" s="139"/>
      <c r="Z10" s="985"/>
    </row>
    <row r="11" spans="1:26" s="11" customFormat="1" ht="16.05" customHeight="1" x14ac:dyDescent="0.3">
      <c r="A11" s="999">
        <v>6</v>
      </c>
      <c r="B11" s="992" t="s">
        <v>501</v>
      </c>
      <c r="C11" s="1127" t="s">
        <v>763</v>
      </c>
      <c r="D11" s="440">
        <f>'M5-ICPI'!G29</f>
        <v>38.283013883562113</v>
      </c>
      <c r="E11" s="444">
        <v>47.26</v>
      </c>
      <c r="F11" s="444">
        <v>0.25</v>
      </c>
      <c r="G11" s="441" t="s">
        <v>1673</v>
      </c>
      <c r="H11" s="418" t="s">
        <v>1674</v>
      </c>
      <c r="I11" s="418"/>
      <c r="J11" s="418"/>
      <c r="K11" s="446"/>
      <c r="L11" s="446"/>
      <c r="M11" s="221"/>
      <c r="N11" s="221"/>
      <c r="O11" s="221"/>
      <c r="P11" s="221"/>
      <c r="Q11" s="221"/>
      <c r="R11" s="221"/>
      <c r="S11" s="221"/>
      <c r="T11" s="221"/>
      <c r="U11" s="221"/>
      <c r="V11" s="221"/>
      <c r="W11" s="221"/>
      <c r="X11" s="221"/>
      <c r="Y11" s="221"/>
      <c r="Z11" s="986"/>
    </row>
    <row r="12" spans="1:26" s="11" customFormat="1" ht="16.05" customHeight="1" x14ac:dyDescent="0.3">
      <c r="A12" s="999">
        <v>7</v>
      </c>
      <c r="B12" s="991" t="s">
        <v>470</v>
      </c>
      <c r="C12" s="370" t="s">
        <v>760</v>
      </c>
      <c r="D12" s="367">
        <f>'M5-ICPI'!G29</f>
        <v>38.283013883562113</v>
      </c>
      <c r="E12" s="368">
        <v>47.18</v>
      </c>
      <c r="F12" s="368">
        <v>0.16</v>
      </c>
      <c r="G12" s="361" t="s">
        <v>1675</v>
      </c>
      <c r="H12" s="357" t="s">
        <v>1676</v>
      </c>
      <c r="I12" s="357"/>
      <c r="J12" s="357"/>
      <c r="K12" s="347"/>
      <c r="L12" s="347"/>
      <c r="M12" s="139"/>
      <c r="N12" s="139"/>
      <c r="O12" s="139"/>
      <c r="P12" s="139"/>
      <c r="Q12" s="139"/>
      <c r="R12" s="139"/>
      <c r="S12" s="139"/>
      <c r="T12" s="139"/>
      <c r="U12" s="139"/>
      <c r="V12" s="139"/>
      <c r="W12" s="139"/>
      <c r="X12" s="139"/>
      <c r="Y12" s="139"/>
      <c r="Z12" s="985"/>
    </row>
    <row r="13" spans="1:26" s="11" customFormat="1" ht="16.05" customHeight="1" x14ac:dyDescent="0.3">
      <c r="A13" s="999">
        <v>8</v>
      </c>
      <c r="B13" s="992" t="s">
        <v>463</v>
      </c>
      <c r="C13" s="1127" t="s">
        <v>761</v>
      </c>
      <c r="D13" s="440">
        <f>'M5-ICPI'!G29</f>
        <v>38.283013883562113</v>
      </c>
      <c r="E13" s="444">
        <v>47.13</v>
      </c>
      <c r="F13" s="444">
        <v>0.11</v>
      </c>
      <c r="G13" s="441" t="s">
        <v>1677</v>
      </c>
      <c r="H13" s="418" t="s">
        <v>1678</v>
      </c>
      <c r="I13" s="418"/>
      <c r="J13" s="418"/>
      <c r="K13" s="446"/>
      <c r="L13" s="446"/>
      <c r="M13" s="221"/>
      <c r="N13" s="221"/>
      <c r="O13" s="221"/>
      <c r="P13" s="221"/>
      <c r="Q13" s="221"/>
      <c r="R13" s="221"/>
      <c r="S13" s="221"/>
      <c r="T13" s="221"/>
      <c r="U13" s="221"/>
      <c r="V13" s="221"/>
      <c r="W13" s="221"/>
      <c r="X13" s="221"/>
      <c r="Y13" s="221"/>
      <c r="Z13" s="986"/>
    </row>
    <row r="14" spans="1:26" s="11" customFormat="1" ht="19.95" customHeight="1" x14ac:dyDescent="0.3">
      <c r="A14" s="1797" t="s">
        <v>1679</v>
      </c>
      <c r="B14" s="1798"/>
      <c r="C14" s="1798"/>
      <c r="D14" s="1798"/>
      <c r="E14" s="1798"/>
      <c r="F14" s="1798"/>
      <c r="G14" s="1798"/>
      <c r="H14" s="1798"/>
      <c r="I14" s="1798"/>
      <c r="J14" s="1798"/>
      <c r="K14" s="1798"/>
      <c r="L14" s="1798"/>
      <c r="M14" s="1798"/>
      <c r="N14" s="1798"/>
      <c r="O14" s="1798"/>
      <c r="P14" s="1798"/>
      <c r="Q14" s="1798"/>
      <c r="R14" s="1798"/>
      <c r="S14" s="1798"/>
      <c r="T14" s="1798"/>
      <c r="U14" s="1798"/>
      <c r="V14" s="1798"/>
      <c r="W14" s="1798"/>
      <c r="X14" s="1798"/>
      <c r="Y14" s="1798"/>
      <c r="Z14" s="1799"/>
    </row>
    <row r="15" spans="1:26" s="11" customFormat="1" ht="16.05" customHeight="1" x14ac:dyDescent="0.3">
      <c r="A15" s="999" t="s">
        <v>1680</v>
      </c>
      <c r="B15" s="1014" t="s">
        <v>1460</v>
      </c>
      <c r="C15" s="441" t="s">
        <v>1461</v>
      </c>
      <c r="D15" s="1823" t="s">
        <v>1681</v>
      </c>
      <c r="E15" s="1822"/>
      <c r="F15" s="1822"/>
      <c r="G15" s="1822"/>
      <c r="H15" s="1822"/>
      <c r="I15" s="1822"/>
      <c r="J15" s="418"/>
      <c r="K15" s="446"/>
      <c r="L15" s="446"/>
      <c r="M15" s="221"/>
      <c r="N15" s="221"/>
      <c r="O15" s="221"/>
      <c r="P15" s="221"/>
      <c r="Q15" s="221"/>
      <c r="R15" s="221"/>
      <c r="S15" s="221"/>
      <c r="T15" s="221"/>
      <c r="U15" s="221"/>
      <c r="V15" s="221"/>
      <c r="W15" s="221"/>
      <c r="X15" s="221"/>
      <c r="Y15" s="221"/>
      <c r="Z15" s="986"/>
    </row>
    <row r="16" spans="1:26" s="11" customFormat="1" ht="16.05" customHeight="1" x14ac:dyDescent="0.3">
      <c r="A16" s="999">
        <v>1</v>
      </c>
      <c r="B16" s="1353" t="s">
        <v>1682</v>
      </c>
      <c r="C16" s="358" t="str">
        <f>TEXT('M5-ICPI'!G29,"0,00")&amp;"%"</f>
        <v>38,28%</v>
      </c>
      <c r="D16" s="1809" t="s">
        <v>1683</v>
      </c>
      <c r="E16" s="1821"/>
      <c r="F16" s="1821"/>
      <c r="G16" s="1821"/>
      <c r="H16" s="1821"/>
      <c r="I16" s="1821"/>
      <c r="J16" s="357"/>
      <c r="K16" s="347"/>
      <c r="L16" s="347"/>
      <c r="M16" s="139"/>
      <c r="N16" s="139"/>
      <c r="O16" s="139"/>
      <c r="P16" s="139"/>
      <c r="Q16" s="139"/>
      <c r="R16" s="139"/>
      <c r="S16" s="139"/>
      <c r="T16" s="139"/>
      <c r="U16" s="139"/>
      <c r="V16" s="139"/>
      <c r="W16" s="139"/>
      <c r="X16" s="139"/>
      <c r="Y16" s="139"/>
      <c r="Z16" s="985"/>
    </row>
    <row r="17" spans="1:26" s="11" customFormat="1" ht="16.05" customHeight="1" x14ac:dyDescent="0.3">
      <c r="A17" s="999">
        <v>2</v>
      </c>
      <c r="B17" s="1354" t="s">
        <v>1684</v>
      </c>
      <c r="C17" s="441" t="s">
        <v>1685</v>
      </c>
      <c r="D17" s="1811" t="s">
        <v>1686</v>
      </c>
      <c r="E17" s="1822"/>
      <c r="F17" s="1822"/>
      <c r="G17" s="1822"/>
      <c r="H17" s="1822"/>
      <c r="I17" s="1822"/>
      <c r="J17" s="418"/>
      <c r="K17" s="446"/>
      <c r="L17" s="446"/>
      <c r="M17" s="221"/>
      <c r="N17" s="221"/>
      <c r="O17" s="221"/>
      <c r="P17" s="221"/>
      <c r="Q17" s="221"/>
      <c r="R17" s="221"/>
      <c r="S17" s="221"/>
      <c r="T17" s="221"/>
      <c r="U17" s="221"/>
      <c r="V17" s="221"/>
      <c r="W17" s="221"/>
      <c r="X17" s="221"/>
      <c r="Y17" s="221"/>
      <c r="Z17" s="986"/>
    </row>
    <row r="18" spans="1:26" s="11" customFormat="1" ht="16.05" customHeight="1" x14ac:dyDescent="0.3">
      <c r="A18" s="999">
        <v>3</v>
      </c>
      <c r="B18" s="1353" t="s">
        <v>1687</v>
      </c>
      <c r="C18" s="361" t="s">
        <v>1688</v>
      </c>
      <c r="D18" s="1814" t="s">
        <v>1689</v>
      </c>
      <c r="E18" s="1821"/>
      <c r="F18" s="1821"/>
      <c r="G18" s="1821"/>
      <c r="H18" s="1821"/>
      <c r="I18" s="1821"/>
      <c r="J18" s="357"/>
      <c r="K18" s="347"/>
      <c r="L18" s="347"/>
      <c r="M18" s="139"/>
      <c r="N18" s="139"/>
      <c r="O18" s="139"/>
      <c r="P18" s="139"/>
      <c r="Q18" s="139"/>
      <c r="R18" s="139"/>
      <c r="S18" s="139"/>
      <c r="T18" s="139"/>
      <c r="U18" s="139"/>
      <c r="V18" s="139"/>
      <c r="W18" s="139"/>
      <c r="X18" s="139"/>
      <c r="Y18" s="139"/>
      <c r="Z18" s="985"/>
    </row>
    <row r="19" spans="1:26" s="11" customFormat="1" ht="16.05" customHeight="1" x14ac:dyDescent="0.3">
      <c r="A19" s="999">
        <v>4</v>
      </c>
      <c r="B19" s="1354" t="s">
        <v>1690</v>
      </c>
      <c r="C19" s="441" t="s">
        <v>1691</v>
      </c>
      <c r="D19" s="1811" t="s">
        <v>1692</v>
      </c>
      <c r="E19" s="1822"/>
      <c r="F19" s="1822"/>
      <c r="G19" s="1822"/>
      <c r="H19" s="1822"/>
      <c r="I19" s="1822"/>
      <c r="J19" s="418"/>
      <c r="K19" s="446"/>
      <c r="L19" s="446"/>
      <c r="M19" s="221"/>
      <c r="N19" s="221"/>
      <c r="O19" s="221"/>
      <c r="P19" s="221"/>
      <c r="Q19" s="221"/>
      <c r="R19" s="221"/>
      <c r="S19" s="221"/>
      <c r="T19" s="221"/>
      <c r="U19" s="221"/>
      <c r="V19" s="221"/>
      <c r="W19" s="221"/>
      <c r="X19" s="221"/>
      <c r="Y19" s="221"/>
      <c r="Z19" s="986"/>
    </row>
    <row r="20" spans="1:26" s="11" customFormat="1" ht="16.05" customHeight="1" x14ac:dyDescent="0.3">
      <c r="A20" s="999">
        <v>5</v>
      </c>
      <c r="B20" s="1353" t="s">
        <v>1693</v>
      </c>
      <c r="C20" s="358" t="s">
        <v>1694</v>
      </c>
      <c r="D20" s="1809" t="s">
        <v>1695</v>
      </c>
      <c r="E20" s="1821"/>
      <c r="F20" s="1821"/>
      <c r="G20" s="1821"/>
      <c r="H20" s="1821"/>
      <c r="I20" s="1821"/>
      <c r="J20" s="357"/>
      <c r="K20" s="347"/>
      <c r="L20" s="347"/>
      <c r="M20" s="139"/>
      <c r="N20" s="139"/>
      <c r="O20" s="139"/>
      <c r="P20" s="139"/>
      <c r="Q20" s="139"/>
      <c r="R20" s="139"/>
      <c r="S20" s="139"/>
      <c r="T20" s="139"/>
      <c r="U20" s="139"/>
      <c r="V20" s="139"/>
      <c r="W20" s="139"/>
      <c r="X20" s="139"/>
      <c r="Y20" s="139"/>
      <c r="Z20" s="985"/>
    </row>
    <row r="21" spans="1:26" s="11" customFormat="1" ht="16.05" customHeight="1" x14ac:dyDescent="0.3">
      <c r="A21" s="999">
        <v>6</v>
      </c>
      <c r="B21" s="1354" t="s">
        <v>1696</v>
      </c>
      <c r="C21" s="441" t="s">
        <v>1697</v>
      </c>
      <c r="D21" s="1811" t="s">
        <v>4092</v>
      </c>
      <c r="E21" s="1822"/>
      <c r="F21" s="1822"/>
      <c r="G21" s="1822"/>
      <c r="H21" s="1822"/>
      <c r="I21" s="1822"/>
      <c r="J21" s="418"/>
      <c r="K21" s="446"/>
      <c r="L21" s="446"/>
      <c r="M21" s="221"/>
      <c r="N21" s="221"/>
      <c r="O21" s="221"/>
      <c r="P21" s="221"/>
      <c r="Q21" s="221"/>
      <c r="R21" s="221"/>
      <c r="S21" s="221"/>
      <c r="T21" s="221"/>
      <c r="U21" s="221"/>
      <c r="V21" s="221"/>
      <c r="W21" s="221"/>
      <c r="X21" s="221"/>
      <c r="Y21" s="221"/>
      <c r="Z21" s="986"/>
    </row>
    <row r="22" spans="1:26" s="11" customFormat="1" ht="16.05" customHeight="1" x14ac:dyDescent="0.3">
      <c r="A22" s="999"/>
      <c r="B22" s="1825" t="s">
        <v>1698</v>
      </c>
      <c r="C22" s="1821"/>
      <c r="D22" s="1821"/>
      <c r="E22" s="1821"/>
      <c r="F22" s="1821"/>
      <c r="G22" s="1821"/>
      <c r="H22" s="1821"/>
      <c r="I22" s="1821"/>
      <c r="J22" s="347"/>
      <c r="K22" s="347"/>
      <c r="L22" s="347"/>
      <c r="M22" s="139"/>
      <c r="N22" s="139"/>
      <c r="O22" s="139"/>
      <c r="P22" s="139"/>
      <c r="Q22" s="139"/>
      <c r="R22" s="139"/>
      <c r="S22" s="139"/>
      <c r="T22" s="139"/>
      <c r="U22" s="139"/>
      <c r="V22" s="139"/>
      <c r="W22" s="139"/>
      <c r="X22" s="139"/>
      <c r="Y22" s="139"/>
      <c r="Z22" s="985"/>
    </row>
    <row r="23" spans="1:26" s="11" customFormat="1" ht="16.05" customHeight="1" x14ac:dyDescent="0.3">
      <c r="A23" s="999" t="s">
        <v>1680</v>
      </c>
      <c r="B23" s="1014" t="s">
        <v>1699</v>
      </c>
      <c r="C23" s="441" t="s">
        <v>1700</v>
      </c>
      <c r="D23" s="441" t="s">
        <v>1701</v>
      </c>
      <c r="E23" s="1823" t="s">
        <v>1702</v>
      </c>
      <c r="F23" s="1822"/>
      <c r="G23" s="1822"/>
      <c r="H23" s="1127"/>
      <c r="I23" s="1127"/>
      <c r="J23" s="418"/>
      <c r="K23" s="446"/>
      <c r="L23" s="446"/>
      <c r="M23" s="221"/>
      <c r="N23" s="221"/>
      <c r="O23" s="221"/>
      <c r="P23" s="221"/>
      <c r="Q23" s="221"/>
      <c r="R23" s="221"/>
      <c r="S23" s="221"/>
      <c r="T23" s="221"/>
      <c r="U23" s="221"/>
      <c r="V23" s="221"/>
      <c r="W23" s="221"/>
      <c r="X23" s="221"/>
      <c r="Y23" s="221"/>
      <c r="Z23" s="986"/>
    </row>
    <row r="24" spans="1:26" s="11" customFormat="1" ht="16.05" customHeight="1" x14ac:dyDescent="0.3">
      <c r="A24" s="999">
        <v>1</v>
      </c>
      <c r="B24" s="1355" t="s">
        <v>1703</v>
      </c>
      <c r="C24" s="361" t="str">
        <f>TEXT('M5-ICPI'!G29,"0,00")&amp;"%"</f>
        <v>38,28%</v>
      </c>
      <c r="D24" s="358" t="s">
        <v>1704</v>
      </c>
      <c r="E24" s="1809" t="s">
        <v>1705</v>
      </c>
      <c r="F24" s="1810"/>
      <c r="G24" s="1810"/>
      <c r="H24" s="357"/>
      <c r="I24" s="357"/>
      <c r="J24" s="357"/>
      <c r="K24" s="347"/>
      <c r="L24" s="347"/>
      <c r="M24" s="139"/>
      <c r="N24" s="139"/>
      <c r="O24" s="139"/>
      <c r="P24" s="139"/>
      <c r="Q24" s="139"/>
      <c r="R24" s="139"/>
      <c r="S24" s="139"/>
      <c r="T24" s="139"/>
      <c r="U24" s="139"/>
      <c r="V24" s="139"/>
      <c r="W24" s="139"/>
      <c r="X24" s="139"/>
      <c r="Y24" s="139"/>
      <c r="Z24" s="985"/>
    </row>
    <row r="25" spans="1:26" s="11" customFormat="1" ht="16.05" customHeight="1" x14ac:dyDescent="0.3">
      <c r="A25" s="999">
        <v>2</v>
      </c>
      <c r="B25" s="1014" t="s">
        <v>1706</v>
      </c>
      <c r="C25" s="441" t="s">
        <v>1707</v>
      </c>
      <c r="D25" s="441" t="s">
        <v>1708</v>
      </c>
      <c r="E25" s="418" t="s">
        <v>1709</v>
      </c>
      <c r="F25" s="1127"/>
      <c r="G25" s="418"/>
      <c r="H25" s="418"/>
      <c r="I25" s="418"/>
      <c r="J25" s="418"/>
      <c r="K25" s="446"/>
      <c r="L25" s="446"/>
      <c r="M25" s="221"/>
      <c r="N25" s="221"/>
      <c r="O25" s="221"/>
      <c r="P25" s="221"/>
      <c r="Q25" s="221"/>
      <c r="R25" s="221"/>
      <c r="S25" s="221"/>
      <c r="T25" s="221"/>
      <c r="U25" s="221"/>
      <c r="V25" s="221"/>
      <c r="W25" s="221"/>
      <c r="X25" s="221"/>
      <c r="Y25" s="221"/>
      <c r="Z25" s="986"/>
    </row>
    <row r="26" spans="1:26" s="11" customFormat="1" ht="16.05" customHeight="1" x14ac:dyDescent="0.3">
      <c r="A26" s="999">
        <v>3</v>
      </c>
      <c r="B26" s="1355" t="s">
        <v>1710</v>
      </c>
      <c r="C26" s="358" t="s">
        <v>1711</v>
      </c>
      <c r="D26" s="361" t="s">
        <v>1712</v>
      </c>
      <c r="E26" s="1809" t="s">
        <v>1713</v>
      </c>
      <c r="F26" s="1821"/>
      <c r="G26" s="1821"/>
      <c r="H26" s="357"/>
      <c r="I26" s="357"/>
      <c r="J26" s="357"/>
      <c r="K26" s="347"/>
      <c r="L26" s="347"/>
      <c r="M26" s="139"/>
      <c r="N26" s="139"/>
      <c r="O26" s="139"/>
      <c r="P26" s="139"/>
      <c r="Q26" s="139"/>
      <c r="R26" s="139"/>
      <c r="S26" s="139"/>
      <c r="T26" s="139"/>
      <c r="U26" s="139"/>
      <c r="V26" s="139"/>
      <c r="W26" s="139"/>
      <c r="X26" s="139"/>
      <c r="Y26" s="139"/>
      <c r="Z26" s="985"/>
    </row>
    <row r="27" spans="1:26" s="11" customFormat="1" ht="16.05" customHeight="1" x14ac:dyDescent="0.3">
      <c r="A27" s="999">
        <v>4</v>
      </c>
      <c r="B27" s="1014" t="s">
        <v>1714</v>
      </c>
      <c r="C27" s="441" t="s">
        <v>1715</v>
      </c>
      <c r="D27" s="441" t="s">
        <v>1716</v>
      </c>
      <c r="E27" s="1824" t="s">
        <v>1717</v>
      </c>
      <c r="F27" s="1822"/>
      <c r="G27" s="1822"/>
      <c r="H27" s="418"/>
      <c r="I27" s="418"/>
      <c r="J27" s="418"/>
      <c r="K27" s="446"/>
      <c r="L27" s="446"/>
      <c r="M27" s="221"/>
      <c r="N27" s="221"/>
      <c r="O27" s="221"/>
      <c r="P27" s="221"/>
      <c r="Q27" s="221"/>
      <c r="R27" s="221"/>
      <c r="S27" s="221"/>
      <c r="T27" s="221"/>
      <c r="U27" s="221"/>
      <c r="V27" s="221"/>
      <c r="W27" s="221"/>
      <c r="X27" s="221"/>
      <c r="Y27" s="221"/>
      <c r="Z27" s="986"/>
    </row>
    <row r="28" spans="1:26" s="11" customFormat="1" ht="16.05" customHeight="1" thickBot="1" x14ac:dyDescent="0.35">
      <c r="A28" s="1001">
        <v>5</v>
      </c>
      <c r="B28" s="1356" t="s">
        <v>1718</v>
      </c>
      <c r="C28" s="1350" t="s">
        <v>1685</v>
      </c>
      <c r="D28" s="1350" t="s">
        <v>1688</v>
      </c>
      <c r="E28" s="1351" t="s">
        <v>1719</v>
      </c>
      <c r="F28" s="1350" t="s">
        <v>1720</v>
      </c>
      <c r="G28" s="1351" t="s">
        <v>1721</v>
      </c>
      <c r="H28" s="1351"/>
      <c r="I28" s="1351"/>
      <c r="J28" s="1351"/>
      <c r="K28" s="1352"/>
      <c r="L28" s="1352"/>
      <c r="M28" s="1035"/>
      <c r="N28" s="1035"/>
      <c r="O28" s="1035"/>
      <c r="P28" s="1035"/>
      <c r="Q28" s="1035"/>
      <c r="R28" s="1035"/>
      <c r="S28" s="1035"/>
      <c r="T28" s="1035"/>
      <c r="U28" s="1035"/>
      <c r="V28" s="1035"/>
      <c r="W28" s="1035"/>
      <c r="X28" s="1035"/>
      <c r="Y28" s="1035"/>
      <c r="Z28" s="1036"/>
    </row>
    <row r="29" spans="1:26" ht="18" customHeight="1" thickTop="1" x14ac:dyDescent="0.3"/>
    <row r="30" spans="1:26" ht="42" customHeight="1" x14ac:dyDescent="0.3"/>
    <row r="31" spans="1:26" ht="42" customHeight="1" x14ac:dyDescent="0.3"/>
    <row r="32" spans="1:26" ht="18" customHeight="1" x14ac:dyDescent="0.3"/>
    <row r="33" spans="1:10" ht="18" customHeight="1" x14ac:dyDescent="0.3"/>
    <row r="34" spans="1:10" ht="18" customHeight="1" x14ac:dyDescent="0.3"/>
    <row r="35" spans="1:10" x14ac:dyDescent="0.3">
      <c r="A35" s="6"/>
      <c r="B35" s="6"/>
      <c r="C35" s="6"/>
      <c r="D35" s="6"/>
      <c r="E35" s="6"/>
      <c r="F35" s="6"/>
      <c r="G35" s="6"/>
      <c r="H35" s="6"/>
      <c r="I35" s="5"/>
      <c r="J35" s="5"/>
    </row>
    <row r="36" spans="1:10" x14ac:dyDescent="0.3">
      <c r="A36" s="6"/>
      <c r="B36" s="6"/>
      <c r="C36" s="6"/>
      <c r="D36" s="6"/>
      <c r="E36" s="6"/>
      <c r="F36" s="6"/>
      <c r="G36" s="6"/>
      <c r="H36" s="6"/>
      <c r="I36" s="5"/>
      <c r="J36" s="5"/>
    </row>
  </sheetData>
  <mergeCells count="16">
    <mergeCell ref="D19:I19"/>
    <mergeCell ref="E24:G24"/>
    <mergeCell ref="D15:I15"/>
    <mergeCell ref="E27:G27"/>
    <mergeCell ref="E23:G23"/>
    <mergeCell ref="E26:G26"/>
    <mergeCell ref="B22:I22"/>
    <mergeCell ref="D20:I20"/>
    <mergeCell ref="D21:I21"/>
    <mergeCell ref="A1:Z1"/>
    <mergeCell ref="A3:Z3"/>
    <mergeCell ref="A4:Z4"/>
    <mergeCell ref="A14:Z14"/>
    <mergeCell ref="D18:I18"/>
    <mergeCell ref="D17:I17"/>
    <mergeCell ref="D16:I16"/>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DEEAF1"/>
  </sheetPr>
  <dimension ref="A1:Z44"/>
  <sheetViews>
    <sheetView showGridLines="0" topLeftCell="B1" zoomScale="58" zoomScaleNormal="58" workbookViewId="0">
      <pane ySplit="3" topLeftCell="A4" activePane="bottomLeft" state="frozen"/>
      <selection activeCell="B1" sqref="B1"/>
      <selection pane="bottomLeft" sqref="A1:Z1"/>
    </sheetView>
  </sheetViews>
  <sheetFormatPr baseColWidth="10" defaultRowHeight="14.4" x14ac:dyDescent="0.3"/>
  <cols>
    <col min="1" max="1" width="5.21875" customWidth="1"/>
    <col min="2" max="2" width="26" bestFit="1" customWidth="1"/>
    <col min="3" max="3" width="49.109375" bestFit="1" customWidth="1"/>
    <col min="4" max="4" width="25.21875" bestFit="1" customWidth="1"/>
    <col min="5" max="5" width="54.6640625" bestFit="1" customWidth="1"/>
    <col min="6" max="6" width="54.109375" bestFit="1" customWidth="1"/>
    <col min="7" max="7" width="44.33203125" bestFit="1" customWidth="1"/>
    <col min="8" max="8" width="46.6640625" bestFit="1" customWidth="1"/>
    <col min="9" max="9" width="31" bestFit="1" customWidth="1"/>
    <col min="10" max="10" width="19.88671875" bestFit="1" customWidth="1"/>
    <col min="11" max="11" width="25.77734375" bestFit="1" customWidth="1"/>
    <col min="12" max="12" width="13.5546875" bestFit="1" customWidth="1"/>
    <col min="25" max="25" width="12.77734375" bestFit="1" customWidth="1"/>
    <col min="26" max="26" width="11.21875" bestFit="1" customWidth="1"/>
  </cols>
  <sheetData>
    <row r="1" spans="1:26" ht="19.95" customHeight="1" x14ac:dyDescent="0.3">
      <c r="A1" s="1925" t="s">
        <v>4794</v>
      </c>
      <c r="B1" s="1713"/>
      <c r="C1" s="1713"/>
      <c r="D1" s="1713"/>
      <c r="E1" s="1713"/>
      <c r="F1" s="1713"/>
      <c r="G1" s="1713"/>
      <c r="H1" s="1713"/>
      <c r="I1" s="1713"/>
      <c r="J1" s="1713"/>
      <c r="K1" s="1713"/>
      <c r="L1" s="1713"/>
      <c r="M1" s="1713"/>
      <c r="N1" s="1713"/>
      <c r="O1" s="1713"/>
      <c r="P1" s="1713"/>
      <c r="Q1" s="1713"/>
      <c r="R1" s="1713"/>
      <c r="S1" s="1713"/>
      <c r="T1" s="1713"/>
      <c r="U1" s="1713"/>
      <c r="V1" s="1713"/>
      <c r="W1" s="1713"/>
      <c r="X1" s="1713"/>
      <c r="Y1" s="1713"/>
      <c r="Z1" s="1713"/>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536"/>
      <c r="N2" s="536"/>
      <c r="O2" s="536"/>
      <c r="P2" s="536"/>
      <c r="Q2" s="536"/>
      <c r="R2" s="536"/>
      <c r="S2" s="536"/>
      <c r="T2" s="536"/>
      <c r="U2" s="536"/>
      <c r="V2" s="536"/>
      <c r="W2" s="536"/>
      <c r="X2" s="536"/>
      <c r="Y2" s="536"/>
      <c r="Z2" s="536"/>
    </row>
    <row r="3" spans="1:26" ht="19.95" customHeight="1" thickBot="1" x14ac:dyDescent="0.35">
      <c r="A3" s="1714" t="s">
        <v>4070</v>
      </c>
      <c r="B3" s="1714"/>
      <c r="C3" s="1714"/>
      <c r="D3" s="1714"/>
      <c r="E3" s="1714"/>
      <c r="F3" s="1714"/>
      <c r="G3" s="1714"/>
      <c r="H3" s="1714"/>
      <c r="I3" s="1714"/>
      <c r="J3" s="1714"/>
      <c r="K3" s="1714"/>
      <c r="L3" s="1714"/>
      <c r="M3" s="1714"/>
      <c r="N3" s="1714"/>
      <c r="O3" s="1714"/>
      <c r="P3" s="1714"/>
      <c r="Q3" s="1714"/>
      <c r="R3" s="1714"/>
      <c r="S3" s="1714"/>
      <c r="T3" s="1714"/>
      <c r="U3" s="1714"/>
      <c r="V3" s="1714"/>
      <c r="W3" s="1714"/>
      <c r="X3" s="1714"/>
      <c r="Y3" s="1714"/>
      <c r="Z3" s="1714"/>
    </row>
    <row r="4" spans="1:26" ht="19.95" customHeight="1" thickTop="1" x14ac:dyDescent="0.3">
      <c r="A4" s="1671" t="str">
        <f>"🔷 ANÁLISIS DE BRECHAS · ICM = "&amp;TEXT(92.25,"0,00")&amp;"% · ICPI = "&amp;TEXT('M5-ICPI'!G29,"0,00")&amp;"% · BRECHA = "&amp;TEXT(ABS('M5-ICPI'!G29-92.25),"0,00")&amp;"pp · H₁ CONFIRMADA"</f>
        <v>🔷 ANÁLISIS DE BRECHAS · ICM = 92,25% · ICPI = 38,28% · BRECHA = 53,97pp · H₁ CONFIRMADA</v>
      </c>
      <c r="B4" s="1672"/>
      <c r="C4" s="1672"/>
      <c r="D4" s="1672"/>
      <c r="E4" s="1672"/>
      <c r="F4" s="1672"/>
      <c r="G4" s="1672"/>
      <c r="H4" s="1672"/>
      <c r="I4" s="1672"/>
      <c r="J4" s="1672"/>
      <c r="K4" s="1672"/>
      <c r="L4" s="1672"/>
      <c r="M4" s="1672"/>
      <c r="N4" s="1672"/>
      <c r="O4" s="1672"/>
      <c r="P4" s="1672"/>
      <c r="Q4" s="1672"/>
      <c r="R4" s="1672"/>
      <c r="S4" s="1672"/>
      <c r="T4" s="1672"/>
      <c r="U4" s="1672"/>
      <c r="V4" s="1672"/>
      <c r="W4" s="1672"/>
      <c r="X4" s="1672"/>
      <c r="Y4" s="1672"/>
      <c r="Z4" s="1673"/>
    </row>
    <row r="5" spans="1:26" ht="16.05" customHeight="1" x14ac:dyDescent="0.3">
      <c r="A5" s="999" t="s">
        <v>1722</v>
      </c>
      <c r="B5" s="1012" t="s">
        <v>122</v>
      </c>
      <c r="C5" s="415" t="s">
        <v>663</v>
      </c>
      <c r="D5" s="415" t="s">
        <v>665</v>
      </c>
      <c r="E5" s="415" t="s">
        <v>666</v>
      </c>
      <c r="F5" s="415" t="s">
        <v>1723</v>
      </c>
      <c r="G5" s="415" t="s">
        <v>1724</v>
      </c>
      <c r="H5" s="415" t="s">
        <v>1725</v>
      </c>
      <c r="I5" s="415" t="s">
        <v>1726</v>
      </c>
      <c r="J5" s="415" t="s">
        <v>432</v>
      </c>
      <c r="K5" s="415" t="s">
        <v>1727</v>
      </c>
      <c r="L5" s="415" t="s">
        <v>1728</v>
      </c>
      <c r="M5" s="184"/>
      <c r="N5" s="184"/>
      <c r="O5" s="184"/>
      <c r="P5" s="184"/>
      <c r="Q5" s="184"/>
      <c r="R5" s="184"/>
      <c r="S5" s="184"/>
      <c r="T5" s="184"/>
      <c r="U5" s="184"/>
      <c r="V5" s="184"/>
      <c r="W5" s="184"/>
      <c r="X5" s="184"/>
      <c r="Y5" s="184"/>
      <c r="Z5" s="928"/>
    </row>
    <row r="6" spans="1:26" s="11" customFormat="1" ht="16.05" customHeight="1" x14ac:dyDescent="0.3">
      <c r="A6" s="1019" t="s">
        <v>43</v>
      </c>
      <c r="B6" s="1135" t="s">
        <v>749</v>
      </c>
      <c r="C6" s="358" t="s">
        <v>1729</v>
      </c>
      <c r="D6" s="358" t="s">
        <v>1730</v>
      </c>
      <c r="E6" s="358" t="s">
        <v>1731</v>
      </c>
      <c r="F6" s="358" t="s">
        <v>1732</v>
      </c>
      <c r="G6" s="357" t="s">
        <v>1733</v>
      </c>
      <c r="H6" s="416" t="s">
        <v>1734</v>
      </c>
      <c r="I6" s="357" t="s">
        <v>1735</v>
      </c>
      <c r="J6" s="417" t="s">
        <v>713</v>
      </c>
      <c r="K6" s="356" t="s">
        <v>96</v>
      </c>
      <c r="L6" s="358" t="s">
        <v>1736</v>
      </c>
      <c r="M6" s="215"/>
      <c r="N6" s="215"/>
      <c r="O6" s="215"/>
      <c r="P6" s="215"/>
      <c r="Q6" s="215"/>
      <c r="R6" s="215"/>
      <c r="S6" s="215"/>
      <c r="T6" s="215"/>
      <c r="U6" s="215"/>
      <c r="V6" s="215"/>
      <c r="W6" s="215"/>
      <c r="X6" s="215"/>
      <c r="Y6" s="215"/>
      <c r="Z6" s="1130"/>
    </row>
    <row r="7" spans="1:26" s="11" customFormat="1" ht="16.05" customHeight="1" x14ac:dyDescent="0.3">
      <c r="A7" s="1019" t="s">
        <v>57</v>
      </c>
      <c r="B7" s="1136" t="s">
        <v>751</v>
      </c>
      <c r="C7" s="419" t="s">
        <v>1737</v>
      </c>
      <c r="D7" s="419" t="s">
        <v>1738</v>
      </c>
      <c r="E7" s="419" t="s">
        <v>1739</v>
      </c>
      <c r="F7" s="419" t="s">
        <v>1740</v>
      </c>
      <c r="G7" s="418" t="s">
        <v>1741</v>
      </c>
      <c r="H7" s="420" t="s">
        <v>1742</v>
      </c>
      <c r="I7" s="418" t="s">
        <v>1743</v>
      </c>
      <c r="J7" s="421" t="s">
        <v>713</v>
      </c>
      <c r="K7" s="423" t="s">
        <v>96</v>
      </c>
      <c r="L7" s="419" t="s">
        <v>1744</v>
      </c>
      <c r="M7" s="219"/>
      <c r="N7" s="219"/>
      <c r="O7" s="219"/>
      <c r="P7" s="219"/>
      <c r="Q7" s="219"/>
      <c r="R7" s="219"/>
      <c r="S7" s="219"/>
      <c r="T7" s="219"/>
      <c r="U7" s="219"/>
      <c r="V7" s="219"/>
      <c r="W7" s="219"/>
      <c r="X7" s="219"/>
      <c r="Y7" s="219"/>
      <c r="Z7" s="1131"/>
    </row>
    <row r="8" spans="1:26" s="11" customFormat="1" ht="16.05" customHeight="1" x14ac:dyDescent="0.3">
      <c r="A8" s="1019" t="s">
        <v>47</v>
      </c>
      <c r="B8" s="991" t="s">
        <v>1344</v>
      </c>
      <c r="C8" s="358" t="s">
        <v>1729</v>
      </c>
      <c r="D8" s="355">
        <f>'M2-PLAN-Pi'!F20</f>
        <v>3.7123041954043229E-2</v>
      </c>
      <c r="E8" s="358" t="s">
        <v>1731</v>
      </c>
      <c r="F8" s="358" t="s">
        <v>1745</v>
      </c>
      <c r="G8" s="358" t="s">
        <v>1746</v>
      </c>
      <c r="H8" s="417" t="s">
        <v>1747</v>
      </c>
      <c r="I8" s="358" t="s">
        <v>1748</v>
      </c>
      <c r="J8" s="417" t="s">
        <v>1142</v>
      </c>
      <c r="K8" s="356" t="s">
        <v>1749</v>
      </c>
      <c r="L8" s="355">
        <v>3</v>
      </c>
      <c r="M8" s="215"/>
      <c r="N8" s="215"/>
      <c r="O8" s="215"/>
      <c r="P8" s="215"/>
      <c r="Q8" s="215"/>
      <c r="R8" s="215"/>
      <c r="S8" s="215"/>
      <c r="T8" s="215"/>
      <c r="U8" s="215"/>
      <c r="V8" s="215"/>
      <c r="W8" s="215"/>
      <c r="X8" s="215"/>
      <c r="Y8" s="215"/>
      <c r="Z8" s="1130"/>
    </row>
    <row r="9" spans="1:26" s="11" customFormat="1" ht="16.05" customHeight="1" x14ac:dyDescent="0.3">
      <c r="A9" s="1019" t="s">
        <v>53</v>
      </c>
      <c r="B9" s="992" t="s">
        <v>1750</v>
      </c>
      <c r="C9" s="419" t="s">
        <v>1729</v>
      </c>
      <c r="D9" s="422">
        <f>'M2-PLAN-Pi'!F22</f>
        <v>2.5568272837705033E-2</v>
      </c>
      <c r="E9" s="419" t="s">
        <v>1739</v>
      </c>
      <c r="F9" s="419" t="s">
        <v>1751</v>
      </c>
      <c r="G9" s="419" t="s">
        <v>1752</v>
      </c>
      <c r="H9" s="421" t="s">
        <v>1753</v>
      </c>
      <c r="I9" s="419" t="s">
        <v>1754</v>
      </c>
      <c r="J9" s="421" t="s">
        <v>1142</v>
      </c>
      <c r="K9" s="423" t="s">
        <v>1749</v>
      </c>
      <c r="L9" s="422">
        <v>2</v>
      </c>
      <c r="M9" s="219"/>
      <c r="N9" s="219"/>
      <c r="O9" s="219"/>
      <c r="P9" s="219"/>
      <c r="Q9" s="219"/>
      <c r="R9" s="219"/>
      <c r="S9" s="219"/>
      <c r="T9" s="219"/>
      <c r="U9" s="219"/>
      <c r="V9" s="219"/>
      <c r="W9" s="219"/>
      <c r="X9" s="219"/>
      <c r="Y9" s="219"/>
      <c r="Z9" s="1131"/>
    </row>
    <row r="10" spans="1:26" s="11" customFormat="1" ht="16.05" customHeight="1" x14ac:dyDescent="0.3">
      <c r="A10" s="1019" t="s">
        <v>50</v>
      </c>
      <c r="B10" s="991" t="s">
        <v>1755</v>
      </c>
      <c r="C10" s="358" t="s">
        <v>1729</v>
      </c>
      <c r="D10" s="355">
        <f>'M2-PLAN-Pi'!F25</f>
        <v>1.8292145981963669E-2</v>
      </c>
      <c r="E10" s="358" t="s">
        <v>1739</v>
      </c>
      <c r="F10" s="358" t="s">
        <v>1756</v>
      </c>
      <c r="G10" s="358" t="s">
        <v>1757</v>
      </c>
      <c r="H10" s="417" t="s">
        <v>1758</v>
      </c>
      <c r="I10" s="358" t="s">
        <v>1759</v>
      </c>
      <c r="J10" s="417" t="s">
        <v>1169</v>
      </c>
      <c r="K10" s="356" t="s">
        <v>1749</v>
      </c>
      <c r="L10" s="355">
        <v>2</v>
      </c>
      <c r="M10" s="215"/>
      <c r="N10" s="215"/>
      <c r="O10" s="215"/>
      <c r="P10" s="215"/>
      <c r="Q10" s="215"/>
      <c r="R10" s="215"/>
      <c r="S10" s="215"/>
      <c r="T10" s="215"/>
      <c r="U10" s="215"/>
      <c r="V10" s="215"/>
      <c r="W10" s="215"/>
      <c r="X10" s="215"/>
      <c r="Y10" s="215"/>
      <c r="Z10" s="1130"/>
    </row>
    <row r="11" spans="1:26" s="11" customFormat="1" ht="16.05" customHeight="1" x14ac:dyDescent="0.3">
      <c r="A11" s="1019"/>
      <c r="B11" s="1136"/>
      <c r="C11" s="418"/>
      <c r="D11" s="418"/>
      <c r="E11" s="418"/>
      <c r="F11" s="418"/>
      <c r="G11" s="418"/>
      <c r="H11" s="418"/>
      <c r="I11" s="418"/>
      <c r="J11" s="418"/>
      <c r="K11" s="418"/>
      <c r="L11" s="418"/>
      <c r="M11" s="219"/>
      <c r="N11" s="219"/>
      <c r="O11" s="219"/>
      <c r="P11" s="219"/>
      <c r="Q11" s="219"/>
      <c r="R11" s="219"/>
      <c r="S11" s="219"/>
      <c r="T11" s="219"/>
      <c r="U11" s="219"/>
      <c r="V11" s="219"/>
      <c r="W11" s="219"/>
      <c r="X11" s="219"/>
      <c r="Y11" s="219"/>
      <c r="Z11" s="1131"/>
    </row>
    <row r="12" spans="1:26" s="11" customFormat="1" ht="16.05" customHeight="1" x14ac:dyDescent="0.3">
      <c r="A12" s="1019"/>
      <c r="B12" s="1135"/>
      <c r="C12" s="357"/>
      <c r="D12" s="357"/>
      <c r="E12" s="357"/>
      <c r="F12" s="357"/>
      <c r="G12" s="357"/>
      <c r="H12" s="357"/>
      <c r="I12" s="357"/>
      <c r="J12" s="357"/>
      <c r="K12" s="357"/>
      <c r="L12" s="357"/>
      <c r="M12" s="215"/>
      <c r="N12" s="215"/>
      <c r="O12" s="215"/>
      <c r="P12" s="215"/>
      <c r="Q12" s="215"/>
      <c r="R12" s="215"/>
      <c r="S12" s="215"/>
      <c r="T12" s="215"/>
      <c r="U12" s="215"/>
      <c r="V12" s="215"/>
      <c r="W12" s="215"/>
      <c r="X12" s="215"/>
      <c r="Y12" s="215"/>
      <c r="Z12" s="1130"/>
    </row>
    <row r="13" spans="1:26" s="11" customFormat="1" ht="16.05" customHeight="1" x14ac:dyDescent="0.3">
      <c r="A13" s="1019"/>
      <c r="B13" s="1136"/>
      <c r="C13" s="418"/>
      <c r="D13" s="418"/>
      <c r="E13" s="418"/>
      <c r="F13" s="418" t="s">
        <v>1760</v>
      </c>
      <c r="G13" s="418"/>
      <c r="H13" s="418"/>
      <c r="I13" s="418"/>
      <c r="J13" s="418"/>
      <c r="K13" s="418"/>
      <c r="L13" s="418"/>
      <c r="M13" s="219"/>
      <c r="N13" s="219"/>
      <c r="O13" s="219"/>
      <c r="P13" s="219"/>
      <c r="Q13" s="219"/>
      <c r="R13" s="219"/>
      <c r="S13" s="219"/>
      <c r="T13" s="219"/>
      <c r="U13" s="219"/>
      <c r="V13" s="219"/>
      <c r="W13" s="219"/>
      <c r="X13" s="219"/>
      <c r="Y13" s="219"/>
      <c r="Z13" s="1131"/>
    </row>
    <row r="14" spans="1:26" s="11" customFormat="1" ht="16.05" customHeight="1" x14ac:dyDescent="0.3">
      <c r="A14" s="1019"/>
      <c r="B14" s="1135"/>
      <c r="C14" s="357"/>
      <c r="D14" s="357"/>
      <c r="E14" s="357"/>
      <c r="F14" s="357" t="s">
        <v>1761</v>
      </c>
      <c r="G14" s="357"/>
      <c r="H14" s="357"/>
      <c r="I14" s="357"/>
      <c r="J14" s="357"/>
      <c r="K14" s="357"/>
      <c r="L14" s="357"/>
      <c r="M14" s="215"/>
      <c r="N14" s="215"/>
      <c r="O14" s="215"/>
      <c r="P14" s="215"/>
      <c r="Q14" s="215"/>
      <c r="R14" s="215"/>
      <c r="S14" s="215"/>
      <c r="T14" s="215"/>
      <c r="U14" s="215"/>
      <c r="V14" s="215"/>
      <c r="W14" s="215"/>
      <c r="X14" s="215"/>
      <c r="Y14" s="215"/>
      <c r="Z14" s="1130"/>
    </row>
    <row r="15" spans="1:26" s="11" customFormat="1" ht="19.95" customHeight="1" x14ac:dyDescent="0.3">
      <c r="A15" s="1797" t="s">
        <v>1762</v>
      </c>
      <c r="B15" s="1798"/>
      <c r="C15" s="1798"/>
      <c r="D15" s="1798"/>
      <c r="E15" s="1798"/>
      <c r="F15" s="1798"/>
      <c r="G15" s="1798"/>
      <c r="H15" s="1798"/>
      <c r="I15" s="1798"/>
      <c r="J15" s="1798"/>
      <c r="K15" s="1798"/>
      <c r="L15" s="1798"/>
      <c r="M15" s="1798"/>
      <c r="N15" s="1798"/>
      <c r="O15" s="1798"/>
      <c r="P15" s="1798"/>
      <c r="Q15" s="1798"/>
      <c r="R15" s="1798"/>
      <c r="S15" s="1798"/>
      <c r="T15" s="1798"/>
      <c r="U15" s="1798"/>
      <c r="V15" s="1798"/>
      <c r="W15" s="1798"/>
      <c r="X15" s="1798"/>
      <c r="Y15" s="1798"/>
      <c r="Z15" s="1799"/>
    </row>
    <row r="16" spans="1:26" s="11" customFormat="1" ht="16.05" customHeight="1" x14ac:dyDescent="0.3">
      <c r="A16" s="1019" t="s">
        <v>1722</v>
      </c>
      <c r="B16" s="991" t="s">
        <v>122</v>
      </c>
      <c r="C16" s="358" t="s">
        <v>663</v>
      </c>
      <c r="D16" s="358" t="s">
        <v>665</v>
      </c>
      <c r="E16" s="358" t="s">
        <v>666</v>
      </c>
      <c r="F16" s="358" t="s">
        <v>1763</v>
      </c>
      <c r="G16" s="358" t="s">
        <v>1764</v>
      </c>
      <c r="H16" s="358" t="s">
        <v>1725</v>
      </c>
      <c r="I16" s="358" t="s">
        <v>1765</v>
      </c>
      <c r="J16" s="358" t="s">
        <v>1766</v>
      </c>
      <c r="K16" s="358" t="s">
        <v>1767</v>
      </c>
      <c r="L16" s="358" t="s">
        <v>1727</v>
      </c>
      <c r="M16" s="215"/>
      <c r="N16" s="215"/>
      <c r="O16" s="215"/>
      <c r="P16" s="215"/>
      <c r="Q16" s="215"/>
      <c r="R16" s="215"/>
      <c r="S16" s="215"/>
      <c r="T16" s="215"/>
      <c r="U16" s="215"/>
      <c r="V16" s="215"/>
      <c r="W16" s="215"/>
      <c r="X16" s="215"/>
      <c r="Y16" s="215"/>
      <c r="Z16" s="1130"/>
    </row>
    <row r="17" spans="1:26" s="11" customFormat="1" ht="16.05" customHeight="1" x14ac:dyDescent="0.3">
      <c r="A17" s="1019" t="s">
        <v>507</v>
      </c>
      <c r="B17" s="992" t="s">
        <v>748</v>
      </c>
      <c r="C17" s="419" t="s">
        <v>1737</v>
      </c>
      <c r="D17" s="422">
        <f>'M2-PLAN-Pi'!F14</f>
        <v>0.3315584274613419</v>
      </c>
      <c r="E17" s="422">
        <f>'DATA-TFR'!H6</f>
        <v>0.17737919272791763</v>
      </c>
      <c r="F17" s="419" t="s">
        <v>1768</v>
      </c>
      <c r="G17" s="441" t="s">
        <v>1769</v>
      </c>
      <c r="H17" s="421" t="s">
        <v>1770</v>
      </c>
      <c r="I17" s="419" t="s">
        <v>1771</v>
      </c>
      <c r="J17" s="421" t="s">
        <v>1772</v>
      </c>
      <c r="K17" s="419" t="s">
        <v>1773</v>
      </c>
      <c r="L17" s="423" t="s">
        <v>96</v>
      </c>
      <c r="M17" s="219"/>
      <c r="N17" s="219"/>
      <c r="O17" s="219"/>
      <c r="P17" s="219"/>
      <c r="Q17" s="219"/>
      <c r="R17" s="219"/>
      <c r="S17" s="219"/>
      <c r="T17" s="219"/>
      <c r="U17" s="219"/>
      <c r="V17" s="219"/>
      <c r="W17" s="219"/>
      <c r="X17" s="219"/>
      <c r="Y17" s="219"/>
      <c r="Z17" s="1131"/>
    </row>
    <row r="18" spans="1:26" s="11" customFormat="1" ht="16.05" customHeight="1" x14ac:dyDescent="0.3">
      <c r="A18" s="1019" t="s">
        <v>687</v>
      </c>
      <c r="B18" s="991" t="s">
        <v>1774</v>
      </c>
      <c r="C18" s="358" t="s">
        <v>1737</v>
      </c>
      <c r="D18" s="355">
        <f>'M2-PLAN-Pi'!F16</f>
        <v>0.152251843537762</v>
      </c>
      <c r="E18" s="355">
        <f>'DATA-TFR'!H8</f>
        <v>5.1556595872029501E-2</v>
      </c>
      <c r="F18" s="358" t="s">
        <v>1775</v>
      </c>
      <c r="G18" s="358" t="s">
        <v>1776</v>
      </c>
      <c r="H18" s="417" t="s">
        <v>1777</v>
      </c>
      <c r="I18" s="358" t="s">
        <v>1778</v>
      </c>
      <c r="J18" s="417" t="s">
        <v>1779</v>
      </c>
      <c r="K18" s="358" t="s">
        <v>1780</v>
      </c>
      <c r="L18" s="356" t="s">
        <v>98</v>
      </c>
      <c r="M18" s="215"/>
      <c r="N18" s="215"/>
      <c r="O18" s="215"/>
      <c r="P18" s="215"/>
      <c r="Q18" s="215"/>
      <c r="R18" s="215"/>
      <c r="S18" s="215"/>
      <c r="T18" s="215"/>
      <c r="U18" s="215"/>
      <c r="V18" s="215"/>
      <c r="W18" s="215"/>
      <c r="X18" s="215"/>
      <c r="Y18" s="215"/>
      <c r="Z18" s="1130"/>
    </row>
    <row r="19" spans="1:26" s="11" customFormat="1" ht="16.05" customHeight="1" x14ac:dyDescent="0.3">
      <c r="A19" s="1019" t="s">
        <v>515</v>
      </c>
      <c r="B19" s="992" t="s">
        <v>1153</v>
      </c>
      <c r="C19" s="419" t="s">
        <v>1781</v>
      </c>
      <c r="D19" s="422">
        <f>'M2-PLAN-Pi'!F21</f>
        <v>2.7234952877998854E-2</v>
      </c>
      <c r="E19" s="422">
        <f>'DATA-TFR'!H13</f>
        <v>2.5568272837705033E-2</v>
      </c>
      <c r="F19" s="419" t="s">
        <v>1782</v>
      </c>
      <c r="G19" s="419" t="s">
        <v>1783</v>
      </c>
      <c r="H19" s="421" t="s">
        <v>1784</v>
      </c>
      <c r="I19" s="419" t="s">
        <v>1785</v>
      </c>
      <c r="J19" s="421" t="s">
        <v>1786</v>
      </c>
      <c r="K19" s="419" t="s">
        <v>1787</v>
      </c>
      <c r="L19" s="423" t="s">
        <v>98</v>
      </c>
      <c r="M19" s="219"/>
      <c r="N19" s="219"/>
      <c r="O19" s="219"/>
      <c r="P19" s="219"/>
      <c r="Q19" s="219"/>
      <c r="R19" s="219"/>
      <c r="S19" s="219"/>
      <c r="T19" s="219"/>
      <c r="U19" s="219"/>
      <c r="V19" s="219"/>
      <c r="W19" s="219"/>
      <c r="X19" s="219"/>
      <c r="Y19" s="219"/>
      <c r="Z19" s="1131"/>
    </row>
    <row r="20" spans="1:26" s="11" customFormat="1" ht="16.05" customHeight="1" x14ac:dyDescent="0.3">
      <c r="A20" s="1019" t="s">
        <v>526</v>
      </c>
      <c r="B20" s="991" t="s">
        <v>755</v>
      </c>
      <c r="C20" s="358" t="s">
        <v>1737</v>
      </c>
      <c r="D20" s="355">
        <f>'M2-PLAN-Pi'!F22</f>
        <v>2.5568272837705033E-2</v>
      </c>
      <c r="E20" s="355">
        <f>'DATA-TFR'!H14</f>
        <v>2.2791758387949959E-2</v>
      </c>
      <c r="F20" s="358" t="s">
        <v>1788</v>
      </c>
      <c r="G20" s="358" t="s">
        <v>1789</v>
      </c>
      <c r="H20" s="417" t="s">
        <v>1790</v>
      </c>
      <c r="I20" s="358" t="s">
        <v>1791</v>
      </c>
      <c r="J20" s="417" t="s">
        <v>1792</v>
      </c>
      <c r="K20" s="358" t="s">
        <v>1793</v>
      </c>
      <c r="L20" s="361" t="s">
        <v>1145</v>
      </c>
      <c r="M20" s="215"/>
      <c r="N20" s="215"/>
      <c r="O20" s="215"/>
      <c r="P20" s="215"/>
      <c r="Q20" s="215"/>
      <c r="R20" s="215"/>
      <c r="S20" s="215"/>
      <c r="T20" s="215"/>
      <c r="U20" s="215"/>
      <c r="V20" s="215"/>
      <c r="W20" s="215"/>
      <c r="X20" s="215"/>
      <c r="Y20" s="215"/>
      <c r="Z20" s="1130"/>
    </row>
    <row r="21" spans="1:26" s="11" customFormat="1" ht="16.05" customHeight="1" x14ac:dyDescent="0.3">
      <c r="A21" s="1019" t="s">
        <v>633</v>
      </c>
      <c r="B21" s="992" t="s">
        <v>758</v>
      </c>
      <c r="C21" s="419" t="s">
        <v>1794</v>
      </c>
      <c r="D21" s="422">
        <f>'M2-PLAN-Pi'!F27</f>
        <v>9.8620480945433697E-3</v>
      </c>
      <c r="E21" s="422">
        <f>'DATA-TFR'!H19</f>
        <v>8.6459571177000243E-3</v>
      </c>
      <c r="F21" s="419" t="s">
        <v>1795</v>
      </c>
      <c r="G21" s="419" t="s">
        <v>1796</v>
      </c>
      <c r="H21" s="421" t="s">
        <v>1797</v>
      </c>
      <c r="I21" s="419" t="s">
        <v>1798</v>
      </c>
      <c r="J21" s="421" t="s">
        <v>1799</v>
      </c>
      <c r="K21" s="419" t="s">
        <v>1800</v>
      </c>
      <c r="L21" s="441" t="s">
        <v>1145</v>
      </c>
      <c r="M21" s="219"/>
      <c r="N21" s="219"/>
      <c r="O21" s="219"/>
      <c r="P21" s="219"/>
      <c r="Q21" s="219"/>
      <c r="R21" s="219"/>
      <c r="S21" s="219"/>
      <c r="T21" s="219"/>
      <c r="U21" s="219"/>
      <c r="V21" s="219"/>
      <c r="W21" s="219"/>
      <c r="X21" s="219"/>
      <c r="Y21" s="219"/>
      <c r="Z21" s="1131"/>
    </row>
    <row r="22" spans="1:26" s="11" customFormat="1" ht="16.05" customHeight="1" x14ac:dyDescent="0.3">
      <c r="A22" s="1019" t="s">
        <v>487</v>
      </c>
      <c r="B22" s="991" t="s">
        <v>757</v>
      </c>
      <c r="C22" s="358" t="s">
        <v>1781</v>
      </c>
      <c r="D22" s="355">
        <f>'M2-PLAN-Pi'!F24</f>
        <v>1.8567422225707814E-2</v>
      </c>
      <c r="E22" s="355">
        <f>'DATA-TFR'!H16</f>
        <v>1.8292145981963669E-2</v>
      </c>
      <c r="F22" s="358" t="s">
        <v>1801</v>
      </c>
      <c r="G22" s="358" t="s">
        <v>1802</v>
      </c>
      <c r="H22" s="417" t="s">
        <v>1803</v>
      </c>
      <c r="I22" s="358" t="s">
        <v>1804</v>
      </c>
      <c r="J22" s="417" t="s">
        <v>1805</v>
      </c>
      <c r="K22" s="358" t="s">
        <v>1806</v>
      </c>
      <c r="L22" s="356" t="s">
        <v>98</v>
      </c>
      <c r="M22" s="215"/>
      <c r="N22" s="215"/>
      <c r="O22" s="215"/>
      <c r="P22" s="215"/>
      <c r="Q22" s="215"/>
      <c r="R22" s="215"/>
      <c r="S22" s="215"/>
      <c r="T22" s="215"/>
      <c r="U22" s="215"/>
      <c r="V22" s="215"/>
      <c r="W22" s="215"/>
      <c r="X22" s="215"/>
      <c r="Y22" s="215"/>
      <c r="Z22" s="1130"/>
    </row>
    <row r="23" spans="1:26" s="11" customFormat="1" ht="16.05" customHeight="1" x14ac:dyDescent="0.3">
      <c r="A23" s="1019"/>
      <c r="B23" s="1136"/>
      <c r="C23" s="418"/>
      <c r="D23" s="418"/>
      <c r="E23" s="418"/>
      <c r="F23" s="418"/>
      <c r="G23" s="418"/>
      <c r="H23" s="418"/>
      <c r="I23" s="418"/>
      <c r="J23" s="418"/>
      <c r="K23" s="418"/>
      <c r="L23" s="418"/>
      <c r="M23" s="219"/>
      <c r="N23" s="219"/>
      <c r="O23" s="219"/>
      <c r="P23" s="219"/>
      <c r="Q23" s="219"/>
      <c r="R23" s="219"/>
      <c r="S23" s="219"/>
      <c r="T23" s="219"/>
      <c r="U23" s="219"/>
      <c r="V23" s="219"/>
      <c r="W23" s="219"/>
      <c r="X23" s="219"/>
      <c r="Y23" s="219"/>
      <c r="Z23" s="1131"/>
    </row>
    <row r="24" spans="1:26" s="11" customFormat="1" ht="19.95" customHeight="1" x14ac:dyDescent="0.3">
      <c r="A24" s="1797" t="s">
        <v>1807</v>
      </c>
      <c r="B24" s="1798"/>
      <c r="C24" s="1798"/>
      <c r="D24" s="1798"/>
      <c r="E24" s="1798"/>
      <c r="F24" s="1798"/>
      <c r="G24" s="1798"/>
      <c r="H24" s="1798"/>
      <c r="I24" s="1798"/>
      <c r="J24" s="1798"/>
      <c r="K24" s="1798"/>
      <c r="L24" s="1798"/>
      <c r="M24" s="1798"/>
      <c r="N24" s="1798"/>
      <c r="O24" s="1798"/>
      <c r="P24" s="1798"/>
      <c r="Q24" s="1798"/>
      <c r="R24" s="1798"/>
      <c r="S24" s="1798"/>
      <c r="T24" s="1798"/>
      <c r="U24" s="1798"/>
      <c r="V24" s="1798"/>
      <c r="W24" s="1798"/>
      <c r="X24" s="1798"/>
      <c r="Y24" s="1798"/>
      <c r="Z24" s="1799"/>
    </row>
    <row r="25" spans="1:26" s="11" customFormat="1" ht="16.05" customHeight="1" x14ac:dyDescent="0.3">
      <c r="A25" s="999" t="s">
        <v>1808</v>
      </c>
      <c r="B25" s="992" t="s">
        <v>1722</v>
      </c>
      <c r="C25" s="419" t="s">
        <v>663</v>
      </c>
      <c r="D25" s="419" t="s">
        <v>122</v>
      </c>
      <c r="E25" s="419" t="s">
        <v>1809</v>
      </c>
      <c r="F25" s="419" t="s">
        <v>1810</v>
      </c>
      <c r="G25" s="419" t="s">
        <v>1811</v>
      </c>
      <c r="H25" s="419" t="s">
        <v>1812</v>
      </c>
      <c r="I25" s="423" t="s">
        <v>1516</v>
      </c>
      <c r="J25" s="419" t="s">
        <v>1813</v>
      </c>
      <c r="K25" s="419" t="s">
        <v>30</v>
      </c>
      <c r="L25" s="419" t="s">
        <v>1660</v>
      </c>
      <c r="M25" s="219"/>
      <c r="N25" s="219"/>
      <c r="O25" s="219"/>
      <c r="P25" s="219"/>
      <c r="Q25" s="219"/>
      <c r="R25" s="219"/>
      <c r="S25" s="219"/>
      <c r="T25" s="219"/>
      <c r="U25" s="219"/>
      <c r="V25" s="219"/>
      <c r="W25" s="219"/>
      <c r="X25" s="219"/>
      <c r="Y25" s="219"/>
      <c r="Z25" s="1131"/>
    </row>
    <row r="26" spans="1:26" s="11" customFormat="1" ht="16.05" customHeight="1" x14ac:dyDescent="0.3">
      <c r="A26" s="1019" t="s">
        <v>1814</v>
      </c>
      <c r="B26" s="1135" t="s">
        <v>1815</v>
      </c>
      <c r="C26" s="358" t="s">
        <v>1781</v>
      </c>
      <c r="D26" s="357" t="s">
        <v>1816</v>
      </c>
      <c r="E26" s="365" t="s">
        <v>1817</v>
      </c>
      <c r="F26" s="426" t="s">
        <v>1818</v>
      </c>
      <c r="G26" s="365" t="s">
        <v>1819</v>
      </c>
      <c r="H26" s="365" t="s">
        <v>1820</v>
      </c>
      <c r="I26" s="427" t="s">
        <v>1821</v>
      </c>
      <c r="J26" s="358" t="s">
        <v>1822</v>
      </c>
      <c r="K26" s="358" t="s">
        <v>1823</v>
      </c>
      <c r="L26" s="356" t="s">
        <v>98</v>
      </c>
      <c r="M26" s="215"/>
      <c r="N26" s="215"/>
      <c r="O26" s="215"/>
      <c r="P26" s="215"/>
      <c r="Q26" s="215"/>
      <c r="R26" s="215"/>
      <c r="S26" s="215"/>
      <c r="T26" s="215"/>
      <c r="U26" s="215"/>
      <c r="V26" s="215"/>
      <c r="W26" s="215"/>
      <c r="X26" s="215"/>
      <c r="Y26" s="215"/>
      <c r="Z26" s="1130"/>
    </row>
    <row r="27" spans="1:26" s="11" customFormat="1" ht="16.05" customHeight="1" x14ac:dyDescent="0.3">
      <c r="A27" s="1019" t="s">
        <v>1824</v>
      </c>
      <c r="B27" s="1136" t="s">
        <v>463</v>
      </c>
      <c r="C27" s="419" t="s">
        <v>1825</v>
      </c>
      <c r="D27" s="418" t="s">
        <v>1826</v>
      </c>
      <c r="E27" s="428" t="s">
        <v>1827</v>
      </c>
      <c r="F27" s="429" t="s">
        <v>1828</v>
      </c>
      <c r="G27" s="1127" t="s">
        <v>1829</v>
      </c>
      <c r="H27" s="428" t="s">
        <v>1830</v>
      </c>
      <c r="I27" s="430" t="s">
        <v>1831</v>
      </c>
      <c r="J27" s="419" t="s">
        <v>1832</v>
      </c>
      <c r="K27" s="419" t="s">
        <v>1823</v>
      </c>
      <c r="L27" s="423" t="s">
        <v>96</v>
      </c>
      <c r="M27" s="219"/>
      <c r="N27" s="219"/>
      <c r="O27" s="219"/>
      <c r="P27" s="219"/>
      <c r="Q27" s="219"/>
      <c r="R27" s="219"/>
      <c r="S27" s="219"/>
      <c r="T27" s="219"/>
      <c r="U27" s="219"/>
      <c r="V27" s="219"/>
      <c r="W27" s="219"/>
      <c r="X27" s="219"/>
      <c r="Y27" s="219"/>
      <c r="Z27" s="1131"/>
    </row>
    <row r="28" spans="1:26" s="11" customFormat="1" ht="16.05" customHeight="1" x14ac:dyDescent="0.3">
      <c r="A28" s="1019" t="s">
        <v>1833</v>
      </c>
      <c r="B28" s="1135" t="s">
        <v>1834</v>
      </c>
      <c r="C28" s="358" t="s">
        <v>1794</v>
      </c>
      <c r="D28" s="357" t="s">
        <v>1835</v>
      </c>
      <c r="E28" s="365" t="s">
        <v>1836</v>
      </c>
      <c r="F28" s="426" t="s">
        <v>1837</v>
      </c>
      <c r="G28" s="365" t="s">
        <v>1838</v>
      </c>
      <c r="H28" s="365" t="s">
        <v>1839</v>
      </c>
      <c r="I28" s="431" t="s">
        <v>1840</v>
      </c>
      <c r="J28" s="358" t="s">
        <v>1841</v>
      </c>
      <c r="K28" s="358" t="s">
        <v>1842</v>
      </c>
      <c r="L28" s="361" t="s">
        <v>1145</v>
      </c>
      <c r="M28" s="215"/>
      <c r="N28" s="215"/>
      <c r="O28" s="215"/>
      <c r="P28" s="215"/>
      <c r="Q28" s="215"/>
      <c r="R28" s="215"/>
      <c r="S28" s="215"/>
      <c r="T28" s="215"/>
      <c r="U28" s="215"/>
      <c r="V28" s="215"/>
      <c r="W28" s="215"/>
      <c r="X28" s="215"/>
      <c r="Y28" s="215"/>
      <c r="Z28" s="1130"/>
    </row>
    <row r="29" spans="1:26" s="11" customFormat="1" ht="16.05" customHeight="1" x14ac:dyDescent="0.3">
      <c r="A29" s="1019" t="s">
        <v>1843</v>
      </c>
      <c r="B29" s="1136" t="s">
        <v>1834</v>
      </c>
      <c r="C29" s="419" t="s">
        <v>1729</v>
      </c>
      <c r="D29" s="418" t="s">
        <v>1844</v>
      </c>
      <c r="E29" s="428" t="s">
        <v>1845</v>
      </c>
      <c r="F29" s="429" t="s">
        <v>1846</v>
      </c>
      <c r="G29" s="428" t="s">
        <v>1847</v>
      </c>
      <c r="H29" s="428" t="s">
        <v>1848</v>
      </c>
      <c r="I29" s="429" t="s">
        <v>1849</v>
      </c>
      <c r="J29" s="419" t="s">
        <v>1832</v>
      </c>
      <c r="K29" s="419" t="s">
        <v>1823</v>
      </c>
      <c r="L29" s="423" t="s">
        <v>98</v>
      </c>
      <c r="M29" s="219"/>
      <c r="N29" s="219"/>
      <c r="O29" s="219"/>
      <c r="P29" s="219"/>
      <c r="Q29" s="219"/>
      <c r="R29" s="219"/>
      <c r="S29" s="219"/>
      <c r="T29" s="219"/>
      <c r="U29" s="219"/>
      <c r="V29" s="219"/>
      <c r="W29" s="219"/>
      <c r="X29" s="219"/>
      <c r="Y29" s="219"/>
      <c r="Z29" s="1131"/>
    </row>
    <row r="30" spans="1:26" s="11" customFormat="1" ht="16.05" customHeight="1" x14ac:dyDescent="0.3">
      <c r="A30" s="1019"/>
      <c r="B30" s="1135"/>
      <c r="C30" s="357"/>
      <c r="D30" s="357"/>
      <c r="E30" s="357"/>
      <c r="F30" s="357"/>
      <c r="G30" s="357"/>
      <c r="H30" s="357"/>
      <c r="I30" s="357"/>
      <c r="J30" s="357"/>
      <c r="K30" s="357"/>
      <c r="L30" s="357"/>
      <c r="M30" s="215"/>
      <c r="N30" s="215"/>
      <c r="O30" s="215"/>
      <c r="P30" s="215"/>
      <c r="Q30" s="215"/>
      <c r="R30" s="215"/>
      <c r="S30" s="215"/>
      <c r="T30" s="215"/>
      <c r="U30" s="215"/>
      <c r="V30" s="215"/>
      <c r="W30" s="215"/>
      <c r="X30" s="215"/>
      <c r="Y30" s="215"/>
      <c r="Z30" s="1130"/>
    </row>
    <row r="31" spans="1:26" ht="19.95" customHeight="1" x14ac:dyDescent="0.3">
      <c r="A31" s="1940" t="s">
        <v>1850</v>
      </c>
      <c r="B31" s="1798"/>
      <c r="C31" s="1798"/>
      <c r="D31" s="1798"/>
      <c r="E31" s="1798"/>
      <c r="F31" s="1798"/>
      <c r="G31" s="1798"/>
      <c r="H31" s="1798"/>
      <c r="I31" s="1798"/>
      <c r="J31" s="1798"/>
      <c r="K31" s="1798"/>
      <c r="L31" s="1798"/>
      <c r="M31" s="1798"/>
      <c r="N31" s="1798"/>
      <c r="O31" s="1798"/>
      <c r="P31" s="1798"/>
      <c r="Q31" s="1798"/>
      <c r="R31" s="1798"/>
      <c r="S31" s="1798"/>
      <c r="T31" s="1798"/>
      <c r="U31" s="1798"/>
      <c r="V31" s="1798"/>
      <c r="W31" s="1798"/>
      <c r="X31" s="1798"/>
      <c r="Y31" s="1798"/>
      <c r="Z31" s="1799"/>
    </row>
    <row r="32" spans="1:26" ht="16.05" customHeight="1" x14ac:dyDescent="0.3">
      <c r="A32" s="1019" t="s">
        <v>1851</v>
      </c>
      <c r="B32" s="1137" t="s">
        <v>1852</v>
      </c>
      <c r="C32" s="354" t="s">
        <v>1853</v>
      </c>
      <c r="D32" s="350" t="s">
        <v>1854</v>
      </c>
      <c r="E32" s="350" t="s">
        <v>1855</v>
      </c>
      <c r="F32" s="350" t="s">
        <v>1856</v>
      </c>
      <c r="G32" s="350" t="s">
        <v>1857</v>
      </c>
      <c r="H32" s="350" t="s">
        <v>671</v>
      </c>
      <c r="I32" s="350" t="s">
        <v>1858</v>
      </c>
      <c r="J32" s="350" t="s">
        <v>1859</v>
      </c>
      <c r="K32" s="350" t="s">
        <v>30</v>
      </c>
      <c r="L32" s="350" t="s">
        <v>1660</v>
      </c>
      <c r="M32" s="100"/>
      <c r="N32" s="100"/>
      <c r="O32" s="100"/>
      <c r="P32" s="100"/>
      <c r="Q32" s="100"/>
      <c r="R32" s="100"/>
      <c r="S32" s="100"/>
      <c r="T32" s="100"/>
      <c r="U32" s="100"/>
      <c r="V32" s="100"/>
      <c r="W32" s="100"/>
      <c r="X32" s="100"/>
      <c r="Y32" s="100"/>
      <c r="Z32" s="1133"/>
    </row>
    <row r="33" spans="1:26" ht="16.05" customHeight="1" x14ac:dyDescent="0.3">
      <c r="A33" s="1019" t="s">
        <v>1860</v>
      </c>
      <c r="B33" s="1138" t="str">
        <f>TEXT('M5-ICPI'!G29,"0,00")&amp;" %"</f>
        <v>38,28 %</v>
      </c>
      <c r="C33" s="1128" t="s">
        <v>1861</v>
      </c>
      <c r="D33" s="432" t="s">
        <v>1862</v>
      </c>
      <c r="E33" s="428" t="s">
        <v>1863</v>
      </c>
      <c r="F33" s="418" t="s">
        <v>1864</v>
      </c>
      <c r="G33" s="432" t="s">
        <v>1865</v>
      </c>
      <c r="H33" s="433" t="s">
        <v>1866</v>
      </c>
      <c r="I33" s="434" t="s">
        <v>113</v>
      </c>
      <c r="J33" s="432" t="s">
        <v>1867</v>
      </c>
      <c r="K33" s="432" t="s">
        <v>1868</v>
      </c>
      <c r="L33" s="1129" t="s">
        <v>96</v>
      </c>
      <c r="M33" s="231"/>
      <c r="N33" s="231"/>
      <c r="O33" s="231"/>
      <c r="P33" s="231"/>
      <c r="Q33" s="231"/>
      <c r="R33" s="231"/>
      <c r="S33" s="231"/>
      <c r="T33" s="231"/>
      <c r="U33" s="231"/>
      <c r="V33" s="231"/>
      <c r="W33" s="231"/>
      <c r="X33" s="231"/>
      <c r="Y33" s="231"/>
      <c r="Z33" s="1132"/>
    </row>
    <row r="34" spans="1:26" ht="16.05" customHeight="1" x14ac:dyDescent="0.3">
      <c r="A34" s="1019" t="s">
        <v>1869</v>
      </c>
      <c r="B34" s="1137" t="s">
        <v>1870</v>
      </c>
      <c r="C34" s="435" t="s">
        <v>1870</v>
      </c>
      <c r="D34" s="356" t="s">
        <v>1871</v>
      </c>
      <c r="E34" s="352" t="s">
        <v>1870</v>
      </c>
      <c r="F34" s="357" t="s">
        <v>1872</v>
      </c>
      <c r="G34" s="350" t="s">
        <v>1873</v>
      </c>
      <c r="H34" s="435" t="s">
        <v>1874</v>
      </c>
      <c r="I34" s="353" t="s">
        <v>1875</v>
      </c>
      <c r="J34" s="350" t="s">
        <v>1876</v>
      </c>
      <c r="K34" s="350" t="s">
        <v>1877</v>
      </c>
      <c r="L34" s="354" t="s">
        <v>96</v>
      </c>
      <c r="M34" s="100"/>
      <c r="N34" s="100"/>
      <c r="O34" s="100"/>
      <c r="P34" s="100"/>
      <c r="Q34" s="100"/>
      <c r="R34" s="100"/>
      <c r="S34" s="100"/>
      <c r="T34" s="100"/>
      <c r="U34" s="100"/>
      <c r="V34" s="100"/>
      <c r="W34" s="100"/>
      <c r="X34" s="100"/>
      <c r="Y34" s="100"/>
      <c r="Z34" s="1133"/>
    </row>
    <row r="35" spans="1:26" ht="16.05" customHeight="1" x14ac:dyDescent="0.3">
      <c r="A35" s="1019" t="s">
        <v>1878</v>
      </c>
      <c r="B35" s="1138" t="s">
        <v>1879</v>
      </c>
      <c r="C35" s="433" t="s">
        <v>1880</v>
      </c>
      <c r="D35" s="432" t="s">
        <v>1881</v>
      </c>
      <c r="E35" s="418" t="s">
        <v>1882</v>
      </c>
      <c r="F35" s="428" t="s">
        <v>1883</v>
      </c>
      <c r="G35" s="432" t="s">
        <v>1873</v>
      </c>
      <c r="H35" s="433" t="s">
        <v>1884</v>
      </c>
      <c r="I35" s="434" t="s">
        <v>1885</v>
      </c>
      <c r="J35" s="432" t="s">
        <v>1886</v>
      </c>
      <c r="K35" s="432"/>
      <c r="L35" s="1129" t="s">
        <v>96</v>
      </c>
      <c r="M35" s="231"/>
      <c r="N35" s="231"/>
      <c r="O35" s="231"/>
      <c r="P35" s="231"/>
      <c r="Q35" s="231"/>
      <c r="R35" s="231"/>
      <c r="S35" s="231"/>
      <c r="T35" s="231"/>
      <c r="U35" s="231"/>
      <c r="V35" s="231"/>
      <c r="W35" s="231"/>
      <c r="X35" s="231"/>
      <c r="Y35" s="231"/>
      <c r="Z35" s="1132"/>
    </row>
    <row r="36" spans="1:26" ht="16.05" customHeight="1" x14ac:dyDescent="0.3">
      <c r="A36" s="1019" t="s">
        <v>1887</v>
      </c>
      <c r="B36" s="1137" t="s">
        <v>1888</v>
      </c>
      <c r="C36" s="435" t="s">
        <v>1889</v>
      </c>
      <c r="D36" s="350" t="s">
        <v>1890</v>
      </c>
      <c r="E36" s="370" t="s">
        <v>1891</v>
      </c>
      <c r="F36" s="357" t="s">
        <v>1892</v>
      </c>
      <c r="G36" s="350" t="s">
        <v>1873</v>
      </c>
      <c r="H36" s="435" t="s">
        <v>1893</v>
      </c>
      <c r="I36" s="353" t="s">
        <v>1894</v>
      </c>
      <c r="J36" s="350" t="s">
        <v>1886</v>
      </c>
      <c r="K36" s="350" t="s">
        <v>1895</v>
      </c>
      <c r="L36" s="354" t="s">
        <v>98</v>
      </c>
      <c r="M36" s="100"/>
      <c r="N36" s="100"/>
      <c r="O36" s="100"/>
      <c r="P36" s="100"/>
      <c r="Q36" s="100"/>
      <c r="R36" s="100"/>
      <c r="S36" s="100"/>
      <c r="T36" s="100"/>
      <c r="U36" s="100"/>
      <c r="V36" s="100"/>
      <c r="W36" s="100"/>
      <c r="X36" s="100"/>
      <c r="Y36" s="100"/>
      <c r="Z36" s="1133"/>
    </row>
    <row r="37" spans="1:26" ht="19.95" customHeight="1" x14ac:dyDescent="0.3">
      <c r="A37" s="1797" t="s">
        <v>1428</v>
      </c>
      <c r="B37" s="1798"/>
      <c r="C37" s="1798"/>
      <c r="D37" s="1798"/>
      <c r="E37" s="1798"/>
      <c r="F37" s="1798"/>
      <c r="G37" s="1798"/>
      <c r="H37" s="1798"/>
      <c r="I37" s="1798"/>
      <c r="J37" s="1798"/>
      <c r="K37" s="1798"/>
      <c r="L37" s="1798"/>
      <c r="M37" s="1798"/>
      <c r="N37" s="1798"/>
      <c r="O37" s="1798"/>
      <c r="P37" s="1798"/>
      <c r="Q37" s="1798"/>
      <c r="R37" s="1798"/>
      <c r="S37" s="1798"/>
      <c r="T37" s="1798"/>
      <c r="U37" s="1798"/>
      <c r="V37" s="1798"/>
      <c r="W37" s="1798"/>
      <c r="X37" s="1798"/>
      <c r="Y37" s="1798"/>
      <c r="Z37" s="1799"/>
    </row>
    <row r="38" spans="1:26" ht="19.95" customHeight="1" x14ac:dyDescent="0.3">
      <c r="A38" s="1941" t="s">
        <v>1896</v>
      </c>
      <c r="B38" s="1826"/>
      <c r="C38" s="1826"/>
      <c r="D38" s="1826"/>
      <c r="E38" s="1826"/>
      <c r="F38" s="1826"/>
      <c r="G38" s="1826"/>
      <c r="H38" s="1826"/>
      <c r="I38" s="1826"/>
      <c r="J38" s="1826"/>
      <c r="K38" s="1826"/>
      <c r="L38" s="1826"/>
      <c r="M38" s="1826"/>
      <c r="N38" s="1826"/>
      <c r="O38" s="1826"/>
      <c r="P38" s="1826"/>
      <c r="Q38" s="1826"/>
      <c r="R38" s="1826"/>
      <c r="S38" s="1826"/>
      <c r="T38" s="1826"/>
      <c r="U38" s="1826"/>
      <c r="V38" s="1826"/>
      <c r="W38" s="1826"/>
      <c r="X38" s="1826"/>
      <c r="Y38" s="1826"/>
      <c r="Z38" s="1827"/>
    </row>
    <row r="39" spans="1:26" ht="19.95" customHeight="1" thickBot="1" x14ac:dyDescent="0.35">
      <c r="A39" s="1828" t="s">
        <v>1897</v>
      </c>
      <c r="B39" s="1829"/>
      <c r="C39" s="1829"/>
      <c r="D39" s="1829"/>
      <c r="E39" s="1829"/>
      <c r="F39" s="1829"/>
      <c r="G39" s="1829"/>
      <c r="H39" s="1829"/>
      <c r="I39" s="1829"/>
      <c r="J39" s="1829"/>
      <c r="K39" s="1829"/>
      <c r="L39" s="1829"/>
      <c r="M39" s="1829"/>
      <c r="N39" s="1829"/>
      <c r="O39" s="1829"/>
      <c r="P39" s="1829"/>
      <c r="Q39" s="1829"/>
      <c r="R39" s="1829"/>
      <c r="S39" s="1829"/>
      <c r="T39" s="1829"/>
      <c r="U39" s="1829"/>
      <c r="V39" s="1829"/>
      <c r="W39" s="1829"/>
      <c r="X39" s="1829"/>
      <c r="Y39" s="1829"/>
      <c r="Z39" s="1830"/>
    </row>
    <row r="40" spans="1:26" ht="19.95" customHeight="1" thickTop="1" x14ac:dyDescent="0.3"/>
    <row r="41" spans="1:26" ht="49.95" customHeight="1" x14ac:dyDescent="0.3"/>
    <row r="42" spans="1:26" ht="36" customHeight="1" x14ac:dyDescent="0.3"/>
    <row r="43" spans="1:26" ht="36" customHeight="1" x14ac:dyDescent="0.3"/>
    <row r="44" spans="1:26" ht="36" customHeight="1" x14ac:dyDescent="0.3"/>
  </sheetData>
  <mergeCells count="9">
    <mergeCell ref="A38:Z38"/>
    <mergeCell ref="A39:Z39"/>
    <mergeCell ref="A4:Z4"/>
    <mergeCell ref="A3:Z3"/>
    <mergeCell ref="A1:Z1"/>
    <mergeCell ref="A15:Z15"/>
    <mergeCell ref="A24:Z24"/>
    <mergeCell ref="A31:Z31"/>
    <mergeCell ref="A37:Z37"/>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DEEAF1"/>
  </sheetPr>
  <dimension ref="A1:Z47"/>
  <sheetViews>
    <sheetView showGridLines="0" zoomScale="86" zoomScaleNormal="86" workbookViewId="0">
      <pane ySplit="5" topLeftCell="A6" activePane="bottomLeft" state="frozen"/>
      <selection pane="bottomLeft" sqref="A1:L1"/>
    </sheetView>
  </sheetViews>
  <sheetFormatPr baseColWidth="10" defaultRowHeight="14.4" x14ac:dyDescent="0.3"/>
  <cols>
    <col min="1" max="1" width="5.21875" customWidth="1"/>
    <col min="2" max="2" width="17.5546875" customWidth="1"/>
    <col min="3" max="3" width="25.88671875" customWidth="1"/>
    <col min="4" max="4" width="11.109375" customWidth="1"/>
    <col min="5" max="6" width="14.77734375" customWidth="1"/>
    <col min="7" max="8" width="15.77734375" customWidth="1"/>
    <col min="9" max="9" width="28.6640625" customWidth="1"/>
    <col min="10" max="10" width="6.44140625" customWidth="1"/>
    <col min="11" max="11" width="10.21875" customWidth="1"/>
    <col min="12" max="12" width="9.21875" customWidth="1"/>
    <col min="13" max="13" width="14.77734375" customWidth="1"/>
    <col min="14" max="14" width="19.44140625" customWidth="1"/>
    <col min="26" max="26" width="8.33203125" bestFit="1" customWidth="1"/>
  </cols>
  <sheetData>
    <row r="1" spans="1:26" ht="28.05" customHeight="1" x14ac:dyDescent="0.3">
      <c r="A1" s="1928" t="s">
        <v>4795</v>
      </c>
      <c r="B1" s="1656"/>
      <c r="C1" s="1656"/>
      <c r="D1" s="1656"/>
      <c r="E1" s="1656"/>
      <c r="F1" s="1656"/>
      <c r="G1" s="1656"/>
      <c r="H1" s="1656"/>
      <c r="I1" s="1656"/>
      <c r="J1" s="1656"/>
      <c r="K1" s="1656"/>
      <c r="L1" s="1656"/>
      <c r="M1" s="523" t="str">
        <f>HYPERLINK("#'EVAL-DIR'!A1","EVAL-DIR  ›")</f>
        <v>EVAL-DIR  ›</v>
      </c>
      <c r="N1" s="523" t="str">
        <f>HYPERLINK("#'DASHBOARD'!A1","DASHBOARD  ›")</f>
        <v>DASHBOARD  ›</v>
      </c>
      <c r="O1" s="92"/>
      <c r="P1" s="92"/>
      <c r="Q1" s="92"/>
      <c r="R1" s="92"/>
      <c r="S1" s="92"/>
      <c r="T1" s="92"/>
      <c r="U1" s="92"/>
      <c r="V1" s="92"/>
      <c r="W1" s="92"/>
      <c r="X1" s="92"/>
      <c r="Y1" s="92"/>
      <c r="Z1" s="93" t="s">
        <v>4300</v>
      </c>
    </row>
    <row r="2" spans="1:26" ht="19.95" customHeight="1" x14ac:dyDescent="0.3">
      <c r="A2" s="1645" t="str">
        <f>HYPERLINK("#'M-INDEX'!A1","⌂ INDICE")</f>
        <v>⌂ INDICE</v>
      </c>
      <c r="B2" s="1844"/>
      <c r="C2" s="1844"/>
      <c r="D2" s="1844"/>
      <c r="E2" s="1844"/>
      <c r="F2" s="1844"/>
      <c r="G2" s="1844"/>
      <c r="H2" s="1844"/>
      <c r="I2" s="1844"/>
      <c r="J2" s="1844"/>
      <c r="K2" s="1844"/>
      <c r="L2" s="1844"/>
      <c r="M2" s="1845"/>
      <c r="N2" s="1845"/>
      <c r="O2" s="94"/>
      <c r="P2" s="94"/>
      <c r="Q2" s="94"/>
      <c r="R2" s="94"/>
      <c r="S2" s="94"/>
      <c r="T2" s="94"/>
      <c r="U2" s="94"/>
      <c r="V2" s="94"/>
      <c r="W2" s="94"/>
      <c r="X2" s="94"/>
      <c r="Y2" s="94"/>
      <c r="Z2" s="94"/>
    </row>
    <row r="3" spans="1:26" ht="16.05" customHeight="1" thickBot="1" x14ac:dyDescent="0.35">
      <c r="A3" s="1840" t="s">
        <v>661</v>
      </c>
      <c r="B3" s="1841"/>
      <c r="C3" s="1841"/>
      <c r="D3" s="1841"/>
      <c r="E3" s="1841"/>
      <c r="F3" s="1841"/>
      <c r="G3" s="1841"/>
      <c r="H3" s="1841"/>
      <c r="I3" s="1841"/>
      <c r="J3" s="1841"/>
      <c r="K3" s="1841"/>
      <c r="L3" s="1842"/>
      <c r="M3" s="1843"/>
      <c r="N3" s="1843"/>
      <c r="O3" s="196"/>
      <c r="P3" s="196"/>
      <c r="Q3" s="196"/>
      <c r="R3" s="196"/>
      <c r="S3" s="196"/>
      <c r="T3" s="196"/>
      <c r="U3" s="196"/>
      <c r="V3" s="196"/>
      <c r="W3" s="196"/>
      <c r="X3" s="196"/>
      <c r="Y3" s="196"/>
      <c r="Z3" s="196"/>
    </row>
    <row r="4" spans="1:26" ht="19.95" customHeight="1" thickTop="1" thickBot="1" x14ac:dyDescent="0.35">
      <c r="A4" s="1837" t="s">
        <v>1898</v>
      </c>
      <c r="B4" s="1838"/>
      <c r="C4" s="1838"/>
      <c r="D4" s="1838"/>
      <c r="E4" s="1838"/>
      <c r="F4" s="1838"/>
      <c r="G4" s="1838"/>
      <c r="H4" s="1838"/>
      <c r="I4" s="1838"/>
      <c r="J4" s="1838"/>
      <c r="K4" s="1838"/>
      <c r="L4" s="1838"/>
      <c r="M4" s="1838"/>
      <c r="N4" s="1839"/>
      <c r="O4" s="95"/>
      <c r="P4" s="95"/>
      <c r="Q4" s="95"/>
      <c r="R4" s="95"/>
      <c r="S4" s="95"/>
      <c r="T4" s="95"/>
      <c r="U4" s="95"/>
      <c r="V4" s="95"/>
      <c r="W4" s="95"/>
      <c r="X4" s="95"/>
      <c r="Y4" s="95"/>
      <c r="Z4" s="96"/>
    </row>
    <row r="5" spans="1:26" ht="30" customHeight="1" thickTop="1" x14ac:dyDescent="0.3">
      <c r="A5" s="610" t="s">
        <v>1899</v>
      </c>
      <c r="B5" s="606" t="s">
        <v>85</v>
      </c>
      <c r="C5" s="584" t="s">
        <v>1900</v>
      </c>
      <c r="D5" s="584" t="s">
        <v>1219</v>
      </c>
      <c r="E5" s="584" t="s">
        <v>1901</v>
      </c>
      <c r="F5" s="584" t="s">
        <v>1902</v>
      </c>
      <c r="G5" s="584" t="s">
        <v>1903</v>
      </c>
      <c r="H5" s="584" t="s">
        <v>1904</v>
      </c>
      <c r="I5" s="584" t="s">
        <v>1905</v>
      </c>
      <c r="J5" s="584" t="s">
        <v>1906</v>
      </c>
      <c r="K5" s="584" t="s">
        <v>1907</v>
      </c>
      <c r="L5" s="584" t="s">
        <v>1908</v>
      </c>
      <c r="M5" s="659" t="s">
        <v>1909</v>
      </c>
      <c r="N5" s="660" t="s">
        <v>1910</v>
      </c>
      <c r="O5" s="414"/>
      <c r="P5" s="184"/>
      <c r="Q5" s="184"/>
      <c r="R5" s="184"/>
      <c r="S5" s="184"/>
      <c r="T5" s="184"/>
      <c r="U5" s="184"/>
      <c r="V5" s="184"/>
      <c r="W5" s="184"/>
      <c r="X5" s="184"/>
      <c r="Y5" s="184"/>
      <c r="Z5" s="218"/>
    </row>
    <row r="6" spans="1:26" s="11" customFormat="1" ht="36" customHeight="1" x14ac:dyDescent="0.3">
      <c r="A6" s="658" t="s">
        <v>1911</v>
      </c>
      <c r="B6" s="637">
        <v>1</v>
      </c>
      <c r="C6" s="617" t="s">
        <v>1912</v>
      </c>
      <c r="D6" s="617" t="s">
        <v>1913</v>
      </c>
      <c r="E6" s="617" t="s">
        <v>1914</v>
      </c>
      <c r="F6" s="617" t="s">
        <v>1915</v>
      </c>
      <c r="G6" s="617" t="s">
        <v>1916</v>
      </c>
      <c r="H6" s="617" t="s">
        <v>4517</v>
      </c>
      <c r="I6" s="617" t="s">
        <v>4518</v>
      </c>
      <c r="J6" s="617">
        <v>3</v>
      </c>
      <c r="K6" s="623">
        <v>1</v>
      </c>
      <c r="L6" s="617" t="s">
        <v>1917</v>
      </c>
      <c r="M6" s="704">
        <v>580000</v>
      </c>
      <c r="N6" s="705" t="s">
        <v>1918</v>
      </c>
      <c r="O6" s="570"/>
      <c r="P6" s="139"/>
      <c r="Q6" s="139"/>
      <c r="R6" s="139"/>
      <c r="S6" s="139"/>
      <c r="T6" s="139"/>
      <c r="U6" s="139"/>
      <c r="V6" s="139"/>
      <c r="W6" s="139"/>
      <c r="X6" s="139"/>
      <c r="Y6" s="139"/>
      <c r="Z6" s="223"/>
    </row>
    <row r="7" spans="1:26" s="11" customFormat="1" ht="36" customHeight="1" x14ac:dyDescent="0.3">
      <c r="A7" s="920" t="s">
        <v>1919</v>
      </c>
      <c r="B7" s="638">
        <v>1</v>
      </c>
      <c r="C7" s="620" t="s">
        <v>1920</v>
      </c>
      <c r="D7" s="620" t="s">
        <v>1921</v>
      </c>
      <c r="E7" s="620" t="s">
        <v>1914</v>
      </c>
      <c r="F7" s="620" t="s">
        <v>1915</v>
      </c>
      <c r="G7" s="620" t="s">
        <v>1922</v>
      </c>
      <c r="H7" s="620" t="s">
        <v>4519</v>
      </c>
      <c r="I7" s="620" t="s">
        <v>4520</v>
      </c>
      <c r="J7" s="620">
        <v>0</v>
      </c>
      <c r="K7" s="622">
        <v>1</v>
      </c>
      <c r="L7" s="620" t="s">
        <v>1917</v>
      </c>
      <c r="M7" s="706">
        <v>320000</v>
      </c>
      <c r="N7" s="707" t="s">
        <v>1923</v>
      </c>
      <c r="O7" s="571"/>
      <c r="P7" s="221"/>
      <c r="Q7" s="221"/>
      <c r="R7" s="221"/>
      <c r="S7" s="221"/>
      <c r="T7" s="221"/>
      <c r="U7" s="221"/>
      <c r="V7" s="221"/>
      <c r="W7" s="221"/>
      <c r="X7" s="221"/>
      <c r="Y7" s="221"/>
      <c r="Z7" s="222"/>
    </row>
    <row r="8" spans="1:26" s="11" customFormat="1" ht="36" customHeight="1" x14ac:dyDescent="0.3">
      <c r="A8" s="658" t="s">
        <v>1924</v>
      </c>
      <c r="B8" s="637">
        <v>2</v>
      </c>
      <c r="C8" s="617" t="s">
        <v>1925</v>
      </c>
      <c r="D8" s="617" t="s">
        <v>1926</v>
      </c>
      <c r="E8" s="617" t="s">
        <v>1914</v>
      </c>
      <c r="F8" s="617" t="s">
        <v>1915</v>
      </c>
      <c r="G8" s="617" t="s">
        <v>1927</v>
      </c>
      <c r="H8" s="617" t="s">
        <v>4521</v>
      </c>
      <c r="I8" s="617" t="s">
        <v>4522</v>
      </c>
      <c r="J8" s="617">
        <v>0</v>
      </c>
      <c r="K8" s="623">
        <v>1</v>
      </c>
      <c r="L8" s="617" t="s">
        <v>1928</v>
      </c>
      <c r="M8" s="704">
        <v>85000</v>
      </c>
      <c r="N8" s="705" t="s">
        <v>1929</v>
      </c>
      <c r="O8" s="570"/>
      <c r="P8" s="139"/>
      <c r="Q8" s="139"/>
      <c r="R8" s="139"/>
      <c r="S8" s="139"/>
      <c r="T8" s="139"/>
      <c r="U8" s="139"/>
      <c r="V8" s="139"/>
      <c r="W8" s="139"/>
      <c r="X8" s="139"/>
      <c r="Y8" s="139"/>
      <c r="Z8" s="223"/>
    </row>
    <row r="9" spans="1:26" s="11" customFormat="1" ht="36" customHeight="1" x14ac:dyDescent="0.3">
      <c r="A9" s="920" t="s">
        <v>1930</v>
      </c>
      <c r="B9" s="638">
        <v>2</v>
      </c>
      <c r="C9" s="620" t="s">
        <v>1931</v>
      </c>
      <c r="D9" s="620" t="s">
        <v>1932</v>
      </c>
      <c r="E9" s="620" t="s">
        <v>1915</v>
      </c>
      <c r="F9" s="620" t="s">
        <v>1915</v>
      </c>
      <c r="G9" s="620" t="s">
        <v>1933</v>
      </c>
      <c r="H9" s="620" t="s">
        <v>4523</v>
      </c>
      <c r="I9" s="620" t="s">
        <v>4524</v>
      </c>
      <c r="J9" s="620">
        <v>0</v>
      </c>
      <c r="K9" s="622">
        <v>1</v>
      </c>
      <c r="L9" s="620" t="s">
        <v>1934</v>
      </c>
      <c r="M9" s="706">
        <v>65000</v>
      </c>
      <c r="N9" s="707" t="s">
        <v>1935</v>
      </c>
      <c r="O9" s="571"/>
      <c r="P9" s="221"/>
      <c r="Q9" s="221"/>
      <c r="R9" s="221"/>
      <c r="S9" s="221"/>
      <c r="T9" s="221"/>
      <c r="U9" s="221"/>
      <c r="V9" s="221"/>
      <c r="W9" s="221"/>
      <c r="X9" s="221"/>
      <c r="Y9" s="221"/>
      <c r="Z9" s="222"/>
    </row>
    <row r="10" spans="1:26" s="11" customFormat="1" ht="36" customHeight="1" x14ac:dyDescent="0.3">
      <c r="A10" s="658" t="s">
        <v>1936</v>
      </c>
      <c r="B10" s="637">
        <v>2</v>
      </c>
      <c r="C10" s="617" t="s">
        <v>1937</v>
      </c>
      <c r="D10" s="617" t="s">
        <v>1938</v>
      </c>
      <c r="E10" s="617" t="s">
        <v>1915</v>
      </c>
      <c r="F10" s="617" t="s">
        <v>1914</v>
      </c>
      <c r="G10" s="617" t="s">
        <v>1939</v>
      </c>
      <c r="H10" s="617" t="s">
        <v>4525</v>
      </c>
      <c r="I10" s="617" t="s">
        <v>4526</v>
      </c>
      <c r="J10" s="617">
        <v>2</v>
      </c>
      <c r="K10" s="623" t="s">
        <v>4722</v>
      </c>
      <c r="L10" s="617" t="s">
        <v>1940</v>
      </c>
      <c r="M10" s="704">
        <v>240000</v>
      </c>
      <c r="N10" s="705" t="s">
        <v>792</v>
      </c>
      <c r="O10" s="570"/>
      <c r="P10" s="139"/>
      <c r="Q10" s="139"/>
      <c r="R10" s="139"/>
      <c r="S10" s="139"/>
      <c r="T10" s="139"/>
      <c r="U10" s="139"/>
      <c r="V10" s="139"/>
      <c r="W10" s="139"/>
      <c r="X10" s="139"/>
      <c r="Y10" s="139"/>
      <c r="Z10" s="223"/>
    </row>
    <row r="11" spans="1:26" s="11" customFormat="1" ht="36" customHeight="1" x14ac:dyDescent="0.3">
      <c r="A11" s="920" t="s">
        <v>1941</v>
      </c>
      <c r="B11" s="638">
        <v>2</v>
      </c>
      <c r="C11" s="620" t="s">
        <v>1942</v>
      </c>
      <c r="D11" s="620" t="s">
        <v>1938</v>
      </c>
      <c r="E11" s="620" t="s">
        <v>1915</v>
      </c>
      <c r="F11" s="620" t="s">
        <v>1914</v>
      </c>
      <c r="G11" s="620" t="s">
        <v>1943</v>
      </c>
      <c r="H11" s="620" t="s">
        <v>4527</v>
      </c>
      <c r="I11" s="620" t="s">
        <v>4528</v>
      </c>
      <c r="J11" s="620">
        <v>5</v>
      </c>
      <c r="K11" s="622" t="s">
        <v>4722</v>
      </c>
      <c r="L11" s="620" t="s">
        <v>1940</v>
      </c>
      <c r="M11" s="706">
        <v>4200000</v>
      </c>
      <c r="N11" s="707" t="s">
        <v>783</v>
      </c>
      <c r="O11" s="571"/>
      <c r="P11" s="221"/>
      <c r="Q11" s="221"/>
      <c r="R11" s="221"/>
      <c r="S11" s="221"/>
      <c r="T11" s="221"/>
      <c r="U11" s="221"/>
      <c r="V11" s="221"/>
      <c r="W11" s="221"/>
      <c r="X11" s="221"/>
      <c r="Y11" s="221"/>
      <c r="Z11" s="222"/>
    </row>
    <row r="12" spans="1:26" s="11" customFormat="1" ht="36" customHeight="1" x14ac:dyDescent="0.3">
      <c r="A12" s="658" t="s">
        <v>1944</v>
      </c>
      <c r="B12" s="637">
        <v>2</v>
      </c>
      <c r="C12" s="617" t="s">
        <v>1945</v>
      </c>
      <c r="D12" s="617" t="s">
        <v>1938</v>
      </c>
      <c r="E12" s="617" t="s">
        <v>1915</v>
      </c>
      <c r="F12" s="617" t="s">
        <v>1914</v>
      </c>
      <c r="G12" s="617" t="s">
        <v>1943</v>
      </c>
      <c r="H12" s="617" t="s">
        <v>4529</v>
      </c>
      <c r="I12" s="617" t="s">
        <v>4530</v>
      </c>
      <c r="J12" s="617">
        <v>2</v>
      </c>
      <c r="K12" s="623" t="s">
        <v>4723</v>
      </c>
      <c r="L12" s="617" t="s">
        <v>1940</v>
      </c>
      <c r="M12" s="704">
        <v>1800000</v>
      </c>
      <c r="N12" s="705" t="s">
        <v>821</v>
      </c>
      <c r="O12" s="570"/>
      <c r="P12" s="139"/>
      <c r="Q12" s="139"/>
      <c r="R12" s="139"/>
      <c r="S12" s="139"/>
      <c r="T12" s="139"/>
      <c r="U12" s="139"/>
      <c r="V12" s="139"/>
      <c r="W12" s="139"/>
      <c r="X12" s="139"/>
      <c r="Y12" s="139"/>
      <c r="Z12" s="223"/>
    </row>
    <row r="13" spans="1:26" s="11" customFormat="1" ht="36" customHeight="1" x14ac:dyDescent="0.3">
      <c r="A13" s="920" t="s">
        <v>1946</v>
      </c>
      <c r="B13" s="638">
        <v>2</v>
      </c>
      <c r="C13" s="620" t="s">
        <v>1947</v>
      </c>
      <c r="D13" s="620" t="s">
        <v>1938</v>
      </c>
      <c r="E13" s="620" t="s">
        <v>1915</v>
      </c>
      <c r="F13" s="620" t="s">
        <v>1914</v>
      </c>
      <c r="G13" s="620" t="s">
        <v>1943</v>
      </c>
      <c r="H13" s="620" t="s">
        <v>4531</v>
      </c>
      <c r="I13" s="620" t="s">
        <v>4532</v>
      </c>
      <c r="J13" s="620">
        <v>1</v>
      </c>
      <c r="K13" s="622" t="s">
        <v>4724</v>
      </c>
      <c r="L13" s="620" t="s">
        <v>1940</v>
      </c>
      <c r="M13" s="706">
        <v>680000</v>
      </c>
      <c r="N13" s="707" t="s">
        <v>796</v>
      </c>
      <c r="O13" s="571"/>
      <c r="P13" s="221"/>
      <c r="Q13" s="221"/>
      <c r="R13" s="221"/>
      <c r="S13" s="221"/>
      <c r="T13" s="221"/>
      <c r="U13" s="221"/>
      <c r="V13" s="221"/>
      <c r="W13" s="221"/>
      <c r="X13" s="221"/>
      <c r="Y13" s="221"/>
      <c r="Z13" s="222"/>
    </row>
    <row r="14" spans="1:26" s="11" customFormat="1" ht="36" customHeight="1" x14ac:dyDescent="0.3">
      <c r="A14" s="658" t="s">
        <v>1948</v>
      </c>
      <c r="B14" s="637">
        <v>2</v>
      </c>
      <c r="C14" s="617" t="s">
        <v>682</v>
      </c>
      <c r="D14" s="617" t="s">
        <v>1938</v>
      </c>
      <c r="E14" s="617" t="s">
        <v>1915</v>
      </c>
      <c r="F14" s="617" t="s">
        <v>1914</v>
      </c>
      <c r="G14" s="617" t="s">
        <v>1949</v>
      </c>
      <c r="H14" s="617" t="s">
        <v>4533</v>
      </c>
      <c r="I14" s="617" t="s">
        <v>4534</v>
      </c>
      <c r="J14" s="617">
        <v>2</v>
      </c>
      <c r="K14" s="623" t="s">
        <v>4725</v>
      </c>
      <c r="L14" s="617" t="s">
        <v>4514</v>
      </c>
      <c r="M14" s="704">
        <v>520000</v>
      </c>
      <c r="N14" s="705" t="s">
        <v>802</v>
      </c>
      <c r="O14" s="570"/>
      <c r="P14" s="139"/>
      <c r="Q14" s="139"/>
      <c r="R14" s="139"/>
      <c r="S14" s="139"/>
      <c r="T14" s="139"/>
      <c r="U14" s="139"/>
      <c r="V14" s="139"/>
      <c r="W14" s="139"/>
      <c r="X14" s="139"/>
      <c r="Y14" s="139"/>
      <c r="Z14" s="223"/>
    </row>
    <row r="15" spans="1:26" s="11" customFormat="1" ht="36" customHeight="1" x14ac:dyDescent="0.3">
      <c r="A15" s="920" t="s">
        <v>1950</v>
      </c>
      <c r="B15" s="638">
        <v>2</v>
      </c>
      <c r="C15" s="620" t="s">
        <v>1951</v>
      </c>
      <c r="D15" s="620" t="s">
        <v>1938</v>
      </c>
      <c r="E15" s="620" t="s">
        <v>1915</v>
      </c>
      <c r="F15" s="620" t="s">
        <v>1914</v>
      </c>
      <c r="G15" s="620" t="s">
        <v>1943</v>
      </c>
      <c r="H15" s="620" t="s">
        <v>4535</v>
      </c>
      <c r="I15" s="620" t="s">
        <v>4536</v>
      </c>
      <c r="J15" s="620">
        <v>2</v>
      </c>
      <c r="K15" s="622" t="s">
        <v>4726</v>
      </c>
      <c r="L15" s="620" t="s">
        <v>1940</v>
      </c>
      <c r="M15" s="706">
        <v>310000</v>
      </c>
      <c r="N15" s="707" t="s">
        <v>809</v>
      </c>
      <c r="O15" s="571"/>
      <c r="P15" s="221"/>
      <c r="Q15" s="221"/>
      <c r="R15" s="221"/>
      <c r="S15" s="221"/>
      <c r="T15" s="221"/>
      <c r="U15" s="221"/>
      <c r="V15" s="221"/>
      <c r="W15" s="221"/>
      <c r="X15" s="221"/>
      <c r="Y15" s="221"/>
      <c r="Z15" s="222"/>
    </row>
    <row r="16" spans="1:26" s="11" customFormat="1" ht="36" customHeight="1" x14ac:dyDescent="0.3">
      <c r="A16" s="658" t="s">
        <v>1952</v>
      </c>
      <c r="B16" s="637">
        <v>2</v>
      </c>
      <c r="C16" s="617" t="s">
        <v>1953</v>
      </c>
      <c r="D16" s="617" t="s">
        <v>1938</v>
      </c>
      <c r="E16" s="617" t="s">
        <v>1915</v>
      </c>
      <c r="F16" s="617" t="s">
        <v>1914</v>
      </c>
      <c r="G16" s="617" t="s">
        <v>1954</v>
      </c>
      <c r="H16" s="617" t="s">
        <v>4537</v>
      </c>
      <c r="I16" s="617" t="s">
        <v>4538</v>
      </c>
      <c r="J16" s="617">
        <v>1</v>
      </c>
      <c r="K16" s="623" t="s">
        <v>4727</v>
      </c>
      <c r="L16" s="617" t="s">
        <v>1940</v>
      </c>
      <c r="M16" s="704">
        <v>180000</v>
      </c>
      <c r="N16" s="705" t="s">
        <v>813</v>
      </c>
      <c r="O16" s="570"/>
      <c r="P16" s="139"/>
      <c r="Q16" s="139"/>
      <c r="R16" s="139"/>
      <c r="S16" s="139"/>
      <c r="T16" s="139"/>
      <c r="U16" s="139"/>
      <c r="V16" s="139"/>
      <c r="W16" s="139"/>
      <c r="X16" s="139"/>
      <c r="Y16" s="139"/>
      <c r="Z16" s="223"/>
    </row>
    <row r="17" spans="1:26" s="11" customFormat="1" ht="36" customHeight="1" x14ac:dyDescent="0.3">
      <c r="A17" s="920" t="s">
        <v>1955</v>
      </c>
      <c r="B17" s="638">
        <v>2</v>
      </c>
      <c r="C17" s="620" t="s">
        <v>1956</v>
      </c>
      <c r="D17" s="620" t="s">
        <v>1938</v>
      </c>
      <c r="E17" s="620" t="s">
        <v>1915</v>
      </c>
      <c r="F17" s="620" t="s">
        <v>1915</v>
      </c>
      <c r="G17" s="620" t="s">
        <v>1957</v>
      </c>
      <c r="H17" s="620" t="s">
        <v>4539</v>
      </c>
      <c r="I17" s="620" t="s">
        <v>4540</v>
      </c>
      <c r="J17" s="620">
        <v>0</v>
      </c>
      <c r="K17" s="622" t="s">
        <v>4728</v>
      </c>
      <c r="L17" s="620" t="s">
        <v>1940</v>
      </c>
      <c r="M17" s="706">
        <v>290000</v>
      </c>
      <c r="N17" s="707" t="s">
        <v>1958</v>
      </c>
      <c r="O17" s="571"/>
      <c r="P17" s="221"/>
      <c r="Q17" s="221"/>
      <c r="R17" s="221"/>
      <c r="S17" s="221"/>
      <c r="T17" s="221"/>
      <c r="U17" s="221"/>
      <c r="V17" s="221"/>
      <c r="W17" s="221"/>
      <c r="X17" s="221"/>
      <c r="Y17" s="221"/>
      <c r="Z17" s="222"/>
    </row>
    <row r="18" spans="1:26" s="11" customFormat="1" ht="36" customHeight="1" x14ac:dyDescent="0.3">
      <c r="A18" s="658" t="s">
        <v>1959</v>
      </c>
      <c r="B18" s="637">
        <v>2</v>
      </c>
      <c r="C18" s="617" t="s">
        <v>1960</v>
      </c>
      <c r="D18" s="617" t="s">
        <v>1938</v>
      </c>
      <c r="E18" s="617" t="s">
        <v>1915</v>
      </c>
      <c r="F18" s="617" t="s">
        <v>1915</v>
      </c>
      <c r="G18" s="617" t="s">
        <v>1961</v>
      </c>
      <c r="H18" s="617" t="s">
        <v>4541</v>
      </c>
      <c r="I18" s="617" t="s">
        <v>4542</v>
      </c>
      <c r="J18" s="617">
        <v>0</v>
      </c>
      <c r="K18" s="623" t="s">
        <v>4728</v>
      </c>
      <c r="L18" s="617" t="s">
        <v>1940</v>
      </c>
      <c r="M18" s="704">
        <v>195000</v>
      </c>
      <c r="N18" s="705" t="s">
        <v>1962</v>
      </c>
      <c r="O18" s="570"/>
      <c r="P18" s="139"/>
      <c r="Q18" s="139"/>
      <c r="R18" s="139"/>
      <c r="S18" s="139"/>
      <c r="T18" s="139"/>
      <c r="U18" s="139"/>
      <c r="V18" s="139"/>
      <c r="W18" s="139"/>
      <c r="X18" s="139"/>
      <c r="Y18" s="139"/>
      <c r="Z18" s="223"/>
    </row>
    <row r="19" spans="1:26" s="11" customFormat="1" ht="36" customHeight="1" x14ac:dyDescent="0.3">
      <c r="A19" s="920" t="s">
        <v>1963</v>
      </c>
      <c r="B19" s="638">
        <v>3</v>
      </c>
      <c r="C19" s="620" t="s">
        <v>94</v>
      </c>
      <c r="D19" s="620" t="s">
        <v>1964</v>
      </c>
      <c r="E19" s="620" t="s">
        <v>1915</v>
      </c>
      <c r="F19" s="620" t="s">
        <v>1914</v>
      </c>
      <c r="G19" s="620" t="s">
        <v>1965</v>
      </c>
      <c r="H19" s="620" t="s">
        <v>4516</v>
      </c>
      <c r="I19" s="620" t="s">
        <v>4543</v>
      </c>
      <c r="J19" s="620">
        <v>3</v>
      </c>
      <c r="K19" s="622" t="s">
        <v>4729</v>
      </c>
      <c r="L19" s="620" t="s">
        <v>1934</v>
      </c>
      <c r="M19" s="706">
        <v>480000</v>
      </c>
      <c r="N19" s="707" t="s">
        <v>788</v>
      </c>
      <c r="O19" s="571"/>
      <c r="P19" s="221"/>
      <c r="Q19" s="221"/>
      <c r="R19" s="221"/>
      <c r="S19" s="221"/>
      <c r="T19" s="221"/>
      <c r="U19" s="221"/>
      <c r="V19" s="221"/>
      <c r="W19" s="221"/>
      <c r="X19" s="221"/>
      <c r="Y19" s="221"/>
      <c r="Z19" s="222"/>
    </row>
    <row r="20" spans="1:26" s="11" customFormat="1" ht="36" customHeight="1" x14ac:dyDescent="0.3">
      <c r="A20" s="658" t="s">
        <v>1966</v>
      </c>
      <c r="B20" s="637">
        <v>3</v>
      </c>
      <c r="C20" s="617" t="s">
        <v>804</v>
      </c>
      <c r="D20" s="617" t="s">
        <v>1967</v>
      </c>
      <c r="E20" s="617" t="s">
        <v>1915</v>
      </c>
      <c r="F20" s="617" t="s">
        <v>1914</v>
      </c>
      <c r="G20" s="617" t="s">
        <v>1968</v>
      </c>
      <c r="H20" s="617" t="s">
        <v>4544</v>
      </c>
      <c r="I20" s="617" t="s">
        <v>4545</v>
      </c>
      <c r="J20" s="617">
        <v>1</v>
      </c>
      <c r="K20" s="623" t="s">
        <v>4730</v>
      </c>
      <c r="L20" s="617" t="s">
        <v>4515</v>
      </c>
      <c r="M20" s="704">
        <v>650000</v>
      </c>
      <c r="N20" s="705" t="s">
        <v>807</v>
      </c>
      <c r="O20" s="570"/>
      <c r="P20" s="139"/>
      <c r="Q20" s="139"/>
      <c r="R20" s="139"/>
      <c r="S20" s="139"/>
      <c r="T20" s="139"/>
      <c r="U20" s="139"/>
      <c r="V20" s="139"/>
      <c r="W20" s="139"/>
      <c r="X20" s="139"/>
      <c r="Y20" s="139"/>
      <c r="Z20" s="223"/>
    </row>
    <row r="21" spans="1:26" s="11" customFormat="1" ht="36" customHeight="1" x14ac:dyDescent="0.3">
      <c r="A21" s="920" t="s">
        <v>1969</v>
      </c>
      <c r="B21" s="638">
        <v>4</v>
      </c>
      <c r="C21" s="620" t="s">
        <v>1970</v>
      </c>
      <c r="D21" s="620" t="s">
        <v>1971</v>
      </c>
      <c r="E21" s="620" t="s">
        <v>1915</v>
      </c>
      <c r="F21" s="620" t="s">
        <v>1914</v>
      </c>
      <c r="G21" s="620" t="s">
        <v>1965</v>
      </c>
      <c r="H21" s="620" t="s">
        <v>798</v>
      </c>
      <c r="I21" s="620" t="s">
        <v>1972</v>
      </c>
      <c r="J21" s="620">
        <v>1</v>
      </c>
      <c r="K21" s="622" t="s">
        <v>4731</v>
      </c>
      <c r="L21" s="620" t="s">
        <v>1973</v>
      </c>
      <c r="M21" s="706">
        <v>95000</v>
      </c>
      <c r="N21" s="707" t="s">
        <v>816</v>
      </c>
      <c r="O21" s="571"/>
      <c r="P21" s="221"/>
      <c r="Q21" s="221"/>
      <c r="R21" s="221"/>
      <c r="S21" s="221"/>
      <c r="T21" s="221"/>
      <c r="U21" s="221"/>
      <c r="V21" s="221"/>
      <c r="W21" s="221"/>
      <c r="X21" s="221"/>
      <c r="Y21" s="221"/>
      <c r="Z21" s="222"/>
    </row>
    <row r="22" spans="1:26" s="11" customFormat="1" ht="36" customHeight="1" x14ac:dyDescent="0.3">
      <c r="A22" s="658" t="s">
        <v>1974</v>
      </c>
      <c r="B22" s="637">
        <v>2</v>
      </c>
      <c r="C22" s="617" t="s">
        <v>1975</v>
      </c>
      <c r="D22" s="617" t="s">
        <v>1938</v>
      </c>
      <c r="E22" s="617"/>
      <c r="F22" s="617" t="s">
        <v>1914</v>
      </c>
      <c r="G22" s="617" t="s">
        <v>1943</v>
      </c>
      <c r="H22" s="617" t="s">
        <v>4546</v>
      </c>
      <c r="I22" s="617" t="s">
        <v>4547</v>
      </c>
      <c r="J22" s="617">
        <v>1</v>
      </c>
      <c r="K22" s="623" t="s">
        <v>4732</v>
      </c>
      <c r="L22" s="617" t="s">
        <v>1940</v>
      </c>
      <c r="M22" s="708">
        <v>165000</v>
      </c>
      <c r="N22" s="705" t="s">
        <v>794</v>
      </c>
      <c r="O22" s="570"/>
      <c r="P22" s="139"/>
      <c r="Q22" s="139"/>
      <c r="R22" s="139"/>
      <c r="S22" s="139"/>
      <c r="T22" s="139"/>
      <c r="U22" s="139"/>
      <c r="V22" s="139"/>
      <c r="W22" s="139"/>
      <c r="X22" s="139"/>
      <c r="Y22" s="139"/>
      <c r="Z22" s="223"/>
    </row>
    <row r="23" spans="1:26" s="11" customFormat="1" ht="36" customHeight="1" x14ac:dyDescent="0.3">
      <c r="A23" s="920" t="s">
        <v>1976</v>
      </c>
      <c r="B23" s="638">
        <v>4</v>
      </c>
      <c r="C23" s="620" t="s">
        <v>818</v>
      </c>
      <c r="D23" s="620" t="s">
        <v>1977</v>
      </c>
      <c r="E23" s="620"/>
      <c r="F23" s="620" t="s">
        <v>1914</v>
      </c>
      <c r="G23" s="620" t="s">
        <v>1949</v>
      </c>
      <c r="H23" s="620" t="s">
        <v>4548</v>
      </c>
      <c r="I23" s="620" t="s">
        <v>4549</v>
      </c>
      <c r="J23" s="620">
        <v>1</v>
      </c>
      <c r="K23" s="622" t="s">
        <v>4733</v>
      </c>
      <c r="L23" s="620" t="s">
        <v>1973</v>
      </c>
      <c r="M23" s="709">
        <v>75000</v>
      </c>
      <c r="N23" s="707" t="s">
        <v>819</v>
      </c>
      <c r="O23" s="571"/>
      <c r="P23" s="221"/>
      <c r="Q23" s="221"/>
      <c r="R23" s="221"/>
      <c r="S23" s="221"/>
      <c r="T23" s="221"/>
      <c r="U23" s="221"/>
      <c r="V23" s="221"/>
      <c r="W23" s="221"/>
      <c r="X23" s="221"/>
      <c r="Y23" s="221"/>
      <c r="Z23" s="222"/>
    </row>
    <row r="24" spans="1:26" s="11" customFormat="1" ht="36" customHeight="1" x14ac:dyDescent="0.3">
      <c r="A24" s="658" t="s">
        <v>1978</v>
      </c>
      <c r="B24" s="722">
        <v>4</v>
      </c>
      <c r="C24" s="623" t="s">
        <v>1979</v>
      </c>
      <c r="D24" s="623" t="s">
        <v>1977</v>
      </c>
      <c r="E24" s="623" t="s">
        <v>1915</v>
      </c>
      <c r="F24" s="623" t="s">
        <v>1914</v>
      </c>
      <c r="G24" s="623" t="s">
        <v>1949</v>
      </c>
      <c r="H24" s="623" t="s">
        <v>4548</v>
      </c>
      <c r="I24" s="623" t="s">
        <v>4549</v>
      </c>
      <c r="J24" s="623">
        <v>1</v>
      </c>
      <c r="K24" s="623" t="s">
        <v>4734</v>
      </c>
      <c r="L24" s="623" t="s">
        <v>1973</v>
      </c>
      <c r="M24" s="710">
        <v>75000</v>
      </c>
      <c r="N24" s="711" t="s">
        <v>819</v>
      </c>
      <c r="O24" s="570"/>
      <c r="P24" s="139"/>
      <c r="Q24" s="139"/>
      <c r="R24" s="139"/>
      <c r="S24" s="139"/>
      <c r="T24" s="139"/>
      <c r="U24" s="139"/>
      <c r="V24" s="139"/>
      <c r="W24" s="139"/>
      <c r="X24" s="139"/>
      <c r="Y24" s="139"/>
      <c r="Z24" s="223"/>
    </row>
    <row r="25" spans="1:26" s="11" customFormat="1" ht="19.95" customHeight="1" x14ac:dyDescent="0.3">
      <c r="A25" s="1703" t="s">
        <v>1722</v>
      </c>
      <c r="B25" s="1704"/>
      <c r="C25" s="1704"/>
      <c r="D25" s="1704"/>
      <c r="E25" s="1704"/>
      <c r="F25" s="1704"/>
      <c r="G25" s="1704"/>
      <c r="H25" s="1704"/>
      <c r="I25" s="1704"/>
      <c r="J25" s="1704"/>
      <c r="K25" s="1704"/>
      <c r="L25" s="1704"/>
      <c r="M25" s="1704"/>
      <c r="N25" s="1705"/>
      <c r="O25" s="571"/>
      <c r="P25" s="221"/>
      <c r="Q25" s="221"/>
      <c r="R25" s="221"/>
      <c r="S25" s="221"/>
      <c r="T25" s="221"/>
      <c r="U25" s="221"/>
      <c r="V25" s="221"/>
      <c r="W25" s="221"/>
      <c r="X25" s="221"/>
      <c r="Y25" s="221"/>
      <c r="Z25" s="222"/>
    </row>
    <row r="26" spans="1:26" s="11" customFormat="1" ht="30" customHeight="1" x14ac:dyDescent="0.3">
      <c r="A26" s="1831" t="str">
        <f>'M3-MAO'!A3</f>
        <v>#</v>
      </c>
      <c r="B26" s="1832"/>
      <c r="C26" s="1832"/>
      <c r="D26" s="1832"/>
      <c r="E26" s="1832"/>
      <c r="F26" s="1832"/>
      <c r="G26" s="1832"/>
      <c r="H26" s="1832"/>
      <c r="I26" s="1832"/>
      <c r="J26" s="1832"/>
      <c r="K26" s="1832"/>
      <c r="L26" s="1832"/>
      <c r="M26" s="1832"/>
      <c r="N26" s="1833"/>
      <c r="O26" s="570"/>
      <c r="P26" s="139"/>
      <c r="Q26" s="139"/>
      <c r="R26" s="139"/>
      <c r="S26" s="139"/>
      <c r="T26" s="139"/>
      <c r="U26" s="139"/>
      <c r="V26" s="139"/>
      <c r="W26" s="139"/>
      <c r="X26" s="139"/>
      <c r="Y26" s="139"/>
      <c r="Z26" s="223"/>
    </row>
    <row r="27" spans="1:26" s="11" customFormat="1" ht="34.049999999999997" customHeight="1" x14ac:dyDescent="0.3">
      <c r="A27" s="920" t="str">
        <f>'M3-MAO'!A5</f>
        <v>PDOT.AS.OE1.M1.02</v>
      </c>
      <c r="B27" s="638" t="str">
        <f>'M3-MAO'!B5</f>
        <v>TERRITORIAL</v>
      </c>
      <c r="C27" s="620" t="str">
        <f>'M3-MAO'!C5</f>
        <v>Dirección de Obras Públicas</v>
      </c>
      <c r="D27" s="620" t="str">
        <f>'M3-MAO'!D5</f>
        <v>Art. 39 EO 2021 — Dir. Obras Públicas</v>
      </c>
      <c r="E27" s="620" t="str">
        <f>'M3-MAO'!F5</f>
        <v>Dirección GAD (control directo)</v>
      </c>
      <c r="F27" s="712">
        <f>'M3-MAO'!G5</f>
        <v>1</v>
      </c>
      <c r="G27" s="712">
        <v>1</v>
      </c>
      <c r="H27" s="622" t="s">
        <v>1980</v>
      </c>
      <c r="I27" s="620" t="str">
        <f>'M3-MAO'!H5</f>
        <v>Director</v>
      </c>
      <c r="J27" s="620" t="str">
        <f>'M3-MAO'!I5</f>
        <v>dop@montecristi.gob.ec</v>
      </c>
      <c r="K27" s="620" t="s">
        <v>4551</v>
      </c>
      <c r="L27" s="620" t="s">
        <v>4554</v>
      </c>
      <c r="M27" s="706"/>
      <c r="N27" s="707"/>
      <c r="O27" s="571"/>
      <c r="P27" s="221"/>
      <c r="Q27" s="221"/>
      <c r="R27" s="221"/>
      <c r="S27" s="221"/>
      <c r="T27" s="221"/>
      <c r="U27" s="221"/>
      <c r="V27" s="221"/>
      <c r="W27" s="221"/>
      <c r="X27" s="221"/>
      <c r="Y27" s="221"/>
      <c r="Z27" s="222"/>
    </row>
    <row r="28" spans="1:26" s="11" customFormat="1" ht="34.049999999999997" customHeight="1" x14ac:dyDescent="0.3">
      <c r="A28" s="658" t="str">
        <f>'M3-MAO'!A6</f>
        <v>PDOT.SC.OE2.M1.01</v>
      </c>
      <c r="B28" s="637" t="str">
        <f>'M3-MAO'!B6</f>
        <v>SOCIAL</v>
      </c>
      <c r="C28" s="617" t="str">
        <f>'M3-MAO'!C6</f>
        <v>Patronato Municipal de Amparo Social</v>
      </c>
      <c r="D28" s="617" t="str">
        <f>'M3-MAO'!D6</f>
        <v>Ordenanza de Creación Patronato Municipal (Entidad Adscrita)</v>
      </c>
      <c r="E28" s="617" t="str">
        <f>'M3-MAO'!F6</f>
        <v>Patronato / Ente adscrito (Ordenanza)</v>
      </c>
      <c r="F28" s="713">
        <f>'M3-MAO'!G6</f>
        <v>0.9</v>
      </c>
      <c r="G28" s="713">
        <v>0.9</v>
      </c>
      <c r="H28" s="623" t="s">
        <v>1980</v>
      </c>
      <c r="I28" s="617" t="str">
        <f>'M3-MAO'!H6</f>
        <v>Director Ejecutivo</v>
      </c>
      <c r="J28" s="617" t="str">
        <f>'M3-MAO'!I6</f>
        <v>patronato@montecristi.gob.ec</v>
      </c>
      <c r="K28" s="617" t="s">
        <v>4551</v>
      </c>
      <c r="L28" s="617" t="s">
        <v>4555</v>
      </c>
      <c r="M28" s="704"/>
      <c r="N28" s="705"/>
      <c r="O28" s="570"/>
      <c r="P28" s="139"/>
      <c r="Q28" s="139"/>
      <c r="R28" s="139"/>
      <c r="S28" s="139"/>
      <c r="T28" s="139"/>
      <c r="U28" s="139"/>
      <c r="V28" s="139"/>
      <c r="W28" s="139"/>
      <c r="X28" s="139"/>
      <c r="Y28" s="139"/>
      <c r="Z28" s="223"/>
    </row>
    <row r="29" spans="1:26" s="11" customFormat="1" ht="34.049999999999997" customHeight="1" x14ac:dyDescent="0.3">
      <c r="A29" s="920" t="str">
        <f>'M3-MAO'!A7</f>
        <v>PDOT.AS.OE1.M2.01</v>
      </c>
      <c r="B29" s="638" t="str">
        <f>'M3-MAO'!B7</f>
        <v>TERRITORIAL</v>
      </c>
      <c r="C29" s="620" t="str">
        <f>'M3-MAO'!C7</f>
        <v>Dirección de Planificación y Desarrollo</v>
      </c>
      <c r="D29" s="620" t="str">
        <f>'M3-MAO'!D7</f>
        <v>Art. 24/45 EO 2021 — Dir. Planificación y OT</v>
      </c>
      <c r="E29" s="620" t="str">
        <f>'M3-MAO'!F7</f>
        <v>Dirección GAD (control directo)</v>
      </c>
      <c r="F29" s="712">
        <f>'M3-MAO'!G7</f>
        <v>1</v>
      </c>
      <c r="G29" s="712">
        <v>1</v>
      </c>
      <c r="H29" s="622" t="s">
        <v>1980</v>
      </c>
      <c r="I29" s="620" t="str">
        <f>'M3-MAO'!H7</f>
        <v>Director</v>
      </c>
      <c r="J29" s="620" t="str">
        <f>'M3-MAO'!I7</f>
        <v>dplan@montecristi.gob.ec</v>
      </c>
      <c r="K29" s="620" t="s">
        <v>4551</v>
      </c>
      <c r="L29" s="620" t="s">
        <v>4556</v>
      </c>
      <c r="M29" s="706"/>
      <c r="N29" s="707"/>
      <c r="O29" s="571"/>
      <c r="P29" s="221"/>
      <c r="Q29" s="221"/>
      <c r="R29" s="221"/>
      <c r="S29" s="221"/>
      <c r="T29" s="221"/>
      <c r="U29" s="221"/>
      <c r="V29" s="221"/>
      <c r="W29" s="221"/>
      <c r="X29" s="221"/>
      <c r="Y29" s="221"/>
      <c r="Z29" s="222"/>
    </row>
    <row r="30" spans="1:26" s="11" customFormat="1" ht="34.049999999999997" customHeight="1" x14ac:dyDescent="0.3">
      <c r="A30" s="658" t="str">
        <f>'M3-MAO'!A8</f>
        <v>PDOT.AS.OE1.M2.02</v>
      </c>
      <c r="B30" s="637" t="str">
        <f>'M3-MAO'!B8</f>
        <v>TERRITORIAL</v>
      </c>
      <c r="C30" s="617" t="str">
        <f>'M3-MAO'!C8</f>
        <v>Dirección de Servicios Públicos y Gestión</v>
      </c>
      <c r="D30" s="617" t="str">
        <f>'M3-MAO'!D8</f>
        <v>Art. 51 EO 2021 — Dir. Espacios Públicos y Servicios</v>
      </c>
      <c r="E30" s="617" t="str">
        <f>'M3-MAO'!F8</f>
        <v>Dirección GAD (control directo)</v>
      </c>
      <c r="F30" s="713">
        <f>'M3-MAO'!G8</f>
        <v>1</v>
      </c>
      <c r="G30" s="713">
        <v>1</v>
      </c>
      <c r="H30" s="623" t="s">
        <v>1980</v>
      </c>
      <c r="I30" s="617" t="str">
        <f>'M3-MAO'!H8</f>
        <v>Director</v>
      </c>
      <c r="J30" s="617" t="str">
        <f>'M3-MAO'!I8</f>
        <v>dsp@montecristi.gob.ec</v>
      </c>
      <c r="K30" s="617" t="s">
        <v>4552</v>
      </c>
      <c r="L30" s="617" t="s">
        <v>4557</v>
      </c>
      <c r="M30" s="704"/>
      <c r="N30" s="705"/>
      <c r="O30" s="570"/>
      <c r="P30" s="139"/>
      <c r="Q30" s="139"/>
      <c r="R30" s="139"/>
      <c r="S30" s="139"/>
      <c r="T30" s="139"/>
      <c r="U30" s="139"/>
      <c r="V30" s="139"/>
      <c r="W30" s="139"/>
      <c r="X30" s="139"/>
      <c r="Y30" s="139"/>
      <c r="Z30" s="223"/>
    </row>
    <row r="31" spans="1:26" ht="34.049999999999997" customHeight="1" x14ac:dyDescent="0.3">
      <c r="A31" s="920" t="str">
        <f>'M3-MAO'!A9</f>
        <v>PDOT.SC.OE2.M2.01</v>
      </c>
      <c r="B31" s="640" t="str">
        <f>'M3-MAO'!B9</f>
        <v>SOCIAL</v>
      </c>
      <c r="C31" s="626" t="str">
        <f>'M3-MAO'!C9</f>
        <v>Dirección de Desarrollo Social y Cultural</v>
      </c>
      <c r="D31" s="626" t="str">
        <f>'M3-MAO'!D9</f>
        <v>Art. 69 EO 2021 — Dir. Acción e Inclusión Social</v>
      </c>
      <c r="E31" s="626" t="str">
        <f>'M3-MAO'!F9</f>
        <v>Dirección GAD (control directo)</v>
      </c>
      <c r="F31" s="714">
        <f>'M3-MAO'!G9</f>
        <v>1</v>
      </c>
      <c r="G31" s="714">
        <v>1</v>
      </c>
      <c r="H31" s="715" t="s">
        <v>1980</v>
      </c>
      <c r="I31" s="626" t="str">
        <f>'M3-MAO'!H9</f>
        <v>Director</v>
      </c>
      <c r="J31" s="626" t="str">
        <f>'M3-MAO'!I9</f>
        <v>ddsc@montecristi.gob.ec</v>
      </c>
      <c r="K31" s="620" t="s">
        <v>4551</v>
      </c>
      <c r="L31" s="626" t="s">
        <v>4735</v>
      </c>
      <c r="M31" s="716"/>
      <c r="N31" s="717"/>
      <c r="O31" s="408"/>
      <c r="P31" s="194"/>
      <c r="Q31" s="194"/>
      <c r="R31" s="194"/>
      <c r="S31" s="194"/>
      <c r="T31" s="194"/>
      <c r="U31" s="194"/>
      <c r="V31" s="194"/>
      <c r="W31" s="194"/>
      <c r="X31" s="194"/>
      <c r="Y31" s="194"/>
      <c r="Z31" s="236"/>
    </row>
    <row r="32" spans="1:26" ht="34.049999999999997" customHeight="1" x14ac:dyDescent="0.3">
      <c r="A32" s="658" t="str">
        <f>'M3-MAO'!A10</f>
        <v>PDOT.AS.VL.M1.01</v>
      </c>
      <c r="B32" s="641" t="str">
        <f>'M3-MAO'!B10</f>
        <v>TERRITORIAL</v>
      </c>
      <c r="C32" s="629" t="str">
        <f>'M3-MAO'!C10</f>
        <v>Dirección de Obras Públicas</v>
      </c>
      <c r="D32" s="629" t="str">
        <f>'M3-MAO'!D10</f>
        <v>Art. 39 EO 2021 — Dir. Obras Públicas</v>
      </c>
      <c r="E32" s="629" t="str">
        <f>'M3-MAO'!F10</f>
        <v>Dirección GAD (control directo)</v>
      </c>
      <c r="F32" s="718">
        <f>'M3-MAO'!G10</f>
        <v>1</v>
      </c>
      <c r="G32" s="718">
        <v>1</v>
      </c>
      <c r="H32" s="719" t="s">
        <v>1980</v>
      </c>
      <c r="I32" s="629" t="str">
        <f>'M3-MAO'!H10</f>
        <v>Director</v>
      </c>
      <c r="J32" s="629" t="str">
        <f>'M3-MAO'!I10</f>
        <v>dop@montecristi.gob.ec</v>
      </c>
      <c r="K32" s="617" t="s">
        <v>4551</v>
      </c>
      <c r="L32" s="629" t="s">
        <v>4736</v>
      </c>
      <c r="M32" s="720"/>
      <c r="N32" s="721"/>
      <c r="O32" s="404"/>
      <c r="P32" s="104"/>
      <c r="Q32" s="104"/>
      <c r="R32" s="104"/>
      <c r="S32" s="104"/>
      <c r="T32" s="104"/>
      <c r="U32" s="104"/>
      <c r="V32" s="104"/>
      <c r="W32" s="104"/>
      <c r="X32" s="104"/>
      <c r="Y32" s="104"/>
      <c r="Z32" s="105"/>
    </row>
    <row r="33" spans="1:26" ht="34.049999999999997" customHeight="1" x14ac:dyDescent="0.3">
      <c r="A33" s="920" t="str">
        <f>'M3-MAO'!A11</f>
        <v>PDOT.SC.OE2.M3.01</v>
      </c>
      <c r="B33" s="640" t="str">
        <f>'M3-MAO'!B11</f>
        <v>SOCIAL</v>
      </c>
      <c r="C33" s="626" t="str">
        <f>'M3-MAO'!C11</f>
        <v>Patronato Municipal de Amparo Social</v>
      </c>
      <c r="D33" s="626" t="str">
        <f>'M3-MAO'!D11</f>
        <v>Ordenanza de Creación Patronato Municipal (Entidad Adscrita)</v>
      </c>
      <c r="E33" s="626" t="str">
        <f>'M3-MAO'!F11</f>
        <v>Patronato / Ente adscrito (Ordenanza)</v>
      </c>
      <c r="F33" s="714">
        <f>'M3-MAO'!G11</f>
        <v>0.9</v>
      </c>
      <c r="G33" s="714">
        <v>0.9</v>
      </c>
      <c r="H33" s="715" t="s">
        <v>4550</v>
      </c>
      <c r="I33" s="626" t="str">
        <f>'M3-MAO'!H11</f>
        <v>Director Ejecutivo</v>
      </c>
      <c r="J33" s="626" t="str">
        <f>'M3-MAO'!I11</f>
        <v>patronato@montecristi.gob.ec</v>
      </c>
      <c r="K33" s="620" t="s">
        <v>4553</v>
      </c>
      <c r="L33" s="620" t="s">
        <v>4737</v>
      </c>
      <c r="M33" s="716"/>
      <c r="N33" s="717"/>
      <c r="O33" s="408"/>
      <c r="P33" s="194"/>
      <c r="Q33" s="194"/>
      <c r="R33" s="194"/>
      <c r="S33" s="194"/>
      <c r="T33" s="194"/>
      <c r="U33" s="194"/>
      <c r="V33" s="194"/>
      <c r="W33" s="194"/>
      <c r="X33" s="194"/>
      <c r="Y33" s="194"/>
      <c r="Z33" s="236"/>
    </row>
    <row r="34" spans="1:26" ht="34.049999999999997" customHeight="1" x14ac:dyDescent="0.3">
      <c r="A34" s="658" t="str">
        <f>'M3-MAO'!A12</f>
        <v>PDOT.AM.OE3.M1.01</v>
      </c>
      <c r="B34" s="641" t="str">
        <f>'M3-MAO'!B12</f>
        <v>AMBIENTAL</v>
      </c>
      <c r="C34" s="629" t="str">
        <f>'M3-MAO'!C12</f>
        <v>Unidad de Gestión Ambiental GAD</v>
      </c>
      <c r="D34" s="629" t="str">
        <f>'M3-MAO'!D12</f>
        <v>Art. 54 EO 2021 — Dir. Gestión Ambiental (GAD directo)</v>
      </c>
      <c r="E34" s="629" t="str">
        <f>'M3-MAO'!F12</f>
        <v>Dirección GAD (control directo)</v>
      </c>
      <c r="F34" s="718">
        <f>'M3-MAO'!G12</f>
        <v>1</v>
      </c>
      <c r="G34" s="718">
        <v>1</v>
      </c>
      <c r="H34" s="629" t="s">
        <v>1980</v>
      </c>
      <c r="I34" s="629" t="str">
        <f>'M3-MAO'!H12</f>
        <v>Jefe Departamento</v>
      </c>
      <c r="J34" s="629" t="str">
        <f>'M3-MAO'!I12</f>
        <v>uga@montecristi.gob.ec</v>
      </c>
      <c r="K34" s="617" t="s">
        <v>4551</v>
      </c>
      <c r="L34" s="629" t="s">
        <v>4735</v>
      </c>
      <c r="M34" s="720"/>
      <c r="N34" s="721"/>
      <c r="O34" s="404"/>
      <c r="P34" s="104"/>
      <c r="Q34" s="104"/>
      <c r="R34" s="104"/>
      <c r="S34" s="104"/>
      <c r="T34" s="104"/>
      <c r="U34" s="104"/>
      <c r="V34" s="104"/>
      <c r="W34" s="104"/>
      <c r="X34" s="104"/>
      <c r="Y34" s="104"/>
      <c r="Z34" s="105"/>
    </row>
    <row r="35" spans="1:26" ht="34.049999999999997" customHeight="1" x14ac:dyDescent="0.3">
      <c r="A35" s="920" t="str">
        <f>'M3-MAO'!A13</f>
        <v>PDOT.AV.OE1.M1.01</v>
      </c>
      <c r="B35" s="640" t="str">
        <f>'M3-MAO'!B13</f>
        <v>TERRITORIAL</v>
      </c>
      <c r="C35" s="626" t="str">
        <f>'M3-MAO'!C13</f>
        <v>Dirección de Obras Públicas</v>
      </c>
      <c r="D35" s="626" t="str">
        <f>'M3-MAO'!D13</f>
        <v>Art. 39 EO 2021 — Dir. Obras Públicas</v>
      </c>
      <c r="E35" s="626" t="str">
        <f>'M3-MAO'!F13</f>
        <v>Dirección GAD (control directo)</v>
      </c>
      <c r="F35" s="714">
        <f>'M3-MAO'!G13</f>
        <v>1</v>
      </c>
      <c r="G35" s="714">
        <v>1</v>
      </c>
      <c r="H35" s="715" t="s">
        <v>1980</v>
      </c>
      <c r="I35" s="626" t="str">
        <f>'M3-MAO'!H13</f>
        <v>Director</v>
      </c>
      <c r="J35" s="626" t="str">
        <f>'M3-MAO'!I13</f>
        <v>dop@montecristi.gob.ec</v>
      </c>
      <c r="K35" s="620" t="s">
        <v>4551</v>
      </c>
      <c r="L35" s="626" t="s">
        <v>4736</v>
      </c>
      <c r="M35" s="716"/>
      <c r="N35" s="717"/>
      <c r="O35" s="408"/>
      <c r="P35" s="194"/>
      <c r="Q35" s="194"/>
      <c r="R35" s="194"/>
      <c r="S35" s="194"/>
      <c r="T35" s="194"/>
      <c r="U35" s="194"/>
      <c r="V35" s="194"/>
      <c r="W35" s="194"/>
      <c r="X35" s="194"/>
      <c r="Y35" s="194"/>
      <c r="Z35" s="236"/>
    </row>
    <row r="36" spans="1:26" ht="34.049999999999997" customHeight="1" x14ac:dyDescent="0.3">
      <c r="A36" s="658" t="str">
        <f>'M3-MAO'!A14</f>
        <v>PDOT.SC.OE2.M4.01</v>
      </c>
      <c r="B36" s="641" t="str">
        <f>'M3-MAO'!B14</f>
        <v>SOCIAL</v>
      </c>
      <c r="C36" s="629" t="str">
        <f>'M3-MAO'!C14</f>
        <v>Patronato Municipal de Amparo Social</v>
      </c>
      <c r="D36" s="629" t="str">
        <f>'M3-MAO'!D14</f>
        <v>Ordenanza de Creación Patronato Municipal (Entidad Adscrita)</v>
      </c>
      <c r="E36" s="629" t="str">
        <f>'M3-MAO'!F14</f>
        <v>Patronato / Ente adscrito (Ordenanza)</v>
      </c>
      <c r="F36" s="718">
        <f>'M3-MAO'!G14</f>
        <v>0.9</v>
      </c>
      <c r="G36" s="718">
        <v>0.9</v>
      </c>
      <c r="H36" s="719" t="s">
        <v>1980</v>
      </c>
      <c r="I36" s="629" t="str">
        <f>'M3-MAO'!H14</f>
        <v>Director Ejecutivo</v>
      </c>
      <c r="J36" s="629" t="str">
        <f>'M3-MAO'!I14</f>
        <v>patronato@montecristi.gob.ec</v>
      </c>
      <c r="K36" s="617" t="s">
        <v>4551</v>
      </c>
      <c r="L36" s="623" t="s">
        <v>4738</v>
      </c>
      <c r="M36" s="720"/>
      <c r="N36" s="721"/>
      <c r="O36" s="404"/>
      <c r="P36" s="104"/>
      <c r="Q36" s="104"/>
      <c r="R36" s="104"/>
      <c r="S36" s="104"/>
      <c r="T36" s="104"/>
      <c r="U36" s="104"/>
      <c r="V36" s="104"/>
      <c r="W36" s="104"/>
      <c r="X36" s="104"/>
      <c r="Y36" s="104"/>
      <c r="Z36" s="105"/>
    </row>
    <row r="37" spans="1:26" ht="34.049999999999997" customHeight="1" x14ac:dyDescent="0.3">
      <c r="A37" s="920" t="str">
        <f>'M3-MAO'!A15</f>
        <v>PDOT.AM.OE3.M2.01</v>
      </c>
      <c r="B37" s="640" t="str">
        <f>'M3-MAO'!B15</f>
        <v>AMBIENTAL</v>
      </c>
      <c r="C37" s="626" t="str">
        <f>'M3-MAO'!C15</f>
        <v>EP Aseo Integral Montecristi</v>
      </c>
      <c r="D37" s="626" t="str">
        <f>'M3-MAO'!D15</f>
        <v>Estatuto EP Aseo Integral (Res. Adm. propia) — Ci=0.75</v>
      </c>
      <c r="E37" s="626" t="str">
        <f>'M3-MAO'!F15</f>
        <v>Patronato / Ente adscrito (Ordenanza)</v>
      </c>
      <c r="F37" s="714">
        <f>'M3-MAO'!G15</f>
        <v>0.75</v>
      </c>
      <c r="G37" s="714">
        <v>0.9</v>
      </c>
      <c r="H37" s="715" t="s">
        <v>1980</v>
      </c>
      <c r="I37" s="626" t="str">
        <f>'M3-MAO'!H15</f>
        <v>Director Ejecutivo EP</v>
      </c>
      <c r="J37" s="626" t="str">
        <f>'M3-MAO'!I15</f>
        <v>epaseo@montecristi.gob.ec</v>
      </c>
      <c r="K37" s="620" t="s">
        <v>4551</v>
      </c>
      <c r="L37" s="626" t="s">
        <v>4735</v>
      </c>
      <c r="M37" s="716"/>
      <c r="N37" s="717"/>
      <c r="O37" s="408"/>
      <c r="P37" s="194"/>
      <c r="Q37" s="194"/>
      <c r="R37" s="194"/>
      <c r="S37" s="194"/>
      <c r="T37" s="194"/>
      <c r="U37" s="194"/>
      <c r="V37" s="194"/>
      <c r="W37" s="194"/>
      <c r="X37" s="194"/>
      <c r="Y37" s="194"/>
      <c r="Z37" s="236"/>
    </row>
    <row r="38" spans="1:26" ht="34.049999999999997" customHeight="1" x14ac:dyDescent="0.3">
      <c r="A38" s="658" t="str">
        <f>'M3-MAO'!A16</f>
        <v>PDOT.AS.VL.M1.02</v>
      </c>
      <c r="B38" s="641" t="str">
        <f>'M3-MAO'!B16</f>
        <v>TERRITORIAL</v>
      </c>
      <c r="C38" s="629" t="str">
        <f>'M3-MAO'!C16</f>
        <v>Dirección de Obras Públicas</v>
      </c>
      <c r="D38" s="629" t="str">
        <f>'M3-MAO'!D16</f>
        <v>Art. 39 EO 2021 — Dir. Obras Públicas</v>
      </c>
      <c r="E38" s="629" t="str">
        <f>'M3-MAO'!F16</f>
        <v>Dirección GAD (control directo)</v>
      </c>
      <c r="F38" s="718">
        <f>'M3-MAO'!G16</f>
        <v>1</v>
      </c>
      <c r="G38" s="718">
        <v>1</v>
      </c>
      <c r="H38" s="719" t="s">
        <v>1980</v>
      </c>
      <c r="I38" s="629" t="str">
        <f>'M3-MAO'!H16</f>
        <v>Director</v>
      </c>
      <c r="J38" s="629" t="str">
        <f>'M3-MAO'!I16</f>
        <v>dop@montecristi.gob.ec</v>
      </c>
      <c r="K38" s="617" t="s">
        <v>4551</v>
      </c>
      <c r="L38" s="629" t="s">
        <v>4739</v>
      </c>
      <c r="M38" s="720"/>
      <c r="N38" s="721"/>
      <c r="O38" s="404"/>
      <c r="P38" s="104"/>
      <c r="Q38" s="104"/>
      <c r="R38" s="104"/>
      <c r="S38" s="104"/>
      <c r="T38" s="104"/>
      <c r="U38" s="104"/>
      <c r="V38" s="104"/>
      <c r="W38" s="104"/>
      <c r="X38" s="104"/>
      <c r="Y38" s="104"/>
      <c r="Z38" s="105"/>
    </row>
    <row r="39" spans="1:26" ht="34.049999999999997" customHeight="1" x14ac:dyDescent="0.3">
      <c r="A39" s="920" t="str">
        <f>'M3-MAO'!A17</f>
        <v>PDOT.SC.PI.M5.01</v>
      </c>
      <c r="B39" s="640" t="str">
        <f>'M3-MAO'!B17</f>
        <v>SOCIAL</v>
      </c>
      <c r="C39" s="626" t="str">
        <f>'M3-MAO'!C17</f>
        <v>Dirección de Tecnología e Información</v>
      </c>
      <c r="D39" s="626" t="str">
        <f>'M3-MAO'!D17</f>
        <v>Art. 94 EO 2021 — TICs (subproceso Dir. Administrativa)</v>
      </c>
      <c r="E39" s="626" t="str">
        <f>'M3-MAO'!F17</f>
        <v>Dirección GAD (control directo)</v>
      </c>
      <c r="F39" s="714">
        <f>'M3-MAO'!G17</f>
        <v>1</v>
      </c>
      <c r="G39" s="714">
        <v>1</v>
      </c>
      <c r="H39" s="715" t="s">
        <v>1980</v>
      </c>
      <c r="I39" s="626" t="str">
        <f>'M3-MAO'!H17</f>
        <v>Director</v>
      </c>
      <c r="J39" s="626" t="str">
        <f>'M3-MAO'!I17</f>
        <v>tics@montecristi.gob.ec</v>
      </c>
      <c r="K39" s="620" t="s">
        <v>4551</v>
      </c>
      <c r="L39" s="626" t="s">
        <v>4739</v>
      </c>
      <c r="M39" s="716"/>
      <c r="N39" s="717"/>
      <c r="O39" s="408"/>
      <c r="P39" s="194"/>
      <c r="Q39" s="194"/>
      <c r="R39" s="194"/>
      <c r="S39" s="194"/>
      <c r="T39" s="194"/>
      <c r="U39" s="194"/>
      <c r="V39" s="194"/>
      <c r="W39" s="194"/>
      <c r="X39" s="194"/>
      <c r="Y39" s="194"/>
      <c r="Z39" s="236"/>
    </row>
    <row r="40" spans="1:26" ht="34.049999999999997" customHeight="1" x14ac:dyDescent="0.3">
      <c r="A40" s="658" t="str">
        <f>'M3-MAO'!A18</f>
        <v>PDOT.PI.OE4.M1.01</v>
      </c>
      <c r="B40" s="641" t="str">
        <f>'M3-MAO'!B18</f>
        <v>INSTITUCIONAL</v>
      </c>
      <c r="C40" s="629" t="str">
        <f>'M3-MAO'!C18</f>
        <v>Dirección de Tecnología e Información</v>
      </c>
      <c r="D40" s="629" t="str">
        <f>'M3-MAO'!D18</f>
        <v>Art. 94 EO 2021 — TICs (subproceso Dir. Administrativa)</v>
      </c>
      <c r="E40" s="629" t="str">
        <f>'M3-MAO'!F18</f>
        <v>Dirección GAD (control directo)</v>
      </c>
      <c r="F40" s="718">
        <f>'M3-MAO'!G18</f>
        <v>1</v>
      </c>
      <c r="G40" s="718">
        <v>1</v>
      </c>
      <c r="H40" s="719" t="s">
        <v>1980</v>
      </c>
      <c r="I40" s="629" t="str">
        <f>'M3-MAO'!H18</f>
        <v>Director</v>
      </c>
      <c r="J40" s="629" t="str">
        <f>'M3-MAO'!I18</f>
        <v>tics@montecristi.gob.ec</v>
      </c>
      <c r="K40" s="617" t="s">
        <v>4551</v>
      </c>
      <c r="L40" s="629" t="s">
        <v>4740</v>
      </c>
      <c r="M40" s="720"/>
      <c r="N40" s="721"/>
      <c r="O40" s="404"/>
      <c r="P40" s="104"/>
      <c r="Q40" s="104"/>
      <c r="R40" s="104"/>
      <c r="S40" s="104"/>
      <c r="T40" s="104"/>
      <c r="U40" s="104"/>
      <c r="V40" s="104"/>
      <c r="W40" s="104"/>
      <c r="X40" s="104"/>
      <c r="Y40" s="104"/>
      <c r="Z40" s="105"/>
    </row>
    <row r="41" spans="1:26" ht="34.049999999999997" customHeight="1" x14ac:dyDescent="0.3">
      <c r="A41" s="920" t="str">
        <f>'M3-MAO'!A19</f>
        <v>PDOT.PI.OE4.M2.01</v>
      </c>
      <c r="B41" s="640" t="str">
        <f>'M3-MAO'!B19</f>
        <v>INSTITUCIONAL</v>
      </c>
      <c r="C41" s="626" t="str">
        <f>'M3-MAO'!C19</f>
        <v>Dirección de Avalúos y Catastros</v>
      </c>
      <c r="D41" s="626" t="str">
        <f>'M3-MAO'!D19</f>
        <v>Art. 48 EO 2021 — Dir. Avalúos y Catastros</v>
      </c>
      <c r="E41" s="626" t="str">
        <f>'M3-MAO'!F19</f>
        <v>Dirección GAD (control directo)</v>
      </c>
      <c r="F41" s="714">
        <f>'M3-MAO'!G19</f>
        <v>1</v>
      </c>
      <c r="G41" s="714">
        <v>1</v>
      </c>
      <c r="H41" s="715" t="s">
        <v>1980</v>
      </c>
      <c r="I41" s="626" t="str">
        <f>'M3-MAO'!H19</f>
        <v>Director</v>
      </c>
      <c r="J41" s="626" t="str">
        <f>'M3-MAO'!I19</f>
        <v>catastro@montecristi.gob.ec</v>
      </c>
      <c r="K41" s="620" t="s">
        <v>4551</v>
      </c>
      <c r="L41" s="620" t="s">
        <v>4741</v>
      </c>
      <c r="M41" s="716"/>
      <c r="N41" s="717"/>
      <c r="O41" s="408"/>
      <c r="P41" s="194"/>
      <c r="Q41" s="194"/>
      <c r="R41" s="194"/>
      <c r="S41" s="194"/>
      <c r="T41" s="194"/>
      <c r="U41" s="194"/>
      <c r="V41" s="194"/>
      <c r="W41" s="194"/>
      <c r="X41" s="194"/>
      <c r="Y41" s="194"/>
      <c r="Z41" s="236"/>
    </row>
    <row r="42" spans="1:26" ht="34.049999999999997" customHeight="1" x14ac:dyDescent="0.3">
      <c r="A42" s="658" t="str">
        <f>'M3-MAO'!A20</f>
        <v>PDOT.AM.SC.M3.01</v>
      </c>
      <c r="B42" s="641" t="str">
        <f>'M3-MAO'!B20</f>
        <v>SOCIAL</v>
      </c>
      <c r="C42" s="629" t="str">
        <f>'M3-MAO'!C20</f>
        <v>Unidad de Gestión Sanitaria / MSP</v>
      </c>
      <c r="D42" s="629" t="str">
        <f>'M3-MAO'!D20</f>
        <v>Convenio MSP-Sanitario 2024</v>
      </c>
      <c r="E42" s="629" t="str">
        <f>'M3-MAO'!F20</f>
        <v>Patronato / Ente adscrito (Ordenanza)</v>
      </c>
      <c r="F42" s="718">
        <f>'M3-MAO'!G20</f>
        <v>0.9</v>
      </c>
      <c r="G42" s="718">
        <v>0.9</v>
      </c>
      <c r="H42" s="719" t="s">
        <v>1980</v>
      </c>
      <c r="I42" s="629" t="str">
        <f>'M3-MAO'!H20</f>
        <v>Jefe Departamento</v>
      </c>
      <c r="J42" s="629" t="str">
        <f>'M3-MAO'!I20</f>
        <v>salud@montecristi.gob.ec</v>
      </c>
      <c r="K42" s="617" t="s">
        <v>4551</v>
      </c>
      <c r="L42" s="629" t="s">
        <v>4742</v>
      </c>
      <c r="M42" s="720"/>
      <c r="N42" s="721"/>
      <c r="O42" s="404"/>
      <c r="P42" s="104"/>
      <c r="Q42" s="104"/>
      <c r="R42" s="104"/>
      <c r="S42" s="104"/>
      <c r="T42" s="104"/>
      <c r="U42" s="104"/>
      <c r="V42" s="104"/>
      <c r="W42" s="104"/>
      <c r="X42" s="104"/>
      <c r="Y42" s="104"/>
      <c r="Z42" s="105"/>
    </row>
    <row r="43" spans="1:26" ht="34.049999999999997" customHeight="1" x14ac:dyDescent="0.3">
      <c r="A43" s="920" t="str">
        <f>'M3-MAO'!A21</f>
        <v>PDOT.EP.OE5.M1.01</v>
      </c>
      <c r="B43" s="640" t="str">
        <f>'M3-MAO'!B21</f>
        <v>ECONÓMICO</v>
      </c>
      <c r="C43" s="626" t="str">
        <f>'M3-MAO'!C21</f>
        <v>Unidad de Turismo GAD Montecristi</v>
      </c>
      <c r="D43" s="626" t="str">
        <f>'M3-MAO'!D21</f>
        <v>Art. 66 EO 2021 — Dir. Desarrollo Turístico</v>
      </c>
      <c r="E43" s="626" t="str">
        <f>'M3-MAO'!F21</f>
        <v>Patronato / Ente adscrito (Ordenanza)</v>
      </c>
      <c r="F43" s="715">
        <f>'M3-MAO'!G21</f>
        <v>0.9</v>
      </c>
      <c r="G43" s="715">
        <v>0.9</v>
      </c>
      <c r="H43" s="715" t="s">
        <v>1980</v>
      </c>
      <c r="I43" s="626" t="str">
        <f>'M3-MAO'!H21</f>
        <v>Jefe Departamento</v>
      </c>
      <c r="J43" s="626" t="str">
        <f>'M3-MAO'!I21</f>
        <v>turismo@montecristi.gob.ec</v>
      </c>
      <c r="K43" s="622" t="s">
        <v>4551</v>
      </c>
      <c r="L43" s="620" t="s">
        <v>4735</v>
      </c>
      <c r="M43" s="716"/>
      <c r="N43" s="717"/>
      <c r="O43" s="408"/>
      <c r="P43" s="194"/>
      <c r="Q43" s="194"/>
      <c r="R43" s="194"/>
      <c r="S43" s="194"/>
      <c r="T43" s="194"/>
      <c r="U43" s="194"/>
      <c r="V43" s="194"/>
      <c r="W43" s="194"/>
      <c r="X43" s="194"/>
      <c r="Y43" s="194"/>
      <c r="Z43" s="236"/>
    </row>
    <row r="44" spans="1:26" ht="34.049999999999997" customHeight="1" x14ac:dyDescent="0.3">
      <c r="A44" s="658" t="str">
        <f>'M3-MAO'!A22</f>
        <v>PDOT.AS.VL.M2.01</v>
      </c>
      <c r="B44" s="641" t="str">
        <f>'M3-MAO'!B22</f>
        <v>TERRITORIAL</v>
      </c>
      <c r="C44" s="629" t="str">
        <f>'M3-MAO'!C22</f>
        <v>Dirección de Obras Públicas</v>
      </c>
      <c r="D44" s="629" t="str">
        <f>'M3-MAO'!D22</f>
        <v>Art. 39 EO 2021 — Dir. Obras Públicas</v>
      </c>
      <c r="E44" s="629" t="str">
        <f>'M3-MAO'!F22</f>
        <v>Dirección GAD (control directo)</v>
      </c>
      <c r="F44" s="719">
        <f>'M3-MAO'!G22</f>
        <v>1</v>
      </c>
      <c r="G44" s="719">
        <v>1</v>
      </c>
      <c r="H44" s="719" t="s">
        <v>1980</v>
      </c>
      <c r="I44" s="629" t="str">
        <f>'M3-MAO'!H22</f>
        <v>Director</v>
      </c>
      <c r="J44" s="629" t="str">
        <f>'M3-MAO'!I22</f>
        <v>dop@montecristi.gob.ec</v>
      </c>
      <c r="K44" s="623" t="s">
        <v>4551</v>
      </c>
      <c r="L44" s="629" t="s">
        <v>4743</v>
      </c>
      <c r="M44" s="720"/>
      <c r="N44" s="721"/>
      <c r="O44" s="404"/>
      <c r="P44" s="104"/>
      <c r="Q44" s="104"/>
      <c r="R44" s="104"/>
      <c r="S44" s="104"/>
      <c r="T44" s="104"/>
      <c r="U44" s="104"/>
      <c r="V44" s="104"/>
      <c r="W44" s="104"/>
      <c r="X44" s="104"/>
      <c r="Y44" s="104"/>
      <c r="Z44" s="105"/>
    </row>
    <row r="45" spans="1:26" ht="34.049999999999997" customHeight="1" x14ac:dyDescent="0.3">
      <c r="A45" s="920" t="str">
        <f>'M3-MAO'!A23</f>
        <v>PDOT.AS.OE1.M1.03</v>
      </c>
      <c r="B45" s="640" t="str">
        <f>'M3-MAO'!B23</f>
        <v>TERRITORIAL</v>
      </c>
      <c r="C45" s="626" t="str">
        <f>'M3-MAO'!C23</f>
        <v>Dirección de Agua Potable y Saneamiento</v>
      </c>
      <c r="D45" s="626" t="str">
        <f>'M3-MAO'!D23</f>
        <v>Art. 42 EO 2021 — Dir. Agua Potable y Alcantarillado</v>
      </c>
      <c r="E45" s="626" t="str">
        <f>'M3-MAO'!F23</f>
        <v>Dirección GAD (control directo)</v>
      </c>
      <c r="F45" s="715">
        <f>'M3-MAO'!G23</f>
        <v>1</v>
      </c>
      <c r="G45" s="715">
        <v>1</v>
      </c>
      <c r="H45" s="715" t="s">
        <v>1980</v>
      </c>
      <c r="I45" s="626" t="str">
        <f>'M3-MAO'!H23</f>
        <v>Director</v>
      </c>
      <c r="J45" s="626" t="str">
        <f>'M3-MAO'!I23</f>
        <v>dag@montecristi.gob.ec</v>
      </c>
      <c r="K45" s="622" t="s">
        <v>4551</v>
      </c>
      <c r="L45" s="620" t="s">
        <v>4735</v>
      </c>
      <c r="M45" s="716"/>
      <c r="N45" s="717"/>
      <c r="O45" s="408"/>
      <c r="P45" s="194"/>
      <c r="Q45" s="194"/>
      <c r="R45" s="194"/>
      <c r="S45" s="194"/>
      <c r="T45" s="194"/>
      <c r="U45" s="194"/>
      <c r="V45" s="194"/>
      <c r="W45" s="194"/>
      <c r="X45" s="194"/>
      <c r="Y45" s="194"/>
      <c r="Z45" s="236"/>
    </row>
    <row r="46" spans="1:26" ht="25.95" customHeight="1" thickBot="1" x14ac:dyDescent="0.35">
      <c r="A46" s="1834" t="s">
        <v>1981</v>
      </c>
      <c r="B46" s="1835"/>
      <c r="C46" s="1835"/>
      <c r="D46" s="1835"/>
      <c r="E46" s="1835"/>
      <c r="F46" s="1835"/>
      <c r="G46" s="1835"/>
      <c r="H46" s="1835"/>
      <c r="I46" s="1835"/>
      <c r="J46" s="1835"/>
      <c r="K46" s="1835"/>
      <c r="L46" s="1835"/>
      <c r="M46" s="1835"/>
      <c r="N46" s="1836"/>
      <c r="O46" s="572"/>
      <c r="P46" s="238"/>
      <c r="Q46" s="238"/>
      <c r="R46" s="238"/>
      <c r="S46" s="238"/>
      <c r="T46" s="238"/>
      <c r="U46" s="238"/>
      <c r="V46" s="238"/>
      <c r="W46" s="238"/>
      <c r="X46" s="238"/>
      <c r="Y46" s="238"/>
      <c r="Z46" s="239"/>
    </row>
    <row r="47" spans="1:26" ht="45" customHeight="1" thickTop="1" x14ac:dyDescent="0.3">
      <c r="A47" s="9"/>
      <c r="B47" s="9"/>
      <c r="C47" s="9"/>
      <c r="D47" s="9"/>
      <c r="E47" s="9"/>
      <c r="F47" s="9"/>
      <c r="G47" s="9"/>
      <c r="H47" s="9"/>
      <c r="I47" s="9"/>
      <c r="J47" s="9"/>
      <c r="K47" s="9"/>
      <c r="L47" s="9"/>
      <c r="M47" s="9"/>
      <c r="N47" s="9"/>
    </row>
  </sheetData>
  <mergeCells count="7">
    <mergeCell ref="A1:L1"/>
    <mergeCell ref="A25:N25"/>
    <mergeCell ref="A26:N26"/>
    <mergeCell ref="A46:N46"/>
    <mergeCell ref="A4:N4"/>
    <mergeCell ref="A3:N3"/>
    <mergeCell ref="A2:N2"/>
  </mergeCells>
  <hyperlinks>
    <hyperlink ref="Z1" location="'M-INDEX'!A1" tooltip="Volver al Índice Principal" display="⌂ ÍNDICE" xr:uid="{8142B776-6DB1-41A4-9DC3-AD5F09B4C10F}"/>
  </hyperlinks>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C6E0B4"/>
  </sheetPr>
  <dimension ref="A1:Z57"/>
  <sheetViews>
    <sheetView showGridLines="0" zoomScale="25" zoomScaleNormal="25" workbookViewId="0">
      <pane ySplit="3" topLeftCell="A4" activePane="bottomLeft" state="frozen"/>
      <selection pane="bottomLeft" sqref="A1:Z1"/>
    </sheetView>
  </sheetViews>
  <sheetFormatPr baseColWidth="10" defaultRowHeight="14.4" x14ac:dyDescent="0.3"/>
  <cols>
    <col min="1" max="1" width="5.21875" customWidth="1"/>
    <col min="2" max="2" width="42.33203125" bestFit="1" customWidth="1"/>
    <col min="3" max="3" width="51.21875" bestFit="1" customWidth="1"/>
    <col min="4" max="4" width="75.6640625" bestFit="1" customWidth="1"/>
    <col min="5" max="5" width="43.6640625" bestFit="1" customWidth="1"/>
    <col min="6" max="6" width="35.21875" bestFit="1" customWidth="1"/>
    <col min="7" max="7" width="16.5546875" bestFit="1" customWidth="1"/>
    <col min="8" max="8" width="33.44140625" bestFit="1" customWidth="1"/>
    <col min="9" max="9" width="18.33203125" bestFit="1" customWidth="1"/>
    <col min="10" max="10" width="25.88671875" bestFit="1" customWidth="1"/>
    <col min="11" max="11" width="20.109375" bestFit="1" customWidth="1"/>
    <col min="12" max="12" width="20.5546875" bestFit="1" customWidth="1"/>
    <col min="13" max="13" width="24.109375" bestFit="1" customWidth="1"/>
    <col min="14" max="14" width="18.77734375" bestFit="1" customWidth="1"/>
    <col min="15" max="20" width="14.33203125" bestFit="1" customWidth="1"/>
    <col min="21" max="21" width="15.5546875" bestFit="1" customWidth="1"/>
    <col min="22" max="22" width="15.88671875" bestFit="1" customWidth="1"/>
    <col min="23" max="23" width="14.44140625" bestFit="1" customWidth="1"/>
    <col min="24" max="24" width="18.33203125" bestFit="1" customWidth="1"/>
    <col min="26" max="26" width="13.44140625" bestFit="1" customWidth="1"/>
  </cols>
  <sheetData>
    <row r="1" spans="1:26" ht="19.95" customHeight="1" x14ac:dyDescent="0.3">
      <c r="A1" s="1923" t="s">
        <v>4781</v>
      </c>
      <c r="B1" s="1713"/>
      <c r="C1" s="1713"/>
      <c r="D1" s="1713"/>
      <c r="E1" s="1713"/>
      <c r="F1" s="1713"/>
      <c r="G1" s="1713"/>
      <c r="H1" s="1713"/>
      <c r="I1" s="1713"/>
      <c r="J1" s="1713"/>
      <c r="K1" s="1713"/>
      <c r="L1" s="1713"/>
      <c r="M1" s="1713"/>
      <c r="N1" s="1713"/>
      <c r="O1" s="1713"/>
      <c r="P1" s="1713"/>
      <c r="Q1" s="1713"/>
      <c r="R1" s="1713"/>
      <c r="S1" s="1713"/>
      <c r="T1" s="1713"/>
      <c r="U1" s="1713"/>
      <c r="V1" s="1713"/>
      <c r="W1" s="1713"/>
      <c r="X1" s="1713"/>
      <c r="Y1" s="1713"/>
      <c r="Z1" s="1713"/>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 M6-FEDS")</f>
        <v>◉ M6-FEDS</v>
      </c>
      <c r="H2" s="472" t="str">
        <f>HYPERLINK("#'M7-PROSP'!A1","M7")</f>
        <v>M7</v>
      </c>
      <c r="I2" s="472" t="str">
        <f>HYPERLINK("#'DATA-POA'!A1","DATA-POA")</f>
        <v>DATA-POA</v>
      </c>
      <c r="J2" s="472" t="str">
        <f>HYPERLINK("#'DATA-CNE'!A1","DATA-CNE")</f>
        <v>DATA-CNE</v>
      </c>
      <c r="K2" s="472" t="str">
        <f>HYPERLINK("#'DATA-ORG'!A1","DATA-ORG")</f>
        <v>DATA-ORG</v>
      </c>
      <c r="L2" s="472" t="str">
        <f>HYPERLINK("#'M-DASHBOARD'!A1","DASH")</f>
        <v>DASH</v>
      </c>
      <c r="M2" s="473"/>
      <c r="N2" s="473"/>
      <c r="O2" s="473"/>
      <c r="P2" s="473"/>
      <c r="Q2" s="473"/>
      <c r="R2" s="473"/>
      <c r="S2" s="473"/>
      <c r="T2" s="473"/>
      <c r="U2" s="473"/>
      <c r="V2" s="473"/>
      <c r="W2" s="473"/>
      <c r="X2" s="473"/>
      <c r="Y2" s="473"/>
      <c r="Z2" s="473"/>
    </row>
    <row r="3" spans="1:26" ht="16.05" customHeight="1" thickBot="1" x14ac:dyDescent="0.35">
      <c r="A3" s="1657" t="s">
        <v>661</v>
      </c>
      <c r="B3" s="1658"/>
      <c r="C3" s="1658"/>
      <c r="D3" s="1658"/>
      <c r="E3" s="1658"/>
      <c r="F3" s="1658"/>
      <c r="G3" s="1658"/>
      <c r="H3" s="1658"/>
      <c r="I3" s="1658"/>
      <c r="J3" s="1658"/>
      <c r="K3" s="1658"/>
      <c r="L3" s="1658"/>
      <c r="M3" s="1658"/>
      <c r="N3" s="1658"/>
      <c r="O3" s="1658"/>
      <c r="P3" s="1658"/>
      <c r="Q3" s="1658"/>
      <c r="R3" s="1658"/>
      <c r="S3" s="1658"/>
      <c r="T3" s="1658"/>
      <c r="U3" s="1658"/>
      <c r="V3" s="1658"/>
      <c r="W3" s="1658"/>
      <c r="X3" s="1658"/>
      <c r="Y3" s="563"/>
      <c r="Z3" s="563"/>
    </row>
    <row r="4" spans="1:26" ht="19.95" customHeight="1" thickTop="1" x14ac:dyDescent="0.3">
      <c r="A4" s="1684" t="s">
        <v>1982</v>
      </c>
      <c r="B4" s="1685"/>
      <c r="C4" s="1685"/>
      <c r="D4" s="1685"/>
      <c r="E4" s="1685"/>
      <c r="F4" s="1685"/>
      <c r="G4" s="1685"/>
      <c r="H4" s="1685"/>
      <c r="I4" s="1685"/>
      <c r="J4" s="1685"/>
      <c r="K4" s="1685"/>
      <c r="L4" s="1685"/>
      <c r="M4" s="1685"/>
      <c r="N4" s="1685"/>
      <c r="O4" s="1685"/>
      <c r="P4" s="1685"/>
      <c r="Q4" s="1685"/>
      <c r="R4" s="1685"/>
      <c r="S4" s="1685"/>
      <c r="T4" s="1685"/>
      <c r="U4" s="1685"/>
      <c r="V4" s="1685"/>
      <c r="W4" s="1685"/>
      <c r="X4" s="1685"/>
      <c r="Y4" s="1685"/>
      <c r="Z4" s="1729"/>
    </row>
    <row r="5" spans="1:26" ht="19.95" customHeight="1" x14ac:dyDescent="0.3">
      <c r="A5" s="1938" t="s">
        <v>1983</v>
      </c>
      <c r="B5" s="1716"/>
      <c r="C5" s="1716"/>
      <c r="D5" s="1716"/>
      <c r="E5" s="1716"/>
      <c r="F5" s="1716"/>
      <c r="G5" s="1716"/>
      <c r="H5" s="1716"/>
      <c r="I5" s="1716"/>
      <c r="J5" s="1716"/>
      <c r="K5" s="1716"/>
      <c r="L5" s="1716"/>
      <c r="M5" s="1716"/>
      <c r="N5" s="1716"/>
      <c r="O5" s="1716"/>
      <c r="P5" s="1716"/>
      <c r="Q5" s="1716"/>
      <c r="R5" s="1716"/>
      <c r="S5" s="1716"/>
      <c r="T5" s="1716"/>
      <c r="U5" s="1716"/>
      <c r="V5" s="1716"/>
      <c r="W5" s="1716"/>
      <c r="X5" s="1716"/>
      <c r="Y5" s="1716"/>
      <c r="Z5" s="1717"/>
    </row>
    <row r="6" spans="1:26" s="11" customFormat="1" ht="16.05" customHeight="1" x14ac:dyDescent="0.3">
      <c r="A6" s="999" t="s">
        <v>1722</v>
      </c>
      <c r="B6" s="991" t="s">
        <v>1984</v>
      </c>
      <c r="C6" s="358" t="s">
        <v>669</v>
      </c>
      <c r="D6" s="358" t="s">
        <v>1985</v>
      </c>
      <c r="E6" s="358" t="s">
        <v>1986</v>
      </c>
      <c r="F6" s="358" t="s">
        <v>1987</v>
      </c>
      <c r="G6" s="358" t="s">
        <v>1988</v>
      </c>
      <c r="H6" s="358" t="s">
        <v>1989</v>
      </c>
      <c r="I6" s="358" t="s">
        <v>1990</v>
      </c>
      <c r="J6" s="358" t="s">
        <v>1991</v>
      </c>
      <c r="K6" s="358" t="s">
        <v>1992</v>
      </c>
      <c r="L6" s="358" t="s">
        <v>1993</v>
      </c>
      <c r="M6" s="358" t="s">
        <v>1994</v>
      </c>
      <c r="N6" s="358" t="s">
        <v>1995</v>
      </c>
      <c r="O6" s="358">
        <v>60</v>
      </c>
      <c r="P6" s="358">
        <v>70</v>
      </c>
      <c r="Q6" s="358">
        <v>75</v>
      </c>
      <c r="R6" s="358">
        <v>82</v>
      </c>
      <c r="S6" s="358">
        <v>87</v>
      </c>
      <c r="T6" s="358">
        <v>90</v>
      </c>
      <c r="U6" s="358" t="str">
        <f t="shared" ref="U6:U25" si="0">IF(T6&gt;S6,"↗ Mejorando",IF(T6&lt;S6,"↘ Empeorando","→ Estable"))</f>
        <v>↗ Mejorando</v>
      </c>
      <c r="V6" s="358">
        <f t="shared" ref="V6:V25" si="1">T6-R6</f>
        <v>8</v>
      </c>
      <c r="W6" s="358" t="s">
        <v>1996</v>
      </c>
      <c r="X6" s="358" t="s">
        <v>1997</v>
      </c>
      <c r="Y6" s="139"/>
      <c r="Z6" s="985"/>
    </row>
    <row r="7" spans="1:26" s="11" customFormat="1" ht="16.05" customHeight="1" x14ac:dyDescent="0.3">
      <c r="A7" s="999" t="str">
        <f>'M4-AUDIT'!A3</f>
        <v>#</v>
      </c>
      <c r="B7" s="992">
        <f>'M4-AUDIT'!O3</f>
        <v>0</v>
      </c>
      <c r="C7" s="419">
        <f>'M4-AUDIT'!P3</f>
        <v>0</v>
      </c>
      <c r="D7" s="419">
        <v>1</v>
      </c>
      <c r="E7" s="419">
        <v>1</v>
      </c>
      <c r="F7" s="419">
        <f>'M4-AUDIT'!H3</f>
        <v>0</v>
      </c>
      <c r="G7" s="419">
        <f>'M4-AUDIT'!F3</f>
        <v>0</v>
      </c>
      <c r="H7" s="419">
        <f>'M5-ICPI'!D3</f>
        <v>0</v>
      </c>
      <c r="I7" s="419">
        <f>'M5-ICPI'!C3</f>
        <v>0</v>
      </c>
      <c r="J7" s="419">
        <f t="shared" ref="J7:J26" si="2">IF(C7=0,0,ROUND(C7*D7*E7*F7*G7*100,2))</f>
        <v>0</v>
      </c>
      <c r="K7" s="423" t="str">
        <f t="shared" ref="K7:K26" si="3">IF(J7&gt;=90,"EXCELENCIA",IF(J7&gt;=70,"GESTIÓN POR MANDATO",IF(J7&gt;=40,"TRANSICIÓN CRÍTICA",IF(J7&gt;=20,"GESTIÓN POR OCURRENCIA","RUPTURA TOTAL"))))</f>
        <v>RUPTURA TOTAL</v>
      </c>
      <c r="L7" s="419" t="str">
        <f t="shared" ref="L7:L26" si="4">IF(G7=0,"Vi=0: Sin evidencia documental — falla trazabilidad §3.4",IF(D7=0,"POA=0: Meta no planificada — falla estratégica dirección",IF(E7=0,"PAC=0: Planificado pero no contratado — inacción operativa",IF(F7&lt;0.3,"Ti&lt;30%: Subejecución crítica — falla seguimiento",IF(F7&lt;0.6,"Ti&lt;60%: Subejecución moderada — requiere plan mejora","Gestión aceptable — mantener ritmo")))))</f>
        <v>Vi=0: Sin evidencia documental — falla trazabilidad §3.4</v>
      </c>
      <c r="M7" s="419" t="str">
        <f t="shared" ref="M7:M26" si="5">IF(J7&gt;=70,"Mantener — reconocimiento potencial LOSEP Art.78",IF(J7&gt;=50,"Plan mejora 60 días — LOSEP Art.80",IF(J7&gt;=30,"Memorando de llamada de atención — COA Art.196","Inicio sumario administrativo — LOSEP Art.80 + COOTAD Art.339")))</f>
        <v>Inicio sumario administrativo — LOSEP Art.80 + COOTAD Art.339</v>
      </c>
      <c r="N7" s="419" t="str">
        <f t="shared" ref="N7:N26" si="6">IF(J7&gt;=70,"LOSEP Art.76-77",IF(J7&gt;=50,"LOSEP Art.80 + COOTAD Art.338","LOSEP Art.80 + COOTAD Art.339 + COA Art.196"))</f>
        <v>LOSEP Art.80 + COOTAD Art.339 + COA Art.196</v>
      </c>
      <c r="O7" s="419">
        <v>50</v>
      </c>
      <c r="P7" s="419">
        <v>60</v>
      </c>
      <c r="Q7" s="419">
        <v>67</v>
      </c>
      <c r="R7" s="419">
        <v>74</v>
      </c>
      <c r="S7" s="419">
        <v>77</v>
      </c>
      <c r="T7" s="419">
        <v>80</v>
      </c>
      <c r="U7" s="419" t="str">
        <f t="shared" si="0"/>
        <v>↗ Mejorando</v>
      </c>
      <c r="V7" s="419">
        <f t="shared" si="1"/>
        <v>6</v>
      </c>
      <c r="W7" s="419" t="s">
        <v>450</v>
      </c>
      <c r="X7" s="419" t="s">
        <v>1998</v>
      </c>
      <c r="Y7" s="221"/>
      <c r="Z7" s="986"/>
    </row>
    <row r="8" spans="1:26" s="11" customFormat="1" ht="16.05" customHeight="1" x14ac:dyDescent="0.3">
      <c r="A8" s="999" t="str">
        <f>'M4-AUDIT'!A5</f>
        <v>PDOT.AM.OE3.M2.01</v>
      </c>
      <c r="B8" s="991" t="str">
        <f>'M4-AUDIT'!O5</f>
        <v>EP Aseo Integral Montecristi</v>
      </c>
      <c r="C8" s="358">
        <f>'M4-AUDIT'!P5</f>
        <v>0.75</v>
      </c>
      <c r="D8" s="358">
        <v>1</v>
      </c>
      <c r="E8" s="358">
        <v>1</v>
      </c>
      <c r="F8" s="358">
        <f>'M4-AUDIT'!H5</f>
        <v>0.75</v>
      </c>
      <c r="G8" s="358">
        <f>'M4-AUDIT'!F5</f>
        <v>1</v>
      </c>
      <c r="H8" s="358">
        <f>'M5-ICPI'!D5</f>
        <v>1</v>
      </c>
      <c r="I8" s="358">
        <f>'M5-ICPI'!C5</f>
        <v>0.3315584274613419</v>
      </c>
      <c r="J8" s="358">
        <f t="shared" si="2"/>
        <v>56.25</v>
      </c>
      <c r="K8" s="361" t="str">
        <f t="shared" si="3"/>
        <v>TRANSICIÓN CRÍTICA</v>
      </c>
      <c r="L8" s="358" t="str">
        <f t="shared" si="4"/>
        <v>Gestión aceptable — mantener ritmo</v>
      </c>
      <c r="M8" s="358" t="str">
        <f t="shared" si="5"/>
        <v>Plan mejora 60 días — LOSEP Art.80</v>
      </c>
      <c r="N8" s="358" t="str">
        <f t="shared" si="6"/>
        <v>LOSEP Art.80 + COOTAD Art.338</v>
      </c>
      <c r="O8" s="358">
        <v>0</v>
      </c>
      <c r="P8" s="358">
        <v>0</v>
      </c>
      <c r="Q8" s="358">
        <v>0</v>
      </c>
      <c r="R8" s="358">
        <v>0</v>
      </c>
      <c r="S8" s="358">
        <v>0</v>
      </c>
      <c r="T8" s="358">
        <v>0</v>
      </c>
      <c r="U8" s="358" t="str">
        <f t="shared" si="0"/>
        <v>→ Estable</v>
      </c>
      <c r="V8" s="358">
        <f t="shared" si="1"/>
        <v>0</v>
      </c>
      <c r="W8" s="358" t="s">
        <v>1999</v>
      </c>
      <c r="X8" s="360" t="s">
        <v>2000</v>
      </c>
      <c r="Y8" s="139"/>
      <c r="Z8" s="985"/>
    </row>
    <row r="9" spans="1:26" s="11" customFormat="1" ht="16.05" customHeight="1" x14ac:dyDescent="0.3">
      <c r="A9" s="999" t="str">
        <f>'M4-AUDIT'!A6</f>
        <v>PDOT.AS.OE1.M2.01</v>
      </c>
      <c r="B9" s="992" t="str">
        <f>'M4-AUDIT'!O6</f>
        <v>Dirección de Planificación y Desarrollo</v>
      </c>
      <c r="C9" s="419">
        <f>'M4-AUDIT'!P6</f>
        <v>1</v>
      </c>
      <c r="D9" s="419">
        <v>1</v>
      </c>
      <c r="E9" s="419">
        <v>0</v>
      </c>
      <c r="F9" s="419">
        <f>'M4-AUDIT'!H6</f>
        <v>0.1</v>
      </c>
      <c r="G9" s="419">
        <f>'M4-AUDIT'!F6</f>
        <v>0</v>
      </c>
      <c r="H9" s="419">
        <f>'M5-ICPI'!D6</f>
        <v>1.5</v>
      </c>
      <c r="I9" s="419">
        <f>'M5-ICPI'!C6</f>
        <v>0.17737919272791763</v>
      </c>
      <c r="J9" s="419">
        <f t="shared" si="2"/>
        <v>0</v>
      </c>
      <c r="K9" s="423" t="str">
        <f t="shared" si="3"/>
        <v>RUPTURA TOTAL</v>
      </c>
      <c r="L9" s="419" t="str">
        <f t="shared" si="4"/>
        <v>Vi=0: Sin evidencia documental — falla trazabilidad §3.4</v>
      </c>
      <c r="M9" s="419" t="str">
        <f t="shared" si="5"/>
        <v>Inicio sumario administrativo — LOSEP Art.80 + COOTAD Art.339</v>
      </c>
      <c r="N9" s="419" t="str">
        <f t="shared" si="6"/>
        <v>LOSEP Art.80 + COOTAD Art.339 + COA Art.196</v>
      </c>
      <c r="O9" s="419">
        <v>35</v>
      </c>
      <c r="P9" s="419">
        <v>42</v>
      </c>
      <c r="Q9" s="419">
        <v>50</v>
      </c>
      <c r="R9" s="419">
        <v>57</v>
      </c>
      <c r="S9" s="419">
        <v>61</v>
      </c>
      <c r="T9" s="419">
        <v>65</v>
      </c>
      <c r="U9" s="419" t="str">
        <f t="shared" si="0"/>
        <v>↗ Mejorando</v>
      </c>
      <c r="V9" s="419">
        <f t="shared" si="1"/>
        <v>8</v>
      </c>
      <c r="W9" s="419" t="s">
        <v>1999</v>
      </c>
      <c r="X9" s="419" t="s">
        <v>2001</v>
      </c>
      <c r="Y9" s="221"/>
      <c r="Z9" s="986"/>
    </row>
    <row r="10" spans="1:26" s="11" customFormat="1" ht="16.05" customHeight="1" x14ac:dyDescent="0.3">
      <c r="A10" s="999" t="str">
        <f>'M4-AUDIT'!A7</f>
        <v>PDOT.SC.OE2.M4.01</v>
      </c>
      <c r="B10" s="991" t="str">
        <f>'M4-AUDIT'!O7</f>
        <v>Patronato Municipal de Amparo Social</v>
      </c>
      <c r="C10" s="358">
        <f>'M4-AUDIT'!P7</f>
        <v>0.9</v>
      </c>
      <c r="D10" s="358">
        <v>1</v>
      </c>
      <c r="E10" s="358">
        <v>1</v>
      </c>
      <c r="F10" s="358">
        <f>'M4-AUDIT'!H7</f>
        <v>0.2</v>
      </c>
      <c r="G10" s="358">
        <f>'M4-AUDIT'!F7</f>
        <v>1</v>
      </c>
      <c r="H10" s="358">
        <f>'M5-ICPI'!D7</f>
        <v>1</v>
      </c>
      <c r="I10" s="358">
        <f>'M5-ICPI'!C7</f>
        <v>0.152251843537762</v>
      </c>
      <c r="J10" s="358">
        <f t="shared" si="2"/>
        <v>18</v>
      </c>
      <c r="K10" s="356" t="str">
        <f t="shared" si="3"/>
        <v>RUPTURA TOTAL</v>
      </c>
      <c r="L10" s="358" t="str">
        <f t="shared" si="4"/>
        <v>Ti&lt;30%: Subejecución crítica — falla seguimiento</v>
      </c>
      <c r="M10" s="358" t="str">
        <f t="shared" si="5"/>
        <v>Inicio sumario administrativo — LOSEP Art.80 + COOTAD Art.339</v>
      </c>
      <c r="N10" s="358" t="str">
        <f t="shared" si="6"/>
        <v>LOSEP Art.80 + COOTAD Art.339 + COA Art.196</v>
      </c>
      <c r="O10" s="358">
        <v>0</v>
      </c>
      <c r="P10" s="358">
        <v>0</v>
      </c>
      <c r="Q10" s="358">
        <v>0</v>
      </c>
      <c r="R10" s="358">
        <v>0</v>
      </c>
      <c r="S10" s="358">
        <v>0</v>
      </c>
      <c r="T10" s="358">
        <v>0</v>
      </c>
      <c r="U10" s="358" t="str">
        <f t="shared" si="0"/>
        <v>→ Estable</v>
      </c>
      <c r="V10" s="358">
        <f t="shared" si="1"/>
        <v>0</v>
      </c>
      <c r="W10" s="358" t="s">
        <v>1999</v>
      </c>
      <c r="X10" s="360" t="s">
        <v>2002</v>
      </c>
      <c r="Y10" s="139"/>
      <c r="Z10" s="985"/>
    </row>
    <row r="11" spans="1:26" s="11" customFormat="1" ht="16.05" customHeight="1" x14ac:dyDescent="0.3">
      <c r="A11" s="999" t="str">
        <f>'M4-AUDIT'!A8</f>
        <v>PDOT.AS.OE1.M1.02</v>
      </c>
      <c r="B11" s="992" t="str">
        <f>'M4-AUDIT'!O8</f>
        <v>Dirección de Obras Públicas</v>
      </c>
      <c r="C11" s="419">
        <f>'M4-AUDIT'!P8</f>
        <v>1</v>
      </c>
      <c r="D11" s="419">
        <v>1</v>
      </c>
      <c r="E11" s="419">
        <v>0</v>
      </c>
      <c r="F11" s="419">
        <f>'M4-AUDIT'!H8</f>
        <v>0</v>
      </c>
      <c r="G11" s="419">
        <f>'M4-AUDIT'!F8</f>
        <v>0</v>
      </c>
      <c r="H11" s="419">
        <f>'M5-ICPI'!D8</f>
        <v>1</v>
      </c>
      <c r="I11" s="419">
        <f>'M5-ICPI'!C8</f>
        <v>5.1556595872029501E-2</v>
      </c>
      <c r="J11" s="419">
        <f t="shared" si="2"/>
        <v>0</v>
      </c>
      <c r="K11" s="423" t="str">
        <f t="shared" si="3"/>
        <v>RUPTURA TOTAL</v>
      </c>
      <c r="L11" s="419" t="str">
        <f t="shared" si="4"/>
        <v>Vi=0: Sin evidencia documental — falla trazabilidad §3.4</v>
      </c>
      <c r="M11" s="419" t="str">
        <f t="shared" si="5"/>
        <v>Inicio sumario administrativo — LOSEP Art.80 + COOTAD Art.339</v>
      </c>
      <c r="N11" s="419" t="str">
        <f t="shared" si="6"/>
        <v>LOSEP Art.80 + COOTAD Art.339 + COA Art.196</v>
      </c>
      <c r="O11" s="419">
        <v>82</v>
      </c>
      <c r="P11" s="419">
        <v>86</v>
      </c>
      <c r="Q11" s="419">
        <v>89</v>
      </c>
      <c r="R11" s="419">
        <v>90</v>
      </c>
      <c r="S11" s="419">
        <v>90</v>
      </c>
      <c r="T11" s="419">
        <v>90</v>
      </c>
      <c r="U11" s="419" t="str">
        <f t="shared" si="0"/>
        <v>→ Estable</v>
      </c>
      <c r="V11" s="419">
        <f t="shared" si="1"/>
        <v>0</v>
      </c>
      <c r="W11" s="419" t="s">
        <v>450</v>
      </c>
      <c r="X11" s="419" t="s">
        <v>2003</v>
      </c>
      <c r="Y11" s="221"/>
      <c r="Z11" s="986"/>
    </row>
    <row r="12" spans="1:26" s="11" customFormat="1" ht="16.05" customHeight="1" x14ac:dyDescent="0.3">
      <c r="A12" s="999" t="str">
        <f>'M4-AUDIT'!A9</f>
        <v>PDOT.PI.OE4.M1.01</v>
      </c>
      <c r="B12" s="991" t="str">
        <f>'M4-AUDIT'!O9</f>
        <v>Dirección de Tecnología e Información</v>
      </c>
      <c r="C12" s="358">
        <f>'M4-AUDIT'!P9</f>
        <v>1</v>
      </c>
      <c r="D12" s="358">
        <v>1</v>
      </c>
      <c r="E12" s="358">
        <v>1</v>
      </c>
      <c r="F12" s="358">
        <f>'M4-AUDIT'!H9</f>
        <v>1</v>
      </c>
      <c r="G12" s="358">
        <f>'M4-AUDIT'!F9</f>
        <v>1</v>
      </c>
      <c r="H12" s="358">
        <f>'M5-ICPI'!D9</f>
        <v>1</v>
      </c>
      <c r="I12" s="358">
        <f>'M5-ICPI'!C9</f>
        <v>4.903830362803583E-2</v>
      </c>
      <c r="J12" s="358">
        <f t="shared" si="2"/>
        <v>100</v>
      </c>
      <c r="K12" s="356" t="str">
        <f t="shared" si="3"/>
        <v>EXCELENCIA</v>
      </c>
      <c r="L12" s="358" t="str">
        <f t="shared" si="4"/>
        <v>Gestión aceptable — mantener ritmo</v>
      </c>
      <c r="M12" s="358" t="str">
        <f t="shared" si="5"/>
        <v>Mantener — reconocimiento potencial LOSEP Art.78</v>
      </c>
      <c r="N12" s="358" t="str">
        <f t="shared" si="6"/>
        <v>LOSEP Art.76-77</v>
      </c>
      <c r="O12" s="358">
        <v>72</v>
      </c>
      <c r="P12" s="358">
        <v>78</v>
      </c>
      <c r="Q12" s="358">
        <v>83</v>
      </c>
      <c r="R12" s="358">
        <v>87</v>
      </c>
      <c r="S12" s="358">
        <v>89</v>
      </c>
      <c r="T12" s="358">
        <v>90</v>
      </c>
      <c r="U12" s="358" t="str">
        <f t="shared" si="0"/>
        <v>↗ Mejorando</v>
      </c>
      <c r="V12" s="358">
        <f t="shared" si="1"/>
        <v>3</v>
      </c>
      <c r="W12" s="358" t="s">
        <v>450</v>
      </c>
      <c r="X12" s="358" t="s">
        <v>2004</v>
      </c>
      <c r="Y12" s="139"/>
      <c r="Z12" s="985"/>
    </row>
    <row r="13" spans="1:26" s="11" customFormat="1" ht="16.05" customHeight="1" x14ac:dyDescent="0.3">
      <c r="A13" s="999" t="str">
        <f>'M4-AUDIT'!A10</f>
        <v>PDOT.AV.OE1.M1.01</v>
      </c>
      <c r="B13" s="992" t="str">
        <f>'M4-AUDIT'!O10</f>
        <v>Dirección de Obras Públicas</v>
      </c>
      <c r="C13" s="419">
        <f>'M4-AUDIT'!P10</f>
        <v>1</v>
      </c>
      <c r="D13" s="419">
        <v>1</v>
      </c>
      <c r="E13" s="419">
        <v>1</v>
      </c>
      <c r="F13" s="419">
        <f>'M4-AUDIT'!H10</f>
        <v>0.9</v>
      </c>
      <c r="G13" s="419">
        <f>'M4-AUDIT'!F10</f>
        <v>1</v>
      </c>
      <c r="H13" s="419">
        <f>'M5-ICPI'!D10</f>
        <v>1.5</v>
      </c>
      <c r="I13" s="419">
        <f>'M5-ICPI'!C10</f>
        <v>3.8652515641453306E-2</v>
      </c>
      <c r="J13" s="419">
        <f t="shared" si="2"/>
        <v>90</v>
      </c>
      <c r="K13" s="423" t="str">
        <f t="shared" si="3"/>
        <v>EXCELENCIA</v>
      </c>
      <c r="L13" s="419" t="str">
        <f t="shared" si="4"/>
        <v>Gestión aceptable — mantener ritmo</v>
      </c>
      <c r="M13" s="419" t="str">
        <f t="shared" si="5"/>
        <v>Mantener — reconocimiento potencial LOSEP Art.78</v>
      </c>
      <c r="N13" s="419" t="str">
        <f t="shared" si="6"/>
        <v>LOSEP Art.76-77</v>
      </c>
      <c r="O13" s="419">
        <v>0</v>
      </c>
      <c r="P13" s="419">
        <v>0</v>
      </c>
      <c r="Q13" s="419">
        <v>0</v>
      </c>
      <c r="R13" s="419">
        <v>0</v>
      </c>
      <c r="S13" s="419">
        <v>0</v>
      </c>
      <c r="T13" s="419">
        <v>0</v>
      </c>
      <c r="U13" s="419" t="str">
        <f t="shared" si="0"/>
        <v>→ Estable</v>
      </c>
      <c r="V13" s="419">
        <f t="shared" si="1"/>
        <v>0</v>
      </c>
      <c r="W13" s="419" t="s">
        <v>1999</v>
      </c>
      <c r="X13" s="978" t="s">
        <v>2005</v>
      </c>
      <c r="Y13" s="221"/>
      <c r="Z13" s="986"/>
    </row>
    <row r="14" spans="1:26" s="11" customFormat="1" ht="16.05" customHeight="1" x14ac:dyDescent="0.3">
      <c r="A14" s="999" t="str">
        <f>'M4-AUDIT'!A11</f>
        <v>PDOT.AM.OE3.M1.01</v>
      </c>
      <c r="B14" s="991" t="str">
        <f>'M4-AUDIT'!O11</f>
        <v>Unidad de Gestión Ambiental GAD</v>
      </c>
      <c r="C14" s="358">
        <f>'M4-AUDIT'!P11</f>
        <v>1</v>
      </c>
      <c r="D14" s="358">
        <v>1</v>
      </c>
      <c r="E14" s="358">
        <v>0</v>
      </c>
      <c r="F14" s="358">
        <f>'M4-AUDIT'!H11</f>
        <v>0.3</v>
      </c>
      <c r="G14" s="358">
        <f>'M4-AUDIT'!F11</f>
        <v>0</v>
      </c>
      <c r="H14" s="358">
        <f>'M5-ICPI'!D11</f>
        <v>0.5</v>
      </c>
      <c r="I14" s="358">
        <f>'M5-ICPI'!C11</f>
        <v>3.7123041954043229E-2</v>
      </c>
      <c r="J14" s="358">
        <f t="shared" si="2"/>
        <v>0</v>
      </c>
      <c r="K14" s="356" t="str">
        <f t="shared" si="3"/>
        <v>RUPTURA TOTAL</v>
      </c>
      <c r="L14" s="358" t="str">
        <f t="shared" si="4"/>
        <v>Vi=0: Sin evidencia documental — falla trazabilidad §3.4</v>
      </c>
      <c r="M14" s="358" t="str">
        <f t="shared" si="5"/>
        <v>Inicio sumario administrativo — LOSEP Art.80 + COOTAD Art.339</v>
      </c>
      <c r="N14" s="358" t="str">
        <f t="shared" si="6"/>
        <v>LOSEP Art.80 + COOTAD Art.339 + COA Art.196</v>
      </c>
      <c r="O14" s="358">
        <v>30</v>
      </c>
      <c r="P14" s="358">
        <v>36</v>
      </c>
      <c r="Q14" s="358">
        <v>42</v>
      </c>
      <c r="R14" s="358">
        <v>49</v>
      </c>
      <c r="S14" s="358">
        <v>54</v>
      </c>
      <c r="T14" s="358">
        <v>58.5</v>
      </c>
      <c r="U14" s="358" t="str">
        <f t="shared" si="0"/>
        <v>↗ Mejorando</v>
      </c>
      <c r="V14" s="358">
        <f t="shared" si="1"/>
        <v>9.5</v>
      </c>
      <c r="W14" s="358" t="s">
        <v>1999</v>
      </c>
      <c r="X14" s="358" t="s">
        <v>2006</v>
      </c>
      <c r="Y14" s="139"/>
      <c r="Z14" s="985"/>
    </row>
    <row r="15" spans="1:26" s="11" customFormat="1" ht="16.05" customHeight="1" x14ac:dyDescent="0.3">
      <c r="A15" s="999" t="str">
        <f>'M4-AUDIT'!A12</f>
        <v>PDOT.FA.OE4.AH.02</v>
      </c>
      <c r="B15" s="992" t="str">
        <f>'M4-AUDIT'!O12</f>
        <v>— revisar</v>
      </c>
      <c r="C15" s="419">
        <f>'M4-AUDIT'!P12</f>
        <v>1</v>
      </c>
      <c r="D15" s="419">
        <v>1</v>
      </c>
      <c r="E15" s="419">
        <v>1</v>
      </c>
      <c r="F15" s="419">
        <f>'M4-AUDIT'!H12</f>
        <v>0.4</v>
      </c>
      <c r="G15" s="419">
        <f>'M4-AUDIT'!F12</f>
        <v>1</v>
      </c>
      <c r="H15" s="419">
        <f>'M5-ICPI'!D12</f>
        <v>1</v>
      </c>
      <c r="I15" s="419">
        <f>'M5-ICPI'!C12</f>
        <v>2.7234952877998854E-2</v>
      </c>
      <c r="J15" s="419">
        <f t="shared" si="2"/>
        <v>40</v>
      </c>
      <c r="K15" s="441" t="str">
        <f t="shared" si="3"/>
        <v>TRANSICIÓN CRÍTICA</v>
      </c>
      <c r="L15" s="419" t="str">
        <f t="shared" si="4"/>
        <v>Ti&lt;60%: Subejecución moderada — requiere plan mejora</v>
      </c>
      <c r="M15" s="419" t="str">
        <f t="shared" si="5"/>
        <v>Memorando de llamada de atención — COA Art.196</v>
      </c>
      <c r="N15" s="419" t="str">
        <f t="shared" si="6"/>
        <v>LOSEP Art.80 + COOTAD Art.339 + COA Art.196</v>
      </c>
      <c r="O15" s="419">
        <v>30</v>
      </c>
      <c r="P15" s="419">
        <v>40</v>
      </c>
      <c r="Q15" s="419">
        <v>50</v>
      </c>
      <c r="R15" s="419">
        <v>57</v>
      </c>
      <c r="S15" s="419">
        <v>61</v>
      </c>
      <c r="T15" s="419">
        <v>65</v>
      </c>
      <c r="U15" s="419" t="str">
        <f t="shared" si="0"/>
        <v>↗ Mejorando</v>
      </c>
      <c r="V15" s="419">
        <f t="shared" si="1"/>
        <v>8</v>
      </c>
      <c r="W15" s="419" t="s">
        <v>1999</v>
      </c>
      <c r="X15" s="419" t="s">
        <v>2007</v>
      </c>
      <c r="Y15" s="221"/>
      <c r="Z15" s="986"/>
    </row>
    <row r="16" spans="1:26" s="11" customFormat="1" ht="16.05" customHeight="1" x14ac:dyDescent="0.3">
      <c r="A16" s="999" t="str">
        <f>'M4-AUDIT'!A13</f>
        <v>PDOT.FA.OE1.PV.01</v>
      </c>
      <c r="B16" s="991" t="str">
        <f>'M4-AUDIT'!O13</f>
        <v>— revisar</v>
      </c>
      <c r="C16" s="358">
        <f>'M4-AUDIT'!P13</f>
        <v>1</v>
      </c>
      <c r="D16" s="358">
        <v>1</v>
      </c>
      <c r="E16" s="358">
        <v>1</v>
      </c>
      <c r="F16" s="358">
        <f>'M4-AUDIT'!H13</f>
        <v>0.5</v>
      </c>
      <c r="G16" s="358">
        <f>'M4-AUDIT'!F13</f>
        <v>1</v>
      </c>
      <c r="H16" s="358">
        <f>'M5-ICPI'!D13</f>
        <v>1.5</v>
      </c>
      <c r="I16" s="358">
        <f>'M5-ICPI'!C13</f>
        <v>2.5568272837705033E-2</v>
      </c>
      <c r="J16" s="358">
        <f t="shared" si="2"/>
        <v>50</v>
      </c>
      <c r="K16" s="361" t="str">
        <f t="shared" si="3"/>
        <v>TRANSICIÓN CRÍTICA</v>
      </c>
      <c r="L16" s="358" t="str">
        <f t="shared" si="4"/>
        <v>Ti&lt;60%: Subejecución moderada — requiere plan mejora</v>
      </c>
      <c r="M16" s="358" t="str">
        <f t="shared" si="5"/>
        <v>Plan mejora 60 días — LOSEP Art.80</v>
      </c>
      <c r="N16" s="358" t="str">
        <f t="shared" si="6"/>
        <v>LOSEP Art.80 + COOTAD Art.338</v>
      </c>
      <c r="O16" s="358">
        <v>0</v>
      </c>
      <c r="P16" s="358">
        <v>0</v>
      </c>
      <c r="Q16" s="358">
        <v>0</v>
      </c>
      <c r="R16" s="358">
        <v>0</v>
      </c>
      <c r="S16" s="358">
        <v>0</v>
      </c>
      <c r="T16" s="358">
        <v>0</v>
      </c>
      <c r="U16" s="358" t="str">
        <f t="shared" si="0"/>
        <v>→ Estable</v>
      </c>
      <c r="V16" s="358">
        <f t="shared" si="1"/>
        <v>0</v>
      </c>
      <c r="W16" s="358" t="s">
        <v>1999</v>
      </c>
      <c r="X16" s="360" t="s">
        <v>2008</v>
      </c>
      <c r="Y16" s="139"/>
      <c r="Z16" s="985"/>
    </row>
    <row r="17" spans="1:26" s="11" customFormat="1" ht="16.05" customHeight="1" x14ac:dyDescent="0.3">
      <c r="A17" s="999" t="str">
        <f>'M4-AUDIT'!A14</f>
        <v>PDOT.PI.OE4.M2.01</v>
      </c>
      <c r="B17" s="992" t="str">
        <f>'M4-AUDIT'!O14</f>
        <v>Dirección de Avalúos y Catastros</v>
      </c>
      <c r="C17" s="419">
        <f>'M4-AUDIT'!P14</f>
        <v>1</v>
      </c>
      <c r="D17" s="419">
        <v>1</v>
      </c>
      <c r="E17" s="419">
        <v>0</v>
      </c>
      <c r="F17" s="419">
        <f>'M4-AUDIT'!H14</f>
        <v>0</v>
      </c>
      <c r="G17" s="419">
        <f>'M4-AUDIT'!F14</f>
        <v>0</v>
      </c>
      <c r="H17" s="419">
        <f>'M5-ICPI'!D14</f>
        <v>1</v>
      </c>
      <c r="I17" s="419">
        <f>'M5-ICPI'!C14</f>
        <v>2.2791758387949959E-2</v>
      </c>
      <c r="J17" s="419">
        <f t="shared" si="2"/>
        <v>0</v>
      </c>
      <c r="K17" s="423" t="str">
        <f t="shared" si="3"/>
        <v>RUPTURA TOTAL</v>
      </c>
      <c r="L17" s="419" t="str">
        <f t="shared" si="4"/>
        <v>Vi=0: Sin evidencia documental — falla trazabilidad §3.4</v>
      </c>
      <c r="M17" s="419" t="str">
        <f t="shared" si="5"/>
        <v>Inicio sumario administrativo — LOSEP Art.80 + COOTAD Art.339</v>
      </c>
      <c r="N17" s="419" t="str">
        <f t="shared" si="6"/>
        <v>LOSEP Art.80 + COOTAD Art.339 + COA Art.196</v>
      </c>
      <c r="O17" s="419">
        <v>30</v>
      </c>
      <c r="P17" s="419">
        <v>38</v>
      </c>
      <c r="Q17" s="419">
        <v>45</v>
      </c>
      <c r="R17" s="419">
        <v>51</v>
      </c>
      <c r="S17" s="419">
        <v>55</v>
      </c>
      <c r="T17" s="419">
        <v>58.5</v>
      </c>
      <c r="U17" s="419" t="str">
        <f t="shared" si="0"/>
        <v>↗ Mejorando</v>
      </c>
      <c r="V17" s="419">
        <f t="shared" si="1"/>
        <v>7.5</v>
      </c>
      <c r="W17" s="419" t="s">
        <v>1999</v>
      </c>
      <c r="X17" s="419" t="s">
        <v>2009</v>
      </c>
      <c r="Y17" s="221"/>
      <c r="Z17" s="986"/>
    </row>
    <row r="18" spans="1:26" s="11" customFormat="1" ht="16.05" customHeight="1" x14ac:dyDescent="0.3">
      <c r="A18" s="999" t="str">
        <f>'M4-AUDIT'!A15</f>
        <v>PDOT.PI.OE4.FI.01</v>
      </c>
      <c r="B18" s="991" t="str">
        <f>'M4-AUDIT'!O15</f>
        <v>— revisar</v>
      </c>
      <c r="C18" s="358">
        <f>'M4-AUDIT'!P15</f>
        <v>1</v>
      </c>
      <c r="D18" s="358">
        <v>1</v>
      </c>
      <c r="E18" s="358">
        <v>1</v>
      </c>
      <c r="F18" s="358">
        <f>'M4-AUDIT'!H15</f>
        <v>0.3</v>
      </c>
      <c r="G18" s="358">
        <f>'M4-AUDIT'!F15</f>
        <v>1</v>
      </c>
      <c r="H18" s="358">
        <f>'M5-ICPI'!D15</f>
        <v>0.5</v>
      </c>
      <c r="I18" s="358">
        <f>'M5-ICPI'!C15</f>
        <v>1.8567422225707814E-2</v>
      </c>
      <c r="J18" s="358">
        <f t="shared" si="2"/>
        <v>30</v>
      </c>
      <c r="K18" s="356" t="str">
        <f t="shared" si="3"/>
        <v>GESTIÓN POR OCURRENCIA</v>
      </c>
      <c r="L18" s="358" t="str">
        <f t="shared" si="4"/>
        <v>Ti&lt;60%: Subejecución moderada — requiere plan mejora</v>
      </c>
      <c r="M18" s="358" t="str">
        <f t="shared" si="5"/>
        <v>Memorando de llamada de atención — COA Art.196</v>
      </c>
      <c r="N18" s="358" t="str">
        <f t="shared" si="6"/>
        <v>LOSEP Art.80 + COOTAD Art.339 + COA Art.196</v>
      </c>
      <c r="O18" s="358">
        <v>30</v>
      </c>
      <c r="P18" s="358">
        <v>31</v>
      </c>
      <c r="Q18" s="358">
        <v>33</v>
      </c>
      <c r="R18" s="358">
        <v>34</v>
      </c>
      <c r="S18" s="358">
        <v>35</v>
      </c>
      <c r="T18" s="358">
        <v>35</v>
      </c>
      <c r="U18" s="358" t="str">
        <f t="shared" si="0"/>
        <v>→ Estable</v>
      </c>
      <c r="V18" s="358">
        <f t="shared" si="1"/>
        <v>1</v>
      </c>
      <c r="W18" s="358" t="s">
        <v>1999</v>
      </c>
      <c r="X18" s="358" t="s">
        <v>2010</v>
      </c>
      <c r="Y18" s="139"/>
      <c r="Z18" s="985"/>
    </row>
    <row r="19" spans="1:26" s="11" customFormat="1" ht="16.05" customHeight="1" x14ac:dyDescent="0.3">
      <c r="A19" s="999" t="str">
        <f>'M4-AUDIT'!A16</f>
        <v>PDOT.AS.VV.HB.01</v>
      </c>
      <c r="B19" s="992" t="str">
        <f>'M4-AUDIT'!O16</f>
        <v>— revisar</v>
      </c>
      <c r="C19" s="419">
        <f>'M4-AUDIT'!P16</f>
        <v>1</v>
      </c>
      <c r="D19" s="419">
        <v>1</v>
      </c>
      <c r="E19" s="419">
        <v>0</v>
      </c>
      <c r="F19" s="419">
        <f>'M4-AUDIT'!H16</f>
        <v>1</v>
      </c>
      <c r="G19" s="419">
        <f>'M4-AUDIT'!F16</f>
        <v>1</v>
      </c>
      <c r="H19" s="419">
        <f>'M5-ICPI'!D16</f>
        <v>0.5</v>
      </c>
      <c r="I19" s="419">
        <f>'M5-ICPI'!C16</f>
        <v>1.8292145981963669E-2</v>
      </c>
      <c r="J19" s="419">
        <f t="shared" si="2"/>
        <v>0</v>
      </c>
      <c r="K19" s="423" t="str">
        <f t="shared" si="3"/>
        <v>RUPTURA TOTAL</v>
      </c>
      <c r="L19" s="419" t="str">
        <f t="shared" si="4"/>
        <v>PAC=0: Planificado pero no contratado — inacción operativa</v>
      </c>
      <c r="M19" s="419" t="str">
        <f t="shared" si="5"/>
        <v>Inicio sumario administrativo — LOSEP Art.80 + COOTAD Art.339</v>
      </c>
      <c r="N19" s="419" t="str">
        <f t="shared" si="6"/>
        <v>LOSEP Art.80 + COOTAD Art.339 + COA Art.196</v>
      </c>
      <c r="O19" s="419">
        <v>0</v>
      </c>
      <c r="P19" s="419">
        <v>0</v>
      </c>
      <c r="Q19" s="419">
        <v>0</v>
      </c>
      <c r="R19" s="419">
        <v>0</v>
      </c>
      <c r="S19" s="419">
        <v>0</v>
      </c>
      <c r="T19" s="419">
        <v>0</v>
      </c>
      <c r="U19" s="419" t="str">
        <f t="shared" si="0"/>
        <v>→ Estable</v>
      </c>
      <c r="V19" s="419">
        <f t="shared" si="1"/>
        <v>0</v>
      </c>
      <c r="W19" s="419" t="s">
        <v>1999</v>
      </c>
      <c r="X19" s="978" t="s">
        <v>2011</v>
      </c>
      <c r="Y19" s="221"/>
      <c r="Z19" s="986"/>
    </row>
    <row r="20" spans="1:26" s="11" customFormat="1" ht="16.05" customHeight="1" x14ac:dyDescent="0.3">
      <c r="A20" s="999" t="str">
        <f>'M4-AUDIT'!A17</f>
        <v>PDOT.SC.PA.CP.01</v>
      </c>
      <c r="B20" s="991" t="str">
        <f>'M4-AUDIT'!O17</f>
        <v>— revisar</v>
      </c>
      <c r="C20" s="358">
        <f>'M4-AUDIT'!P17</f>
        <v>1</v>
      </c>
      <c r="D20" s="358">
        <v>1</v>
      </c>
      <c r="E20" s="358">
        <v>1</v>
      </c>
      <c r="F20" s="358">
        <f>'M4-AUDIT'!H17</f>
        <v>0.2</v>
      </c>
      <c r="G20" s="358">
        <f>'M4-AUDIT'!F17</f>
        <v>0</v>
      </c>
      <c r="H20" s="358">
        <f>'M5-ICPI'!D17</f>
        <v>0.5</v>
      </c>
      <c r="I20" s="358">
        <f>'M5-ICPI'!C17</f>
        <v>1.2570245641197094E-2</v>
      </c>
      <c r="J20" s="358">
        <f t="shared" si="2"/>
        <v>0</v>
      </c>
      <c r="K20" s="356" t="str">
        <f t="shared" si="3"/>
        <v>RUPTURA TOTAL</v>
      </c>
      <c r="L20" s="358" t="str">
        <f t="shared" si="4"/>
        <v>Vi=0: Sin evidencia documental — falla trazabilidad §3.4</v>
      </c>
      <c r="M20" s="358" t="str">
        <f t="shared" si="5"/>
        <v>Inicio sumario administrativo — LOSEP Art.80 + COOTAD Art.339</v>
      </c>
      <c r="N20" s="358" t="str">
        <f t="shared" si="6"/>
        <v>LOSEP Art.80 + COOTAD Art.339 + COA Art.196</v>
      </c>
      <c r="O20" s="358">
        <v>50</v>
      </c>
      <c r="P20" s="358">
        <v>58</v>
      </c>
      <c r="Q20" s="358">
        <v>65</v>
      </c>
      <c r="R20" s="358">
        <v>70</v>
      </c>
      <c r="S20" s="358">
        <v>75</v>
      </c>
      <c r="T20" s="358">
        <v>80</v>
      </c>
      <c r="U20" s="358" t="str">
        <f t="shared" si="0"/>
        <v>↗ Mejorando</v>
      </c>
      <c r="V20" s="358">
        <f t="shared" si="1"/>
        <v>10</v>
      </c>
      <c r="W20" s="358" t="s">
        <v>450</v>
      </c>
      <c r="X20" s="358" t="s">
        <v>2012</v>
      </c>
      <c r="Y20" s="139"/>
      <c r="Z20" s="985"/>
    </row>
    <row r="21" spans="1:26" s="11" customFormat="1" ht="16.05" customHeight="1" x14ac:dyDescent="0.3">
      <c r="A21" s="999" t="str">
        <f>'M4-AUDIT'!A18</f>
        <v>PDOT.EP.OE5.PD.01</v>
      </c>
      <c r="B21" s="992" t="str">
        <f>'M4-AUDIT'!O18</f>
        <v>— revisar</v>
      </c>
      <c r="C21" s="419">
        <f>'M4-AUDIT'!P18</f>
        <v>1</v>
      </c>
      <c r="D21" s="419">
        <v>1</v>
      </c>
      <c r="E21" s="419">
        <v>1</v>
      </c>
      <c r="F21" s="419">
        <f>'M4-AUDIT'!H18</f>
        <v>0.7</v>
      </c>
      <c r="G21" s="419">
        <f>'M4-AUDIT'!F18</f>
        <v>1</v>
      </c>
      <c r="H21" s="419">
        <f>'M5-ICPI'!D18</f>
        <v>1</v>
      </c>
      <c r="I21" s="419">
        <f>'M5-ICPI'!C18</f>
        <v>9.8620480945433697E-3</v>
      </c>
      <c r="J21" s="419">
        <f t="shared" si="2"/>
        <v>70</v>
      </c>
      <c r="K21" s="423" t="str">
        <f t="shared" si="3"/>
        <v>GESTIÓN POR MANDATO</v>
      </c>
      <c r="L21" s="419" t="str">
        <f t="shared" si="4"/>
        <v>Gestión aceptable — mantener ritmo</v>
      </c>
      <c r="M21" s="419" t="str">
        <f t="shared" si="5"/>
        <v>Mantener — reconocimiento potencial LOSEP Art.78</v>
      </c>
      <c r="N21" s="419" t="str">
        <f t="shared" si="6"/>
        <v>LOSEP Art.76-77</v>
      </c>
      <c r="O21" s="419">
        <v>30</v>
      </c>
      <c r="P21" s="419">
        <v>32</v>
      </c>
      <c r="Q21" s="419">
        <v>33</v>
      </c>
      <c r="R21" s="419">
        <v>34</v>
      </c>
      <c r="S21" s="419">
        <v>35</v>
      </c>
      <c r="T21" s="419">
        <v>35</v>
      </c>
      <c r="U21" s="419" t="str">
        <f t="shared" si="0"/>
        <v>→ Estable</v>
      </c>
      <c r="V21" s="419">
        <f t="shared" si="1"/>
        <v>1</v>
      </c>
      <c r="W21" s="419" t="s">
        <v>1999</v>
      </c>
      <c r="X21" s="419" t="s">
        <v>2013</v>
      </c>
      <c r="Y21" s="221"/>
      <c r="Z21" s="986"/>
    </row>
    <row r="22" spans="1:26" s="11" customFormat="1" ht="16.05" customHeight="1" x14ac:dyDescent="0.3">
      <c r="A22" s="999" t="str">
        <f>'M4-AUDIT'!A19</f>
        <v>PDOT.SC.PA.CP.02</v>
      </c>
      <c r="B22" s="991" t="str">
        <f>'M4-AUDIT'!O19</f>
        <v>— revisar</v>
      </c>
      <c r="C22" s="358">
        <f>'M4-AUDIT'!P19</f>
        <v>1</v>
      </c>
      <c r="D22" s="358">
        <v>1</v>
      </c>
      <c r="E22" s="358">
        <v>0</v>
      </c>
      <c r="F22" s="358">
        <f>'M4-AUDIT'!H19</f>
        <v>1</v>
      </c>
      <c r="G22" s="358">
        <f>'M4-AUDIT'!F19</f>
        <v>1</v>
      </c>
      <c r="H22" s="358">
        <f>'M5-ICPI'!D19</f>
        <v>0.5</v>
      </c>
      <c r="I22" s="358">
        <f>'M5-ICPI'!C19</f>
        <v>8.6459571177000243E-3</v>
      </c>
      <c r="J22" s="358">
        <f t="shared" si="2"/>
        <v>0</v>
      </c>
      <c r="K22" s="356" t="str">
        <f t="shared" si="3"/>
        <v>RUPTURA TOTAL</v>
      </c>
      <c r="L22" s="358" t="str">
        <f t="shared" si="4"/>
        <v>PAC=0: Planificado pero no contratado — inacción operativa</v>
      </c>
      <c r="M22" s="358" t="str">
        <f t="shared" si="5"/>
        <v>Inicio sumario administrativo — LOSEP Art.80 + COOTAD Art.339</v>
      </c>
      <c r="N22" s="358" t="str">
        <f t="shared" si="6"/>
        <v>LOSEP Art.80 + COOTAD Art.339 + COA Art.196</v>
      </c>
      <c r="O22" s="358">
        <v>20</v>
      </c>
      <c r="P22" s="358">
        <v>24</v>
      </c>
      <c r="Q22" s="358">
        <v>27</v>
      </c>
      <c r="R22" s="358">
        <v>30</v>
      </c>
      <c r="S22" s="358">
        <v>31</v>
      </c>
      <c r="T22" s="358">
        <v>31.5</v>
      </c>
      <c r="U22" s="358" t="str">
        <f t="shared" si="0"/>
        <v>↗ Mejorando</v>
      </c>
      <c r="V22" s="358">
        <f t="shared" si="1"/>
        <v>1.5</v>
      </c>
      <c r="W22" s="358" t="s">
        <v>1999</v>
      </c>
      <c r="X22" s="358" t="s">
        <v>2014</v>
      </c>
      <c r="Y22" s="139"/>
      <c r="Z22" s="985"/>
    </row>
    <row r="23" spans="1:26" s="11" customFormat="1" ht="16.05" customHeight="1" x14ac:dyDescent="0.3">
      <c r="A23" s="999" t="str">
        <f>'M4-AUDIT'!A20</f>
        <v>PDOT.AS.VL.SV.01</v>
      </c>
      <c r="B23" s="992" t="str">
        <f>'M4-AUDIT'!O20</f>
        <v>— revisar</v>
      </c>
      <c r="C23" s="419">
        <f>'M4-AUDIT'!P20</f>
        <v>1</v>
      </c>
      <c r="D23" s="419">
        <v>1</v>
      </c>
      <c r="E23" s="419">
        <v>0</v>
      </c>
      <c r="F23" s="419">
        <f>'M4-AUDIT'!H20</f>
        <v>0.35</v>
      </c>
      <c r="G23" s="419">
        <f>'M4-AUDIT'!F20</f>
        <v>1</v>
      </c>
      <c r="H23" s="419">
        <f>'M5-ICPI'!D20</f>
        <v>0.5</v>
      </c>
      <c r="I23" s="419">
        <f>'M5-ICPI'!C20</f>
        <v>3.3410244747549434E-3</v>
      </c>
      <c r="J23" s="419">
        <f t="shared" si="2"/>
        <v>0</v>
      </c>
      <c r="K23" s="423" t="str">
        <f t="shared" si="3"/>
        <v>RUPTURA TOTAL</v>
      </c>
      <c r="L23" s="419" t="str">
        <f t="shared" si="4"/>
        <v>PAC=0: Planificado pero no contratado — inacción operativa</v>
      </c>
      <c r="M23" s="419" t="str">
        <f t="shared" si="5"/>
        <v>Inicio sumario administrativo — LOSEP Art.80 + COOTAD Art.339</v>
      </c>
      <c r="N23" s="419" t="str">
        <f t="shared" si="6"/>
        <v>LOSEP Art.80 + COOTAD Art.339 + COA Art.196</v>
      </c>
      <c r="O23" s="419">
        <v>35</v>
      </c>
      <c r="P23" s="419">
        <v>40</v>
      </c>
      <c r="Q23" s="419">
        <v>45</v>
      </c>
      <c r="R23" s="419">
        <v>50</v>
      </c>
      <c r="S23" s="419">
        <v>55</v>
      </c>
      <c r="T23" s="419">
        <v>58.5</v>
      </c>
      <c r="U23" s="419" t="str">
        <f t="shared" si="0"/>
        <v>↗ Mejorando</v>
      </c>
      <c r="V23" s="419">
        <f t="shared" si="1"/>
        <v>8.5</v>
      </c>
      <c r="W23" s="419" t="s">
        <v>1999</v>
      </c>
      <c r="X23" s="419" t="s">
        <v>2015</v>
      </c>
      <c r="Y23" s="221"/>
      <c r="Z23" s="986"/>
    </row>
    <row r="24" spans="1:26" s="11" customFormat="1" ht="16.05" customHeight="1" x14ac:dyDescent="0.3">
      <c r="A24" s="999" t="str">
        <f>'M4-AUDIT'!A21</f>
        <v>PDOT.SC.OE2.M2.01</v>
      </c>
      <c r="B24" s="991" t="str">
        <f>'M4-AUDIT'!O21</f>
        <v>Dirección de Desarrollo Social y Cultural</v>
      </c>
      <c r="C24" s="358">
        <f>'M4-AUDIT'!P21</f>
        <v>1</v>
      </c>
      <c r="D24" s="358">
        <v>1</v>
      </c>
      <c r="E24" s="358">
        <v>1</v>
      </c>
      <c r="F24" s="358">
        <f>'M4-AUDIT'!H21</f>
        <v>0.3</v>
      </c>
      <c r="G24" s="358">
        <f>'M4-AUDIT'!F21</f>
        <v>1</v>
      </c>
      <c r="H24" s="358">
        <f>'M5-ICPI'!D21</f>
        <v>0.5</v>
      </c>
      <c r="I24" s="358">
        <f>'M5-ICPI'!C21</f>
        <v>6.5260407845644242E-3</v>
      </c>
      <c r="J24" s="358">
        <f t="shared" si="2"/>
        <v>30</v>
      </c>
      <c r="K24" s="356" t="str">
        <f t="shared" si="3"/>
        <v>GESTIÓN POR OCURRENCIA</v>
      </c>
      <c r="L24" s="358" t="str">
        <f t="shared" si="4"/>
        <v>Ti&lt;60%: Subejecución moderada — requiere plan mejora</v>
      </c>
      <c r="M24" s="358" t="str">
        <f t="shared" si="5"/>
        <v>Memorando de llamada de atención — COA Art.196</v>
      </c>
      <c r="N24" s="358" t="str">
        <f t="shared" si="6"/>
        <v>LOSEP Art.80 + COOTAD Art.339 + COA Art.196</v>
      </c>
      <c r="O24" s="358">
        <v>78</v>
      </c>
      <c r="P24" s="358">
        <v>83</v>
      </c>
      <c r="Q24" s="358">
        <v>86</v>
      </c>
      <c r="R24" s="358">
        <v>89</v>
      </c>
      <c r="S24" s="358">
        <v>90</v>
      </c>
      <c r="T24" s="358">
        <v>90</v>
      </c>
      <c r="U24" s="358" t="str">
        <f t="shared" si="0"/>
        <v>→ Estable</v>
      </c>
      <c r="V24" s="358">
        <f t="shared" si="1"/>
        <v>1</v>
      </c>
      <c r="W24" s="358" t="s">
        <v>450</v>
      </c>
      <c r="X24" s="358" t="s">
        <v>2016</v>
      </c>
      <c r="Y24" s="139"/>
      <c r="Z24" s="985"/>
    </row>
    <row r="25" spans="1:26" s="11" customFormat="1" ht="16.05" customHeight="1" x14ac:dyDescent="0.3">
      <c r="A25" s="999" t="str">
        <f>'M4-AUDIT'!A22</f>
        <v>PDOT.FA.OE2.MA.01</v>
      </c>
      <c r="B25" s="992" t="str">
        <f>'M4-AUDIT'!O22</f>
        <v>— revisar</v>
      </c>
      <c r="C25" s="419">
        <f>'M4-AUDIT'!P22</f>
        <v>1</v>
      </c>
      <c r="D25" s="419">
        <v>1</v>
      </c>
      <c r="E25" s="419">
        <v>1</v>
      </c>
      <c r="F25" s="419">
        <f>'M4-AUDIT'!H22</f>
        <v>1</v>
      </c>
      <c r="G25" s="419">
        <f>'M4-AUDIT'!F22</f>
        <v>1</v>
      </c>
      <c r="H25" s="419">
        <f>'M5-ICPI'!D22</f>
        <v>1</v>
      </c>
      <c r="I25" s="419">
        <f>'M5-ICPI'!C22</f>
        <v>4.6570782668677018E-3</v>
      </c>
      <c r="J25" s="419">
        <f t="shared" si="2"/>
        <v>100</v>
      </c>
      <c r="K25" s="423" t="str">
        <f t="shared" si="3"/>
        <v>EXCELENCIA</v>
      </c>
      <c r="L25" s="419" t="str">
        <f t="shared" si="4"/>
        <v>Gestión aceptable — mantener ritmo</v>
      </c>
      <c r="M25" s="419" t="str">
        <f t="shared" si="5"/>
        <v>Mantener — reconocimiento potencial LOSEP Art.78</v>
      </c>
      <c r="N25" s="419" t="str">
        <f t="shared" si="6"/>
        <v>LOSEP Art.76-77</v>
      </c>
      <c r="O25" s="419">
        <v>25</v>
      </c>
      <c r="P25" s="419">
        <v>30</v>
      </c>
      <c r="Q25" s="419">
        <v>34</v>
      </c>
      <c r="R25" s="419">
        <v>38</v>
      </c>
      <c r="S25" s="419">
        <v>42</v>
      </c>
      <c r="T25" s="419">
        <v>45</v>
      </c>
      <c r="U25" s="419" t="str">
        <f t="shared" si="0"/>
        <v>↗ Mejorando</v>
      </c>
      <c r="V25" s="419">
        <f t="shared" si="1"/>
        <v>7</v>
      </c>
      <c r="W25" s="419" t="s">
        <v>1999</v>
      </c>
      <c r="X25" s="419" t="s">
        <v>2017</v>
      </c>
      <c r="Y25" s="221"/>
      <c r="Z25" s="986"/>
    </row>
    <row r="26" spans="1:26" s="11" customFormat="1" ht="16.05" customHeight="1" x14ac:dyDescent="0.3">
      <c r="A26" s="999" t="str">
        <f>'M4-AUDIT'!A23</f>
        <v>PDOT.AS.VL.M1.01</v>
      </c>
      <c r="B26" s="991" t="str">
        <f>'M4-AUDIT'!O23</f>
        <v>Dirección de Obras Públicas</v>
      </c>
      <c r="C26" s="358">
        <f>'M4-AUDIT'!P23</f>
        <v>1</v>
      </c>
      <c r="D26" s="358">
        <v>1</v>
      </c>
      <c r="E26" s="358">
        <v>1</v>
      </c>
      <c r="F26" s="358">
        <f>'M4-AUDIT'!H23</f>
        <v>0.25</v>
      </c>
      <c r="G26" s="358">
        <f>'M4-AUDIT'!F23</f>
        <v>1</v>
      </c>
      <c r="H26" s="358">
        <f>'M5-ICPI'!D23</f>
        <v>1</v>
      </c>
      <c r="I26" s="358">
        <f>'M5-ICPI'!C23</f>
        <v>4.3831324864637197E-3</v>
      </c>
      <c r="J26" s="358">
        <f t="shared" si="2"/>
        <v>25</v>
      </c>
      <c r="K26" s="356" t="str">
        <f t="shared" si="3"/>
        <v>GESTIÓN POR OCURRENCIA</v>
      </c>
      <c r="L26" s="358" t="str">
        <f t="shared" si="4"/>
        <v>Ti&lt;30%: Subejecución crítica — falla seguimiento</v>
      </c>
      <c r="M26" s="358" t="str">
        <f t="shared" si="5"/>
        <v>Inicio sumario administrativo — LOSEP Art.80 + COOTAD Art.339</v>
      </c>
      <c r="N26" s="358" t="str">
        <f t="shared" si="6"/>
        <v>LOSEP Art.80 + COOTAD Art.339 + COA Art.196</v>
      </c>
      <c r="O26" s="358"/>
      <c r="P26" s="358"/>
      <c r="Q26" s="358"/>
      <c r="R26" s="358"/>
      <c r="S26" s="358"/>
      <c r="T26" s="358"/>
      <c r="U26" s="358"/>
      <c r="V26" s="358"/>
      <c r="W26" s="358"/>
      <c r="X26" s="358"/>
      <c r="Y26" s="139"/>
      <c r="Z26" s="985"/>
    </row>
    <row r="27" spans="1:26" s="11" customFormat="1" ht="16.05" customHeight="1" x14ac:dyDescent="0.3">
      <c r="A27" s="999"/>
      <c r="B27" s="993"/>
      <c r="C27" s="979"/>
      <c r="D27" s="979"/>
      <c r="E27" s="979"/>
      <c r="F27" s="979"/>
      <c r="G27" s="979"/>
      <c r="H27" s="979"/>
      <c r="I27" s="979"/>
      <c r="J27" s="979"/>
      <c r="K27" s="979"/>
      <c r="L27" s="979"/>
      <c r="M27" s="979"/>
      <c r="N27" s="979"/>
      <c r="O27" s="979"/>
      <c r="P27" s="979"/>
      <c r="Q27" s="979"/>
      <c r="R27" s="979"/>
      <c r="S27" s="979"/>
      <c r="T27" s="979"/>
      <c r="U27" s="979"/>
      <c r="V27" s="979"/>
      <c r="W27" s="979"/>
      <c r="X27" s="979"/>
      <c r="Y27" s="221"/>
      <c r="Z27" s="986"/>
    </row>
    <row r="28" spans="1:26" s="11" customFormat="1" ht="19.95" customHeight="1" x14ac:dyDescent="0.3">
      <c r="A28" s="1797" t="s">
        <v>2018</v>
      </c>
      <c r="B28" s="1798"/>
      <c r="C28" s="1798"/>
      <c r="D28" s="1798"/>
      <c r="E28" s="1798"/>
      <c r="F28" s="1798"/>
      <c r="G28" s="1798"/>
      <c r="H28" s="1798"/>
      <c r="I28" s="1798"/>
      <c r="J28" s="1798"/>
      <c r="K28" s="1798"/>
      <c r="L28" s="1798"/>
      <c r="M28" s="1798"/>
      <c r="N28" s="1798"/>
      <c r="O28" s="1798"/>
      <c r="P28" s="1798"/>
      <c r="Q28" s="1798"/>
      <c r="R28" s="1798"/>
      <c r="S28" s="1798"/>
      <c r="T28" s="1798"/>
      <c r="U28" s="1798"/>
      <c r="V28" s="1798"/>
      <c r="W28" s="1798"/>
      <c r="X28" s="1798"/>
      <c r="Y28" s="1798"/>
      <c r="Z28" s="1799"/>
    </row>
    <row r="29" spans="1:26" s="11" customFormat="1" ht="16.05" customHeight="1" x14ac:dyDescent="0.3">
      <c r="A29" s="999" t="s">
        <v>2019</v>
      </c>
      <c r="B29" s="992" t="s">
        <v>669</v>
      </c>
      <c r="C29" s="419" t="s">
        <v>2020</v>
      </c>
      <c r="D29" s="419" t="s">
        <v>2021</v>
      </c>
      <c r="E29" s="419" t="s">
        <v>2022</v>
      </c>
      <c r="F29" s="419" t="s">
        <v>1992</v>
      </c>
      <c r="G29" s="419" t="s">
        <v>2023</v>
      </c>
      <c r="H29" s="419" t="s">
        <v>2024</v>
      </c>
      <c r="I29" s="419" t="s">
        <v>2025</v>
      </c>
      <c r="J29" s="419"/>
      <c r="K29" s="419"/>
      <c r="L29" s="419"/>
      <c r="M29" s="419"/>
      <c r="N29" s="419"/>
      <c r="O29" s="419"/>
      <c r="P29" s="419"/>
      <c r="Q29" s="419"/>
      <c r="R29" s="419"/>
      <c r="S29" s="419"/>
      <c r="T29" s="419"/>
      <c r="U29" s="419"/>
      <c r="V29" s="419"/>
      <c r="W29" s="419"/>
      <c r="X29" s="419"/>
      <c r="Y29" s="221"/>
      <c r="Z29" s="986"/>
    </row>
    <row r="30" spans="1:26" s="11" customFormat="1" ht="16.05" customHeight="1" x14ac:dyDescent="0.3">
      <c r="A30" s="999" t="s">
        <v>89</v>
      </c>
      <c r="B30" s="991">
        <f>IFERROR(VLOOKUP(A30,'M3-MAO'!$C$3:$G$23,5,0),1)</f>
        <v>1</v>
      </c>
      <c r="C30" s="358">
        <f>COUNTIF(B7:B26,A30)</f>
        <v>3</v>
      </c>
      <c r="D30" s="358">
        <f t="array" ref="D30">SUMPRODUCT((B7:B26=A30)*1,'M2-PLAN-Pi'!E$13:E$32)</f>
        <v>3107659.46</v>
      </c>
      <c r="E30" s="358">
        <f>IFERROR(AVERAGEIF(B7:B26,A30,J7:J26),"-")</f>
        <v>38.333333333333336</v>
      </c>
      <c r="F30" s="360" t="str">
        <f t="shared" ref="F30:F37" si="7">IF(E30="-","—",IF(E30&gt;=96,"⭐ EXCELENTE",IF(E30&gt;=85,"✅ MUY BUENO",IF(E30&gt;=70,"🟢 SATISFACTORIO",IF(E30&gt;=60,"🟡 REGULAR","🔴 INACEPTABLE")))))</f>
        <v>🔴 INACEPTABLE</v>
      </c>
      <c r="G30" s="358">
        <f t="array" ref="G30">SUMPRODUCT((B7:B26=A30)*(G7:G26=0))</f>
        <v>1</v>
      </c>
      <c r="H30" s="358" t="str">
        <f t="shared" ref="H30:H37" si="8">IF(E30="-","Sin metas asignadas",IF(E30&gt;=96,"Felicitación pública + registro SIITH — LOSEP Art.78",IF(E30&gt;=85,"Reconocimiento escrito — LOSEP Art.77",IF(E30&gt;=70,"Sin acción correctiva — LOSEP Art.76",IF(E30&gt;=60,"Plan mejora 90 días + seguimiento — LOSEP Art.77","Sumario administrativo 48h — LOSEP Art.80 + COOTAD Art.339")))))</f>
        <v>Sumario administrativo 48h — LOSEP Art.80 + COOTAD Art.339</v>
      </c>
      <c r="I30" s="358" t="str">
        <f t="shared" ref="I30:I37" si="9">IF(E30="-","—",IF(E30&gt;=96,"Art.78 LOSEP",IF(E30&gt;=85,"Art.77 LOSEP",IF(E30&gt;=70,"Art.76 LOSEP",IF(E30&gt;=60,"Art.77 LOSEP (plan mejora)","Art.80 LOSEP + Art.339 COOTAD")))))</f>
        <v>Art.80 LOSEP + Art.339 COOTAD</v>
      </c>
      <c r="J30" s="358"/>
      <c r="K30" s="358"/>
      <c r="L30" s="358"/>
      <c r="M30" s="358"/>
      <c r="N30" s="358"/>
      <c r="O30" s="358"/>
      <c r="P30" s="358"/>
      <c r="Q30" s="358"/>
      <c r="R30" s="358"/>
      <c r="S30" s="358"/>
      <c r="T30" s="358"/>
      <c r="U30" s="358"/>
      <c r="V30" s="358"/>
      <c r="W30" s="358"/>
      <c r="X30" s="358"/>
      <c r="Y30" s="139"/>
      <c r="Z30" s="985"/>
    </row>
    <row r="31" spans="1:26" ht="19.95" customHeight="1" x14ac:dyDescent="0.3">
      <c r="A31" s="1797" t="s">
        <v>91</v>
      </c>
      <c r="B31" s="1798"/>
      <c r="C31" s="1798"/>
      <c r="D31" s="1798"/>
      <c r="E31" s="1798"/>
      <c r="F31" s="1798"/>
      <c r="G31" s="1798"/>
      <c r="H31" s="1798"/>
      <c r="I31" s="1798"/>
      <c r="J31" s="1798"/>
      <c r="K31" s="1798"/>
      <c r="L31" s="1798"/>
      <c r="M31" s="1798"/>
      <c r="N31" s="1798"/>
      <c r="O31" s="1798"/>
      <c r="P31" s="1798"/>
      <c r="Q31" s="1798"/>
      <c r="R31" s="1798"/>
      <c r="S31" s="1798"/>
      <c r="T31" s="1798"/>
      <c r="U31" s="1798"/>
      <c r="V31" s="1798"/>
      <c r="W31" s="1798"/>
      <c r="X31" s="1798"/>
      <c r="Y31" s="1798"/>
      <c r="Z31" s="1799"/>
    </row>
    <row r="32" spans="1:26" ht="19.95" customHeight="1" x14ac:dyDescent="0.3">
      <c r="A32" s="1797" t="s">
        <v>94</v>
      </c>
      <c r="B32" s="1798"/>
      <c r="C32" s="1798"/>
      <c r="D32" s="1798"/>
      <c r="E32" s="1798"/>
      <c r="F32" s="1798"/>
      <c r="G32" s="1798"/>
      <c r="H32" s="1798"/>
      <c r="I32" s="1798"/>
      <c r="J32" s="1798"/>
      <c r="K32" s="1798"/>
      <c r="L32" s="1798"/>
      <c r="M32" s="1798"/>
      <c r="N32" s="1798"/>
      <c r="O32" s="1798"/>
      <c r="P32" s="1798"/>
      <c r="Q32" s="1798"/>
      <c r="R32" s="1798"/>
      <c r="S32" s="1798"/>
      <c r="T32" s="1798"/>
      <c r="U32" s="1798"/>
      <c r="V32" s="1798"/>
      <c r="W32" s="1798"/>
      <c r="X32" s="1798"/>
      <c r="Y32" s="1798"/>
      <c r="Z32" s="1799"/>
    </row>
    <row r="33" spans="1:26" ht="19.95" customHeight="1" x14ac:dyDescent="0.3">
      <c r="A33" s="1797" t="s">
        <v>791</v>
      </c>
      <c r="B33" s="1798"/>
      <c r="C33" s="1798"/>
      <c r="D33" s="1798"/>
      <c r="E33" s="1798"/>
      <c r="F33" s="1798"/>
      <c r="G33" s="1798"/>
      <c r="H33" s="1798"/>
      <c r="I33" s="1798"/>
      <c r="J33" s="1798"/>
      <c r="K33" s="1798"/>
      <c r="L33" s="1798"/>
      <c r="M33" s="1798"/>
      <c r="N33" s="1798"/>
      <c r="O33" s="1798"/>
      <c r="P33" s="1798"/>
      <c r="Q33" s="1798"/>
      <c r="R33" s="1798"/>
      <c r="S33" s="1798"/>
      <c r="T33" s="1798"/>
      <c r="U33" s="1798"/>
      <c r="V33" s="1798"/>
      <c r="W33" s="1798"/>
      <c r="X33" s="1798"/>
      <c r="Y33" s="1798"/>
      <c r="Z33" s="1799"/>
    </row>
    <row r="34" spans="1:26" ht="19.95" customHeight="1" x14ac:dyDescent="0.3">
      <c r="A34" s="1797" t="s">
        <v>87</v>
      </c>
      <c r="B34" s="1798"/>
      <c r="C34" s="1798"/>
      <c r="D34" s="1798"/>
      <c r="E34" s="1798"/>
      <c r="F34" s="1798"/>
      <c r="G34" s="1798"/>
      <c r="H34" s="1798"/>
      <c r="I34" s="1798"/>
      <c r="J34" s="1798"/>
      <c r="K34" s="1798"/>
      <c r="L34" s="1798"/>
      <c r="M34" s="1798"/>
      <c r="N34" s="1798"/>
      <c r="O34" s="1798"/>
      <c r="P34" s="1798"/>
      <c r="Q34" s="1798"/>
      <c r="R34" s="1798"/>
      <c r="S34" s="1798"/>
      <c r="T34" s="1798"/>
      <c r="U34" s="1798"/>
      <c r="V34" s="1798"/>
      <c r="W34" s="1798"/>
      <c r="X34" s="1798"/>
      <c r="Y34" s="1798"/>
      <c r="Z34" s="1799"/>
    </row>
    <row r="35" spans="1:26" ht="19.95" customHeight="1" x14ac:dyDescent="0.3">
      <c r="A35" s="1797" t="s">
        <v>799</v>
      </c>
      <c r="B35" s="1798"/>
      <c r="C35" s="1798"/>
      <c r="D35" s="1798"/>
      <c r="E35" s="1798"/>
      <c r="F35" s="1798"/>
      <c r="G35" s="1798"/>
      <c r="H35" s="1798"/>
      <c r="I35" s="1798"/>
      <c r="J35" s="1798"/>
      <c r="K35" s="1798"/>
      <c r="L35" s="1798"/>
      <c r="M35" s="1798"/>
      <c r="N35" s="1798"/>
      <c r="O35" s="1798"/>
      <c r="P35" s="1798"/>
      <c r="Q35" s="1798"/>
      <c r="R35" s="1798"/>
      <c r="S35" s="1798"/>
      <c r="T35" s="1798"/>
      <c r="U35" s="1798"/>
      <c r="V35" s="1798"/>
      <c r="W35" s="1798"/>
      <c r="X35" s="1798"/>
      <c r="Y35" s="1798"/>
      <c r="Z35" s="1799"/>
    </row>
    <row r="36" spans="1:26" ht="19.95" customHeight="1" x14ac:dyDescent="0.3">
      <c r="A36" s="1797" t="s">
        <v>99</v>
      </c>
      <c r="B36" s="1798"/>
      <c r="C36" s="1798"/>
      <c r="D36" s="1798"/>
      <c r="E36" s="1798"/>
      <c r="F36" s="1798"/>
      <c r="G36" s="1798"/>
      <c r="H36" s="1798"/>
      <c r="I36" s="1798"/>
      <c r="J36" s="1798"/>
      <c r="K36" s="1798"/>
      <c r="L36" s="1798"/>
      <c r="M36" s="1798"/>
      <c r="N36" s="1798"/>
      <c r="O36" s="1798"/>
      <c r="P36" s="1798"/>
      <c r="Q36" s="1798"/>
      <c r="R36" s="1798"/>
      <c r="S36" s="1798"/>
      <c r="T36" s="1798"/>
      <c r="U36" s="1798"/>
      <c r="V36" s="1798"/>
      <c r="W36" s="1798"/>
      <c r="X36" s="1798"/>
      <c r="Y36" s="1798"/>
      <c r="Z36" s="1799"/>
    </row>
    <row r="37" spans="1:26" ht="16.05" customHeight="1" x14ac:dyDescent="0.3">
      <c r="A37" s="999" t="s">
        <v>804</v>
      </c>
      <c r="B37" s="994">
        <f>IFERROR(VLOOKUP(A37,'M3-MAO'!$C$3:$G$23,5,0),1)</f>
        <v>0.75</v>
      </c>
      <c r="C37" s="464">
        <f>COUNTIF(B7:B26,A37)</f>
        <v>1</v>
      </c>
      <c r="D37" s="464">
        <f t="array" ref="D37">SUMPRODUCT((B7:B26=A37)*1,'M2-PLAN-Pi'!E$13:E$32)</f>
        <v>10892760.76</v>
      </c>
      <c r="E37" s="464">
        <f>IFERROR(AVERAGEIF(B7:B26,A37,J7:J26),"-")</f>
        <v>56.25</v>
      </c>
      <c r="F37" s="980" t="str">
        <f t="shared" si="7"/>
        <v>🔴 INACEPTABLE</v>
      </c>
      <c r="G37" s="464">
        <f t="array" ref="G37">SUMPRODUCT((B7:B26=A37)*(G7:G26=0))</f>
        <v>0</v>
      </c>
      <c r="H37" s="419" t="str">
        <f t="shared" si="8"/>
        <v>Sumario administrativo 48h — LOSEP Art.80 + COOTAD Art.339</v>
      </c>
      <c r="I37" s="419" t="str">
        <f t="shared" si="9"/>
        <v>Art.80 LOSEP + Art.339 COOTAD</v>
      </c>
      <c r="J37" s="464"/>
      <c r="K37" s="464"/>
      <c r="L37" s="464"/>
      <c r="M37" s="464"/>
      <c r="N37" s="464"/>
      <c r="O37" s="464"/>
      <c r="P37" s="464"/>
      <c r="Q37" s="464"/>
      <c r="R37" s="464"/>
      <c r="S37" s="464"/>
      <c r="T37" s="464"/>
      <c r="U37" s="464"/>
      <c r="V37" s="464"/>
      <c r="W37" s="464"/>
      <c r="X37" s="464"/>
      <c r="Y37" s="194"/>
      <c r="Z37" s="987"/>
    </row>
    <row r="38" spans="1:26" ht="19.95" customHeight="1" x14ac:dyDescent="0.3">
      <c r="A38" s="1797" t="s">
        <v>811</v>
      </c>
      <c r="B38" s="1798"/>
      <c r="C38" s="1798"/>
      <c r="D38" s="1798"/>
      <c r="E38" s="1798"/>
      <c r="F38" s="1798"/>
      <c r="G38" s="1798"/>
      <c r="H38" s="1798"/>
      <c r="I38" s="1798"/>
      <c r="J38" s="1798"/>
      <c r="K38" s="1798"/>
      <c r="L38" s="1798"/>
      <c r="M38" s="1798"/>
      <c r="N38" s="1798"/>
      <c r="O38" s="1798"/>
      <c r="P38" s="1798"/>
      <c r="Q38" s="1798"/>
      <c r="R38" s="1798"/>
      <c r="S38" s="1798"/>
      <c r="T38" s="1798"/>
      <c r="U38" s="1798"/>
      <c r="V38" s="1798"/>
      <c r="W38" s="1798"/>
      <c r="X38" s="1798"/>
      <c r="Y38" s="1798"/>
      <c r="Z38" s="1799"/>
    </row>
    <row r="39" spans="1:26" ht="19.95" customHeight="1" x14ac:dyDescent="0.3">
      <c r="A39" s="1797" t="s">
        <v>95</v>
      </c>
      <c r="B39" s="1798"/>
      <c r="C39" s="1798"/>
      <c r="D39" s="1798"/>
      <c r="E39" s="1798"/>
      <c r="F39" s="1798"/>
      <c r="G39" s="1798"/>
      <c r="H39" s="1798"/>
      <c r="I39" s="1798"/>
      <c r="J39" s="1798"/>
      <c r="K39" s="1798"/>
      <c r="L39" s="1798"/>
      <c r="M39" s="1798"/>
      <c r="N39" s="1798"/>
      <c r="O39" s="1798"/>
      <c r="P39" s="1798"/>
      <c r="Q39" s="1798"/>
      <c r="R39" s="1798"/>
      <c r="S39" s="1798"/>
      <c r="T39" s="1798"/>
      <c r="U39" s="1798"/>
      <c r="V39" s="1798"/>
      <c r="W39" s="1798"/>
      <c r="X39" s="1798"/>
      <c r="Y39" s="1798"/>
      <c r="Z39" s="1799"/>
    </row>
    <row r="40" spans="1:26" ht="19.95" customHeight="1" x14ac:dyDescent="0.3">
      <c r="A40" s="1797" t="s">
        <v>97</v>
      </c>
      <c r="B40" s="1798"/>
      <c r="C40" s="1798"/>
      <c r="D40" s="1798"/>
      <c r="E40" s="1798"/>
      <c r="F40" s="1798"/>
      <c r="G40" s="1798"/>
      <c r="H40" s="1798"/>
      <c r="I40" s="1798"/>
      <c r="J40" s="1798"/>
      <c r="K40" s="1798"/>
      <c r="L40" s="1798"/>
      <c r="M40" s="1798"/>
      <c r="N40" s="1798"/>
      <c r="O40" s="1798"/>
      <c r="P40" s="1798"/>
      <c r="Q40" s="1798"/>
      <c r="R40" s="1798"/>
      <c r="S40" s="1798"/>
      <c r="T40" s="1798"/>
      <c r="U40" s="1798"/>
      <c r="V40" s="1798"/>
      <c r="W40" s="1798"/>
      <c r="X40" s="1798"/>
      <c r="Y40" s="1798"/>
      <c r="Z40" s="1799"/>
    </row>
    <row r="41" spans="1:26" ht="19.95" customHeight="1" x14ac:dyDescent="0.3">
      <c r="A41" s="1797" t="s">
        <v>818</v>
      </c>
      <c r="B41" s="1798"/>
      <c r="C41" s="1798"/>
      <c r="D41" s="1798"/>
      <c r="E41" s="1798"/>
      <c r="F41" s="1798"/>
      <c r="G41" s="1798"/>
      <c r="H41" s="1798"/>
      <c r="I41" s="1798"/>
      <c r="J41" s="1798"/>
      <c r="K41" s="1798"/>
      <c r="L41" s="1798"/>
      <c r="M41" s="1798"/>
      <c r="N41" s="1798"/>
      <c r="O41" s="1798"/>
      <c r="P41" s="1798"/>
      <c r="Q41" s="1798"/>
      <c r="R41" s="1798"/>
      <c r="S41" s="1798"/>
      <c r="T41" s="1798"/>
      <c r="U41" s="1798"/>
      <c r="V41" s="1798"/>
      <c r="W41" s="1798"/>
      <c r="X41" s="1798"/>
      <c r="Y41" s="1798"/>
      <c r="Z41" s="1799"/>
    </row>
    <row r="42" spans="1:26" ht="16.05" customHeight="1" x14ac:dyDescent="0.3">
      <c r="A42" s="999"/>
      <c r="B42" s="996"/>
      <c r="C42" s="981"/>
      <c r="D42" s="981"/>
      <c r="E42" s="981"/>
      <c r="F42" s="981"/>
      <c r="G42" s="981"/>
      <c r="H42" s="981"/>
      <c r="I42" s="981"/>
      <c r="J42" s="981"/>
      <c r="K42" s="981"/>
      <c r="L42" s="981"/>
      <c r="M42" s="981"/>
      <c r="N42" s="981"/>
      <c r="O42" s="981"/>
      <c r="P42" s="981"/>
      <c r="Q42" s="981"/>
      <c r="R42" s="981"/>
      <c r="S42" s="981"/>
      <c r="T42" s="981"/>
      <c r="U42" s="981"/>
      <c r="V42" s="981"/>
      <c r="W42" s="981"/>
      <c r="X42" s="981"/>
      <c r="Y42" s="104"/>
      <c r="Z42" s="988"/>
    </row>
    <row r="43" spans="1:26" ht="19.95" customHeight="1" x14ac:dyDescent="0.3">
      <c r="A43" s="1940" t="s">
        <v>2026</v>
      </c>
      <c r="B43" s="1798"/>
      <c r="C43" s="1798"/>
      <c r="D43" s="1798"/>
      <c r="E43" s="1798"/>
      <c r="F43" s="1798"/>
      <c r="G43" s="1798"/>
      <c r="H43" s="1798"/>
      <c r="I43" s="1798"/>
      <c r="J43" s="1798"/>
      <c r="K43" s="1798"/>
      <c r="L43" s="1798"/>
      <c r="M43" s="1798"/>
      <c r="N43" s="1798"/>
      <c r="O43" s="1798"/>
      <c r="P43" s="1798"/>
      <c r="Q43" s="1798"/>
      <c r="R43" s="1798"/>
      <c r="S43" s="1798"/>
      <c r="T43" s="1798"/>
      <c r="U43" s="1798"/>
      <c r="V43" s="1798"/>
      <c r="W43" s="1798"/>
      <c r="X43" s="1798"/>
      <c r="Y43" s="1798"/>
      <c r="Z43" s="1799"/>
    </row>
    <row r="44" spans="1:26" ht="16.05" customHeight="1" x14ac:dyDescent="0.3">
      <c r="A44" s="999" t="s">
        <v>2027</v>
      </c>
      <c r="B44" s="995" t="s">
        <v>2028</v>
      </c>
      <c r="C44" s="351" t="s">
        <v>2029</v>
      </c>
      <c r="D44" s="351" t="s">
        <v>123</v>
      </c>
      <c r="E44" s="351" t="s">
        <v>409</v>
      </c>
      <c r="F44" s="351" t="s">
        <v>123</v>
      </c>
      <c r="G44" s="351" t="s">
        <v>1857</v>
      </c>
      <c r="H44" s="351" t="s">
        <v>671</v>
      </c>
      <c r="I44" s="351"/>
      <c r="J44" s="351"/>
      <c r="K44" s="351"/>
      <c r="L44" s="351"/>
      <c r="M44" s="351"/>
      <c r="N44" s="351"/>
      <c r="O44" s="351"/>
      <c r="P44" s="351"/>
      <c r="Q44" s="351"/>
      <c r="R44" s="351"/>
      <c r="S44" s="351"/>
      <c r="T44" s="351"/>
      <c r="U44" s="351"/>
      <c r="V44" s="351"/>
      <c r="W44" s="351"/>
      <c r="X44" s="351"/>
      <c r="Y44" s="104"/>
      <c r="Z44" s="988"/>
    </row>
    <row r="45" spans="1:26" ht="16.05" customHeight="1" x14ac:dyDescent="0.3">
      <c r="A45" s="999" t="s">
        <v>2030</v>
      </c>
      <c r="B45" s="992" t="s">
        <v>2031</v>
      </c>
      <c r="C45" s="419" t="s">
        <v>2032</v>
      </c>
      <c r="D45" s="464" t="s">
        <v>2033</v>
      </c>
      <c r="E45" s="419" t="s">
        <v>2034</v>
      </c>
      <c r="F45" s="464" t="s">
        <v>2035</v>
      </c>
      <c r="G45" s="464" t="s">
        <v>2036</v>
      </c>
      <c r="H45" s="464" t="s">
        <v>2037</v>
      </c>
      <c r="I45" s="464"/>
      <c r="J45" s="464"/>
      <c r="K45" s="464"/>
      <c r="L45" s="464"/>
      <c r="M45" s="464"/>
      <c r="N45" s="464"/>
      <c r="O45" s="464"/>
      <c r="P45" s="464"/>
      <c r="Q45" s="464"/>
      <c r="R45" s="464"/>
      <c r="S45" s="464"/>
      <c r="T45" s="464"/>
      <c r="U45" s="464"/>
      <c r="V45" s="464"/>
      <c r="W45" s="464"/>
      <c r="X45" s="464"/>
      <c r="Y45" s="194"/>
      <c r="Z45" s="987"/>
    </row>
    <row r="46" spans="1:26" ht="16.05" customHeight="1" x14ac:dyDescent="0.3">
      <c r="A46" s="999" t="s">
        <v>2038</v>
      </c>
      <c r="B46" s="991" t="s">
        <v>2039</v>
      </c>
      <c r="C46" s="358" t="s">
        <v>2040</v>
      </c>
      <c r="D46" s="351" t="s">
        <v>2041</v>
      </c>
      <c r="E46" s="358" t="s">
        <v>2042</v>
      </c>
      <c r="F46" s="351" t="s">
        <v>2043</v>
      </c>
      <c r="G46" s="351" t="s">
        <v>2044</v>
      </c>
      <c r="H46" s="351" t="s">
        <v>2045</v>
      </c>
      <c r="I46" s="351"/>
      <c r="J46" s="351"/>
      <c r="K46" s="351"/>
      <c r="L46" s="351"/>
      <c r="M46" s="351"/>
      <c r="N46" s="351"/>
      <c r="O46" s="351"/>
      <c r="P46" s="351"/>
      <c r="Q46" s="351"/>
      <c r="R46" s="351"/>
      <c r="S46" s="351"/>
      <c r="T46" s="351"/>
      <c r="U46" s="351"/>
      <c r="V46" s="351"/>
      <c r="W46" s="351"/>
      <c r="X46" s="351"/>
      <c r="Y46" s="104"/>
      <c r="Z46" s="988"/>
    </row>
    <row r="47" spans="1:26" ht="16.05" customHeight="1" x14ac:dyDescent="0.3">
      <c r="A47" s="999" t="s">
        <v>2046</v>
      </c>
      <c r="B47" s="992" t="s">
        <v>2047</v>
      </c>
      <c r="C47" s="419" t="s">
        <v>2048</v>
      </c>
      <c r="D47" s="464" t="s">
        <v>2049</v>
      </c>
      <c r="E47" s="419" t="s">
        <v>2050</v>
      </c>
      <c r="F47" s="464" t="s">
        <v>2051</v>
      </c>
      <c r="G47" s="464" t="s">
        <v>2052</v>
      </c>
      <c r="H47" s="464" t="s">
        <v>2053</v>
      </c>
      <c r="I47" s="464"/>
      <c r="J47" s="464"/>
      <c r="K47" s="464"/>
      <c r="L47" s="464"/>
      <c r="M47" s="464"/>
      <c r="N47" s="464"/>
      <c r="O47" s="464"/>
      <c r="P47" s="464"/>
      <c r="Q47" s="464"/>
      <c r="R47" s="464"/>
      <c r="S47" s="464"/>
      <c r="T47" s="464"/>
      <c r="U47" s="464"/>
      <c r="V47" s="464"/>
      <c r="W47" s="464"/>
      <c r="X47" s="464"/>
      <c r="Y47" s="194"/>
      <c r="Z47" s="987"/>
    </row>
    <row r="48" spans="1:26" ht="19.95" customHeight="1" x14ac:dyDescent="0.3">
      <c r="A48" s="1940" t="s">
        <v>2054</v>
      </c>
      <c r="B48" s="1798"/>
      <c r="C48" s="1798"/>
      <c r="D48" s="1798"/>
      <c r="E48" s="1798"/>
      <c r="F48" s="1798"/>
      <c r="G48" s="1798"/>
      <c r="H48" s="1798"/>
      <c r="I48" s="1798"/>
      <c r="J48" s="1798"/>
      <c r="K48" s="1798"/>
      <c r="L48" s="1798"/>
      <c r="M48" s="1798"/>
      <c r="N48" s="1798"/>
      <c r="O48" s="1798"/>
      <c r="P48" s="1798"/>
      <c r="Q48" s="1798"/>
      <c r="R48" s="1798"/>
      <c r="S48" s="1798"/>
      <c r="T48" s="1798"/>
      <c r="U48" s="1798"/>
      <c r="V48" s="1798"/>
      <c r="W48" s="1798"/>
      <c r="X48" s="1798"/>
      <c r="Y48" s="1798"/>
      <c r="Z48" s="1799"/>
    </row>
    <row r="49" spans="1:26" ht="16.05" customHeight="1" x14ac:dyDescent="0.3">
      <c r="A49" s="999" t="s">
        <v>408</v>
      </c>
      <c r="B49" s="994" t="s">
        <v>2056</v>
      </c>
      <c r="C49" s="464" t="s">
        <v>2057</v>
      </c>
      <c r="D49" s="464" t="s">
        <v>2058</v>
      </c>
      <c r="E49" s="464" t="s">
        <v>42</v>
      </c>
      <c r="F49" s="464" t="s">
        <v>123</v>
      </c>
      <c r="G49" s="464" t="s">
        <v>2036</v>
      </c>
      <c r="H49" s="464" t="s">
        <v>2059</v>
      </c>
      <c r="I49" s="464"/>
      <c r="J49" s="464"/>
      <c r="K49" s="464"/>
      <c r="L49" s="464"/>
      <c r="M49" s="464"/>
      <c r="N49" s="464"/>
      <c r="O49" s="464"/>
      <c r="P49" s="464"/>
      <c r="Q49" s="464"/>
      <c r="R49" s="464"/>
      <c r="S49" s="464"/>
      <c r="T49" s="464"/>
      <c r="U49" s="464"/>
      <c r="V49" s="464"/>
      <c r="W49" s="464"/>
      <c r="X49" s="464"/>
      <c r="Y49" s="194"/>
      <c r="Z49" s="987"/>
    </row>
    <row r="50" spans="1:26" ht="16.05" customHeight="1" x14ac:dyDescent="0.3">
      <c r="A50" s="999" t="s">
        <v>412</v>
      </c>
      <c r="B50" s="995">
        <f>COUNTIF(F30:F41,"⭐ EXCELENTE")</f>
        <v>0</v>
      </c>
      <c r="C50" s="467">
        <f>IFERROR(COUNTIF(F30:F41,"⭐ EXCELENTE")/COUNTA(F30:F41),0)</f>
        <v>0</v>
      </c>
      <c r="D50" s="351" t="str">
        <f t="array" ref="D50">IFERROR(_xlfn.TEXTJOIN(" · ",TRUE,IF(F30:F41="⭐ EXCELENTE",A30:A41,"")),"—")</f>
        <v/>
      </c>
      <c r="E50" s="351" t="s">
        <v>2060</v>
      </c>
      <c r="F50" s="351" t="s">
        <v>2061</v>
      </c>
      <c r="G50" s="351"/>
      <c r="H50" s="351"/>
      <c r="I50" s="351"/>
      <c r="J50" s="351"/>
      <c r="K50" s="351"/>
      <c r="L50" s="351"/>
      <c r="M50" s="351"/>
      <c r="N50" s="351"/>
      <c r="O50" s="351"/>
      <c r="P50" s="351"/>
      <c r="Q50" s="351"/>
      <c r="R50" s="351"/>
      <c r="S50" s="351"/>
      <c r="T50" s="351"/>
      <c r="U50" s="351"/>
      <c r="V50" s="351"/>
      <c r="W50" s="351"/>
      <c r="X50" s="351"/>
      <c r="Y50" s="104"/>
      <c r="Z50" s="988"/>
    </row>
    <row r="51" spans="1:26" ht="16.05" customHeight="1" x14ac:dyDescent="0.3">
      <c r="A51" s="1000" t="s">
        <v>417</v>
      </c>
      <c r="B51" s="997">
        <f>COUNTIF(F30:F41,"✅ MUY BUENO")</f>
        <v>0</v>
      </c>
      <c r="C51" s="983">
        <f>IFERROR(COUNTIF(F30:F41,"✅ MUY BUENO")/COUNTA(F30:F41),0)</f>
        <v>0</v>
      </c>
      <c r="D51" s="982" t="str">
        <f t="array" ref="D51">IFERROR(_xlfn.TEXTJOIN(" · ",TRUE,IF(F30:F41="✅ MUY BUENO",A30:A41,"")),"—")</f>
        <v/>
      </c>
      <c r="E51" s="982" t="s">
        <v>2062</v>
      </c>
      <c r="F51" s="982" t="s">
        <v>238</v>
      </c>
      <c r="G51" s="982"/>
      <c r="H51" s="982"/>
      <c r="I51" s="982"/>
      <c r="J51" s="982"/>
      <c r="K51" s="982"/>
      <c r="L51" s="982"/>
      <c r="M51" s="982"/>
      <c r="N51" s="982"/>
      <c r="O51" s="982"/>
      <c r="P51" s="982"/>
      <c r="Q51" s="982"/>
      <c r="R51" s="982"/>
      <c r="S51" s="982"/>
      <c r="T51" s="982"/>
      <c r="U51" s="982"/>
      <c r="V51" s="982"/>
      <c r="W51" s="982"/>
      <c r="X51" s="982"/>
      <c r="Y51" s="194"/>
      <c r="Z51" s="987"/>
    </row>
    <row r="52" spans="1:26" ht="16.05" customHeight="1" x14ac:dyDescent="0.3">
      <c r="A52" s="999" t="s">
        <v>421</v>
      </c>
      <c r="B52" s="998">
        <f>COUNTIF(F30:F41,"🟢 SATISFACTORIO")</f>
        <v>0</v>
      </c>
      <c r="C52" s="984">
        <f>IFERROR(COUNTIF(F30:F41,"🟢 SATISFACTORIO")/COUNTA(F30:F41),0)</f>
        <v>0</v>
      </c>
      <c r="D52" s="348" t="str">
        <f t="array" ref="D52">IFERROR(_xlfn.TEXTJOIN(" · ",TRUE,IF(F30:F41="🟢 SATISFACTORIO",A30:A41,"")),"—")</f>
        <v/>
      </c>
      <c r="E52" s="348" t="s">
        <v>2063</v>
      </c>
      <c r="F52" s="348" t="s">
        <v>2064</v>
      </c>
      <c r="G52" s="348"/>
      <c r="H52" s="348"/>
      <c r="I52" s="348"/>
      <c r="J52" s="348"/>
      <c r="K52" s="348"/>
      <c r="L52" s="348"/>
      <c r="M52" s="348"/>
      <c r="N52" s="348"/>
      <c r="O52" s="348"/>
      <c r="P52" s="348"/>
      <c r="Q52" s="348"/>
      <c r="R52" s="348"/>
      <c r="S52" s="348"/>
      <c r="T52" s="348"/>
      <c r="U52" s="348"/>
      <c r="V52" s="348"/>
      <c r="W52" s="348"/>
      <c r="X52" s="348"/>
      <c r="Y52" s="104"/>
      <c r="Z52" s="988"/>
    </row>
    <row r="53" spans="1:26" ht="16.05" customHeight="1" x14ac:dyDescent="0.3">
      <c r="A53" s="999" t="s">
        <v>425</v>
      </c>
      <c r="B53" s="997">
        <f>COUNTIF(F30:F41,"🟡 REGULAR")</f>
        <v>0</v>
      </c>
      <c r="C53" s="983">
        <f>IFERROR(COUNTIF(F30:F41,"🟡 REGULAR")/COUNTA(F30:F41),0)</f>
        <v>0</v>
      </c>
      <c r="D53" s="982" t="str">
        <f t="array" ref="D53">IFERROR(_xlfn.TEXTJOIN(" · ",TRUE,IF(F30:F41="🟡 REGULAR",A30:A41,"")),"—")</f>
        <v/>
      </c>
      <c r="E53" s="982" t="s">
        <v>2065</v>
      </c>
      <c r="F53" s="982" t="s">
        <v>238</v>
      </c>
      <c r="G53" s="982"/>
      <c r="H53" s="982"/>
      <c r="I53" s="982"/>
      <c r="J53" s="982"/>
      <c r="K53" s="982"/>
      <c r="L53" s="982"/>
      <c r="M53" s="982"/>
      <c r="N53" s="982"/>
      <c r="O53" s="982"/>
      <c r="P53" s="982"/>
      <c r="Q53" s="982"/>
      <c r="R53" s="982"/>
      <c r="S53" s="982"/>
      <c r="T53" s="982"/>
      <c r="U53" s="982"/>
      <c r="V53" s="982"/>
      <c r="W53" s="982"/>
      <c r="X53" s="982"/>
      <c r="Y53" s="194"/>
      <c r="Z53" s="987"/>
    </row>
    <row r="54" spans="1:26" ht="16.05" customHeight="1" x14ac:dyDescent="0.3">
      <c r="A54" s="999" t="s">
        <v>2066</v>
      </c>
      <c r="B54" s="998">
        <f>COUNTIF(F30:F41,"🔴 INACEPTABLE")</f>
        <v>2</v>
      </c>
      <c r="C54" s="364">
        <f>IFERROR(COUNTIF(F30:F41,"🔴 INACEPTABLE")/COUNTA(F30:F41),0)</f>
        <v>1</v>
      </c>
      <c r="D54" s="356" t="str">
        <f t="array" ref="D54">IFERROR(_xlfn.TEXTJOIN(" · ",TRUE,IF(F30:F41="🔴 INACEPTABLE",A30:A41,"")),"—")</f>
        <v>Dirección de Obras Públicas · EP Aseo Integral Montecristi</v>
      </c>
      <c r="E54" s="348" t="s">
        <v>2067</v>
      </c>
      <c r="F54" s="348" t="s">
        <v>219</v>
      </c>
      <c r="G54" s="348"/>
      <c r="H54" s="348"/>
      <c r="I54" s="348"/>
      <c r="J54" s="348"/>
      <c r="K54" s="348"/>
      <c r="L54" s="348"/>
      <c r="M54" s="348"/>
      <c r="N54" s="348"/>
      <c r="O54" s="348"/>
      <c r="P54" s="348"/>
      <c r="Q54" s="348"/>
      <c r="R54" s="348"/>
      <c r="S54" s="348"/>
      <c r="T54" s="348"/>
      <c r="U54" s="348"/>
      <c r="V54" s="348"/>
      <c r="W54" s="348"/>
      <c r="X54" s="348"/>
      <c r="Y54" s="104"/>
      <c r="Z54" s="988"/>
    </row>
    <row r="55" spans="1:26" ht="16.05" customHeight="1" x14ac:dyDescent="0.3">
      <c r="A55" s="999" t="s">
        <v>771</v>
      </c>
      <c r="B55" s="997">
        <f>COUNTA(F30:F41)</f>
        <v>2</v>
      </c>
      <c r="C55" s="983">
        <v>1</v>
      </c>
      <c r="D55" s="982" t="s">
        <v>2068</v>
      </c>
      <c r="E55" s="423" t="s">
        <v>2069</v>
      </c>
      <c r="F55" s="982" t="s">
        <v>2070</v>
      </c>
      <c r="G55" s="982"/>
      <c r="H55" s="982"/>
      <c r="I55" s="982"/>
      <c r="J55" s="982"/>
      <c r="K55" s="982"/>
      <c r="L55" s="982"/>
      <c r="M55" s="982"/>
      <c r="N55" s="982"/>
      <c r="O55" s="982"/>
      <c r="P55" s="982"/>
      <c r="Q55" s="982"/>
      <c r="R55" s="982"/>
      <c r="S55" s="982"/>
      <c r="T55" s="982"/>
      <c r="U55" s="982"/>
      <c r="V55" s="982"/>
      <c r="W55" s="982"/>
      <c r="X55" s="982"/>
      <c r="Y55" s="194"/>
      <c r="Z55" s="987"/>
    </row>
    <row r="56" spans="1:26" ht="19.95" customHeight="1" thickBot="1" x14ac:dyDescent="0.35">
      <c r="A56" s="1846" t="s">
        <v>4104</v>
      </c>
      <c r="B56" s="1847"/>
      <c r="C56" s="1847"/>
      <c r="D56" s="1847"/>
      <c r="E56" s="1847"/>
      <c r="F56" s="1847"/>
      <c r="G56" s="1847"/>
      <c r="H56" s="1847"/>
      <c r="I56" s="1847"/>
      <c r="J56" s="1847"/>
      <c r="K56" s="1847"/>
      <c r="L56" s="1847"/>
      <c r="M56" s="1847"/>
      <c r="N56" s="1847"/>
      <c r="O56" s="1847"/>
      <c r="P56" s="1847"/>
      <c r="Q56" s="1847"/>
      <c r="R56" s="1847"/>
      <c r="S56" s="1847"/>
      <c r="T56" s="1847"/>
      <c r="U56" s="1847"/>
      <c r="V56" s="1847"/>
      <c r="W56" s="1847"/>
      <c r="X56" s="1847"/>
      <c r="Y56" s="1847"/>
      <c r="Z56" s="1848"/>
    </row>
    <row r="57" spans="1:26" ht="15" thickTop="1" x14ac:dyDescent="0.3"/>
  </sheetData>
  <mergeCells count="18">
    <mergeCell ref="A3:X3"/>
    <mergeCell ref="A1:Z1"/>
    <mergeCell ref="A4:Z4"/>
    <mergeCell ref="A5:Z5"/>
    <mergeCell ref="A28:Z28"/>
    <mergeCell ref="A31:Z31"/>
    <mergeCell ref="A32:Z32"/>
    <mergeCell ref="A33:Z33"/>
    <mergeCell ref="A34:Z34"/>
    <mergeCell ref="A41:Z41"/>
    <mergeCell ref="A43:Z43"/>
    <mergeCell ref="A48:Z48"/>
    <mergeCell ref="A56:Z56"/>
    <mergeCell ref="A35:Z35"/>
    <mergeCell ref="A36:Z36"/>
    <mergeCell ref="A38:Z38"/>
    <mergeCell ref="A39:Z39"/>
    <mergeCell ref="A40:Z40"/>
  </mergeCells>
  <conditionalFormatting sqref="J6:J25">
    <cfRule type="cellIs" dxfId="32" priority="1" operator="lessThan">
      <formula>30</formula>
    </cfRule>
    <cfRule type="cellIs" dxfId="31" priority="2" operator="between">
      <formula>30</formula>
      <formula>49.9</formula>
    </cfRule>
    <cfRule type="cellIs" dxfId="30" priority="3" operator="between">
      <formula>50</formula>
      <formula>69.9</formula>
    </cfRule>
    <cfRule type="cellIs" dxfId="29" priority="4" operator="between">
      <formula>70</formula>
      <formula>79.9</formula>
    </cfRule>
    <cfRule type="cellIs" dxfId="28" priority="5" operator="greaterThanOrEqual">
      <formula>80</formula>
    </cfRule>
  </conditionalFormatting>
  <conditionalFormatting sqref="T6:T25">
    <cfRule type="cellIs" dxfId="27" priority="6" operator="lessThan">
      <formula>30</formula>
    </cfRule>
    <cfRule type="cellIs" dxfId="26" priority="7" operator="between">
      <formula>30</formula>
      <formula>49.9</formula>
    </cfRule>
    <cfRule type="cellIs" dxfId="25" priority="8" operator="between">
      <formula>50</formula>
      <formula>69.9</formula>
    </cfRule>
    <cfRule type="cellIs" dxfId="24" priority="9" operator="greaterThanOrEqual">
      <formula>70</formula>
    </cfRule>
  </conditionalFormatting>
  <dataValidations count="2">
    <dataValidation type="decimal" allowBlank="1" showInputMessage="1" showErrorMessage="1" errorTitle="Fuera de rango" error="El IED histórico debe estar entre 0 y 100." promptTitle="IED Trimestral" prompt="IED entre 0 y 100." sqref="O6:T25" xr:uid="{00000000-0002-0000-1A00-000000000000}">
      <formula1>0</formula1>
      <formula2>100</formula2>
    </dataValidation>
    <dataValidation type="list" allowBlank="1" showInputMessage="1" showErrorMessage="1" sqref="W6:W25" xr:uid="{00000000-0002-0000-1A00-000001000000}">
      <formula1>"Sí,No"</formula1>
    </dataValidation>
  </dataValidation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E2EFDA"/>
  </sheetPr>
  <dimension ref="A1:Z48"/>
  <sheetViews>
    <sheetView showGridLines="0" zoomScale="10" zoomScaleNormal="10" workbookViewId="0">
      <pane ySplit="3" topLeftCell="A4" activePane="bottomLeft" state="frozen"/>
      <selection pane="bottomLeft" sqref="A1:Z1"/>
    </sheetView>
  </sheetViews>
  <sheetFormatPr baseColWidth="10" defaultRowHeight="14.4" x14ac:dyDescent="0.3"/>
  <cols>
    <col min="1" max="1" width="5.21875" customWidth="1"/>
    <col min="2" max="2" width="53.44140625" bestFit="1" customWidth="1"/>
    <col min="3" max="3" width="52.33203125" bestFit="1" customWidth="1"/>
    <col min="4" max="4" width="79" bestFit="1" customWidth="1"/>
    <col min="5" max="5" width="13.44140625" bestFit="1" customWidth="1"/>
    <col min="6" max="6" width="23.44140625" bestFit="1" customWidth="1"/>
    <col min="7" max="7" width="14.5546875" bestFit="1" customWidth="1"/>
    <col min="8" max="8" width="17.88671875" bestFit="1" customWidth="1"/>
    <col min="9" max="9" width="72.33203125" bestFit="1" customWidth="1"/>
    <col min="10" max="10" width="32.33203125" bestFit="1" customWidth="1"/>
    <col min="11" max="11" width="29" bestFit="1" customWidth="1"/>
    <col min="12" max="12" width="82.33203125" bestFit="1" customWidth="1"/>
    <col min="13" max="14" width="17.88671875" bestFit="1" customWidth="1"/>
    <col min="15" max="15" width="21.21875" bestFit="1" customWidth="1"/>
    <col min="16" max="16" width="94.5546875" bestFit="1" customWidth="1"/>
    <col min="17" max="17" width="33.33203125" customWidth="1"/>
    <col min="18" max="18" width="16.6640625" customWidth="1"/>
    <col min="26" max="26" width="15.6640625" bestFit="1" customWidth="1"/>
  </cols>
  <sheetData>
    <row r="1" spans="1:26" ht="19.95" customHeight="1" x14ac:dyDescent="0.3">
      <c r="A1" s="1925" t="s">
        <v>4796</v>
      </c>
      <c r="B1" s="1713"/>
      <c r="C1" s="1713"/>
      <c r="D1" s="1713"/>
      <c r="E1" s="1713"/>
      <c r="F1" s="1713"/>
      <c r="G1" s="1713"/>
      <c r="H1" s="1713"/>
      <c r="I1" s="1713"/>
      <c r="J1" s="1713"/>
      <c r="K1" s="1713"/>
      <c r="L1" s="1713"/>
      <c r="M1" s="1713"/>
      <c r="N1" s="1713"/>
      <c r="O1" s="1713"/>
      <c r="P1" s="1713"/>
      <c r="Q1" s="1713"/>
      <c r="R1" s="1713"/>
      <c r="S1" s="1713"/>
      <c r="T1" s="1713"/>
      <c r="U1" s="1713"/>
      <c r="V1" s="1713"/>
      <c r="W1" s="1713"/>
      <c r="X1" s="1713"/>
      <c r="Y1" s="1713"/>
      <c r="Z1" s="1713"/>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473"/>
      <c r="N2" s="473"/>
      <c r="O2" s="473"/>
      <c r="P2" s="473"/>
      <c r="Q2" s="473"/>
      <c r="R2" s="473"/>
      <c r="S2" s="473"/>
      <c r="T2" s="473"/>
      <c r="U2" s="473"/>
      <c r="V2" s="473"/>
      <c r="W2" s="473"/>
      <c r="X2" s="473"/>
      <c r="Y2" s="473"/>
      <c r="Z2" s="473"/>
    </row>
    <row r="3" spans="1:26" ht="19.95" customHeight="1" thickBot="1" x14ac:dyDescent="0.35">
      <c r="A3" s="1714" t="s">
        <v>4071</v>
      </c>
      <c r="B3" s="1714"/>
      <c r="C3" s="1714"/>
      <c r="D3" s="1714"/>
      <c r="E3" s="1714"/>
      <c r="F3" s="1714"/>
      <c r="G3" s="1714"/>
      <c r="H3" s="1714"/>
      <c r="I3" s="1714"/>
      <c r="J3" s="1714"/>
      <c r="K3" s="1714"/>
      <c r="L3" s="1714"/>
      <c r="M3" s="1714"/>
      <c r="N3" s="1714"/>
      <c r="O3" s="1714"/>
      <c r="P3" s="1714"/>
      <c r="Q3" s="1714"/>
      <c r="R3" s="1714"/>
      <c r="S3" s="1714"/>
      <c r="T3" s="1714"/>
      <c r="U3" s="1714"/>
      <c r="V3" s="1714"/>
      <c r="W3" s="1714"/>
      <c r="X3" s="1714"/>
      <c r="Y3" s="1714"/>
      <c r="Z3" s="1714"/>
    </row>
    <row r="4" spans="1:26" ht="19.95" customHeight="1" thickTop="1" x14ac:dyDescent="0.3">
      <c r="A4" s="1684" t="s">
        <v>2071</v>
      </c>
      <c r="B4" s="1685"/>
      <c r="C4" s="1685"/>
      <c r="D4" s="1685"/>
      <c r="E4" s="1685"/>
      <c r="F4" s="1685"/>
      <c r="G4" s="1685"/>
      <c r="H4" s="1685"/>
      <c r="I4" s="1685"/>
      <c r="J4" s="1685"/>
      <c r="K4" s="1685"/>
      <c r="L4" s="1685"/>
      <c r="M4" s="1685"/>
      <c r="N4" s="1685"/>
      <c r="O4" s="1685"/>
      <c r="P4" s="1685"/>
      <c r="Q4" s="1685"/>
      <c r="R4" s="1685"/>
      <c r="S4" s="1685"/>
      <c r="T4" s="1685"/>
      <c r="U4" s="1685"/>
      <c r="V4" s="1685"/>
      <c r="W4" s="1685"/>
      <c r="X4" s="1685"/>
      <c r="Y4" s="1685"/>
      <c r="Z4" s="1729"/>
    </row>
    <row r="5" spans="1:26" ht="30" customHeight="1" x14ac:dyDescent="0.3">
      <c r="A5" s="1071" t="s">
        <v>1944</v>
      </c>
      <c r="B5" s="414" t="s">
        <v>2072</v>
      </c>
      <c r="C5" s="184" t="s">
        <v>495</v>
      </c>
      <c r="D5" s="184" t="s">
        <v>2073</v>
      </c>
      <c r="E5" s="184" t="s">
        <v>1737</v>
      </c>
      <c r="F5" s="184">
        <v>0.11169999999999999</v>
      </c>
      <c r="G5" s="184">
        <v>1.5</v>
      </c>
      <c r="H5" s="184">
        <v>1</v>
      </c>
      <c r="I5" s="184">
        <v>1</v>
      </c>
      <c r="J5" s="184">
        <v>0.85</v>
      </c>
      <c r="K5" s="184">
        <v>1</v>
      </c>
      <c r="L5" s="184" t="s">
        <v>2074</v>
      </c>
      <c r="M5" s="184">
        <v>1.28</v>
      </c>
      <c r="N5" s="184">
        <v>1</v>
      </c>
      <c r="O5" s="184">
        <v>127.5</v>
      </c>
      <c r="P5" s="184" t="s">
        <v>2075</v>
      </c>
      <c r="Q5" s="184"/>
      <c r="R5" s="184"/>
      <c r="S5" s="184"/>
      <c r="T5" s="184"/>
      <c r="U5" s="184"/>
      <c r="V5" s="184"/>
      <c r="W5" s="184"/>
      <c r="X5" s="184"/>
      <c r="Y5" s="184"/>
      <c r="Z5" s="928"/>
    </row>
    <row r="6" spans="1:26" s="11" customFormat="1" ht="37.950000000000003" customHeight="1" x14ac:dyDescent="0.3">
      <c r="A6" s="1072" t="s">
        <v>1944</v>
      </c>
      <c r="B6" s="1275"/>
      <c r="C6" s="215" t="s">
        <v>501</v>
      </c>
      <c r="D6" s="215" t="s">
        <v>2076</v>
      </c>
      <c r="E6" s="215" t="s">
        <v>1737</v>
      </c>
      <c r="F6" s="103">
        <v>2.2000000000000001E-3</v>
      </c>
      <c r="G6" s="103">
        <v>1.5</v>
      </c>
      <c r="H6" s="103">
        <v>1</v>
      </c>
      <c r="I6" s="103">
        <v>1</v>
      </c>
      <c r="J6" s="103">
        <v>0.25</v>
      </c>
      <c r="K6" s="103">
        <v>1</v>
      </c>
      <c r="L6" s="215" t="s">
        <v>2074</v>
      </c>
      <c r="M6" s="103">
        <v>0.38</v>
      </c>
      <c r="N6" s="103">
        <v>1</v>
      </c>
      <c r="O6" s="103">
        <v>37.5</v>
      </c>
      <c r="P6" s="215" t="s">
        <v>2077</v>
      </c>
      <c r="Q6" s="139"/>
      <c r="R6" s="139"/>
      <c r="S6" s="139"/>
      <c r="T6" s="139"/>
      <c r="U6" s="139"/>
      <c r="V6" s="139"/>
      <c r="W6" s="139"/>
      <c r="X6" s="139"/>
      <c r="Y6" s="139"/>
      <c r="Z6" s="985"/>
    </row>
    <row r="7" spans="1:26" s="11" customFormat="1" ht="37.950000000000003" customHeight="1" x14ac:dyDescent="0.3">
      <c r="A7" s="1072" t="s">
        <v>1941</v>
      </c>
      <c r="B7" s="1276" t="s">
        <v>2078</v>
      </c>
      <c r="C7" s="219" t="s">
        <v>507</v>
      </c>
      <c r="D7" s="219" t="s">
        <v>2079</v>
      </c>
      <c r="E7" s="219" t="s">
        <v>1737</v>
      </c>
      <c r="F7" s="229">
        <v>0.2306</v>
      </c>
      <c r="G7" s="229">
        <v>1.5</v>
      </c>
      <c r="H7" s="229">
        <v>1</v>
      </c>
      <c r="I7" s="229">
        <v>1</v>
      </c>
      <c r="J7" s="229">
        <v>0.75</v>
      </c>
      <c r="K7" s="229">
        <v>1</v>
      </c>
      <c r="L7" s="219" t="s">
        <v>2074</v>
      </c>
      <c r="M7" s="229">
        <v>1.1299999999999999</v>
      </c>
      <c r="N7" s="229">
        <v>1</v>
      </c>
      <c r="O7" s="229">
        <v>112.5</v>
      </c>
      <c r="P7" s="219" t="s">
        <v>2080</v>
      </c>
      <c r="Q7" s="221"/>
      <c r="R7" s="221"/>
      <c r="S7" s="221"/>
      <c r="T7" s="221"/>
      <c r="U7" s="221"/>
      <c r="V7" s="221"/>
      <c r="W7" s="221"/>
      <c r="X7" s="221"/>
      <c r="Y7" s="221"/>
      <c r="Z7" s="986"/>
    </row>
    <row r="8" spans="1:26" s="11" customFormat="1" ht="37.950000000000003" customHeight="1" x14ac:dyDescent="0.3">
      <c r="A8" s="1072" t="s">
        <v>1941</v>
      </c>
      <c r="B8" s="1275"/>
      <c r="C8" s="215" t="s">
        <v>539</v>
      </c>
      <c r="D8" s="215" t="s">
        <v>2081</v>
      </c>
      <c r="E8" s="215" t="s">
        <v>1737</v>
      </c>
      <c r="F8" s="103">
        <v>5.4100000000000002E-2</v>
      </c>
      <c r="G8" s="103">
        <v>1</v>
      </c>
      <c r="H8" s="103">
        <v>1</v>
      </c>
      <c r="I8" s="103">
        <v>1</v>
      </c>
      <c r="J8" s="103">
        <v>0.9</v>
      </c>
      <c r="K8" s="103">
        <v>1</v>
      </c>
      <c r="L8" s="215" t="s">
        <v>2074</v>
      </c>
      <c r="M8" s="103">
        <v>0.9</v>
      </c>
      <c r="N8" s="103">
        <v>1</v>
      </c>
      <c r="O8" s="103">
        <v>90</v>
      </c>
      <c r="P8" s="215" t="s">
        <v>2082</v>
      </c>
      <c r="Q8" s="139"/>
      <c r="R8" s="139"/>
      <c r="S8" s="139"/>
      <c r="T8" s="139"/>
      <c r="U8" s="139"/>
      <c r="V8" s="139"/>
      <c r="W8" s="139"/>
      <c r="X8" s="139"/>
      <c r="Y8" s="139"/>
      <c r="Z8" s="985"/>
    </row>
    <row r="9" spans="1:26" s="11" customFormat="1" ht="37.950000000000003" customHeight="1" x14ac:dyDescent="0.3">
      <c r="A9" s="1072" t="s">
        <v>1941</v>
      </c>
      <c r="B9" s="1276"/>
      <c r="C9" s="219" t="s">
        <v>526</v>
      </c>
      <c r="D9" s="219" t="s">
        <v>2083</v>
      </c>
      <c r="E9" s="219" t="s">
        <v>1737</v>
      </c>
      <c r="F9" s="229">
        <v>2.0199999999999999E-2</v>
      </c>
      <c r="G9" s="229">
        <v>1</v>
      </c>
      <c r="H9" s="229">
        <v>1</v>
      </c>
      <c r="I9" s="229">
        <v>1</v>
      </c>
      <c r="J9" s="229">
        <v>0.5</v>
      </c>
      <c r="K9" s="229">
        <v>1</v>
      </c>
      <c r="L9" s="219" t="s">
        <v>2074</v>
      </c>
      <c r="M9" s="229">
        <v>0.5</v>
      </c>
      <c r="N9" s="229">
        <v>1</v>
      </c>
      <c r="O9" s="229">
        <v>50</v>
      </c>
      <c r="P9" s="219" t="s">
        <v>2084</v>
      </c>
      <c r="Q9" s="221"/>
      <c r="R9" s="221"/>
      <c r="S9" s="221"/>
      <c r="T9" s="221"/>
      <c r="U9" s="221"/>
      <c r="V9" s="221"/>
      <c r="W9" s="221"/>
      <c r="X9" s="221"/>
      <c r="Y9" s="221"/>
      <c r="Z9" s="986"/>
    </row>
    <row r="10" spans="1:26" s="11" customFormat="1" ht="37.950000000000003" customHeight="1" x14ac:dyDescent="0.3">
      <c r="A10" s="1072" t="s">
        <v>1941</v>
      </c>
      <c r="B10" s="1275"/>
      <c r="C10" s="215" t="s">
        <v>545</v>
      </c>
      <c r="D10" s="215" t="s">
        <v>2085</v>
      </c>
      <c r="E10" s="215" t="s">
        <v>1737</v>
      </c>
      <c r="F10" s="103">
        <v>1.0800000000000001E-2</v>
      </c>
      <c r="G10" s="103">
        <v>1</v>
      </c>
      <c r="H10" s="103">
        <v>1</v>
      </c>
      <c r="I10" s="103">
        <v>1</v>
      </c>
      <c r="J10" s="103">
        <v>1</v>
      </c>
      <c r="K10" s="103">
        <v>1</v>
      </c>
      <c r="L10" s="215" t="s">
        <v>2074</v>
      </c>
      <c r="M10" s="103">
        <v>1</v>
      </c>
      <c r="N10" s="103">
        <v>1</v>
      </c>
      <c r="O10" s="103">
        <v>100</v>
      </c>
      <c r="P10" s="215" t="s">
        <v>2086</v>
      </c>
      <c r="Q10" s="139"/>
      <c r="R10" s="139"/>
      <c r="S10" s="139"/>
      <c r="T10" s="139"/>
      <c r="U10" s="139"/>
      <c r="V10" s="139"/>
      <c r="W10" s="139"/>
      <c r="X10" s="139"/>
      <c r="Y10" s="139"/>
      <c r="Z10" s="985"/>
    </row>
    <row r="11" spans="1:26" s="11" customFormat="1" ht="37.950000000000003" customHeight="1" x14ac:dyDescent="0.3">
      <c r="A11" s="1072" t="s">
        <v>1941</v>
      </c>
      <c r="B11" s="1276"/>
      <c r="C11" s="219" t="s">
        <v>711</v>
      </c>
      <c r="D11" s="219" t="s">
        <v>2087</v>
      </c>
      <c r="E11" s="219" t="s">
        <v>1737</v>
      </c>
      <c r="F11" s="229">
        <v>4.0000000000000001E-3</v>
      </c>
      <c r="G11" s="229">
        <v>0.5</v>
      </c>
      <c r="H11" s="229">
        <v>1</v>
      </c>
      <c r="I11" s="229">
        <v>1</v>
      </c>
      <c r="J11" s="229">
        <v>1</v>
      </c>
      <c r="K11" s="229">
        <v>1</v>
      </c>
      <c r="L11" s="219" t="s">
        <v>2074</v>
      </c>
      <c r="M11" s="229">
        <v>0.5</v>
      </c>
      <c r="N11" s="229">
        <v>1</v>
      </c>
      <c r="O11" s="229">
        <v>50</v>
      </c>
      <c r="P11" s="219" t="s">
        <v>2088</v>
      </c>
      <c r="Q11" s="221"/>
      <c r="R11" s="221"/>
      <c r="S11" s="221"/>
      <c r="T11" s="221"/>
      <c r="U11" s="221"/>
      <c r="V11" s="221"/>
      <c r="W11" s="221"/>
      <c r="X11" s="221"/>
      <c r="Y11" s="221"/>
      <c r="Z11" s="986"/>
    </row>
    <row r="12" spans="1:26" s="11" customFormat="1" ht="37.950000000000003" customHeight="1" x14ac:dyDescent="0.3">
      <c r="A12" s="1072" t="s">
        <v>1936</v>
      </c>
      <c r="B12" s="1275" t="s">
        <v>2089</v>
      </c>
      <c r="C12" s="215" t="s">
        <v>687</v>
      </c>
      <c r="D12" s="215" t="s">
        <v>2090</v>
      </c>
      <c r="E12" s="215" t="s">
        <v>1737</v>
      </c>
      <c r="F12" s="103">
        <v>0.1333</v>
      </c>
      <c r="G12" s="103">
        <v>1</v>
      </c>
      <c r="H12" s="103">
        <v>1</v>
      </c>
      <c r="I12" s="103">
        <v>0</v>
      </c>
      <c r="J12" s="103">
        <v>0.2</v>
      </c>
      <c r="K12" s="103">
        <v>1</v>
      </c>
      <c r="L12" s="215" t="s">
        <v>2091</v>
      </c>
      <c r="M12" s="103">
        <v>0.2</v>
      </c>
      <c r="N12" s="103">
        <v>1</v>
      </c>
      <c r="O12" s="103">
        <v>20</v>
      </c>
      <c r="P12" s="215" t="s">
        <v>2092</v>
      </c>
      <c r="Q12" s="139"/>
      <c r="R12" s="139"/>
      <c r="S12" s="139"/>
      <c r="T12" s="139"/>
      <c r="U12" s="139"/>
      <c r="V12" s="139"/>
      <c r="W12" s="139"/>
      <c r="X12" s="139"/>
      <c r="Y12" s="139"/>
      <c r="Z12" s="985"/>
    </row>
    <row r="13" spans="1:26" s="11" customFormat="1" ht="37.950000000000003" customHeight="1" x14ac:dyDescent="0.3">
      <c r="A13" s="1072" t="s">
        <v>1974</v>
      </c>
      <c r="B13" s="1276" t="s">
        <v>2093</v>
      </c>
      <c r="C13" s="219" t="s">
        <v>57</v>
      </c>
      <c r="D13" s="219" t="s">
        <v>2094</v>
      </c>
      <c r="E13" s="219" t="s">
        <v>1737</v>
      </c>
      <c r="F13" s="229">
        <v>6.8500000000000005E-2</v>
      </c>
      <c r="G13" s="229">
        <v>1</v>
      </c>
      <c r="H13" s="229">
        <v>0</v>
      </c>
      <c r="I13" s="229">
        <v>0</v>
      </c>
      <c r="J13" s="229">
        <v>0</v>
      </c>
      <c r="K13" s="229">
        <v>0</v>
      </c>
      <c r="L13" s="219" t="s">
        <v>2095</v>
      </c>
      <c r="M13" s="229">
        <v>0</v>
      </c>
      <c r="N13" s="229">
        <v>1</v>
      </c>
      <c r="O13" s="229">
        <v>0</v>
      </c>
      <c r="P13" s="219" t="s">
        <v>2096</v>
      </c>
      <c r="Q13" s="221"/>
      <c r="R13" s="221"/>
      <c r="S13" s="221"/>
      <c r="T13" s="221"/>
      <c r="U13" s="221"/>
      <c r="V13" s="221"/>
      <c r="W13" s="221"/>
      <c r="X13" s="221"/>
      <c r="Y13" s="221"/>
      <c r="Z13" s="986"/>
    </row>
    <row r="14" spans="1:26" s="11" customFormat="1" ht="37.950000000000003" customHeight="1" x14ac:dyDescent="0.3">
      <c r="A14" s="1072" t="s">
        <v>1946</v>
      </c>
      <c r="B14" s="1275" t="s">
        <v>1947</v>
      </c>
      <c r="C14" s="215" t="s">
        <v>693</v>
      </c>
      <c r="D14" s="215" t="s">
        <v>2097</v>
      </c>
      <c r="E14" s="215" t="s">
        <v>1729</v>
      </c>
      <c r="F14" s="103">
        <v>3.2399999999999998E-2</v>
      </c>
      <c r="G14" s="103">
        <v>1.5</v>
      </c>
      <c r="H14" s="103">
        <v>1</v>
      </c>
      <c r="I14" s="103">
        <v>1</v>
      </c>
      <c r="J14" s="103">
        <v>1</v>
      </c>
      <c r="K14" s="103">
        <v>1</v>
      </c>
      <c r="L14" s="215" t="s">
        <v>2074</v>
      </c>
      <c r="M14" s="103">
        <v>1.5</v>
      </c>
      <c r="N14" s="103">
        <v>1</v>
      </c>
      <c r="O14" s="103">
        <v>150</v>
      </c>
      <c r="P14" s="215" t="s">
        <v>2098</v>
      </c>
      <c r="Q14" s="139"/>
      <c r="R14" s="139"/>
      <c r="S14" s="139"/>
      <c r="T14" s="139"/>
      <c r="U14" s="139"/>
      <c r="V14" s="139"/>
      <c r="W14" s="139"/>
      <c r="X14" s="139"/>
      <c r="Y14" s="139"/>
      <c r="Z14" s="985"/>
    </row>
    <row r="15" spans="1:26" s="11" customFormat="1" ht="37.950000000000003" customHeight="1" x14ac:dyDescent="0.3">
      <c r="A15" s="1072" t="s">
        <v>1963</v>
      </c>
      <c r="B15" s="1276" t="s">
        <v>94</v>
      </c>
      <c r="C15" s="219" t="s">
        <v>43</v>
      </c>
      <c r="D15" s="219" t="s">
        <v>2099</v>
      </c>
      <c r="E15" s="219" t="s">
        <v>1729</v>
      </c>
      <c r="F15" s="229">
        <v>0.20180000000000001</v>
      </c>
      <c r="G15" s="229">
        <v>1.5</v>
      </c>
      <c r="H15" s="229">
        <v>1</v>
      </c>
      <c r="I15" s="229">
        <v>0</v>
      </c>
      <c r="J15" s="229">
        <v>0.1</v>
      </c>
      <c r="K15" s="229">
        <v>1</v>
      </c>
      <c r="L15" s="219" t="s">
        <v>2091</v>
      </c>
      <c r="M15" s="229">
        <v>0.15</v>
      </c>
      <c r="N15" s="229">
        <v>0.9</v>
      </c>
      <c r="O15" s="229">
        <v>13.5</v>
      </c>
      <c r="P15" s="219" t="s">
        <v>2100</v>
      </c>
      <c r="Q15" s="221"/>
      <c r="R15" s="221"/>
      <c r="S15" s="221"/>
      <c r="T15" s="221"/>
      <c r="U15" s="221"/>
      <c r="V15" s="221"/>
      <c r="W15" s="221"/>
      <c r="X15" s="221"/>
      <c r="Y15" s="221"/>
      <c r="Z15" s="986"/>
    </row>
    <row r="16" spans="1:26" s="11" customFormat="1" ht="37.950000000000003" customHeight="1" x14ac:dyDescent="0.3">
      <c r="A16" s="1072" t="s">
        <v>1963</v>
      </c>
      <c r="B16" s="1275"/>
      <c r="C16" s="215" t="s">
        <v>47</v>
      </c>
      <c r="D16" s="215" t="s">
        <v>2101</v>
      </c>
      <c r="E16" s="215" t="s">
        <v>1729</v>
      </c>
      <c r="F16" s="103">
        <v>2.52E-2</v>
      </c>
      <c r="G16" s="103">
        <v>1.5</v>
      </c>
      <c r="H16" s="103">
        <v>1</v>
      </c>
      <c r="I16" s="103">
        <v>0</v>
      </c>
      <c r="J16" s="103">
        <v>0.3</v>
      </c>
      <c r="K16" s="103">
        <v>1</v>
      </c>
      <c r="L16" s="215" t="s">
        <v>2091</v>
      </c>
      <c r="M16" s="103">
        <v>0.45</v>
      </c>
      <c r="N16" s="103">
        <v>0.9</v>
      </c>
      <c r="O16" s="103">
        <v>40.5</v>
      </c>
      <c r="P16" s="215" t="s">
        <v>2102</v>
      </c>
      <c r="Q16" s="139"/>
      <c r="R16" s="139"/>
      <c r="S16" s="139"/>
      <c r="T16" s="139"/>
      <c r="U16" s="139"/>
      <c r="V16" s="139"/>
      <c r="W16" s="139"/>
      <c r="X16" s="139"/>
      <c r="Y16" s="139"/>
      <c r="Z16" s="985"/>
    </row>
    <row r="17" spans="1:26" s="11" customFormat="1" ht="37.950000000000003" customHeight="1" x14ac:dyDescent="0.3">
      <c r="A17" s="1072" t="s">
        <v>1963</v>
      </c>
      <c r="B17" s="1276"/>
      <c r="C17" s="219" t="s">
        <v>53</v>
      </c>
      <c r="D17" s="219" t="s">
        <v>2103</v>
      </c>
      <c r="E17" s="219" t="s">
        <v>1729</v>
      </c>
      <c r="F17" s="229">
        <v>1.2999999999999999E-2</v>
      </c>
      <c r="G17" s="229">
        <v>1</v>
      </c>
      <c r="H17" s="229">
        <v>0</v>
      </c>
      <c r="I17" s="229">
        <v>0</v>
      </c>
      <c r="J17" s="229">
        <v>0</v>
      </c>
      <c r="K17" s="229">
        <v>0</v>
      </c>
      <c r="L17" s="219" t="s">
        <v>2095</v>
      </c>
      <c r="M17" s="229">
        <v>0</v>
      </c>
      <c r="N17" s="229">
        <v>0.9</v>
      </c>
      <c r="O17" s="229">
        <v>0</v>
      </c>
      <c r="P17" s="219" t="s">
        <v>2104</v>
      </c>
      <c r="Q17" s="221"/>
      <c r="R17" s="221"/>
      <c r="S17" s="221"/>
      <c r="T17" s="221"/>
      <c r="U17" s="221"/>
      <c r="V17" s="221"/>
      <c r="W17" s="221"/>
      <c r="X17" s="221"/>
      <c r="Y17" s="221"/>
      <c r="Z17" s="986"/>
    </row>
    <row r="18" spans="1:26" s="11" customFormat="1" ht="37.950000000000003" customHeight="1" x14ac:dyDescent="0.3">
      <c r="A18" s="1072" t="s">
        <v>1948</v>
      </c>
      <c r="B18" s="1275" t="s">
        <v>2105</v>
      </c>
      <c r="C18" s="215" t="s">
        <v>515</v>
      </c>
      <c r="D18" s="215" t="s">
        <v>2106</v>
      </c>
      <c r="E18" s="215" t="s">
        <v>1781</v>
      </c>
      <c r="F18" s="103">
        <v>4.4699999999999997E-2</v>
      </c>
      <c r="G18" s="103">
        <v>1.5</v>
      </c>
      <c r="H18" s="103">
        <v>1</v>
      </c>
      <c r="I18" s="103">
        <v>1</v>
      </c>
      <c r="J18" s="103">
        <v>0.4</v>
      </c>
      <c r="K18" s="103">
        <v>1</v>
      </c>
      <c r="L18" s="215" t="s">
        <v>2074</v>
      </c>
      <c r="M18" s="103">
        <v>0.6</v>
      </c>
      <c r="N18" s="103">
        <v>0.9</v>
      </c>
      <c r="O18" s="103">
        <v>54</v>
      </c>
      <c r="P18" s="215" t="s">
        <v>2107</v>
      </c>
      <c r="Q18" s="139"/>
      <c r="R18" s="139"/>
      <c r="S18" s="139"/>
      <c r="T18" s="139"/>
      <c r="U18" s="139"/>
      <c r="V18" s="139"/>
      <c r="W18" s="139"/>
      <c r="X18" s="139"/>
      <c r="Y18" s="139"/>
      <c r="Z18" s="985"/>
    </row>
    <row r="19" spans="1:26" s="11" customFormat="1" ht="37.950000000000003" customHeight="1" x14ac:dyDescent="0.3">
      <c r="A19" s="1072" t="s">
        <v>1966</v>
      </c>
      <c r="B19" s="1276" t="s">
        <v>804</v>
      </c>
      <c r="C19" s="219" t="s">
        <v>487</v>
      </c>
      <c r="D19" s="219" t="s">
        <v>2108</v>
      </c>
      <c r="E19" s="219" t="s">
        <v>1781</v>
      </c>
      <c r="F19" s="229">
        <v>1.7999999999999999E-2</v>
      </c>
      <c r="G19" s="229">
        <v>1.5</v>
      </c>
      <c r="H19" s="229">
        <v>1</v>
      </c>
      <c r="I19" s="229">
        <v>1</v>
      </c>
      <c r="J19" s="229">
        <v>0.3</v>
      </c>
      <c r="K19" s="229">
        <v>1</v>
      </c>
      <c r="L19" s="219" t="s">
        <v>2074</v>
      </c>
      <c r="M19" s="229">
        <v>0.45</v>
      </c>
      <c r="N19" s="229">
        <v>0.9</v>
      </c>
      <c r="O19" s="229">
        <v>40.5</v>
      </c>
      <c r="P19" s="219" t="s">
        <v>2109</v>
      </c>
      <c r="Q19" s="221"/>
      <c r="R19" s="221"/>
      <c r="S19" s="221"/>
      <c r="T19" s="221"/>
      <c r="U19" s="221"/>
      <c r="V19" s="221"/>
      <c r="W19" s="221"/>
      <c r="X19" s="221"/>
      <c r="Y19" s="221"/>
      <c r="Z19" s="986"/>
    </row>
    <row r="20" spans="1:26" s="11" customFormat="1" ht="37.950000000000003" customHeight="1" x14ac:dyDescent="0.3">
      <c r="A20" s="1072" t="s">
        <v>1950</v>
      </c>
      <c r="B20" s="1275" t="s">
        <v>2110</v>
      </c>
      <c r="C20" s="215" t="s">
        <v>50</v>
      </c>
      <c r="D20" s="215" t="s">
        <v>2111</v>
      </c>
      <c r="E20" s="215" t="s">
        <v>1729</v>
      </c>
      <c r="F20" s="103">
        <v>8.6E-3</v>
      </c>
      <c r="G20" s="103">
        <v>1</v>
      </c>
      <c r="H20" s="103">
        <v>1</v>
      </c>
      <c r="I20" s="103">
        <v>0</v>
      </c>
      <c r="J20" s="103">
        <v>0.2</v>
      </c>
      <c r="K20" s="103">
        <v>1</v>
      </c>
      <c r="L20" s="215" t="s">
        <v>2091</v>
      </c>
      <c r="M20" s="103">
        <v>0.2</v>
      </c>
      <c r="N20" s="103">
        <v>1</v>
      </c>
      <c r="O20" s="103">
        <v>20</v>
      </c>
      <c r="P20" s="215" t="s">
        <v>2112</v>
      </c>
      <c r="Q20" s="139"/>
      <c r="R20" s="139"/>
      <c r="S20" s="139"/>
      <c r="T20" s="139"/>
      <c r="U20" s="139"/>
      <c r="V20" s="139"/>
      <c r="W20" s="139"/>
      <c r="X20" s="139"/>
      <c r="Y20" s="139"/>
      <c r="Z20" s="985"/>
    </row>
    <row r="21" spans="1:26" s="11" customFormat="1" ht="37.950000000000003" customHeight="1" x14ac:dyDescent="0.3">
      <c r="A21" s="1072" t="s">
        <v>1950</v>
      </c>
      <c r="B21" s="1276"/>
      <c r="C21" s="219" t="s">
        <v>633</v>
      </c>
      <c r="D21" s="219" t="s">
        <v>2113</v>
      </c>
      <c r="E21" s="219" t="s">
        <v>1794</v>
      </c>
      <c r="F21" s="229">
        <v>6.1000000000000004E-3</v>
      </c>
      <c r="G21" s="229">
        <v>0.5</v>
      </c>
      <c r="H21" s="229">
        <v>1</v>
      </c>
      <c r="I21" s="229">
        <v>1</v>
      </c>
      <c r="J21" s="229">
        <v>0.7</v>
      </c>
      <c r="K21" s="229">
        <v>1</v>
      </c>
      <c r="L21" s="219" t="s">
        <v>2074</v>
      </c>
      <c r="M21" s="229">
        <v>0.35</v>
      </c>
      <c r="N21" s="229">
        <v>1</v>
      </c>
      <c r="O21" s="229">
        <v>35</v>
      </c>
      <c r="P21" s="219" t="s">
        <v>2114</v>
      </c>
      <c r="Q21" s="221"/>
      <c r="R21" s="221"/>
      <c r="S21" s="221"/>
      <c r="T21" s="221"/>
      <c r="U21" s="221"/>
      <c r="V21" s="221"/>
      <c r="W21" s="221"/>
      <c r="X21" s="221"/>
      <c r="Y21" s="221"/>
      <c r="Z21" s="986"/>
    </row>
    <row r="22" spans="1:26" s="11" customFormat="1" ht="37.950000000000003" customHeight="1" x14ac:dyDescent="0.3">
      <c r="A22" s="1072" t="s">
        <v>1952</v>
      </c>
      <c r="B22" s="1275" t="s">
        <v>2115</v>
      </c>
      <c r="C22" s="215" t="s">
        <v>622</v>
      </c>
      <c r="D22" s="215" t="s">
        <v>2116</v>
      </c>
      <c r="E22" s="215" t="s">
        <v>1794</v>
      </c>
      <c r="F22" s="103">
        <v>6.7999999999999996E-3</v>
      </c>
      <c r="G22" s="103">
        <v>0.5</v>
      </c>
      <c r="H22" s="103">
        <v>1</v>
      </c>
      <c r="I22" s="103">
        <v>1</v>
      </c>
      <c r="J22" s="103">
        <v>1</v>
      </c>
      <c r="K22" s="103">
        <v>1</v>
      </c>
      <c r="L22" s="215" t="s">
        <v>2074</v>
      </c>
      <c r="M22" s="103">
        <v>0.5</v>
      </c>
      <c r="N22" s="103">
        <v>1</v>
      </c>
      <c r="O22" s="103">
        <v>50</v>
      </c>
      <c r="P22" s="215" t="s">
        <v>2117</v>
      </c>
      <c r="Q22" s="139"/>
      <c r="R22" s="139"/>
      <c r="S22" s="139"/>
      <c r="T22" s="139"/>
      <c r="U22" s="139"/>
      <c r="V22" s="139"/>
      <c r="W22" s="139"/>
      <c r="X22" s="139"/>
      <c r="Y22" s="139"/>
      <c r="Z22" s="985"/>
    </row>
    <row r="23" spans="1:26" s="11" customFormat="1" ht="37.950000000000003" customHeight="1" x14ac:dyDescent="0.3">
      <c r="A23" s="1072" t="s">
        <v>1969</v>
      </c>
      <c r="B23" s="1276" t="s">
        <v>2118</v>
      </c>
      <c r="C23" s="219" t="s">
        <v>470</v>
      </c>
      <c r="D23" s="219" t="s">
        <v>2119</v>
      </c>
      <c r="E23" s="219" t="s">
        <v>1729</v>
      </c>
      <c r="F23" s="229">
        <v>4.7000000000000002E-3</v>
      </c>
      <c r="G23" s="249">
        <v>0.5</v>
      </c>
      <c r="H23" s="249">
        <v>1</v>
      </c>
      <c r="I23" s="229">
        <v>1</v>
      </c>
      <c r="J23" s="229">
        <v>0.35</v>
      </c>
      <c r="K23" s="229">
        <v>1</v>
      </c>
      <c r="L23" s="219" t="s">
        <v>2074</v>
      </c>
      <c r="M23" s="229">
        <v>0.18</v>
      </c>
      <c r="N23" s="229">
        <v>0.9</v>
      </c>
      <c r="O23" s="229">
        <v>15.8</v>
      </c>
      <c r="P23" s="219" t="s">
        <v>2120</v>
      </c>
      <c r="Q23" s="221"/>
      <c r="R23" s="221"/>
      <c r="S23" s="221"/>
      <c r="T23" s="221"/>
      <c r="U23" s="221"/>
      <c r="V23" s="221"/>
      <c r="W23" s="221"/>
      <c r="X23" s="221"/>
      <c r="Y23" s="221"/>
      <c r="Z23" s="986"/>
    </row>
    <row r="24" spans="1:26" s="11" customFormat="1" ht="37.950000000000003" customHeight="1" x14ac:dyDescent="0.3">
      <c r="A24" s="1072" t="s">
        <v>1976</v>
      </c>
      <c r="B24" s="1275" t="s">
        <v>1979</v>
      </c>
      <c r="C24" s="215" t="s">
        <v>463</v>
      </c>
      <c r="D24" s="215" t="s">
        <v>2121</v>
      </c>
      <c r="E24" s="215" t="s">
        <v>1825</v>
      </c>
      <c r="F24" s="103">
        <v>3.2000000000000002E-3</v>
      </c>
      <c r="G24" s="250">
        <v>0.5</v>
      </c>
      <c r="H24" s="250">
        <v>1</v>
      </c>
      <c r="I24" s="103">
        <v>1</v>
      </c>
      <c r="J24" s="103">
        <v>0.3</v>
      </c>
      <c r="K24" s="103">
        <v>1</v>
      </c>
      <c r="L24" s="215" t="s">
        <v>2074</v>
      </c>
      <c r="M24" s="103">
        <v>0.15</v>
      </c>
      <c r="N24" s="103">
        <v>0.9</v>
      </c>
      <c r="O24" s="103">
        <v>13.5</v>
      </c>
      <c r="P24" s="215" t="s">
        <v>2122</v>
      </c>
      <c r="Q24" s="139"/>
      <c r="R24" s="139"/>
      <c r="S24" s="139"/>
      <c r="T24" s="139"/>
      <c r="U24" s="139"/>
      <c r="V24" s="139"/>
      <c r="W24" s="139"/>
      <c r="X24" s="139"/>
      <c r="Y24" s="139"/>
      <c r="Z24" s="985"/>
    </row>
    <row r="25" spans="1:26" s="11" customFormat="1" ht="37.950000000000003" customHeight="1" x14ac:dyDescent="0.3">
      <c r="A25" s="1072"/>
      <c r="B25" s="571"/>
      <c r="C25" s="221"/>
      <c r="D25" s="221"/>
      <c r="E25" s="221"/>
      <c r="F25" s="221"/>
      <c r="G25" s="219"/>
      <c r="H25" s="219"/>
      <c r="I25" s="219"/>
      <c r="J25" s="221"/>
      <c r="K25" s="221"/>
      <c r="L25" s="219"/>
      <c r="M25" s="219"/>
      <c r="N25" s="221"/>
      <c r="O25" s="221"/>
      <c r="P25" s="221"/>
      <c r="Q25" s="221"/>
      <c r="R25" s="221"/>
      <c r="S25" s="221"/>
      <c r="T25" s="221"/>
      <c r="U25" s="221"/>
      <c r="V25" s="221"/>
      <c r="W25" s="221"/>
      <c r="X25" s="221"/>
      <c r="Y25" s="221"/>
      <c r="Z25" s="986"/>
    </row>
    <row r="26" spans="1:26" s="11" customFormat="1" ht="19.95" customHeight="1" x14ac:dyDescent="0.3">
      <c r="A26" s="1715" t="s">
        <v>2123</v>
      </c>
      <c r="B26" s="1716"/>
      <c r="C26" s="1716"/>
      <c r="D26" s="1716"/>
      <c r="E26" s="1716"/>
      <c r="F26" s="1716"/>
      <c r="G26" s="1716"/>
      <c r="H26" s="1716"/>
      <c r="I26" s="1716"/>
      <c r="J26" s="1716"/>
      <c r="K26" s="1716"/>
      <c r="L26" s="1716"/>
      <c r="M26" s="1716"/>
      <c r="N26" s="1716"/>
      <c r="O26" s="1716"/>
      <c r="P26" s="1716"/>
      <c r="Q26" s="1716"/>
      <c r="R26" s="1716"/>
      <c r="S26" s="1716"/>
      <c r="T26" s="1716"/>
      <c r="U26" s="1716"/>
      <c r="V26" s="1716"/>
      <c r="W26" s="1716"/>
      <c r="X26" s="1716"/>
      <c r="Y26" s="1716"/>
      <c r="Z26" s="1717"/>
    </row>
    <row r="27" spans="1:26" s="11" customFormat="1" ht="37.950000000000003" customHeight="1" x14ac:dyDescent="0.3">
      <c r="A27" s="1072" t="s">
        <v>2124</v>
      </c>
      <c r="B27" s="1277" t="s">
        <v>2125</v>
      </c>
      <c r="C27" s="227" t="s">
        <v>2126</v>
      </c>
      <c r="D27" s="227" t="s">
        <v>2127</v>
      </c>
      <c r="E27" s="227" t="s">
        <v>2128</v>
      </c>
      <c r="F27" s="227" t="s">
        <v>2129</v>
      </c>
      <c r="G27" s="227" t="s">
        <v>669</v>
      </c>
      <c r="H27" s="227" t="s">
        <v>2130</v>
      </c>
      <c r="I27" s="220" t="s">
        <v>408</v>
      </c>
      <c r="J27" s="227" t="s">
        <v>1994</v>
      </c>
      <c r="K27" s="227" t="s">
        <v>2131</v>
      </c>
      <c r="L27" s="227" t="s">
        <v>2132</v>
      </c>
      <c r="M27" s="230" t="s">
        <v>1516</v>
      </c>
      <c r="N27" s="227" t="s">
        <v>2133</v>
      </c>
      <c r="O27" s="227" t="s">
        <v>2134</v>
      </c>
      <c r="P27" s="227" t="s">
        <v>2135</v>
      </c>
      <c r="Q27" s="221"/>
      <c r="R27" s="221"/>
      <c r="S27" s="221"/>
      <c r="T27" s="221"/>
      <c r="U27" s="221"/>
      <c r="V27" s="221"/>
      <c r="W27" s="221"/>
      <c r="X27" s="221"/>
      <c r="Y27" s="221"/>
      <c r="Z27" s="986"/>
    </row>
    <row r="28" spans="1:26" s="11" customFormat="1" ht="37.950000000000003" customHeight="1" x14ac:dyDescent="0.3">
      <c r="A28" s="1072" t="s">
        <v>1946</v>
      </c>
      <c r="B28" s="1275" t="s">
        <v>1947</v>
      </c>
      <c r="C28" s="103">
        <v>1</v>
      </c>
      <c r="D28" s="103">
        <v>1</v>
      </c>
      <c r="E28" s="103">
        <v>0</v>
      </c>
      <c r="F28" s="103">
        <v>1</v>
      </c>
      <c r="G28" s="250">
        <v>1</v>
      </c>
      <c r="H28" s="250">
        <v>150</v>
      </c>
      <c r="I28" s="224" t="s">
        <v>412</v>
      </c>
      <c r="J28" s="215" t="s">
        <v>2060</v>
      </c>
      <c r="K28" s="215" t="s">
        <v>2136</v>
      </c>
      <c r="L28" s="215" t="s">
        <v>2137</v>
      </c>
      <c r="M28" s="216" t="s">
        <v>2138</v>
      </c>
      <c r="N28" s="215" t="s">
        <v>2139</v>
      </c>
      <c r="O28" s="215" t="s">
        <v>2140</v>
      </c>
      <c r="P28" s="215" t="s">
        <v>2141</v>
      </c>
      <c r="Q28" s="139"/>
      <c r="R28" s="139"/>
      <c r="S28" s="139"/>
      <c r="T28" s="139"/>
      <c r="U28" s="139"/>
      <c r="V28" s="139"/>
      <c r="W28" s="139"/>
      <c r="X28" s="139"/>
      <c r="Y28" s="139"/>
      <c r="Z28" s="985"/>
    </row>
    <row r="29" spans="1:26" s="11" customFormat="1" ht="37.950000000000003" customHeight="1" x14ac:dyDescent="0.3">
      <c r="A29" s="1072" t="s">
        <v>1944</v>
      </c>
      <c r="B29" s="1276" t="s">
        <v>2072</v>
      </c>
      <c r="C29" s="229">
        <v>2</v>
      </c>
      <c r="D29" s="229">
        <v>2</v>
      </c>
      <c r="E29" s="229">
        <v>0</v>
      </c>
      <c r="F29" s="229">
        <v>0.55000000000000004</v>
      </c>
      <c r="G29" s="249">
        <v>1</v>
      </c>
      <c r="H29" s="249">
        <v>82.5</v>
      </c>
      <c r="I29" s="225" t="s">
        <v>421</v>
      </c>
      <c r="J29" s="225" t="s">
        <v>2142</v>
      </c>
      <c r="K29" s="219" t="s">
        <v>2136</v>
      </c>
      <c r="L29" s="219" t="s">
        <v>2143</v>
      </c>
      <c r="M29" s="227" t="s">
        <v>2138</v>
      </c>
      <c r="N29" s="219" t="s">
        <v>2144</v>
      </c>
      <c r="O29" s="219" t="s">
        <v>2145</v>
      </c>
      <c r="P29" s="219" t="s">
        <v>2146</v>
      </c>
      <c r="Q29" s="221"/>
      <c r="R29" s="221"/>
      <c r="S29" s="221"/>
      <c r="T29" s="221"/>
      <c r="U29" s="221"/>
      <c r="V29" s="221"/>
      <c r="W29" s="221"/>
      <c r="X29" s="221"/>
      <c r="Y29" s="221"/>
      <c r="Z29" s="986"/>
    </row>
    <row r="30" spans="1:26" s="11" customFormat="1" ht="37.950000000000003" customHeight="1" x14ac:dyDescent="0.3">
      <c r="A30" s="1072" t="s">
        <v>1941</v>
      </c>
      <c r="B30" s="1275" t="s">
        <v>2078</v>
      </c>
      <c r="C30" s="103">
        <v>5</v>
      </c>
      <c r="D30" s="103">
        <v>5</v>
      </c>
      <c r="E30" s="103">
        <v>0</v>
      </c>
      <c r="F30" s="103">
        <v>0.83</v>
      </c>
      <c r="G30" s="250">
        <v>1</v>
      </c>
      <c r="H30" s="250">
        <v>80.5</v>
      </c>
      <c r="I30" s="224" t="s">
        <v>421</v>
      </c>
      <c r="J30" s="224" t="s">
        <v>2142</v>
      </c>
      <c r="K30" s="215" t="s">
        <v>2136</v>
      </c>
      <c r="L30" s="215" t="s">
        <v>2147</v>
      </c>
      <c r="M30" s="216" t="s">
        <v>2138</v>
      </c>
      <c r="N30" s="215" t="s">
        <v>2144</v>
      </c>
      <c r="O30" s="215" t="s">
        <v>2148</v>
      </c>
      <c r="P30" s="224" t="s">
        <v>2149</v>
      </c>
      <c r="Q30" s="139"/>
      <c r="R30" s="139"/>
      <c r="S30" s="139"/>
      <c r="T30" s="139"/>
      <c r="U30" s="139"/>
      <c r="V30" s="139"/>
      <c r="W30" s="139"/>
      <c r="X30" s="139"/>
      <c r="Y30" s="139"/>
      <c r="Z30" s="985"/>
    </row>
    <row r="31" spans="1:26" ht="28.05" customHeight="1" x14ac:dyDescent="0.3">
      <c r="A31" s="1072" t="s">
        <v>1948</v>
      </c>
      <c r="B31" s="1278" t="s">
        <v>2105</v>
      </c>
      <c r="C31" s="251">
        <v>1</v>
      </c>
      <c r="D31" s="251">
        <v>1</v>
      </c>
      <c r="E31" s="251">
        <v>0</v>
      </c>
      <c r="F31" s="251">
        <v>0.4</v>
      </c>
      <c r="G31" s="252">
        <v>0.9</v>
      </c>
      <c r="H31" s="252">
        <v>54</v>
      </c>
      <c r="I31" s="253" t="s">
        <v>2066</v>
      </c>
      <c r="J31" s="231" t="s">
        <v>2150</v>
      </c>
      <c r="K31" s="231" t="s">
        <v>2136</v>
      </c>
      <c r="L31" s="1271" t="s">
        <v>2151</v>
      </c>
      <c r="M31" s="235" t="s">
        <v>770</v>
      </c>
      <c r="N31" s="231" t="s">
        <v>2152</v>
      </c>
      <c r="O31" s="231" t="s">
        <v>2153</v>
      </c>
      <c r="P31" s="231" t="s">
        <v>2154</v>
      </c>
      <c r="Q31" s="194"/>
      <c r="R31" s="194"/>
      <c r="S31" s="194"/>
      <c r="T31" s="194"/>
      <c r="U31" s="194"/>
      <c r="V31" s="194"/>
      <c r="W31" s="194"/>
      <c r="X31" s="194"/>
      <c r="Y31" s="194"/>
      <c r="Z31" s="987"/>
    </row>
    <row r="32" spans="1:26" ht="28.05" customHeight="1" x14ac:dyDescent="0.3">
      <c r="A32" s="1072" t="s">
        <v>1952</v>
      </c>
      <c r="B32" s="1279" t="s">
        <v>2115</v>
      </c>
      <c r="C32" s="254">
        <v>1</v>
      </c>
      <c r="D32" s="254">
        <v>1</v>
      </c>
      <c r="E32" s="254">
        <v>0</v>
      </c>
      <c r="F32" s="254">
        <v>1</v>
      </c>
      <c r="G32" s="255">
        <v>1</v>
      </c>
      <c r="H32" s="255">
        <v>50</v>
      </c>
      <c r="I32" s="256" t="s">
        <v>2066</v>
      </c>
      <c r="J32" s="100" t="s">
        <v>2150</v>
      </c>
      <c r="K32" s="100" t="s">
        <v>2136</v>
      </c>
      <c r="L32" s="215" t="s">
        <v>2155</v>
      </c>
      <c r="M32" s="237" t="s">
        <v>2138</v>
      </c>
      <c r="N32" s="100" t="s">
        <v>2156</v>
      </c>
      <c r="O32" s="257">
        <v>0</v>
      </c>
      <c r="P32" s="224" t="s">
        <v>2157</v>
      </c>
      <c r="Q32" s="104"/>
      <c r="R32" s="104"/>
      <c r="S32" s="104"/>
      <c r="T32" s="104"/>
      <c r="U32" s="104"/>
      <c r="V32" s="104"/>
      <c r="W32" s="104"/>
      <c r="X32" s="104"/>
      <c r="Y32" s="104"/>
      <c r="Z32" s="988"/>
    </row>
    <row r="33" spans="1:26" ht="28.05" customHeight="1" x14ac:dyDescent="0.3">
      <c r="A33" s="1072" t="s">
        <v>1966</v>
      </c>
      <c r="B33" s="1278" t="s">
        <v>804</v>
      </c>
      <c r="C33" s="251">
        <v>1</v>
      </c>
      <c r="D33" s="251">
        <v>1</v>
      </c>
      <c r="E33" s="251">
        <v>0</v>
      </c>
      <c r="F33" s="251">
        <v>0.3</v>
      </c>
      <c r="G33" s="252">
        <v>0.9</v>
      </c>
      <c r="H33" s="252">
        <v>40.5</v>
      </c>
      <c r="I33" s="253" t="s">
        <v>2066</v>
      </c>
      <c r="J33" s="231" t="s">
        <v>2150</v>
      </c>
      <c r="K33" s="231" t="s">
        <v>2136</v>
      </c>
      <c r="L33" s="219" t="s">
        <v>2158</v>
      </c>
      <c r="M33" s="235" t="s">
        <v>769</v>
      </c>
      <c r="N33" s="231" t="s">
        <v>2152</v>
      </c>
      <c r="O33" s="231" t="s">
        <v>2159</v>
      </c>
      <c r="P33" s="219" t="s">
        <v>2160</v>
      </c>
      <c r="Q33" s="194"/>
      <c r="R33" s="194"/>
      <c r="S33" s="194"/>
      <c r="T33" s="194"/>
      <c r="U33" s="194"/>
      <c r="V33" s="194"/>
      <c r="W33" s="194"/>
      <c r="X33" s="194"/>
      <c r="Y33" s="194"/>
      <c r="Z33" s="987"/>
    </row>
    <row r="34" spans="1:26" ht="28.05" customHeight="1" x14ac:dyDescent="0.3">
      <c r="A34" s="1072" t="s">
        <v>1950</v>
      </c>
      <c r="B34" s="1279" t="s">
        <v>2161</v>
      </c>
      <c r="C34" s="254">
        <v>2</v>
      </c>
      <c r="D34" s="254">
        <v>2</v>
      </c>
      <c r="E34" s="254">
        <v>0</v>
      </c>
      <c r="F34" s="254">
        <v>0.45</v>
      </c>
      <c r="G34" s="255">
        <v>1</v>
      </c>
      <c r="H34" s="255">
        <v>27.5</v>
      </c>
      <c r="I34" s="256" t="s">
        <v>2066</v>
      </c>
      <c r="J34" s="100" t="s">
        <v>2150</v>
      </c>
      <c r="K34" s="100" t="s">
        <v>2136</v>
      </c>
      <c r="L34" s="215" t="s">
        <v>2162</v>
      </c>
      <c r="M34" s="291" t="s">
        <v>2163</v>
      </c>
      <c r="N34" s="100" t="s">
        <v>2156</v>
      </c>
      <c r="O34" s="100" t="s">
        <v>2164</v>
      </c>
      <c r="P34" s="215" t="s">
        <v>2165</v>
      </c>
      <c r="Q34" s="104"/>
      <c r="R34" s="104"/>
      <c r="S34" s="104"/>
      <c r="T34" s="104"/>
      <c r="U34" s="104"/>
      <c r="V34" s="104"/>
      <c r="W34" s="104"/>
      <c r="X34" s="104"/>
      <c r="Y34" s="104"/>
      <c r="Z34" s="988"/>
    </row>
    <row r="35" spans="1:26" ht="28.05" customHeight="1" x14ac:dyDescent="0.3">
      <c r="A35" s="1072" t="s">
        <v>1936</v>
      </c>
      <c r="B35" s="1278" t="s">
        <v>2089</v>
      </c>
      <c r="C35" s="251">
        <v>1</v>
      </c>
      <c r="D35" s="251">
        <v>1</v>
      </c>
      <c r="E35" s="251">
        <v>0</v>
      </c>
      <c r="F35" s="251">
        <v>0.2</v>
      </c>
      <c r="G35" s="252">
        <v>1</v>
      </c>
      <c r="H35" s="252">
        <v>20</v>
      </c>
      <c r="I35" s="253" t="s">
        <v>2066</v>
      </c>
      <c r="J35" s="231" t="s">
        <v>2150</v>
      </c>
      <c r="K35" s="231" t="s">
        <v>2136</v>
      </c>
      <c r="L35" s="219" t="s">
        <v>2166</v>
      </c>
      <c r="M35" s="543" t="s">
        <v>2163</v>
      </c>
      <c r="N35" s="231" t="s">
        <v>2144</v>
      </c>
      <c r="O35" s="231" t="s">
        <v>2167</v>
      </c>
      <c r="P35" s="219" t="s">
        <v>2168</v>
      </c>
      <c r="Q35" s="194"/>
      <c r="R35" s="194"/>
      <c r="S35" s="194"/>
      <c r="T35" s="194"/>
      <c r="U35" s="194"/>
      <c r="V35" s="194"/>
      <c r="W35" s="194"/>
      <c r="X35" s="194"/>
      <c r="Y35" s="194"/>
      <c r="Z35" s="987"/>
    </row>
    <row r="36" spans="1:26" ht="28.05" customHeight="1" x14ac:dyDescent="0.3">
      <c r="A36" s="1072" t="s">
        <v>1963</v>
      </c>
      <c r="B36" s="1279" t="s">
        <v>94</v>
      </c>
      <c r="C36" s="254">
        <v>3</v>
      </c>
      <c r="D36" s="254">
        <v>2</v>
      </c>
      <c r="E36" s="254">
        <v>1</v>
      </c>
      <c r="F36" s="254">
        <v>0.13</v>
      </c>
      <c r="G36" s="255">
        <v>0.9</v>
      </c>
      <c r="H36" s="255">
        <v>18</v>
      </c>
      <c r="I36" s="256" t="s">
        <v>2066</v>
      </c>
      <c r="J36" s="100" t="s">
        <v>2150</v>
      </c>
      <c r="K36" s="100" t="s">
        <v>2136</v>
      </c>
      <c r="L36" s="224" t="s">
        <v>2169</v>
      </c>
      <c r="M36" s="291" t="s">
        <v>2163</v>
      </c>
      <c r="N36" s="100" t="s">
        <v>2139</v>
      </c>
      <c r="O36" s="100" t="s">
        <v>2170</v>
      </c>
      <c r="P36" s="224" t="s">
        <v>2171</v>
      </c>
      <c r="Q36" s="104"/>
      <c r="R36" s="104"/>
      <c r="S36" s="104"/>
      <c r="T36" s="104"/>
      <c r="U36" s="104"/>
      <c r="V36" s="104"/>
      <c r="W36" s="104"/>
      <c r="X36" s="104"/>
      <c r="Y36" s="104"/>
      <c r="Z36" s="988"/>
    </row>
    <row r="37" spans="1:26" ht="28.05" customHeight="1" x14ac:dyDescent="0.3">
      <c r="A37" s="1072" t="s">
        <v>1969</v>
      </c>
      <c r="B37" s="1278" t="s">
        <v>2172</v>
      </c>
      <c r="C37" s="251">
        <v>1</v>
      </c>
      <c r="D37" s="251">
        <v>1</v>
      </c>
      <c r="E37" s="251">
        <v>0</v>
      </c>
      <c r="F37" s="251">
        <v>0.35</v>
      </c>
      <c r="G37" s="252">
        <v>0.9</v>
      </c>
      <c r="H37" s="252">
        <v>15.8</v>
      </c>
      <c r="I37" s="253" t="s">
        <v>2066</v>
      </c>
      <c r="J37" s="231" t="s">
        <v>2150</v>
      </c>
      <c r="K37" s="231" t="s">
        <v>2136</v>
      </c>
      <c r="L37" s="231" t="s">
        <v>2173</v>
      </c>
      <c r="M37" s="235" t="s">
        <v>769</v>
      </c>
      <c r="N37" s="231" t="s">
        <v>2139</v>
      </c>
      <c r="O37" s="231" t="s">
        <v>2174</v>
      </c>
      <c r="P37" s="219" t="s">
        <v>2175</v>
      </c>
      <c r="Q37" s="194"/>
      <c r="R37" s="194"/>
      <c r="S37" s="194"/>
      <c r="T37" s="194"/>
      <c r="U37" s="194"/>
      <c r="V37" s="194"/>
      <c r="W37" s="194"/>
      <c r="X37" s="194"/>
      <c r="Y37" s="194"/>
      <c r="Z37" s="987"/>
    </row>
    <row r="38" spans="1:26" ht="28.05" customHeight="1" x14ac:dyDescent="0.3">
      <c r="A38" s="1072" t="s">
        <v>1976</v>
      </c>
      <c r="B38" s="1279" t="s">
        <v>1979</v>
      </c>
      <c r="C38" s="254">
        <v>1</v>
      </c>
      <c r="D38" s="254">
        <v>1</v>
      </c>
      <c r="E38" s="254">
        <v>0</v>
      </c>
      <c r="F38" s="254">
        <v>0.3</v>
      </c>
      <c r="G38" s="258">
        <v>0.9</v>
      </c>
      <c r="H38" s="259">
        <v>13.5</v>
      </c>
      <c r="I38" s="256" t="s">
        <v>2066</v>
      </c>
      <c r="J38" s="100" t="s">
        <v>2150</v>
      </c>
      <c r="K38" s="100" t="s">
        <v>2136</v>
      </c>
      <c r="L38" s="234" t="s">
        <v>2176</v>
      </c>
      <c r="M38" s="260" t="s">
        <v>769</v>
      </c>
      <c r="N38" s="100" t="s">
        <v>2177</v>
      </c>
      <c r="O38" s="100" t="s">
        <v>2178</v>
      </c>
      <c r="P38" s="215" t="s">
        <v>2179</v>
      </c>
      <c r="Q38" s="104"/>
      <c r="R38" s="104"/>
      <c r="S38" s="104"/>
      <c r="T38" s="104"/>
      <c r="U38" s="104"/>
      <c r="V38" s="104"/>
      <c r="W38" s="104"/>
      <c r="X38" s="104"/>
      <c r="Y38" s="104"/>
      <c r="Z38" s="988"/>
    </row>
    <row r="39" spans="1:26" ht="28.05" customHeight="1" x14ac:dyDescent="0.3">
      <c r="A39" s="1072" t="s">
        <v>1974</v>
      </c>
      <c r="B39" s="1278" t="s">
        <v>2093</v>
      </c>
      <c r="C39" s="251">
        <v>1</v>
      </c>
      <c r="D39" s="251">
        <v>0</v>
      </c>
      <c r="E39" s="251">
        <v>1</v>
      </c>
      <c r="F39" s="251">
        <v>0</v>
      </c>
      <c r="G39" s="261">
        <v>1</v>
      </c>
      <c r="H39" s="262">
        <v>0</v>
      </c>
      <c r="I39" s="253" t="s">
        <v>2066</v>
      </c>
      <c r="J39" s="231" t="s">
        <v>2150</v>
      </c>
      <c r="K39" s="231" t="s">
        <v>2136</v>
      </c>
      <c r="L39" s="219" t="s">
        <v>2180</v>
      </c>
      <c r="M39" s="543" t="s">
        <v>2163</v>
      </c>
      <c r="N39" s="231" t="s">
        <v>2144</v>
      </c>
      <c r="O39" s="231" t="s">
        <v>2181</v>
      </c>
      <c r="P39" s="225" t="s">
        <v>2182</v>
      </c>
      <c r="Q39" s="194"/>
      <c r="R39" s="194"/>
      <c r="S39" s="194"/>
      <c r="T39" s="194"/>
      <c r="U39" s="194"/>
      <c r="V39" s="194"/>
      <c r="W39" s="194"/>
      <c r="X39" s="194"/>
      <c r="Y39" s="194"/>
      <c r="Z39" s="987"/>
    </row>
    <row r="40" spans="1:26" ht="19.95" customHeight="1" x14ac:dyDescent="0.3">
      <c r="A40" s="1073"/>
      <c r="B40" s="4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988"/>
    </row>
    <row r="41" spans="1:26" ht="19.95" customHeight="1" x14ac:dyDescent="0.3">
      <c r="A41" s="1938" t="s">
        <v>2183</v>
      </c>
      <c r="B41" s="1716"/>
      <c r="C41" s="1716"/>
      <c r="D41" s="1716"/>
      <c r="E41" s="1716"/>
      <c r="F41" s="1716"/>
      <c r="G41" s="1716"/>
      <c r="H41" s="1716"/>
      <c r="I41" s="1716"/>
      <c r="J41" s="1716"/>
      <c r="K41" s="1716"/>
      <c r="L41" s="1716"/>
      <c r="M41" s="1716"/>
      <c r="N41" s="1716"/>
      <c r="O41" s="1716"/>
      <c r="P41" s="1716"/>
      <c r="Q41" s="1716"/>
      <c r="R41" s="1716"/>
      <c r="S41" s="1716"/>
      <c r="T41" s="1716"/>
      <c r="U41" s="1716"/>
      <c r="V41" s="1716"/>
      <c r="W41" s="1716"/>
      <c r="X41" s="1716"/>
      <c r="Y41" s="1716"/>
      <c r="Z41" s="1717"/>
    </row>
    <row r="42" spans="1:26" ht="28.05" customHeight="1" x14ac:dyDescent="0.3">
      <c r="A42" s="1073" t="s">
        <v>2184</v>
      </c>
      <c r="B42" s="1280" t="s">
        <v>412</v>
      </c>
      <c r="C42" s="1849" t="s">
        <v>2185</v>
      </c>
      <c r="D42" s="1850"/>
      <c r="E42" s="1850"/>
      <c r="F42" s="1850"/>
      <c r="G42" s="1850"/>
      <c r="H42" s="1850"/>
      <c r="I42" s="263" t="s">
        <v>2061</v>
      </c>
      <c r="J42" s="101"/>
      <c r="K42" s="101"/>
      <c r="L42" s="101"/>
      <c r="M42" s="101"/>
      <c r="N42" s="101"/>
      <c r="O42" s="101"/>
      <c r="P42" s="101"/>
      <c r="Q42" s="104"/>
      <c r="R42" s="104"/>
      <c r="S42" s="104"/>
      <c r="T42" s="104"/>
      <c r="U42" s="104"/>
      <c r="V42" s="104"/>
      <c r="W42" s="104"/>
      <c r="X42" s="104"/>
      <c r="Y42" s="104"/>
      <c r="Z42" s="988"/>
    </row>
    <row r="43" spans="1:26" ht="28.05" customHeight="1" x14ac:dyDescent="0.3">
      <c r="A43" s="1073" t="s">
        <v>2186</v>
      </c>
      <c r="B43" s="1041" t="s">
        <v>417</v>
      </c>
      <c r="C43" s="1854" t="s">
        <v>2187</v>
      </c>
      <c r="D43" s="1731"/>
      <c r="E43" s="1731"/>
      <c r="F43" s="1731"/>
      <c r="G43" s="1731"/>
      <c r="H43" s="1731"/>
      <c r="I43" s="264" t="s">
        <v>238</v>
      </c>
      <c r="J43" s="232"/>
      <c r="K43" s="232"/>
      <c r="L43" s="232"/>
      <c r="M43" s="232"/>
      <c r="N43" s="232"/>
      <c r="O43" s="232"/>
      <c r="P43" s="232"/>
      <c r="Q43" s="194"/>
      <c r="R43" s="194"/>
      <c r="S43" s="194"/>
      <c r="T43" s="194"/>
      <c r="U43" s="194"/>
      <c r="V43" s="194"/>
      <c r="W43" s="194"/>
      <c r="X43" s="194"/>
      <c r="Y43" s="194"/>
      <c r="Z43" s="987"/>
    </row>
    <row r="44" spans="1:26" ht="28.05" customHeight="1" x14ac:dyDescent="0.3">
      <c r="A44" s="1073" t="s">
        <v>2188</v>
      </c>
      <c r="B44" s="1280" t="s">
        <v>421</v>
      </c>
      <c r="C44" s="1853" t="s">
        <v>2189</v>
      </c>
      <c r="D44" s="1850"/>
      <c r="E44" s="1850"/>
      <c r="F44" s="1850"/>
      <c r="G44" s="1850"/>
      <c r="H44" s="1850"/>
      <c r="I44" s="106" t="s">
        <v>2064</v>
      </c>
      <c r="J44" s="101"/>
      <c r="K44" s="101"/>
      <c r="L44" s="101"/>
      <c r="M44" s="101"/>
      <c r="N44" s="101"/>
      <c r="O44" s="101"/>
      <c r="P44" s="101"/>
      <c r="Q44" s="104"/>
      <c r="R44" s="104"/>
      <c r="S44" s="104"/>
      <c r="T44" s="104"/>
      <c r="U44" s="104"/>
      <c r="V44" s="104"/>
      <c r="W44" s="104"/>
      <c r="X44" s="104"/>
      <c r="Y44" s="104"/>
      <c r="Z44" s="988"/>
    </row>
    <row r="45" spans="1:26" ht="37.950000000000003" customHeight="1" x14ac:dyDescent="0.3">
      <c r="A45" s="1073" t="s">
        <v>2190</v>
      </c>
      <c r="B45" s="1281" t="s">
        <v>425</v>
      </c>
      <c r="C45" s="1854" t="s">
        <v>2191</v>
      </c>
      <c r="D45" s="1731"/>
      <c r="E45" s="1731"/>
      <c r="F45" s="1731"/>
      <c r="G45" s="1731"/>
      <c r="H45" s="1731"/>
      <c r="I45" s="264" t="s">
        <v>238</v>
      </c>
      <c r="J45" s="232"/>
      <c r="K45" s="232"/>
      <c r="L45" s="232"/>
      <c r="M45" s="232"/>
      <c r="N45" s="232"/>
      <c r="O45" s="232"/>
      <c r="P45" s="232"/>
      <c r="Q45" s="194"/>
      <c r="R45" s="194"/>
      <c r="S45" s="194"/>
      <c r="T45" s="194"/>
      <c r="U45" s="194"/>
      <c r="V45" s="194"/>
      <c r="W45" s="194"/>
      <c r="X45" s="194"/>
      <c r="Y45" s="194"/>
      <c r="Z45" s="987"/>
    </row>
    <row r="46" spans="1:26" ht="37.950000000000003" customHeight="1" x14ac:dyDescent="0.3">
      <c r="A46" s="1073" t="s">
        <v>2192</v>
      </c>
      <c r="B46" s="1282" t="s">
        <v>2066</v>
      </c>
      <c r="C46" s="1849" t="s">
        <v>2193</v>
      </c>
      <c r="D46" s="1850"/>
      <c r="E46" s="1850"/>
      <c r="F46" s="1850"/>
      <c r="G46" s="1850"/>
      <c r="H46" s="1850"/>
      <c r="I46" s="106" t="s">
        <v>219</v>
      </c>
      <c r="J46" s="101"/>
      <c r="K46" s="101"/>
      <c r="L46" s="101"/>
      <c r="M46" s="101"/>
      <c r="N46" s="101"/>
      <c r="O46" s="101"/>
      <c r="P46" s="101"/>
      <c r="Q46" s="104"/>
      <c r="R46" s="104"/>
      <c r="S46" s="104"/>
      <c r="T46" s="104"/>
      <c r="U46" s="104"/>
      <c r="V46" s="104"/>
      <c r="W46" s="104"/>
      <c r="X46" s="104"/>
      <c r="Y46" s="104"/>
      <c r="Z46" s="988"/>
    </row>
    <row r="47" spans="1:26" ht="37.950000000000003" customHeight="1" thickBot="1" x14ac:dyDescent="0.35">
      <c r="A47" s="1284" t="s">
        <v>2194</v>
      </c>
      <c r="B47" s="1283" t="s">
        <v>2195</v>
      </c>
      <c r="C47" s="1851" t="s">
        <v>2196</v>
      </c>
      <c r="D47" s="1852"/>
      <c r="E47" s="1852"/>
      <c r="F47" s="1852"/>
      <c r="G47" s="1852"/>
      <c r="H47" s="1852"/>
      <c r="I47" s="1273" t="s">
        <v>2197</v>
      </c>
      <c r="J47" s="1274"/>
      <c r="K47" s="1274"/>
      <c r="L47" s="1274"/>
      <c r="M47" s="1274"/>
      <c r="N47" s="1274"/>
      <c r="O47" s="1274"/>
      <c r="P47" s="1274"/>
      <c r="Q47" s="1178"/>
      <c r="R47" s="1178"/>
      <c r="S47" s="1178"/>
      <c r="T47" s="1178"/>
      <c r="U47" s="1178"/>
      <c r="V47" s="1178"/>
      <c r="W47" s="1178"/>
      <c r="X47" s="1178"/>
      <c r="Y47" s="1178"/>
      <c r="Z47" s="1179"/>
    </row>
    <row r="48" spans="1:26" ht="15" thickTop="1" x14ac:dyDescent="0.3"/>
  </sheetData>
  <mergeCells count="11">
    <mergeCell ref="A1:Z1"/>
    <mergeCell ref="A3:Z3"/>
    <mergeCell ref="A4:Z4"/>
    <mergeCell ref="A26:Z26"/>
    <mergeCell ref="A41:Z41"/>
    <mergeCell ref="C46:H46"/>
    <mergeCell ref="C47:H47"/>
    <mergeCell ref="C42:H42"/>
    <mergeCell ref="C44:H44"/>
    <mergeCell ref="C45:H45"/>
    <mergeCell ref="C43:H43"/>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E2EFDA"/>
  </sheetPr>
  <dimension ref="A1:Z60"/>
  <sheetViews>
    <sheetView showGridLines="0" zoomScale="25" zoomScaleNormal="25" workbookViewId="0">
      <pane ySplit="3" topLeftCell="A4" activePane="bottomLeft" state="frozen"/>
      <selection pane="bottomLeft" sqref="A1:Z1"/>
    </sheetView>
  </sheetViews>
  <sheetFormatPr baseColWidth="10" defaultRowHeight="14.4" x14ac:dyDescent="0.3"/>
  <cols>
    <col min="1" max="1" width="5.21875" customWidth="1"/>
    <col min="2" max="2" width="33" bestFit="1" customWidth="1"/>
    <col min="3" max="3" width="56.5546875" bestFit="1" customWidth="1"/>
    <col min="4" max="4" width="53.44140625" bestFit="1" customWidth="1"/>
    <col min="5" max="5" width="41.44140625" bestFit="1" customWidth="1"/>
    <col min="6" max="6" width="30.77734375" bestFit="1" customWidth="1"/>
    <col min="7" max="7" width="25.44140625" bestFit="1" customWidth="1"/>
    <col min="8" max="8" width="25" bestFit="1" customWidth="1"/>
    <col min="9" max="9" width="23.77734375" bestFit="1" customWidth="1"/>
    <col min="10" max="10" width="23.21875" bestFit="1" customWidth="1"/>
    <col min="11" max="11" width="12.5546875" bestFit="1" customWidth="1"/>
    <col min="12" max="12" width="9.88671875" bestFit="1" customWidth="1"/>
    <col min="13" max="13" width="13.44140625" bestFit="1" customWidth="1"/>
    <col min="14" max="14" width="18.77734375" bestFit="1" customWidth="1"/>
    <col min="26" max="26" width="13.44140625" bestFit="1" customWidth="1"/>
  </cols>
  <sheetData>
    <row r="1" spans="1:26" ht="19.95" customHeight="1" x14ac:dyDescent="0.3">
      <c r="A1" s="1925" t="s">
        <v>4797</v>
      </c>
      <c r="B1" s="1713"/>
      <c r="C1" s="1713"/>
      <c r="D1" s="1713"/>
      <c r="E1" s="1713"/>
      <c r="F1" s="1713"/>
      <c r="G1" s="1713"/>
      <c r="H1" s="1713"/>
      <c r="I1" s="1713"/>
      <c r="J1" s="1713"/>
      <c r="K1" s="1713"/>
      <c r="L1" s="1713"/>
      <c r="M1" s="1713"/>
      <c r="N1" s="1713"/>
      <c r="O1" s="1713"/>
      <c r="P1" s="1713"/>
      <c r="Q1" s="1713"/>
      <c r="R1" s="1713"/>
      <c r="S1" s="1713"/>
      <c r="T1" s="1713"/>
      <c r="U1" s="1713"/>
      <c r="V1" s="1713"/>
      <c r="W1" s="1713"/>
      <c r="X1" s="1713"/>
      <c r="Y1" s="1713"/>
      <c r="Z1" s="1713"/>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536"/>
      <c r="N2" s="536"/>
      <c r="O2" s="536"/>
      <c r="P2" s="536"/>
      <c r="Q2" s="536"/>
      <c r="R2" s="536"/>
      <c r="S2" s="536"/>
      <c r="T2" s="536"/>
      <c r="U2" s="536"/>
      <c r="V2" s="536"/>
      <c r="W2" s="536"/>
      <c r="X2" s="536"/>
      <c r="Y2" s="536"/>
      <c r="Z2" s="536"/>
    </row>
    <row r="3" spans="1:26" ht="19.95" customHeight="1" thickBot="1" x14ac:dyDescent="0.35">
      <c r="A3" s="1714" t="s">
        <v>4072</v>
      </c>
      <c r="B3" s="1714"/>
      <c r="C3" s="1714"/>
      <c r="D3" s="1714"/>
      <c r="E3" s="1714"/>
      <c r="F3" s="1714"/>
      <c r="G3" s="1714"/>
      <c r="H3" s="1714"/>
      <c r="I3" s="1714"/>
      <c r="J3" s="1714"/>
      <c r="K3" s="1714"/>
      <c r="L3" s="1714"/>
      <c r="M3" s="1714"/>
      <c r="N3" s="1714"/>
      <c r="O3" s="1714"/>
      <c r="P3" s="1714"/>
      <c r="Q3" s="1714"/>
      <c r="R3" s="1714"/>
      <c r="S3" s="1714"/>
      <c r="T3" s="1714"/>
      <c r="U3" s="1714"/>
      <c r="V3" s="1714"/>
      <c r="W3" s="1714"/>
      <c r="X3" s="1714"/>
      <c r="Y3" s="1714"/>
      <c r="Z3" s="1714"/>
    </row>
    <row r="4" spans="1:26" ht="19.95" customHeight="1" thickTop="1" x14ac:dyDescent="0.3">
      <c r="A4" s="1684" t="s">
        <v>2198</v>
      </c>
      <c r="B4" s="1685"/>
      <c r="C4" s="1685"/>
      <c r="D4" s="1685"/>
      <c r="E4" s="1685"/>
      <c r="F4" s="1685"/>
      <c r="G4" s="1685"/>
      <c r="H4" s="1685"/>
      <c r="I4" s="1685"/>
      <c r="J4" s="1685"/>
      <c r="K4" s="1685"/>
      <c r="L4" s="1685"/>
      <c r="M4" s="1685"/>
      <c r="N4" s="1685"/>
      <c r="O4" s="1685"/>
      <c r="P4" s="1685"/>
      <c r="Q4" s="1685"/>
      <c r="R4" s="1685"/>
      <c r="S4" s="1685"/>
      <c r="T4" s="1685"/>
      <c r="U4" s="1685"/>
      <c r="V4" s="1685"/>
      <c r="W4" s="1685"/>
      <c r="X4" s="1685"/>
      <c r="Y4" s="1685"/>
      <c r="Z4" s="1729"/>
    </row>
    <row r="5" spans="1:26" ht="30" customHeight="1" x14ac:dyDescent="0.3">
      <c r="A5" s="1071" t="s">
        <v>2199</v>
      </c>
      <c r="B5" s="414" t="s">
        <v>1225</v>
      </c>
      <c r="C5" s="184" t="s">
        <v>2200</v>
      </c>
      <c r="D5" s="184" t="s">
        <v>2201</v>
      </c>
      <c r="E5" s="184" t="s">
        <v>2202</v>
      </c>
      <c r="F5" s="184" t="s">
        <v>2203</v>
      </c>
      <c r="G5" s="184" t="s">
        <v>2204</v>
      </c>
      <c r="H5" s="184" t="s">
        <v>2205</v>
      </c>
      <c r="I5" s="184"/>
      <c r="J5" s="184"/>
      <c r="K5" s="184"/>
      <c r="L5" s="184"/>
      <c r="M5" s="184"/>
      <c r="N5" s="184"/>
      <c r="O5" s="184"/>
      <c r="P5" s="184"/>
      <c r="Q5" s="184"/>
      <c r="R5" s="184"/>
      <c r="S5" s="184"/>
      <c r="T5" s="184"/>
      <c r="U5" s="184"/>
      <c r="V5" s="184"/>
      <c r="W5" s="184"/>
      <c r="X5" s="184"/>
      <c r="Y5" s="184"/>
      <c r="Z5" s="928"/>
    </row>
    <row r="6" spans="1:26" s="11" customFormat="1" ht="37.950000000000003" customHeight="1" x14ac:dyDescent="0.3">
      <c r="A6" s="1072" t="s">
        <v>2206</v>
      </c>
      <c r="B6" s="1275" t="s">
        <v>2207</v>
      </c>
      <c r="C6" s="215" t="s">
        <v>2208</v>
      </c>
      <c r="D6" s="215" t="s">
        <v>2209</v>
      </c>
      <c r="E6" s="215" t="s">
        <v>2210</v>
      </c>
      <c r="F6" s="215" t="s">
        <v>2211</v>
      </c>
      <c r="G6" s="1169" t="s">
        <v>2212</v>
      </c>
      <c r="H6" s="215" t="s">
        <v>2213</v>
      </c>
      <c r="I6" s="215"/>
      <c r="J6" s="215"/>
      <c r="K6" s="215"/>
      <c r="L6" s="215"/>
      <c r="M6" s="215"/>
      <c r="N6" s="215"/>
      <c r="O6" s="139"/>
      <c r="P6" s="139"/>
      <c r="Q6" s="139"/>
      <c r="R6" s="139"/>
      <c r="S6" s="139"/>
      <c r="T6" s="139"/>
      <c r="U6" s="139"/>
      <c r="V6" s="139"/>
      <c r="W6" s="139"/>
      <c r="X6" s="139"/>
      <c r="Y6" s="139"/>
      <c r="Z6" s="985"/>
    </row>
    <row r="7" spans="1:26" s="11" customFormat="1" ht="37.950000000000003" customHeight="1" x14ac:dyDescent="0.3">
      <c r="A7" s="1072" t="s">
        <v>2214</v>
      </c>
      <c r="B7" s="1276" t="s">
        <v>2215</v>
      </c>
      <c r="C7" s="219" t="s">
        <v>2216</v>
      </c>
      <c r="D7" s="219" t="s">
        <v>2217</v>
      </c>
      <c r="E7" s="219" t="s">
        <v>2218</v>
      </c>
      <c r="F7" s="241" t="s">
        <v>2219</v>
      </c>
      <c r="G7" s="219" t="s">
        <v>2220</v>
      </c>
      <c r="H7" s="219" t="s">
        <v>2213</v>
      </c>
      <c r="I7" s="219"/>
      <c r="J7" s="219"/>
      <c r="K7" s="219"/>
      <c r="L7" s="219"/>
      <c r="M7" s="219"/>
      <c r="N7" s="219"/>
      <c r="O7" s="221"/>
      <c r="P7" s="221"/>
      <c r="Q7" s="221"/>
      <c r="R7" s="221"/>
      <c r="S7" s="221"/>
      <c r="T7" s="221"/>
      <c r="U7" s="221"/>
      <c r="V7" s="221"/>
      <c r="W7" s="221"/>
      <c r="X7" s="221"/>
      <c r="Y7" s="221"/>
      <c r="Z7" s="986"/>
    </row>
    <row r="8" spans="1:26" s="11" customFormat="1" ht="37.950000000000003" customHeight="1" x14ac:dyDescent="0.3">
      <c r="A8" s="1072" t="s">
        <v>2221</v>
      </c>
      <c r="B8" s="1275" t="s">
        <v>2222</v>
      </c>
      <c r="C8" s="215" t="s">
        <v>2223</v>
      </c>
      <c r="D8" s="215" t="s">
        <v>2224</v>
      </c>
      <c r="E8" s="215" t="s">
        <v>2225</v>
      </c>
      <c r="F8" s="215" t="s">
        <v>2226</v>
      </c>
      <c r="G8" s="215" t="s">
        <v>2227</v>
      </c>
      <c r="H8" s="215" t="s">
        <v>2228</v>
      </c>
      <c r="I8" s="215"/>
      <c r="J8" s="215"/>
      <c r="K8" s="215"/>
      <c r="L8" s="215"/>
      <c r="M8" s="215"/>
      <c r="N8" s="215"/>
      <c r="O8" s="139"/>
      <c r="P8" s="139"/>
      <c r="Q8" s="139"/>
      <c r="R8" s="139"/>
      <c r="S8" s="139"/>
      <c r="T8" s="139"/>
      <c r="U8" s="139"/>
      <c r="V8" s="139"/>
      <c r="W8" s="139"/>
      <c r="X8" s="139"/>
      <c r="Y8" s="139"/>
      <c r="Z8" s="985"/>
    </row>
    <row r="9" spans="1:26" s="11" customFormat="1" ht="37.950000000000003" customHeight="1" x14ac:dyDescent="0.3">
      <c r="A9" s="1072" t="s">
        <v>2229</v>
      </c>
      <c r="B9" s="1276" t="s">
        <v>2230</v>
      </c>
      <c r="C9" s="219" t="s">
        <v>2231</v>
      </c>
      <c r="D9" s="219" t="s">
        <v>2232</v>
      </c>
      <c r="E9" s="219" t="s">
        <v>2233</v>
      </c>
      <c r="F9" s="225" t="s">
        <v>2234</v>
      </c>
      <c r="G9" s="219" t="s">
        <v>2227</v>
      </c>
      <c r="H9" s="219" t="s">
        <v>2235</v>
      </c>
      <c r="I9" s="219"/>
      <c r="J9" s="219"/>
      <c r="K9" s="219"/>
      <c r="L9" s="219"/>
      <c r="M9" s="219"/>
      <c r="N9" s="219"/>
      <c r="O9" s="221"/>
      <c r="P9" s="221"/>
      <c r="Q9" s="221"/>
      <c r="R9" s="221"/>
      <c r="S9" s="221"/>
      <c r="T9" s="221"/>
      <c r="U9" s="221"/>
      <c r="V9" s="221"/>
      <c r="W9" s="221"/>
      <c r="X9" s="221"/>
      <c r="Y9" s="221"/>
      <c r="Z9" s="986"/>
    </row>
    <row r="10" spans="1:26" s="11" customFormat="1" ht="37.950000000000003" customHeight="1" x14ac:dyDescent="0.3">
      <c r="A10" s="1072"/>
      <c r="B10" s="1275"/>
      <c r="C10" s="215"/>
      <c r="D10" s="215"/>
      <c r="E10" s="215"/>
      <c r="F10" s="215"/>
      <c r="G10" s="215"/>
      <c r="H10" s="215"/>
      <c r="I10" s="215"/>
      <c r="J10" s="215"/>
      <c r="K10" s="215"/>
      <c r="L10" s="215"/>
      <c r="M10" s="215"/>
      <c r="N10" s="215"/>
      <c r="O10" s="139"/>
      <c r="P10" s="139"/>
      <c r="Q10" s="139"/>
      <c r="R10" s="139"/>
      <c r="S10" s="139"/>
      <c r="T10" s="139"/>
      <c r="U10" s="139"/>
      <c r="V10" s="139"/>
      <c r="W10" s="139"/>
      <c r="X10" s="139"/>
      <c r="Y10" s="139"/>
      <c r="Z10" s="985"/>
    </row>
    <row r="11" spans="1:26" s="11" customFormat="1" ht="19.95" customHeight="1" x14ac:dyDescent="0.3">
      <c r="A11" s="1715" t="s">
        <v>2236</v>
      </c>
      <c r="B11" s="1716"/>
      <c r="C11" s="1716"/>
      <c r="D11" s="1716"/>
      <c r="E11" s="1716"/>
      <c r="F11" s="1716"/>
      <c r="G11" s="1716"/>
      <c r="H11" s="1716"/>
      <c r="I11" s="1716"/>
      <c r="J11" s="1716"/>
      <c r="K11" s="1716"/>
      <c r="L11" s="1716"/>
      <c r="M11" s="1716"/>
      <c r="N11" s="1716"/>
      <c r="O11" s="1716"/>
      <c r="P11" s="1716"/>
      <c r="Q11" s="1716"/>
      <c r="R11" s="1716"/>
      <c r="S11" s="1716"/>
      <c r="T11" s="1716"/>
      <c r="U11" s="1716"/>
      <c r="V11" s="1716"/>
      <c r="W11" s="1716"/>
      <c r="X11" s="1716"/>
      <c r="Y11" s="1716"/>
      <c r="Z11" s="1717"/>
    </row>
    <row r="12" spans="1:26" s="11" customFormat="1" ht="37.950000000000003" customHeight="1" x14ac:dyDescent="0.3">
      <c r="A12" s="1072" t="s">
        <v>2237</v>
      </c>
      <c r="B12" s="1290" t="s">
        <v>83</v>
      </c>
      <c r="C12" s="216" t="s">
        <v>2238</v>
      </c>
      <c r="D12" s="216" t="s">
        <v>408</v>
      </c>
      <c r="E12" s="216" t="s">
        <v>2239</v>
      </c>
      <c r="F12" s="216" t="s">
        <v>2240</v>
      </c>
      <c r="G12" s="216" t="s">
        <v>1994</v>
      </c>
      <c r="H12" s="216" t="s">
        <v>2241</v>
      </c>
      <c r="I12" s="216" t="s">
        <v>2242</v>
      </c>
      <c r="J12" s="216" t="s">
        <v>123</v>
      </c>
      <c r="K12" s="216" t="s">
        <v>2243</v>
      </c>
      <c r="L12" s="216" t="s">
        <v>2244</v>
      </c>
      <c r="M12" s="216" t="s">
        <v>2245</v>
      </c>
      <c r="N12" s="216" t="s">
        <v>2246</v>
      </c>
      <c r="O12" s="139"/>
      <c r="P12" s="139"/>
      <c r="Q12" s="139"/>
      <c r="R12" s="139"/>
      <c r="S12" s="139"/>
      <c r="T12" s="139"/>
      <c r="U12" s="139"/>
      <c r="V12" s="139"/>
      <c r="W12" s="139"/>
      <c r="X12" s="139"/>
      <c r="Y12" s="139"/>
      <c r="Z12" s="985"/>
    </row>
    <row r="13" spans="1:26" s="11" customFormat="1" ht="37.950000000000003" customHeight="1" x14ac:dyDescent="0.3">
      <c r="A13" s="1072" t="s">
        <v>1946</v>
      </c>
      <c r="B13" s="1276" t="s">
        <v>1947</v>
      </c>
      <c r="C13" s="249">
        <f>IFERROR(VLOOKUP(A13,'SUPPORT-EVALDIR'!$A$28:$H$39,8,0),0)</f>
        <v>150</v>
      </c>
      <c r="D13" s="230" t="str">
        <f t="shared" ref="D13:D24" si="0">IF(C13&gt;=96,"⭐ EXCELENTE",IF(C13&gt;=85,"✅ MUY BUENO",IF(C13&gt;=70,"🟢 SATISFACTORIO",IF(C13&gt;=60,"🟡 REGULAR","🔴 INACEPTABLE"))))</f>
        <v>⭐ EXCELENTE</v>
      </c>
      <c r="E13" s="225" t="str">
        <f t="shared" ref="E13:E23" si="1">IF(C13=0,"⬜ Pendiente datos S1",TEXT(C13/2,"0.0")&amp;"% — "&amp;IF(C13/2&gt;=96,"⭐ EXCELENTE",IF(C13/2&gt;=85,"✅ MUY BUENO",IF(C13/2&gt;=70,"🟢 SATISFACTORIO",IF(C13/2&gt;=60,"🟡 REGULAR","🔴 INACEPTABLE"))))&amp;" (est.S1)")</f>
        <v>75% — 🟢 SATISFACTORIO (est.S1)</v>
      </c>
      <c r="F13" s="225" t="str">
        <f t="shared" ref="F13:F24" si="2">TEXT(C13,"0.0")&amp;"% — "&amp;D13</f>
        <v>150% — ⭐ EXCELENTE</v>
      </c>
      <c r="G13" s="219" t="s">
        <v>2247</v>
      </c>
      <c r="H13" s="219" t="s">
        <v>103</v>
      </c>
      <c r="I13" s="219" t="s">
        <v>103</v>
      </c>
      <c r="J13" s="219" t="s">
        <v>2061</v>
      </c>
      <c r="K13" s="266" t="s">
        <v>2248</v>
      </c>
      <c r="L13" s="229">
        <v>1</v>
      </c>
      <c r="M13" s="229">
        <v>1</v>
      </c>
      <c r="N13" s="219" t="s">
        <v>103</v>
      </c>
      <c r="O13" s="221"/>
      <c r="P13" s="221"/>
      <c r="Q13" s="221"/>
      <c r="R13" s="221"/>
      <c r="S13" s="221"/>
      <c r="T13" s="221"/>
      <c r="U13" s="221"/>
      <c r="V13" s="221"/>
      <c r="W13" s="221"/>
      <c r="X13" s="221"/>
      <c r="Y13" s="221"/>
      <c r="Z13" s="986"/>
    </row>
    <row r="14" spans="1:26" s="11" customFormat="1" ht="37.950000000000003" customHeight="1" x14ac:dyDescent="0.3">
      <c r="A14" s="1072" t="s">
        <v>1944</v>
      </c>
      <c r="B14" s="1275" t="s">
        <v>2072</v>
      </c>
      <c r="C14" s="250">
        <f>IFERROR(VLOOKUP(A14,'SUPPORT-EVALDIR'!$A$28:$H$39,8,0),0)</f>
        <v>82.5</v>
      </c>
      <c r="D14" s="1285" t="str">
        <f t="shared" si="0"/>
        <v>🟢 SATISFACTORIO</v>
      </c>
      <c r="E14" s="240" t="str">
        <f t="shared" si="1"/>
        <v>41% — 🔴 INACEPTABLE (est.S1)</v>
      </c>
      <c r="F14" s="224" t="str">
        <f t="shared" si="2"/>
        <v>83% — 🟢 SATISFACTORIO</v>
      </c>
      <c r="G14" s="224" t="s">
        <v>2063</v>
      </c>
      <c r="H14" s="215" t="s">
        <v>103</v>
      </c>
      <c r="I14" s="215" t="s">
        <v>103</v>
      </c>
      <c r="J14" s="215" t="s">
        <v>2249</v>
      </c>
      <c r="K14" s="267" t="s">
        <v>2248</v>
      </c>
      <c r="L14" s="103">
        <v>2</v>
      </c>
      <c r="M14" s="103">
        <v>2</v>
      </c>
      <c r="N14" s="215" t="s">
        <v>103</v>
      </c>
      <c r="O14" s="139"/>
      <c r="P14" s="139"/>
      <c r="Q14" s="139"/>
      <c r="R14" s="139"/>
      <c r="S14" s="139"/>
      <c r="T14" s="139"/>
      <c r="U14" s="139"/>
      <c r="V14" s="139"/>
      <c r="W14" s="139"/>
      <c r="X14" s="139"/>
      <c r="Y14" s="139"/>
      <c r="Z14" s="985"/>
    </row>
    <row r="15" spans="1:26" s="11" customFormat="1" ht="37.950000000000003" customHeight="1" x14ac:dyDescent="0.3">
      <c r="A15" s="1072" t="s">
        <v>1941</v>
      </c>
      <c r="B15" s="1276" t="s">
        <v>675</v>
      </c>
      <c r="C15" s="249">
        <f>IFERROR(VLOOKUP(A15,'SUPPORT-EVALDIR'!$A$28:$H$39,8,0),0)</f>
        <v>80.5</v>
      </c>
      <c r="D15" s="230" t="str">
        <f t="shared" si="0"/>
        <v>🟢 SATISFACTORIO</v>
      </c>
      <c r="E15" s="241" t="str">
        <f t="shared" si="1"/>
        <v>40% — 🔴 INACEPTABLE (est.S1)</v>
      </c>
      <c r="F15" s="225" t="str">
        <f t="shared" si="2"/>
        <v>81% — 🟢 SATISFACTORIO</v>
      </c>
      <c r="G15" s="225" t="s">
        <v>2063</v>
      </c>
      <c r="H15" s="219" t="s">
        <v>103</v>
      </c>
      <c r="I15" s="219" t="s">
        <v>103</v>
      </c>
      <c r="J15" s="219" t="s">
        <v>2249</v>
      </c>
      <c r="K15" s="266" t="s">
        <v>2248</v>
      </c>
      <c r="L15" s="229">
        <v>5</v>
      </c>
      <c r="M15" s="229">
        <v>5</v>
      </c>
      <c r="N15" s="219" t="s">
        <v>103</v>
      </c>
      <c r="O15" s="221"/>
      <c r="P15" s="221"/>
      <c r="Q15" s="221"/>
      <c r="R15" s="221"/>
      <c r="S15" s="221"/>
      <c r="T15" s="221"/>
      <c r="U15" s="221"/>
      <c r="V15" s="221"/>
      <c r="W15" s="221"/>
      <c r="X15" s="221"/>
      <c r="Y15" s="221"/>
      <c r="Z15" s="986"/>
    </row>
    <row r="16" spans="1:26" s="11" customFormat="1" ht="37.950000000000003" customHeight="1" x14ac:dyDescent="0.3">
      <c r="A16" s="1072" t="s">
        <v>1948</v>
      </c>
      <c r="B16" s="1275" t="s">
        <v>682</v>
      </c>
      <c r="C16" s="250">
        <f>IFERROR(VLOOKUP(A16,'SUPPORT-EVALDIR'!$A$28:$H$39,8,0),0)</f>
        <v>54</v>
      </c>
      <c r="D16" s="242" t="str">
        <f t="shared" si="0"/>
        <v>🔴 INACEPTABLE</v>
      </c>
      <c r="E16" s="240" t="str">
        <f t="shared" si="1"/>
        <v>27% — 🔴 INACEPTABLE (est.S1)</v>
      </c>
      <c r="F16" s="240" t="str">
        <f t="shared" si="2"/>
        <v>54% — 🔴 INACEPTABLE</v>
      </c>
      <c r="G16" s="215" t="s">
        <v>2250</v>
      </c>
      <c r="H16" s="215" t="s">
        <v>2251</v>
      </c>
      <c r="I16" s="215" t="s">
        <v>2252</v>
      </c>
      <c r="J16" s="215" t="s">
        <v>219</v>
      </c>
      <c r="K16" s="240" t="s">
        <v>2253</v>
      </c>
      <c r="L16" s="103">
        <v>1</v>
      </c>
      <c r="M16" s="103">
        <v>1</v>
      </c>
      <c r="N16" s="215" t="s">
        <v>103</v>
      </c>
      <c r="O16" s="139"/>
      <c r="P16" s="139"/>
      <c r="Q16" s="139"/>
      <c r="R16" s="139"/>
      <c r="S16" s="139"/>
      <c r="T16" s="139"/>
      <c r="U16" s="139"/>
      <c r="V16" s="139"/>
      <c r="W16" s="139"/>
      <c r="X16" s="139"/>
      <c r="Y16" s="139"/>
      <c r="Z16" s="985"/>
    </row>
    <row r="17" spans="1:26" s="11" customFormat="1" ht="37.950000000000003" customHeight="1" x14ac:dyDescent="0.3">
      <c r="A17" s="1072" t="s">
        <v>1952</v>
      </c>
      <c r="B17" s="1276" t="s">
        <v>2254</v>
      </c>
      <c r="C17" s="249">
        <f>IFERROR(VLOOKUP(A17,'SUPPORT-EVALDIR'!$A$28:$H$39,8,0),0)</f>
        <v>50</v>
      </c>
      <c r="D17" s="268" t="str">
        <f t="shared" si="0"/>
        <v>🔴 INACEPTABLE</v>
      </c>
      <c r="E17" s="241" t="str">
        <f t="shared" si="1"/>
        <v>25% — 🔴 INACEPTABLE (est.S1)</v>
      </c>
      <c r="F17" s="241" t="str">
        <f t="shared" si="2"/>
        <v>50% — 🔴 INACEPTABLE</v>
      </c>
      <c r="G17" s="219" t="s">
        <v>2250</v>
      </c>
      <c r="H17" s="219" t="s">
        <v>2251</v>
      </c>
      <c r="I17" s="219" t="s">
        <v>2252</v>
      </c>
      <c r="J17" s="219" t="s">
        <v>219</v>
      </c>
      <c r="K17" s="241" t="s">
        <v>2253</v>
      </c>
      <c r="L17" s="229">
        <v>1</v>
      </c>
      <c r="M17" s="229">
        <v>1</v>
      </c>
      <c r="N17" s="219" t="s">
        <v>103</v>
      </c>
      <c r="O17" s="221"/>
      <c r="P17" s="221"/>
      <c r="Q17" s="221"/>
      <c r="R17" s="221"/>
      <c r="S17" s="221"/>
      <c r="T17" s="221"/>
      <c r="U17" s="221"/>
      <c r="V17" s="221"/>
      <c r="W17" s="221"/>
      <c r="X17" s="221"/>
      <c r="Y17" s="221"/>
      <c r="Z17" s="986"/>
    </row>
    <row r="18" spans="1:26" s="11" customFormat="1" ht="37.950000000000003" customHeight="1" x14ac:dyDescent="0.3">
      <c r="A18" s="1072" t="s">
        <v>1966</v>
      </c>
      <c r="B18" s="1275" t="s">
        <v>804</v>
      </c>
      <c r="C18" s="250">
        <f>IFERROR(VLOOKUP(A18,'SUPPORT-EVALDIR'!$A$28:$H$39,8,0),0)</f>
        <v>40.5</v>
      </c>
      <c r="D18" s="242" t="str">
        <f t="shared" si="0"/>
        <v>🔴 INACEPTABLE</v>
      </c>
      <c r="E18" s="240" t="str">
        <f t="shared" si="1"/>
        <v>20% — 🔴 INACEPTABLE (est.S1)</v>
      </c>
      <c r="F18" s="240" t="str">
        <f t="shared" si="2"/>
        <v>41% — 🔴 INACEPTABLE</v>
      </c>
      <c r="G18" s="215" t="s">
        <v>2250</v>
      </c>
      <c r="H18" s="215" t="s">
        <v>2251</v>
      </c>
      <c r="I18" s="215" t="s">
        <v>2252</v>
      </c>
      <c r="J18" s="215" t="s">
        <v>219</v>
      </c>
      <c r="K18" s="240" t="s">
        <v>2253</v>
      </c>
      <c r="L18" s="103">
        <v>1</v>
      </c>
      <c r="M18" s="103">
        <v>1</v>
      </c>
      <c r="N18" s="215" t="s">
        <v>103</v>
      </c>
      <c r="O18" s="139"/>
      <c r="P18" s="139"/>
      <c r="Q18" s="139"/>
      <c r="R18" s="139"/>
      <c r="S18" s="139"/>
      <c r="T18" s="139"/>
      <c r="U18" s="139"/>
      <c r="V18" s="139"/>
      <c r="W18" s="139"/>
      <c r="X18" s="139"/>
      <c r="Y18" s="139"/>
      <c r="Z18" s="985"/>
    </row>
    <row r="19" spans="1:26" s="11" customFormat="1" ht="37.950000000000003" customHeight="1" x14ac:dyDescent="0.3">
      <c r="A19" s="1072" t="s">
        <v>1950</v>
      </c>
      <c r="B19" s="1276" t="s">
        <v>2255</v>
      </c>
      <c r="C19" s="249">
        <f>IFERROR(VLOOKUP(A19,'SUPPORT-EVALDIR'!$A$28:$H$39,8,0),0)</f>
        <v>27.5</v>
      </c>
      <c r="D19" s="268" t="str">
        <f t="shared" si="0"/>
        <v>🔴 INACEPTABLE</v>
      </c>
      <c r="E19" s="241" t="str">
        <f t="shared" si="1"/>
        <v>14% — 🔴 INACEPTABLE (est.S1)</v>
      </c>
      <c r="F19" s="241" t="str">
        <f t="shared" si="2"/>
        <v>28% — 🔴 INACEPTABLE</v>
      </c>
      <c r="G19" s="219" t="s">
        <v>2250</v>
      </c>
      <c r="H19" s="219" t="s">
        <v>2251</v>
      </c>
      <c r="I19" s="219" t="s">
        <v>2252</v>
      </c>
      <c r="J19" s="219" t="s">
        <v>219</v>
      </c>
      <c r="K19" s="241" t="s">
        <v>2253</v>
      </c>
      <c r="L19" s="229">
        <v>2</v>
      </c>
      <c r="M19" s="229">
        <v>2</v>
      </c>
      <c r="N19" s="219" t="s">
        <v>103</v>
      </c>
      <c r="O19" s="221"/>
      <c r="P19" s="221"/>
      <c r="Q19" s="221"/>
      <c r="R19" s="221"/>
      <c r="S19" s="221"/>
      <c r="T19" s="221"/>
      <c r="U19" s="221"/>
      <c r="V19" s="221"/>
      <c r="W19" s="221"/>
      <c r="X19" s="221"/>
      <c r="Y19" s="221"/>
      <c r="Z19" s="986"/>
    </row>
    <row r="20" spans="1:26" s="11" customFormat="1" ht="37.950000000000003" customHeight="1" x14ac:dyDescent="0.3">
      <c r="A20" s="1072" t="s">
        <v>1936</v>
      </c>
      <c r="B20" s="1275" t="s">
        <v>2256</v>
      </c>
      <c r="C20" s="250">
        <f>IFERROR(VLOOKUP(A20,'SUPPORT-EVALDIR'!$A$28:$H$39,8,0),0)</f>
        <v>20</v>
      </c>
      <c r="D20" s="242" t="str">
        <f t="shared" si="0"/>
        <v>🔴 INACEPTABLE</v>
      </c>
      <c r="E20" s="240" t="str">
        <f t="shared" si="1"/>
        <v>10% — 🔴 INACEPTABLE (est.S1)</v>
      </c>
      <c r="F20" s="240" t="str">
        <f t="shared" si="2"/>
        <v>20% — 🔴 INACEPTABLE</v>
      </c>
      <c r="G20" s="215" t="s">
        <v>2250</v>
      </c>
      <c r="H20" s="215" t="s">
        <v>2251</v>
      </c>
      <c r="I20" s="215" t="s">
        <v>2252</v>
      </c>
      <c r="J20" s="215" t="s">
        <v>219</v>
      </c>
      <c r="K20" s="240" t="s">
        <v>2253</v>
      </c>
      <c r="L20" s="103">
        <v>1</v>
      </c>
      <c r="M20" s="103">
        <v>1</v>
      </c>
      <c r="N20" s="215" t="s">
        <v>103</v>
      </c>
      <c r="O20" s="139"/>
      <c r="P20" s="139"/>
      <c r="Q20" s="139"/>
      <c r="R20" s="139"/>
      <c r="S20" s="139"/>
      <c r="T20" s="139"/>
      <c r="U20" s="139"/>
      <c r="V20" s="139"/>
      <c r="W20" s="139"/>
      <c r="X20" s="139"/>
      <c r="Y20" s="139"/>
      <c r="Z20" s="985"/>
    </row>
    <row r="21" spans="1:26" s="11" customFormat="1" ht="37.950000000000003" customHeight="1" x14ac:dyDescent="0.3">
      <c r="A21" s="1072" t="s">
        <v>1963</v>
      </c>
      <c r="B21" s="1276" t="s">
        <v>94</v>
      </c>
      <c r="C21" s="249">
        <f>IFERROR(VLOOKUP(A21,'SUPPORT-EVALDIR'!$A$28:$H$39,8,0),0)</f>
        <v>18</v>
      </c>
      <c r="D21" s="268" t="str">
        <f t="shared" si="0"/>
        <v>🔴 INACEPTABLE</v>
      </c>
      <c r="E21" s="241" t="str">
        <f t="shared" si="1"/>
        <v>09% — 🔴 INACEPTABLE (est.S1)</v>
      </c>
      <c r="F21" s="241" t="str">
        <f t="shared" si="2"/>
        <v>18% — 🔴 INACEPTABLE</v>
      </c>
      <c r="G21" s="219" t="s">
        <v>2250</v>
      </c>
      <c r="H21" s="219" t="s">
        <v>2251</v>
      </c>
      <c r="I21" s="219" t="s">
        <v>2252</v>
      </c>
      <c r="J21" s="219" t="s">
        <v>219</v>
      </c>
      <c r="K21" s="241" t="s">
        <v>2253</v>
      </c>
      <c r="L21" s="229">
        <v>3</v>
      </c>
      <c r="M21" s="229">
        <v>2</v>
      </c>
      <c r="N21" s="219" t="s">
        <v>103</v>
      </c>
      <c r="O21" s="221"/>
      <c r="P21" s="221"/>
      <c r="Q21" s="221"/>
      <c r="R21" s="221"/>
      <c r="S21" s="221"/>
      <c r="T21" s="221"/>
      <c r="U21" s="221"/>
      <c r="V21" s="221"/>
      <c r="W21" s="221"/>
      <c r="X21" s="221"/>
      <c r="Y21" s="221"/>
      <c r="Z21" s="986"/>
    </row>
    <row r="22" spans="1:26" s="11" customFormat="1" ht="37.950000000000003" customHeight="1" x14ac:dyDescent="0.3">
      <c r="A22" s="1072" t="s">
        <v>1969</v>
      </c>
      <c r="B22" s="1275" t="s">
        <v>2257</v>
      </c>
      <c r="C22" s="250">
        <f>IFERROR(VLOOKUP(A22,'SUPPORT-EVALDIR'!$A$28:$H$39,8,0),0)</f>
        <v>15.8</v>
      </c>
      <c r="D22" s="242" t="str">
        <f t="shared" si="0"/>
        <v>🔴 INACEPTABLE</v>
      </c>
      <c r="E22" s="240" t="str">
        <f t="shared" si="1"/>
        <v>08% — 🔴 INACEPTABLE (est.S1)</v>
      </c>
      <c r="F22" s="240" t="str">
        <f t="shared" si="2"/>
        <v>16% — 🔴 INACEPTABLE</v>
      </c>
      <c r="G22" s="215" t="s">
        <v>2250</v>
      </c>
      <c r="H22" s="215" t="s">
        <v>2251</v>
      </c>
      <c r="I22" s="215" t="s">
        <v>2252</v>
      </c>
      <c r="J22" s="215" t="s">
        <v>219</v>
      </c>
      <c r="K22" s="240" t="s">
        <v>2253</v>
      </c>
      <c r="L22" s="103">
        <v>1</v>
      </c>
      <c r="M22" s="103">
        <v>1</v>
      </c>
      <c r="N22" s="215" t="s">
        <v>103</v>
      </c>
      <c r="O22" s="139"/>
      <c r="P22" s="139"/>
      <c r="Q22" s="139"/>
      <c r="R22" s="139"/>
      <c r="S22" s="139"/>
      <c r="T22" s="139"/>
      <c r="U22" s="139"/>
      <c r="V22" s="139"/>
      <c r="W22" s="139"/>
      <c r="X22" s="139"/>
      <c r="Y22" s="139"/>
      <c r="Z22" s="985"/>
    </row>
    <row r="23" spans="1:26" s="11" customFormat="1" ht="37.950000000000003" customHeight="1" x14ac:dyDescent="0.3">
      <c r="A23" s="1072" t="s">
        <v>1976</v>
      </c>
      <c r="B23" s="1276" t="s">
        <v>1979</v>
      </c>
      <c r="C23" s="249">
        <f>IFERROR(VLOOKUP(A23,'SUPPORT-EVALDIR'!$A$28:$H$39,8,0),0)</f>
        <v>13.5</v>
      </c>
      <c r="D23" s="268" t="str">
        <f t="shared" si="0"/>
        <v>🔴 INACEPTABLE</v>
      </c>
      <c r="E23" s="241" t="str">
        <f t="shared" si="1"/>
        <v>07% — 🔴 INACEPTABLE (est.S1)</v>
      </c>
      <c r="F23" s="241" t="str">
        <f t="shared" si="2"/>
        <v>14% — 🔴 INACEPTABLE</v>
      </c>
      <c r="G23" s="219" t="s">
        <v>2250</v>
      </c>
      <c r="H23" s="219" t="s">
        <v>2251</v>
      </c>
      <c r="I23" s="219" t="s">
        <v>2252</v>
      </c>
      <c r="J23" s="219" t="s">
        <v>219</v>
      </c>
      <c r="K23" s="241" t="s">
        <v>2253</v>
      </c>
      <c r="L23" s="229">
        <v>1</v>
      </c>
      <c r="M23" s="229">
        <v>1</v>
      </c>
      <c r="N23" s="219" t="s">
        <v>103</v>
      </c>
      <c r="O23" s="221"/>
      <c r="P23" s="221"/>
      <c r="Q23" s="221"/>
      <c r="R23" s="221"/>
      <c r="S23" s="221"/>
      <c r="T23" s="221"/>
      <c r="U23" s="221"/>
      <c r="V23" s="221"/>
      <c r="W23" s="221"/>
      <c r="X23" s="221"/>
      <c r="Y23" s="221"/>
      <c r="Z23" s="986"/>
    </row>
    <row r="24" spans="1:26" s="11" customFormat="1" ht="37.950000000000003" customHeight="1" x14ac:dyDescent="0.3">
      <c r="A24" s="1072" t="s">
        <v>1974</v>
      </c>
      <c r="B24" s="1275" t="s">
        <v>1975</v>
      </c>
      <c r="C24" s="250">
        <f>IFERROR(VLOOKUP(A24,'SUPPORT-EVALDIR'!$A$28:$H$39,8,0),0)</f>
        <v>0</v>
      </c>
      <c r="D24" s="242" t="str">
        <f t="shared" si="0"/>
        <v>🔴 INACEPTABLE</v>
      </c>
      <c r="E24" s="269" t="s">
        <v>2258</v>
      </c>
      <c r="F24" s="240" t="str">
        <f t="shared" si="2"/>
        <v>00% — 🔴 INACEPTABLE</v>
      </c>
      <c r="G24" s="215" t="s">
        <v>2250</v>
      </c>
      <c r="H24" s="215" t="s">
        <v>2251</v>
      </c>
      <c r="I24" s="215" t="s">
        <v>2252</v>
      </c>
      <c r="J24" s="215" t="s">
        <v>219</v>
      </c>
      <c r="K24" s="240" t="s">
        <v>2253</v>
      </c>
      <c r="L24" s="103">
        <v>1</v>
      </c>
      <c r="M24" s="103">
        <v>0</v>
      </c>
      <c r="N24" s="215" t="s">
        <v>103</v>
      </c>
      <c r="O24" s="139"/>
      <c r="P24" s="139"/>
      <c r="Q24" s="139"/>
      <c r="R24" s="139"/>
      <c r="S24" s="139"/>
      <c r="T24" s="139"/>
      <c r="U24" s="139"/>
      <c r="V24" s="139"/>
      <c r="W24" s="139"/>
      <c r="X24" s="139"/>
      <c r="Y24" s="139"/>
      <c r="Z24" s="985"/>
    </row>
    <row r="25" spans="1:26" s="11" customFormat="1" ht="37.950000000000003" customHeight="1" x14ac:dyDescent="0.3">
      <c r="A25" s="1072"/>
      <c r="B25" s="1276"/>
      <c r="C25" s="219"/>
      <c r="D25" s="219"/>
      <c r="E25" s="219"/>
      <c r="F25" s="219"/>
      <c r="G25" s="219"/>
      <c r="H25" s="219"/>
      <c r="I25" s="219"/>
      <c r="J25" s="219"/>
      <c r="K25" s="219"/>
      <c r="L25" s="219"/>
      <c r="M25" s="219"/>
      <c r="N25" s="219"/>
      <c r="O25" s="221"/>
      <c r="P25" s="221"/>
      <c r="Q25" s="221"/>
      <c r="R25" s="221"/>
      <c r="S25" s="221"/>
      <c r="T25" s="221"/>
      <c r="U25" s="221"/>
      <c r="V25" s="221"/>
      <c r="W25" s="221"/>
      <c r="X25" s="221"/>
      <c r="Y25" s="221"/>
      <c r="Z25" s="986"/>
    </row>
    <row r="26" spans="1:26" s="11" customFormat="1" ht="19.95" customHeight="1" x14ac:dyDescent="0.3">
      <c r="A26" s="1715" t="s">
        <v>2259</v>
      </c>
      <c r="B26" s="1716"/>
      <c r="C26" s="1716"/>
      <c r="D26" s="1716"/>
      <c r="E26" s="1716"/>
      <c r="F26" s="1716"/>
      <c r="G26" s="1716"/>
      <c r="H26" s="1716"/>
      <c r="I26" s="1716"/>
      <c r="J26" s="1716"/>
      <c r="K26" s="1716"/>
      <c r="L26" s="1716"/>
      <c r="M26" s="1716"/>
      <c r="N26" s="1716"/>
      <c r="O26" s="1716"/>
      <c r="P26" s="1716"/>
      <c r="Q26" s="1716"/>
      <c r="R26" s="1716"/>
      <c r="S26" s="1716"/>
      <c r="T26" s="1716"/>
      <c r="U26" s="1716"/>
      <c r="V26" s="1716"/>
      <c r="W26" s="1716"/>
      <c r="X26" s="1716"/>
      <c r="Y26" s="1716"/>
      <c r="Z26" s="1717"/>
    </row>
    <row r="27" spans="1:26" s="11" customFormat="1" ht="37.950000000000003" customHeight="1" x14ac:dyDescent="0.3">
      <c r="A27" s="1072" t="s">
        <v>408</v>
      </c>
      <c r="B27" s="1277" t="s">
        <v>2260</v>
      </c>
      <c r="C27" s="227" t="s">
        <v>2261</v>
      </c>
      <c r="D27" s="227" t="s">
        <v>2262</v>
      </c>
      <c r="E27" s="227" t="s">
        <v>2263</v>
      </c>
      <c r="F27" s="227" t="s">
        <v>2264</v>
      </c>
      <c r="G27" s="227" t="s">
        <v>2265</v>
      </c>
      <c r="H27" s="227" t="s">
        <v>123</v>
      </c>
      <c r="I27" s="227" t="s">
        <v>2266</v>
      </c>
      <c r="J27" s="227" t="s">
        <v>2204</v>
      </c>
      <c r="K27" s="219"/>
      <c r="L27" s="219"/>
      <c r="M27" s="219"/>
      <c r="N27" s="219"/>
      <c r="O27" s="221"/>
      <c r="P27" s="221"/>
      <c r="Q27" s="221"/>
      <c r="R27" s="221"/>
      <c r="S27" s="221"/>
      <c r="T27" s="221"/>
      <c r="U27" s="221"/>
      <c r="V27" s="221"/>
      <c r="W27" s="221"/>
      <c r="X27" s="221"/>
      <c r="Y27" s="221"/>
      <c r="Z27" s="986"/>
    </row>
    <row r="28" spans="1:26" s="11" customFormat="1" ht="37.950000000000003" customHeight="1" x14ac:dyDescent="0.3">
      <c r="A28" s="1071" t="s">
        <v>412</v>
      </c>
      <c r="B28" s="1275" t="s">
        <v>2267</v>
      </c>
      <c r="C28" s="215" t="s">
        <v>2268</v>
      </c>
      <c r="D28" s="215" t="s">
        <v>2269</v>
      </c>
      <c r="E28" s="215" t="s">
        <v>2270</v>
      </c>
      <c r="F28" s="215" t="s">
        <v>2271</v>
      </c>
      <c r="G28" s="215" t="s">
        <v>103</v>
      </c>
      <c r="H28" s="215" t="s">
        <v>2061</v>
      </c>
      <c r="I28" s="215" t="s">
        <v>2272</v>
      </c>
      <c r="J28" s="215" t="s">
        <v>2273</v>
      </c>
      <c r="K28" s="215"/>
      <c r="L28" s="215"/>
      <c r="M28" s="215"/>
      <c r="N28" s="215"/>
      <c r="O28" s="139"/>
      <c r="P28" s="139"/>
      <c r="Q28" s="139"/>
      <c r="R28" s="139"/>
      <c r="S28" s="139"/>
      <c r="T28" s="139"/>
      <c r="U28" s="139"/>
      <c r="V28" s="139"/>
      <c r="W28" s="139"/>
      <c r="X28" s="139"/>
      <c r="Y28" s="139"/>
      <c r="Z28" s="985"/>
    </row>
    <row r="29" spans="1:26" s="11" customFormat="1" ht="37.950000000000003" customHeight="1" x14ac:dyDescent="0.3">
      <c r="A29" s="1071" t="s">
        <v>417</v>
      </c>
      <c r="B29" s="1276" t="s">
        <v>2267</v>
      </c>
      <c r="C29" s="219" t="s">
        <v>2274</v>
      </c>
      <c r="D29" s="219" t="s">
        <v>2275</v>
      </c>
      <c r="E29" s="219" t="s">
        <v>2276</v>
      </c>
      <c r="F29" s="219" t="s">
        <v>103</v>
      </c>
      <c r="G29" s="219" t="s">
        <v>103</v>
      </c>
      <c r="H29" s="219" t="s">
        <v>238</v>
      </c>
      <c r="I29" s="219" t="s">
        <v>2062</v>
      </c>
      <c r="J29" s="219" t="s">
        <v>2277</v>
      </c>
      <c r="K29" s="219"/>
      <c r="L29" s="219"/>
      <c r="M29" s="219"/>
      <c r="N29" s="219"/>
      <c r="O29" s="221"/>
      <c r="P29" s="221"/>
      <c r="Q29" s="221"/>
      <c r="R29" s="221"/>
      <c r="S29" s="221"/>
      <c r="T29" s="221"/>
      <c r="U29" s="221"/>
      <c r="V29" s="221"/>
      <c r="W29" s="221"/>
      <c r="X29" s="221"/>
      <c r="Y29" s="221"/>
      <c r="Z29" s="986"/>
    </row>
    <row r="30" spans="1:26" s="11" customFormat="1" ht="37.950000000000003" customHeight="1" x14ac:dyDescent="0.3">
      <c r="A30" s="1071" t="s">
        <v>421</v>
      </c>
      <c r="B30" s="1275" t="s">
        <v>2267</v>
      </c>
      <c r="C30" s="215" t="s">
        <v>2278</v>
      </c>
      <c r="D30" s="215" t="s">
        <v>2279</v>
      </c>
      <c r="E30" s="215" t="s">
        <v>103</v>
      </c>
      <c r="F30" s="215" t="s">
        <v>103</v>
      </c>
      <c r="G30" s="215" t="s">
        <v>103</v>
      </c>
      <c r="H30" s="215" t="s">
        <v>2064</v>
      </c>
      <c r="I30" s="215" t="s">
        <v>2280</v>
      </c>
      <c r="J30" s="215" t="s">
        <v>2277</v>
      </c>
      <c r="K30" s="215"/>
      <c r="L30" s="215"/>
      <c r="M30" s="215"/>
      <c r="N30" s="215"/>
      <c r="O30" s="139"/>
      <c r="P30" s="139"/>
      <c r="Q30" s="139"/>
      <c r="R30" s="139"/>
      <c r="S30" s="139"/>
      <c r="T30" s="139"/>
      <c r="U30" s="139"/>
      <c r="V30" s="139"/>
      <c r="W30" s="139"/>
      <c r="X30" s="139"/>
      <c r="Y30" s="139"/>
      <c r="Z30" s="985"/>
    </row>
    <row r="31" spans="1:26" ht="28.05" customHeight="1" x14ac:dyDescent="0.3">
      <c r="A31" s="1072" t="s">
        <v>425</v>
      </c>
      <c r="B31" s="1278" t="s">
        <v>2267</v>
      </c>
      <c r="C31" s="219" t="s">
        <v>2281</v>
      </c>
      <c r="D31" s="219" t="s">
        <v>2282</v>
      </c>
      <c r="E31" s="231" t="s">
        <v>2283</v>
      </c>
      <c r="F31" s="231" t="s">
        <v>2284</v>
      </c>
      <c r="G31" s="231" t="s">
        <v>2285</v>
      </c>
      <c r="H31" s="231" t="s">
        <v>210</v>
      </c>
      <c r="I31" s="231" t="s">
        <v>2286</v>
      </c>
      <c r="J31" s="231" t="s">
        <v>2287</v>
      </c>
      <c r="K31" s="231"/>
      <c r="L31" s="231"/>
      <c r="M31" s="231"/>
      <c r="N31" s="231"/>
      <c r="O31" s="294"/>
      <c r="P31" s="294"/>
      <c r="Q31" s="294"/>
      <c r="R31" s="294"/>
      <c r="S31" s="294"/>
      <c r="T31" s="294"/>
      <c r="U31" s="294"/>
      <c r="V31" s="294"/>
      <c r="W31" s="294"/>
      <c r="X31" s="294"/>
      <c r="Y31" s="294"/>
      <c r="Z31" s="797"/>
    </row>
    <row r="32" spans="1:26" ht="37.950000000000003" customHeight="1" x14ac:dyDescent="0.3">
      <c r="A32" s="1072" t="s">
        <v>2066</v>
      </c>
      <c r="B32" s="1279" t="s">
        <v>2251</v>
      </c>
      <c r="C32" s="100" t="s">
        <v>2288</v>
      </c>
      <c r="D32" s="215" t="s">
        <v>2289</v>
      </c>
      <c r="E32" s="215" t="s">
        <v>2290</v>
      </c>
      <c r="F32" s="215" t="s">
        <v>2291</v>
      </c>
      <c r="G32" s="100" t="s">
        <v>2292</v>
      </c>
      <c r="H32" s="100" t="s">
        <v>2293</v>
      </c>
      <c r="I32" s="215" t="s">
        <v>2294</v>
      </c>
      <c r="J32" s="542" t="s">
        <v>2295</v>
      </c>
      <c r="K32" s="100"/>
      <c r="L32" s="100"/>
      <c r="M32" s="100"/>
      <c r="N32" s="100"/>
      <c r="O32" s="295"/>
      <c r="P32" s="295"/>
      <c r="Q32" s="295"/>
      <c r="R32" s="295"/>
      <c r="S32" s="295"/>
      <c r="T32" s="295"/>
      <c r="U32" s="295"/>
      <c r="V32" s="295"/>
      <c r="W32" s="295"/>
      <c r="X32" s="295"/>
      <c r="Y32" s="295"/>
      <c r="Z32" s="798"/>
    </row>
    <row r="33" spans="1:26" ht="19.95" customHeight="1" x14ac:dyDescent="0.3">
      <c r="A33" s="1072"/>
      <c r="B33" s="1278"/>
      <c r="C33" s="231"/>
      <c r="D33" s="231"/>
      <c r="E33" s="231"/>
      <c r="F33" s="231"/>
      <c r="G33" s="231"/>
      <c r="H33" s="231"/>
      <c r="I33" s="231"/>
      <c r="J33" s="231"/>
      <c r="K33" s="231"/>
      <c r="L33" s="231"/>
      <c r="M33" s="231"/>
      <c r="N33" s="231"/>
      <c r="O33" s="294"/>
      <c r="P33" s="294"/>
      <c r="Q33" s="294"/>
      <c r="R33" s="294"/>
      <c r="S33" s="294"/>
      <c r="T33" s="294"/>
      <c r="U33" s="294"/>
      <c r="V33" s="294"/>
      <c r="W33" s="294"/>
      <c r="X33" s="294"/>
      <c r="Y33" s="294"/>
      <c r="Z33" s="797"/>
    </row>
    <row r="34" spans="1:26" ht="19.95" customHeight="1" x14ac:dyDescent="0.3">
      <c r="A34" s="1715" t="s">
        <v>2296</v>
      </c>
      <c r="B34" s="1716"/>
      <c r="C34" s="1716"/>
      <c r="D34" s="1716"/>
      <c r="E34" s="1716"/>
      <c r="F34" s="1716"/>
      <c r="G34" s="1716"/>
      <c r="H34" s="1716"/>
      <c r="I34" s="1716"/>
      <c r="J34" s="1716"/>
      <c r="K34" s="1716"/>
      <c r="L34" s="1716"/>
      <c r="M34" s="1716"/>
      <c r="N34" s="1716"/>
      <c r="O34" s="1716"/>
      <c r="P34" s="1716"/>
      <c r="Q34" s="1716"/>
      <c r="R34" s="1716"/>
      <c r="S34" s="1716"/>
      <c r="T34" s="1716"/>
      <c r="U34" s="1716"/>
      <c r="V34" s="1716"/>
      <c r="W34" s="1716"/>
      <c r="X34" s="1716"/>
      <c r="Y34" s="1716"/>
      <c r="Z34" s="1717"/>
    </row>
    <row r="35" spans="1:26" ht="19.95" customHeight="1" x14ac:dyDescent="0.3">
      <c r="A35" s="1072" t="s">
        <v>2297</v>
      </c>
      <c r="B35" s="1291">
        <f>COUNTA(A13:A24)</f>
        <v>12</v>
      </c>
      <c r="C35" s="231" t="s">
        <v>103</v>
      </c>
      <c r="D35" s="231" t="s">
        <v>2298</v>
      </c>
      <c r="E35" s="231"/>
      <c r="F35" s="231"/>
      <c r="G35" s="231"/>
      <c r="H35" s="231"/>
      <c r="I35" s="231"/>
      <c r="J35" s="231"/>
      <c r="K35" s="231"/>
      <c r="L35" s="231"/>
      <c r="M35" s="231"/>
      <c r="N35" s="231"/>
      <c r="O35" s="294"/>
      <c r="P35" s="294"/>
      <c r="Q35" s="294"/>
      <c r="R35" s="294"/>
      <c r="S35" s="294"/>
      <c r="T35" s="294"/>
      <c r="U35" s="294"/>
      <c r="V35" s="294"/>
      <c r="W35" s="294"/>
      <c r="X35" s="294"/>
      <c r="Y35" s="294"/>
      <c r="Z35" s="797"/>
    </row>
    <row r="36" spans="1:26" ht="28.05" customHeight="1" x14ac:dyDescent="0.3">
      <c r="A36" s="1071" t="s">
        <v>2299</v>
      </c>
      <c r="B36" s="1292">
        <f>COUNTIF(D13:D24,"⭐ EXCELENTE")</f>
        <v>1</v>
      </c>
      <c r="C36" s="333">
        <v>8.3000000000000004E-2</v>
      </c>
      <c r="D36" s="100" t="s">
        <v>2300</v>
      </c>
      <c r="E36" s="100"/>
      <c r="F36" s="100"/>
      <c r="G36" s="100"/>
      <c r="H36" s="100"/>
      <c r="I36" s="100"/>
      <c r="J36" s="100"/>
      <c r="K36" s="100"/>
      <c r="L36" s="100"/>
      <c r="M36" s="100"/>
      <c r="N36" s="100"/>
      <c r="O36" s="295"/>
      <c r="P36" s="295"/>
      <c r="Q36" s="295"/>
      <c r="R36" s="295"/>
      <c r="S36" s="295"/>
      <c r="T36" s="295"/>
      <c r="U36" s="295"/>
      <c r="V36" s="295"/>
      <c r="W36" s="295"/>
      <c r="X36" s="295"/>
      <c r="Y36" s="295"/>
      <c r="Z36" s="798"/>
    </row>
    <row r="37" spans="1:26" ht="19.95" customHeight="1" x14ac:dyDescent="0.3">
      <c r="A37" s="1071" t="s">
        <v>2301</v>
      </c>
      <c r="B37" s="1291">
        <f>COUNTIF(D13:D24,"✅ MUY BUENO")</f>
        <v>0</v>
      </c>
      <c r="C37" s="334">
        <v>0</v>
      </c>
      <c r="D37" s="231" t="s">
        <v>2302</v>
      </c>
      <c r="E37" s="231"/>
      <c r="F37" s="231"/>
      <c r="G37" s="231"/>
      <c r="H37" s="231"/>
      <c r="I37" s="231"/>
      <c r="J37" s="231"/>
      <c r="K37" s="231"/>
      <c r="L37" s="231"/>
      <c r="M37" s="231"/>
      <c r="N37" s="231"/>
      <c r="O37" s="294"/>
      <c r="P37" s="294"/>
      <c r="Q37" s="294"/>
      <c r="R37" s="294"/>
      <c r="S37" s="294"/>
      <c r="T37" s="294"/>
      <c r="U37" s="294"/>
      <c r="V37" s="294"/>
      <c r="W37" s="294"/>
      <c r="X37" s="294"/>
      <c r="Y37" s="294"/>
      <c r="Z37" s="797"/>
    </row>
    <row r="38" spans="1:26" ht="19.95" customHeight="1" x14ac:dyDescent="0.3">
      <c r="A38" s="1071" t="s">
        <v>2303</v>
      </c>
      <c r="B38" s="1292">
        <f>COUNTIF(D13:D24,"🟢 SATISFACTORIO")</f>
        <v>2</v>
      </c>
      <c r="C38" s="333">
        <v>0.16700000000000001</v>
      </c>
      <c r="D38" s="542" t="s">
        <v>2304</v>
      </c>
      <c r="E38" s="100"/>
      <c r="F38" s="100"/>
      <c r="G38" s="100"/>
      <c r="H38" s="100"/>
      <c r="I38" s="100"/>
      <c r="J38" s="100"/>
      <c r="K38" s="100"/>
      <c r="L38" s="100"/>
      <c r="M38" s="100"/>
      <c r="N38" s="100"/>
      <c r="O38" s="295"/>
      <c r="P38" s="295"/>
      <c r="Q38" s="295"/>
      <c r="R38" s="295"/>
      <c r="S38" s="295"/>
      <c r="T38" s="295"/>
      <c r="U38" s="295"/>
      <c r="V38" s="295"/>
      <c r="W38" s="295"/>
      <c r="X38" s="295"/>
      <c r="Y38" s="295"/>
      <c r="Z38" s="798"/>
    </row>
    <row r="39" spans="1:26" ht="19.95" customHeight="1" x14ac:dyDescent="0.3">
      <c r="A39" s="1072" t="s">
        <v>2305</v>
      </c>
      <c r="B39" s="1291">
        <f>COUNTIF(D13:D24,"🟡 REGULAR")</f>
        <v>0</v>
      </c>
      <c r="C39" s="334">
        <v>0</v>
      </c>
      <c r="D39" s="231" t="s">
        <v>2302</v>
      </c>
      <c r="E39" s="231"/>
      <c r="F39" s="231"/>
      <c r="G39" s="231"/>
      <c r="H39" s="231"/>
      <c r="I39" s="231"/>
      <c r="J39" s="231"/>
      <c r="K39" s="231"/>
      <c r="L39" s="231"/>
      <c r="M39" s="231"/>
      <c r="N39" s="231"/>
      <c r="O39" s="294"/>
      <c r="P39" s="294"/>
      <c r="Q39" s="294"/>
      <c r="R39" s="294"/>
      <c r="S39" s="294"/>
      <c r="T39" s="294"/>
      <c r="U39" s="294"/>
      <c r="V39" s="294"/>
      <c r="W39" s="294"/>
      <c r="X39" s="294"/>
      <c r="Y39" s="294"/>
      <c r="Z39" s="797"/>
    </row>
    <row r="40" spans="1:26" ht="28.05" customHeight="1" x14ac:dyDescent="0.3">
      <c r="A40" s="1072" t="s">
        <v>2306</v>
      </c>
      <c r="B40" s="1292">
        <f>COUNTIF(D13:D24,"🔴 INACEPTABLE")</f>
        <v>9</v>
      </c>
      <c r="C40" s="333">
        <v>0.75</v>
      </c>
      <c r="D40" s="215" t="s">
        <v>2307</v>
      </c>
      <c r="E40" s="100"/>
      <c r="F40" s="100"/>
      <c r="G40" s="100"/>
      <c r="H40" s="100"/>
      <c r="I40" s="100"/>
      <c r="J40" s="100"/>
      <c r="K40" s="100"/>
      <c r="L40" s="100"/>
      <c r="M40" s="100"/>
      <c r="N40" s="100"/>
      <c r="O40" s="295"/>
      <c r="P40" s="295"/>
      <c r="Q40" s="295"/>
      <c r="R40" s="295"/>
      <c r="S40" s="295"/>
      <c r="T40" s="295"/>
      <c r="U40" s="295"/>
      <c r="V40" s="295"/>
      <c r="W40" s="295"/>
      <c r="X40" s="295"/>
      <c r="Y40" s="295"/>
      <c r="Z40" s="798"/>
    </row>
    <row r="41" spans="1:26" ht="28.05" customHeight="1" x14ac:dyDescent="0.3">
      <c r="A41" s="1072" t="s">
        <v>2308</v>
      </c>
      <c r="B41" s="1293">
        <f>'M5-ICPI'!G29/100</f>
        <v>0.38283013883562111</v>
      </c>
      <c r="C41" s="231" t="s">
        <v>103</v>
      </c>
      <c r="D41" s="231" t="s">
        <v>2309</v>
      </c>
      <c r="E41" s="231"/>
      <c r="F41" s="231"/>
      <c r="G41" s="231"/>
      <c r="H41" s="231"/>
      <c r="I41" s="231"/>
      <c r="J41" s="231"/>
      <c r="K41" s="231"/>
      <c r="L41" s="231"/>
      <c r="M41" s="231"/>
      <c r="N41" s="231"/>
      <c r="O41" s="294"/>
      <c r="P41" s="294"/>
      <c r="Q41" s="294"/>
      <c r="R41" s="294"/>
      <c r="S41" s="294"/>
      <c r="T41" s="294"/>
      <c r="U41" s="294"/>
      <c r="V41" s="294"/>
      <c r="W41" s="294"/>
      <c r="X41" s="294"/>
      <c r="Y41" s="294"/>
      <c r="Z41" s="797"/>
    </row>
    <row r="42" spans="1:26" ht="19.95" customHeight="1" x14ac:dyDescent="0.3">
      <c r="A42" s="1715" t="s">
        <v>2310</v>
      </c>
      <c r="B42" s="1716"/>
      <c r="C42" s="1716"/>
      <c r="D42" s="1716"/>
      <c r="E42" s="1716"/>
      <c r="F42" s="1716"/>
      <c r="G42" s="1716"/>
      <c r="H42" s="1716"/>
      <c r="I42" s="1716"/>
      <c r="J42" s="1716"/>
      <c r="K42" s="1716"/>
      <c r="L42" s="1716"/>
      <c r="M42" s="1716"/>
      <c r="N42" s="1716"/>
      <c r="O42" s="1716"/>
      <c r="P42" s="1716"/>
      <c r="Q42" s="1716"/>
      <c r="R42" s="1716"/>
      <c r="S42" s="1716"/>
      <c r="T42" s="1716"/>
      <c r="U42" s="1716"/>
      <c r="V42" s="1716"/>
      <c r="W42" s="1716"/>
      <c r="X42" s="1716"/>
      <c r="Y42" s="1716"/>
      <c r="Z42" s="1717"/>
    </row>
    <row r="43" spans="1:26" ht="19.95" customHeight="1" x14ac:dyDescent="0.3">
      <c r="A43" s="1072" t="s">
        <v>2311</v>
      </c>
      <c r="B43" s="1278" t="str">
        <f>COUNTIF('M4-AUDIT'!X5:X24,1)&amp;"/"&amp;COUNTA('M4-AUDIT'!A5:A24)</f>
        <v>8/20</v>
      </c>
      <c r="C43" s="335">
        <f>IFERROR(COUNTIF('M4-AUDIT'!X5:X24,1)/COUNTA('M4-AUDIT'!A5:A24),0)</f>
        <v>0.4</v>
      </c>
      <c r="D43" s="231" t="s">
        <v>2312</v>
      </c>
      <c r="E43" s="231"/>
      <c r="F43" s="231"/>
      <c r="G43" s="231"/>
      <c r="H43" s="231"/>
      <c r="I43" s="231"/>
      <c r="J43" s="231"/>
      <c r="K43" s="231"/>
      <c r="L43" s="231"/>
      <c r="M43" s="231"/>
      <c r="N43" s="231"/>
      <c r="O43" s="294"/>
      <c r="P43" s="294"/>
      <c r="Q43" s="294"/>
      <c r="R43" s="294"/>
      <c r="S43" s="294"/>
      <c r="T43" s="294"/>
      <c r="U43" s="294"/>
      <c r="V43" s="294"/>
      <c r="W43" s="294"/>
      <c r="X43" s="294"/>
      <c r="Y43" s="294"/>
      <c r="Z43" s="797"/>
    </row>
    <row r="44" spans="1:26" ht="19.95" customHeight="1" x14ac:dyDescent="0.3">
      <c r="A44" s="1715" t="s">
        <v>2313</v>
      </c>
      <c r="B44" s="1716"/>
      <c r="C44" s="1716"/>
      <c r="D44" s="1716"/>
      <c r="E44" s="1716"/>
      <c r="F44" s="1716"/>
      <c r="G44" s="1716"/>
      <c r="H44" s="1716"/>
      <c r="I44" s="1716"/>
      <c r="J44" s="1716"/>
      <c r="K44" s="1716"/>
      <c r="L44" s="1716"/>
      <c r="M44" s="1716"/>
      <c r="N44" s="1716"/>
      <c r="O44" s="1716"/>
      <c r="P44" s="1716"/>
      <c r="Q44" s="1716"/>
      <c r="R44" s="1716"/>
      <c r="S44" s="1716"/>
      <c r="T44" s="1716"/>
      <c r="U44" s="1716"/>
      <c r="V44" s="1716"/>
      <c r="W44" s="1716"/>
      <c r="X44" s="1716"/>
      <c r="Y44" s="1716"/>
      <c r="Z44" s="1717"/>
    </row>
    <row r="45" spans="1:26" ht="19.95" customHeight="1" x14ac:dyDescent="0.3">
      <c r="A45" s="1938" t="s">
        <v>2314</v>
      </c>
      <c r="B45" s="1716"/>
      <c r="C45" s="1716"/>
      <c r="D45" s="1716"/>
      <c r="E45" s="1716"/>
      <c r="F45" s="1716"/>
      <c r="G45" s="1716"/>
      <c r="H45" s="1716"/>
      <c r="I45" s="1716"/>
      <c r="J45" s="1716"/>
      <c r="K45" s="1716"/>
      <c r="L45" s="1716"/>
      <c r="M45" s="1716"/>
      <c r="N45" s="1716"/>
      <c r="O45" s="1716"/>
      <c r="P45" s="1716"/>
      <c r="Q45" s="1716"/>
      <c r="R45" s="1716"/>
      <c r="S45" s="1716"/>
      <c r="T45" s="1716"/>
      <c r="U45" s="1716"/>
      <c r="V45" s="1716"/>
      <c r="W45" s="1716"/>
      <c r="X45" s="1716"/>
      <c r="Y45" s="1716"/>
      <c r="Z45" s="1717"/>
    </row>
    <row r="46" spans="1:26" ht="19.95" customHeight="1" x14ac:dyDescent="0.3">
      <c r="A46" s="1072" t="s">
        <v>2199</v>
      </c>
      <c r="B46" s="1294" t="s">
        <v>2315</v>
      </c>
      <c r="C46" s="336" t="s">
        <v>2316</v>
      </c>
      <c r="D46" s="237" t="s">
        <v>2317</v>
      </c>
      <c r="E46" s="237" t="s">
        <v>2318</v>
      </c>
      <c r="F46" s="237" t="s">
        <v>2319</v>
      </c>
      <c r="G46" s="237" t="s">
        <v>2028</v>
      </c>
      <c r="H46" s="237" t="s">
        <v>123</v>
      </c>
      <c r="I46" s="100"/>
      <c r="J46" s="100"/>
      <c r="K46" s="100"/>
      <c r="L46" s="100"/>
      <c r="M46" s="100"/>
      <c r="N46" s="100"/>
      <c r="O46" s="295"/>
      <c r="P46" s="295"/>
      <c r="Q46" s="295"/>
      <c r="R46" s="295"/>
      <c r="S46" s="295"/>
      <c r="T46" s="295"/>
      <c r="U46" s="295"/>
      <c r="V46" s="295"/>
      <c r="W46" s="295"/>
      <c r="X46" s="295"/>
      <c r="Y46" s="295"/>
      <c r="Z46" s="798"/>
    </row>
    <row r="47" spans="1:26" ht="37.950000000000003" customHeight="1" x14ac:dyDescent="0.3">
      <c r="A47" s="1072" t="s">
        <v>2320</v>
      </c>
      <c r="B47" s="1295" t="s">
        <v>2321</v>
      </c>
      <c r="C47" s="272" t="s">
        <v>2322</v>
      </c>
      <c r="D47" s="219" t="s">
        <v>2323</v>
      </c>
      <c r="E47" s="231" t="s">
        <v>2324</v>
      </c>
      <c r="F47" s="219" t="s">
        <v>2325</v>
      </c>
      <c r="G47" s="337" t="s">
        <v>2326</v>
      </c>
      <c r="H47" s="231" t="s">
        <v>210</v>
      </c>
      <c r="I47" s="231"/>
      <c r="J47" s="231"/>
      <c r="K47" s="231"/>
      <c r="L47" s="231"/>
      <c r="M47" s="231"/>
      <c r="N47" s="231"/>
      <c r="O47" s="294"/>
      <c r="P47" s="294"/>
      <c r="Q47" s="294"/>
      <c r="R47" s="294"/>
      <c r="S47" s="294"/>
      <c r="T47" s="294"/>
      <c r="U47" s="294"/>
      <c r="V47" s="294"/>
      <c r="W47" s="294"/>
      <c r="X47" s="294"/>
      <c r="Y47" s="294"/>
      <c r="Z47" s="797"/>
    </row>
    <row r="48" spans="1:26" ht="37.950000000000003" customHeight="1" x14ac:dyDescent="0.3">
      <c r="A48" s="1072" t="s">
        <v>2327</v>
      </c>
      <c r="B48" s="1296" t="s">
        <v>2328</v>
      </c>
      <c r="C48" s="270" t="s">
        <v>2329</v>
      </c>
      <c r="D48" s="224" t="s">
        <v>2330</v>
      </c>
      <c r="E48" s="100" t="s">
        <v>2331</v>
      </c>
      <c r="F48" s="215" t="s">
        <v>2332</v>
      </c>
      <c r="G48" s="271" t="s">
        <v>2333</v>
      </c>
      <c r="H48" s="100" t="s">
        <v>210</v>
      </c>
      <c r="I48" s="100"/>
      <c r="J48" s="100"/>
      <c r="K48" s="100"/>
      <c r="L48" s="100"/>
      <c r="M48" s="100"/>
      <c r="N48" s="100"/>
      <c r="O48" s="295"/>
      <c r="P48" s="295"/>
      <c r="Q48" s="295"/>
      <c r="R48" s="295"/>
      <c r="S48" s="295"/>
      <c r="T48" s="295"/>
      <c r="U48" s="295"/>
      <c r="V48" s="295"/>
      <c r="W48" s="295"/>
      <c r="X48" s="295"/>
      <c r="Y48" s="295"/>
      <c r="Z48" s="798"/>
    </row>
    <row r="49" spans="1:26" ht="37.950000000000003" customHeight="1" x14ac:dyDescent="0.3">
      <c r="A49" s="1072" t="s">
        <v>2334</v>
      </c>
      <c r="B49" s="1295" t="s">
        <v>2335</v>
      </c>
      <c r="C49" s="272" t="s">
        <v>2336</v>
      </c>
      <c r="D49" s="219" t="str">
        <f>"SIITH urgente: "&amp;COUNTIF(D13:D24,"🔴 INACEPTABLE")&amp;" dirs ("&amp;TEXT(COUNTIF(D13:D24,"🔴 INACEPTABLE")/COUNTA(A13:A24),"0%")&amp;") → Sumario LOSEP Art.80"</f>
        <v>SIITH urgente: 9 dirs (75%) → Sumario LOSEP Art.80</v>
      </c>
      <c r="E49" s="231" t="s">
        <v>2337</v>
      </c>
      <c r="F49" s="219" t="s">
        <v>2338</v>
      </c>
      <c r="G49" s="273" t="s">
        <v>2339</v>
      </c>
      <c r="H49" s="231" t="s">
        <v>2293</v>
      </c>
      <c r="I49" s="231"/>
      <c r="J49" s="231"/>
      <c r="K49" s="231"/>
      <c r="L49" s="231"/>
      <c r="M49" s="231"/>
      <c r="N49" s="231"/>
      <c r="O49" s="294"/>
      <c r="P49" s="294"/>
      <c r="Q49" s="294"/>
      <c r="R49" s="294"/>
      <c r="S49" s="294"/>
      <c r="T49" s="294"/>
      <c r="U49" s="294"/>
      <c r="V49" s="294"/>
      <c r="W49" s="294"/>
      <c r="X49" s="294"/>
      <c r="Y49" s="294"/>
      <c r="Z49" s="797"/>
    </row>
    <row r="50" spans="1:26" ht="19.95" customHeight="1" x14ac:dyDescent="0.3">
      <c r="A50" s="1072"/>
      <c r="B50" s="1297"/>
      <c r="C50" s="270"/>
      <c r="D50" s="100"/>
      <c r="E50" s="100"/>
      <c r="F50" s="100"/>
      <c r="G50" s="100"/>
      <c r="H50" s="100"/>
      <c r="I50" s="100"/>
      <c r="J50" s="100"/>
      <c r="K50" s="100"/>
      <c r="L50" s="100"/>
      <c r="M50" s="100"/>
      <c r="N50" s="100"/>
      <c r="O50" s="295"/>
      <c r="P50" s="295"/>
      <c r="Q50" s="295"/>
      <c r="R50" s="295"/>
      <c r="S50" s="295"/>
      <c r="T50" s="295"/>
      <c r="U50" s="295"/>
      <c r="V50" s="295"/>
      <c r="W50" s="295"/>
      <c r="X50" s="295"/>
      <c r="Y50" s="295"/>
      <c r="Z50" s="798"/>
    </row>
    <row r="51" spans="1:26" ht="19.95" customHeight="1" x14ac:dyDescent="0.3">
      <c r="A51" s="1715" t="s">
        <v>2340</v>
      </c>
      <c r="B51" s="1716"/>
      <c r="C51" s="1716"/>
      <c r="D51" s="1716"/>
      <c r="E51" s="1716"/>
      <c r="F51" s="1716"/>
      <c r="G51" s="1716"/>
      <c r="H51" s="1716"/>
      <c r="I51" s="1716"/>
      <c r="J51" s="1716"/>
      <c r="K51" s="1716"/>
      <c r="L51" s="1716"/>
      <c r="M51" s="1716"/>
      <c r="N51" s="1716"/>
      <c r="O51" s="1716"/>
      <c r="P51" s="1716"/>
      <c r="Q51" s="1716"/>
      <c r="R51" s="1716"/>
      <c r="S51" s="1716"/>
      <c r="T51" s="1716"/>
      <c r="U51" s="1716"/>
      <c r="V51" s="1716"/>
      <c r="W51" s="1716"/>
      <c r="X51" s="1716"/>
      <c r="Y51" s="1716"/>
      <c r="Z51" s="1717"/>
    </row>
    <row r="52" spans="1:26" ht="19.95" customHeight="1" x14ac:dyDescent="0.3">
      <c r="A52" s="1072" t="s">
        <v>2341</v>
      </c>
      <c r="B52" s="1294" t="s">
        <v>2342</v>
      </c>
      <c r="C52" s="270" t="s">
        <v>2343</v>
      </c>
      <c r="D52" s="100"/>
      <c r="E52" s="100"/>
      <c r="F52" s="100"/>
      <c r="G52" s="100"/>
      <c r="H52" s="100"/>
      <c r="I52" s="100"/>
      <c r="J52" s="100"/>
      <c r="K52" s="100"/>
      <c r="L52" s="100"/>
      <c r="M52" s="100"/>
      <c r="N52" s="100"/>
      <c r="O52" s="295"/>
      <c r="P52" s="295"/>
      <c r="Q52" s="295"/>
      <c r="R52" s="295"/>
      <c r="S52" s="295"/>
      <c r="T52" s="295"/>
      <c r="U52" s="295"/>
      <c r="V52" s="295"/>
      <c r="W52" s="295"/>
      <c r="X52" s="295"/>
      <c r="Y52" s="295"/>
      <c r="Z52" s="798"/>
    </row>
    <row r="53" spans="1:26" ht="28.05" customHeight="1" x14ac:dyDescent="0.3">
      <c r="A53" s="1072" t="s">
        <v>2344</v>
      </c>
      <c r="B53" s="1298" t="str">
        <f>'M-TECH-GAD'!B6</f>
        <v>Gobierno Autónomo Descentralizado Municipal de Montecristi</v>
      </c>
      <c r="C53" s="272" t="s">
        <v>2345</v>
      </c>
      <c r="D53" s="231"/>
      <c r="E53" s="231"/>
      <c r="F53" s="231"/>
      <c r="G53" s="231"/>
      <c r="H53" s="231"/>
      <c r="I53" s="231"/>
      <c r="J53" s="231"/>
      <c r="K53" s="231"/>
      <c r="L53" s="231"/>
      <c r="M53" s="231"/>
      <c r="N53" s="231"/>
      <c r="O53" s="294"/>
      <c r="P53" s="294"/>
      <c r="Q53" s="294"/>
      <c r="R53" s="294"/>
      <c r="S53" s="294"/>
      <c r="T53" s="294"/>
      <c r="U53" s="294"/>
      <c r="V53" s="294"/>
      <c r="W53" s="294"/>
      <c r="X53" s="294"/>
      <c r="Y53" s="294"/>
      <c r="Z53" s="797"/>
    </row>
    <row r="54" spans="1:26" ht="37.950000000000003" customHeight="1" x14ac:dyDescent="0.3">
      <c r="A54" s="1072" t="s">
        <v>2346</v>
      </c>
      <c r="B54" s="1297" t="str">
        <f>ROUND('M5-ICPI'!G29,2)&amp;"%"</f>
        <v>38,28%</v>
      </c>
      <c r="C54" s="1286" t="s">
        <v>2347</v>
      </c>
      <c r="D54" s="100"/>
      <c r="E54" s="100"/>
      <c r="F54" s="100"/>
      <c r="G54" s="100"/>
      <c r="H54" s="100"/>
      <c r="I54" s="100"/>
      <c r="J54" s="100"/>
      <c r="K54" s="100"/>
      <c r="L54" s="100"/>
      <c r="M54" s="100"/>
      <c r="N54" s="100"/>
      <c r="O54" s="295"/>
      <c r="P54" s="295"/>
      <c r="Q54" s="295"/>
      <c r="R54" s="295"/>
      <c r="S54" s="295"/>
      <c r="T54" s="295"/>
      <c r="U54" s="295"/>
      <c r="V54" s="295"/>
      <c r="W54" s="295"/>
      <c r="X54" s="295"/>
      <c r="Y54" s="295"/>
      <c r="Z54" s="798"/>
    </row>
    <row r="55" spans="1:26" ht="37.950000000000003" customHeight="1" x14ac:dyDescent="0.3">
      <c r="A55" s="1072" t="s">
        <v>2348</v>
      </c>
      <c r="B55" s="1295" t="str">
        <f>ROUND('DATA-CED'!N25*100,1)&amp;"%"</f>
        <v>0%</v>
      </c>
      <c r="C55" s="274" t="s">
        <v>2349</v>
      </c>
      <c r="D55" s="231"/>
      <c r="E55" s="231"/>
      <c r="F55" s="231"/>
      <c r="G55" s="231"/>
      <c r="H55" s="231"/>
      <c r="I55" s="231"/>
      <c r="J55" s="231"/>
      <c r="K55" s="231"/>
      <c r="L55" s="231"/>
      <c r="M55" s="231"/>
      <c r="N55" s="231"/>
      <c r="O55" s="294"/>
      <c r="P55" s="294"/>
      <c r="Q55" s="294"/>
      <c r="R55" s="294"/>
      <c r="S55" s="294"/>
      <c r="T55" s="294"/>
      <c r="U55" s="294"/>
      <c r="V55" s="294"/>
      <c r="W55" s="294"/>
      <c r="X55" s="294"/>
      <c r="Y55" s="294"/>
      <c r="Z55" s="797"/>
    </row>
    <row r="56" spans="1:26" ht="37.950000000000003" customHeight="1" x14ac:dyDescent="0.3">
      <c r="A56" s="1072" t="s">
        <v>2350</v>
      </c>
      <c r="B56" s="1297" t="str">
        <f>COUNTIF('M4-AUDIT'!X5:X24,1)&amp;"/"&amp;COUNTA('M4-AUDIT'!A5:A24)</f>
        <v>8/20</v>
      </c>
      <c r="C56" s="275" t="s">
        <v>2351</v>
      </c>
      <c r="D56" s="100"/>
      <c r="E56" s="100"/>
      <c r="F56" s="100"/>
      <c r="G56" s="100"/>
      <c r="H56" s="100"/>
      <c r="I56" s="100"/>
      <c r="J56" s="100"/>
      <c r="K56" s="100"/>
      <c r="L56" s="100"/>
      <c r="M56" s="100"/>
      <c r="N56" s="100"/>
      <c r="O56" s="295"/>
      <c r="P56" s="295"/>
      <c r="Q56" s="295"/>
      <c r="R56" s="295"/>
      <c r="S56" s="295"/>
      <c r="T56" s="295"/>
      <c r="U56" s="295"/>
      <c r="V56" s="295"/>
      <c r="W56" s="295"/>
      <c r="X56" s="295"/>
      <c r="Y56" s="295"/>
      <c r="Z56" s="798"/>
    </row>
    <row r="57" spans="1:26" ht="28.05" customHeight="1" x14ac:dyDescent="0.3">
      <c r="A57" s="1071" t="s">
        <v>2352</v>
      </c>
      <c r="B57" s="1299" t="str">
        <f>COUNTIF(D13:D24,"⭐ EXCELENTE")+COUNTIF(D13:D24,"✅ MUY BUENO")+COUNTIF(D13:D24,"🟢 SATISFACTORIO")&amp;" / "&amp;COUNTA(A13:A24)</f>
        <v>3 / 12</v>
      </c>
      <c r="C57" s="1287" t="s">
        <v>2353</v>
      </c>
      <c r="D57" s="231"/>
      <c r="E57" s="231"/>
      <c r="F57" s="231"/>
      <c r="G57" s="231"/>
      <c r="H57" s="231"/>
      <c r="I57" s="231"/>
      <c r="J57" s="231"/>
      <c r="K57" s="231"/>
      <c r="L57" s="231"/>
      <c r="M57" s="231"/>
      <c r="N57" s="231"/>
      <c r="O57" s="294"/>
      <c r="P57" s="294"/>
      <c r="Q57" s="294"/>
      <c r="R57" s="294"/>
      <c r="S57" s="294"/>
      <c r="T57" s="294"/>
      <c r="U57" s="294"/>
      <c r="V57" s="294"/>
      <c r="W57" s="294"/>
      <c r="X57" s="294"/>
      <c r="Y57" s="294"/>
      <c r="Z57" s="797"/>
    </row>
    <row r="58" spans="1:26" ht="37.950000000000003" customHeight="1" x14ac:dyDescent="0.3">
      <c r="A58" s="1072" t="s">
        <v>2354</v>
      </c>
      <c r="B58" s="1297" t="str">
        <f>COUNTIF(D13:D24,"🔴 INACEPTABLE")&amp;" / "&amp;COUNTA(A13:A24)&amp;" — "&amp;TEXT(COUNTIF(D13:D24,"🔴 INACEPTABLE")/COUNTA(A13:A24),"0%")</f>
        <v>9 / 12 — 75%</v>
      </c>
      <c r="C58" s="275" t="s">
        <v>2355</v>
      </c>
      <c r="D58" s="100"/>
      <c r="E58" s="100"/>
      <c r="F58" s="100"/>
      <c r="G58" s="100"/>
      <c r="H58" s="100"/>
      <c r="I58" s="100"/>
      <c r="J58" s="100"/>
      <c r="K58" s="100"/>
      <c r="L58" s="100"/>
      <c r="M58" s="100"/>
      <c r="N58" s="100"/>
      <c r="O58" s="295"/>
      <c r="P58" s="295"/>
      <c r="Q58" s="295"/>
      <c r="R58" s="295"/>
      <c r="S58" s="295"/>
      <c r="T58" s="295"/>
      <c r="U58" s="295"/>
      <c r="V58" s="295"/>
      <c r="W58" s="295"/>
      <c r="X58" s="295"/>
      <c r="Y58" s="295"/>
      <c r="Z58" s="798"/>
    </row>
    <row r="59" spans="1:26" ht="37.950000000000003" customHeight="1" thickBot="1" x14ac:dyDescent="0.35">
      <c r="A59" s="1167" t="s">
        <v>2356</v>
      </c>
      <c r="B59" s="1300" t="s">
        <v>2357</v>
      </c>
      <c r="C59" s="1288" t="s">
        <v>2358</v>
      </c>
      <c r="D59" s="1134"/>
      <c r="E59" s="1134"/>
      <c r="F59" s="1134"/>
      <c r="G59" s="1134"/>
      <c r="H59" s="1134"/>
      <c r="I59" s="1134"/>
      <c r="J59" s="1134"/>
      <c r="K59" s="1134"/>
      <c r="L59" s="1134"/>
      <c r="M59" s="1134"/>
      <c r="N59" s="1134"/>
      <c r="O59" s="1177"/>
      <c r="P59" s="1177"/>
      <c r="Q59" s="1177"/>
      <c r="R59" s="1177"/>
      <c r="S59" s="1177"/>
      <c r="T59" s="1177"/>
      <c r="U59" s="1177"/>
      <c r="V59" s="1177"/>
      <c r="W59" s="1177"/>
      <c r="X59" s="1177"/>
      <c r="Y59" s="1177"/>
      <c r="Z59" s="1289"/>
    </row>
    <row r="60" spans="1:26" ht="15" thickTop="1" x14ac:dyDescent="0.3"/>
  </sheetData>
  <mergeCells count="10">
    <mergeCell ref="A45:Z45"/>
    <mergeCell ref="A51:Z51"/>
    <mergeCell ref="A1:Z1"/>
    <mergeCell ref="A3:Z3"/>
    <mergeCell ref="A4:Z4"/>
    <mergeCell ref="A11:Z11"/>
    <mergeCell ref="A26:Z26"/>
    <mergeCell ref="A34:Z34"/>
    <mergeCell ref="A42:Z42"/>
    <mergeCell ref="A44:Z44"/>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DEEAF1"/>
  </sheetPr>
  <dimension ref="A1:Z52"/>
  <sheetViews>
    <sheetView showGridLines="0" zoomScale="40" zoomScaleNormal="40" workbookViewId="0">
      <pane ySplit="3" topLeftCell="A4" activePane="bottomLeft" state="frozen"/>
      <selection pane="bottomLeft" sqref="A1:Z1"/>
    </sheetView>
  </sheetViews>
  <sheetFormatPr baseColWidth="10" defaultRowHeight="14.4" x14ac:dyDescent="0.3"/>
  <cols>
    <col min="1" max="1" width="5.21875" customWidth="1"/>
    <col min="2" max="2" width="26.77734375" bestFit="1" customWidth="1"/>
    <col min="3" max="3" width="28.21875" bestFit="1" customWidth="1"/>
    <col min="4" max="4" width="29.33203125" bestFit="1" customWidth="1"/>
    <col min="5" max="5" width="32.33203125" bestFit="1" customWidth="1"/>
    <col min="6" max="6" width="14" bestFit="1" customWidth="1"/>
    <col min="7" max="7" width="14.5546875" bestFit="1" customWidth="1"/>
    <col min="8" max="8" width="17.109375" bestFit="1" customWidth="1"/>
    <col min="9" max="9" width="12.6640625" bestFit="1" customWidth="1"/>
    <col min="10" max="11" width="10.6640625" bestFit="1" customWidth="1"/>
    <col min="12" max="12" width="16.77734375" bestFit="1" customWidth="1"/>
    <col min="13" max="13" width="78.33203125" bestFit="1" customWidth="1"/>
    <col min="26" max="26" width="10.109375" bestFit="1" customWidth="1"/>
  </cols>
  <sheetData>
    <row r="1" spans="1:26" ht="19.95" customHeight="1" x14ac:dyDescent="0.3">
      <c r="A1" s="1926" t="s">
        <v>4798</v>
      </c>
      <c r="B1" s="1728"/>
      <c r="C1" s="1728"/>
      <c r="D1" s="1728"/>
      <c r="E1" s="1728"/>
      <c r="F1" s="1728"/>
      <c r="G1" s="1728"/>
      <c r="H1" s="1728"/>
      <c r="I1" s="1728"/>
      <c r="J1" s="1728"/>
      <c r="K1" s="1728"/>
      <c r="L1" s="1728"/>
      <c r="M1" s="1728"/>
      <c r="N1" s="1728"/>
      <c r="O1" s="1728"/>
      <c r="P1" s="1728"/>
      <c r="Q1" s="1728"/>
      <c r="R1" s="1728"/>
      <c r="S1" s="1728"/>
      <c r="T1" s="1728"/>
      <c r="U1" s="1728"/>
      <c r="V1" s="1728"/>
      <c r="W1" s="1728"/>
      <c r="X1" s="1728"/>
      <c r="Y1" s="1728"/>
      <c r="Z1" s="1728"/>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473"/>
      <c r="N2" s="473"/>
      <c r="O2" s="473"/>
      <c r="P2" s="473"/>
      <c r="Q2" s="473"/>
      <c r="R2" s="473"/>
      <c r="S2" s="473"/>
      <c r="T2" s="473"/>
      <c r="U2" s="473"/>
      <c r="V2" s="473"/>
      <c r="W2" s="473"/>
      <c r="X2" s="473"/>
      <c r="Y2" s="473"/>
      <c r="Z2" s="473"/>
    </row>
    <row r="3" spans="1:26" ht="19.95" customHeight="1" thickBot="1" x14ac:dyDescent="0.35">
      <c r="A3" s="1714" t="s">
        <v>4073</v>
      </c>
      <c r="B3" s="1714"/>
      <c r="C3" s="1714"/>
      <c r="D3" s="1714"/>
      <c r="E3" s="1714"/>
      <c r="F3" s="1714"/>
      <c r="G3" s="1714"/>
      <c r="H3" s="1714"/>
      <c r="I3" s="1714"/>
      <c r="J3" s="1714"/>
      <c r="K3" s="1714"/>
      <c r="L3" s="1714"/>
      <c r="M3" s="1714"/>
      <c r="N3" s="1714"/>
      <c r="O3" s="1714"/>
      <c r="P3" s="1714"/>
      <c r="Q3" s="1714"/>
      <c r="R3" s="1714"/>
      <c r="S3" s="1714"/>
      <c r="T3" s="1714"/>
      <c r="U3" s="1714"/>
      <c r="V3" s="1714"/>
      <c r="W3" s="1714"/>
      <c r="X3" s="1714"/>
      <c r="Y3" s="1714"/>
      <c r="Z3" s="1714"/>
    </row>
    <row r="4" spans="1:26" ht="19.95" customHeight="1" thickTop="1" x14ac:dyDescent="0.3">
      <c r="A4" s="1684" t="s">
        <v>2359</v>
      </c>
      <c r="B4" s="1685"/>
      <c r="C4" s="1685"/>
      <c r="D4" s="1685"/>
      <c r="E4" s="1685"/>
      <c r="F4" s="1685"/>
      <c r="G4" s="1685"/>
      <c r="H4" s="1685"/>
      <c r="I4" s="1685"/>
      <c r="J4" s="1685"/>
      <c r="K4" s="1685"/>
      <c r="L4" s="1685"/>
      <c r="M4" s="1685"/>
      <c r="N4" s="1685"/>
      <c r="O4" s="1685"/>
      <c r="P4" s="1685"/>
      <c r="Q4" s="1685"/>
      <c r="R4" s="1685"/>
      <c r="S4" s="1685"/>
      <c r="T4" s="1685"/>
      <c r="U4" s="1685"/>
      <c r="V4" s="1685"/>
      <c r="W4" s="1685"/>
      <c r="X4" s="1685"/>
      <c r="Y4" s="1685"/>
      <c r="Z4" s="1729"/>
    </row>
    <row r="5" spans="1:26" ht="30" customHeight="1" x14ac:dyDescent="0.3">
      <c r="A5" s="1071" t="s">
        <v>673</v>
      </c>
      <c r="B5" s="414" t="s">
        <v>2360</v>
      </c>
      <c r="C5" s="184" t="s">
        <v>2361</v>
      </c>
      <c r="D5" s="184"/>
      <c r="E5" s="1168" t="s">
        <v>2362</v>
      </c>
      <c r="F5" s="184" t="s">
        <v>2363</v>
      </c>
      <c r="G5" s="184"/>
      <c r="H5" s="184" t="s">
        <v>2364</v>
      </c>
      <c r="I5" s="184" t="s">
        <v>2365</v>
      </c>
      <c r="J5" s="184"/>
      <c r="K5" s="184"/>
      <c r="L5" s="184"/>
      <c r="M5" s="184"/>
      <c r="N5" s="184"/>
      <c r="O5" s="184"/>
      <c r="P5" s="184"/>
      <c r="Q5" s="184"/>
      <c r="R5" s="184"/>
      <c r="S5" s="184"/>
      <c r="T5" s="184"/>
      <c r="U5" s="184"/>
      <c r="V5" s="184"/>
      <c r="W5" s="184"/>
      <c r="X5" s="184"/>
      <c r="Y5" s="184"/>
      <c r="Z5" s="928"/>
    </row>
    <row r="6" spans="1:26" s="11" customFormat="1" ht="37.950000000000003" customHeight="1" x14ac:dyDescent="0.3">
      <c r="A6" s="1071" t="s">
        <v>2366</v>
      </c>
      <c r="B6" s="1180">
        <f>AVERAGE(K10:K29)</f>
        <v>0.78000000000000014</v>
      </c>
      <c r="C6" s="1169" t="str">
        <f>IF(B6&gt;=0.8,"🟢 TRANSPARENTE (&gt;80%)",IF(B6&gt;=0.5,"🟡 PARCIALMENTE OPACO (50-79%)","🔴 OPACO CRÍTICO (&lt;50%))"))</f>
        <v>🟡 PARCIALMENTE OPACO (50-79%)</v>
      </c>
      <c r="D6" s="139"/>
      <c r="E6" s="278" t="str">
        <f>IF(MIN(COUNTIF(E10:E29,1),COUNTIF(F10:F29,1),COUNTIF(G10:G29,1),COUNTIF(H10:H29,1),COUNTIF(I10:I29,1))=COUNTIF(E10:E29,1),"k — Planes",IF(MIN(COUNTIF(E10:E29,1),COUNTIF(F10:F29,1),COUNTIF(G10:G29,1),COUNTIF(H10:H29,1),COUNTIF(I10:I29,1))=COUNTIF(F10:F29,1),"i — Contratos",IF(MIN(COUNTIF(E10:E29,1),COUNTIF(F10:F29,1),COUNTIF(G10:G29,1),COUNTIF(H10:H29,1),COUNTIF(I10:I29,1))=COUNTIF(G10:G29,1),"g — Presupuesto",IF(MIN(COUNTIF(E10:E29,1),COUNTIF(F10:F29,1),COUNTIF(G10:G29,1),COUNTIF(H10:H29,1),COUNTIF(I10:I29,1))=COUNTIF(H10:H29,1),"m — Metas/RDC","d — Encuesta"))))</f>
        <v>i — Contratos</v>
      </c>
      <c r="F6" s="279" t="str">
        <f>MIN(COUNTIF(E10:E29,1),COUNTIF(F10:F29,1),COUNTIF(G10:G29,1),COUNTIF(H10:H29,1),COUNTIF(I10:I29,1))&amp;" de 20 metas"</f>
        <v>10 de 20 metas</v>
      </c>
      <c r="G6" s="139"/>
      <c r="H6" s="278">
        <f>INDEX(D10:D29,MATCH(MIN(K10:K29),K10:K29,0))</f>
        <v>0</v>
      </c>
      <c r="I6" s="278" t="str">
        <f>TEXT(MIN(K10:K29),"0.0%")</f>
        <v>20%</v>
      </c>
      <c r="J6" s="139"/>
      <c r="K6" s="139"/>
      <c r="L6" s="139"/>
      <c r="M6" s="139"/>
      <c r="N6" s="139"/>
      <c r="O6" s="139"/>
      <c r="P6" s="139"/>
      <c r="Q6" s="139"/>
      <c r="R6" s="139"/>
      <c r="S6" s="139"/>
      <c r="T6" s="139"/>
      <c r="U6" s="139"/>
      <c r="V6" s="139"/>
      <c r="W6" s="139"/>
      <c r="X6" s="139"/>
      <c r="Y6" s="139"/>
      <c r="Z6" s="985"/>
    </row>
    <row r="7" spans="1:26" s="11" customFormat="1" ht="37.950000000000003" customHeight="1" x14ac:dyDescent="0.3">
      <c r="A7" s="1071" t="s">
        <v>2367</v>
      </c>
      <c r="B7" s="1181" t="s">
        <v>2368</v>
      </c>
      <c r="C7" s="276" t="str">
        <f>COUNTIF(E10:E29,1)&amp;"/20"</f>
        <v>19/20</v>
      </c>
      <c r="D7" s="280" t="s">
        <v>2369</v>
      </c>
      <c r="E7" s="276" t="str">
        <f>COUNTIF(F10:F29,1)&amp;"/20"</f>
        <v>10/20</v>
      </c>
      <c r="F7" s="280" t="s">
        <v>2370</v>
      </c>
      <c r="G7" s="276" t="str">
        <f>COUNTIF(G10:G29,1)&amp;"/20"</f>
        <v>17/20</v>
      </c>
      <c r="H7" s="280" t="s">
        <v>2371</v>
      </c>
      <c r="I7" s="276" t="str">
        <f>COUNTIF(H10:H29,1)&amp;"/20"</f>
        <v>19/20</v>
      </c>
      <c r="J7" s="280" t="s">
        <v>2372</v>
      </c>
      <c r="K7" s="276" t="str">
        <f>COUNTIF(I10:I29,1)&amp;"/20"</f>
        <v>13/20</v>
      </c>
      <c r="L7" s="281" t="s">
        <v>2373</v>
      </c>
      <c r="M7" s="282" t="str">
        <f>COUNTIF(K10:K29,1)&amp;" metas"</f>
        <v>5 metas</v>
      </c>
      <c r="N7" s="221"/>
      <c r="O7" s="221"/>
      <c r="P7" s="221"/>
      <c r="Q7" s="221"/>
      <c r="R7" s="221"/>
      <c r="S7" s="221"/>
      <c r="T7" s="221"/>
      <c r="U7" s="221"/>
      <c r="V7" s="221"/>
      <c r="W7" s="221"/>
      <c r="X7" s="221"/>
      <c r="Y7" s="221"/>
      <c r="Z7" s="986"/>
    </row>
    <row r="8" spans="1:26" s="11" customFormat="1" ht="19.95" customHeight="1" x14ac:dyDescent="0.3">
      <c r="A8" s="1715" t="s">
        <v>2374</v>
      </c>
      <c r="B8" s="1716"/>
      <c r="C8" s="1716"/>
      <c r="D8" s="1716"/>
      <c r="E8" s="1716"/>
      <c r="F8" s="1716"/>
      <c r="G8" s="1716"/>
      <c r="H8" s="1716"/>
      <c r="I8" s="1716"/>
      <c r="J8" s="1716"/>
      <c r="K8" s="1716"/>
      <c r="L8" s="1716"/>
      <c r="M8" s="1716"/>
      <c r="N8" s="1716"/>
      <c r="O8" s="1716"/>
      <c r="P8" s="1716"/>
      <c r="Q8" s="1716"/>
      <c r="R8" s="1716"/>
      <c r="S8" s="1716"/>
      <c r="T8" s="1716"/>
      <c r="U8" s="1716"/>
      <c r="V8" s="1716"/>
      <c r="W8" s="1716"/>
      <c r="X8" s="1716"/>
      <c r="Y8" s="1716"/>
      <c r="Z8" s="1717"/>
    </row>
    <row r="9" spans="1:26" s="18" customFormat="1" ht="37.950000000000003" customHeight="1" x14ac:dyDescent="0.3">
      <c r="A9" s="1071" t="s">
        <v>863</v>
      </c>
      <c r="B9" s="1182" t="s">
        <v>28</v>
      </c>
      <c r="C9" s="230" t="s">
        <v>2375</v>
      </c>
      <c r="D9" s="230" t="s">
        <v>2376</v>
      </c>
      <c r="E9" s="230" t="s">
        <v>2377</v>
      </c>
      <c r="F9" s="230" t="s">
        <v>2378</v>
      </c>
      <c r="G9" s="230" t="s">
        <v>2379</v>
      </c>
      <c r="H9" s="230" t="s">
        <v>2380</v>
      </c>
      <c r="I9" s="230" t="s">
        <v>2381</v>
      </c>
      <c r="J9" s="230" t="s">
        <v>2382</v>
      </c>
      <c r="K9" s="230" t="s">
        <v>2383</v>
      </c>
      <c r="L9" s="230" t="s">
        <v>2384</v>
      </c>
      <c r="M9" s="230" t="s">
        <v>2385</v>
      </c>
      <c r="N9" s="283"/>
      <c r="O9" s="283"/>
      <c r="P9" s="283"/>
      <c r="Q9" s="283"/>
      <c r="R9" s="283"/>
      <c r="S9" s="283"/>
      <c r="T9" s="283"/>
      <c r="U9" s="283"/>
      <c r="V9" s="283"/>
      <c r="W9" s="283"/>
      <c r="X9" s="283"/>
      <c r="Y9" s="283"/>
      <c r="Z9" s="1174"/>
    </row>
    <row r="10" spans="1:26" s="11" customFormat="1" ht="37.950000000000003" customHeight="1" x14ac:dyDescent="0.3">
      <c r="A10" s="1072" t="str">
        <f>'M4-AUDIT'!A3</f>
        <v>#</v>
      </c>
      <c r="B10" s="1183">
        <f>'M4-AUDIT'!B3</f>
        <v>0</v>
      </c>
      <c r="C10" s="284">
        <f>'M4-AUDIT'!D3</f>
        <v>0</v>
      </c>
      <c r="D10" s="285">
        <f>IFERROR(_xlfn.XLOOKUP(A10,'M3-MAO'!A$3:A$23,'M3-MAO'!C$3:C$23,"Sin asignar"),IFERROR(INDEX('M3-MAO'!C$3:C$23,MATCH(A10,'M3-MAO'!A$3:A$23,0)),"Sin asignar"))</f>
        <v>0</v>
      </c>
      <c r="E10" s="284">
        <f>MAX('M4-AUDIT'!Q3,'M4-AUDIT'!R3)</f>
        <v>0</v>
      </c>
      <c r="F10" s="284">
        <f>IF('M4-AUDIT'!S3&gt;0,1,0)</f>
        <v>0</v>
      </c>
      <c r="G10" s="284">
        <f>IF('M4-AUDIT'!T3&gt;0,1,0)</f>
        <v>0</v>
      </c>
      <c r="H10" s="284">
        <f>MAX('M4-AUDIT'!U3,'M4-AUDIT'!V3)</f>
        <v>0</v>
      </c>
      <c r="I10" s="277">
        <v>1</v>
      </c>
      <c r="J10" s="277">
        <f t="shared" ref="J10:J29" si="0">E10+F10+G10+H10+I10</f>
        <v>1</v>
      </c>
      <c r="K10" s="277">
        <f t="shared" ref="K10:K29" si="1">J10/5</f>
        <v>0.2</v>
      </c>
      <c r="L10" s="246" t="str">
        <f t="shared" ref="L10:L29" si="2">IF(K10&gt;=0.8,"🟢 TRANSPARENTE",IF(K10&gt;=0.5,"🟡 PARCIAL","🔴 OPACO"))</f>
        <v>🔴 OPACO</v>
      </c>
      <c r="M10" s="285" t="str">
        <f t="shared" ref="M10:M29" si="3">IF(E10=0,"⚠ Sin Planes publicados. ","")&amp;IF(F10=0,"⚠ Sin Contratos en SERCOP. ","")&amp;IF(G10=0,"⚠ Sin Presupuesto devengado. ","")&amp;IF(H10=0,"⚠ Sin Metas en SIGAD/RDC. ","")&amp;IF(I10=0,"⚠ Encuesta no publicada. ","")&amp;IF(K10=1,"✅ 100% Literal Art.7 cumplido","")</f>
        <v xml:space="preserve">⚠ Sin Planes publicados. ⚠ Sin Contratos en SERCOP. ⚠ Sin Presupuesto devengado. ⚠ Sin Metas en SIGAD/RDC. </v>
      </c>
      <c r="N10" s="139"/>
      <c r="O10" s="139"/>
      <c r="P10" s="139"/>
      <c r="Q10" s="139"/>
      <c r="R10" s="139"/>
      <c r="S10" s="139"/>
      <c r="T10" s="139"/>
      <c r="U10" s="139"/>
      <c r="V10" s="139"/>
      <c r="W10" s="139"/>
      <c r="X10" s="139"/>
      <c r="Y10" s="139"/>
      <c r="Z10" s="985"/>
    </row>
    <row r="11" spans="1:26" s="11" customFormat="1" ht="37.950000000000003" customHeight="1" x14ac:dyDescent="0.3">
      <c r="A11" s="1072" t="str">
        <f>'M4-AUDIT'!A5</f>
        <v>PDOT.AM.OE3.M2.01</v>
      </c>
      <c r="B11" s="1184" t="str">
        <f>'M4-AUDIT'!B5</f>
        <v>TERRITORIAL</v>
      </c>
      <c r="C11" s="286" t="str">
        <f>'M4-AUDIT'!D5</f>
        <v>Obras Públicas / Alcantar.</v>
      </c>
      <c r="D11" s="286" t="str">
        <f>IFERROR(_xlfn.XLOOKUP(A11,'M3-MAO'!A$3:A$23,'M3-MAO'!C$3:C$23,"Sin asignar"),IFERROR(INDEX('M3-MAO'!C$3:C$23,MATCH(A11,'M3-MAO'!A$3:A$23,0)),"Sin asignar"))</f>
        <v>EP Aseo Integral Montecristi</v>
      </c>
      <c r="E11" s="287">
        <f>MAX('M4-AUDIT'!Q5,'M4-AUDIT'!R5)</f>
        <v>1</v>
      </c>
      <c r="F11" s="287">
        <f>IF('M4-AUDIT'!S5&gt;0,1,0)</f>
        <v>1</v>
      </c>
      <c r="G11" s="287">
        <f>IF('M4-AUDIT'!T5&gt;0,1,0)</f>
        <v>1</v>
      </c>
      <c r="H11" s="287">
        <f>MAX('M4-AUDIT'!U5,'M4-AUDIT'!V5)</f>
        <v>1</v>
      </c>
      <c r="I11" s="288">
        <v>1</v>
      </c>
      <c r="J11" s="288">
        <f t="shared" si="0"/>
        <v>5</v>
      </c>
      <c r="K11" s="288">
        <f t="shared" si="1"/>
        <v>1</v>
      </c>
      <c r="L11" s="289" t="str">
        <f t="shared" si="2"/>
        <v>🟢 TRANSPARENTE</v>
      </c>
      <c r="M11" s="1170" t="str">
        <f t="shared" si="3"/>
        <v>✅ 100% Literal Art.7 cumplido</v>
      </c>
      <c r="N11" s="221"/>
      <c r="O11" s="221"/>
      <c r="P11" s="221"/>
      <c r="Q11" s="221"/>
      <c r="R11" s="221"/>
      <c r="S11" s="221"/>
      <c r="T11" s="221"/>
      <c r="U11" s="221"/>
      <c r="V11" s="221"/>
      <c r="W11" s="221"/>
      <c r="X11" s="221"/>
      <c r="Y11" s="221"/>
      <c r="Z11" s="986"/>
    </row>
    <row r="12" spans="1:26" s="11" customFormat="1" ht="37.950000000000003" customHeight="1" x14ac:dyDescent="0.3">
      <c r="A12" s="1072" t="str">
        <f>'M4-AUDIT'!A6</f>
        <v>PDOT.AS.OE1.M2.01</v>
      </c>
      <c r="B12" s="1185" t="str">
        <f>'M4-AUDIT'!B6</f>
        <v>SOCIAL</v>
      </c>
      <c r="C12" s="285" t="str">
        <f>'M4-AUDIT'!D6</f>
        <v>Salud / Planificación</v>
      </c>
      <c r="D12" s="285" t="str">
        <f>IFERROR(_xlfn.XLOOKUP(A12,'M3-MAO'!A$3:A$23,'M3-MAO'!C$3:C$23,"Sin asignar"),IFERROR(INDEX('M3-MAO'!C$3:C$23,MATCH(A12,'M3-MAO'!A$3:A$23,0)),"Sin asignar"))</f>
        <v>Dirección de Planificación y Desarrollo</v>
      </c>
      <c r="E12" s="284">
        <f>MAX('M4-AUDIT'!Q6,'M4-AUDIT'!R6)</f>
        <v>1</v>
      </c>
      <c r="F12" s="284">
        <f>IF('M4-AUDIT'!S6&gt;0,1,0)</f>
        <v>1</v>
      </c>
      <c r="G12" s="284">
        <f>IF('M4-AUDIT'!T6&gt;0,1,0)</f>
        <v>1</v>
      </c>
      <c r="H12" s="284">
        <f>MAX('M4-AUDIT'!U6,'M4-AUDIT'!V6)</f>
        <v>1</v>
      </c>
      <c r="I12" s="277">
        <v>0</v>
      </c>
      <c r="J12" s="277">
        <f t="shared" si="0"/>
        <v>4</v>
      </c>
      <c r="K12" s="277">
        <f t="shared" si="1"/>
        <v>0.8</v>
      </c>
      <c r="L12" s="290" t="str">
        <f t="shared" si="2"/>
        <v>🟢 TRANSPARENTE</v>
      </c>
      <c r="M12" s="285" t="str">
        <f t="shared" si="3"/>
        <v xml:space="preserve">⚠ Encuesta no publicada. </v>
      </c>
      <c r="N12" s="139"/>
      <c r="O12" s="139"/>
      <c r="P12" s="139"/>
      <c r="Q12" s="139"/>
      <c r="R12" s="139"/>
      <c r="S12" s="139"/>
      <c r="T12" s="139"/>
      <c r="U12" s="139"/>
      <c r="V12" s="139"/>
      <c r="W12" s="139"/>
      <c r="X12" s="139"/>
      <c r="Y12" s="139"/>
      <c r="Z12" s="985"/>
    </row>
    <row r="13" spans="1:26" s="11" customFormat="1" ht="37.950000000000003" customHeight="1" x14ac:dyDescent="0.3">
      <c r="A13" s="1072" t="str">
        <f>'M4-AUDIT'!A7</f>
        <v>PDOT.SC.OE2.M4.01</v>
      </c>
      <c r="B13" s="1184" t="str">
        <f>'M4-AUDIT'!B7</f>
        <v>TERRITORIAL</v>
      </c>
      <c r="C13" s="286" t="str">
        <f>'M4-AUDIT'!D7</f>
        <v>Proyectos Estratégicos</v>
      </c>
      <c r="D13" s="286" t="str">
        <f>IFERROR(_xlfn.XLOOKUP(A13,'M3-MAO'!A$3:A$23,'M3-MAO'!C$3:C$23,"Sin asignar"),IFERROR(INDEX('M3-MAO'!C$3:C$23,MATCH(A13,'M3-MAO'!A$3:A$23,0)),"Sin asignar"))</f>
        <v>Patronato Municipal de Amparo Social</v>
      </c>
      <c r="E13" s="287">
        <f>MAX('M4-AUDIT'!Q7,'M4-AUDIT'!R7)</f>
        <v>1</v>
      </c>
      <c r="F13" s="287">
        <f>IF('M4-AUDIT'!S7&gt;0,1,0)</f>
        <v>1</v>
      </c>
      <c r="G13" s="287">
        <f>IF('M4-AUDIT'!T7&gt;0,1,0)</f>
        <v>1</v>
      </c>
      <c r="H13" s="287">
        <f>MAX('M4-AUDIT'!U7,'M4-AUDIT'!V7)</f>
        <v>1</v>
      </c>
      <c r="I13" s="288">
        <v>1</v>
      </c>
      <c r="J13" s="288">
        <f t="shared" si="0"/>
        <v>5</v>
      </c>
      <c r="K13" s="288">
        <f t="shared" si="1"/>
        <v>1</v>
      </c>
      <c r="L13" s="289" t="str">
        <f t="shared" si="2"/>
        <v>🟢 TRANSPARENTE</v>
      </c>
      <c r="M13" s="1170" t="str">
        <f t="shared" si="3"/>
        <v>✅ 100% Literal Art.7 cumplido</v>
      </c>
      <c r="N13" s="221"/>
      <c r="O13" s="221"/>
      <c r="P13" s="221"/>
      <c r="Q13" s="221"/>
      <c r="R13" s="221"/>
      <c r="S13" s="221"/>
      <c r="T13" s="221"/>
      <c r="U13" s="221"/>
      <c r="V13" s="221"/>
      <c r="W13" s="221"/>
      <c r="X13" s="221"/>
      <c r="Y13" s="221"/>
      <c r="Z13" s="986"/>
    </row>
    <row r="14" spans="1:26" s="11" customFormat="1" ht="37.950000000000003" customHeight="1" x14ac:dyDescent="0.3">
      <c r="A14" s="1072" t="str">
        <f>'M4-AUDIT'!A8</f>
        <v>PDOT.AS.OE1.M1.02</v>
      </c>
      <c r="B14" s="1185" t="str">
        <f>'M4-AUDIT'!B8</f>
        <v>TERRITORIAL</v>
      </c>
      <c r="C14" s="285" t="str">
        <f>'M4-AUDIT'!D8</f>
        <v>Servicios Públicos</v>
      </c>
      <c r="D14" s="285" t="str">
        <f>IFERROR(_xlfn.XLOOKUP(A14,'M3-MAO'!A$3:A$23,'M3-MAO'!C$3:C$23,"Sin asignar"),IFERROR(INDEX('M3-MAO'!C$3:C$23,MATCH(A14,'M3-MAO'!A$3:A$23,0)),"Sin asignar"))</f>
        <v>Dirección de Obras Públicas</v>
      </c>
      <c r="E14" s="284">
        <f>MAX('M4-AUDIT'!Q8,'M4-AUDIT'!R8)</f>
        <v>1</v>
      </c>
      <c r="F14" s="284">
        <f>IF('M4-AUDIT'!S8&gt;0,1,0)</f>
        <v>1</v>
      </c>
      <c r="G14" s="284">
        <f>IF('M4-AUDIT'!T8&gt;0,1,0)</f>
        <v>0</v>
      </c>
      <c r="H14" s="284">
        <f>MAX('M4-AUDIT'!U8,'M4-AUDIT'!V8)</f>
        <v>1</v>
      </c>
      <c r="I14" s="277">
        <v>0</v>
      </c>
      <c r="J14" s="277">
        <f t="shared" si="0"/>
        <v>3</v>
      </c>
      <c r="K14" s="277">
        <f t="shared" si="1"/>
        <v>0.6</v>
      </c>
      <c r="L14" s="1171" t="str">
        <f t="shared" si="2"/>
        <v>🟡 PARCIAL</v>
      </c>
      <c r="M14" s="285" t="str">
        <f t="shared" si="3"/>
        <v xml:space="preserve">⚠ Sin Presupuesto devengado. ⚠ Encuesta no publicada. </v>
      </c>
      <c r="N14" s="139"/>
      <c r="O14" s="139"/>
      <c r="P14" s="139"/>
      <c r="Q14" s="139"/>
      <c r="R14" s="139"/>
      <c r="S14" s="139"/>
      <c r="T14" s="139"/>
      <c r="U14" s="139"/>
      <c r="V14" s="139"/>
      <c r="W14" s="139"/>
      <c r="X14" s="139"/>
      <c r="Y14" s="139"/>
      <c r="Z14" s="985"/>
    </row>
    <row r="15" spans="1:26" s="11" customFormat="1" ht="37.950000000000003" customHeight="1" x14ac:dyDescent="0.3">
      <c r="A15" s="1072" t="str">
        <f>'M4-AUDIT'!A9</f>
        <v>PDOT.PI.OE4.M1.01</v>
      </c>
      <c r="B15" s="1184" t="str">
        <f>'M4-AUDIT'!B9</f>
        <v>SOCIAL</v>
      </c>
      <c r="C15" s="286" t="str">
        <f>'M4-AUDIT'!D9</f>
        <v>Desarrollo Social</v>
      </c>
      <c r="D15" s="286" t="str">
        <f>IFERROR(_xlfn.XLOOKUP(A15,'M3-MAO'!A$3:A$23,'M3-MAO'!C$3:C$23,"Sin asignar"),IFERROR(INDEX('M3-MAO'!C$3:C$23,MATCH(A15,'M3-MAO'!A$3:A$23,0)),"Sin asignar"))</f>
        <v>Dirección de Tecnología e Información</v>
      </c>
      <c r="E15" s="287">
        <f>MAX('M4-AUDIT'!Q9,'M4-AUDIT'!R9)</f>
        <v>1</v>
      </c>
      <c r="F15" s="287">
        <f>IF('M4-AUDIT'!S9&gt;0,1,0)</f>
        <v>1</v>
      </c>
      <c r="G15" s="287">
        <f>IF('M4-AUDIT'!T9&gt;0,1,0)</f>
        <v>1</v>
      </c>
      <c r="H15" s="287">
        <f>MAX('M4-AUDIT'!U9,'M4-AUDIT'!V9)</f>
        <v>1</v>
      </c>
      <c r="I15" s="288">
        <v>1</v>
      </c>
      <c r="J15" s="288">
        <f t="shared" si="0"/>
        <v>5</v>
      </c>
      <c r="K15" s="288">
        <f t="shared" si="1"/>
        <v>1</v>
      </c>
      <c r="L15" s="289" t="str">
        <f t="shared" si="2"/>
        <v>🟢 TRANSPARENTE</v>
      </c>
      <c r="M15" s="1170" t="str">
        <f t="shared" si="3"/>
        <v>✅ 100% Literal Art.7 cumplido</v>
      </c>
      <c r="N15" s="221"/>
      <c r="O15" s="221"/>
      <c r="P15" s="221"/>
      <c r="Q15" s="221"/>
      <c r="R15" s="221"/>
      <c r="S15" s="221"/>
      <c r="T15" s="221"/>
      <c r="U15" s="221"/>
      <c r="V15" s="221"/>
      <c r="W15" s="221"/>
      <c r="X15" s="221"/>
      <c r="Y15" s="221"/>
      <c r="Z15" s="986"/>
    </row>
    <row r="16" spans="1:26" s="11" customFormat="1" ht="37.950000000000003" customHeight="1" x14ac:dyDescent="0.3">
      <c r="A16" s="1072" t="str">
        <f>'M4-AUDIT'!A10</f>
        <v>PDOT.AV.OE1.M1.01</v>
      </c>
      <c r="B16" s="1185" t="str">
        <f>'M4-AUDIT'!B10</f>
        <v>TERRITORIAL</v>
      </c>
      <c r="C16" s="285" t="str">
        <f>'M4-AUDIT'!D10</f>
        <v>Obras Públicas / Vialidad</v>
      </c>
      <c r="D16" s="285" t="str">
        <f>IFERROR(_xlfn.XLOOKUP(A16,'M3-MAO'!A$3:A$23,'M3-MAO'!C$3:C$23,"Sin asignar"),IFERROR(INDEX('M3-MAO'!C$3:C$23,MATCH(A16,'M3-MAO'!A$3:A$23,0)),"Sin asignar"))</f>
        <v>Dirección de Obras Públicas</v>
      </c>
      <c r="E16" s="284">
        <f>MAX('M4-AUDIT'!Q10,'M4-AUDIT'!R10)</f>
        <v>1</v>
      </c>
      <c r="F16" s="284">
        <f>IF('M4-AUDIT'!S10&gt;0,1,0)</f>
        <v>1</v>
      </c>
      <c r="G16" s="284">
        <f>IF('M4-AUDIT'!T10&gt;0,1,0)</f>
        <v>1</v>
      </c>
      <c r="H16" s="284">
        <f>MAX('M4-AUDIT'!U10,'M4-AUDIT'!V10)</f>
        <v>1</v>
      </c>
      <c r="I16" s="277">
        <v>1</v>
      </c>
      <c r="J16" s="277">
        <f t="shared" si="0"/>
        <v>5</v>
      </c>
      <c r="K16" s="277">
        <f t="shared" si="1"/>
        <v>1</v>
      </c>
      <c r="L16" s="290" t="str">
        <f t="shared" si="2"/>
        <v>🟢 TRANSPARENTE</v>
      </c>
      <c r="M16" s="1172" t="str">
        <f t="shared" si="3"/>
        <v>✅ 100% Literal Art.7 cumplido</v>
      </c>
      <c r="N16" s="139"/>
      <c r="O16" s="139"/>
      <c r="P16" s="139"/>
      <c r="Q16" s="139"/>
      <c r="R16" s="139"/>
      <c r="S16" s="139"/>
      <c r="T16" s="139"/>
      <c r="U16" s="139"/>
      <c r="V16" s="139"/>
      <c r="W16" s="139"/>
      <c r="X16" s="139"/>
      <c r="Y16" s="139"/>
      <c r="Z16" s="985"/>
    </row>
    <row r="17" spans="1:26" s="11" customFormat="1" ht="37.950000000000003" customHeight="1" x14ac:dyDescent="0.3">
      <c r="A17" s="1072" t="str">
        <f>'M4-AUDIT'!A11</f>
        <v>PDOT.AM.OE3.M1.01</v>
      </c>
      <c r="B17" s="1184" t="str">
        <f>'M4-AUDIT'!B11</f>
        <v>SOCIAL</v>
      </c>
      <c r="C17" s="286" t="str">
        <f>'M4-AUDIT'!D11</f>
        <v>Salud</v>
      </c>
      <c r="D17" s="286" t="str">
        <f>IFERROR(_xlfn.XLOOKUP(A17,'M3-MAO'!A$3:A$23,'M3-MAO'!C$3:C$23,"Sin asignar"),IFERROR(INDEX('M3-MAO'!C$3:C$23,MATCH(A17,'M3-MAO'!A$3:A$23,0)),"Sin asignar"))</f>
        <v>Unidad de Gestión Ambiental GAD</v>
      </c>
      <c r="E17" s="287">
        <f>MAX('M4-AUDIT'!Q11,'M4-AUDIT'!R11)</f>
        <v>1</v>
      </c>
      <c r="F17" s="287">
        <f>IF('M4-AUDIT'!S11&gt;0,1,0)</f>
        <v>1</v>
      </c>
      <c r="G17" s="287">
        <f>IF('M4-AUDIT'!T11&gt;0,1,0)</f>
        <v>0</v>
      </c>
      <c r="H17" s="287">
        <f>MAX('M4-AUDIT'!U11,'M4-AUDIT'!V11)</f>
        <v>1</v>
      </c>
      <c r="I17" s="288">
        <v>0</v>
      </c>
      <c r="J17" s="288">
        <f t="shared" si="0"/>
        <v>3</v>
      </c>
      <c r="K17" s="288">
        <f t="shared" si="1"/>
        <v>0.6</v>
      </c>
      <c r="L17" s="1173" t="str">
        <f t="shared" si="2"/>
        <v>🟡 PARCIAL</v>
      </c>
      <c r="M17" s="286" t="str">
        <f t="shared" si="3"/>
        <v xml:space="preserve">⚠ Sin Presupuesto devengado. ⚠ Encuesta no publicada. </v>
      </c>
      <c r="N17" s="221"/>
      <c r="O17" s="221"/>
      <c r="P17" s="221"/>
      <c r="Q17" s="221"/>
      <c r="R17" s="221"/>
      <c r="S17" s="221"/>
      <c r="T17" s="221"/>
      <c r="U17" s="221"/>
      <c r="V17" s="221"/>
      <c r="W17" s="221"/>
      <c r="X17" s="221"/>
      <c r="Y17" s="221"/>
      <c r="Z17" s="986"/>
    </row>
    <row r="18" spans="1:26" s="11" customFormat="1" ht="37.950000000000003" customHeight="1" x14ac:dyDescent="0.3">
      <c r="A18" s="1072" t="str">
        <f>'M4-AUDIT'!A12</f>
        <v>PDOT.FA.OE4.AH.02</v>
      </c>
      <c r="B18" s="1185" t="str">
        <f>'M4-AUDIT'!B12</f>
        <v>AMBIENTAL</v>
      </c>
      <c r="C18" s="285" t="str">
        <f>'M4-AUDIT'!D12</f>
        <v>Gestión Ambiental</v>
      </c>
      <c r="D18" s="285" t="str">
        <f>IFERROR(_xlfn.XLOOKUP(A18,'M3-MAO'!A$3:A$23,'M3-MAO'!C$3:C$23,"Sin asignar"),IFERROR(INDEX('M3-MAO'!C$3:C$23,MATCH(A18,'M3-MAO'!A$3:A$23,0)),"Sin asignar"))</f>
        <v>Sin asignar</v>
      </c>
      <c r="E18" s="284">
        <f>MAX('M4-AUDIT'!Q12,'M4-AUDIT'!R12)</f>
        <v>1</v>
      </c>
      <c r="F18" s="284">
        <f>IF('M4-AUDIT'!S12&gt;0,1,0)</f>
        <v>0</v>
      </c>
      <c r="G18" s="284">
        <f>IF('M4-AUDIT'!T12&gt;0,1,0)</f>
        <v>1</v>
      </c>
      <c r="H18" s="284">
        <f>MAX('M4-AUDIT'!U12,'M4-AUDIT'!V12)</f>
        <v>1</v>
      </c>
      <c r="I18" s="277">
        <v>0</v>
      </c>
      <c r="J18" s="277">
        <f t="shared" si="0"/>
        <v>3</v>
      </c>
      <c r="K18" s="277">
        <f t="shared" si="1"/>
        <v>0.6</v>
      </c>
      <c r="L18" s="1171" t="str">
        <f t="shared" si="2"/>
        <v>🟡 PARCIAL</v>
      </c>
      <c r="M18" s="285" t="str">
        <f t="shared" si="3"/>
        <v xml:space="preserve">⚠ Sin Contratos en SERCOP. ⚠ Encuesta no publicada. </v>
      </c>
      <c r="N18" s="139"/>
      <c r="O18" s="139"/>
      <c r="P18" s="139"/>
      <c r="Q18" s="139"/>
      <c r="R18" s="139"/>
      <c r="S18" s="139"/>
      <c r="T18" s="139"/>
      <c r="U18" s="139"/>
      <c r="V18" s="139"/>
      <c r="W18" s="139"/>
      <c r="X18" s="139"/>
      <c r="Y18" s="139"/>
      <c r="Z18" s="985"/>
    </row>
    <row r="19" spans="1:26" s="11" customFormat="1" ht="37.950000000000003" customHeight="1" x14ac:dyDescent="0.3">
      <c r="A19" s="1072" t="str">
        <f>'M4-AUDIT'!A13</f>
        <v>PDOT.FA.OE1.PV.01</v>
      </c>
      <c r="B19" s="1184" t="str">
        <f>'M4-AUDIT'!B13</f>
        <v>TERRITORIAL</v>
      </c>
      <c r="C19" s="286" t="str">
        <f>'M4-AUDIT'!D13</f>
        <v>Parques y Jardines</v>
      </c>
      <c r="D19" s="286" t="str">
        <f>IFERROR(_xlfn.XLOOKUP(A19,'M3-MAO'!A$3:A$23,'M3-MAO'!C$3:C$23,"Sin asignar"),IFERROR(INDEX('M3-MAO'!C$3:C$23,MATCH(A19,'M3-MAO'!A$3:A$23,0)),"Sin asignar"))</f>
        <v>Sin asignar</v>
      </c>
      <c r="E19" s="287">
        <f>MAX('M4-AUDIT'!Q13,'M4-AUDIT'!R13)</f>
        <v>1</v>
      </c>
      <c r="F19" s="287">
        <f>IF('M4-AUDIT'!S13&gt;0,1,0)</f>
        <v>0</v>
      </c>
      <c r="G19" s="287">
        <f>IF('M4-AUDIT'!T13&gt;0,1,0)</f>
        <v>1</v>
      </c>
      <c r="H19" s="287">
        <f>MAX('M4-AUDIT'!U13,'M4-AUDIT'!V13)</f>
        <v>1</v>
      </c>
      <c r="I19" s="288">
        <v>1</v>
      </c>
      <c r="J19" s="288">
        <f t="shared" si="0"/>
        <v>4</v>
      </c>
      <c r="K19" s="288">
        <f t="shared" si="1"/>
        <v>0.8</v>
      </c>
      <c r="L19" s="289" t="str">
        <f t="shared" si="2"/>
        <v>🟢 TRANSPARENTE</v>
      </c>
      <c r="M19" s="286" t="str">
        <f t="shared" si="3"/>
        <v xml:space="preserve">⚠ Sin Contratos en SERCOP. </v>
      </c>
      <c r="N19" s="221"/>
      <c r="O19" s="221"/>
      <c r="P19" s="221"/>
      <c r="Q19" s="221"/>
      <c r="R19" s="221"/>
      <c r="S19" s="221"/>
      <c r="T19" s="221"/>
      <c r="U19" s="221"/>
      <c r="V19" s="221"/>
      <c r="W19" s="221"/>
      <c r="X19" s="221"/>
      <c r="Y19" s="221"/>
      <c r="Z19" s="986"/>
    </row>
    <row r="20" spans="1:26" s="11" customFormat="1" ht="37.950000000000003" customHeight="1" x14ac:dyDescent="0.3">
      <c r="A20" s="1072" t="str">
        <f>'M4-AUDIT'!A14</f>
        <v>PDOT.PI.OE4.M2.01</v>
      </c>
      <c r="B20" s="1185" t="str">
        <f>'M4-AUDIT'!B14</f>
        <v>SOCIAL</v>
      </c>
      <c r="C20" s="285" t="str">
        <f>'M4-AUDIT'!D14</f>
        <v>Desarrollo Social</v>
      </c>
      <c r="D20" s="285" t="str">
        <f>IFERROR(_xlfn.XLOOKUP(A20,'M3-MAO'!A$3:A$23,'M3-MAO'!C$3:C$23,"Sin asignar"),IFERROR(INDEX('M3-MAO'!C$3:C$23,MATCH(A20,'M3-MAO'!A$3:A$23,0)),"Sin asignar"))</f>
        <v>Dirección de Avalúos y Catastros</v>
      </c>
      <c r="E20" s="284">
        <f>MAX('M4-AUDIT'!Q14,'M4-AUDIT'!R14)</f>
        <v>1</v>
      </c>
      <c r="F20" s="284">
        <f>IF('M4-AUDIT'!S14&gt;0,1,0)</f>
        <v>1</v>
      </c>
      <c r="G20" s="284">
        <f>IF('M4-AUDIT'!T14&gt;0,1,0)</f>
        <v>1</v>
      </c>
      <c r="H20" s="284">
        <f>MAX('M4-AUDIT'!U14,'M4-AUDIT'!V14)</f>
        <v>1</v>
      </c>
      <c r="I20" s="277">
        <v>0</v>
      </c>
      <c r="J20" s="277">
        <f t="shared" si="0"/>
        <v>4</v>
      </c>
      <c r="K20" s="277">
        <f t="shared" si="1"/>
        <v>0.8</v>
      </c>
      <c r="L20" s="290" t="str">
        <f t="shared" si="2"/>
        <v>🟢 TRANSPARENTE</v>
      </c>
      <c r="M20" s="285" t="str">
        <f t="shared" si="3"/>
        <v xml:space="preserve">⚠ Encuesta no publicada. </v>
      </c>
      <c r="N20" s="139"/>
      <c r="O20" s="139"/>
      <c r="P20" s="139"/>
      <c r="Q20" s="139"/>
      <c r="R20" s="139"/>
      <c r="S20" s="139"/>
      <c r="T20" s="139"/>
      <c r="U20" s="139"/>
      <c r="V20" s="139"/>
      <c r="W20" s="139"/>
      <c r="X20" s="139"/>
      <c r="Y20" s="139"/>
      <c r="Z20" s="985"/>
    </row>
    <row r="21" spans="1:26" s="11" customFormat="1" ht="37.950000000000003" customHeight="1" x14ac:dyDescent="0.3">
      <c r="A21" s="1072" t="str">
        <f>'M4-AUDIT'!A15</f>
        <v>PDOT.PI.OE4.FI.01</v>
      </c>
      <c r="B21" s="1184" t="str">
        <f>'M4-AUDIT'!B15</f>
        <v>AMBIENTAL</v>
      </c>
      <c r="C21" s="286" t="str">
        <f>'M4-AUDIT'!D15</f>
        <v>Higiene y Salubridad</v>
      </c>
      <c r="D21" s="286" t="str">
        <f>IFERROR(_xlfn.XLOOKUP(A21,'M3-MAO'!A$3:A$23,'M3-MAO'!C$3:C$23,"Sin asignar"),IFERROR(INDEX('M3-MAO'!C$3:C$23,MATCH(A21,'M3-MAO'!A$3:A$23,0)),"Sin asignar"))</f>
        <v>Sin asignar</v>
      </c>
      <c r="E21" s="287">
        <f>MAX('M4-AUDIT'!Q15,'M4-AUDIT'!R15)</f>
        <v>1</v>
      </c>
      <c r="F21" s="287">
        <f>IF('M4-AUDIT'!S15&gt;0,1,0)</f>
        <v>0</v>
      </c>
      <c r="G21" s="287">
        <f>IF('M4-AUDIT'!T15&gt;0,1,0)</f>
        <v>1</v>
      </c>
      <c r="H21" s="287">
        <f>MAX('M4-AUDIT'!U15,'M4-AUDIT'!V15)</f>
        <v>1</v>
      </c>
      <c r="I21" s="288">
        <v>1</v>
      </c>
      <c r="J21" s="288">
        <f t="shared" si="0"/>
        <v>4</v>
      </c>
      <c r="K21" s="288">
        <f t="shared" si="1"/>
        <v>0.8</v>
      </c>
      <c r="L21" s="289" t="str">
        <f t="shared" si="2"/>
        <v>🟢 TRANSPARENTE</v>
      </c>
      <c r="M21" s="286" t="str">
        <f t="shared" si="3"/>
        <v xml:space="preserve">⚠ Sin Contratos en SERCOP. </v>
      </c>
      <c r="N21" s="221"/>
      <c r="O21" s="221"/>
      <c r="P21" s="221"/>
      <c r="Q21" s="221"/>
      <c r="R21" s="221"/>
      <c r="S21" s="221"/>
      <c r="T21" s="221"/>
      <c r="U21" s="221"/>
      <c r="V21" s="221"/>
      <c r="W21" s="221"/>
      <c r="X21" s="221"/>
      <c r="Y21" s="221"/>
      <c r="Z21" s="986"/>
    </row>
    <row r="22" spans="1:26" s="11" customFormat="1" ht="37.950000000000003" customHeight="1" x14ac:dyDescent="0.3">
      <c r="A22" s="1072" t="str">
        <f>'M4-AUDIT'!A16</f>
        <v>PDOT.AS.VV.HB.01</v>
      </c>
      <c r="B22" s="1185" t="str">
        <f>'M4-AUDIT'!B16</f>
        <v>TERRITORIAL</v>
      </c>
      <c r="C22" s="285" t="str">
        <f>'M4-AUDIT'!D16</f>
        <v>Compras Públicas</v>
      </c>
      <c r="D22" s="285" t="str">
        <f>IFERROR(_xlfn.XLOOKUP(A22,'M3-MAO'!A$3:A$23,'M3-MAO'!C$3:C$23,"Sin asignar"),IFERROR(INDEX('M3-MAO'!C$3:C$23,MATCH(A22,'M3-MAO'!A$3:A$23,0)),"Sin asignar"))</f>
        <v>Sin asignar</v>
      </c>
      <c r="E22" s="284">
        <f>MAX('M4-AUDIT'!Q16,'M4-AUDIT'!R16)</f>
        <v>1</v>
      </c>
      <c r="F22" s="284">
        <f>IF('M4-AUDIT'!S16&gt;0,1,0)</f>
        <v>0</v>
      </c>
      <c r="G22" s="284">
        <f>IF('M4-AUDIT'!T16&gt;0,1,0)</f>
        <v>1</v>
      </c>
      <c r="H22" s="284">
        <f>MAX('M4-AUDIT'!U16,'M4-AUDIT'!V16)</f>
        <v>1</v>
      </c>
      <c r="I22" s="277">
        <v>1</v>
      </c>
      <c r="J22" s="277">
        <f t="shared" si="0"/>
        <v>4</v>
      </c>
      <c r="K22" s="277">
        <f t="shared" si="1"/>
        <v>0.8</v>
      </c>
      <c r="L22" s="290" t="str">
        <f t="shared" si="2"/>
        <v>🟢 TRANSPARENTE</v>
      </c>
      <c r="M22" s="285" t="str">
        <f t="shared" si="3"/>
        <v xml:space="preserve">⚠ Sin Contratos en SERCOP. </v>
      </c>
      <c r="N22" s="139"/>
      <c r="O22" s="139"/>
      <c r="P22" s="139"/>
      <c r="Q22" s="139"/>
      <c r="R22" s="139"/>
      <c r="S22" s="139"/>
      <c r="T22" s="139"/>
      <c r="U22" s="139"/>
      <c r="V22" s="139"/>
      <c r="W22" s="139"/>
      <c r="X22" s="139"/>
      <c r="Y22" s="139"/>
      <c r="Z22" s="985"/>
    </row>
    <row r="23" spans="1:26" s="11" customFormat="1" ht="37.950000000000003" customHeight="1" x14ac:dyDescent="0.3">
      <c r="A23" s="1072" t="str">
        <f>'M4-AUDIT'!A17</f>
        <v>PDOT.SC.PA.CP.01</v>
      </c>
      <c r="B23" s="1184" t="str">
        <f>'M4-AUDIT'!B17</f>
        <v>SOCIAL</v>
      </c>
      <c r="C23" s="286" t="str">
        <f>'M4-AUDIT'!D17</f>
        <v>Seguridad / TICS</v>
      </c>
      <c r="D23" s="286" t="str">
        <f>IFERROR(_xlfn.XLOOKUP(A23,'M3-MAO'!A$3:A$23,'M3-MAO'!C$3:C$23,"Sin asignar"),IFERROR(INDEX('M3-MAO'!C$3:C$23,MATCH(A23,'M3-MAO'!A$3:A$23,0)),"Sin asignar"))</f>
        <v>Sin asignar</v>
      </c>
      <c r="E23" s="287">
        <f>MAX('M4-AUDIT'!Q17,'M4-AUDIT'!R17)</f>
        <v>1</v>
      </c>
      <c r="F23" s="287">
        <f>IF('M4-AUDIT'!S17&gt;0,1,0)</f>
        <v>0</v>
      </c>
      <c r="G23" s="287">
        <f>IF('M4-AUDIT'!T17&gt;0,1,0)</f>
        <v>1</v>
      </c>
      <c r="H23" s="287">
        <f>MAX('M4-AUDIT'!U17,'M4-AUDIT'!V17)</f>
        <v>1</v>
      </c>
      <c r="I23" s="288">
        <v>0</v>
      </c>
      <c r="J23" s="288">
        <f t="shared" si="0"/>
        <v>3</v>
      </c>
      <c r="K23" s="288">
        <f t="shared" si="1"/>
        <v>0.6</v>
      </c>
      <c r="L23" s="1173" t="str">
        <f t="shared" si="2"/>
        <v>🟡 PARCIAL</v>
      </c>
      <c r="M23" s="286" t="str">
        <f t="shared" si="3"/>
        <v xml:space="preserve">⚠ Sin Contratos en SERCOP. ⚠ Encuesta no publicada. </v>
      </c>
      <c r="N23" s="221"/>
      <c r="O23" s="221"/>
      <c r="P23" s="221"/>
      <c r="Q23" s="221"/>
      <c r="R23" s="221"/>
      <c r="S23" s="221"/>
      <c r="T23" s="221"/>
      <c r="U23" s="221"/>
      <c r="V23" s="221"/>
      <c r="W23" s="221"/>
      <c r="X23" s="221"/>
      <c r="Y23" s="221"/>
      <c r="Z23" s="986"/>
    </row>
    <row r="24" spans="1:26" s="11" customFormat="1" ht="37.950000000000003" customHeight="1" x14ac:dyDescent="0.3">
      <c r="A24" s="1072" t="str">
        <f>'M4-AUDIT'!A18</f>
        <v>PDOT.EP.OE5.PD.01</v>
      </c>
      <c r="B24" s="1185" t="str">
        <f>'M4-AUDIT'!B18</f>
        <v>INSTITUCIONAL</v>
      </c>
      <c r="C24" s="285" t="str">
        <f>'M4-AUDIT'!D18</f>
        <v>Tecnologías (TICS)</v>
      </c>
      <c r="D24" s="285" t="str">
        <f>IFERROR(_xlfn.XLOOKUP(A24,'M3-MAO'!A$3:A$23,'M3-MAO'!C$3:C$23,"Sin asignar"),IFERROR(INDEX('M3-MAO'!C$3:C$23,MATCH(A24,'M3-MAO'!A$3:A$23,0)),"Sin asignar"))</f>
        <v>Sin asignar</v>
      </c>
      <c r="E24" s="284">
        <f>MAX('M4-AUDIT'!Q18,'M4-AUDIT'!R18)</f>
        <v>1</v>
      </c>
      <c r="F24" s="284">
        <f>IF('M4-AUDIT'!S18&gt;0,1,0)</f>
        <v>0</v>
      </c>
      <c r="G24" s="284">
        <f>IF('M4-AUDIT'!T18&gt;0,1,0)</f>
        <v>1</v>
      </c>
      <c r="H24" s="284">
        <f>MAX('M4-AUDIT'!U18,'M4-AUDIT'!V18)</f>
        <v>1</v>
      </c>
      <c r="I24" s="277">
        <v>1</v>
      </c>
      <c r="J24" s="277">
        <f t="shared" si="0"/>
        <v>4</v>
      </c>
      <c r="K24" s="277">
        <f t="shared" si="1"/>
        <v>0.8</v>
      </c>
      <c r="L24" s="290" t="str">
        <f t="shared" si="2"/>
        <v>🟢 TRANSPARENTE</v>
      </c>
      <c r="M24" s="285" t="str">
        <f t="shared" si="3"/>
        <v xml:space="preserve">⚠ Sin Contratos en SERCOP. </v>
      </c>
      <c r="N24" s="139"/>
      <c r="O24" s="139"/>
      <c r="P24" s="139"/>
      <c r="Q24" s="139"/>
      <c r="R24" s="139"/>
      <c r="S24" s="139"/>
      <c r="T24" s="139"/>
      <c r="U24" s="139"/>
      <c r="V24" s="139"/>
      <c r="W24" s="139"/>
      <c r="X24" s="139"/>
      <c r="Y24" s="139"/>
      <c r="Z24" s="985"/>
    </row>
    <row r="25" spans="1:26" s="11" customFormat="1" ht="37.950000000000003" customHeight="1" x14ac:dyDescent="0.3">
      <c r="A25" s="1072" t="str">
        <f>'M4-AUDIT'!A19</f>
        <v>PDOT.SC.PA.CP.02</v>
      </c>
      <c r="B25" s="1184" t="str">
        <f>'M4-AUDIT'!B19</f>
        <v>INSTITUCIONAL</v>
      </c>
      <c r="C25" s="286" t="str">
        <f>'M4-AUDIT'!D19</f>
        <v>Avalúos y Catastros</v>
      </c>
      <c r="D25" s="286" t="str">
        <f>IFERROR(_xlfn.XLOOKUP(A25,'M3-MAO'!A$3:A$23,'M3-MAO'!C$3:C$23,"Sin asignar"),IFERROR(INDEX('M3-MAO'!C$3:C$23,MATCH(A25,'M3-MAO'!A$3:A$23,0)),"Sin asignar"))</f>
        <v>Sin asignar</v>
      </c>
      <c r="E25" s="287">
        <f>MAX('M4-AUDIT'!Q19,'M4-AUDIT'!R19)</f>
        <v>1</v>
      </c>
      <c r="F25" s="287">
        <f>IF('M4-AUDIT'!S19&gt;0,1,0)</f>
        <v>0</v>
      </c>
      <c r="G25" s="287">
        <f>IF('M4-AUDIT'!T19&gt;0,1,0)</f>
        <v>1</v>
      </c>
      <c r="H25" s="287">
        <f>MAX('M4-AUDIT'!U19,'M4-AUDIT'!V19)</f>
        <v>1</v>
      </c>
      <c r="I25" s="288">
        <v>1</v>
      </c>
      <c r="J25" s="288">
        <f t="shared" si="0"/>
        <v>4</v>
      </c>
      <c r="K25" s="288">
        <f t="shared" si="1"/>
        <v>0.8</v>
      </c>
      <c r="L25" s="289" t="str">
        <f t="shared" si="2"/>
        <v>🟢 TRANSPARENTE</v>
      </c>
      <c r="M25" s="286" t="str">
        <f t="shared" si="3"/>
        <v xml:space="preserve">⚠ Sin Contratos en SERCOP. </v>
      </c>
      <c r="N25" s="221"/>
      <c r="O25" s="221"/>
      <c r="P25" s="221"/>
      <c r="Q25" s="221"/>
      <c r="R25" s="221"/>
      <c r="S25" s="221"/>
      <c r="T25" s="221"/>
      <c r="U25" s="221"/>
      <c r="V25" s="221"/>
      <c r="W25" s="221"/>
      <c r="X25" s="221"/>
      <c r="Y25" s="221"/>
      <c r="Z25" s="986"/>
    </row>
    <row r="26" spans="1:26" s="11" customFormat="1" ht="37.950000000000003" customHeight="1" x14ac:dyDescent="0.3">
      <c r="A26" s="1072" t="str">
        <f>'M4-AUDIT'!A20</f>
        <v>PDOT.AS.VL.SV.01</v>
      </c>
      <c r="B26" s="1185" t="str">
        <f>'M4-AUDIT'!B20</f>
        <v>SOCIAL</v>
      </c>
      <c r="C26" s="285" t="str">
        <f>'M4-AUDIT'!D20</f>
        <v>Participación Ciudadana</v>
      </c>
      <c r="D26" s="285" t="str">
        <f>IFERROR(_xlfn.XLOOKUP(A26,'M3-MAO'!A$3:A$23,'M3-MAO'!C$3:C$23,"Sin asignar"),IFERROR(INDEX('M3-MAO'!C$3:C$23,MATCH(A26,'M3-MAO'!A$3:A$23,0)),"Sin asignar"))</f>
        <v>Sin asignar</v>
      </c>
      <c r="E26" s="284">
        <f>MAX('M4-AUDIT'!Q20,'M4-AUDIT'!R20)</f>
        <v>1</v>
      </c>
      <c r="F26" s="284">
        <f>IF('M4-AUDIT'!S20&gt;0,1,0)</f>
        <v>0</v>
      </c>
      <c r="G26" s="284">
        <f>IF('M4-AUDIT'!T20&gt;0,1,0)</f>
        <v>1</v>
      </c>
      <c r="H26" s="284">
        <f>MAX('M4-AUDIT'!U20,'M4-AUDIT'!V20)</f>
        <v>1</v>
      </c>
      <c r="I26" s="277">
        <v>1</v>
      </c>
      <c r="J26" s="277">
        <f t="shared" si="0"/>
        <v>4</v>
      </c>
      <c r="K26" s="277">
        <f t="shared" si="1"/>
        <v>0.8</v>
      </c>
      <c r="L26" s="290" t="str">
        <f t="shared" si="2"/>
        <v>🟢 TRANSPARENTE</v>
      </c>
      <c r="M26" s="285" t="str">
        <f t="shared" si="3"/>
        <v xml:space="preserve">⚠ Sin Contratos en SERCOP. </v>
      </c>
      <c r="N26" s="139"/>
      <c r="O26" s="139"/>
      <c r="P26" s="139"/>
      <c r="Q26" s="139"/>
      <c r="R26" s="139"/>
      <c r="S26" s="139"/>
      <c r="T26" s="139"/>
      <c r="U26" s="139"/>
      <c r="V26" s="139"/>
      <c r="W26" s="139"/>
      <c r="X26" s="139"/>
      <c r="Y26" s="139"/>
      <c r="Z26" s="985"/>
    </row>
    <row r="27" spans="1:26" s="11" customFormat="1" ht="37.950000000000003" customHeight="1" x14ac:dyDescent="0.3">
      <c r="A27" s="1072" t="str">
        <f>'M4-AUDIT'!A21</f>
        <v>PDOT.SC.OE2.M2.01</v>
      </c>
      <c r="B27" s="1184" t="str">
        <f>'M4-AUDIT'!B21</f>
        <v>ECONÓMICO</v>
      </c>
      <c r="C27" s="286" t="str">
        <f>'M4-AUDIT'!D21</f>
        <v>Turismo</v>
      </c>
      <c r="D27" s="286" t="str">
        <f>IFERROR(_xlfn.XLOOKUP(A27,'M3-MAO'!A$3:A$23,'M3-MAO'!C$3:C$23,"Sin asignar"),IFERROR(INDEX('M3-MAO'!C$3:C$23,MATCH(A27,'M3-MAO'!A$3:A$23,0)),"Sin asignar"))</f>
        <v>Dirección de Desarrollo Social y Cultural</v>
      </c>
      <c r="E27" s="287">
        <f>MAX('M4-AUDIT'!Q21,'M4-AUDIT'!R21)</f>
        <v>1</v>
      </c>
      <c r="F27" s="287">
        <f>IF('M4-AUDIT'!S21&gt;0,1,0)</f>
        <v>1</v>
      </c>
      <c r="G27" s="287">
        <f>IF('M4-AUDIT'!T21&gt;0,1,0)</f>
        <v>1</v>
      </c>
      <c r="H27" s="287">
        <f>MAX('M4-AUDIT'!U21,'M4-AUDIT'!V21)</f>
        <v>1</v>
      </c>
      <c r="I27" s="288">
        <v>0</v>
      </c>
      <c r="J27" s="288">
        <f t="shared" si="0"/>
        <v>4</v>
      </c>
      <c r="K27" s="288">
        <f t="shared" si="1"/>
        <v>0.8</v>
      </c>
      <c r="L27" s="289" t="str">
        <f t="shared" si="2"/>
        <v>🟢 TRANSPARENTE</v>
      </c>
      <c r="M27" s="286" t="str">
        <f t="shared" si="3"/>
        <v xml:space="preserve">⚠ Encuesta no publicada. </v>
      </c>
      <c r="N27" s="221"/>
      <c r="O27" s="221"/>
      <c r="P27" s="221"/>
      <c r="Q27" s="221"/>
      <c r="R27" s="221"/>
      <c r="S27" s="221"/>
      <c r="T27" s="221"/>
      <c r="U27" s="221"/>
      <c r="V27" s="221"/>
      <c r="W27" s="221"/>
      <c r="X27" s="221"/>
      <c r="Y27" s="221"/>
      <c r="Z27" s="986"/>
    </row>
    <row r="28" spans="1:26" s="11" customFormat="1" ht="37.950000000000003" customHeight="1" x14ac:dyDescent="0.3">
      <c r="A28" s="1072" t="str">
        <f>'M4-AUDIT'!A22</f>
        <v>PDOT.FA.OE2.MA.01</v>
      </c>
      <c r="B28" s="1185" t="str">
        <f>'M4-AUDIT'!B22</f>
        <v>TERRITORIAL</v>
      </c>
      <c r="C28" s="285" t="str">
        <f>'M4-AUDIT'!D22</f>
        <v>Embellecimiento / Señalética</v>
      </c>
      <c r="D28" s="285" t="str">
        <f>IFERROR(_xlfn.XLOOKUP(A28,'M3-MAO'!A$3:A$23,'M3-MAO'!C$3:C$23,"Sin asignar"),IFERROR(INDEX('M3-MAO'!C$3:C$23,MATCH(A28,'M3-MAO'!A$3:A$23,0)),"Sin asignar"))</f>
        <v>Sin asignar</v>
      </c>
      <c r="E28" s="284">
        <f>MAX('M4-AUDIT'!Q22,'M4-AUDIT'!R22)</f>
        <v>1</v>
      </c>
      <c r="F28" s="284">
        <f>IF('M4-AUDIT'!S22&gt;0,1,0)</f>
        <v>0</v>
      </c>
      <c r="G28" s="284">
        <f>IF('M4-AUDIT'!T22&gt;0,1,0)</f>
        <v>1</v>
      </c>
      <c r="H28" s="284">
        <f>MAX('M4-AUDIT'!U22,'M4-AUDIT'!V22)</f>
        <v>1</v>
      </c>
      <c r="I28" s="277">
        <v>1</v>
      </c>
      <c r="J28" s="277">
        <f t="shared" si="0"/>
        <v>4</v>
      </c>
      <c r="K28" s="277">
        <f t="shared" si="1"/>
        <v>0.8</v>
      </c>
      <c r="L28" s="290" t="str">
        <f t="shared" si="2"/>
        <v>🟢 TRANSPARENTE</v>
      </c>
      <c r="M28" s="285" t="str">
        <f t="shared" si="3"/>
        <v xml:space="preserve">⚠ Sin Contratos en SERCOP. </v>
      </c>
      <c r="N28" s="139"/>
      <c r="O28" s="139"/>
      <c r="P28" s="139"/>
      <c r="Q28" s="139"/>
      <c r="R28" s="139"/>
      <c r="S28" s="139"/>
      <c r="T28" s="139"/>
      <c r="U28" s="139"/>
      <c r="V28" s="139"/>
      <c r="W28" s="139"/>
      <c r="X28" s="139"/>
      <c r="Y28" s="139"/>
      <c r="Z28" s="985"/>
    </row>
    <row r="29" spans="1:26" s="11" customFormat="1" ht="37.950000000000003" customHeight="1" x14ac:dyDescent="0.3">
      <c r="A29" s="1072" t="str">
        <f>'M4-AUDIT'!A23</f>
        <v>PDOT.AS.VL.M1.01</v>
      </c>
      <c r="B29" s="1184" t="str">
        <f>'M4-AUDIT'!B23</f>
        <v>TERRITORIAL</v>
      </c>
      <c r="C29" s="286" t="str">
        <f>'M4-AUDIT'!D23</f>
        <v>Obras Públicas</v>
      </c>
      <c r="D29" s="286" t="str">
        <f>IFERROR(_xlfn.XLOOKUP(A29,'M3-MAO'!A$3:A$23,'M3-MAO'!C$3:C$23,"Sin asignar"),IFERROR(INDEX('M3-MAO'!C$3:C$23,MATCH(A29,'M3-MAO'!A$3:A$23,0)),"Sin asignar"))</f>
        <v>Dirección de Obras Públicas</v>
      </c>
      <c r="E29" s="287">
        <f>MAX('M4-AUDIT'!Q23,'M4-AUDIT'!R23)</f>
        <v>1</v>
      </c>
      <c r="F29" s="287">
        <f>IF('M4-AUDIT'!S23&gt;0,1,0)</f>
        <v>1</v>
      </c>
      <c r="G29" s="287">
        <f>IF('M4-AUDIT'!T23&gt;0,1,0)</f>
        <v>1</v>
      </c>
      <c r="H29" s="287">
        <f>MAX('M4-AUDIT'!U23,'M4-AUDIT'!V23)</f>
        <v>1</v>
      </c>
      <c r="I29" s="288">
        <v>1</v>
      </c>
      <c r="J29" s="288">
        <f t="shared" si="0"/>
        <v>5</v>
      </c>
      <c r="K29" s="288">
        <f t="shared" si="1"/>
        <v>1</v>
      </c>
      <c r="L29" s="289" t="str">
        <f t="shared" si="2"/>
        <v>🟢 TRANSPARENTE</v>
      </c>
      <c r="M29" s="286" t="str">
        <f t="shared" si="3"/>
        <v>✅ 100% Literal Art.7 cumplido</v>
      </c>
      <c r="N29" s="221"/>
      <c r="O29" s="221"/>
      <c r="P29" s="221"/>
      <c r="Q29" s="221"/>
      <c r="R29" s="221"/>
      <c r="S29" s="221"/>
      <c r="T29" s="221"/>
      <c r="U29" s="221"/>
      <c r="V29" s="221"/>
      <c r="W29" s="221"/>
      <c r="X29" s="221"/>
      <c r="Y29" s="221"/>
      <c r="Z29" s="986"/>
    </row>
    <row r="30" spans="1:26" s="11" customFormat="1" ht="19.95" customHeight="1" x14ac:dyDescent="0.3">
      <c r="A30" s="1715" t="s">
        <v>2386</v>
      </c>
      <c r="B30" s="1716"/>
      <c r="C30" s="1716"/>
      <c r="D30" s="1716"/>
      <c r="E30" s="1716"/>
      <c r="F30" s="1716"/>
      <c r="G30" s="1716"/>
      <c r="H30" s="1716"/>
      <c r="I30" s="1716"/>
      <c r="J30" s="1716"/>
      <c r="K30" s="1716"/>
      <c r="L30" s="1716"/>
      <c r="M30" s="1716"/>
      <c r="N30" s="1716"/>
      <c r="O30" s="1716"/>
      <c r="P30" s="1716"/>
      <c r="Q30" s="1716"/>
      <c r="R30" s="1716"/>
      <c r="S30" s="1716"/>
      <c r="T30" s="1716"/>
      <c r="U30" s="1716"/>
      <c r="V30" s="1716"/>
      <c r="W30" s="1716"/>
      <c r="X30" s="1716"/>
      <c r="Y30" s="1716"/>
      <c r="Z30" s="1717"/>
    </row>
    <row r="31" spans="1:26" ht="19.95" customHeight="1" x14ac:dyDescent="0.3">
      <c r="A31" s="1715" t="s">
        <v>2387</v>
      </c>
      <c r="B31" s="1716"/>
      <c r="C31" s="1716"/>
      <c r="D31" s="1716"/>
      <c r="E31" s="1716"/>
      <c r="F31" s="1716"/>
      <c r="G31" s="1716"/>
      <c r="H31" s="1716"/>
      <c r="I31" s="1716"/>
      <c r="J31" s="1716"/>
      <c r="K31" s="1716"/>
      <c r="L31" s="1716"/>
      <c r="M31" s="1716"/>
      <c r="N31" s="1716"/>
      <c r="O31" s="1716"/>
      <c r="P31" s="1716"/>
      <c r="Q31" s="1716"/>
      <c r="R31" s="1716"/>
      <c r="S31" s="1716"/>
      <c r="T31" s="1716"/>
      <c r="U31" s="1716"/>
      <c r="V31" s="1716"/>
      <c r="W31" s="1716"/>
      <c r="X31" s="1716"/>
      <c r="Y31" s="1716"/>
      <c r="Z31" s="1717"/>
    </row>
    <row r="32" spans="1:26" ht="30" customHeight="1" x14ac:dyDescent="0.3">
      <c r="A32" s="1071" t="s">
        <v>2388</v>
      </c>
      <c r="B32" s="1186" t="s">
        <v>1100</v>
      </c>
      <c r="C32" s="291" t="s">
        <v>2389</v>
      </c>
      <c r="D32" s="291" t="s">
        <v>2390</v>
      </c>
      <c r="E32" s="291" t="s">
        <v>2391</v>
      </c>
      <c r="F32" s="291" t="s">
        <v>2392</v>
      </c>
      <c r="G32" s="291" t="s">
        <v>2393</v>
      </c>
      <c r="H32" s="291" t="s">
        <v>2394</v>
      </c>
      <c r="I32" s="104"/>
      <c r="J32" s="104"/>
      <c r="K32" s="104"/>
      <c r="L32" s="104"/>
      <c r="M32" s="104"/>
      <c r="N32" s="104"/>
      <c r="O32" s="104"/>
      <c r="P32" s="104"/>
      <c r="Q32" s="104"/>
      <c r="R32" s="104"/>
      <c r="S32" s="104"/>
      <c r="T32" s="104"/>
      <c r="U32" s="104"/>
      <c r="V32" s="104"/>
      <c r="W32" s="104"/>
      <c r="X32" s="104"/>
      <c r="Y32" s="104"/>
      <c r="Z32" s="988"/>
    </row>
    <row r="33" spans="1:26" ht="19.95" customHeight="1" x14ac:dyDescent="0.3">
      <c r="A33" s="1715" t="s">
        <v>91</v>
      </c>
      <c r="B33" s="1716"/>
      <c r="C33" s="1716"/>
      <c r="D33" s="1716"/>
      <c r="E33" s="1716"/>
      <c r="F33" s="1716"/>
      <c r="G33" s="1716"/>
      <c r="H33" s="1716"/>
      <c r="I33" s="1716"/>
      <c r="J33" s="1716"/>
      <c r="K33" s="1716"/>
      <c r="L33" s="1716"/>
      <c r="M33" s="1716"/>
      <c r="N33" s="1716"/>
      <c r="O33" s="1716"/>
      <c r="P33" s="1716"/>
      <c r="Q33" s="1716"/>
      <c r="R33" s="1716"/>
      <c r="S33" s="1716"/>
      <c r="T33" s="1716"/>
      <c r="U33" s="1716"/>
      <c r="V33" s="1716"/>
      <c r="W33" s="1716"/>
      <c r="X33" s="1716"/>
      <c r="Y33" s="1716"/>
      <c r="Z33" s="1717"/>
    </row>
    <row r="34" spans="1:26" ht="22.05" customHeight="1" x14ac:dyDescent="0.3">
      <c r="A34" s="1072" t="s">
        <v>89</v>
      </c>
      <c r="B34" s="1180">
        <f>COUNTIF(D$10:D$29,"Dirección de Obras Públicas")</f>
        <v>3</v>
      </c>
      <c r="C34" s="284">
        <f>IFERROR(AVERAGEIF(D$10:D$29,"Dirección de Obras Públicas",E$10:E$29),"-")</f>
        <v>1</v>
      </c>
      <c r="D34" s="284">
        <f>IFERROR(AVERAGEIF(D$10:D$29,"Dirección de Obras Públicas",F$10:F$29),"-")</f>
        <v>1</v>
      </c>
      <c r="E34" s="284">
        <f>IFERROR(AVERAGEIF(D$10:D$29,"Dirección de Obras Públicas",G$10:G$29),"-")</f>
        <v>0.66666666666666663</v>
      </c>
      <c r="F34" s="284">
        <f>IFERROR(AVERAGEIF(D$10:D$29,"Dirección de Obras Públicas",H$10:H$29),"-")</f>
        <v>1</v>
      </c>
      <c r="G34" s="284">
        <f>IFERROR(AVERAGEIF(D$10:D$29,"Dirección de Obras Públicas",I$10:I$29),"-")</f>
        <v>0.66666666666666663</v>
      </c>
      <c r="H34" s="277">
        <f>IFERROR(AVERAGEIF(D$10:D$29,"Dirección de Obras Públicas",K$10:K$29),0)</f>
        <v>0.8666666666666667</v>
      </c>
      <c r="I34" s="104"/>
      <c r="J34" s="104"/>
      <c r="K34" s="104"/>
      <c r="L34" s="104"/>
      <c r="M34" s="104"/>
      <c r="N34" s="104"/>
      <c r="O34" s="104"/>
      <c r="P34" s="104"/>
      <c r="Q34" s="104"/>
      <c r="R34" s="104"/>
      <c r="S34" s="104"/>
      <c r="T34" s="104"/>
      <c r="U34" s="104"/>
      <c r="V34" s="104"/>
      <c r="W34" s="104"/>
      <c r="X34" s="104"/>
      <c r="Y34" s="104"/>
      <c r="Z34" s="988"/>
    </row>
    <row r="35" spans="1:26" ht="19.95" customHeight="1" x14ac:dyDescent="0.3">
      <c r="A35" s="1715" t="s">
        <v>94</v>
      </c>
      <c r="B35" s="1716"/>
      <c r="C35" s="1716"/>
      <c r="D35" s="1716"/>
      <c r="E35" s="1716"/>
      <c r="F35" s="1716"/>
      <c r="G35" s="1716"/>
      <c r="H35" s="1716"/>
      <c r="I35" s="1716"/>
      <c r="J35" s="1716"/>
      <c r="K35" s="1716"/>
      <c r="L35" s="1716"/>
      <c r="M35" s="1716"/>
      <c r="N35" s="1716"/>
      <c r="O35" s="1716"/>
      <c r="P35" s="1716"/>
      <c r="Q35" s="1716"/>
      <c r="R35" s="1716"/>
      <c r="S35" s="1716"/>
      <c r="T35" s="1716"/>
      <c r="U35" s="1716"/>
      <c r="V35" s="1716"/>
      <c r="W35" s="1716"/>
      <c r="X35" s="1716"/>
      <c r="Y35" s="1716"/>
      <c r="Z35" s="1717"/>
    </row>
    <row r="36" spans="1:26" ht="19.95" customHeight="1" x14ac:dyDescent="0.3">
      <c r="A36" s="1715" t="s">
        <v>791</v>
      </c>
      <c r="B36" s="1716"/>
      <c r="C36" s="1716"/>
      <c r="D36" s="1716"/>
      <c r="E36" s="1716"/>
      <c r="F36" s="1716"/>
      <c r="G36" s="1716"/>
      <c r="H36" s="1716"/>
      <c r="I36" s="1716"/>
      <c r="J36" s="1716"/>
      <c r="K36" s="1716"/>
      <c r="L36" s="1716"/>
      <c r="M36" s="1716"/>
      <c r="N36" s="1716"/>
      <c r="O36" s="1716"/>
      <c r="P36" s="1716"/>
      <c r="Q36" s="1716"/>
      <c r="R36" s="1716"/>
      <c r="S36" s="1716"/>
      <c r="T36" s="1716"/>
      <c r="U36" s="1716"/>
      <c r="V36" s="1716"/>
      <c r="W36" s="1716"/>
      <c r="X36" s="1716"/>
      <c r="Y36" s="1716"/>
      <c r="Z36" s="1717"/>
    </row>
    <row r="37" spans="1:26" ht="19.95" customHeight="1" x14ac:dyDescent="0.3">
      <c r="A37" s="1715" t="s">
        <v>95</v>
      </c>
      <c r="B37" s="1716"/>
      <c r="C37" s="1716"/>
      <c r="D37" s="1716"/>
      <c r="E37" s="1716"/>
      <c r="F37" s="1716"/>
      <c r="G37" s="1716"/>
      <c r="H37" s="1716"/>
      <c r="I37" s="1716"/>
      <c r="J37" s="1716"/>
      <c r="K37" s="1716"/>
      <c r="L37" s="1716"/>
      <c r="M37" s="1716"/>
      <c r="N37" s="1716"/>
      <c r="O37" s="1716"/>
      <c r="P37" s="1716"/>
      <c r="Q37" s="1716"/>
      <c r="R37" s="1716"/>
      <c r="S37" s="1716"/>
      <c r="T37" s="1716"/>
      <c r="U37" s="1716"/>
      <c r="V37" s="1716"/>
      <c r="W37" s="1716"/>
      <c r="X37" s="1716"/>
      <c r="Y37" s="1716"/>
      <c r="Z37" s="1717"/>
    </row>
    <row r="38" spans="1:26" ht="19.95" customHeight="1" x14ac:dyDescent="0.3">
      <c r="A38" s="1715" t="s">
        <v>87</v>
      </c>
      <c r="B38" s="1716"/>
      <c r="C38" s="1716"/>
      <c r="D38" s="1716"/>
      <c r="E38" s="1716"/>
      <c r="F38" s="1716"/>
      <c r="G38" s="1716"/>
      <c r="H38" s="1716"/>
      <c r="I38" s="1716"/>
      <c r="J38" s="1716"/>
      <c r="K38" s="1716"/>
      <c r="L38" s="1716"/>
      <c r="M38" s="1716"/>
      <c r="N38" s="1716"/>
      <c r="O38" s="1716"/>
      <c r="P38" s="1716"/>
      <c r="Q38" s="1716"/>
      <c r="R38" s="1716"/>
      <c r="S38" s="1716"/>
      <c r="T38" s="1716"/>
      <c r="U38" s="1716"/>
      <c r="V38" s="1716"/>
      <c r="W38" s="1716"/>
      <c r="X38" s="1716"/>
      <c r="Y38" s="1716"/>
      <c r="Z38" s="1717"/>
    </row>
    <row r="39" spans="1:26" ht="19.95" customHeight="1" x14ac:dyDescent="0.3">
      <c r="A39" s="1715" t="s">
        <v>799</v>
      </c>
      <c r="B39" s="1716"/>
      <c r="C39" s="1716"/>
      <c r="D39" s="1716"/>
      <c r="E39" s="1716"/>
      <c r="F39" s="1716"/>
      <c r="G39" s="1716"/>
      <c r="H39" s="1716"/>
      <c r="I39" s="1716"/>
      <c r="J39" s="1716"/>
      <c r="K39" s="1716"/>
      <c r="L39" s="1716"/>
      <c r="M39" s="1716"/>
      <c r="N39" s="1716"/>
      <c r="O39" s="1716"/>
      <c r="P39" s="1716"/>
      <c r="Q39" s="1716"/>
      <c r="R39" s="1716"/>
      <c r="S39" s="1716"/>
      <c r="T39" s="1716"/>
      <c r="U39" s="1716"/>
      <c r="V39" s="1716"/>
      <c r="W39" s="1716"/>
      <c r="X39" s="1716"/>
      <c r="Y39" s="1716"/>
      <c r="Z39" s="1717"/>
    </row>
    <row r="40" spans="1:26" ht="22.05" customHeight="1" x14ac:dyDescent="0.3">
      <c r="A40" s="1072" t="s">
        <v>804</v>
      </c>
      <c r="B40" s="1180">
        <f>COUNTIF(D$10:D$29,"EP Aseo Integral Montecristi")</f>
        <v>1</v>
      </c>
      <c r="C40" s="284">
        <f>IFERROR(AVERAGEIF(D$10:D$29,"EP Aseo Integral Montecristi",E$10:E$29),"-")</f>
        <v>1</v>
      </c>
      <c r="D40" s="284">
        <f>IFERROR(AVERAGEIF(D$10:D$29,"EP Aseo Integral Montecristi",F$10:F$29),"-")</f>
        <v>1</v>
      </c>
      <c r="E40" s="284">
        <f>IFERROR(AVERAGEIF(D$10:D$29,"EP Aseo Integral Montecristi",G$10:G$29),"-")</f>
        <v>1</v>
      </c>
      <c r="F40" s="284">
        <f>IFERROR(AVERAGEIF(D$10:D$29,"EP Aseo Integral Montecristi",H$10:H$29),"-")</f>
        <v>1</v>
      </c>
      <c r="G40" s="284">
        <f>IFERROR(AVERAGEIF(D$10:D$29,"EP Aseo Integral Montecristi",I$10:I$29),"-")</f>
        <v>1</v>
      </c>
      <c r="H40" s="277">
        <f>IFERROR(AVERAGEIF(D$10:D$29,"EP Aseo Integral Montecristi",K$10:K$29),0)</f>
        <v>1</v>
      </c>
      <c r="I40" s="104"/>
      <c r="J40" s="104"/>
      <c r="K40" s="104"/>
      <c r="L40" s="104"/>
      <c r="M40" s="104"/>
      <c r="N40" s="104"/>
      <c r="O40" s="104"/>
      <c r="P40" s="104"/>
      <c r="Q40" s="104"/>
      <c r="R40" s="104"/>
      <c r="S40" s="104"/>
      <c r="T40" s="104"/>
      <c r="U40" s="104"/>
      <c r="V40" s="104"/>
      <c r="W40" s="104"/>
      <c r="X40" s="104"/>
      <c r="Y40" s="104"/>
      <c r="Z40" s="988"/>
    </row>
    <row r="41" spans="1:26" ht="19.95" customHeight="1" x14ac:dyDescent="0.3">
      <c r="A41" s="1715" t="s">
        <v>99</v>
      </c>
      <c r="B41" s="1716"/>
      <c r="C41" s="1716"/>
      <c r="D41" s="1716"/>
      <c r="E41" s="1716"/>
      <c r="F41" s="1716"/>
      <c r="G41" s="1716"/>
      <c r="H41" s="1716"/>
      <c r="I41" s="1716"/>
      <c r="J41" s="1716"/>
      <c r="K41" s="1716"/>
      <c r="L41" s="1716"/>
      <c r="M41" s="1716"/>
      <c r="N41" s="1716"/>
      <c r="O41" s="1716"/>
      <c r="P41" s="1716"/>
      <c r="Q41" s="1716"/>
      <c r="R41" s="1716"/>
      <c r="S41" s="1716"/>
      <c r="T41" s="1716"/>
      <c r="U41" s="1716"/>
      <c r="V41" s="1716"/>
      <c r="W41" s="1716"/>
      <c r="X41" s="1716"/>
      <c r="Y41" s="1716"/>
      <c r="Z41" s="1717"/>
    </row>
    <row r="42" spans="1:26" ht="19.95" customHeight="1" x14ac:dyDescent="0.3">
      <c r="A42" s="1715" t="s">
        <v>811</v>
      </c>
      <c r="B42" s="1716"/>
      <c r="C42" s="1716"/>
      <c r="D42" s="1716"/>
      <c r="E42" s="1716"/>
      <c r="F42" s="1716"/>
      <c r="G42" s="1716"/>
      <c r="H42" s="1716"/>
      <c r="I42" s="1716"/>
      <c r="J42" s="1716"/>
      <c r="K42" s="1716"/>
      <c r="L42" s="1716"/>
      <c r="M42" s="1716"/>
      <c r="N42" s="1716"/>
      <c r="O42" s="1716"/>
      <c r="P42" s="1716"/>
      <c r="Q42" s="1716"/>
      <c r="R42" s="1716"/>
      <c r="S42" s="1716"/>
      <c r="T42" s="1716"/>
      <c r="U42" s="1716"/>
      <c r="V42" s="1716"/>
      <c r="W42" s="1716"/>
      <c r="X42" s="1716"/>
      <c r="Y42" s="1716"/>
      <c r="Z42" s="1717"/>
    </row>
    <row r="43" spans="1:26" ht="19.95" customHeight="1" x14ac:dyDescent="0.3">
      <c r="A43" s="1715" t="s">
        <v>97</v>
      </c>
      <c r="B43" s="1716"/>
      <c r="C43" s="1716"/>
      <c r="D43" s="1716"/>
      <c r="E43" s="1716"/>
      <c r="F43" s="1716"/>
      <c r="G43" s="1716"/>
      <c r="H43" s="1716"/>
      <c r="I43" s="1716"/>
      <c r="J43" s="1716"/>
      <c r="K43" s="1716"/>
      <c r="L43" s="1716"/>
      <c r="M43" s="1716"/>
      <c r="N43" s="1716"/>
      <c r="O43" s="1716"/>
      <c r="P43" s="1716"/>
      <c r="Q43" s="1716"/>
      <c r="R43" s="1716"/>
      <c r="S43" s="1716"/>
      <c r="T43" s="1716"/>
      <c r="U43" s="1716"/>
      <c r="V43" s="1716"/>
      <c r="W43" s="1716"/>
      <c r="X43" s="1716"/>
      <c r="Y43" s="1716"/>
      <c r="Z43" s="1717"/>
    </row>
    <row r="44" spans="1:26" ht="19.95" customHeight="1" x14ac:dyDescent="0.3">
      <c r="A44" s="1715" t="s">
        <v>818</v>
      </c>
      <c r="B44" s="1716"/>
      <c r="C44" s="1716"/>
      <c r="D44" s="1716"/>
      <c r="E44" s="1716"/>
      <c r="F44" s="1716"/>
      <c r="G44" s="1716"/>
      <c r="H44" s="1716"/>
      <c r="I44" s="1716"/>
      <c r="J44" s="1716"/>
      <c r="K44" s="1716"/>
      <c r="L44" s="1716"/>
      <c r="M44" s="1716"/>
      <c r="N44" s="1716"/>
      <c r="O44" s="1716"/>
      <c r="P44" s="1716"/>
      <c r="Q44" s="1716"/>
      <c r="R44" s="1716"/>
      <c r="S44" s="1716"/>
      <c r="T44" s="1716"/>
      <c r="U44" s="1716"/>
      <c r="V44" s="1716"/>
      <c r="W44" s="1716"/>
      <c r="X44" s="1716"/>
      <c r="Y44" s="1716"/>
      <c r="Z44" s="1717"/>
    </row>
    <row r="45" spans="1:26" ht="19.95" customHeight="1" x14ac:dyDescent="0.3">
      <c r="A45" s="1715" t="s">
        <v>2395</v>
      </c>
      <c r="B45" s="1716"/>
      <c r="C45" s="1716"/>
      <c r="D45" s="1716"/>
      <c r="E45" s="1716"/>
      <c r="F45" s="1716"/>
      <c r="G45" s="1716"/>
      <c r="H45" s="1716"/>
      <c r="I45" s="1716"/>
      <c r="J45" s="1716"/>
      <c r="K45" s="1716"/>
      <c r="L45" s="1716"/>
      <c r="M45" s="1716"/>
      <c r="N45" s="1716"/>
      <c r="O45" s="1716"/>
      <c r="P45" s="1716"/>
      <c r="Q45" s="1716"/>
      <c r="R45" s="1716"/>
      <c r="S45" s="1716"/>
      <c r="T45" s="1716"/>
      <c r="U45" s="1716"/>
      <c r="V45" s="1716"/>
      <c r="W45" s="1716"/>
      <c r="X45" s="1716"/>
      <c r="Y45" s="1716"/>
      <c r="Z45" s="1717"/>
    </row>
    <row r="46" spans="1:26" ht="19.95" customHeight="1" x14ac:dyDescent="0.3">
      <c r="A46" s="1071" t="s">
        <v>2396</v>
      </c>
      <c r="B46" s="1187" t="s">
        <v>2397</v>
      </c>
      <c r="C46" s="293" t="s">
        <v>2398</v>
      </c>
      <c r="D46" s="293" t="s">
        <v>123</v>
      </c>
      <c r="E46" s="293" t="s">
        <v>2399</v>
      </c>
      <c r="F46" s="104"/>
      <c r="G46" s="104"/>
      <c r="H46" s="104"/>
      <c r="I46" s="104"/>
      <c r="J46" s="104"/>
      <c r="K46" s="104"/>
      <c r="L46" s="104"/>
      <c r="M46" s="104"/>
      <c r="N46" s="104"/>
      <c r="O46" s="104"/>
      <c r="P46" s="104"/>
      <c r="Q46" s="104"/>
      <c r="R46" s="104"/>
      <c r="S46" s="104"/>
      <c r="T46" s="104"/>
      <c r="U46" s="104"/>
      <c r="V46" s="104"/>
      <c r="W46" s="104"/>
      <c r="X46" s="104"/>
      <c r="Y46" s="104"/>
      <c r="Z46" s="988"/>
    </row>
    <row r="47" spans="1:26" ht="28.05" customHeight="1" x14ac:dyDescent="0.3">
      <c r="A47" s="1072" t="s">
        <v>2400</v>
      </c>
      <c r="B47" s="1188" t="s">
        <v>2401</v>
      </c>
      <c r="C47" s="294" t="s">
        <v>2402</v>
      </c>
      <c r="D47" s="294" t="s">
        <v>2403</v>
      </c>
      <c r="E47" s="294" t="s">
        <v>2404</v>
      </c>
      <c r="F47" s="194"/>
      <c r="G47" s="194"/>
      <c r="H47" s="194"/>
      <c r="I47" s="194"/>
      <c r="J47" s="194"/>
      <c r="K47" s="194"/>
      <c r="L47" s="194"/>
      <c r="M47" s="194"/>
      <c r="N47" s="194"/>
      <c r="O47" s="194"/>
      <c r="P47" s="194"/>
      <c r="Q47" s="194"/>
      <c r="R47" s="194"/>
      <c r="S47" s="194"/>
      <c r="T47" s="194"/>
      <c r="U47" s="194"/>
      <c r="V47" s="194"/>
      <c r="W47" s="194"/>
      <c r="X47" s="194"/>
      <c r="Y47" s="194"/>
      <c r="Z47" s="987"/>
    </row>
    <row r="48" spans="1:26" ht="28.05" customHeight="1" x14ac:dyDescent="0.3">
      <c r="A48" s="1072" t="s">
        <v>2405</v>
      </c>
      <c r="B48" s="1189" t="s">
        <v>2406</v>
      </c>
      <c r="C48" s="295" t="s">
        <v>2407</v>
      </c>
      <c r="D48" s="295" t="s">
        <v>2408</v>
      </c>
      <c r="E48" s="295" t="s">
        <v>2409</v>
      </c>
      <c r="F48" s="104"/>
      <c r="G48" s="104"/>
      <c r="H48" s="104"/>
      <c r="I48" s="104"/>
      <c r="J48" s="104"/>
      <c r="K48" s="104"/>
      <c r="L48" s="104"/>
      <c r="M48" s="104"/>
      <c r="N48" s="104"/>
      <c r="O48" s="104"/>
      <c r="P48" s="104"/>
      <c r="Q48" s="104"/>
      <c r="R48" s="104"/>
      <c r="S48" s="104"/>
      <c r="T48" s="104"/>
      <c r="U48" s="104"/>
      <c r="V48" s="104"/>
      <c r="W48" s="104"/>
      <c r="X48" s="104"/>
      <c r="Y48" s="104"/>
      <c r="Z48" s="988"/>
    </row>
    <row r="49" spans="1:26" ht="28.05" customHeight="1" x14ac:dyDescent="0.3">
      <c r="A49" s="1072" t="s">
        <v>2410</v>
      </c>
      <c r="B49" s="1184" t="s">
        <v>2411</v>
      </c>
      <c r="C49" s="283" t="s">
        <v>2412</v>
      </c>
      <c r="D49" s="283" t="s">
        <v>2413</v>
      </c>
      <c r="E49" s="283" t="s">
        <v>2414</v>
      </c>
      <c r="F49" s="283"/>
      <c r="G49" s="283"/>
      <c r="H49" s="283"/>
      <c r="I49" s="283"/>
      <c r="J49" s="283"/>
      <c r="K49" s="283"/>
      <c r="L49" s="283"/>
      <c r="M49" s="283"/>
      <c r="N49" s="194"/>
      <c r="O49" s="194"/>
      <c r="P49" s="194"/>
      <c r="Q49" s="194"/>
      <c r="R49" s="194"/>
      <c r="S49" s="194"/>
      <c r="T49" s="194"/>
      <c r="U49" s="194"/>
      <c r="V49" s="194"/>
      <c r="W49" s="194"/>
      <c r="X49" s="194"/>
      <c r="Y49" s="194"/>
      <c r="Z49" s="987"/>
    </row>
    <row r="50" spans="1:26" ht="60" customHeight="1" x14ac:dyDescent="0.3">
      <c r="A50" s="1072" t="s">
        <v>2415</v>
      </c>
      <c r="B50" s="1190" t="s">
        <v>2416</v>
      </c>
      <c r="C50" s="285" t="s">
        <v>2417</v>
      </c>
      <c r="D50" s="285" t="s">
        <v>2418</v>
      </c>
      <c r="E50" s="295" t="s">
        <v>2419</v>
      </c>
      <c r="F50" s="104"/>
      <c r="G50" s="104"/>
      <c r="H50" s="104"/>
      <c r="I50" s="104"/>
      <c r="J50" s="104"/>
      <c r="K50" s="104"/>
      <c r="L50" s="104"/>
      <c r="M50" s="104"/>
      <c r="N50" s="104"/>
      <c r="O50" s="104"/>
      <c r="P50" s="104"/>
      <c r="Q50" s="104"/>
      <c r="R50" s="104"/>
      <c r="S50" s="104"/>
      <c r="T50" s="104"/>
      <c r="U50" s="104"/>
      <c r="V50" s="104"/>
      <c r="W50" s="104"/>
      <c r="X50" s="104"/>
      <c r="Y50" s="104"/>
      <c r="Z50" s="988"/>
    </row>
    <row r="51" spans="1:26" ht="60" customHeight="1" thickBot="1" x14ac:dyDescent="0.35">
      <c r="A51" s="1192" t="s">
        <v>2420</v>
      </c>
      <c r="B51" s="1191" t="s">
        <v>2421</v>
      </c>
      <c r="C51" s="1176" t="s">
        <v>2422</v>
      </c>
      <c r="D51" s="1176" t="s">
        <v>2423</v>
      </c>
      <c r="E51" s="1177" t="s">
        <v>2424</v>
      </c>
      <c r="F51" s="1178"/>
      <c r="G51" s="1178"/>
      <c r="H51" s="1178"/>
      <c r="I51" s="1178"/>
      <c r="J51" s="1178"/>
      <c r="K51" s="1178"/>
      <c r="L51" s="1178"/>
      <c r="M51" s="1178"/>
      <c r="N51" s="1178"/>
      <c r="O51" s="1178"/>
      <c r="P51" s="1178"/>
      <c r="Q51" s="1178"/>
      <c r="R51" s="1178"/>
      <c r="S51" s="1178"/>
      <c r="T51" s="1178"/>
      <c r="U51" s="1178"/>
      <c r="V51" s="1178"/>
      <c r="W51" s="1178"/>
      <c r="X51" s="1178"/>
      <c r="Y51" s="1178"/>
      <c r="Z51" s="1179"/>
    </row>
    <row r="52" spans="1:26" ht="15" thickTop="1" x14ac:dyDescent="0.3"/>
  </sheetData>
  <mergeCells count="17">
    <mergeCell ref="A1:Z1"/>
    <mergeCell ref="A3:Z3"/>
    <mergeCell ref="A4:Z4"/>
    <mergeCell ref="A8:Z8"/>
    <mergeCell ref="A30:Z30"/>
    <mergeCell ref="A31:Z31"/>
    <mergeCell ref="A33:Z33"/>
    <mergeCell ref="A35:Z35"/>
    <mergeCell ref="A36:Z36"/>
    <mergeCell ref="A43:Z43"/>
    <mergeCell ref="A44:Z44"/>
    <mergeCell ref="A45:Z45"/>
    <mergeCell ref="A37:Z37"/>
    <mergeCell ref="A38:Z38"/>
    <mergeCell ref="A39:Z39"/>
    <mergeCell ref="A41:Z41"/>
    <mergeCell ref="A42:Z42"/>
  </mergeCells>
  <conditionalFormatting sqref="B6">
    <cfRule type="cellIs" dxfId="23" priority="17" operator="greaterThanOrEqual">
      <formula>0.8</formula>
    </cfRule>
    <cfRule type="cellIs" dxfId="22" priority="18" operator="between">
      <formula>0.5</formula>
      <formula>0.8</formula>
    </cfRule>
    <cfRule type="cellIs" dxfId="21" priority="19" operator="lessThan">
      <formula>0.5</formula>
    </cfRule>
  </conditionalFormatting>
  <conditionalFormatting sqref="E10:I29">
    <cfRule type="cellIs" dxfId="20" priority="7" operator="equal">
      <formula>1</formula>
    </cfRule>
    <cfRule type="cellIs" dxfId="19" priority="8" operator="equal">
      <formula>0</formula>
    </cfRule>
  </conditionalFormatting>
  <conditionalFormatting sqref="H34 H40">
    <cfRule type="cellIs" dxfId="18" priority="4" operator="greaterThanOrEqual">
      <formula>0.8</formula>
    </cfRule>
    <cfRule type="cellIs" dxfId="17" priority="5" operator="between">
      <formula>0.5</formula>
      <formula>0.8</formula>
    </cfRule>
    <cfRule type="cellIs" dxfId="16" priority="6" operator="lessThan">
      <formula>0.5</formula>
    </cfRule>
  </conditionalFormatting>
  <conditionalFormatting sqref="K10:K29">
    <cfRule type="cellIs" dxfId="15" priority="1" operator="greaterThanOrEqual">
      <formula>0.8</formula>
    </cfRule>
    <cfRule type="cellIs" dxfId="14" priority="2" operator="between">
      <formula>0.5</formula>
      <formula>0.8</formula>
    </cfRule>
    <cfRule type="cellIs" dxfId="13" priority="3" operator="lessThan">
      <formula>0.5</formula>
    </cfRule>
  </conditionalFormatting>
  <hyperlinks>
    <hyperlink ref="A1" location="'ÍNDICE'!A1" tooltip="Ir al ÍNDICE principal" display="  ⌂  ÍNDICE" xr:uid="{00000000-0004-0000-1E00-000000000000}"/>
  </hyperlink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E2EFDA"/>
  </sheetPr>
  <dimension ref="A1:Z49"/>
  <sheetViews>
    <sheetView showGridLines="0" topLeftCell="C1" zoomScale="40" zoomScaleNormal="40" workbookViewId="0">
      <pane ySplit="3" topLeftCell="A4" activePane="bottomLeft" state="frozen"/>
      <selection pane="bottomLeft" sqref="A1:Z1"/>
    </sheetView>
  </sheetViews>
  <sheetFormatPr baseColWidth="10" defaultRowHeight="14.4" x14ac:dyDescent="0.3"/>
  <cols>
    <col min="1" max="1" width="5.21875" customWidth="1"/>
    <col min="2" max="2" width="40.77734375" customWidth="1"/>
    <col min="3" max="3" width="46.5546875" bestFit="1" customWidth="1"/>
    <col min="4" max="4" width="14.5546875" bestFit="1" customWidth="1"/>
    <col min="5" max="5" width="15.109375" bestFit="1" customWidth="1"/>
    <col min="6" max="6" width="17.6640625" bestFit="1" customWidth="1"/>
    <col min="7" max="7" width="16.6640625" customWidth="1"/>
    <col min="8" max="8" width="17.6640625" bestFit="1" customWidth="1"/>
    <col min="9" max="9" width="10.6640625" bestFit="1" customWidth="1"/>
    <col min="10" max="10" width="11.77734375" bestFit="1" customWidth="1"/>
    <col min="11" max="11" width="15.6640625" bestFit="1" customWidth="1"/>
    <col min="12" max="12" width="17.88671875" bestFit="1" customWidth="1"/>
    <col min="13" max="13" width="12.88671875" bestFit="1" customWidth="1"/>
    <col min="14" max="14" width="36" bestFit="1" customWidth="1"/>
    <col min="15" max="15" width="17.33203125" bestFit="1" customWidth="1"/>
    <col min="16" max="16" width="12.33203125" bestFit="1" customWidth="1"/>
    <col min="26" max="26" width="10.109375" bestFit="1" customWidth="1"/>
  </cols>
  <sheetData>
    <row r="1" spans="1:26" ht="19.95" customHeight="1" x14ac:dyDescent="0.3">
      <c r="A1" s="1929" t="s">
        <v>4799</v>
      </c>
      <c r="B1" s="1855"/>
      <c r="C1" s="1855"/>
      <c r="D1" s="1855"/>
      <c r="E1" s="1855"/>
      <c r="F1" s="1855"/>
      <c r="G1" s="1855"/>
      <c r="H1" s="1855"/>
      <c r="I1" s="1855"/>
      <c r="J1" s="1855"/>
      <c r="K1" s="1855"/>
      <c r="L1" s="1855"/>
      <c r="M1" s="1855"/>
      <c r="N1" s="1855"/>
      <c r="O1" s="1855"/>
      <c r="P1" s="1855"/>
      <c r="Q1" s="1855"/>
      <c r="R1" s="1855"/>
      <c r="S1" s="1855"/>
      <c r="T1" s="1855"/>
      <c r="U1" s="1855"/>
      <c r="V1" s="1855"/>
      <c r="W1" s="1855"/>
      <c r="X1" s="1855"/>
      <c r="Y1" s="1855"/>
      <c r="Z1" s="1855"/>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473"/>
      <c r="N2" s="473"/>
      <c r="O2" s="473"/>
      <c r="P2" s="473"/>
      <c r="Q2" s="473"/>
      <c r="R2" s="473"/>
      <c r="S2" s="473"/>
      <c r="T2" s="473"/>
      <c r="U2" s="473"/>
      <c r="V2" s="473"/>
      <c r="W2" s="473"/>
      <c r="X2" s="473"/>
      <c r="Y2" s="473"/>
      <c r="Z2" s="473"/>
    </row>
    <row r="3" spans="1:26" ht="19.95" customHeight="1" thickBot="1" x14ac:dyDescent="0.35">
      <c r="A3" s="1714" t="s">
        <v>4074</v>
      </c>
      <c r="B3" s="1714"/>
      <c r="C3" s="1714"/>
      <c r="D3" s="1714"/>
      <c r="E3" s="1714"/>
      <c r="F3" s="1714"/>
      <c r="G3" s="1714"/>
      <c r="H3" s="1714"/>
      <c r="I3" s="1714"/>
      <c r="J3" s="1714"/>
      <c r="K3" s="1714"/>
      <c r="L3" s="1714"/>
      <c r="M3" s="1714"/>
      <c r="N3" s="1714"/>
      <c r="O3" s="1714"/>
      <c r="P3" s="1714"/>
      <c r="Q3" s="1714"/>
      <c r="R3" s="1714"/>
      <c r="S3" s="1714"/>
      <c r="T3" s="1714"/>
      <c r="U3" s="1714"/>
      <c r="V3" s="1714"/>
      <c r="W3" s="1714"/>
      <c r="X3" s="1714"/>
      <c r="Y3" s="1714"/>
      <c r="Z3" s="1714"/>
    </row>
    <row r="4" spans="1:26" ht="19.95" customHeight="1" thickTop="1" x14ac:dyDescent="0.3">
      <c r="A4" s="1684" t="s">
        <v>2425</v>
      </c>
      <c r="B4" s="1685"/>
      <c r="C4" s="1685"/>
      <c r="D4" s="1685"/>
      <c r="E4" s="1685"/>
      <c r="F4" s="1685"/>
      <c r="G4" s="1685"/>
      <c r="H4" s="1685"/>
      <c r="I4" s="1685"/>
      <c r="J4" s="1685"/>
      <c r="K4" s="1685"/>
      <c r="L4" s="1685"/>
      <c r="M4" s="1685"/>
      <c r="N4" s="1685"/>
      <c r="O4" s="1685"/>
      <c r="P4" s="1685"/>
      <c r="Q4" s="1685"/>
      <c r="R4" s="1685"/>
      <c r="S4" s="1685"/>
      <c r="T4" s="1685"/>
      <c r="U4" s="1685"/>
      <c r="V4" s="1685"/>
      <c r="W4" s="1685"/>
      <c r="X4" s="1685"/>
      <c r="Y4" s="1685"/>
      <c r="Z4" s="1729"/>
    </row>
    <row r="5" spans="1:26" ht="30" customHeight="1" x14ac:dyDescent="0.3">
      <c r="A5" s="1071" t="s">
        <v>2426</v>
      </c>
      <c r="B5" s="414" t="s">
        <v>2427</v>
      </c>
      <c r="C5" s="184" t="s">
        <v>2388</v>
      </c>
      <c r="D5" s="184" t="s">
        <v>776</v>
      </c>
      <c r="E5" s="184" t="s">
        <v>2428</v>
      </c>
      <c r="F5" s="184" t="s">
        <v>2429</v>
      </c>
      <c r="G5" s="184" t="s">
        <v>2430</v>
      </c>
      <c r="H5" s="184" t="s">
        <v>2431</v>
      </c>
      <c r="I5" s="184" t="s">
        <v>2432</v>
      </c>
      <c r="J5" s="184" t="s">
        <v>2433</v>
      </c>
      <c r="K5" s="184" t="s">
        <v>2434</v>
      </c>
      <c r="L5" s="184" t="s">
        <v>2435</v>
      </c>
      <c r="M5" s="184" t="s">
        <v>2436</v>
      </c>
      <c r="N5" s="184" t="s">
        <v>2437</v>
      </c>
      <c r="O5" s="184" t="s">
        <v>2438</v>
      </c>
      <c r="P5" s="296"/>
      <c r="Q5" s="184"/>
      <c r="R5" s="184"/>
      <c r="S5" s="184"/>
      <c r="T5" s="184"/>
      <c r="U5" s="184"/>
      <c r="V5" s="184"/>
      <c r="W5" s="184"/>
      <c r="X5" s="184"/>
      <c r="Y5" s="184"/>
      <c r="Z5" s="928"/>
    </row>
    <row r="6" spans="1:26" s="11" customFormat="1" ht="37.950000000000003" customHeight="1" x14ac:dyDescent="0.3">
      <c r="A6" s="1072" t="s">
        <v>495</v>
      </c>
      <c r="B6" s="1275" t="s">
        <v>2439</v>
      </c>
      <c r="C6" s="215" t="s">
        <v>91</v>
      </c>
      <c r="D6" s="215" t="s">
        <v>782</v>
      </c>
      <c r="E6" s="216" t="s">
        <v>1999</v>
      </c>
      <c r="F6" s="216" t="s">
        <v>1999</v>
      </c>
      <c r="G6" s="103">
        <v>45625014</v>
      </c>
      <c r="H6" s="103">
        <v>4202279</v>
      </c>
      <c r="I6" s="103">
        <v>0.85</v>
      </c>
      <c r="J6" s="103">
        <v>1</v>
      </c>
      <c r="K6" s="1285" t="str">
        <f>IF(I6&gt;0.8,"✅ Completado",IF(I6&gt;0.4,"🔄 En ejecución",IF(I6&gt;0,"⚠️ Atrasado","❌ No iniciado")))</f>
        <v>✅ Completado</v>
      </c>
      <c r="L6" s="215" t="s">
        <v>2440</v>
      </c>
      <c r="M6" s="103">
        <v>90</v>
      </c>
      <c r="N6" s="215" t="s">
        <v>2441</v>
      </c>
      <c r="O6" s="216" t="s">
        <v>495</v>
      </c>
      <c r="P6" s="215"/>
      <c r="Q6" s="139"/>
      <c r="R6" s="139"/>
      <c r="S6" s="139"/>
      <c r="T6" s="139"/>
      <c r="U6" s="139"/>
      <c r="V6" s="139"/>
      <c r="W6" s="139"/>
      <c r="X6" s="139"/>
      <c r="Y6" s="139"/>
      <c r="Z6" s="985"/>
    </row>
    <row r="7" spans="1:26" s="11" customFormat="1" ht="37.950000000000003" customHeight="1" x14ac:dyDescent="0.3">
      <c r="A7" s="1072" t="s">
        <v>507</v>
      </c>
      <c r="B7" s="1276" t="s">
        <v>2442</v>
      </c>
      <c r="C7" s="219" t="s">
        <v>89</v>
      </c>
      <c r="D7" s="219" t="s">
        <v>782</v>
      </c>
      <c r="E7" s="227" t="s">
        <v>1999</v>
      </c>
      <c r="F7" s="227" t="s">
        <v>1999</v>
      </c>
      <c r="G7" s="229">
        <v>1269859</v>
      </c>
      <c r="H7" s="229">
        <v>4454844</v>
      </c>
      <c r="I7" s="229">
        <v>0.75</v>
      </c>
      <c r="J7" s="229">
        <v>1</v>
      </c>
      <c r="K7" s="227" t="str">
        <f>IF(I7&gt;0.8,"✅ Completado",IF(I7&gt;0.4,"🔄 En ejecución",IF(I7&gt;0,"⚠️ Atrasado","❌ No iniciado")))</f>
        <v>🔄 En ejecución</v>
      </c>
      <c r="L7" s="219" t="s">
        <v>2440</v>
      </c>
      <c r="M7" s="229">
        <v>72</v>
      </c>
      <c r="N7" s="219" t="s">
        <v>2441</v>
      </c>
      <c r="O7" s="227" t="s">
        <v>507</v>
      </c>
      <c r="P7" s="219"/>
      <c r="Q7" s="221"/>
      <c r="R7" s="221"/>
      <c r="S7" s="221"/>
      <c r="T7" s="221"/>
      <c r="U7" s="221"/>
      <c r="V7" s="221"/>
      <c r="W7" s="221"/>
      <c r="X7" s="221"/>
      <c r="Y7" s="221"/>
      <c r="Z7" s="986"/>
    </row>
    <row r="8" spans="1:26" s="11" customFormat="1" ht="37.950000000000003" customHeight="1" x14ac:dyDescent="0.3">
      <c r="A8" s="1072" t="s">
        <v>43</v>
      </c>
      <c r="B8" s="1275" t="s">
        <v>2443</v>
      </c>
      <c r="C8" s="215" t="s">
        <v>94</v>
      </c>
      <c r="D8" s="215" t="s">
        <v>787</v>
      </c>
      <c r="E8" s="216" t="s">
        <v>1999</v>
      </c>
      <c r="F8" s="216" t="s">
        <v>450</v>
      </c>
      <c r="G8" s="103">
        <v>1693800</v>
      </c>
      <c r="H8" s="103">
        <v>20000</v>
      </c>
      <c r="I8" s="103">
        <v>0.15</v>
      </c>
      <c r="J8" s="103">
        <v>0</v>
      </c>
      <c r="K8" s="216" t="str">
        <f>IF(I8&gt;0.8,"✅ Completado",IF(I8&gt;0.4,"🔄 En ejecución",IF(I8&gt;0,"⚠️ Atrasado","❌ No iniciado")))</f>
        <v>⚠️ Atrasado</v>
      </c>
      <c r="L8" s="215" t="s">
        <v>2440</v>
      </c>
      <c r="M8" s="103">
        <v>0</v>
      </c>
      <c r="N8" s="215" t="s">
        <v>2444</v>
      </c>
      <c r="O8" s="216" t="s">
        <v>43</v>
      </c>
      <c r="P8" s="215"/>
      <c r="Q8" s="139"/>
      <c r="R8" s="139"/>
      <c r="S8" s="139"/>
      <c r="T8" s="139"/>
      <c r="U8" s="139"/>
      <c r="V8" s="139"/>
      <c r="W8" s="139"/>
      <c r="X8" s="139"/>
      <c r="Y8" s="139"/>
      <c r="Z8" s="985"/>
    </row>
    <row r="9" spans="1:26" s="11" customFormat="1" ht="37.950000000000003" customHeight="1" x14ac:dyDescent="0.3">
      <c r="A9" s="1072" t="s">
        <v>687</v>
      </c>
      <c r="B9" s="1276" t="s">
        <v>2445</v>
      </c>
      <c r="C9" s="219" t="s">
        <v>791</v>
      </c>
      <c r="D9" s="219" t="s">
        <v>782</v>
      </c>
      <c r="E9" s="227" t="s">
        <v>1999</v>
      </c>
      <c r="F9" s="227" t="s">
        <v>1999</v>
      </c>
      <c r="G9" s="229">
        <v>1693800</v>
      </c>
      <c r="H9" s="229">
        <v>0</v>
      </c>
      <c r="I9" s="229">
        <v>0.45</v>
      </c>
      <c r="J9" s="229">
        <v>1</v>
      </c>
      <c r="K9" s="227" t="str">
        <f>IF(I9&gt;0.8,"✅ Completado",IF(I9&gt;0.4,"🔄 En ejecución",IF(I9&gt;0,"⚠️ Atrasado","❌ No iniciado")))</f>
        <v>🔄 En ejecución</v>
      </c>
      <c r="L9" s="219" t="s">
        <v>2440</v>
      </c>
      <c r="M9" s="229">
        <v>65</v>
      </c>
      <c r="N9" s="219" t="s">
        <v>2441</v>
      </c>
      <c r="O9" s="227" t="s">
        <v>687</v>
      </c>
      <c r="P9" s="219"/>
      <c r="Q9" s="221"/>
      <c r="R9" s="221"/>
      <c r="S9" s="221"/>
      <c r="T9" s="221"/>
      <c r="U9" s="221"/>
      <c r="V9" s="221"/>
      <c r="W9" s="221"/>
      <c r="X9" s="221"/>
      <c r="Y9" s="221"/>
      <c r="Z9" s="986"/>
    </row>
    <row r="10" spans="1:26" s="11" customFormat="1" ht="37.950000000000003" customHeight="1" x14ac:dyDescent="0.3">
      <c r="A10" s="1072" t="s">
        <v>57</v>
      </c>
      <c r="B10" s="1275" t="s">
        <v>2446</v>
      </c>
      <c r="C10" s="215" t="s">
        <v>95</v>
      </c>
      <c r="D10" s="215" t="s">
        <v>782</v>
      </c>
      <c r="E10" s="216" t="s">
        <v>1999</v>
      </c>
      <c r="F10" s="216" t="s">
        <v>450</v>
      </c>
      <c r="G10" s="103">
        <v>1693800</v>
      </c>
      <c r="H10" s="103">
        <v>0</v>
      </c>
      <c r="I10" s="103">
        <v>0</v>
      </c>
      <c r="J10" s="103">
        <v>0</v>
      </c>
      <c r="K10" s="297" t="s">
        <v>2447</v>
      </c>
      <c r="L10" s="215" t="s">
        <v>2440</v>
      </c>
      <c r="M10" s="103">
        <v>0</v>
      </c>
      <c r="N10" s="215" t="s">
        <v>2444</v>
      </c>
      <c r="O10" s="216" t="s">
        <v>57</v>
      </c>
      <c r="P10" s="215"/>
      <c r="Q10" s="139"/>
      <c r="R10" s="139"/>
      <c r="S10" s="139"/>
      <c r="T10" s="139"/>
      <c r="U10" s="139"/>
      <c r="V10" s="139"/>
      <c r="W10" s="139"/>
      <c r="X10" s="139"/>
      <c r="Y10" s="139"/>
      <c r="Z10" s="985"/>
    </row>
    <row r="11" spans="1:26" s="11" customFormat="1" ht="37.950000000000003" customHeight="1" x14ac:dyDescent="0.3">
      <c r="A11" s="1072" t="s">
        <v>693</v>
      </c>
      <c r="B11" s="1276" t="s">
        <v>2448</v>
      </c>
      <c r="C11" s="219" t="s">
        <v>87</v>
      </c>
      <c r="D11" s="219" t="s">
        <v>782</v>
      </c>
      <c r="E11" s="227" t="s">
        <v>1999</v>
      </c>
      <c r="F11" s="227" t="s">
        <v>1999</v>
      </c>
      <c r="G11" s="229">
        <v>0</v>
      </c>
      <c r="H11" s="229">
        <v>0</v>
      </c>
      <c r="I11" s="229">
        <v>1</v>
      </c>
      <c r="J11" s="229">
        <v>1</v>
      </c>
      <c r="K11" s="230" t="str">
        <f>IF(I11&gt;0.8,"✅ Completado",IF(I11&gt;0.4,"🔄 En ejecución",IF(I11&gt;0,"⚠️ Atrasado","❌ No iniciado")))</f>
        <v>✅ Completado</v>
      </c>
      <c r="L11" s="219" t="s">
        <v>2440</v>
      </c>
      <c r="M11" s="229">
        <v>90</v>
      </c>
      <c r="N11" s="219" t="s">
        <v>2444</v>
      </c>
      <c r="O11" s="227" t="s">
        <v>693</v>
      </c>
      <c r="P11" s="219"/>
      <c r="Q11" s="221"/>
      <c r="R11" s="221"/>
      <c r="S11" s="221"/>
      <c r="T11" s="221"/>
      <c r="U11" s="221"/>
      <c r="V11" s="221"/>
      <c r="W11" s="221"/>
      <c r="X11" s="221"/>
      <c r="Y11" s="221"/>
      <c r="Z11" s="986"/>
    </row>
    <row r="12" spans="1:26" s="11" customFormat="1" ht="37.950000000000003" customHeight="1" x14ac:dyDescent="0.3">
      <c r="A12" s="1072" t="s">
        <v>539</v>
      </c>
      <c r="B12" s="1275" t="s">
        <v>2449</v>
      </c>
      <c r="C12" s="215" t="s">
        <v>89</v>
      </c>
      <c r="D12" s="215" t="s">
        <v>782</v>
      </c>
      <c r="E12" s="216" t="s">
        <v>1999</v>
      </c>
      <c r="F12" s="216" t="s">
        <v>1999</v>
      </c>
      <c r="G12" s="103">
        <v>10892761</v>
      </c>
      <c r="H12" s="103">
        <v>2629217</v>
      </c>
      <c r="I12" s="103">
        <v>0.9</v>
      </c>
      <c r="J12" s="103">
        <v>1</v>
      </c>
      <c r="K12" s="1285" t="str">
        <f>IF(I12&gt;0.8,"✅ Completado",IF(I12&gt;0.4,"🔄 En ejecución",IF(I12&gt;0,"⚠️ Atrasado","❌ No iniciado")))</f>
        <v>✅ Completado</v>
      </c>
      <c r="L12" s="215" t="s">
        <v>2440</v>
      </c>
      <c r="M12" s="103">
        <v>72</v>
      </c>
      <c r="N12" s="215" t="s">
        <v>2441</v>
      </c>
      <c r="O12" s="216" t="s">
        <v>539</v>
      </c>
      <c r="P12" s="215"/>
      <c r="Q12" s="139"/>
      <c r="R12" s="139"/>
      <c r="S12" s="139"/>
      <c r="T12" s="139"/>
      <c r="U12" s="139"/>
      <c r="V12" s="139"/>
      <c r="W12" s="139"/>
      <c r="X12" s="139"/>
      <c r="Y12" s="139"/>
      <c r="Z12" s="985"/>
    </row>
    <row r="13" spans="1:26" s="11" customFormat="1" ht="37.950000000000003" customHeight="1" x14ac:dyDescent="0.3">
      <c r="A13" s="1072" t="s">
        <v>47</v>
      </c>
      <c r="B13" s="1276" t="s">
        <v>2450</v>
      </c>
      <c r="C13" s="219" t="s">
        <v>94</v>
      </c>
      <c r="D13" s="219" t="s">
        <v>787</v>
      </c>
      <c r="E13" s="227" t="s">
        <v>1999</v>
      </c>
      <c r="F13" s="227" t="s">
        <v>450</v>
      </c>
      <c r="G13" s="229">
        <v>0</v>
      </c>
      <c r="H13" s="229">
        <v>40000</v>
      </c>
      <c r="I13" s="229">
        <v>0.5</v>
      </c>
      <c r="J13" s="229">
        <v>0</v>
      </c>
      <c r="K13" s="227" t="str">
        <f>IF(I13&gt;0.8,"✅ Completado",IF(I13&gt;0.4,"🔄 En ejecución",IF(I13&gt;0,"⚠️ Atrasado","❌ No iniciado")))</f>
        <v>🔄 En ejecución</v>
      </c>
      <c r="L13" s="219" t="s">
        <v>2440</v>
      </c>
      <c r="M13" s="229">
        <v>0</v>
      </c>
      <c r="N13" s="219" t="s">
        <v>2444</v>
      </c>
      <c r="O13" s="227" t="s">
        <v>47</v>
      </c>
      <c r="P13" s="219"/>
      <c r="Q13" s="221"/>
      <c r="R13" s="221"/>
      <c r="S13" s="221"/>
      <c r="T13" s="221"/>
      <c r="U13" s="221"/>
      <c r="V13" s="221"/>
      <c r="W13" s="221"/>
      <c r="X13" s="221"/>
      <c r="Y13" s="221"/>
      <c r="Z13" s="986"/>
    </row>
    <row r="14" spans="1:26" s="11" customFormat="1" ht="37.950000000000003" customHeight="1" x14ac:dyDescent="0.3">
      <c r="A14" s="1072" t="s">
        <v>515</v>
      </c>
      <c r="B14" s="1275" t="s">
        <v>2451</v>
      </c>
      <c r="C14" s="215" t="s">
        <v>799</v>
      </c>
      <c r="D14" s="215" t="s">
        <v>801</v>
      </c>
      <c r="E14" s="216" t="s">
        <v>1999</v>
      </c>
      <c r="F14" s="216" t="s">
        <v>1999</v>
      </c>
      <c r="G14" s="103">
        <v>0</v>
      </c>
      <c r="H14" s="103">
        <v>370866</v>
      </c>
      <c r="I14" s="103">
        <v>0.4</v>
      </c>
      <c r="J14" s="103">
        <v>1</v>
      </c>
      <c r="K14" s="216" t="str">
        <f>IF(I14&gt;0.8,"✅ Completado",IF(I14&gt;0.4,"🔄 En ejecución",IF(I14&gt;0,"⚠️ Atrasado","❌ No iniciado")))</f>
        <v>⚠️ Atrasado</v>
      </c>
      <c r="L14" s="215" t="s">
        <v>2440</v>
      </c>
      <c r="M14" s="103">
        <v>58.5</v>
      </c>
      <c r="N14" s="215" t="s">
        <v>2441</v>
      </c>
      <c r="O14" s="216" t="s">
        <v>515</v>
      </c>
      <c r="P14" s="215"/>
      <c r="Q14" s="139"/>
      <c r="R14" s="139"/>
      <c r="S14" s="139"/>
      <c r="T14" s="139"/>
      <c r="U14" s="139"/>
      <c r="V14" s="139"/>
      <c r="W14" s="139"/>
      <c r="X14" s="139"/>
      <c r="Y14" s="139"/>
      <c r="Z14" s="985"/>
    </row>
    <row r="15" spans="1:26" s="11" customFormat="1" ht="37.950000000000003" customHeight="1" x14ac:dyDescent="0.3">
      <c r="A15" s="1072" t="s">
        <v>526</v>
      </c>
      <c r="B15" s="1276" t="s">
        <v>2452</v>
      </c>
      <c r="C15" s="219" t="s">
        <v>89</v>
      </c>
      <c r="D15" s="219" t="s">
        <v>782</v>
      </c>
      <c r="E15" s="227" t="s">
        <v>1999</v>
      </c>
      <c r="F15" s="227" t="s">
        <v>1999</v>
      </c>
      <c r="G15" s="229">
        <v>2588556</v>
      </c>
      <c r="H15" s="229">
        <v>540243</v>
      </c>
      <c r="I15" s="229">
        <v>0.5</v>
      </c>
      <c r="J15" s="229">
        <v>1</v>
      </c>
      <c r="K15" s="227" t="str">
        <f>IF(I15&gt;0.8,"✅ Completado",IF(I15&gt;0.4,"🔄 En ejecución",IF(I15&gt;0,"⚠️ Atrasado","❌ No iniciado")))</f>
        <v>🔄 En ejecución</v>
      </c>
      <c r="L15" s="219" t="s">
        <v>2440</v>
      </c>
      <c r="M15" s="229">
        <v>72</v>
      </c>
      <c r="N15" s="219" t="s">
        <v>2441</v>
      </c>
      <c r="O15" s="227" t="s">
        <v>526</v>
      </c>
      <c r="P15" s="219"/>
      <c r="Q15" s="221"/>
      <c r="R15" s="221"/>
      <c r="S15" s="221"/>
      <c r="T15" s="221"/>
      <c r="U15" s="221"/>
      <c r="V15" s="221"/>
      <c r="W15" s="221"/>
      <c r="X15" s="221"/>
      <c r="Y15" s="221"/>
      <c r="Z15" s="986"/>
    </row>
    <row r="16" spans="1:26" s="11" customFormat="1" ht="37.950000000000003" customHeight="1" x14ac:dyDescent="0.3">
      <c r="A16" s="1072" t="s">
        <v>53</v>
      </c>
      <c r="B16" s="1275" t="s">
        <v>2453</v>
      </c>
      <c r="C16" s="215" t="s">
        <v>94</v>
      </c>
      <c r="D16" s="215" t="s">
        <v>787</v>
      </c>
      <c r="E16" s="216" t="s">
        <v>1999</v>
      </c>
      <c r="F16" s="216" t="s">
        <v>450</v>
      </c>
      <c r="G16" s="103">
        <v>0</v>
      </c>
      <c r="H16" s="103">
        <v>0</v>
      </c>
      <c r="I16" s="103">
        <v>0</v>
      </c>
      <c r="J16" s="103">
        <v>0</v>
      </c>
      <c r="K16" s="297" t="s">
        <v>2447</v>
      </c>
      <c r="L16" s="215" t="s">
        <v>2440</v>
      </c>
      <c r="M16" s="103">
        <v>0</v>
      </c>
      <c r="N16" s="215" t="s">
        <v>2444</v>
      </c>
      <c r="O16" s="216" t="s">
        <v>53</v>
      </c>
      <c r="P16" s="215"/>
      <c r="Q16" s="139"/>
      <c r="R16" s="139"/>
      <c r="S16" s="139"/>
      <c r="T16" s="139"/>
      <c r="U16" s="139"/>
      <c r="V16" s="139"/>
      <c r="W16" s="139"/>
      <c r="X16" s="139"/>
      <c r="Y16" s="139"/>
      <c r="Z16" s="985"/>
    </row>
    <row r="17" spans="1:26" s="11" customFormat="1" ht="37.950000000000003" customHeight="1" x14ac:dyDescent="0.3">
      <c r="A17" s="1072" t="s">
        <v>487</v>
      </c>
      <c r="B17" s="1276" t="s">
        <v>2454</v>
      </c>
      <c r="C17" s="219" t="s">
        <v>804</v>
      </c>
      <c r="D17" s="219" t="s">
        <v>2455</v>
      </c>
      <c r="E17" s="227" t="s">
        <v>1999</v>
      </c>
      <c r="F17" s="227" t="s">
        <v>1999</v>
      </c>
      <c r="G17" s="229">
        <v>748783</v>
      </c>
      <c r="H17" s="229">
        <v>125866</v>
      </c>
      <c r="I17" s="229">
        <v>0.3</v>
      </c>
      <c r="J17" s="229">
        <v>1</v>
      </c>
      <c r="K17" s="227" t="str">
        <f t="shared" ref="K17:K25" si="0">IF(I17&gt;0.8,"✅ Completado",IF(I17&gt;0.4,"🔄 En ejecución",IF(I17&gt;0,"⚠️ Atrasado","❌ No iniciado")))</f>
        <v>⚠️ Atrasado</v>
      </c>
      <c r="L17" s="219" t="s">
        <v>2440</v>
      </c>
      <c r="M17" s="229">
        <v>58.5</v>
      </c>
      <c r="N17" s="219" t="s">
        <v>2441</v>
      </c>
      <c r="O17" s="227" t="s">
        <v>487</v>
      </c>
      <c r="P17" s="219"/>
      <c r="Q17" s="221"/>
      <c r="R17" s="221"/>
      <c r="S17" s="221"/>
      <c r="T17" s="221"/>
      <c r="U17" s="221"/>
      <c r="V17" s="221"/>
      <c r="W17" s="221"/>
      <c r="X17" s="221"/>
      <c r="Y17" s="221"/>
      <c r="Z17" s="986"/>
    </row>
    <row r="18" spans="1:26" s="11" customFormat="1" ht="37.950000000000003" customHeight="1" x14ac:dyDescent="0.3">
      <c r="A18" s="1072" t="s">
        <v>545</v>
      </c>
      <c r="B18" s="1275" t="s">
        <v>2456</v>
      </c>
      <c r="C18" s="215" t="s">
        <v>89</v>
      </c>
      <c r="D18" s="215" t="s">
        <v>782</v>
      </c>
      <c r="E18" s="216" t="s">
        <v>1999</v>
      </c>
      <c r="F18" s="216" t="s">
        <v>450</v>
      </c>
      <c r="G18" s="103">
        <v>10892761</v>
      </c>
      <c r="H18" s="103">
        <v>600000</v>
      </c>
      <c r="I18" s="103">
        <v>1</v>
      </c>
      <c r="J18" s="103">
        <v>1</v>
      </c>
      <c r="K18" s="1285" t="str">
        <f t="shared" si="0"/>
        <v>✅ Completado</v>
      </c>
      <c r="L18" s="215" t="s">
        <v>2440</v>
      </c>
      <c r="M18" s="103">
        <v>72</v>
      </c>
      <c r="N18" s="215" t="s">
        <v>2441</v>
      </c>
      <c r="O18" s="216" t="s">
        <v>545</v>
      </c>
      <c r="P18" s="215"/>
      <c r="Q18" s="139"/>
      <c r="R18" s="139"/>
      <c r="S18" s="139"/>
      <c r="T18" s="139"/>
      <c r="U18" s="139"/>
      <c r="V18" s="139"/>
      <c r="W18" s="139"/>
      <c r="X18" s="139"/>
      <c r="Y18" s="139"/>
      <c r="Z18" s="985"/>
    </row>
    <row r="19" spans="1:26" s="11" customFormat="1" ht="37.950000000000003" customHeight="1" x14ac:dyDescent="0.3">
      <c r="A19" s="1072" t="s">
        <v>50</v>
      </c>
      <c r="B19" s="1276" t="s">
        <v>2457</v>
      </c>
      <c r="C19" s="219" t="s">
        <v>99</v>
      </c>
      <c r="D19" s="219" t="s">
        <v>782</v>
      </c>
      <c r="E19" s="227" t="s">
        <v>1999</v>
      </c>
      <c r="F19" s="227" t="s">
        <v>1999</v>
      </c>
      <c r="G19" s="229">
        <v>117900</v>
      </c>
      <c r="H19" s="229">
        <v>53612</v>
      </c>
      <c r="I19" s="229">
        <v>0.2</v>
      </c>
      <c r="J19" s="229">
        <v>0</v>
      </c>
      <c r="K19" s="227" t="str">
        <f t="shared" si="0"/>
        <v>⚠️ Atrasado</v>
      </c>
      <c r="L19" s="219" t="s">
        <v>2440</v>
      </c>
      <c r="M19" s="229">
        <v>40</v>
      </c>
      <c r="N19" s="219" t="s">
        <v>2441</v>
      </c>
      <c r="O19" s="227" t="s">
        <v>50</v>
      </c>
      <c r="P19" s="219"/>
      <c r="Q19" s="221"/>
      <c r="R19" s="221"/>
      <c r="S19" s="221"/>
      <c r="T19" s="221"/>
      <c r="U19" s="221"/>
      <c r="V19" s="221"/>
      <c r="W19" s="221"/>
      <c r="X19" s="221"/>
      <c r="Y19" s="221"/>
      <c r="Z19" s="986"/>
    </row>
    <row r="20" spans="1:26" s="11" customFormat="1" ht="37.950000000000003" customHeight="1" x14ac:dyDescent="0.3">
      <c r="A20" s="1072" t="s">
        <v>633</v>
      </c>
      <c r="B20" s="1275" t="s">
        <v>2458</v>
      </c>
      <c r="C20" s="215" t="s">
        <v>99</v>
      </c>
      <c r="D20" s="215" t="s">
        <v>782</v>
      </c>
      <c r="E20" s="216" t="s">
        <v>1999</v>
      </c>
      <c r="F20" s="216" t="s">
        <v>1999</v>
      </c>
      <c r="G20" s="103">
        <v>0</v>
      </c>
      <c r="H20" s="103">
        <v>636284</v>
      </c>
      <c r="I20" s="103">
        <v>0.7</v>
      </c>
      <c r="J20" s="103">
        <v>1</v>
      </c>
      <c r="K20" s="216" t="str">
        <f t="shared" si="0"/>
        <v>🔄 En ejecución</v>
      </c>
      <c r="L20" s="215" t="s">
        <v>2440</v>
      </c>
      <c r="M20" s="103">
        <v>40</v>
      </c>
      <c r="N20" s="215" t="s">
        <v>2444</v>
      </c>
      <c r="O20" s="216" t="s">
        <v>633</v>
      </c>
      <c r="P20" s="215"/>
      <c r="Q20" s="139"/>
      <c r="R20" s="139"/>
      <c r="S20" s="139"/>
      <c r="T20" s="139"/>
      <c r="U20" s="139"/>
      <c r="V20" s="139"/>
      <c r="W20" s="139"/>
      <c r="X20" s="139"/>
      <c r="Y20" s="139"/>
      <c r="Z20" s="985"/>
    </row>
    <row r="21" spans="1:26" s="11" customFormat="1" ht="37.950000000000003" customHeight="1" x14ac:dyDescent="0.3">
      <c r="A21" s="1072" t="s">
        <v>622</v>
      </c>
      <c r="B21" s="1276" t="s">
        <v>2459</v>
      </c>
      <c r="C21" s="219" t="s">
        <v>811</v>
      </c>
      <c r="D21" s="219" t="s">
        <v>782</v>
      </c>
      <c r="E21" s="227" t="s">
        <v>1999</v>
      </c>
      <c r="F21" s="227" t="s">
        <v>450</v>
      </c>
      <c r="G21" s="229">
        <v>0</v>
      </c>
      <c r="H21" s="229">
        <v>169100</v>
      </c>
      <c r="I21" s="229">
        <v>1</v>
      </c>
      <c r="J21" s="229">
        <v>1</v>
      </c>
      <c r="K21" s="230" t="str">
        <f t="shared" si="0"/>
        <v>✅ Completado</v>
      </c>
      <c r="L21" s="219" t="s">
        <v>2440</v>
      </c>
      <c r="M21" s="229">
        <v>35</v>
      </c>
      <c r="N21" s="219" t="s">
        <v>2444</v>
      </c>
      <c r="O21" s="227" t="s">
        <v>622</v>
      </c>
      <c r="P21" s="219"/>
      <c r="Q21" s="221"/>
      <c r="R21" s="221"/>
      <c r="S21" s="221"/>
      <c r="T21" s="221"/>
      <c r="U21" s="221"/>
      <c r="V21" s="221"/>
      <c r="W21" s="221"/>
      <c r="X21" s="221"/>
      <c r="Y21" s="221"/>
      <c r="Z21" s="986"/>
    </row>
    <row r="22" spans="1:26" s="11" customFormat="1" ht="37.950000000000003" customHeight="1" x14ac:dyDescent="0.3">
      <c r="A22" s="1072" t="s">
        <v>470</v>
      </c>
      <c r="B22" s="1275" t="s">
        <v>2460</v>
      </c>
      <c r="C22" s="215" t="s">
        <v>97</v>
      </c>
      <c r="D22" s="215" t="s">
        <v>801</v>
      </c>
      <c r="E22" s="216" t="s">
        <v>1999</v>
      </c>
      <c r="F22" s="216" t="s">
        <v>450</v>
      </c>
      <c r="G22" s="103">
        <v>0</v>
      </c>
      <c r="H22" s="103">
        <v>5000</v>
      </c>
      <c r="I22" s="103">
        <v>0.35</v>
      </c>
      <c r="J22" s="103">
        <v>1</v>
      </c>
      <c r="K22" s="216" t="str">
        <f t="shared" si="0"/>
        <v>⚠️ Atrasado</v>
      </c>
      <c r="L22" s="215" t="s">
        <v>2440</v>
      </c>
      <c r="M22" s="103">
        <v>31.5</v>
      </c>
      <c r="N22" s="215" t="s">
        <v>2444</v>
      </c>
      <c r="O22" s="216" t="s">
        <v>470</v>
      </c>
      <c r="P22" s="215"/>
      <c r="Q22" s="139"/>
      <c r="R22" s="139"/>
      <c r="S22" s="139"/>
      <c r="T22" s="139"/>
      <c r="U22" s="139"/>
      <c r="V22" s="139"/>
      <c r="W22" s="139"/>
      <c r="X22" s="139"/>
      <c r="Y22" s="139"/>
      <c r="Z22" s="985"/>
    </row>
    <row r="23" spans="1:26" s="11" customFormat="1" ht="37.950000000000003" customHeight="1" x14ac:dyDescent="0.3">
      <c r="A23" s="1072" t="s">
        <v>463</v>
      </c>
      <c r="B23" s="1276" t="s">
        <v>2461</v>
      </c>
      <c r="C23" s="219" t="s">
        <v>818</v>
      </c>
      <c r="D23" s="219" t="s">
        <v>801</v>
      </c>
      <c r="E23" s="227" t="s">
        <v>1999</v>
      </c>
      <c r="F23" s="227" t="s">
        <v>1999</v>
      </c>
      <c r="G23" s="229">
        <v>0</v>
      </c>
      <c r="H23" s="229">
        <v>35101</v>
      </c>
      <c r="I23" s="229">
        <v>0.3</v>
      </c>
      <c r="J23" s="229">
        <v>1</v>
      </c>
      <c r="K23" s="227" t="str">
        <f t="shared" si="0"/>
        <v>⚠️ Atrasado</v>
      </c>
      <c r="L23" s="219" t="s">
        <v>2440</v>
      </c>
      <c r="M23" s="229">
        <v>58.5</v>
      </c>
      <c r="N23" s="219" t="s">
        <v>2444</v>
      </c>
      <c r="O23" s="227" t="s">
        <v>463</v>
      </c>
      <c r="P23" s="219"/>
      <c r="Q23" s="221"/>
      <c r="R23" s="221"/>
      <c r="S23" s="221"/>
      <c r="T23" s="221"/>
      <c r="U23" s="221"/>
      <c r="V23" s="221"/>
      <c r="W23" s="221"/>
      <c r="X23" s="221"/>
      <c r="Y23" s="221"/>
      <c r="Z23" s="986"/>
    </row>
    <row r="24" spans="1:26" s="11" customFormat="1" ht="37.950000000000003" customHeight="1" x14ac:dyDescent="0.3">
      <c r="A24" s="1072" t="s">
        <v>711</v>
      </c>
      <c r="B24" s="1275" t="s">
        <v>2462</v>
      </c>
      <c r="C24" s="215" t="s">
        <v>89</v>
      </c>
      <c r="D24" s="215" t="s">
        <v>782</v>
      </c>
      <c r="E24" s="216" t="s">
        <v>1999</v>
      </c>
      <c r="F24" s="216" t="s">
        <v>1999</v>
      </c>
      <c r="G24" s="103">
        <v>15600</v>
      </c>
      <c r="H24" s="103">
        <v>460243</v>
      </c>
      <c r="I24" s="103">
        <v>1</v>
      </c>
      <c r="J24" s="103">
        <v>1</v>
      </c>
      <c r="K24" s="1285" t="str">
        <f t="shared" si="0"/>
        <v>✅ Completado</v>
      </c>
      <c r="L24" s="215" t="s">
        <v>2440</v>
      </c>
      <c r="M24" s="103">
        <v>72</v>
      </c>
      <c r="N24" s="215" t="s">
        <v>2441</v>
      </c>
      <c r="O24" s="216" t="s">
        <v>711</v>
      </c>
      <c r="P24" s="215"/>
      <c r="Q24" s="139"/>
      <c r="R24" s="139"/>
      <c r="S24" s="139"/>
      <c r="T24" s="139"/>
      <c r="U24" s="139"/>
      <c r="V24" s="139"/>
      <c r="W24" s="139"/>
      <c r="X24" s="139"/>
      <c r="Y24" s="139"/>
      <c r="Z24" s="985"/>
    </row>
    <row r="25" spans="1:26" s="11" customFormat="1" ht="37.950000000000003" customHeight="1" x14ac:dyDescent="0.3">
      <c r="A25" s="1072" t="s">
        <v>501</v>
      </c>
      <c r="B25" s="1276" t="s">
        <v>2463</v>
      </c>
      <c r="C25" s="219" t="s">
        <v>91</v>
      </c>
      <c r="D25" s="219" t="s">
        <v>782</v>
      </c>
      <c r="E25" s="227" t="s">
        <v>1999</v>
      </c>
      <c r="F25" s="227" t="s">
        <v>1999</v>
      </c>
      <c r="G25" s="229">
        <v>45625014</v>
      </c>
      <c r="H25" s="229">
        <v>22000</v>
      </c>
      <c r="I25" s="229">
        <v>0.25</v>
      </c>
      <c r="J25" s="229">
        <v>1</v>
      </c>
      <c r="K25" s="227" t="str">
        <f t="shared" si="0"/>
        <v>⚠️ Atrasado</v>
      </c>
      <c r="L25" s="219" t="s">
        <v>2440</v>
      </c>
      <c r="M25" s="229">
        <v>67.5</v>
      </c>
      <c r="N25" s="219" t="s">
        <v>2441</v>
      </c>
      <c r="O25" s="227" t="s">
        <v>501</v>
      </c>
      <c r="P25" s="219"/>
      <c r="Q25" s="221"/>
      <c r="R25" s="221"/>
      <c r="S25" s="221"/>
      <c r="T25" s="221"/>
      <c r="U25" s="221"/>
      <c r="V25" s="221"/>
      <c r="W25" s="221"/>
      <c r="X25" s="221"/>
      <c r="Y25" s="221"/>
      <c r="Z25" s="986"/>
    </row>
    <row r="26" spans="1:26" s="11" customFormat="1" ht="37.950000000000003" customHeight="1" x14ac:dyDescent="0.3">
      <c r="A26" s="1072"/>
      <c r="B26" s="1275"/>
      <c r="C26" s="215"/>
      <c r="D26" s="215"/>
      <c r="E26" s="215"/>
      <c r="F26" s="215"/>
      <c r="G26" s="215"/>
      <c r="H26" s="215"/>
      <c r="I26" s="215"/>
      <c r="J26" s="215"/>
      <c r="K26" s="215"/>
      <c r="L26" s="215"/>
      <c r="M26" s="215"/>
      <c r="N26" s="215"/>
      <c r="O26" s="215"/>
      <c r="P26" s="215"/>
      <c r="Q26" s="139"/>
      <c r="R26" s="139"/>
      <c r="S26" s="139"/>
      <c r="T26" s="139"/>
      <c r="U26" s="139"/>
      <c r="V26" s="139"/>
      <c r="W26" s="139"/>
      <c r="X26" s="139"/>
      <c r="Y26" s="139"/>
      <c r="Z26" s="985"/>
    </row>
    <row r="27" spans="1:26" s="11" customFormat="1" ht="19.95" customHeight="1" x14ac:dyDescent="0.3">
      <c r="A27" s="1715" t="s">
        <v>2464</v>
      </c>
      <c r="B27" s="1716"/>
      <c r="C27" s="1716"/>
      <c r="D27" s="1716"/>
      <c r="E27" s="1716"/>
      <c r="F27" s="1716"/>
      <c r="G27" s="1716"/>
      <c r="H27" s="1716"/>
      <c r="I27" s="1716"/>
      <c r="J27" s="1716"/>
      <c r="K27" s="1716"/>
      <c r="L27" s="1716"/>
      <c r="M27" s="1716"/>
      <c r="N27" s="1716"/>
      <c r="O27" s="1716"/>
      <c r="P27" s="1716"/>
      <c r="Q27" s="1716"/>
      <c r="R27" s="1716"/>
      <c r="S27" s="1716"/>
      <c r="T27" s="1716"/>
      <c r="U27" s="1716"/>
      <c r="V27" s="1716"/>
      <c r="W27" s="1716"/>
      <c r="X27" s="1716"/>
      <c r="Y27" s="1716"/>
      <c r="Z27" s="1717"/>
    </row>
    <row r="28" spans="1:26" s="11" customFormat="1" ht="37.950000000000003" customHeight="1" x14ac:dyDescent="0.3">
      <c r="A28" s="1072" t="s">
        <v>2465</v>
      </c>
      <c r="B28" s="1275" t="s">
        <v>2466</v>
      </c>
      <c r="C28" s="215" t="s">
        <v>2467</v>
      </c>
      <c r="D28" s="215"/>
      <c r="E28" s="215"/>
      <c r="F28" s="215"/>
      <c r="G28" s="215"/>
      <c r="H28" s="215"/>
      <c r="I28" s="215"/>
      <c r="J28" s="215"/>
      <c r="K28" s="215"/>
      <c r="L28" s="215"/>
      <c r="M28" s="215"/>
      <c r="N28" s="215"/>
      <c r="O28" s="215"/>
      <c r="P28" s="215"/>
      <c r="Q28" s="139"/>
      <c r="R28" s="139"/>
      <c r="S28" s="139"/>
      <c r="T28" s="139"/>
      <c r="U28" s="139"/>
      <c r="V28" s="139"/>
      <c r="W28" s="139"/>
      <c r="X28" s="139"/>
      <c r="Y28" s="139"/>
      <c r="Z28" s="985"/>
    </row>
    <row r="29" spans="1:26" s="11" customFormat="1" ht="37.950000000000003" customHeight="1" x14ac:dyDescent="0.3">
      <c r="A29" s="1072" t="s">
        <v>2468</v>
      </c>
      <c r="B29" s="1302">
        <f>COUNTA(A6:A25)</f>
        <v>20</v>
      </c>
      <c r="C29" s="229">
        <f>COUNTA(A6:A25)</f>
        <v>20</v>
      </c>
      <c r="D29" s="219"/>
      <c r="E29" s="219"/>
      <c r="F29" s="219"/>
      <c r="G29" s="219"/>
      <c r="H29" s="219"/>
      <c r="I29" s="219"/>
      <c r="J29" s="219"/>
      <c r="K29" s="219"/>
      <c r="L29" s="219"/>
      <c r="M29" s="219"/>
      <c r="N29" s="219"/>
      <c r="O29" s="219"/>
      <c r="P29" s="219"/>
      <c r="Q29" s="221"/>
      <c r="R29" s="221"/>
      <c r="S29" s="221"/>
      <c r="T29" s="221"/>
      <c r="U29" s="221"/>
      <c r="V29" s="221"/>
      <c r="W29" s="221"/>
      <c r="X29" s="221"/>
      <c r="Y29" s="221"/>
      <c r="Z29" s="986"/>
    </row>
    <row r="30" spans="1:26" s="11" customFormat="1" ht="37.950000000000003" customHeight="1" x14ac:dyDescent="0.3">
      <c r="A30" s="1071" t="s">
        <v>2469</v>
      </c>
      <c r="B30" s="1303">
        <f>COUNTIF(I6:I25,"&gt;"&amp;0.8)</f>
        <v>6</v>
      </c>
      <c r="C30" s="103">
        <f>COUNTIF(I6:I25,"&gt;0.8")</f>
        <v>0</v>
      </c>
      <c r="D30" s="215"/>
      <c r="E30" s="215"/>
      <c r="F30" s="215"/>
      <c r="G30" s="215"/>
      <c r="H30" s="215"/>
      <c r="I30" s="215"/>
      <c r="J30" s="215"/>
      <c r="K30" s="215"/>
      <c r="L30" s="215"/>
      <c r="M30" s="215"/>
      <c r="N30" s="215"/>
      <c r="O30" s="215"/>
      <c r="P30" s="215"/>
      <c r="Q30" s="139"/>
      <c r="R30" s="139"/>
      <c r="S30" s="139"/>
      <c r="T30" s="139"/>
      <c r="U30" s="139"/>
      <c r="V30" s="139"/>
      <c r="W30" s="139"/>
      <c r="X30" s="139"/>
      <c r="Y30" s="139"/>
      <c r="Z30" s="985"/>
    </row>
    <row r="31" spans="1:26" ht="18" customHeight="1" x14ac:dyDescent="0.3">
      <c r="A31" s="1073" t="s">
        <v>2470</v>
      </c>
      <c r="B31" s="1304">
        <f>COUNTIFS(I6:I25,"&gt;="&amp;0.4,I6:I25,"&lt;"&amp;0.8)</f>
        <v>6</v>
      </c>
      <c r="C31" s="243">
        <f>COUNTIFS(I6:I25,"&gt;="&amp;0.4,I6:I25,"&lt;="&amp;0.8)</f>
        <v>6</v>
      </c>
      <c r="D31" s="232"/>
      <c r="E31" s="232"/>
      <c r="F31" s="232"/>
      <c r="G31" s="232"/>
      <c r="H31" s="232"/>
      <c r="I31" s="232"/>
      <c r="J31" s="232"/>
      <c r="K31" s="232"/>
      <c r="L31" s="232"/>
      <c r="M31" s="232"/>
      <c r="N31" s="232"/>
      <c r="O31" s="232"/>
      <c r="P31" s="232"/>
      <c r="Q31" s="194"/>
      <c r="R31" s="194"/>
      <c r="S31" s="194"/>
      <c r="T31" s="194"/>
      <c r="U31" s="194"/>
      <c r="V31" s="194"/>
      <c r="W31" s="194"/>
      <c r="X31" s="194"/>
      <c r="Y31" s="194"/>
      <c r="Z31" s="987"/>
    </row>
    <row r="32" spans="1:26" ht="18" customHeight="1" x14ac:dyDescent="0.3">
      <c r="A32" s="1073" t="s">
        <v>2471</v>
      </c>
      <c r="B32" s="1305">
        <f>COUNTIFS(I6:I25,"&gt;"&amp;0,I6:I25,"&lt;"&amp;0.4)</f>
        <v>6</v>
      </c>
      <c r="C32" s="245">
        <f>COUNTIFS(I6:I25,"&gt;"&amp;0,I6:I25,"&lt;"&amp;0.4)</f>
        <v>6</v>
      </c>
      <c r="D32" s="101"/>
      <c r="E32" s="101"/>
      <c r="F32" s="101"/>
      <c r="G32" s="101"/>
      <c r="H32" s="101"/>
      <c r="I32" s="101"/>
      <c r="J32" s="101"/>
      <c r="K32" s="101"/>
      <c r="L32" s="101"/>
      <c r="M32" s="101"/>
      <c r="N32" s="101"/>
      <c r="O32" s="101"/>
      <c r="P32" s="101"/>
      <c r="Q32" s="104"/>
      <c r="R32" s="104"/>
      <c r="S32" s="104"/>
      <c r="T32" s="104"/>
      <c r="U32" s="104"/>
      <c r="V32" s="104"/>
      <c r="W32" s="104"/>
      <c r="X32" s="104"/>
      <c r="Y32" s="104"/>
      <c r="Z32" s="988"/>
    </row>
    <row r="33" spans="1:26" ht="18" customHeight="1" x14ac:dyDescent="0.3">
      <c r="A33" s="1073" t="s">
        <v>2472</v>
      </c>
      <c r="B33" s="1304">
        <f>COUNTIF(I6:I25,"="&amp;0)</f>
        <v>2</v>
      </c>
      <c r="C33" s="243">
        <f>COUNTIF(I6:I25,0)</f>
        <v>2</v>
      </c>
      <c r="D33" s="232"/>
      <c r="E33" s="232"/>
      <c r="F33" s="232"/>
      <c r="G33" s="232"/>
      <c r="H33" s="232"/>
      <c r="I33" s="232"/>
      <c r="J33" s="232"/>
      <c r="K33" s="232"/>
      <c r="L33" s="232"/>
      <c r="M33" s="232"/>
      <c r="N33" s="232"/>
      <c r="O33" s="232"/>
      <c r="P33" s="232"/>
      <c r="Q33" s="194"/>
      <c r="R33" s="194"/>
      <c r="S33" s="194"/>
      <c r="T33" s="194"/>
      <c r="U33" s="194"/>
      <c r="V33" s="194"/>
      <c r="W33" s="194"/>
      <c r="X33" s="194"/>
      <c r="Y33" s="194"/>
      <c r="Z33" s="987"/>
    </row>
    <row r="34" spans="1:26" ht="18" customHeight="1" x14ac:dyDescent="0.3">
      <c r="A34" s="1073" t="s">
        <v>2473</v>
      </c>
      <c r="B34" s="1305">
        <f>COUNTIF('M4-AUDIT'!X5:X24,1)</f>
        <v>8</v>
      </c>
      <c r="C34" s="245">
        <f>COUNTIF('M4-AUDIT'!X5:X24,1)</f>
        <v>8</v>
      </c>
      <c r="D34" s="101"/>
      <c r="E34" s="101"/>
      <c r="F34" s="101"/>
      <c r="G34" s="101"/>
      <c r="H34" s="101"/>
      <c r="I34" s="101"/>
      <c r="J34" s="101"/>
      <c r="K34" s="101"/>
      <c r="L34" s="101"/>
      <c r="M34" s="101"/>
      <c r="N34" s="101"/>
      <c r="O34" s="101"/>
      <c r="P34" s="101"/>
      <c r="Q34" s="104"/>
      <c r="R34" s="104"/>
      <c r="S34" s="104"/>
      <c r="T34" s="104"/>
      <c r="U34" s="104"/>
      <c r="V34" s="104"/>
      <c r="W34" s="104"/>
      <c r="X34" s="104"/>
      <c r="Y34" s="104"/>
      <c r="Z34" s="988"/>
    </row>
    <row r="35" spans="1:26" ht="18" customHeight="1" x14ac:dyDescent="0.3">
      <c r="A35" s="1073" t="s">
        <v>2474</v>
      </c>
      <c r="B35" s="1306">
        <f>IFERROR(AVERAGE(I6:I25),0)</f>
        <v>0.53</v>
      </c>
      <c r="C35" s="232"/>
      <c r="D35" s="232"/>
      <c r="E35" s="232"/>
      <c r="F35" s="232"/>
      <c r="G35" s="232"/>
      <c r="H35" s="232"/>
      <c r="I35" s="232"/>
      <c r="J35" s="232"/>
      <c r="K35" s="232"/>
      <c r="L35" s="232"/>
      <c r="M35" s="232"/>
      <c r="N35" s="232"/>
      <c r="O35" s="232"/>
      <c r="P35" s="232"/>
      <c r="Q35" s="194"/>
      <c r="R35" s="194"/>
      <c r="S35" s="194"/>
      <c r="T35" s="194"/>
      <c r="U35" s="194"/>
      <c r="V35" s="194"/>
      <c r="W35" s="194"/>
      <c r="X35" s="194"/>
      <c r="Y35" s="194"/>
      <c r="Z35" s="987"/>
    </row>
    <row r="36" spans="1:26" ht="18" customHeight="1" x14ac:dyDescent="0.3">
      <c r="A36" s="1073" t="s">
        <v>2475</v>
      </c>
      <c r="B36" s="1307">
        <f>SUM(G6:G25)</f>
        <v>122857648</v>
      </c>
      <c r="C36" s="101"/>
      <c r="D36" s="101"/>
      <c r="E36" s="101"/>
      <c r="F36" s="101"/>
      <c r="G36" s="101"/>
      <c r="H36" s="101"/>
      <c r="I36" s="101"/>
      <c r="J36" s="101"/>
      <c r="K36" s="101"/>
      <c r="L36" s="101"/>
      <c r="M36" s="101"/>
      <c r="N36" s="101"/>
      <c r="O36" s="101"/>
      <c r="P36" s="101"/>
      <c r="Q36" s="104"/>
      <c r="R36" s="104"/>
      <c r="S36" s="104"/>
      <c r="T36" s="104"/>
      <c r="U36" s="104"/>
      <c r="V36" s="104"/>
      <c r="W36" s="104"/>
      <c r="X36" s="104"/>
      <c r="Y36" s="104"/>
      <c r="Z36" s="988"/>
    </row>
    <row r="37" spans="1:26" ht="19.95" customHeight="1" x14ac:dyDescent="0.3">
      <c r="A37" s="1715" t="s">
        <v>2476</v>
      </c>
      <c r="B37" s="1716"/>
      <c r="C37" s="1716"/>
      <c r="D37" s="1716"/>
      <c r="E37" s="1716"/>
      <c r="F37" s="1716"/>
      <c r="G37" s="1716"/>
      <c r="H37" s="1716"/>
      <c r="I37" s="1716"/>
      <c r="J37" s="1716"/>
      <c r="K37" s="1716"/>
      <c r="L37" s="1716"/>
      <c r="M37" s="1716"/>
      <c r="N37" s="1716"/>
      <c r="O37" s="1716"/>
      <c r="P37" s="1716"/>
      <c r="Q37" s="1716"/>
      <c r="R37" s="1716"/>
      <c r="S37" s="1716"/>
      <c r="T37" s="1716"/>
      <c r="U37" s="1716"/>
      <c r="V37" s="1716"/>
      <c r="W37" s="1716"/>
      <c r="X37" s="1716"/>
      <c r="Y37" s="1716"/>
      <c r="Z37" s="1717"/>
    </row>
    <row r="38" spans="1:26" ht="18" customHeight="1" x14ac:dyDescent="0.3">
      <c r="A38" s="1073" t="s">
        <v>2477</v>
      </c>
      <c r="B38" s="1308">
        <f>IFERROR(SUM(H6:H25)/SUM(G6:G25),0)</f>
        <v>0.11692112972893637</v>
      </c>
      <c r="C38" s="101"/>
      <c r="D38" s="101"/>
      <c r="E38" s="101"/>
      <c r="F38" s="101"/>
      <c r="G38" s="101"/>
      <c r="H38" s="101"/>
      <c r="I38" s="101"/>
      <c r="J38" s="101"/>
      <c r="K38" s="101"/>
      <c r="L38" s="101"/>
      <c r="M38" s="101"/>
      <c r="N38" s="101"/>
      <c r="O38" s="101"/>
      <c r="P38" s="101"/>
      <c r="Q38" s="104"/>
      <c r="R38" s="104"/>
      <c r="S38" s="104"/>
      <c r="T38" s="104"/>
      <c r="U38" s="104"/>
      <c r="V38" s="104"/>
      <c r="W38" s="104"/>
      <c r="X38" s="104"/>
      <c r="Y38" s="104"/>
      <c r="Z38" s="988"/>
    </row>
    <row r="39" spans="1:26" ht="28.05" customHeight="1" x14ac:dyDescent="0.3">
      <c r="A39" s="1073" t="s">
        <v>1631</v>
      </c>
      <c r="B39" s="1309" t="str">
        <f>ROUND('M5-ICPI'!G29,2)&amp;"%"</f>
        <v>38,28%</v>
      </c>
      <c r="C39" s="219" t="str">
        <f>"'E1-ICPI'!G25 = "&amp;ROUND('M5-ICPI'!G29,2)&amp;"% — Fuente canónica SIAP-ICPI"</f>
        <v>'E1-ICPI'!G25 = 38,28% — Fuente canónica SIAP-ICPI</v>
      </c>
      <c r="D39" s="232"/>
      <c r="E39" s="232"/>
      <c r="F39" s="232"/>
      <c r="G39" s="232"/>
      <c r="H39" s="232"/>
      <c r="I39" s="232"/>
      <c r="J39" s="232"/>
      <c r="K39" s="232"/>
      <c r="L39" s="232"/>
      <c r="M39" s="232"/>
      <c r="N39" s="232"/>
      <c r="O39" s="232"/>
      <c r="P39" s="232"/>
      <c r="Q39" s="194"/>
      <c r="R39" s="194"/>
      <c r="S39" s="194"/>
      <c r="T39" s="194"/>
      <c r="U39" s="194"/>
      <c r="V39" s="194"/>
      <c r="W39" s="194"/>
      <c r="X39" s="194"/>
      <c r="Y39" s="194"/>
      <c r="Z39" s="987"/>
    </row>
    <row r="40" spans="1:26" ht="28.05" customHeight="1" x14ac:dyDescent="0.3">
      <c r="A40" s="1073" t="s">
        <v>2478</v>
      </c>
      <c r="B40" s="1310" t="str">
        <f>ROUND('DATA-CED'!N25*100,1)&amp;"%"</f>
        <v>0%</v>
      </c>
      <c r="C40" s="101" t="s">
        <v>2479</v>
      </c>
      <c r="D40" s="101"/>
      <c r="E40" s="101"/>
      <c r="F40" s="101"/>
      <c r="G40" s="101"/>
      <c r="H40" s="101"/>
      <c r="I40" s="101"/>
      <c r="J40" s="101"/>
      <c r="K40" s="101"/>
      <c r="L40" s="101"/>
      <c r="M40" s="101"/>
      <c r="N40" s="101"/>
      <c r="O40" s="101"/>
      <c r="P40" s="101"/>
      <c r="Q40" s="104"/>
      <c r="R40" s="104"/>
      <c r="S40" s="104"/>
      <c r="T40" s="104"/>
      <c r="U40" s="104"/>
      <c r="V40" s="104"/>
      <c r="W40" s="104"/>
      <c r="X40" s="104"/>
      <c r="Y40" s="104"/>
      <c r="Z40" s="988"/>
    </row>
    <row r="41" spans="1:26" ht="19.95" customHeight="1" x14ac:dyDescent="0.3">
      <c r="A41" s="1715" t="s">
        <v>2480</v>
      </c>
      <c r="B41" s="1716"/>
      <c r="C41" s="1716"/>
      <c r="D41" s="1716"/>
      <c r="E41" s="1716"/>
      <c r="F41" s="1716"/>
      <c r="G41" s="1716"/>
      <c r="H41" s="1716"/>
      <c r="I41" s="1716"/>
      <c r="J41" s="1716"/>
      <c r="K41" s="1716"/>
      <c r="L41" s="1716"/>
      <c r="M41" s="1716"/>
      <c r="N41" s="1716"/>
      <c r="O41" s="1716"/>
      <c r="P41" s="1716"/>
      <c r="Q41" s="1716"/>
      <c r="R41" s="1716"/>
      <c r="S41" s="1716"/>
      <c r="T41" s="1716"/>
      <c r="U41" s="1716"/>
      <c r="V41" s="1716"/>
      <c r="W41" s="1716"/>
      <c r="X41" s="1716"/>
      <c r="Y41" s="1716"/>
      <c r="Z41" s="1717"/>
    </row>
    <row r="42" spans="1:26" ht="18" customHeight="1" x14ac:dyDescent="0.3">
      <c r="A42" s="1073" t="s">
        <v>2481</v>
      </c>
      <c r="B42" s="1310" t="s">
        <v>42</v>
      </c>
      <c r="C42" s="101" t="s">
        <v>671</v>
      </c>
      <c r="D42" s="101" t="s">
        <v>2482</v>
      </c>
      <c r="E42" s="101" t="s">
        <v>1857</v>
      </c>
      <c r="F42" s="101"/>
      <c r="G42" s="101"/>
      <c r="H42" s="101"/>
      <c r="I42" s="101"/>
      <c r="J42" s="101"/>
      <c r="K42" s="101"/>
      <c r="L42" s="101"/>
      <c r="M42" s="101"/>
      <c r="N42" s="101"/>
      <c r="O42" s="101"/>
      <c r="P42" s="101"/>
      <c r="Q42" s="104"/>
      <c r="R42" s="104"/>
      <c r="S42" s="104"/>
      <c r="T42" s="104"/>
      <c r="U42" s="104"/>
      <c r="V42" s="104"/>
      <c r="W42" s="104"/>
      <c r="X42" s="104"/>
      <c r="Y42" s="104"/>
      <c r="Z42" s="988"/>
    </row>
    <row r="43" spans="1:26" ht="37.950000000000003" customHeight="1" x14ac:dyDescent="0.3">
      <c r="A43" s="1072">
        <v>1</v>
      </c>
      <c r="B43" s="571" t="s">
        <v>2483</v>
      </c>
      <c r="C43" s="231" t="s">
        <v>2484</v>
      </c>
      <c r="D43" s="231" t="s">
        <v>2485</v>
      </c>
      <c r="E43" s="231" t="s">
        <v>2486</v>
      </c>
      <c r="F43" s="231"/>
      <c r="G43" s="231"/>
      <c r="H43" s="231"/>
      <c r="I43" s="231"/>
      <c r="J43" s="231"/>
      <c r="K43" s="231"/>
      <c r="L43" s="231"/>
      <c r="M43" s="231"/>
      <c r="N43" s="231"/>
      <c r="O43" s="231"/>
      <c r="P43" s="231"/>
      <c r="Q43" s="194"/>
      <c r="R43" s="194"/>
      <c r="S43" s="194"/>
      <c r="T43" s="194"/>
      <c r="U43" s="194"/>
      <c r="V43" s="194"/>
      <c r="W43" s="194"/>
      <c r="X43" s="194"/>
      <c r="Y43" s="194"/>
      <c r="Z43" s="987"/>
    </row>
    <row r="44" spans="1:26" ht="37.950000000000003" customHeight="1" x14ac:dyDescent="0.3">
      <c r="A44" s="1072">
        <v>2</v>
      </c>
      <c r="B44" s="1275" t="s">
        <v>2487</v>
      </c>
      <c r="C44" s="100" t="s">
        <v>2484</v>
      </c>
      <c r="D44" s="100" t="s">
        <v>2488</v>
      </c>
      <c r="E44" s="100" t="s">
        <v>2489</v>
      </c>
      <c r="F44" s="100"/>
      <c r="G44" s="100"/>
      <c r="H44" s="100"/>
      <c r="I44" s="100"/>
      <c r="J44" s="100"/>
      <c r="K44" s="100"/>
      <c r="L44" s="100"/>
      <c r="M44" s="100"/>
      <c r="N44" s="100"/>
      <c r="O44" s="101"/>
      <c r="P44" s="101"/>
      <c r="Q44" s="104"/>
      <c r="R44" s="104"/>
      <c r="S44" s="104"/>
      <c r="T44" s="104"/>
      <c r="U44" s="104"/>
      <c r="V44" s="104"/>
      <c r="W44" s="104"/>
      <c r="X44" s="104"/>
      <c r="Y44" s="104"/>
      <c r="Z44" s="988"/>
    </row>
    <row r="45" spans="1:26" ht="37.950000000000003" customHeight="1" x14ac:dyDescent="0.3">
      <c r="A45" s="1072">
        <v>3</v>
      </c>
      <c r="B45" s="571" t="s">
        <v>2490</v>
      </c>
      <c r="C45" s="231" t="s">
        <v>2484</v>
      </c>
      <c r="D45" s="231" t="s">
        <v>2491</v>
      </c>
      <c r="E45" s="231" t="s">
        <v>2492</v>
      </c>
      <c r="F45" s="231"/>
      <c r="G45" s="231"/>
      <c r="H45" s="231"/>
      <c r="I45" s="231"/>
      <c r="J45" s="231"/>
      <c r="K45" s="231"/>
      <c r="L45" s="231"/>
      <c r="M45" s="231"/>
      <c r="N45" s="231"/>
      <c r="O45" s="231"/>
      <c r="P45" s="231"/>
      <c r="Q45" s="194"/>
      <c r="R45" s="194"/>
      <c r="S45" s="194"/>
      <c r="T45" s="194"/>
      <c r="U45" s="194"/>
      <c r="V45" s="194"/>
      <c r="W45" s="194"/>
      <c r="X45" s="194"/>
      <c r="Y45" s="194"/>
      <c r="Z45" s="987"/>
    </row>
    <row r="46" spans="1:26" ht="37.950000000000003" customHeight="1" x14ac:dyDescent="0.3">
      <c r="A46" s="1072">
        <v>4</v>
      </c>
      <c r="B46" s="570" t="s">
        <v>2493</v>
      </c>
      <c r="C46" s="100" t="s">
        <v>2494</v>
      </c>
      <c r="D46" s="100" t="s">
        <v>2495</v>
      </c>
      <c r="E46" s="100" t="s">
        <v>2496</v>
      </c>
      <c r="F46" s="100"/>
      <c r="G46" s="100"/>
      <c r="H46" s="100"/>
      <c r="I46" s="100"/>
      <c r="J46" s="100"/>
      <c r="K46" s="100"/>
      <c r="L46" s="100"/>
      <c r="M46" s="100"/>
      <c r="N46" s="100"/>
      <c r="O46" s="100"/>
      <c r="P46" s="100"/>
      <c r="Q46" s="104"/>
      <c r="R46" s="104"/>
      <c r="S46" s="104"/>
      <c r="T46" s="104"/>
      <c r="U46" s="104"/>
      <c r="V46" s="104"/>
      <c r="W46" s="104"/>
      <c r="X46" s="104"/>
      <c r="Y46" s="104"/>
      <c r="Z46" s="988"/>
    </row>
    <row r="47" spans="1:26" ht="37.950000000000003" customHeight="1" x14ac:dyDescent="0.3">
      <c r="A47" s="1072">
        <v>5</v>
      </c>
      <c r="B47" s="571" t="s">
        <v>2497</v>
      </c>
      <c r="C47" s="231" t="s">
        <v>2498</v>
      </c>
      <c r="D47" s="231" t="s">
        <v>2499</v>
      </c>
      <c r="E47" s="231" t="s">
        <v>2500</v>
      </c>
      <c r="F47" s="231"/>
      <c r="G47" s="231"/>
      <c r="H47" s="231"/>
      <c r="I47" s="231"/>
      <c r="J47" s="231"/>
      <c r="K47" s="231"/>
      <c r="L47" s="231"/>
      <c r="M47" s="231"/>
      <c r="N47" s="231"/>
      <c r="O47" s="231"/>
      <c r="P47" s="231"/>
      <c r="Q47" s="194"/>
      <c r="R47" s="194"/>
      <c r="S47" s="194"/>
      <c r="T47" s="194"/>
      <c r="U47" s="194"/>
      <c r="V47" s="194"/>
      <c r="W47" s="194"/>
      <c r="X47" s="194"/>
      <c r="Y47" s="194"/>
      <c r="Z47" s="987"/>
    </row>
    <row r="48" spans="1:26" ht="37.950000000000003" customHeight="1" thickBot="1" x14ac:dyDescent="0.35">
      <c r="A48" s="1167">
        <v>6</v>
      </c>
      <c r="B48" s="1311" t="s">
        <v>2501</v>
      </c>
      <c r="C48" s="1301" t="s">
        <v>2498</v>
      </c>
      <c r="D48" s="1301" t="s">
        <v>2502</v>
      </c>
      <c r="E48" s="1301" t="s">
        <v>2503</v>
      </c>
      <c r="F48" s="1301"/>
      <c r="G48" s="1301"/>
      <c r="H48" s="1301"/>
      <c r="I48" s="1301"/>
      <c r="J48" s="1301"/>
      <c r="K48" s="1301"/>
      <c r="L48" s="1301"/>
      <c r="M48" s="1301"/>
      <c r="N48" s="1301"/>
      <c r="O48" s="1301"/>
      <c r="P48" s="1301"/>
      <c r="Q48" s="989"/>
      <c r="R48" s="989"/>
      <c r="S48" s="989"/>
      <c r="T48" s="989"/>
      <c r="U48" s="989"/>
      <c r="V48" s="989"/>
      <c r="W48" s="989"/>
      <c r="X48" s="989"/>
      <c r="Y48" s="989"/>
      <c r="Z48" s="990"/>
    </row>
    <row r="49" ht="15" thickTop="1" x14ac:dyDescent="0.3"/>
  </sheetData>
  <mergeCells count="6">
    <mergeCell ref="A27:Z27"/>
    <mergeCell ref="A37:Z37"/>
    <mergeCell ref="A41:Z41"/>
    <mergeCell ref="A1:Z1"/>
    <mergeCell ref="A3:Z3"/>
    <mergeCell ref="A4:Z4"/>
  </mergeCells>
  <conditionalFormatting sqref="M6:M25">
    <cfRule type="cellIs" dxfId="12" priority="1" operator="lessThan">
      <formula>30</formula>
    </cfRule>
    <cfRule type="cellIs" dxfId="11" priority="2" operator="between">
      <formula>30</formula>
      <formula>49.9</formula>
    </cfRule>
    <cfRule type="cellIs" dxfId="10" priority="3" operator="between">
      <formula>50</formula>
      <formula>69.9</formula>
    </cfRule>
    <cfRule type="cellIs" dxfId="9" priority="4" operator="between">
      <formula>70</formula>
      <formula>79.9</formula>
    </cfRule>
    <cfRule type="cellIs" dxfId="8" priority="5" operator="greaterThanOrEqual">
      <formula>80</formula>
    </cfRule>
  </conditionalFormatting>
  <dataValidations count="4">
    <dataValidation type="decimal" allowBlank="1" showInputMessage="1" showErrorMessage="1" errorTitle="Valor inválido" error="El avance Ti debe estar entre 0 y 1." promptTitle="Avance Ti" prompt="Ingrese valor entre 0 (0%) y 1 (100%). Ej: 0.75 = 75%" sqref="I6:I25" xr:uid="{00000000-0002-0000-1F00-000000000000}">
      <formula1>0</formula1>
      <formula2>1</formula2>
    </dataValidation>
    <dataValidation type="list" allowBlank="1" showInputMessage="1" showErrorMessage="1" errorTitle="Vi inválido" error="Vi debe ser 0 (sin evidencia) ó 1 (con evidencia)." sqref="J6:J25" xr:uid="{00000000-0002-0000-1F00-000001000000}">
      <formula1>"0,1"</formula1>
    </dataValidation>
    <dataValidation type="list" allowBlank="1" showInputMessage="1" showErrorMessage="1" sqref="E6:F25" xr:uid="{00000000-0002-0000-1F00-000002000000}">
      <formula1>"Sí,No"</formula1>
    </dataValidation>
    <dataValidation type="list" allowBlank="1" showInputMessage="1" showErrorMessage="1" sqref="D6:D25" xr:uid="{00000000-0002-0000-1F00-000003000000}">
      <formula1>"Director,Director Ejecutivo,Dir. Ejecutivo EP,Jefe Departamento,Subdirector"</formula1>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E2EFDA"/>
  </sheetPr>
  <dimension ref="A1:Z48"/>
  <sheetViews>
    <sheetView showGridLines="0" zoomScale="85" zoomScaleNormal="85" workbookViewId="0">
      <pane ySplit="3" topLeftCell="A36" activePane="bottomLeft" state="frozen"/>
      <selection pane="bottomLeft" sqref="A1:Z1"/>
    </sheetView>
  </sheetViews>
  <sheetFormatPr baseColWidth="10" defaultRowHeight="14.4" x14ac:dyDescent="0.3"/>
  <cols>
    <col min="1" max="1" width="5.21875" customWidth="1"/>
    <col min="2" max="2" width="51.88671875" customWidth="1"/>
    <col min="3" max="3" width="50.33203125" bestFit="1" customWidth="1"/>
    <col min="4" max="4" width="30" bestFit="1" customWidth="1"/>
    <col min="5" max="5" width="24.6640625" bestFit="1" customWidth="1"/>
    <col min="6" max="6" width="13.6640625" bestFit="1" customWidth="1"/>
    <col min="7" max="7" width="46.33203125" customWidth="1"/>
    <col min="26" max="26" width="8.33203125" bestFit="1" customWidth="1"/>
  </cols>
  <sheetData>
    <row r="1" spans="1:26" ht="19.95" customHeight="1" x14ac:dyDescent="0.3">
      <c r="A1" s="1925" t="s">
        <v>4800</v>
      </c>
      <c r="B1" s="1713"/>
      <c r="C1" s="1713"/>
      <c r="D1" s="1713"/>
      <c r="E1" s="1713"/>
      <c r="F1" s="1713"/>
      <c r="G1" s="1713"/>
      <c r="H1" s="1713"/>
      <c r="I1" s="1713"/>
      <c r="J1" s="1713"/>
      <c r="K1" s="1713"/>
      <c r="L1" s="1713"/>
      <c r="M1" s="1713"/>
      <c r="N1" s="1713"/>
      <c r="O1" s="1713"/>
      <c r="P1" s="1713"/>
      <c r="Q1" s="1713"/>
      <c r="R1" s="1713"/>
      <c r="S1" s="1713"/>
      <c r="T1" s="1713"/>
      <c r="U1" s="1713"/>
      <c r="V1" s="1713"/>
      <c r="W1" s="1713"/>
      <c r="X1" s="1713"/>
      <c r="Y1" s="1713"/>
      <c r="Z1" s="1713"/>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536"/>
      <c r="N2" s="536"/>
      <c r="O2" s="536"/>
      <c r="P2" s="536"/>
      <c r="Q2" s="536"/>
      <c r="R2" s="536"/>
      <c r="S2" s="536"/>
      <c r="T2" s="536"/>
      <c r="U2" s="536"/>
      <c r="V2" s="536"/>
      <c r="W2" s="536"/>
      <c r="X2" s="536"/>
      <c r="Y2" s="536"/>
      <c r="Z2" s="536"/>
    </row>
    <row r="3" spans="1:26" ht="19.95" customHeight="1" thickBot="1" x14ac:dyDescent="0.35">
      <c r="A3" s="1714" t="s">
        <v>4075</v>
      </c>
      <c r="B3" s="1714"/>
      <c r="C3" s="1714"/>
      <c r="D3" s="1714"/>
      <c r="E3" s="1714"/>
      <c r="F3" s="1714"/>
      <c r="G3" s="1714"/>
      <c r="H3" s="1714"/>
      <c r="I3" s="1714"/>
      <c r="J3" s="1714"/>
      <c r="K3" s="1714"/>
      <c r="L3" s="1714"/>
      <c r="M3" s="1714"/>
      <c r="N3" s="1714"/>
      <c r="O3" s="1714"/>
      <c r="P3" s="1714"/>
      <c r="Q3" s="1714"/>
      <c r="R3" s="1714"/>
      <c r="S3" s="1714"/>
      <c r="T3" s="1714"/>
      <c r="U3" s="1714"/>
      <c r="V3" s="1714"/>
      <c r="W3" s="1714"/>
      <c r="X3" s="1714"/>
      <c r="Y3" s="1714"/>
      <c r="Z3" s="1714"/>
    </row>
    <row r="4" spans="1:26" ht="19.95" customHeight="1" thickTop="1" x14ac:dyDescent="0.3">
      <c r="A4" s="1671" t="s">
        <v>4053</v>
      </c>
      <c r="B4" s="1672"/>
      <c r="C4" s="1672"/>
      <c r="D4" s="1672"/>
      <c r="E4" s="1672"/>
      <c r="F4" s="1672"/>
      <c r="G4" s="1672"/>
      <c r="H4" s="1672"/>
      <c r="I4" s="1672"/>
      <c r="J4" s="1672"/>
      <c r="K4" s="1672"/>
      <c r="L4" s="1672"/>
      <c r="M4" s="1672"/>
      <c r="N4" s="1672"/>
      <c r="O4" s="1672"/>
      <c r="P4" s="1672"/>
      <c r="Q4" s="1672"/>
      <c r="R4" s="1672"/>
      <c r="S4" s="1672"/>
      <c r="T4" s="1672"/>
      <c r="U4" s="1672"/>
      <c r="V4" s="1672"/>
      <c r="W4" s="1672"/>
      <c r="X4" s="1672"/>
      <c r="Y4" s="1672"/>
      <c r="Z4" s="1673"/>
    </row>
    <row r="5" spans="1:26" s="13" customFormat="1" ht="16.05" customHeight="1" x14ac:dyDescent="0.3">
      <c r="A5" s="999" t="s">
        <v>1808</v>
      </c>
      <c r="B5" s="1012" t="s">
        <v>2504</v>
      </c>
      <c r="C5" s="415" t="s">
        <v>2505</v>
      </c>
      <c r="D5" s="415" t="s">
        <v>2388</v>
      </c>
      <c r="E5" s="415" t="s">
        <v>2506</v>
      </c>
      <c r="F5" s="1129" t="s">
        <v>2507</v>
      </c>
      <c r="G5" s="415" t="s">
        <v>2508</v>
      </c>
      <c r="H5" s="415"/>
      <c r="I5" s="415"/>
      <c r="J5" s="415"/>
      <c r="K5" s="184"/>
      <c r="L5" s="184"/>
      <c r="M5" s="184"/>
      <c r="N5" s="184"/>
      <c r="O5" s="184"/>
      <c r="P5" s="184"/>
      <c r="Q5" s="184"/>
      <c r="R5" s="184"/>
      <c r="S5" s="184"/>
      <c r="T5" s="184"/>
      <c r="U5" s="184"/>
      <c r="V5" s="184"/>
      <c r="W5" s="184"/>
      <c r="X5" s="184"/>
      <c r="Y5" s="184"/>
      <c r="Z5" s="928"/>
    </row>
    <row r="6" spans="1:26" s="11" customFormat="1" ht="16.05" customHeight="1" x14ac:dyDescent="0.3">
      <c r="A6" s="999" t="s">
        <v>96</v>
      </c>
      <c r="B6" s="1013" t="s">
        <v>2509</v>
      </c>
      <c r="C6" s="350" t="s">
        <v>2510</v>
      </c>
      <c r="D6" s="350" t="s">
        <v>94</v>
      </c>
      <c r="E6" s="451">
        <v>46025</v>
      </c>
      <c r="F6" s="354" t="s">
        <v>2511</v>
      </c>
      <c r="G6" s="366" t="s">
        <v>2512</v>
      </c>
      <c r="H6" s="347"/>
      <c r="I6" s="347"/>
      <c r="J6" s="347"/>
      <c r="K6" s="139"/>
      <c r="L6" s="139"/>
      <c r="M6" s="139"/>
      <c r="N6" s="139"/>
      <c r="O6" s="139"/>
      <c r="P6" s="139"/>
      <c r="Q6" s="139"/>
      <c r="R6" s="139"/>
      <c r="S6" s="139"/>
      <c r="T6" s="139"/>
      <c r="U6" s="139"/>
      <c r="V6" s="139"/>
      <c r="W6" s="139"/>
      <c r="X6" s="139"/>
      <c r="Y6" s="139"/>
      <c r="Z6" s="985"/>
    </row>
    <row r="7" spans="1:26" s="11" customFormat="1" ht="16.05" customHeight="1" x14ac:dyDescent="0.3">
      <c r="A7" s="999" t="s">
        <v>96</v>
      </c>
      <c r="B7" s="1321" t="s">
        <v>2513</v>
      </c>
      <c r="C7" s="432" t="s">
        <v>57</v>
      </c>
      <c r="D7" s="432" t="s">
        <v>95</v>
      </c>
      <c r="E7" s="452">
        <v>46025</v>
      </c>
      <c r="F7" s="1129" t="s">
        <v>2511</v>
      </c>
      <c r="G7" s="453" t="s">
        <v>2514</v>
      </c>
      <c r="H7" s="446"/>
      <c r="I7" s="446"/>
      <c r="J7" s="446"/>
      <c r="K7" s="221"/>
      <c r="L7" s="221"/>
      <c r="M7" s="221"/>
      <c r="N7" s="221"/>
      <c r="O7" s="221"/>
      <c r="P7" s="221"/>
      <c r="Q7" s="221"/>
      <c r="R7" s="221"/>
      <c r="S7" s="221"/>
      <c r="T7" s="221"/>
      <c r="U7" s="221"/>
      <c r="V7" s="221"/>
      <c r="W7" s="221"/>
      <c r="X7" s="221"/>
      <c r="Y7" s="221"/>
      <c r="Z7" s="986"/>
    </row>
    <row r="8" spans="1:26" s="11" customFormat="1" ht="16.05" customHeight="1" x14ac:dyDescent="0.3">
      <c r="A8" s="999" t="s">
        <v>96</v>
      </c>
      <c r="B8" s="1322" t="s">
        <v>2515</v>
      </c>
      <c r="C8" s="350" t="s">
        <v>470</v>
      </c>
      <c r="D8" s="350" t="s">
        <v>97</v>
      </c>
      <c r="E8" s="451">
        <v>46025</v>
      </c>
      <c r="F8" s="354" t="s">
        <v>2511</v>
      </c>
      <c r="G8" s="366" t="s">
        <v>2516</v>
      </c>
      <c r="H8" s="347"/>
      <c r="I8" s="347"/>
      <c r="J8" s="347"/>
      <c r="K8" s="139"/>
      <c r="L8" s="139"/>
      <c r="M8" s="139"/>
      <c r="N8" s="139"/>
      <c r="O8" s="139"/>
      <c r="P8" s="139"/>
      <c r="Q8" s="139"/>
      <c r="R8" s="139"/>
      <c r="S8" s="139"/>
      <c r="T8" s="139"/>
      <c r="U8" s="139"/>
      <c r="V8" s="139"/>
      <c r="W8" s="139"/>
      <c r="X8" s="139"/>
      <c r="Y8" s="139"/>
      <c r="Z8" s="985"/>
    </row>
    <row r="9" spans="1:26" s="11" customFormat="1" ht="16.05" customHeight="1" x14ac:dyDescent="0.3">
      <c r="A9" s="999" t="s">
        <v>98</v>
      </c>
      <c r="B9" s="1323" t="s">
        <v>2517</v>
      </c>
      <c r="C9" s="432" t="s">
        <v>622</v>
      </c>
      <c r="D9" s="432" t="s">
        <v>811</v>
      </c>
      <c r="E9" s="452">
        <v>46025</v>
      </c>
      <c r="F9" s="454" t="s">
        <v>2518</v>
      </c>
      <c r="G9" s="455" t="s">
        <v>2519</v>
      </c>
      <c r="H9" s="446"/>
      <c r="I9" s="446"/>
      <c r="J9" s="446"/>
      <c r="K9" s="221"/>
      <c r="L9" s="221"/>
      <c r="M9" s="221"/>
      <c r="N9" s="221"/>
      <c r="O9" s="221"/>
      <c r="P9" s="221"/>
      <c r="Q9" s="221"/>
      <c r="R9" s="221"/>
      <c r="S9" s="221"/>
      <c r="T9" s="221"/>
      <c r="U9" s="221"/>
      <c r="V9" s="221"/>
      <c r="W9" s="221"/>
      <c r="X9" s="221"/>
      <c r="Y9" s="221"/>
      <c r="Z9" s="986"/>
    </row>
    <row r="10" spans="1:26" s="11" customFormat="1" ht="16.05" customHeight="1" x14ac:dyDescent="0.3">
      <c r="A10" s="999" t="s">
        <v>98</v>
      </c>
      <c r="B10" s="1322" t="s">
        <v>2520</v>
      </c>
      <c r="C10" s="350" t="s">
        <v>50</v>
      </c>
      <c r="D10" s="350" t="s">
        <v>99</v>
      </c>
      <c r="E10" s="451">
        <v>46025</v>
      </c>
      <c r="F10" s="456" t="s">
        <v>2518</v>
      </c>
      <c r="G10" s="349" t="s">
        <v>2521</v>
      </c>
      <c r="H10" s="347"/>
      <c r="I10" s="347"/>
      <c r="J10" s="347"/>
      <c r="K10" s="139"/>
      <c r="L10" s="139"/>
      <c r="M10" s="139"/>
      <c r="N10" s="139"/>
      <c r="O10" s="139"/>
      <c r="P10" s="139"/>
      <c r="Q10" s="139"/>
      <c r="R10" s="139"/>
      <c r="S10" s="139"/>
      <c r="T10" s="139"/>
      <c r="U10" s="139"/>
      <c r="V10" s="139"/>
      <c r="W10" s="139"/>
      <c r="X10" s="139"/>
      <c r="Y10" s="139"/>
      <c r="Z10" s="985"/>
    </row>
    <row r="11" spans="1:26" s="11" customFormat="1" ht="16.05" customHeight="1" x14ac:dyDescent="0.3">
      <c r="A11" s="999" t="s">
        <v>98</v>
      </c>
      <c r="B11" s="1321" t="s">
        <v>2522</v>
      </c>
      <c r="C11" s="432" t="s">
        <v>687</v>
      </c>
      <c r="D11" s="432" t="s">
        <v>791</v>
      </c>
      <c r="E11" s="452">
        <v>46025</v>
      </c>
      <c r="F11" s="1312" t="s">
        <v>2523</v>
      </c>
      <c r="G11" s="453" t="s">
        <v>2524</v>
      </c>
      <c r="H11" s="446"/>
      <c r="I11" s="446"/>
      <c r="J11" s="446"/>
      <c r="K11" s="221"/>
      <c r="L11" s="221"/>
      <c r="M11" s="221"/>
      <c r="N11" s="221"/>
      <c r="O11" s="221"/>
      <c r="P11" s="221"/>
      <c r="Q11" s="221"/>
      <c r="R11" s="221"/>
      <c r="S11" s="221"/>
      <c r="T11" s="221"/>
      <c r="U11" s="221"/>
      <c r="V11" s="221"/>
      <c r="W11" s="221"/>
      <c r="X11" s="221"/>
      <c r="Y11" s="221"/>
      <c r="Z11" s="986"/>
    </row>
    <row r="12" spans="1:26" s="11" customFormat="1" ht="16.05" customHeight="1" x14ac:dyDescent="0.3">
      <c r="A12" s="999" t="s">
        <v>1145</v>
      </c>
      <c r="B12" s="1013" t="s">
        <v>2525</v>
      </c>
      <c r="C12" s="350" t="s">
        <v>487</v>
      </c>
      <c r="D12" s="350" t="s">
        <v>804</v>
      </c>
      <c r="E12" s="451">
        <v>46025</v>
      </c>
      <c r="F12" s="1313" t="s">
        <v>2526</v>
      </c>
      <c r="G12" s="366" t="s">
        <v>2527</v>
      </c>
      <c r="H12" s="347"/>
      <c r="I12" s="347"/>
      <c r="J12" s="347"/>
      <c r="K12" s="139"/>
      <c r="L12" s="139"/>
      <c r="M12" s="139"/>
      <c r="N12" s="139"/>
      <c r="O12" s="139"/>
      <c r="P12" s="139"/>
      <c r="Q12" s="139"/>
      <c r="R12" s="139"/>
      <c r="S12" s="139"/>
      <c r="T12" s="139"/>
      <c r="U12" s="139"/>
      <c r="V12" s="139"/>
      <c r="W12" s="139"/>
      <c r="X12" s="139"/>
      <c r="Y12" s="139"/>
      <c r="Z12" s="985"/>
    </row>
    <row r="13" spans="1:26" s="11" customFormat="1" ht="16.05" customHeight="1" x14ac:dyDescent="0.3">
      <c r="A13" s="999" t="s">
        <v>1145</v>
      </c>
      <c r="B13" s="1321" t="s">
        <v>2528</v>
      </c>
      <c r="C13" s="432" t="s">
        <v>463</v>
      </c>
      <c r="D13" s="432" t="s">
        <v>818</v>
      </c>
      <c r="E13" s="452">
        <v>46025</v>
      </c>
      <c r="F13" s="1312" t="s">
        <v>2526</v>
      </c>
      <c r="G13" s="455" t="s">
        <v>2529</v>
      </c>
      <c r="H13" s="446"/>
      <c r="I13" s="446"/>
      <c r="J13" s="446"/>
      <c r="K13" s="221"/>
      <c r="L13" s="221"/>
      <c r="M13" s="221"/>
      <c r="N13" s="221"/>
      <c r="O13" s="221"/>
      <c r="P13" s="221"/>
      <c r="Q13" s="221"/>
      <c r="R13" s="221"/>
      <c r="S13" s="221"/>
      <c r="T13" s="221"/>
      <c r="U13" s="221"/>
      <c r="V13" s="221"/>
      <c r="W13" s="221"/>
      <c r="X13" s="221"/>
      <c r="Y13" s="221"/>
      <c r="Z13" s="986"/>
    </row>
    <row r="14" spans="1:26" s="11" customFormat="1" ht="16.05" customHeight="1" x14ac:dyDescent="0.3">
      <c r="A14" s="999" t="s">
        <v>1145</v>
      </c>
      <c r="B14" s="1322" t="s">
        <v>2530</v>
      </c>
      <c r="C14" s="350" t="s">
        <v>515</v>
      </c>
      <c r="D14" s="350" t="s">
        <v>799</v>
      </c>
      <c r="E14" s="451">
        <v>46025</v>
      </c>
      <c r="F14" s="1313" t="s">
        <v>2526</v>
      </c>
      <c r="G14" s="366" t="s">
        <v>2531</v>
      </c>
      <c r="H14" s="347"/>
      <c r="I14" s="347"/>
      <c r="J14" s="347"/>
      <c r="K14" s="139"/>
      <c r="L14" s="139"/>
      <c r="M14" s="139"/>
      <c r="N14" s="139"/>
      <c r="O14" s="139"/>
      <c r="P14" s="139"/>
      <c r="Q14" s="139"/>
      <c r="R14" s="139"/>
      <c r="S14" s="139"/>
      <c r="T14" s="139"/>
      <c r="U14" s="139"/>
      <c r="V14" s="139"/>
      <c r="W14" s="139"/>
      <c r="X14" s="139"/>
      <c r="Y14" s="139"/>
      <c r="Z14" s="985"/>
    </row>
    <row r="15" spans="1:26" s="11" customFormat="1" ht="16.05" customHeight="1" x14ac:dyDescent="0.3">
      <c r="A15" s="999" t="s">
        <v>1145</v>
      </c>
      <c r="B15" s="1321" t="s">
        <v>2532</v>
      </c>
      <c r="C15" s="432" t="s">
        <v>687</v>
      </c>
      <c r="D15" s="432" t="s">
        <v>791</v>
      </c>
      <c r="E15" s="452">
        <v>46025</v>
      </c>
      <c r="F15" s="1312" t="s">
        <v>2526</v>
      </c>
      <c r="G15" s="453" t="s">
        <v>2533</v>
      </c>
      <c r="H15" s="446"/>
      <c r="I15" s="446"/>
      <c r="J15" s="446"/>
      <c r="K15" s="221"/>
      <c r="L15" s="221"/>
      <c r="M15" s="221"/>
      <c r="N15" s="221"/>
      <c r="O15" s="221"/>
      <c r="P15" s="221"/>
      <c r="Q15" s="221"/>
      <c r="R15" s="221"/>
      <c r="S15" s="221"/>
      <c r="T15" s="221"/>
      <c r="U15" s="221"/>
      <c r="V15" s="221"/>
      <c r="W15" s="221"/>
      <c r="X15" s="221"/>
      <c r="Y15" s="221"/>
      <c r="Z15" s="986"/>
    </row>
    <row r="16" spans="1:26" s="11" customFormat="1" ht="16.05" customHeight="1" x14ac:dyDescent="0.3">
      <c r="A16" s="1019" t="s">
        <v>2534</v>
      </c>
      <c r="B16" s="1322" t="s">
        <v>2535</v>
      </c>
      <c r="C16" s="350" t="s">
        <v>470</v>
      </c>
      <c r="D16" s="350" t="s">
        <v>97</v>
      </c>
      <c r="E16" s="451">
        <v>46025</v>
      </c>
      <c r="F16" s="1313" t="s">
        <v>2526</v>
      </c>
      <c r="G16" s="349" t="s">
        <v>2536</v>
      </c>
      <c r="H16" s="347"/>
      <c r="I16" s="347"/>
      <c r="J16" s="347"/>
      <c r="K16" s="139"/>
      <c r="L16" s="139"/>
      <c r="M16" s="139"/>
      <c r="N16" s="139"/>
      <c r="O16" s="139"/>
      <c r="P16" s="139"/>
      <c r="Q16" s="139"/>
      <c r="R16" s="139"/>
      <c r="S16" s="139"/>
      <c r="T16" s="139"/>
      <c r="U16" s="139"/>
      <c r="V16" s="139"/>
      <c r="W16" s="139"/>
      <c r="X16" s="139"/>
      <c r="Y16" s="139"/>
      <c r="Z16" s="985"/>
    </row>
    <row r="17" spans="1:26" s="11" customFormat="1" ht="16.05" customHeight="1" x14ac:dyDescent="0.3">
      <c r="A17" s="1019" t="s">
        <v>2534</v>
      </c>
      <c r="B17" s="1321" t="s">
        <v>2537</v>
      </c>
      <c r="C17" s="432" t="s">
        <v>50</v>
      </c>
      <c r="D17" s="432" t="s">
        <v>99</v>
      </c>
      <c r="E17" s="452">
        <v>46025</v>
      </c>
      <c r="F17" s="1129" t="s">
        <v>2511</v>
      </c>
      <c r="G17" s="455" t="s">
        <v>2538</v>
      </c>
      <c r="H17" s="446"/>
      <c r="I17" s="446"/>
      <c r="J17" s="446"/>
      <c r="K17" s="221"/>
      <c r="L17" s="221"/>
      <c r="M17" s="221"/>
      <c r="N17" s="221"/>
      <c r="O17" s="221"/>
      <c r="P17" s="221"/>
      <c r="Q17" s="221"/>
      <c r="R17" s="221"/>
      <c r="S17" s="221"/>
      <c r="T17" s="221"/>
      <c r="U17" s="221"/>
      <c r="V17" s="221"/>
      <c r="W17" s="221"/>
      <c r="X17" s="221"/>
      <c r="Y17" s="221"/>
      <c r="Z17" s="986"/>
    </row>
    <row r="18" spans="1:26" s="11" customFormat="1" ht="16.05" customHeight="1" x14ac:dyDescent="0.3">
      <c r="A18" s="1019" t="s">
        <v>2534</v>
      </c>
      <c r="B18" s="1322" t="s">
        <v>2539</v>
      </c>
      <c r="C18" s="350" t="s">
        <v>501</v>
      </c>
      <c r="D18" s="350" t="s">
        <v>91</v>
      </c>
      <c r="E18" s="451">
        <v>46025</v>
      </c>
      <c r="F18" s="1313" t="s">
        <v>2526</v>
      </c>
      <c r="G18" s="366" t="s">
        <v>2540</v>
      </c>
      <c r="H18" s="347"/>
      <c r="I18" s="347"/>
      <c r="J18" s="347"/>
      <c r="K18" s="139"/>
      <c r="L18" s="139"/>
      <c r="M18" s="139"/>
      <c r="N18" s="139"/>
      <c r="O18" s="139"/>
      <c r="P18" s="139"/>
      <c r="Q18" s="139"/>
      <c r="R18" s="139"/>
      <c r="S18" s="139"/>
      <c r="T18" s="139"/>
      <c r="U18" s="139"/>
      <c r="V18" s="139"/>
      <c r="W18" s="139"/>
      <c r="X18" s="139"/>
      <c r="Y18" s="139"/>
      <c r="Z18" s="985"/>
    </row>
    <row r="19" spans="1:26" s="11" customFormat="1" ht="16.05" customHeight="1" x14ac:dyDescent="0.3">
      <c r="A19" s="1019" t="s">
        <v>2534</v>
      </c>
      <c r="B19" s="1321" t="s">
        <v>2541</v>
      </c>
      <c r="C19" s="432" t="s">
        <v>622</v>
      </c>
      <c r="D19" s="432" t="s">
        <v>811</v>
      </c>
      <c r="E19" s="452">
        <v>46025</v>
      </c>
      <c r="F19" s="1312" t="s">
        <v>2526</v>
      </c>
      <c r="G19" s="453" t="s">
        <v>2542</v>
      </c>
      <c r="H19" s="446"/>
      <c r="I19" s="446"/>
      <c r="J19" s="446"/>
      <c r="K19" s="221"/>
      <c r="L19" s="221"/>
      <c r="M19" s="221"/>
      <c r="N19" s="221"/>
      <c r="O19" s="221"/>
      <c r="P19" s="221"/>
      <c r="Q19" s="221"/>
      <c r="R19" s="221"/>
      <c r="S19" s="221"/>
      <c r="T19" s="221"/>
      <c r="U19" s="221"/>
      <c r="V19" s="221"/>
      <c r="W19" s="221"/>
      <c r="X19" s="221"/>
      <c r="Y19" s="221"/>
      <c r="Z19" s="986"/>
    </row>
    <row r="20" spans="1:26" s="11" customFormat="1" ht="16.05" customHeight="1" x14ac:dyDescent="0.3">
      <c r="A20" s="1019"/>
      <c r="B20" s="1324"/>
      <c r="C20" s="457"/>
      <c r="D20" s="457"/>
      <c r="E20" s="457"/>
      <c r="F20" s="457"/>
      <c r="G20" s="457"/>
      <c r="H20" s="347"/>
      <c r="I20" s="347"/>
      <c r="J20" s="347"/>
      <c r="K20" s="139"/>
      <c r="L20" s="139"/>
      <c r="M20" s="139"/>
      <c r="N20" s="139"/>
      <c r="O20" s="139"/>
      <c r="P20" s="139"/>
      <c r="Q20" s="139"/>
      <c r="R20" s="139"/>
      <c r="S20" s="139"/>
      <c r="T20" s="139"/>
      <c r="U20" s="139"/>
      <c r="V20" s="139"/>
      <c r="W20" s="139"/>
      <c r="X20" s="139"/>
      <c r="Y20" s="139"/>
      <c r="Z20" s="985"/>
    </row>
    <row r="21" spans="1:26" s="11" customFormat="1" ht="16.05" customHeight="1" x14ac:dyDescent="0.3">
      <c r="A21" s="1019"/>
      <c r="B21" s="1136"/>
      <c r="C21" s="418"/>
      <c r="D21" s="418"/>
      <c r="E21" s="418"/>
      <c r="F21" s="418"/>
      <c r="G21" s="458"/>
      <c r="H21" s="446"/>
      <c r="I21" s="446"/>
      <c r="J21" s="446"/>
      <c r="K21" s="221"/>
      <c r="L21" s="221"/>
      <c r="M21" s="221"/>
      <c r="N21" s="221"/>
      <c r="O21" s="221"/>
      <c r="P21" s="221"/>
      <c r="Q21" s="221"/>
      <c r="R21" s="221"/>
      <c r="S21" s="221"/>
      <c r="T21" s="221"/>
      <c r="U21" s="221"/>
      <c r="V21" s="221"/>
      <c r="W21" s="221"/>
      <c r="X21" s="221"/>
      <c r="Y21" s="221"/>
      <c r="Z21" s="986"/>
    </row>
    <row r="22" spans="1:26" s="11" customFormat="1" ht="19.95" customHeight="1" x14ac:dyDescent="0.3">
      <c r="A22" s="1797" t="s">
        <v>2543</v>
      </c>
      <c r="B22" s="1798"/>
      <c r="C22" s="1798"/>
      <c r="D22" s="1798"/>
      <c r="E22" s="1798"/>
      <c r="F22" s="1798"/>
      <c r="G22" s="1798"/>
      <c r="H22" s="1798"/>
      <c r="I22" s="1798"/>
      <c r="J22" s="1798"/>
      <c r="K22" s="1798"/>
      <c r="L22" s="1798"/>
      <c r="M22" s="1798"/>
      <c r="N22" s="1798"/>
      <c r="O22" s="1798"/>
      <c r="P22" s="1798"/>
      <c r="Q22" s="1798"/>
      <c r="R22" s="1798"/>
      <c r="S22" s="1798"/>
      <c r="T22" s="1798"/>
      <c r="U22" s="1798"/>
      <c r="V22" s="1798"/>
      <c r="W22" s="1798"/>
      <c r="X22" s="1798"/>
      <c r="Y22" s="1798"/>
      <c r="Z22" s="1799"/>
    </row>
    <row r="23" spans="1:26" s="11" customFormat="1" ht="16.05" customHeight="1" x14ac:dyDescent="0.3">
      <c r="A23" s="1019" t="s">
        <v>85</v>
      </c>
      <c r="B23" s="1136" t="s">
        <v>2544</v>
      </c>
      <c r="C23" s="418" t="s">
        <v>2545</v>
      </c>
      <c r="D23" s="418" t="s">
        <v>2546</v>
      </c>
      <c r="E23" s="419" t="s">
        <v>2547</v>
      </c>
      <c r="F23" s="418" t="s">
        <v>1857</v>
      </c>
      <c r="G23" s="418" t="s">
        <v>123</v>
      </c>
      <c r="H23" s="446"/>
      <c r="I23" s="446"/>
      <c r="J23" s="446"/>
      <c r="K23" s="221"/>
      <c r="L23" s="221"/>
      <c r="M23" s="221"/>
      <c r="N23" s="221"/>
      <c r="O23" s="221"/>
      <c r="P23" s="221"/>
      <c r="Q23" s="221"/>
      <c r="R23" s="221"/>
      <c r="S23" s="221"/>
      <c r="T23" s="221"/>
      <c r="U23" s="221"/>
      <c r="V23" s="221"/>
      <c r="W23" s="221"/>
      <c r="X23" s="221"/>
      <c r="Y23" s="221"/>
      <c r="Z23" s="986"/>
    </row>
    <row r="24" spans="1:26" s="11" customFormat="1" ht="16.05" customHeight="1" x14ac:dyDescent="0.3">
      <c r="A24" s="999" t="s">
        <v>96</v>
      </c>
      <c r="B24" s="1135" t="s">
        <v>2548</v>
      </c>
      <c r="C24" s="357" t="s">
        <v>2549</v>
      </c>
      <c r="D24" s="357" t="s">
        <v>2550</v>
      </c>
      <c r="E24" s="359" t="s">
        <v>2551</v>
      </c>
      <c r="F24" s="357" t="s">
        <v>2552</v>
      </c>
      <c r="G24" s="357" t="s">
        <v>2553</v>
      </c>
      <c r="H24" s="347"/>
      <c r="I24" s="347"/>
      <c r="J24" s="347"/>
      <c r="K24" s="139"/>
      <c r="L24" s="139"/>
      <c r="M24" s="139"/>
      <c r="N24" s="139"/>
      <c r="O24" s="139"/>
      <c r="P24" s="139"/>
      <c r="Q24" s="139"/>
      <c r="R24" s="139"/>
      <c r="S24" s="139"/>
      <c r="T24" s="139"/>
      <c r="U24" s="139"/>
      <c r="V24" s="139"/>
      <c r="W24" s="139"/>
      <c r="X24" s="139"/>
      <c r="Y24" s="139"/>
      <c r="Z24" s="985"/>
    </row>
    <row r="25" spans="1:26" s="11" customFormat="1" ht="16.05" customHeight="1" x14ac:dyDescent="0.3">
      <c r="A25" s="999" t="s">
        <v>98</v>
      </c>
      <c r="B25" s="1136" t="s">
        <v>2554</v>
      </c>
      <c r="C25" s="419" t="s">
        <v>2555</v>
      </c>
      <c r="D25" s="418" t="s">
        <v>2556</v>
      </c>
      <c r="E25" s="459" t="s">
        <v>2551</v>
      </c>
      <c r="F25" s="418" t="s">
        <v>2055</v>
      </c>
      <c r="G25" s="418" t="s">
        <v>219</v>
      </c>
      <c r="H25" s="446"/>
      <c r="I25" s="446"/>
      <c r="J25" s="446"/>
      <c r="K25" s="221"/>
      <c r="L25" s="221"/>
      <c r="M25" s="221"/>
      <c r="N25" s="221"/>
      <c r="O25" s="221"/>
      <c r="P25" s="221"/>
      <c r="Q25" s="221"/>
      <c r="R25" s="221"/>
      <c r="S25" s="221"/>
      <c r="T25" s="221"/>
      <c r="U25" s="221"/>
      <c r="V25" s="221"/>
      <c r="W25" s="221"/>
      <c r="X25" s="221"/>
      <c r="Y25" s="221"/>
      <c r="Z25" s="986"/>
    </row>
    <row r="26" spans="1:26" s="11" customFormat="1" ht="16.05" customHeight="1" x14ac:dyDescent="0.3">
      <c r="A26" s="999" t="s">
        <v>1145</v>
      </c>
      <c r="B26" s="1135" t="s">
        <v>2557</v>
      </c>
      <c r="C26" s="357" t="s">
        <v>2558</v>
      </c>
      <c r="D26" s="357" t="s">
        <v>2559</v>
      </c>
      <c r="E26" s="460" t="s">
        <v>2560</v>
      </c>
      <c r="F26" s="357" t="s">
        <v>2052</v>
      </c>
      <c r="G26" s="357" t="s">
        <v>2561</v>
      </c>
      <c r="H26" s="347"/>
      <c r="I26" s="347"/>
      <c r="J26" s="347"/>
      <c r="K26" s="139"/>
      <c r="L26" s="139"/>
      <c r="M26" s="139"/>
      <c r="N26" s="139"/>
      <c r="O26" s="139"/>
      <c r="P26" s="139"/>
      <c r="Q26" s="139"/>
      <c r="R26" s="139"/>
      <c r="S26" s="139"/>
      <c r="T26" s="139"/>
      <c r="U26" s="139"/>
      <c r="V26" s="139"/>
      <c r="W26" s="139"/>
      <c r="X26" s="139"/>
      <c r="Y26" s="139"/>
      <c r="Z26" s="985"/>
    </row>
    <row r="27" spans="1:26" s="11" customFormat="1" ht="16.05" customHeight="1" x14ac:dyDescent="0.3">
      <c r="A27" s="1019" t="s">
        <v>2534</v>
      </c>
      <c r="B27" s="1136" t="s">
        <v>2562</v>
      </c>
      <c r="C27" s="418" t="s">
        <v>2563</v>
      </c>
      <c r="D27" s="418" t="s">
        <v>2564</v>
      </c>
      <c r="E27" s="428" t="s">
        <v>2565</v>
      </c>
      <c r="F27" s="418" t="s">
        <v>2055</v>
      </c>
      <c r="G27" s="418" t="s">
        <v>2566</v>
      </c>
      <c r="H27" s="446"/>
      <c r="I27" s="446"/>
      <c r="J27" s="446"/>
      <c r="K27" s="221"/>
      <c r="L27" s="221"/>
      <c r="M27" s="221"/>
      <c r="N27" s="221"/>
      <c r="O27" s="221"/>
      <c r="P27" s="221"/>
      <c r="Q27" s="221"/>
      <c r="R27" s="221"/>
      <c r="S27" s="221"/>
      <c r="T27" s="221"/>
      <c r="U27" s="221"/>
      <c r="V27" s="221"/>
      <c r="W27" s="221"/>
      <c r="X27" s="221"/>
      <c r="Y27" s="221"/>
      <c r="Z27" s="986"/>
    </row>
    <row r="28" spans="1:26" s="11" customFormat="1" ht="16.05" customHeight="1" x14ac:dyDescent="0.3">
      <c r="A28" s="999" t="s">
        <v>2567</v>
      </c>
      <c r="B28" s="1135" t="s">
        <v>2568</v>
      </c>
      <c r="C28" s="365" t="s">
        <v>2569</v>
      </c>
      <c r="D28" s="357" t="s">
        <v>2570</v>
      </c>
      <c r="E28" s="365" t="s">
        <v>2571</v>
      </c>
      <c r="F28" s="357" t="s">
        <v>103</v>
      </c>
      <c r="G28" s="357" t="s">
        <v>2572</v>
      </c>
      <c r="H28" s="347"/>
      <c r="I28" s="347"/>
      <c r="J28" s="347"/>
      <c r="K28" s="139"/>
      <c r="L28" s="139"/>
      <c r="M28" s="139"/>
      <c r="N28" s="139"/>
      <c r="O28" s="139"/>
      <c r="P28" s="139"/>
      <c r="Q28" s="139"/>
      <c r="R28" s="139"/>
      <c r="S28" s="139"/>
      <c r="T28" s="139"/>
      <c r="U28" s="139"/>
      <c r="V28" s="139"/>
      <c r="W28" s="139"/>
      <c r="X28" s="139"/>
      <c r="Y28" s="139"/>
      <c r="Z28" s="985"/>
    </row>
    <row r="29" spans="1:26" s="11" customFormat="1" ht="16.05" customHeight="1" x14ac:dyDescent="0.3">
      <c r="A29" s="1019"/>
      <c r="B29" s="1136">
        <f>COUNTIF(A6:A19,"🔴 CRÍTICA")</f>
        <v>3</v>
      </c>
      <c r="C29" s="461">
        <f>IFERROR(COUNTIF(A6:A19,"🔴 CRÍTICA")/COUNTA(A6:A19),0)</f>
        <v>0.21428571428571427</v>
      </c>
      <c r="D29" s="418"/>
      <c r="E29" s="418"/>
      <c r="F29" s="418"/>
      <c r="G29" s="418"/>
      <c r="H29" s="446"/>
      <c r="I29" s="446"/>
      <c r="J29" s="446"/>
      <c r="K29" s="221"/>
      <c r="L29" s="221"/>
      <c r="M29" s="221"/>
      <c r="N29" s="221"/>
      <c r="O29" s="221"/>
      <c r="P29" s="221"/>
      <c r="Q29" s="221"/>
      <c r="R29" s="221"/>
      <c r="S29" s="221"/>
      <c r="T29" s="221"/>
      <c r="U29" s="221"/>
      <c r="V29" s="221"/>
      <c r="W29" s="221"/>
      <c r="X29" s="221"/>
      <c r="Y29" s="221"/>
      <c r="Z29" s="986"/>
    </row>
    <row r="30" spans="1:26" s="11" customFormat="1" ht="16.05" customHeight="1" x14ac:dyDescent="0.3">
      <c r="A30" s="1019"/>
      <c r="B30" s="1135">
        <f>COUNTIF(A6:A19,"🟠 ALTA")</f>
        <v>3</v>
      </c>
      <c r="C30" s="462">
        <f>IFERROR(COUNTIF(A6:A19,"🟠 ALTA")/COUNTA(A6:A19),0)</f>
        <v>0.21428571428571427</v>
      </c>
      <c r="D30" s="357"/>
      <c r="E30" s="357"/>
      <c r="F30" s="357"/>
      <c r="G30" s="357"/>
      <c r="H30" s="347"/>
      <c r="I30" s="347"/>
      <c r="J30" s="347"/>
      <c r="K30" s="139"/>
      <c r="L30" s="139"/>
      <c r="M30" s="139"/>
      <c r="N30" s="139"/>
      <c r="O30" s="139"/>
      <c r="P30" s="139"/>
      <c r="Q30" s="139"/>
      <c r="R30" s="139"/>
      <c r="S30" s="139"/>
      <c r="T30" s="139"/>
      <c r="U30" s="139"/>
      <c r="V30" s="139"/>
      <c r="W30" s="139"/>
      <c r="X30" s="139"/>
      <c r="Y30" s="139"/>
      <c r="Z30" s="985"/>
    </row>
    <row r="31" spans="1:26" ht="19.95" customHeight="1" x14ac:dyDescent="0.3">
      <c r="A31" s="1797" t="s">
        <v>2573</v>
      </c>
      <c r="B31" s="1798"/>
      <c r="C31" s="1798"/>
      <c r="D31" s="1798"/>
      <c r="E31" s="1798"/>
      <c r="F31" s="1798"/>
      <c r="G31" s="1798"/>
      <c r="H31" s="1798"/>
      <c r="I31" s="1798"/>
      <c r="J31" s="1798"/>
      <c r="K31" s="1798"/>
      <c r="L31" s="1798"/>
      <c r="M31" s="1798"/>
      <c r="N31" s="1798"/>
      <c r="O31" s="1798"/>
      <c r="P31" s="1798"/>
      <c r="Q31" s="1798"/>
      <c r="R31" s="1798"/>
      <c r="S31" s="1798"/>
      <c r="T31" s="1798"/>
      <c r="U31" s="1798"/>
      <c r="V31" s="1798"/>
      <c r="W31" s="1798"/>
      <c r="X31" s="1798"/>
      <c r="Y31" s="1798"/>
      <c r="Z31" s="1799"/>
    </row>
    <row r="32" spans="1:26" ht="16.05" customHeight="1" x14ac:dyDescent="0.3">
      <c r="A32" s="999" t="s">
        <v>1808</v>
      </c>
      <c r="B32" s="1325">
        <f>COUNTIF(A6:A19,"🟢 BAJA")</f>
        <v>4</v>
      </c>
      <c r="C32" s="463">
        <f>IFERROR(COUNTIF(A6:A19,"🟢 BAJA")/COUNTA(A6:A19),0)</f>
        <v>0.2857142857142857</v>
      </c>
      <c r="D32" s="363" t="s">
        <v>1116</v>
      </c>
      <c r="E32" s="363"/>
      <c r="F32" s="363"/>
      <c r="G32" s="363"/>
      <c r="H32" s="425"/>
      <c r="I32" s="425"/>
      <c r="J32" s="425"/>
      <c r="K32" s="295"/>
      <c r="L32" s="295"/>
      <c r="M32" s="295"/>
      <c r="N32" s="295"/>
      <c r="O32" s="295"/>
      <c r="P32" s="295"/>
      <c r="Q32" s="295"/>
      <c r="R32" s="295"/>
      <c r="S32" s="295"/>
      <c r="T32" s="295"/>
      <c r="U32" s="295"/>
      <c r="V32" s="295"/>
      <c r="W32" s="295"/>
      <c r="X32" s="295"/>
      <c r="Y32" s="295"/>
      <c r="Z32" s="798"/>
    </row>
    <row r="33" spans="1:26" ht="16.05" customHeight="1" x14ac:dyDescent="0.3">
      <c r="A33" s="999" t="s">
        <v>96</v>
      </c>
      <c r="B33" s="994">
        <f>COUNTA(A6:A19)</f>
        <v>14</v>
      </c>
      <c r="C33" s="465">
        <v>1</v>
      </c>
      <c r="D33" s="1127" t="s">
        <v>2574</v>
      </c>
      <c r="E33" s="466"/>
      <c r="F33" s="466"/>
      <c r="G33" s="466"/>
      <c r="H33" s="424"/>
      <c r="I33" s="424"/>
      <c r="J33" s="424"/>
      <c r="K33" s="294"/>
      <c r="L33" s="294"/>
      <c r="M33" s="294"/>
      <c r="N33" s="294"/>
      <c r="O33" s="294"/>
      <c r="P33" s="294"/>
      <c r="Q33" s="294"/>
      <c r="R33" s="294"/>
      <c r="S33" s="294"/>
      <c r="T33" s="294"/>
      <c r="U33" s="294"/>
      <c r="V33" s="294"/>
      <c r="W33" s="294"/>
      <c r="X33" s="294"/>
      <c r="Y33" s="294"/>
      <c r="Z33" s="797"/>
    </row>
    <row r="34" spans="1:26" ht="16.05" customHeight="1" x14ac:dyDescent="0.3">
      <c r="A34" s="999" t="s">
        <v>98</v>
      </c>
      <c r="B34" s="995">
        <v>3</v>
      </c>
      <c r="C34" s="467">
        <v>0.21</v>
      </c>
      <c r="D34" s="1314" t="s">
        <v>2575</v>
      </c>
      <c r="E34" s="363"/>
      <c r="F34" s="363"/>
      <c r="G34" s="363"/>
      <c r="H34" s="425"/>
      <c r="I34" s="425"/>
      <c r="J34" s="425"/>
      <c r="K34" s="295"/>
      <c r="L34" s="295"/>
      <c r="M34" s="295"/>
      <c r="N34" s="295"/>
      <c r="O34" s="295"/>
      <c r="P34" s="295"/>
      <c r="Q34" s="295"/>
      <c r="R34" s="295"/>
      <c r="S34" s="295"/>
      <c r="T34" s="295"/>
      <c r="U34" s="295"/>
      <c r="V34" s="295"/>
      <c r="W34" s="295"/>
      <c r="X34" s="295"/>
      <c r="Y34" s="295"/>
      <c r="Z34" s="798"/>
    </row>
    <row r="35" spans="1:26" ht="16.05" customHeight="1" x14ac:dyDescent="0.3">
      <c r="A35" s="999" t="s">
        <v>1145</v>
      </c>
      <c r="B35" s="994">
        <v>4</v>
      </c>
      <c r="C35" s="465">
        <v>0.28999999999999998</v>
      </c>
      <c r="D35" s="1315" t="s">
        <v>2576</v>
      </c>
      <c r="E35" s="466"/>
      <c r="F35" s="466"/>
      <c r="G35" s="466"/>
      <c r="H35" s="424"/>
      <c r="I35" s="424"/>
      <c r="J35" s="424"/>
      <c r="K35" s="294"/>
      <c r="L35" s="294"/>
      <c r="M35" s="294"/>
      <c r="N35" s="294"/>
      <c r="O35" s="294"/>
      <c r="P35" s="294"/>
      <c r="Q35" s="294"/>
      <c r="R35" s="294"/>
      <c r="S35" s="294"/>
      <c r="T35" s="294"/>
      <c r="U35" s="294"/>
      <c r="V35" s="294"/>
      <c r="W35" s="294"/>
      <c r="X35" s="294"/>
      <c r="Y35" s="294"/>
      <c r="Z35" s="797"/>
    </row>
    <row r="36" spans="1:26" ht="16.05" customHeight="1" x14ac:dyDescent="0.3">
      <c r="A36" s="1019" t="s">
        <v>2534</v>
      </c>
      <c r="B36" s="995">
        <v>4</v>
      </c>
      <c r="C36" s="467">
        <v>0.28999999999999998</v>
      </c>
      <c r="D36" s="348" t="s">
        <v>2577</v>
      </c>
      <c r="E36" s="363"/>
      <c r="F36" s="363"/>
      <c r="G36" s="363"/>
      <c r="H36" s="425"/>
      <c r="I36" s="425"/>
      <c r="J36" s="425"/>
      <c r="K36" s="295"/>
      <c r="L36" s="295"/>
      <c r="M36" s="295"/>
      <c r="N36" s="295"/>
      <c r="O36" s="295"/>
      <c r="P36" s="295"/>
      <c r="Q36" s="295"/>
      <c r="R36" s="295"/>
      <c r="S36" s="295"/>
      <c r="T36" s="295"/>
      <c r="U36" s="295"/>
      <c r="V36" s="295"/>
      <c r="W36" s="295"/>
      <c r="X36" s="295"/>
      <c r="Y36" s="295"/>
      <c r="Z36" s="798"/>
    </row>
    <row r="37" spans="1:26" ht="16.05" customHeight="1" x14ac:dyDescent="0.3">
      <c r="A37" s="999" t="s">
        <v>2578</v>
      </c>
      <c r="B37" s="1326">
        <v>14</v>
      </c>
      <c r="C37" s="468">
        <v>1</v>
      </c>
      <c r="D37" s="1316" t="s">
        <v>2579</v>
      </c>
      <c r="E37" s="466"/>
      <c r="F37" s="466"/>
      <c r="G37" s="466"/>
      <c r="H37" s="424"/>
      <c r="I37" s="424"/>
      <c r="J37" s="424"/>
      <c r="K37" s="294"/>
      <c r="L37" s="294"/>
      <c r="M37" s="294"/>
      <c r="N37" s="294"/>
      <c r="O37" s="294"/>
      <c r="P37" s="294"/>
      <c r="Q37" s="294"/>
      <c r="R37" s="294"/>
      <c r="S37" s="294"/>
      <c r="T37" s="294"/>
      <c r="U37" s="294"/>
      <c r="V37" s="294"/>
      <c r="W37" s="294"/>
      <c r="X37" s="294"/>
      <c r="Y37" s="294"/>
      <c r="Z37" s="797"/>
    </row>
    <row r="38" spans="1:26" ht="16.05" customHeight="1" x14ac:dyDescent="0.3">
      <c r="A38" s="1019"/>
      <c r="B38" s="1325"/>
      <c r="C38" s="363"/>
      <c r="D38" s="363"/>
      <c r="E38" s="363"/>
      <c r="F38" s="363"/>
      <c r="G38" s="363"/>
      <c r="H38" s="425"/>
      <c r="I38" s="425"/>
      <c r="J38" s="425"/>
      <c r="K38" s="295"/>
      <c r="L38" s="295"/>
      <c r="M38" s="295"/>
      <c r="N38" s="295"/>
      <c r="O38" s="295"/>
      <c r="P38" s="295"/>
      <c r="Q38" s="295"/>
      <c r="R38" s="295"/>
      <c r="S38" s="295"/>
      <c r="T38" s="295"/>
      <c r="U38" s="295"/>
      <c r="V38" s="295"/>
      <c r="W38" s="295"/>
      <c r="X38" s="295"/>
      <c r="Y38" s="295"/>
      <c r="Z38" s="798"/>
    </row>
    <row r="39" spans="1:26" ht="19.95" customHeight="1" x14ac:dyDescent="0.3">
      <c r="A39" s="1797" t="s">
        <v>2580</v>
      </c>
      <c r="B39" s="1798"/>
      <c r="C39" s="1798"/>
      <c r="D39" s="1798"/>
      <c r="E39" s="1798"/>
      <c r="F39" s="1798"/>
      <c r="G39" s="1798"/>
      <c r="H39" s="1798"/>
      <c r="I39" s="1798"/>
      <c r="J39" s="1798"/>
      <c r="K39" s="1798"/>
      <c r="L39" s="1798"/>
      <c r="M39" s="1798"/>
      <c r="N39" s="1798"/>
      <c r="O39" s="1798"/>
      <c r="P39" s="1798"/>
      <c r="Q39" s="1798"/>
      <c r="R39" s="1798"/>
      <c r="S39" s="1798"/>
      <c r="T39" s="1798"/>
      <c r="U39" s="1798"/>
      <c r="V39" s="1798"/>
      <c r="W39" s="1798"/>
      <c r="X39" s="1798"/>
      <c r="Y39" s="1798"/>
      <c r="Z39" s="1799"/>
    </row>
    <row r="40" spans="1:26" ht="16.05" customHeight="1" x14ac:dyDescent="0.3">
      <c r="A40" s="999" t="s">
        <v>96</v>
      </c>
      <c r="B40" s="1327" t="s">
        <v>2581</v>
      </c>
      <c r="C40" s="363" t="s">
        <v>2582</v>
      </c>
      <c r="D40" s="363" t="s">
        <v>2583</v>
      </c>
      <c r="E40" s="363"/>
      <c r="F40" s="363"/>
      <c r="G40" s="363"/>
      <c r="H40" s="425"/>
      <c r="I40" s="425"/>
      <c r="J40" s="425"/>
      <c r="K40" s="295"/>
      <c r="L40" s="295"/>
      <c r="M40" s="295"/>
      <c r="N40" s="295"/>
      <c r="O40" s="295"/>
      <c r="P40" s="295"/>
      <c r="Q40" s="295"/>
      <c r="R40" s="295"/>
      <c r="S40" s="295"/>
      <c r="T40" s="295"/>
      <c r="U40" s="295"/>
      <c r="V40" s="295"/>
      <c r="W40" s="295"/>
      <c r="X40" s="295"/>
      <c r="Y40" s="295"/>
      <c r="Z40" s="798"/>
    </row>
    <row r="41" spans="1:26" ht="19.95" customHeight="1" x14ac:dyDescent="0.3">
      <c r="A41" s="1940" t="s">
        <v>2584</v>
      </c>
      <c r="B41" s="1798"/>
      <c r="C41" s="1798"/>
      <c r="D41" s="1798"/>
      <c r="E41" s="1798"/>
      <c r="F41" s="1798"/>
      <c r="G41" s="1798"/>
      <c r="H41" s="1798"/>
      <c r="I41" s="1798"/>
      <c r="J41" s="1798"/>
      <c r="K41" s="1798"/>
      <c r="L41" s="1798"/>
      <c r="M41" s="1798"/>
      <c r="N41" s="1798"/>
      <c r="O41" s="1798"/>
      <c r="P41" s="1798"/>
      <c r="Q41" s="1798"/>
      <c r="R41" s="1798"/>
      <c r="S41" s="1798"/>
      <c r="T41" s="1798"/>
      <c r="U41" s="1798"/>
      <c r="V41" s="1798"/>
      <c r="W41" s="1798"/>
      <c r="X41" s="1798"/>
      <c r="Y41" s="1798"/>
      <c r="Z41" s="1799"/>
    </row>
    <row r="42" spans="1:26" ht="16.05" customHeight="1" x14ac:dyDescent="0.3">
      <c r="A42" s="1019" t="s">
        <v>673</v>
      </c>
      <c r="B42" s="1325" t="s">
        <v>5</v>
      </c>
      <c r="C42" s="363" t="s">
        <v>2585</v>
      </c>
      <c r="D42" s="363" t="s">
        <v>4054</v>
      </c>
      <c r="E42" s="1317" t="s">
        <v>2586</v>
      </c>
      <c r="F42" s="363"/>
      <c r="G42" s="363"/>
      <c r="H42" s="425"/>
      <c r="I42" s="425"/>
      <c r="J42" s="425"/>
      <c r="K42" s="295"/>
      <c r="L42" s="295"/>
      <c r="M42" s="295"/>
      <c r="N42" s="295"/>
      <c r="O42" s="295"/>
      <c r="P42" s="295"/>
      <c r="Q42" s="295"/>
      <c r="R42" s="295"/>
      <c r="S42" s="295"/>
      <c r="T42" s="295"/>
      <c r="U42" s="295"/>
      <c r="V42" s="295"/>
      <c r="W42" s="295"/>
      <c r="X42" s="295"/>
      <c r="Y42" s="295"/>
      <c r="Z42" s="798"/>
    </row>
    <row r="43" spans="1:26" ht="16.05" customHeight="1" x14ac:dyDescent="0.3">
      <c r="A43" s="1019" t="s">
        <v>2346</v>
      </c>
      <c r="B43" s="994" t="str">
        <f>ROUND('M5-ICPI'!G29,2)&amp;"%"</f>
        <v>38,28%</v>
      </c>
      <c r="C43" s="466" t="s">
        <v>2587</v>
      </c>
      <c r="D43" s="1318" t="str">
        <f>IF('M5-ICPI'!G29&gt;=92.25,"✅ ICM alcanzado",IF('M5-ICPI'!G29&gt;=70,"🟡 Mandato",IF('M5-ICPI'!G29&gt;=40,"🟠 Transición Crítica","🔴 Ocurrencia/Ruptura")))</f>
        <v>🔴 Ocurrencia/Ruptura</v>
      </c>
      <c r="E43" s="1315" t="s">
        <v>2588</v>
      </c>
      <c r="F43" s="466"/>
      <c r="G43" s="466"/>
      <c r="H43" s="424"/>
      <c r="I43" s="424"/>
      <c r="J43" s="424"/>
      <c r="K43" s="294"/>
      <c r="L43" s="294"/>
      <c r="M43" s="294"/>
      <c r="N43" s="294"/>
      <c r="O43" s="294"/>
      <c r="P43" s="294"/>
      <c r="Q43" s="294"/>
      <c r="R43" s="294"/>
      <c r="S43" s="294"/>
      <c r="T43" s="294"/>
      <c r="U43" s="294"/>
      <c r="V43" s="294"/>
      <c r="W43" s="294"/>
      <c r="X43" s="294"/>
      <c r="Y43" s="294"/>
      <c r="Z43" s="797"/>
    </row>
    <row r="44" spans="1:26" ht="16.05" customHeight="1" x14ac:dyDescent="0.3">
      <c r="A44" s="1019" t="s">
        <v>2589</v>
      </c>
      <c r="B44" s="1328" t="str">
        <f>COUNTIF('SUPPORT-SEM'!D13:D24,"🔴 INACEPTABLE")&amp;" / "&amp;COUNTA('SUPPORT-SEM'!A13:A24)</f>
        <v>9 / 12</v>
      </c>
      <c r="C44" s="363" t="s">
        <v>2590</v>
      </c>
      <c r="D44" s="362" t="str">
        <f>IF(COUNTIF('SUPPORT-SEM'!D13:D24,"🔴 INACEPTABLE")=0,"✅ OK","🔴 "&amp;COUNTIF('SUPPORT-SEM'!D13:D24,"🔴 INACEPTABLE")&amp;" sumarios LOSEP Art.80")</f>
        <v>🔴 9 sumarios LOSEP Art.80</v>
      </c>
      <c r="E44" s="363" t="s">
        <v>2591</v>
      </c>
      <c r="F44" s="363"/>
      <c r="G44" s="363"/>
      <c r="H44" s="425"/>
      <c r="I44" s="425"/>
      <c r="J44" s="425"/>
      <c r="K44" s="295"/>
      <c r="L44" s="295"/>
      <c r="M44" s="295"/>
      <c r="N44" s="295"/>
      <c r="O44" s="295"/>
      <c r="P44" s="295"/>
      <c r="Q44" s="295"/>
      <c r="R44" s="295"/>
      <c r="S44" s="295"/>
      <c r="T44" s="295"/>
      <c r="U44" s="295"/>
      <c r="V44" s="295"/>
      <c r="W44" s="295"/>
      <c r="X44" s="295"/>
      <c r="Y44" s="295"/>
      <c r="Z44" s="798"/>
    </row>
    <row r="45" spans="1:26" ht="16.05" customHeight="1" x14ac:dyDescent="0.3">
      <c r="A45" s="1019" t="s">
        <v>2592</v>
      </c>
      <c r="B45" s="994" t="str">
        <f>(COUNTA('M4-AUDIT'!A5:A24)-COUNTIF('M4-AUDIT'!X5:X24,1))&amp;" / 20"</f>
        <v>12 / 20</v>
      </c>
      <c r="C45" s="466" t="s">
        <v>2593</v>
      </c>
      <c r="D45" s="469" t="str">
        <f>IF(COUNTIF('M4-AUDIT'!X5:X24,1)=20,"✅ Cadena completa","🔴 "&amp;(COUNTA('M4-AUDIT'!A5:A24)-COUNTIF('M4-AUDIT'!X5:X24,1))&amp;" metas sin CININ íntegra")</f>
        <v>🔴 12 metas sin CININ íntegra</v>
      </c>
      <c r="E45" s="1315" t="s">
        <v>2594</v>
      </c>
      <c r="F45" s="466"/>
      <c r="G45" s="466"/>
      <c r="H45" s="424"/>
      <c r="I45" s="424"/>
      <c r="J45" s="424"/>
      <c r="K45" s="294"/>
      <c r="L45" s="294"/>
      <c r="M45" s="294"/>
      <c r="N45" s="294"/>
      <c r="O45" s="294"/>
      <c r="P45" s="294"/>
      <c r="Q45" s="294"/>
      <c r="R45" s="294"/>
      <c r="S45" s="294"/>
      <c r="T45" s="294"/>
      <c r="U45" s="294"/>
      <c r="V45" s="294"/>
      <c r="W45" s="294"/>
      <c r="X45" s="294"/>
      <c r="Y45" s="294"/>
      <c r="Z45" s="797"/>
    </row>
    <row r="46" spans="1:26" ht="16.05" customHeight="1" x14ac:dyDescent="0.3">
      <c r="A46" s="1019" t="s">
        <v>2595</v>
      </c>
      <c r="B46" s="995" t="str">
        <f>TEXT('DATA-CED'!Q25,"0.0%")</f>
        <v>61%</v>
      </c>
      <c r="C46" s="363" t="s">
        <v>2596</v>
      </c>
      <c r="D46" s="470" t="str">
        <f>IF('DATA-CED'!Q25&gt;=0.7,"✅ Ejecución OK — ≥70%","🟠 Ejecución "&amp;TEXT('DATA-CED'!Q25,"0.0%")&amp;" — &lt; 70%")</f>
        <v>🟠 Ejecución 61% — &lt; 70%</v>
      </c>
      <c r="E46" s="1317" t="s">
        <v>2597</v>
      </c>
      <c r="F46" s="363"/>
      <c r="G46" s="363"/>
      <c r="H46" s="425"/>
      <c r="I46" s="425"/>
      <c r="J46" s="425"/>
      <c r="K46" s="295"/>
      <c r="L46" s="295"/>
      <c r="M46" s="295"/>
      <c r="N46" s="295"/>
      <c r="O46" s="295"/>
      <c r="P46" s="295"/>
      <c r="Q46" s="295"/>
      <c r="R46" s="295"/>
      <c r="S46" s="295"/>
      <c r="T46" s="295"/>
      <c r="U46" s="295"/>
      <c r="V46" s="295"/>
      <c r="W46" s="295"/>
      <c r="X46" s="295"/>
      <c r="Y46" s="295"/>
      <c r="Z46" s="798"/>
    </row>
    <row r="47" spans="1:26" ht="16.05" customHeight="1" thickBot="1" x14ac:dyDescent="0.35">
      <c r="A47" s="1020" t="s">
        <v>2598</v>
      </c>
      <c r="B47" s="1329" t="str">
        <f>COUNTIF('DATA-CED'!D5:D24,"⏳ Pendiente SIGPIP")&amp;" / 20"</f>
        <v>0 / 20</v>
      </c>
      <c r="C47" s="1319" t="s">
        <v>2593</v>
      </c>
      <c r="D47" s="1319" t="s">
        <v>2599</v>
      </c>
      <c r="E47" s="1319" t="s">
        <v>2600</v>
      </c>
      <c r="F47" s="1319"/>
      <c r="G47" s="1319"/>
      <c r="H47" s="1320"/>
      <c r="I47" s="1320"/>
      <c r="J47" s="1320"/>
      <c r="K47" s="1177"/>
      <c r="L47" s="1177"/>
      <c r="M47" s="1177"/>
      <c r="N47" s="1177"/>
      <c r="O47" s="1177"/>
      <c r="P47" s="1177"/>
      <c r="Q47" s="1177"/>
      <c r="R47" s="1177"/>
      <c r="S47" s="1177"/>
      <c r="T47" s="1177"/>
      <c r="U47" s="1177"/>
      <c r="V47" s="1177"/>
      <c r="W47" s="1177"/>
      <c r="X47" s="1177"/>
      <c r="Y47" s="1177"/>
      <c r="Z47" s="1289"/>
    </row>
    <row r="48" spans="1:26" ht="15" thickTop="1" x14ac:dyDescent="0.3"/>
  </sheetData>
  <mergeCells count="7">
    <mergeCell ref="A22:Z22"/>
    <mergeCell ref="A31:Z31"/>
    <mergeCell ref="A39:Z39"/>
    <mergeCell ref="A41:Z41"/>
    <mergeCell ref="A1:Z1"/>
    <mergeCell ref="A3:Z3"/>
    <mergeCell ref="A4:Z4"/>
  </mergeCells>
  <dataValidations count="1">
    <dataValidation type="list" allowBlank="1" showInputMessage="1" showErrorMessage="1" sqref="F6:F19" xr:uid="{00000000-0002-0000-2000-000000000000}">
      <formula1>"🔴 Abierta,🟡 En gestión,✅ Resuelta"</formula1>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EAD1DC"/>
  </sheetPr>
  <dimension ref="A1:Z89"/>
  <sheetViews>
    <sheetView showGridLines="0" topLeftCell="B4" zoomScale="85" zoomScaleNormal="85" workbookViewId="0">
      <pane xSplit="1" ySplit="1" topLeftCell="C5" activePane="bottomRight" state="frozen"/>
      <selection activeCell="B4" sqref="B4"/>
      <selection pane="topRight" activeCell="C4" sqref="C4"/>
      <selection pane="bottomLeft" activeCell="B5" sqref="B5"/>
      <selection pane="bottomRight" sqref="A1:Z1"/>
    </sheetView>
  </sheetViews>
  <sheetFormatPr baseColWidth="10" defaultRowHeight="14.4" x14ac:dyDescent="0.3"/>
  <cols>
    <col min="1" max="1" width="5.21875" customWidth="1"/>
    <col min="2" max="2" width="44" bestFit="1" customWidth="1"/>
    <col min="3" max="3" width="23.109375" bestFit="1" customWidth="1"/>
    <col min="4" max="4" width="27.77734375" bestFit="1" customWidth="1"/>
    <col min="5" max="5" width="55.109375" bestFit="1" customWidth="1"/>
    <col min="6" max="6" width="28.77734375" bestFit="1" customWidth="1"/>
    <col min="7" max="7" width="21.77734375" bestFit="1" customWidth="1"/>
    <col min="8" max="8" width="21.21875" bestFit="1" customWidth="1"/>
    <col min="9" max="9" width="24.33203125" bestFit="1" customWidth="1"/>
    <col min="10" max="10" width="13.5546875" bestFit="1" customWidth="1"/>
    <col min="11" max="11" width="14.77734375" customWidth="1"/>
    <col min="12" max="12" width="15.109375" bestFit="1" customWidth="1"/>
    <col min="13" max="13" width="48.88671875" bestFit="1" customWidth="1"/>
    <col min="14" max="14" width="14.33203125" bestFit="1" customWidth="1"/>
    <col min="15" max="15" width="29.109375" bestFit="1" customWidth="1"/>
    <col min="26" max="26" width="8.33203125" bestFit="1" customWidth="1"/>
  </cols>
  <sheetData>
    <row r="1" spans="1:26" ht="19.95" customHeight="1" x14ac:dyDescent="0.3">
      <c r="A1" s="1925" t="s">
        <v>4801</v>
      </c>
      <c r="B1" s="1713"/>
      <c r="C1" s="1713"/>
      <c r="D1" s="1713"/>
      <c r="E1" s="1713"/>
      <c r="F1" s="1713"/>
      <c r="G1" s="1713"/>
      <c r="H1" s="1713"/>
      <c r="I1" s="1713"/>
      <c r="J1" s="1713"/>
      <c r="K1" s="1713"/>
      <c r="L1" s="1713"/>
      <c r="M1" s="1713"/>
      <c r="N1" s="1713"/>
      <c r="O1" s="1713"/>
      <c r="P1" s="1713"/>
      <c r="Q1" s="1713"/>
      <c r="R1" s="1713"/>
      <c r="S1" s="1713"/>
      <c r="T1" s="1713"/>
      <c r="U1" s="1713"/>
      <c r="V1" s="1713"/>
      <c r="W1" s="1713"/>
      <c r="X1" s="1713"/>
      <c r="Y1" s="1713"/>
      <c r="Z1" s="1713"/>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473"/>
      <c r="N2" s="473"/>
      <c r="O2" s="473"/>
      <c r="P2" s="473"/>
      <c r="Q2" s="473"/>
      <c r="R2" s="473"/>
      <c r="S2" s="473"/>
      <c r="T2" s="473"/>
      <c r="U2" s="473"/>
      <c r="V2" s="473"/>
      <c r="W2" s="473"/>
      <c r="X2" s="473"/>
      <c r="Y2" s="473"/>
      <c r="Z2" s="473"/>
    </row>
    <row r="3" spans="1:26" ht="19.95" customHeight="1" thickBot="1" x14ac:dyDescent="0.35">
      <c r="A3" s="1714" t="s">
        <v>4077</v>
      </c>
      <c r="B3" s="1714"/>
      <c r="C3" s="1714"/>
      <c r="D3" s="1714"/>
      <c r="E3" s="1714"/>
      <c r="F3" s="1714"/>
      <c r="G3" s="1714"/>
      <c r="H3" s="1714"/>
      <c r="I3" s="1714"/>
      <c r="J3" s="1714"/>
      <c r="K3" s="1714"/>
      <c r="L3" s="1714"/>
      <c r="M3" s="1714"/>
      <c r="N3" s="1714"/>
      <c r="O3" s="1714"/>
      <c r="P3" s="1714"/>
      <c r="Q3" s="1714"/>
      <c r="R3" s="1714"/>
      <c r="S3" s="1714"/>
      <c r="T3" s="1714"/>
      <c r="U3" s="1714"/>
      <c r="V3" s="1714"/>
      <c r="W3" s="1714"/>
      <c r="X3" s="1714"/>
      <c r="Y3" s="1714"/>
      <c r="Z3" s="1714"/>
    </row>
    <row r="4" spans="1:26" ht="19.95" customHeight="1" thickTop="1" x14ac:dyDescent="0.3">
      <c r="A4" s="1671" t="s">
        <v>2687</v>
      </c>
      <c r="B4" s="1672"/>
      <c r="C4" s="1672"/>
      <c r="D4" s="1672"/>
      <c r="E4" s="1672"/>
      <c r="F4" s="1672"/>
      <c r="G4" s="1672"/>
      <c r="H4" s="1672"/>
      <c r="I4" s="1672"/>
      <c r="J4" s="1672"/>
      <c r="K4" s="1672"/>
      <c r="L4" s="1672"/>
      <c r="M4" s="1672"/>
      <c r="N4" s="1672"/>
      <c r="O4" s="1672"/>
      <c r="P4" s="1672"/>
      <c r="Q4" s="1672"/>
      <c r="R4" s="1672"/>
      <c r="S4" s="1672"/>
      <c r="T4" s="1672"/>
      <c r="U4" s="1672"/>
      <c r="V4" s="1672"/>
      <c r="W4" s="1672"/>
      <c r="X4" s="1672"/>
      <c r="Y4" s="1672"/>
      <c r="Z4" s="1673"/>
    </row>
    <row r="5" spans="1:26" ht="30" customHeight="1" x14ac:dyDescent="0.3">
      <c r="A5" s="1044" t="s">
        <v>661</v>
      </c>
      <c r="B5" s="1038" t="s">
        <v>2688</v>
      </c>
      <c r="C5" s="300" t="s">
        <v>2689</v>
      </c>
      <c r="D5" s="300" t="s">
        <v>2690</v>
      </c>
      <c r="E5" s="300" t="s">
        <v>1219</v>
      </c>
      <c r="F5" s="300" t="s">
        <v>2691</v>
      </c>
      <c r="G5" s="300" t="s">
        <v>2692</v>
      </c>
      <c r="H5" s="300" t="s">
        <v>2693</v>
      </c>
      <c r="I5" s="300" t="s">
        <v>2694</v>
      </c>
      <c r="J5" s="300" t="s">
        <v>1660</v>
      </c>
      <c r="K5" s="184" t="s">
        <v>2028</v>
      </c>
      <c r="L5" s="184" t="s">
        <v>2695</v>
      </c>
      <c r="M5" s="184" t="s">
        <v>2696</v>
      </c>
      <c r="N5" s="184" t="s">
        <v>671</v>
      </c>
      <c r="O5" s="184" t="s">
        <v>2697</v>
      </c>
      <c r="P5" s="184"/>
      <c r="Q5" s="184"/>
      <c r="R5" s="184"/>
      <c r="S5" s="184"/>
      <c r="T5" s="184"/>
      <c r="U5" s="184"/>
      <c r="V5" s="184"/>
      <c r="W5" s="184"/>
      <c r="X5" s="184"/>
      <c r="Y5" s="184"/>
      <c r="Z5" s="928"/>
    </row>
    <row r="6" spans="1:26" s="11" customFormat="1" ht="37.950000000000003" customHeight="1" x14ac:dyDescent="0.3">
      <c r="A6" s="1045">
        <v>1</v>
      </c>
      <c r="B6" s="1378" t="s">
        <v>2698</v>
      </c>
      <c r="C6" s="167" t="s">
        <v>2699</v>
      </c>
      <c r="D6" s="167" t="s">
        <v>2700</v>
      </c>
      <c r="E6" s="302" t="s">
        <v>2701</v>
      </c>
      <c r="F6" s="303" t="s">
        <v>2702</v>
      </c>
      <c r="G6" s="301" t="s">
        <v>2703</v>
      </c>
      <c r="H6" s="167" t="s">
        <v>2704</v>
      </c>
      <c r="I6" s="166" t="s">
        <v>2705</v>
      </c>
      <c r="J6" s="317" t="s">
        <v>2706</v>
      </c>
      <c r="K6" s="216"/>
      <c r="L6" s="216" t="s">
        <v>103</v>
      </c>
      <c r="M6" s="216" t="s">
        <v>103</v>
      </c>
      <c r="N6" s="215" t="s">
        <v>2707</v>
      </c>
      <c r="O6" s="226" t="s">
        <v>2708</v>
      </c>
      <c r="P6" s="139"/>
      <c r="Q6" s="139"/>
      <c r="R6" s="139"/>
      <c r="S6" s="139"/>
      <c r="T6" s="139"/>
      <c r="U6" s="139"/>
      <c r="V6" s="139"/>
      <c r="W6" s="139"/>
      <c r="X6" s="139"/>
      <c r="Y6" s="139"/>
      <c r="Z6" s="985"/>
    </row>
    <row r="7" spans="1:26" s="11" customFormat="1" ht="37.950000000000003" customHeight="1" x14ac:dyDescent="0.3">
      <c r="A7" s="1045">
        <v>2</v>
      </c>
      <c r="B7" s="1379" t="s">
        <v>2709</v>
      </c>
      <c r="C7" s="305" t="s">
        <v>2699</v>
      </c>
      <c r="D7" s="305" t="s">
        <v>2710</v>
      </c>
      <c r="E7" s="306" t="s">
        <v>2701</v>
      </c>
      <c r="F7" s="307" t="s">
        <v>2711</v>
      </c>
      <c r="G7" s="304" t="s">
        <v>2712</v>
      </c>
      <c r="H7" s="305" t="s">
        <v>2713</v>
      </c>
      <c r="I7" s="308" t="s">
        <v>2714</v>
      </c>
      <c r="J7" s="1358" t="s">
        <v>96</v>
      </c>
      <c r="K7" s="227"/>
      <c r="L7" s="227" t="s">
        <v>103</v>
      </c>
      <c r="M7" s="227" t="s">
        <v>103</v>
      </c>
      <c r="N7" s="219" t="s">
        <v>2707</v>
      </c>
      <c r="O7" s="228" t="s">
        <v>2715</v>
      </c>
      <c r="P7" s="221"/>
      <c r="Q7" s="221"/>
      <c r="R7" s="221"/>
      <c r="S7" s="221"/>
      <c r="T7" s="221"/>
      <c r="U7" s="221"/>
      <c r="V7" s="221"/>
      <c r="W7" s="221"/>
      <c r="X7" s="221"/>
      <c r="Y7" s="221"/>
      <c r="Z7" s="986"/>
    </row>
    <row r="8" spans="1:26" s="11" customFormat="1" ht="37.950000000000003" customHeight="1" x14ac:dyDescent="0.3">
      <c r="A8" s="1045">
        <v>3</v>
      </c>
      <c r="B8" s="1378" t="s">
        <v>2716</v>
      </c>
      <c r="C8" s="167" t="s">
        <v>2699</v>
      </c>
      <c r="D8" s="167" t="s">
        <v>2717</v>
      </c>
      <c r="E8" s="302" t="s">
        <v>2718</v>
      </c>
      <c r="F8" s="303" t="s">
        <v>2719</v>
      </c>
      <c r="G8" s="301" t="s">
        <v>2720</v>
      </c>
      <c r="H8" s="167" t="s">
        <v>2721</v>
      </c>
      <c r="I8" s="317" t="s">
        <v>2722</v>
      </c>
      <c r="J8" s="317" t="s">
        <v>96</v>
      </c>
      <c r="K8" s="216"/>
      <c r="L8" s="216" t="s">
        <v>103</v>
      </c>
      <c r="M8" s="216" t="s">
        <v>103</v>
      </c>
      <c r="N8" s="215" t="s">
        <v>2707</v>
      </c>
      <c r="O8" s="226" t="s">
        <v>2723</v>
      </c>
      <c r="P8" s="139"/>
      <c r="Q8" s="139"/>
      <c r="R8" s="139"/>
      <c r="S8" s="139"/>
      <c r="T8" s="139"/>
      <c r="U8" s="139"/>
      <c r="V8" s="139"/>
      <c r="W8" s="139"/>
      <c r="X8" s="139"/>
      <c r="Y8" s="139"/>
      <c r="Z8" s="985"/>
    </row>
    <row r="9" spans="1:26" s="11" customFormat="1" ht="37.950000000000003" customHeight="1" x14ac:dyDescent="0.3">
      <c r="A9" s="1045">
        <v>4</v>
      </c>
      <c r="B9" s="1379" t="s">
        <v>2724</v>
      </c>
      <c r="C9" s="305" t="s">
        <v>2699</v>
      </c>
      <c r="D9" s="305" t="s">
        <v>2725</v>
      </c>
      <c r="E9" s="306" t="s">
        <v>2718</v>
      </c>
      <c r="F9" s="307" t="s">
        <v>2719</v>
      </c>
      <c r="G9" s="304" t="s">
        <v>2726</v>
      </c>
      <c r="H9" s="305" t="s">
        <v>2727</v>
      </c>
      <c r="I9" s="308" t="s">
        <v>2728</v>
      </c>
      <c r="J9" s="1358" t="s">
        <v>96</v>
      </c>
      <c r="K9" s="227"/>
      <c r="L9" s="227" t="s">
        <v>103</v>
      </c>
      <c r="M9" s="227" t="s">
        <v>103</v>
      </c>
      <c r="N9" s="219" t="s">
        <v>2707</v>
      </c>
      <c r="O9" s="228" t="s">
        <v>2729</v>
      </c>
      <c r="P9" s="221"/>
      <c r="Q9" s="221"/>
      <c r="R9" s="221"/>
      <c r="S9" s="221"/>
      <c r="T9" s="221"/>
      <c r="U9" s="221"/>
      <c r="V9" s="221"/>
      <c r="W9" s="221"/>
      <c r="X9" s="221"/>
      <c r="Y9" s="221"/>
      <c r="Z9" s="986"/>
    </row>
    <row r="10" spans="1:26" s="11" customFormat="1" ht="37.950000000000003" customHeight="1" x14ac:dyDescent="0.3">
      <c r="A10" s="1045">
        <v>5</v>
      </c>
      <c r="B10" s="1378" t="s">
        <v>2730</v>
      </c>
      <c r="C10" s="167" t="s">
        <v>2731</v>
      </c>
      <c r="D10" s="167" t="s">
        <v>2717</v>
      </c>
      <c r="E10" s="302" t="s">
        <v>2718</v>
      </c>
      <c r="F10" s="303" t="s">
        <v>2732</v>
      </c>
      <c r="G10" s="301" t="s">
        <v>2733</v>
      </c>
      <c r="H10" s="167" t="s">
        <v>2734</v>
      </c>
      <c r="I10" s="166" t="s">
        <v>2735</v>
      </c>
      <c r="J10" s="317" t="s">
        <v>96</v>
      </c>
      <c r="K10" s="216"/>
      <c r="L10" s="216" t="s">
        <v>103</v>
      </c>
      <c r="M10" s="216" t="s">
        <v>103</v>
      </c>
      <c r="N10" s="215" t="s">
        <v>2736</v>
      </c>
      <c r="O10" s="226" t="s">
        <v>2737</v>
      </c>
      <c r="P10" s="139"/>
      <c r="Q10" s="139"/>
      <c r="R10" s="139"/>
      <c r="S10" s="139"/>
      <c r="T10" s="139"/>
      <c r="U10" s="139"/>
      <c r="V10" s="139"/>
      <c r="W10" s="139"/>
      <c r="X10" s="139"/>
      <c r="Y10" s="139"/>
      <c r="Z10" s="985"/>
    </row>
    <row r="11" spans="1:26" s="11" customFormat="1" ht="37.950000000000003" customHeight="1" x14ac:dyDescent="0.3">
      <c r="A11" s="1045">
        <v>6</v>
      </c>
      <c r="B11" s="1379" t="s">
        <v>2738</v>
      </c>
      <c r="C11" s="305" t="s">
        <v>2731</v>
      </c>
      <c r="D11" s="305" t="s">
        <v>2725</v>
      </c>
      <c r="E11" s="306" t="s">
        <v>2718</v>
      </c>
      <c r="F11" s="307" t="s">
        <v>2739</v>
      </c>
      <c r="G11" s="304" t="s">
        <v>2740</v>
      </c>
      <c r="H11" s="305" t="s">
        <v>2741</v>
      </c>
      <c r="I11" s="308" t="s">
        <v>2742</v>
      </c>
      <c r="J11" s="1358" t="s">
        <v>96</v>
      </c>
      <c r="K11" s="227"/>
      <c r="L11" s="227" t="s">
        <v>103</v>
      </c>
      <c r="M11" s="227" t="s">
        <v>103</v>
      </c>
      <c r="N11" s="219" t="s">
        <v>2736</v>
      </c>
      <c r="O11" s="228" t="s">
        <v>2743</v>
      </c>
      <c r="P11" s="221"/>
      <c r="Q11" s="221"/>
      <c r="R11" s="221"/>
      <c r="S11" s="221"/>
      <c r="T11" s="221"/>
      <c r="U11" s="221"/>
      <c r="V11" s="221"/>
      <c r="W11" s="221"/>
      <c r="X11" s="221"/>
      <c r="Y11" s="221"/>
      <c r="Z11" s="986"/>
    </row>
    <row r="12" spans="1:26" s="11" customFormat="1" ht="37.950000000000003" customHeight="1" x14ac:dyDescent="0.3">
      <c r="A12" s="1045">
        <v>7</v>
      </c>
      <c r="B12" s="1378" t="s">
        <v>2744</v>
      </c>
      <c r="C12" s="167" t="s">
        <v>2731</v>
      </c>
      <c r="D12" s="167" t="s">
        <v>2700</v>
      </c>
      <c r="E12" s="302" t="s">
        <v>2701</v>
      </c>
      <c r="F12" s="303" t="s">
        <v>2745</v>
      </c>
      <c r="G12" s="301" t="s">
        <v>2746</v>
      </c>
      <c r="H12" s="167" t="s">
        <v>2747</v>
      </c>
      <c r="I12" s="166" t="s">
        <v>2748</v>
      </c>
      <c r="J12" s="317" t="s">
        <v>98</v>
      </c>
      <c r="K12" s="216"/>
      <c r="L12" s="216" t="s">
        <v>103</v>
      </c>
      <c r="M12" s="216" t="s">
        <v>103</v>
      </c>
      <c r="N12" s="215" t="s">
        <v>2749</v>
      </c>
      <c r="O12" s="226" t="s">
        <v>2750</v>
      </c>
      <c r="P12" s="139"/>
      <c r="Q12" s="139"/>
      <c r="R12" s="139"/>
      <c r="S12" s="139"/>
      <c r="T12" s="139"/>
      <c r="U12" s="139"/>
      <c r="V12" s="139"/>
      <c r="W12" s="139"/>
      <c r="X12" s="139"/>
      <c r="Y12" s="139"/>
      <c r="Z12" s="985"/>
    </row>
    <row r="13" spans="1:26" s="11" customFormat="1" ht="37.950000000000003" customHeight="1" x14ac:dyDescent="0.3">
      <c r="A13" s="1045">
        <v>8</v>
      </c>
      <c r="B13" s="1379" t="s">
        <v>2751</v>
      </c>
      <c r="C13" s="305" t="s">
        <v>2731</v>
      </c>
      <c r="D13" s="305" t="s">
        <v>2710</v>
      </c>
      <c r="E13" s="306" t="s">
        <v>2701</v>
      </c>
      <c r="F13" s="307" t="s">
        <v>2745</v>
      </c>
      <c r="G13" s="304" t="s">
        <v>2752</v>
      </c>
      <c r="H13" s="305" t="s">
        <v>2747</v>
      </c>
      <c r="I13" s="308" t="s">
        <v>2753</v>
      </c>
      <c r="J13" s="1358" t="s">
        <v>98</v>
      </c>
      <c r="K13" s="227"/>
      <c r="L13" s="227" t="s">
        <v>103</v>
      </c>
      <c r="M13" s="227" t="s">
        <v>103</v>
      </c>
      <c r="N13" s="219" t="s">
        <v>2749</v>
      </c>
      <c r="O13" s="228" t="s">
        <v>2754</v>
      </c>
      <c r="P13" s="221"/>
      <c r="Q13" s="221"/>
      <c r="R13" s="221"/>
      <c r="S13" s="221"/>
      <c r="T13" s="221"/>
      <c r="U13" s="221"/>
      <c r="V13" s="221"/>
      <c r="W13" s="221"/>
      <c r="X13" s="221"/>
      <c r="Y13" s="221"/>
      <c r="Z13" s="986"/>
    </row>
    <row r="14" spans="1:26" s="11" customFormat="1" ht="37.950000000000003" customHeight="1" x14ac:dyDescent="0.3">
      <c r="A14" s="1045">
        <v>9</v>
      </c>
      <c r="B14" s="1378" t="s">
        <v>2755</v>
      </c>
      <c r="C14" s="167" t="s">
        <v>2699</v>
      </c>
      <c r="D14" s="167">
        <v>2023</v>
      </c>
      <c r="E14" s="302" t="s">
        <v>2756</v>
      </c>
      <c r="F14" s="303" t="s">
        <v>2757</v>
      </c>
      <c r="G14" s="301" t="s">
        <v>2758</v>
      </c>
      <c r="H14" s="167" t="s">
        <v>2759</v>
      </c>
      <c r="I14" s="166" t="s">
        <v>2760</v>
      </c>
      <c r="J14" s="317" t="s">
        <v>98</v>
      </c>
      <c r="K14" s="1285" t="s">
        <v>2761</v>
      </c>
      <c r="L14" s="216" t="s">
        <v>103</v>
      </c>
      <c r="M14" s="216" t="s">
        <v>313</v>
      </c>
      <c r="N14" s="215" t="s">
        <v>2707</v>
      </c>
      <c r="O14" s="226" t="s">
        <v>2762</v>
      </c>
      <c r="P14" s="139"/>
      <c r="Q14" s="139"/>
      <c r="R14" s="139"/>
      <c r="S14" s="139"/>
      <c r="T14" s="139"/>
      <c r="U14" s="139"/>
      <c r="V14" s="139"/>
      <c r="W14" s="139"/>
      <c r="X14" s="139"/>
      <c r="Y14" s="139"/>
      <c r="Z14" s="985"/>
    </row>
    <row r="15" spans="1:26" s="11" customFormat="1" ht="37.950000000000003" customHeight="1" x14ac:dyDescent="0.3">
      <c r="A15" s="1045">
        <v>10</v>
      </c>
      <c r="B15" s="1379" t="s">
        <v>2763</v>
      </c>
      <c r="C15" s="305" t="s">
        <v>2699</v>
      </c>
      <c r="D15" s="305">
        <v>2024</v>
      </c>
      <c r="E15" s="306" t="s">
        <v>2756</v>
      </c>
      <c r="F15" s="307" t="s">
        <v>2757</v>
      </c>
      <c r="G15" s="304" t="s">
        <v>2764</v>
      </c>
      <c r="H15" s="305" t="s">
        <v>2759</v>
      </c>
      <c r="I15" s="308" t="s">
        <v>2765</v>
      </c>
      <c r="J15" s="1358" t="s">
        <v>96</v>
      </c>
      <c r="K15" s="230" t="s">
        <v>2761</v>
      </c>
      <c r="L15" s="227" t="s">
        <v>103</v>
      </c>
      <c r="M15" s="227" t="s">
        <v>313</v>
      </c>
      <c r="N15" s="219" t="s">
        <v>2707</v>
      </c>
      <c r="O15" s="228" t="s">
        <v>2766</v>
      </c>
      <c r="P15" s="221"/>
      <c r="Q15" s="221"/>
      <c r="R15" s="221"/>
      <c r="S15" s="221"/>
      <c r="T15" s="221"/>
      <c r="U15" s="221"/>
      <c r="V15" s="221"/>
      <c r="W15" s="221"/>
      <c r="X15" s="221"/>
      <c r="Y15" s="221"/>
      <c r="Z15" s="986"/>
    </row>
    <row r="16" spans="1:26" s="11" customFormat="1" ht="37.950000000000003" customHeight="1" x14ac:dyDescent="0.3">
      <c r="A16" s="1045"/>
      <c r="B16" s="1380"/>
      <c r="C16" s="167"/>
      <c r="D16" s="167"/>
      <c r="E16" s="167"/>
      <c r="F16" s="167"/>
      <c r="G16" s="167"/>
      <c r="H16" s="167"/>
      <c r="I16" s="167"/>
      <c r="J16" s="167"/>
      <c r="K16" s="215"/>
      <c r="L16" s="215"/>
      <c r="M16" s="215"/>
      <c r="N16" s="215"/>
      <c r="O16" s="215"/>
      <c r="P16" s="139"/>
      <c r="Q16" s="139"/>
      <c r="R16" s="139"/>
      <c r="S16" s="139"/>
      <c r="T16" s="139"/>
      <c r="U16" s="139"/>
      <c r="V16" s="139"/>
      <c r="W16" s="139"/>
      <c r="X16" s="139"/>
      <c r="Y16" s="139"/>
      <c r="Z16" s="985"/>
    </row>
    <row r="17" spans="1:26" s="11" customFormat="1" ht="37.950000000000003" customHeight="1" x14ac:dyDescent="0.3">
      <c r="A17" s="1072"/>
      <c r="B17" s="571"/>
      <c r="C17" s="221"/>
      <c r="D17" s="221"/>
      <c r="E17" s="221"/>
      <c r="F17" s="221"/>
      <c r="G17" s="221"/>
      <c r="H17" s="221"/>
      <c r="I17" s="221"/>
      <c r="J17" s="221"/>
      <c r="K17" s="221"/>
      <c r="L17" s="221"/>
      <c r="M17" s="221"/>
      <c r="N17" s="221"/>
      <c r="O17" s="221"/>
      <c r="P17" s="221"/>
      <c r="Q17" s="221"/>
      <c r="R17" s="221"/>
      <c r="S17" s="221"/>
      <c r="T17" s="221"/>
      <c r="U17" s="221"/>
      <c r="V17" s="221"/>
      <c r="W17" s="221"/>
      <c r="X17" s="221"/>
      <c r="Y17" s="221"/>
      <c r="Z17" s="986"/>
    </row>
    <row r="18" spans="1:26" s="11" customFormat="1" ht="19.95" customHeight="1" x14ac:dyDescent="0.3">
      <c r="A18" s="1797" t="s">
        <v>2767</v>
      </c>
      <c r="B18" s="1798"/>
      <c r="C18" s="1798"/>
      <c r="D18" s="1798"/>
      <c r="E18" s="1798"/>
      <c r="F18" s="1798"/>
      <c r="G18" s="1798"/>
      <c r="H18" s="1798"/>
      <c r="I18" s="1798"/>
      <c r="J18" s="1798"/>
      <c r="K18" s="1798"/>
      <c r="L18" s="1798"/>
      <c r="M18" s="1798"/>
      <c r="N18" s="1798"/>
      <c r="O18" s="1798"/>
      <c r="P18" s="1798"/>
      <c r="Q18" s="1798"/>
      <c r="R18" s="1798"/>
      <c r="S18" s="1798"/>
      <c r="T18" s="1798"/>
      <c r="U18" s="1798"/>
      <c r="V18" s="1798"/>
      <c r="W18" s="1798"/>
      <c r="X18" s="1798"/>
      <c r="Y18" s="1798"/>
      <c r="Z18" s="1799"/>
    </row>
    <row r="19" spans="1:26" s="11" customFormat="1" ht="37.950000000000003" customHeight="1" x14ac:dyDescent="0.3">
      <c r="A19" s="1045" t="s">
        <v>1722</v>
      </c>
      <c r="B19" s="1081" t="s">
        <v>122</v>
      </c>
      <c r="C19" s="308" t="s">
        <v>2768</v>
      </c>
      <c r="D19" s="308" t="s">
        <v>1514</v>
      </c>
      <c r="E19" s="308" t="s">
        <v>2769</v>
      </c>
      <c r="F19" s="308" t="s">
        <v>2770</v>
      </c>
      <c r="G19" s="308" t="s">
        <v>2771</v>
      </c>
      <c r="H19" s="308" t="s">
        <v>2772</v>
      </c>
      <c r="I19" s="308" t="s">
        <v>2773</v>
      </c>
      <c r="J19" s="308" t="s">
        <v>1854</v>
      </c>
      <c r="K19" s="227" t="s">
        <v>2774</v>
      </c>
      <c r="L19" s="227" t="s">
        <v>2775</v>
      </c>
      <c r="M19" s="227" t="s">
        <v>2776</v>
      </c>
      <c r="N19" s="227"/>
      <c r="O19" s="227"/>
      <c r="P19" s="221"/>
      <c r="Q19" s="221"/>
      <c r="R19" s="221"/>
      <c r="S19" s="221"/>
      <c r="T19" s="221"/>
      <c r="U19" s="221"/>
      <c r="V19" s="221"/>
      <c r="W19" s="221"/>
      <c r="X19" s="221"/>
      <c r="Y19" s="221"/>
      <c r="Z19" s="986"/>
    </row>
    <row r="20" spans="1:26" s="11" customFormat="1" ht="37.950000000000003" customHeight="1" x14ac:dyDescent="0.3">
      <c r="A20" s="1392" t="s">
        <v>507</v>
      </c>
      <c r="B20" s="1381" t="s">
        <v>748</v>
      </c>
      <c r="C20" s="309">
        <v>1</v>
      </c>
      <c r="D20" s="309">
        <v>0.75</v>
      </c>
      <c r="E20" s="309" t="s">
        <v>2777</v>
      </c>
      <c r="F20" s="309" t="s">
        <v>2778</v>
      </c>
      <c r="G20" s="303" t="s">
        <v>2779</v>
      </c>
      <c r="H20" s="166" t="s">
        <v>2780</v>
      </c>
      <c r="I20" s="166" t="s">
        <v>2781</v>
      </c>
      <c r="J20" s="166" t="s">
        <v>2782</v>
      </c>
      <c r="K20" s="216" t="s">
        <v>2783</v>
      </c>
      <c r="L20" s="247" t="s">
        <v>2784</v>
      </c>
      <c r="M20" s="310" t="s">
        <v>2785</v>
      </c>
      <c r="N20" s="215"/>
      <c r="O20" s="215"/>
      <c r="P20" s="139"/>
      <c r="Q20" s="139"/>
      <c r="R20" s="139"/>
      <c r="S20" s="139"/>
      <c r="T20" s="139"/>
      <c r="U20" s="139"/>
      <c r="V20" s="139"/>
      <c r="W20" s="139"/>
      <c r="X20" s="139"/>
      <c r="Y20" s="139"/>
      <c r="Z20" s="985"/>
    </row>
    <row r="21" spans="1:26" s="11" customFormat="1" ht="37.950000000000003" customHeight="1" x14ac:dyDescent="0.3">
      <c r="A21" s="1045" t="s">
        <v>43</v>
      </c>
      <c r="B21" s="1379" t="s">
        <v>749</v>
      </c>
      <c r="C21" s="308">
        <v>0</v>
      </c>
      <c r="D21" s="308">
        <v>0.15</v>
      </c>
      <c r="E21" s="308" t="s">
        <v>2786</v>
      </c>
      <c r="F21" s="308" t="s">
        <v>2787</v>
      </c>
      <c r="G21" s="307" t="s">
        <v>2788</v>
      </c>
      <c r="H21" s="308" t="s">
        <v>2789</v>
      </c>
      <c r="I21" s="308" t="s">
        <v>2790</v>
      </c>
      <c r="J21" s="308" t="s">
        <v>2791</v>
      </c>
      <c r="K21" s="227" t="s">
        <v>2792</v>
      </c>
      <c r="L21" s="244" t="s">
        <v>2793</v>
      </c>
      <c r="M21" s="311" t="s">
        <v>2794</v>
      </c>
      <c r="N21" s="219"/>
      <c r="O21" s="219"/>
      <c r="P21" s="221"/>
      <c r="Q21" s="221"/>
      <c r="R21" s="221"/>
      <c r="S21" s="221"/>
      <c r="T21" s="221"/>
      <c r="U21" s="221"/>
      <c r="V21" s="221"/>
      <c r="W21" s="221"/>
      <c r="X21" s="221"/>
      <c r="Y21" s="221"/>
      <c r="Z21" s="986"/>
    </row>
    <row r="22" spans="1:26" s="11" customFormat="1" ht="37.950000000000003" customHeight="1" x14ac:dyDescent="0.3">
      <c r="A22" s="1045" t="s">
        <v>687</v>
      </c>
      <c r="B22" s="1378" t="s">
        <v>1774</v>
      </c>
      <c r="C22" s="166">
        <v>1</v>
      </c>
      <c r="D22" s="166">
        <v>0.45</v>
      </c>
      <c r="E22" s="166" t="s">
        <v>2777</v>
      </c>
      <c r="F22" s="166" t="s">
        <v>2795</v>
      </c>
      <c r="G22" s="303" t="s">
        <v>2796</v>
      </c>
      <c r="H22" s="166" t="s">
        <v>2797</v>
      </c>
      <c r="I22" s="166" t="s">
        <v>2798</v>
      </c>
      <c r="J22" s="166" t="s">
        <v>2799</v>
      </c>
      <c r="K22" s="216" t="s">
        <v>2800</v>
      </c>
      <c r="L22" s="247" t="s">
        <v>2801</v>
      </c>
      <c r="M22" s="310" t="s">
        <v>2802</v>
      </c>
      <c r="N22" s="215"/>
      <c r="O22" s="215"/>
      <c r="P22" s="139"/>
      <c r="Q22" s="139"/>
      <c r="R22" s="139"/>
      <c r="S22" s="139"/>
      <c r="T22" s="139"/>
      <c r="U22" s="139"/>
      <c r="V22" s="139"/>
      <c r="W22" s="139"/>
      <c r="X22" s="139"/>
      <c r="Y22" s="139"/>
      <c r="Z22" s="985"/>
    </row>
    <row r="23" spans="1:26" s="11" customFormat="1" ht="37.950000000000003" customHeight="1" x14ac:dyDescent="0.3">
      <c r="A23" s="1045" t="s">
        <v>57</v>
      </c>
      <c r="B23" s="1379" t="s">
        <v>751</v>
      </c>
      <c r="C23" s="308">
        <v>0</v>
      </c>
      <c r="D23" s="308">
        <v>0</v>
      </c>
      <c r="E23" s="308" t="s">
        <v>2803</v>
      </c>
      <c r="F23" s="308" t="s">
        <v>2804</v>
      </c>
      <c r="G23" s="307" t="s">
        <v>2805</v>
      </c>
      <c r="H23" s="308" t="s">
        <v>2806</v>
      </c>
      <c r="I23" s="308" t="s">
        <v>2807</v>
      </c>
      <c r="J23" s="308" t="s">
        <v>2808</v>
      </c>
      <c r="K23" s="227" t="s">
        <v>2809</v>
      </c>
      <c r="L23" s="244" t="s">
        <v>2810</v>
      </c>
      <c r="M23" s="311" t="s">
        <v>2811</v>
      </c>
      <c r="N23" s="219"/>
      <c r="O23" s="219"/>
      <c r="P23" s="221"/>
      <c r="Q23" s="221"/>
      <c r="R23" s="221"/>
      <c r="S23" s="221"/>
      <c r="T23" s="221"/>
      <c r="U23" s="221"/>
      <c r="V23" s="221"/>
      <c r="W23" s="221"/>
      <c r="X23" s="221"/>
      <c r="Y23" s="221"/>
      <c r="Z23" s="986"/>
    </row>
    <row r="24" spans="1:26" s="11" customFormat="1" ht="37.950000000000003" customHeight="1" x14ac:dyDescent="0.3">
      <c r="A24" s="1045" t="s">
        <v>693</v>
      </c>
      <c r="B24" s="1378" t="s">
        <v>752</v>
      </c>
      <c r="C24" s="166">
        <v>1</v>
      </c>
      <c r="D24" s="166">
        <v>1</v>
      </c>
      <c r="E24" s="166" t="s">
        <v>2777</v>
      </c>
      <c r="F24" s="166" t="s">
        <v>2812</v>
      </c>
      <c r="G24" s="303" t="s">
        <v>2813</v>
      </c>
      <c r="H24" s="166" t="s">
        <v>2814</v>
      </c>
      <c r="I24" s="166" t="s">
        <v>2815</v>
      </c>
      <c r="J24" s="166" t="s">
        <v>2816</v>
      </c>
      <c r="K24" s="216" t="s">
        <v>2817</v>
      </c>
      <c r="L24" s="247" t="s">
        <v>678</v>
      </c>
      <c r="M24" s="310" t="s">
        <v>2818</v>
      </c>
      <c r="N24" s="215"/>
      <c r="O24" s="215"/>
      <c r="P24" s="139"/>
      <c r="Q24" s="139"/>
      <c r="R24" s="139"/>
      <c r="S24" s="139"/>
      <c r="T24" s="139"/>
      <c r="U24" s="139"/>
      <c r="V24" s="139"/>
      <c r="W24" s="139"/>
      <c r="X24" s="139"/>
      <c r="Y24" s="139"/>
      <c r="Z24" s="985"/>
    </row>
    <row r="25" spans="1:26" s="11" customFormat="1" ht="37.950000000000003" customHeight="1" x14ac:dyDescent="0.3">
      <c r="A25" s="1045" t="s">
        <v>47</v>
      </c>
      <c r="B25" s="1379" t="s">
        <v>754</v>
      </c>
      <c r="C25" s="308">
        <v>0</v>
      </c>
      <c r="D25" s="308">
        <v>0.5</v>
      </c>
      <c r="E25" s="308" t="s">
        <v>2819</v>
      </c>
      <c r="F25" s="308" t="s">
        <v>2820</v>
      </c>
      <c r="G25" s="307" t="s">
        <v>2821</v>
      </c>
      <c r="H25" s="308" t="s">
        <v>2822</v>
      </c>
      <c r="I25" s="308" t="s">
        <v>2823</v>
      </c>
      <c r="J25" s="308" t="s">
        <v>2824</v>
      </c>
      <c r="K25" s="227" t="s">
        <v>2825</v>
      </c>
      <c r="L25" s="244" t="s">
        <v>2826</v>
      </c>
      <c r="M25" s="312" t="s">
        <v>2827</v>
      </c>
      <c r="N25" s="219"/>
      <c r="O25" s="219"/>
      <c r="P25" s="221"/>
      <c r="Q25" s="221"/>
      <c r="R25" s="221"/>
      <c r="S25" s="221"/>
      <c r="T25" s="221"/>
      <c r="U25" s="221"/>
      <c r="V25" s="221"/>
      <c r="W25" s="221"/>
      <c r="X25" s="221"/>
      <c r="Y25" s="221"/>
      <c r="Z25" s="986"/>
    </row>
    <row r="26" spans="1:26" s="11" customFormat="1" ht="37.950000000000003" customHeight="1" x14ac:dyDescent="0.3">
      <c r="A26" s="1045" t="s">
        <v>53</v>
      </c>
      <c r="B26" s="1378" t="s">
        <v>756</v>
      </c>
      <c r="C26" s="166">
        <v>0</v>
      </c>
      <c r="D26" s="166">
        <v>0</v>
      </c>
      <c r="E26" s="166" t="s">
        <v>2828</v>
      </c>
      <c r="F26" s="166" t="s">
        <v>2829</v>
      </c>
      <c r="G26" s="303" t="s">
        <v>2830</v>
      </c>
      <c r="H26" s="166" t="s">
        <v>2831</v>
      </c>
      <c r="I26" s="166" t="s">
        <v>2832</v>
      </c>
      <c r="J26" s="166" t="s">
        <v>2833</v>
      </c>
      <c r="K26" s="216" t="s">
        <v>2834</v>
      </c>
      <c r="L26" s="247" t="s">
        <v>2835</v>
      </c>
      <c r="M26" s="310" t="s">
        <v>2836</v>
      </c>
      <c r="N26" s="215"/>
      <c r="O26" s="215"/>
      <c r="P26" s="139"/>
      <c r="Q26" s="139"/>
      <c r="R26" s="139"/>
      <c r="S26" s="139"/>
      <c r="T26" s="139"/>
      <c r="U26" s="139"/>
      <c r="V26" s="139"/>
      <c r="W26" s="139"/>
      <c r="X26" s="139"/>
      <c r="Y26" s="139"/>
      <c r="Z26" s="985"/>
    </row>
    <row r="27" spans="1:26" s="11" customFormat="1" ht="37.950000000000003" customHeight="1" x14ac:dyDescent="0.3">
      <c r="A27" s="1045" t="s">
        <v>515</v>
      </c>
      <c r="B27" s="1379" t="s">
        <v>1079</v>
      </c>
      <c r="C27" s="308">
        <v>1</v>
      </c>
      <c r="D27" s="308">
        <v>0.4</v>
      </c>
      <c r="E27" s="308" t="s">
        <v>2777</v>
      </c>
      <c r="F27" s="308" t="s">
        <v>2837</v>
      </c>
      <c r="G27" s="307" t="s">
        <v>2838</v>
      </c>
      <c r="H27" s="308" t="s">
        <v>2839</v>
      </c>
      <c r="I27" s="308" t="s">
        <v>2840</v>
      </c>
      <c r="J27" s="308" t="s">
        <v>2799</v>
      </c>
      <c r="K27" s="227" t="s">
        <v>2841</v>
      </c>
      <c r="L27" s="244" t="s">
        <v>2842</v>
      </c>
      <c r="M27" s="311" t="s">
        <v>2843</v>
      </c>
      <c r="N27" s="219"/>
      <c r="O27" s="219"/>
      <c r="P27" s="221"/>
      <c r="Q27" s="221"/>
      <c r="R27" s="221"/>
      <c r="S27" s="221"/>
      <c r="T27" s="221"/>
      <c r="U27" s="221"/>
      <c r="V27" s="221"/>
      <c r="W27" s="221"/>
      <c r="X27" s="221"/>
      <c r="Y27" s="221"/>
      <c r="Z27" s="986"/>
    </row>
    <row r="28" spans="1:26" s="11" customFormat="1" ht="37.950000000000003" customHeight="1" x14ac:dyDescent="0.3">
      <c r="A28" s="1045" t="s">
        <v>487</v>
      </c>
      <c r="B28" s="1378" t="s">
        <v>757</v>
      </c>
      <c r="C28" s="166">
        <v>1</v>
      </c>
      <c r="D28" s="166">
        <v>0.3</v>
      </c>
      <c r="E28" s="166" t="s">
        <v>2777</v>
      </c>
      <c r="F28" s="166" t="s">
        <v>2844</v>
      </c>
      <c r="G28" s="303" t="s">
        <v>2845</v>
      </c>
      <c r="H28" s="166" t="s">
        <v>2846</v>
      </c>
      <c r="I28" s="166" t="s">
        <v>2847</v>
      </c>
      <c r="J28" s="166" t="s">
        <v>2848</v>
      </c>
      <c r="K28" s="216" t="s">
        <v>2849</v>
      </c>
      <c r="L28" s="247" t="s">
        <v>2850</v>
      </c>
      <c r="M28" s="310" t="s">
        <v>2851</v>
      </c>
      <c r="N28" s="215"/>
      <c r="O28" s="215"/>
      <c r="P28" s="139"/>
      <c r="Q28" s="139"/>
      <c r="R28" s="139"/>
      <c r="S28" s="139"/>
      <c r="T28" s="139"/>
      <c r="U28" s="139"/>
      <c r="V28" s="139"/>
      <c r="W28" s="139"/>
      <c r="X28" s="139"/>
      <c r="Y28" s="139"/>
      <c r="Z28" s="985"/>
    </row>
    <row r="29" spans="1:26" s="11" customFormat="1" ht="37.950000000000003" customHeight="1" x14ac:dyDescent="0.3">
      <c r="A29" s="1045" t="s">
        <v>470</v>
      </c>
      <c r="B29" s="1379" t="s">
        <v>760</v>
      </c>
      <c r="C29" s="313">
        <v>1</v>
      </c>
      <c r="D29" s="308">
        <v>0.35</v>
      </c>
      <c r="E29" s="308" t="s">
        <v>2852</v>
      </c>
      <c r="F29" s="308" t="s">
        <v>2853</v>
      </c>
      <c r="G29" s="307" t="s">
        <v>2854</v>
      </c>
      <c r="H29" s="308" t="s">
        <v>2855</v>
      </c>
      <c r="I29" s="308" t="s">
        <v>2856</v>
      </c>
      <c r="J29" s="308" t="s">
        <v>2857</v>
      </c>
      <c r="K29" s="227" t="s">
        <v>2858</v>
      </c>
      <c r="L29" s="244" t="s">
        <v>2859</v>
      </c>
      <c r="M29" s="311" t="s">
        <v>2860</v>
      </c>
      <c r="N29" s="219"/>
      <c r="O29" s="219"/>
      <c r="P29" s="221"/>
      <c r="Q29" s="221"/>
      <c r="R29" s="221"/>
      <c r="S29" s="221"/>
      <c r="T29" s="221"/>
      <c r="U29" s="221"/>
      <c r="V29" s="221"/>
      <c r="W29" s="221"/>
      <c r="X29" s="221"/>
      <c r="Y29" s="221"/>
      <c r="Z29" s="986"/>
    </row>
    <row r="30" spans="1:26" s="11" customFormat="1" ht="37.950000000000003" customHeight="1" x14ac:dyDescent="0.3">
      <c r="A30" s="1045" t="s">
        <v>50</v>
      </c>
      <c r="B30" s="1378" t="s">
        <v>1087</v>
      </c>
      <c r="C30" s="166">
        <v>0</v>
      </c>
      <c r="D30" s="166">
        <v>0.2</v>
      </c>
      <c r="E30" s="166" t="s">
        <v>2861</v>
      </c>
      <c r="F30" s="166" t="s">
        <v>2862</v>
      </c>
      <c r="G30" s="303" t="s">
        <v>2863</v>
      </c>
      <c r="H30" s="166" t="s">
        <v>2864</v>
      </c>
      <c r="I30" s="166" t="s">
        <v>2865</v>
      </c>
      <c r="J30" s="166" t="s">
        <v>2866</v>
      </c>
      <c r="K30" s="216" t="s">
        <v>2867</v>
      </c>
      <c r="L30" s="247" t="s">
        <v>2868</v>
      </c>
      <c r="M30" s="314" t="s">
        <v>2869</v>
      </c>
      <c r="N30" s="215"/>
      <c r="O30" s="215"/>
      <c r="P30" s="139"/>
      <c r="Q30" s="139"/>
      <c r="R30" s="139"/>
      <c r="S30" s="139"/>
      <c r="T30" s="139"/>
      <c r="U30" s="139"/>
      <c r="V30" s="139"/>
      <c r="W30" s="139"/>
      <c r="X30" s="139"/>
      <c r="Y30" s="139"/>
      <c r="Z30" s="985"/>
    </row>
    <row r="31" spans="1:26" ht="49.95" customHeight="1" x14ac:dyDescent="0.3">
      <c r="A31" s="1045" t="s">
        <v>501</v>
      </c>
      <c r="B31" s="1379" t="s">
        <v>763</v>
      </c>
      <c r="C31" s="313">
        <v>1</v>
      </c>
      <c r="D31" s="308">
        <v>0.25</v>
      </c>
      <c r="E31" s="308" t="s">
        <v>2870</v>
      </c>
      <c r="F31" s="308" t="s">
        <v>2871</v>
      </c>
      <c r="G31" s="307" t="s">
        <v>2872</v>
      </c>
      <c r="H31" s="308" t="s">
        <v>2873</v>
      </c>
      <c r="I31" s="308" t="s">
        <v>2874</v>
      </c>
      <c r="J31" s="308" t="s">
        <v>2875</v>
      </c>
      <c r="K31" s="227" t="s">
        <v>2876</v>
      </c>
      <c r="L31" s="244" t="s">
        <v>2877</v>
      </c>
      <c r="M31" s="311" t="s">
        <v>2878</v>
      </c>
      <c r="N31" s="219"/>
      <c r="O31" s="219"/>
      <c r="P31" s="194"/>
      <c r="Q31" s="194"/>
      <c r="R31" s="194"/>
      <c r="S31" s="194"/>
      <c r="T31" s="194"/>
      <c r="U31" s="194"/>
      <c r="V31" s="194"/>
      <c r="W31" s="194"/>
      <c r="X31" s="194"/>
      <c r="Y31" s="194"/>
      <c r="Z31" s="987"/>
    </row>
    <row r="32" spans="1:26" ht="49.95" customHeight="1" x14ac:dyDescent="0.3">
      <c r="A32" s="1045" t="s">
        <v>463</v>
      </c>
      <c r="B32" s="1378" t="s">
        <v>761</v>
      </c>
      <c r="C32" s="309">
        <v>1</v>
      </c>
      <c r="D32" s="166">
        <v>0.3</v>
      </c>
      <c r="E32" s="166" t="s">
        <v>2879</v>
      </c>
      <c r="F32" s="166" t="s">
        <v>2880</v>
      </c>
      <c r="G32" s="303" t="s">
        <v>2881</v>
      </c>
      <c r="H32" s="166" t="s">
        <v>2882</v>
      </c>
      <c r="I32" s="166" t="s">
        <v>2883</v>
      </c>
      <c r="J32" s="166" t="s">
        <v>2884</v>
      </c>
      <c r="K32" s="216" t="s">
        <v>2885</v>
      </c>
      <c r="L32" s="247" t="s">
        <v>2886</v>
      </c>
      <c r="M32" s="310" t="s">
        <v>2887</v>
      </c>
      <c r="N32" s="215"/>
      <c r="O32" s="215"/>
      <c r="P32" s="104"/>
      <c r="Q32" s="104"/>
      <c r="R32" s="104"/>
      <c r="S32" s="104"/>
      <c r="T32" s="104"/>
      <c r="U32" s="104"/>
      <c r="V32" s="104"/>
      <c r="W32" s="104"/>
      <c r="X32" s="104"/>
      <c r="Y32" s="104"/>
      <c r="Z32" s="988"/>
    </row>
    <row r="33" spans="1:26" ht="18" customHeight="1" x14ac:dyDescent="0.3">
      <c r="A33" s="1045"/>
      <c r="B33" s="1379"/>
      <c r="C33" s="308"/>
      <c r="D33" s="308"/>
      <c r="E33" s="308"/>
      <c r="F33" s="308"/>
      <c r="G33" s="307"/>
      <c r="H33" s="308"/>
      <c r="I33" s="308"/>
      <c r="J33" s="308"/>
      <c r="K33" s="227"/>
      <c r="L33" s="244"/>
      <c r="M33" s="311"/>
      <c r="N33" s="219"/>
      <c r="O33" s="219"/>
      <c r="P33" s="194"/>
      <c r="Q33" s="194"/>
      <c r="R33" s="194"/>
      <c r="S33" s="194"/>
      <c r="T33" s="194"/>
      <c r="U33" s="194"/>
      <c r="V33" s="194"/>
      <c r="W33" s="194"/>
      <c r="X33" s="194"/>
      <c r="Y33" s="194"/>
      <c r="Z33" s="987"/>
    </row>
    <row r="34" spans="1:26" ht="18" customHeight="1" x14ac:dyDescent="0.3">
      <c r="A34" s="1073"/>
      <c r="B34" s="404"/>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988"/>
    </row>
    <row r="35" spans="1:26" ht="19.95" customHeight="1" x14ac:dyDescent="0.3">
      <c r="A35" s="1797" t="s">
        <v>2888</v>
      </c>
      <c r="B35" s="1798"/>
      <c r="C35" s="1798"/>
      <c r="D35" s="1798"/>
      <c r="E35" s="1798"/>
      <c r="F35" s="1798"/>
      <c r="G35" s="1798"/>
      <c r="H35" s="1798"/>
      <c r="I35" s="1798"/>
      <c r="J35" s="1798"/>
      <c r="K35" s="1798"/>
      <c r="L35" s="1798"/>
      <c r="M35" s="1798"/>
      <c r="N35" s="1798"/>
      <c r="O35" s="1798"/>
      <c r="P35" s="1798"/>
      <c r="Q35" s="1798"/>
      <c r="R35" s="1798"/>
      <c r="S35" s="1798"/>
      <c r="T35" s="1798"/>
      <c r="U35" s="1798"/>
      <c r="V35" s="1798"/>
      <c r="W35" s="1798"/>
      <c r="X35" s="1798"/>
      <c r="Y35" s="1798"/>
      <c r="Z35" s="1799"/>
    </row>
    <row r="36" spans="1:26" ht="19.95" customHeight="1" x14ac:dyDescent="0.3">
      <c r="A36" s="1797" t="s">
        <v>2889</v>
      </c>
      <c r="B36" s="1798"/>
      <c r="C36" s="1798"/>
      <c r="D36" s="1798"/>
      <c r="E36" s="1798"/>
      <c r="F36" s="1798"/>
      <c r="G36" s="1798"/>
      <c r="H36" s="1798"/>
      <c r="I36" s="1798"/>
      <c r="J36" s="1798"/>
      <c r="K36" s="1798"/>
      <c r="L36" s="1798"/>
      <c r="M36" s="1798"/>
      <c r="N36" s="1798"/>
      <c r="O36" s="1798"/>
      <c r="P36" s="1798"/>
      <c r="Q36" s="1798"/>
      <c r="R36" s="1798"/>
      <c r="S36" s="1798"/>
      <c r="T36" s="1798"/>
      <c r="U36" s="1798"/>
      <c r="V36" s="1798"/>
      <c r="W36" s="1798"/>
      <c r="X36" s="1798"/>
      <c r="Y36" s="1798"/>
      <c r="Z36" s="1799"/>
    </row>
    <row r="37" spans="1:26" ht="18" customHeight="1" x14ac:dyDescent="0.3">
      <c r="A37" s="1393" t="s">
        <v>2481</v>
      </c>
      <c r="B37" s="1382" t="s">
        <v>2890</v>
      </c>
      <c r="C37" s="315" t="s">
        <v>2891</v>
      </c>
      <c r="D37" s="315" t="s">
        <v>2892</v>
      </c>
      <c r="E37" s="315" t="s">
        <v>2893</v>
      </c>
      <c r="F37" s="315" t="s">
        <v>2894</v>
      </c>
      <c r="G37" s="315" t="s">
        <v>2895</v>
      </c>
      <c r="H37" s="315"/>
      <c r="I37" s="315" t="s">
        <v>1660</v>
      </c>
      <c r="J37" s="315"/>
      <c r="K37" s="316"/>
      <c r="L37" s="316" t="s">
        <v>2896</v>
      </c>
      <c r="M37" s="316"/>
      <c r="N37" s="316"/>
      <c r="O37" s="316"/>
      <c r="P37" s="194"/>
      <c r="Q37" s="194"/>
      <c r="R37" s="194"/>
      <c r="S37" s="194"/>
      <c r="T37" s="194"/>
      <c r="U37" s="194"/>
      <c r="V37" s="194"/>
      <c r="W37" s="194"/>
      <c r="X37" s="194"/>
      <c r="Y37" s="194"/>
      <c r="Z37" s="987"/>
    </row>
    <row r="38" spans="1:26" ht="28.05" customHeight="1" x14ac:dyDescent="0.3">
      <c r="A38" s="1045">
        <v>1</v>
      </c>
      <c r="B38" s="1378" t="s">
        <v>2897</v>
      </c>
      <c r="C38" s="303" t="s">
        <v>2898</v>
      </c>
      <c r="D38" s="166" t="s">
        <v>2899</v>
      </c>
      <c r="E38" s="301" t="s">
        <v>2900</v>
      </c>
      <c r="F38" s="303" t="s">
        <v>2901</v>
      </c>
      <c r="G38" s="166" t="s">
        <v>2902</v>
      </c>
      <c r="H38" s="167"/>
      <c r="I38" s="1359" t="s">
        <v>96</v>
      </c>
      <c r="J38" s="167"/>
      <c r="K38" s="215"/>
      <c r="L38" s="310" t="s">
        <v>2903</v>
      </c>
      <c r="M38" s="215"/>
      <c r="N38" s="215"/>
      <c r="O38" s="215"/>
      <c r="P38" s="104"/>
      <c r="Q38" s="104"/>
      <c r="R38" s="104"/>
      <c r="S38" s="104"/>
      <c r="T38" s="104"/>
      <c r="U38" s="104"/>
      <c r="V38" s="104"/>
      <c r="W38" s="104"/>
      <c r="X38" s="104"/>
      <c r="Y38" s="104"/>
      <c r="Z38" s="988"/>
    </row>
    <row r="39" spans="1:26" ht="28.05" customHeight="1" x14ac:dyDescent="0.3">
      <c r="A39" s="1045">
        <v>2</v>
      </c>
      <c r="B39" s="1379" t="s">
        <v>2904</v>
      </c>
      <c r="C39" s="307" t="s">
        <v>2905</v>
      </c>
      <c r="D39" s="308" t="s">
        <v>2906</v>
      </c>
      <c r="E39" s="304" t="s">
        <v>2900</v>
      </c>
      <c r="F39" s="307" t="s">
        <v>2901</v>
      </c>
      <c r="G39" s="308" t="s">
        <v>2907</v>
      </c>
      <c r="H39" s="305"/>
      <c r="I39" s="1360" t="s">
        <v>96</v>
      </c>
      <c r="J39" s="305"/>
      <c r="K39" s="219"/>
      <c r="L39" s="311" t="s">
        <v>2903</v>
      </c>
      <c r="M39" s="219"/>
      <c r="N39" s="219"/>
      <c r="O39" s="219"/>
      <c r="P39" s="194"/>
      <c r="Q39" s="194"/>
      <c r="R39" s="194"/>
      <c r="S39" s="194"/>
      <c r="T39" s="194"/>
      <c r="U39" s="194"/>
      <c r="V39" s="194"/>
      <c r="W39" s="194"/>
      <c r="X39" s="194"/>
      <c r="Y39" s="194"/>
      <c r="Z39" s="987"/>
    </row>
    <row r="40" spans="1:26" ht="37.950000000000003" customHeight="1" x14ac:dyDescent="0.3">
      <c r="A40" s="1045">
        <v>3</v>
      </c>
      <c r="B40" s="1378" t="s">
        <v>2908</v>
      </c>
      <c r="C40" s="303" t="s">
        <v>2909</v>
      </c>
      <c r="D40" s="166" t="s">
        <v>2910</v>
      </c>
      <c r="E40" s="301" t="s">
        <v>2911</v>
      </c>
      <c r="F40" s="303" t="s">
        <v>2912</v>
      </c>
      <c r="G40" s="166" t="s">
        <v>2913</v>
      </c>
      <c r="H40" s="167"/>
      <c r="I40" s="1359" t="s">
        <v>98</v>
      </c>
      <c r="J40" s="167"/>
      <c r="K40" s="215"/>
      <c r="L40" s="310" t="s">
        <v>2914</v>
      </c>
      <c r="M40" s="215"/>
      <c r="N40" s="215"/>
      <c r="O40" s="215"/>
      <c r="P40" s="104"/>
      <c r="Q40" s="104"/>
      <c r="R40" s="104"/>
      <c r="S40" s="104"/>
      <c r="T40" s="104"/>
      <c r="U40" s="104"/>
      <c r="V40" s="104"/>
      <c r="W40" s="104"/>
      <c r="X40" s="104"/>
      <c r="Y40" s="104"/>
      <c r="Z40" s="988"/>
    </row>
    <row r="41" spans="1:26" ht="37.950000000000003" customHeight="1" x14ac:dyDescent="0.3">
      <c r="A41" s="1045">
        <v>4</v>
      </c>
      <c r="B41" s="1379" t="s">
        <v>2915</v>
      </c>
      <c r="C41" s="307" t="s">
        <v>2916</v>
      </c>
      <c r="D41" s="308" t="s">
        <v>2917</v>
      </c>
      <c r="E41" s="304" t="s">
        <v>2918</v>
      </c>
      <c r="F41" s="307" t="s">
        <v>2919</v>
      </c>
      <c r="G41" s="308" t="s">
        <v>2920</v>
      </c>
      <c r="H41" s="305"/>
      <c r="I41" s="1360" t="s">
        <v>98</v>
      </c>
      <c r="J41" s="305"/>
      <c r="K41" s="219"/>
      <c r="L41" s="311" t="s">
        <v>2921</v>
      </c>
      <c r="M41" s="219"/>
      <c r="N41" s="219"/>
      <c r="O41" s="219"/>
      <c r="P41" s="194"/>
      <c r="Q41" s="194"/>
      <c r="R41" s="194"/>
      <c r="S41" s="194"/>
      <c r="T41" s="194"/>
      <c r="U41" s="194"/>
      <c r="V41" s="194"/>
      <c r="W41" s="194"/>
      <c r="X41" s="194"/>
      <c r="Y41" s="194"/>
      <c r="Z41" s="987"/>
    </row>
    <row r="42" spans="1:26" ht="37.950000000000003" customHeight="1" x14ac:dyDescent="0.3">
      <c r="A42" s="1045">
        <v>5</v>
      </c>
      <c r="B42" s="1378" t="s">
        <v>2922</v>
      </c>
      <c r="C42" s="303" t="s">
        <v>2923</v>
      </c>
      <c r="D42" s="166" t="s">
        <v>2924</v>
      </c>
      <c r="E42" s="301" t="s">
        <v>2925</v>
      </c>
      <c r="F42" s="303" t="s">
        <v>2926</v>
      </c>
      <c r="G42" s="166" t="s">
        <v>2927</v>
      </c>
      <c r="H42" s="167"/>
      <c r="I42" s="1361" t="s">
        <v>1145</v>
      </c>
      <c r="J42" s="167"/>
      <c r="K42" s="215"/>
      <c r="L42" s="310" t="s">
        <v>2928</v>
      </c>
      <c r="M42" s="215"/>
      <c r="N42" s="215"/>
      <c r="O42" s="215"/>
      <c r="P42" s="104"/>
      <c r="Q42" s="104"/>
      <c r="R42" s="104"/>
      <c r="S42" s="104"/>
      <c r="T42" s="104"/>
      <c r="U42" s="104"/>
      <c r="V42" s="104"/>
      <c r="W42" s="104"/>
      <c r="X42" s="104"/>
      <c r="Y42" s="104"/>
      <c r="Z42" s="988"/>
    </row>
    <row r="43" spans="1:26" ht="37.950000000000003" customHeight="1" x14ac:dyDescent="0.3">
      <c r="A43" s="1045">
        <v>6</v>
      </c>
      <c r="B43" s="1379" t="s">
        <v>2929</v>
      </c>
      <c r="C43" s="307" t="s">
        <v>2930</v>
      </c>
      <c r="D43" s="308" t="s">
        <v>2931</v>
      </c>
      <c r="E43" s="304" t="s">
        <v>2932</v>
      </c>
      <c r="F43" s="307" t="s">
        <v>2930</v>
      </c>
      <c r="G43" s="308" t="s">
        <v>2930</v>
      </c>
      <c r="H43" s="305"/>
      <c r="I43" s="1362" t="s">
        <v>1145</v>
      </c>
      <c r="J43" s="305"/>
      <c r="K43" s="219"/>
      <c r="L43" s="311" t="s">
        <v>2930</v>
      </c>
      <c r="M43" s="219"/>
      <c r="N43" s="219"/>
      <c r="O43" s="219"/>
      <c r="P43" s="194"/>
      <c r="Q43" s="194"/>
      <c r="R43" s="194"/>
      <c r="S43" s="194"/>
      <c r="T43" s="194"/>
      <c r="U43" s="194"/>
      <c r="V43" s="194"/>
      <c r="W43" s="194"/>
      <c r="X43" s="194"/>
      <c r="Y43" s="194"/>
      <c r="Z43" s="987"/>
    </row>
    <row r="44" spans="1:26" ht="49.95" customHeight="1" x14ac:dyDescent="0.3">
      <c r="A44" s="1045">
        <v>7</v>
      </c>
      <c r="B44" s="1378" t="s">
        <v>2933</v>
      </c>
      <c r="C44" s="303" t="s">
        <v>2934</v>
      </c>
      <c r="D44" s="166" t="s">
        <v>2935</v>
      </c>
      <c r="E44" s="301" t="s">
        <v>2936</v>
      </c>
      <c r="F44" s="303" t="s">
        <v>2937</v>
      </c>
      <c r="G44" s="166" t="s">
        <v>2938</v>
      </c>
      <c r="H44" s="167"/>
      <c r="I44" s="539" t="s">
        <v>98</v>
      </c>
      <c r="J44" s="167"/>
      <c r="K44" s="215"/>
      <c r="L44" s="310" t="s">
        <v>2939</v>
      </c>
      <c r="M44" s="215"/>
      <c r="N44" s="215"/>
      <c r="O44" s="215"/>
      <c r="P44" s="104"/>
      <c r="Q44" s="104"/>
      <c r="R44" s="104"/>
      <c r="S44" s="104"/>
      <c r="T44" s="104"/>
      <c r="U44" s="104"/>
      <c r="V44" s="104"/>
      <c r="W44" s="104"/>
      <c r="X44" s="104"/>
      <c r="Y44" s="104"/>
      <c r="Z44" s="988"/>
    </row>
    <row r="45" spans="1:26" ht="19.95" customHeight="1" x14ac:dyDescent="0.3">
      <c r="A45" s="1797" t="s">
        <v>2940</v>
      </c>
      <c r="B45" s="1798"/>
      <c r="C45" s="1798"/>
      <c r="D45" s="1798"/>
      <c r="E45" s="1798"/>
      <c r="F45" s="1798"/>
      <c r="G45" s="1798"/>
      <c r="H45" s="1798"/>
      <c r="I45" s="1798"/>
      <c r="J45" s="1798"/>
      <c r="K45" s="1798"/>
      <c r="L45" s="1798"/>
      <c r="M45" s="1798"/>
      <c r="N45" s="1798"/>
      <c r="O45" s="1798"/>
      <c r="P45" s="1798"/>
      <c r="Q45" s="1798"/>
      <c r="R45" s="1798"/>
      <c r="S45" s="1798"/>
      <c r="T45" s="1798"/>
      <c r="U45" s="1798"/>
      <c r="V45" s="1798"/>
      <c r="W45" s="1798"/>
      <c r="X45" s="1798"/>
      <c r="Y45" s="1798"/>
      <c r="Z45" s="1799"/>
    </row>
    <row r="46" spans="1:26" ht="18" customHeight="1" x14ac:dyDescent="0.3">
      <c r="A46" s="1045" t="s">
        <v>2941</v>
      </c>
      <c r="B46" s="1383" t="s">
        <v>2689</v>
      </c>
      <c r="C46" s="114" t="s">
        <v>1660</v>
      </c>
      <c r="D46" s="114" t="s">
        <v>2361</v>
      </c>
      <c r="E46" s="114" t="s">
        <v>2942</v>
      </c>
      <c r="F46" s="114" t="s">
        <v>2943</v>
      </c>
      <c r="G46" s="114" t="s">
        <v>2944</v>
      </c>
      <c r="H46" s="114" t="s">
        <v>2945</v>
      </c>
      <c r="I46" s="114" t="s">
        <v>2946</v>
      </c>
      <c r="J46" s="166"/>
      <c r="K46" s="216"/>
      <c r="L46" s="216"/>
      <c r="M46" s="216"/>
      <c r="N46" s="216"/>
      <c r="O46" s="216"/>
      <c r="P46" s="104"/>
      <c r="Q46" s="104"/>
      <c r="R46" s="104"/>
      <c r="S46" s="104"/>
      <c r="T46" s="104"/>
      <c r="U46" s="104"/>
      <c r="V46" s="104"/>
      <c r="W46" s="104"/>
      <c r="X46" s="104"/>
      <c r="Y46" s="104"/>
      <c r="Z46" s="988"/>
    </row>
    <row r="47" spans="1:26" ht="19.95" customHeight="1" x14ac:dyDescent="0.3">
      <c r="A47" s="1797" t="s">
        <v>2947</v>
      </c>
      <c r="B47" s="1798"/>
      <c r="C47" s="1798"/>
      <c r="D47" s="1798"/>
      <c r="E47" s="1798"/>
      <c r="F47" s="1798"/>
      <c r="G47" s="1798"/>
      <c r="H47" s="1798"/>
      <c r="I47" s="1798"/>
      <c r="J47" s="1798"/>
      <c r="K47" s="1798"/>
      <c r="L47" s="1798"/>
      <c r="M47" s="1798"/>
      <c r="N47" s="1798"/>
      <c r="O47" s="1798"/>
      <c r="P47" s="1798"/>
      <c r="Q47" s="1798"/>
      <c r="R47" s="1798"/>
      <c r="S47" s="1798"/>
      <c r="T47" s="1798"/>
      <c r="U47" s="1798"/>
      <c r="V47" s="1798"/>
      <c r="W47" s="1798"/>
      <c r="X47" s="1798"/>
      <c r="Y47" s="1798"/>
      <c r="Z47" s="1799"/>
    </row>
    <row r="48" spans="1:26" ht="19.95" customHeight="1" x14ac:dyDescent="0.3">
      <c r="A48" s="1797" t="s">
        <v>2950</v>
      </c>
      <c r="B48" s="1798"/>
      <c r="C48" s="1798"/>
      <c r="D48" s="1798"/>
      <c r="E48" s="1798"/>
      <c r="F48" s="1798"/>
      <c r="G48" s="1798"/>
      <c r="H48" s="1798"/>
      <c r="I48" s="1798"/>
      <c r="J48" s="1798"/>
      <c r="K48" s="1798"/>
      <c r="L48" s="1798"/>
      <c r="M48" s="1798"/>
      <c r="N48" s="1798"/>
      <c r="O48" s="1798"/>
      <c r="P48" s="1798"/>
      <c r="Q48" s="1798"/>
      <c r="R48" s="1798"/>
      <c r="S48" s="1798"/>
      <c r="T48" s="1798"/>
      <c r="U48" s="1798"/>
      <c r="V48" s="1798"/>
      <c r="W48" s="1798"/>
      <c r="X48" s="1798"/>
      <c r="Y48" s="1798"/>
      <c r="Z48" s="1799"/>
    </row>
    <row r="49" spans="1:26" ht="37.950000000000003" customHeight="1" x14ac:dyDescent="0.3">
      <c r="A49" s="1045" t="s">
        <v>2951</v>
      </c>
      <c r="B49" s="1384" t="s">
        <v>2699</v>
      </c>
      <c r="C49" s="1358" t="s">
        <v>96</v>
      </c>
      <c r="D49" s="308" t="s">
        <v>2948</v>
      </c>
      <c r="E49" s="308" t="s">
        <v>2952</v>
      </c>
      <c r="F49" s="307" t="s">
        <v>2953</v>
      </c>
      <c r="G49" s="307" t="s">
        <v>2954</v>
      </c>
      <c r="H49" s="308" t="s">
        <v>2949</v>
      </c>
      <c r="I49" s="305" t="s">
        <v>2955</v>
      </c>
      <c r="J49" s="305"/>
      <c r="K49" s="219"/>
      <c r="L49" s="219"/>
      <c r="M49" s="219"/>
      <c r="N49" s="219"/>
      <c r="O49" s="219"/>
      <c r="P49" s="194"/>
      <c r="Q49" s="194"/>
      <c r="R49" s="194"/>
      <c r="S49" s="194"/>
      <c r="T49" s="194"/>
      <c r="U49" s="194"/>
      <c r="V49" s="194"/>
      <c r="W49" s="194"/>
      <c r="X49" s="194"/>
      <c r="Y49" s="194"/>
      <c r="Z49" s="987"/>
    </row>
    <row r="50" spans="1:26" ht="37.950000000000003" customHeight="1" x14ac:dyDescent="0.3">
      <c r="A50" s="1045" t="s">
        <v>2956</v>
      </c>
      <c r="B50" s="1380" t="s">
        <v>2699</v>
      </c>
      <c r="C50" s="317" t="s">
        <v>96</v>
      </c>
      <c r="D50" s="166" t="s">
        <v>2948</v>
      </c>
      <c r="E50" s="166" t="s">
        <v>2957</v>
      </c>
      <c r="F50" s="303" t="s">
        <v>2958</v>
      </c>
      <c r="G50" s="303" t="s">
        <v>2959</v>
      </c>
      <c r="H50" s="166" t="s">
        <v>2949</v>
      </c>
      <c r="I50" s="167" t="s">
        <v>2727</v>
      </c>
      <c r="J50" s="167"/>
      <c r="K50" s="215"/>
      <c r="L50" s="215"/>
      <c r="M50" s="215"/>
      <c r="N50" s="215"/>
      <c r="O50" s="215"/>
      <c r="P50" s="104"/>
      <c r="Q50" s="104"/>
      <c r="R50" s="104"/>
      <c r="S50" s="104"/>
      <c r="T50" s="104"/>
      <c r="U50" s="104"/>
      <c r="V50" s="104"/>
      <c r="W50" s="104"/>
      <c r="X50" s="104"/>
      <c r="Y50" s="104"/>
      <c r="Z50" s="988"/>
    </row>
    <row r="51" spans="1:26" ht="37.950000000000003" customHeight="1" x14ac:dyDescent="0.3">
      <c r="A51" s="1045" t="s">
        <v>2960</v>
      </c>
      <c r="B51" s="1384" t="s">
        <v>2731</v>
      </c>
      <c r="C51" s="1358" t="s">
        <v>96</v>
      </c>
      <c r="D51" s="308" t="s">
        <v>2948</v>
      </c>
      <c r="E51" s="308" t="s">
        <v>2961</v>
      </c>
      <c r="F51" s="307" t="s">
        <v>2962</v>
      </c>
      <c r="G51" s="307" t="s">
        <v>2963</v>
      </c>
      <c r="H51" s="308" t="s">
        <v>2949</v>
      </c>
      <c r="I51" s="305" t="s">
        <v>2747</v>
      </c>
      <c r="J51" s="305"/>
      <c r="K51" s="219"/>
      <c r="L51" s="219"/>
      <c r="M51" s="219"/>
      <c r="N51" s="219"/>
      <c r="O51" s="219"/>
      <c r="P51" s="194"/>
      <c r="Q51" s="194"/>
      <c r="R51" s="194"/>
      <c r="S51" s="194"/>
      <c r="T51" s="194"/>
      <c r="U51" s="194"/>
      <c r="V51" s="194"/>
      <c r="W51" s="194"/>
      <c r="X51" s="194"/>
      <c r="Y51" s="194"/>
      <c r="Z51" s="987"/>
    </row>
    <row r="52" spans="1:26" ht="19.95" customHeight="1" x14ac:dyDescent="0.3">
      <c r="A52" s="1797" t="s">
        <v>2964</v>
      </c>
      <c r="B52" s="1798"/>
      <c r="C52" s="1798"/>
      <c r="D52" s="1798"/>
      <c r="E52" s="1798"/>
      <c r="F52" s="1798"/>
      <c r="G52" s="1798"/>
      <c r="H52" s="1798"/>
      <c r="I52" s="1798"/>
      <c r="J52" s="1798"/>
      <c r="K52" s="1798"/>
      <c r="L52" s="1798"/>
      <c r="M52" s="1798"/>
      <c r="N52" s="1798"/>
      <c r="O52" s="1798"/>
      <c r="P52" s="1798"/>
      <c r="Q52" s="1798"/>
      <c r="R52" s="1798"/>
      <c r="S52" s="1798"/>
      <c r="T52" s="1798"/>
      <c r="U52" s="1798"/>
      <c r="V52" s="1798"/>
      <c r="W52" s="1798"/>
      <c r="X52" s="1798"/>
      <c r="Y52" s="1798"/>
      <c r="Z52" s="1799"/>
    </row>
    <row r="53" spans="1:26" ht="19.95" customHeight="1" x14ac:dyDescent="0.3">
      <c r="A53" s="1797" t="s">
        <v>2755</v>
      </c>
      <c r="B53" s="1798"/>
      <c r="C53" s="1798"/>
      <c r="D53" s="1798"/>
      <c r="E53" s="1798"/>
      <c r="F53" s="1798"/>
      <c r="G53" s="1798"/>
      <c r="H53" s="1798"/>
      <c r="I53" s="1798"/>
      <c r="J53" s="1798"/>
      <c r="K53" s="1798"/>
      <c r="L53" s="1798"/>
      <c r="M53" s="1798"/>
      <c r="N53" s="1798"/>
      <c r="O53" s="1798"/>
      <c r="P53" s="1798"/>
      <c r="Q53" s="1798"/>
      <c r="R53" s="1798"/>
      <c r="S53" s="1798"/>
      <c r="T53" s="1798"/>
      <c r="U53" s="1798"/>
      <c r="V53" s="1798"/>
      <c r="W53" s="1798"/>
      <c r="X53" s="1798"/>
      <c r="Y53" s="1798"/>
      <c r="Z53" s="1799"/>
    </row>
    <row r="54" spans="1:26" ht="19.95" customHeight="1" x14ac:dyDescent="0.3">
      <c r="A54" s="1797" t="s">
        <v>2763</v>
      </c>
      <c r="B54" s="1798"/>
      <c r="C54" s="1798"/>
      <c r="D54" s="1798"/>
      <c r="E54" s="1798"/>
      <c r="F54" s="1798"/>
      <c r="G54" s="1798"/>
      <c r="H54" s="1798"/>
      <c r="I54" s="1798"/>
      <c r="J54" s="1798"/>
      <c r="K54" s="1798"/>
      <c r="L54" s="1798"/>
      <c r="M54" s="1798"/>
      <c r="N54" s="1798"/>
      <c r="O54" s="1798"/>
      <c r="P54" s="1798"/>
      <c r="Q54" s="1798"/>
      <c r="R54" s="1798"/>
      <c r="S54" s="1798"/>
      <c r="T54" s="1798"/>
      <c r="U54" s="1798"/>
      <c r="V54" s="1798"/>
      <c r="W54" s="1798"/>
      <c r="X54" s="1798"/>
      <c r="Y54" s="1798"/>
      <c r="Z54" s="1799"/>
    </row>
    <row r="55" spans="1:26" ht="19.95" customHeight="1" x14ac:dyDescent="0.3">
      <c r="A55" s="1797" t="s">
        <v>2965</v>
      </c>
      <c r="B55" s="1798"/>
      <c r="C55" s="1798"/>
      <c r="D55" s="1798"/>
      <c r="E55" s="1798"/>
      <c r="F55" s="1798"/>
      <c r="G55" s="1798"/>
      <c r="H55" s="1798"/>
      <c r="I55" s="1798"/>
      <c r="J55" s="1798"/>
      <c r="K55" s="1798"/>
      <c r="L55" s="1798"/>
      <c r="M55" s="1798"/>
      <c r="N55" s="1798"/>
      <c r="O55" s="1798"/>
      <c r="P55" s="1798"/>
      <c r="Q55" s="1798"/>
      <c r="R55" s="1798"/>
      <c r="S55" s="1798"/>
      <c r="T55" s="1798"/>
      <c r="U55" s="1798"/>
      <c r="V55" s="1798"/>
      <c r="W55" s="1798"/>
      <c r="X55" s="1798"/>
      <c r="Y55" s="1798"/>
      <c r="Z55" s="1799"/>
    </row>
    <row r="56" spans="1:26" ht="19.95" customHeight="1" x14ac:dyDescent="0.3">
      <c r="A56" s="1797" t="s">
        <v>2966</v>
      </c>
      <c r="B56" s="1798"/>
      <c r="C56" s="1798"/>
      <c r="D56" s="1798"/>
      <c r="E56" s="1798"/>
      <c r="F56" s="1798"/>
      <c r="G56" s="1798"/>
      <c r="H56" s="1798"/>
      <c r="I56" s="1798"/>
      <c r="J56" s="1798"/>
      <c r="K56" s="1798"/>
      <c r="L56" s="1798"/>
      <c r="M56" s="1798"/>
      <c r="N56" s="1798"/>
      <c r="O56" s="1798"/>
      <c r="P56" s="1798"/>
      <c r="Q56" s="1798"/>
      <c r="R56" s="1798"/>
      <c r="S56" s="1798"/>
      <c r="T56" s="1798"/>
      <c r="U56" s="1798"/>
      <c r="V56" s="1798"/>
      <c r="W56" s="1798"/>
      <c r="X56" s="1798"/>
      <c r="Y56" s="1798"/>
      <c r="Z56" s="1799"/>
    </row>
    <row r="57" spans="1:26" ht="19.95" customHeight="1" x14ac:dyDescent="0.3">
      <c r="A57" s="1797" t="s">
        <v>2967</v>
      </c>
      <c r="B57" s="1798"/>
      <c r="C57" s="1798"/>
      <c r="D57" s="1798"/>
      <c r="E57" s="1798"/>
      <c r="F57" s="1798"/>
      <c r="G57" s="1798"/>
      <c r="H57" s="1798"/>
      <c r="I57" s="1798"/>
      <c r="J57" s="1798"/>
      <c r="K57" s="1798"/>
      <c r="L57" s="1798"/>
      <c r="M57" s="1798"/>
      <c r="N57" s="1798"/>
      <c r="O57" s="1798"/>
      <c r="P57" s="1798"/>
      <c r="Q57" s="1798"/>
      <c r="R57" s="1798"/>
      <c r="S57" s="1798"/>
      <c r="T57" s="1798"/>
      <c r="U57" s="1798"/>
      <c r="V57" s="1798"/>
      <c r="W57" s="1798"/>
      <c r="X57" s="1798"/>
      <c r="Y57" s="1798"/>
      <c r="Z57" s="1799"/>
    </row>
    <row r="58" spans="1:26" ht="37.950000000000003" customHeight="1" x14ac:dyDescent="0.3">
      <c r="A58" s="1045" t="s">
        <v>1860</v>
      </c>
      <c r="B58" s="1080" t="str">
        <f>TEXT('M5-ICPI'!G26*100,"0,00")&amp;"%"</f>
        <v>0,00%</v>
      </c>
      <c r="C58" s="317" t="s">
        <v>2968</v>
      </c>
      <c r="D58" s="166" t="s">
        <v>2969</v>
      </c>
      <c r="E58" s="317" t="s">
        <v>2970</v>
      </c>
      <c r="F58" s="317" t="s">
        <v>2971</v>
      </c>
      <c r="G58" s="166" t="s">
        <v>2972</v>
      </c>
      <c r="H58" s="166" t="s">
        <v>2973</v>
      </c>
      <c r="I58" s="166" t="s">
        <v>2974</v>
      </c>
      <c r="J58" s="167"/>
      <c r="K58" s="215"/>
      <c r="L58" s="215"/>
      <c r="M58" s="215"/>
      <c r="N58" s="215"/>
      <c r="O58" s="215"/>
      <c r="P58" s="104"/>
      <c r="Q58" s="104"/>
      <c r="R58" s="104"/>
      <c r="S58" s="104"/>
      <c r="T58" s="104"/>
      <c r="U58" s="104"/>
      <c r="V58" s="104"/>
      <c r="W58" s="104"/>
      <c r="X58" s="104"/>
      <c r="Y58" s="104"/>
      <c r="Z58" s="988"/>
    </row>
    <row r="59" spans="1:26" ht="37.950000000000003" customHeight="1" x14ac:dyDescent="0.3">
      <c r="A59" s="1045" t="s">
        <v>2975</v>
      </c>
      <c r="B59" s="1081" t="s">
        <v>2976</v>
      </c>
      <c r="C59" s="308" t="s">
        <v>2977</v>
      </c>
      <c r="D59" s="308" t="s">
        <v>2978</v>
      </c>
      <c r="E59" s="308" t="s">
        <v>2979</v>
      </c>
      <c r="F59" s="308" t="s">
        <v>2980</v>
      </c>
      <c r="G59" s="1358" t="s">
        <v>2981</v>
      </c>
      <c r="H59" s="308" t="s">
        <v>2982</v>
      </c>
      <c r="I59" s="308" t="s">
        <v>2983</v>
      </c>
      <c r="J59" s="305"/>
      <c r="K59" s="219"/>
      <c r="L59" s="219"/>
      <c r="M59" s="219"/>
      <c r="N59" s="219"/>
      <c r="O59" s="219"/>
      <c r="P59" s="194"/>
      <c r="Q59" s="194"/>
      <c r="R59" s="194"/>
      <c r="S59" s="194"/>
      <c r="T59" s="194"/>
      <c r="U59" s="194"/>
      <c r="V59" s="194"/>
      <c r="W59" s="194"/>
      <c r="X59" s="194"/>
      <c r="Y59" s="194"/>
      <c r="Z59" s="987"/>
    </row>
    <row r="60" spans="1:26" ht="19.95" customHeight="1" x14ac:dyDescent="0.3">
      <c r="A60" s="1797" t="s">
        <v>2984</v>
      </c>
      <c r="B60" s="1798"/>
      <c r="C60" s="1798"/>
      <c r="D60" s="1798"/>
      <c r="E60" s="1798"/>
      <c r="F60" s="1798"/>
      <c r="G60" s="1798"/>
      <c r="H60" s="1798"/>
      <c r="I60" s="1798"/>
      <c r="J60" s="1798"/>
      <c r="K60" s="1798"/>
      <c r="L60" s="1798"/>
      <c r="M60" s="1798"/>
      <c r="N60" s="1798"/>
      <c r="O60" s="1798"/>
      <c r="P60" s="1798"/>
      <c r="Q60" s="1798"/>
      <c r="R60" s="1798"/>
      <c r="S60" s="1798"/>
      <c r="T60" s="1798"/>
      <c r="U60" s="1798"/>
      <c r="V60" s="1798"/>
      <c r="W60" s="1798"/>
      <c r="X60" s="1798"/>
      <c r="Y60" s="1798"/>
      <c r="Z60" s="1799"/>
    </row>
    <row r="61" spans="1:26" ht="18" customHeight="1" x14ac:dyDescent="0.3">
      <c r="A61" s="1072"/>
      <c r="B61" s="1276"/>
      <c r="C61" s="219"/>
      <c r="D61" s="219"/>
      <c r="E61" s="219"/>
      <c r="F61" s="219"/>
      <c r="G61" s="219"/>
      <c r="H61" s="219"/>
      <c r="I61" s="219"/>
      <c r="J61" s="219"/>
      <c r="K61" s="219"/>
      <c r="L61" s="219"/>
      <c r="M61" s="219"/>
      <c r="N61" s="219"/>
      <c r="O61" s="219"/>
      <c r="P61" s="194"/>
      <c r="Q61" s="194"/>
      <c r="R61" s="194"/>
      <c r="S61" s="194"/>
      <c r="T61" s="194"/>
      <c r="U61" s="194"/>
      <c r="V61" s="194"/>
      <c r="W61" s="194"/>
      <c r="X61" s="194"/>
      <c r="Y61" s="194"/>
      <c r="Z61" s="987"/>
    </row>
    <row r="62" spans="1:26" ht="18" customHeight="1" x14ac:dyDescent="0.3">
      <c r="A62" s="1073"/>
      <c r="B62" s="4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988"/>
    </row>
    <row r="63" spans="1:26" ht="19.95" customHeight="1" x14ac:dyDescent="0.3">
      <c r="A63" s="1938" t="s">
        <v>2985</v>
      </c>
      <c r="B63" s="1716"/>
      <c r="C63" s="1716"/>
      <c r="D63" s="1716"/>
      <c r="E63" s="1716"/>
      <c r="F63" s="1716"/>
      <c r="G63" s="1716"/>
      <c r="H63" s="1716"/>
      <c r="I63" s="1716"/>
      <c r="J63" s="1716"/>
      <c r="K63" s="1716"/>
      <c r="L63" s="1716"/>
      <c r="M63" s="1716"/>
      <c r="N63" s="1716"/>
      <c r="O63" s="1716"/>
      <c r="P63" s="1716"/>
      <c r="Q63" s="1716"/>
      <c r="R63" s="1716"/>
      <c r="S63" s="1716"/>
      <c r="T63" s="1716"/>
      <c r="U63" s="1716"/>
      <c r="V63" s="1716"/>
      <c r="W63" s="1716"/>
      <c r="X63" s="1716"/>
      <c r="Y63" s="1716"/>
      <c r="Z63" s="1717"/>
    </row>
    <row r="64" spans="1:26" ht="18" customHeight="1" x14ac:dyDescent="0.3">
      <c r="A64" s="1073" t="s">
        <v>2986</v>
      </c>
      <c r="B64" s="1310" t="s">
        <v>5</v>
      </c>
      <c r="C64" s="101" t="s">
        <v>2987</v>
      </c>
      <c r="D64" s="101" t="s">
        <v>30</v>
      </c>
      <c r="E64" s="101" t="s">
        <v>746</v>
      </c>
      <c r="F64" s="101"/>
      <c r="G64" s="101"/>
      <c r="H64" s="101"/>
      <c r="I64" s="101"/>
      <c r="J64" s="101"/>
      <c r="K64" s="101"/>
      <c r="L64" s="101"/>
      <c r="M64" s="101"/>
      <c r="N64" s="101"/>
      <c r="O64" s="101"/>
      <c r="P64" s="104"/>
      <c r="Q64" s="104"/>
      <c r="R64" s="104"/>
      <c r="S64" s="104"/>
      <c r="T64" s="104"/>
      <c r="U64" s="104"/>
      <c r="V64" s="104"/>
      <c r="W64" s="104"/>
      <c r="X64" s="104"/>
      <c r="Y64" s="104"/>
      <c r="Z64" s="988"/>
    </row>
    <row r="65" spans="1:26" ht="18" customHeight="1" x14ac:dyDescent="0.3">
      <c r="A65" s="1073" t="s">
        <v>1631</v>
      </c>
      <c r="B65" s="1385" t="str">
        <f>TEXT('M5-ICPI'!G26*100,"0,00")&amp;"%"</f>
        <v>0,00%</v>
      </c>
      <c r="C65" s="298" t="s">
        <v>2988</v>
      </c>
      <c r="D65" s="264" t="str">
        <f>IF('M5-ICPI'!G29&gt;=70,"✅ OK","⚠ ALERTA — Transición Crítica")</f>
        <v>⚠ ALERTA — Transición Crítica</v>
      </c>
      <c r="E65" s="232" t="s">
        <v>2989</v>
      </c>
      <c r="F65" s="232"/>
      <c r="G65" s="232"/>
      <c r="H65" s="232"/>
      <c r="I65" s="232"/>
      <c r="J65" s="232"/>
      <c r="K65" s="232"/>
      <c r="L65" s="232"/>
      <c r="M65" s="232"/>
      <c r="N65" s="232"/>
      <c r="O65" s="232"/>
      <c r="P65" s="194"/>
      <c r="Q65" s="194"/>
      <c r="R65" s="194"/>
      <c r="S65" s="194"/>
      <c r="T65" s="194"/>
      <c r="U65" s="194"/>
      <c r="V65" s="194"/>
      <c r="W65" s="194"/>
      <c r="X65" s="194"/>
      <c r="Y65" s="194"/>
      <c r="Z65" s="987"/>
    </row>
    <row r="66" spans="1:26" ht="18" customHeight="1" x14ac:dyDescent="0.3">
      <c r="A66" s="1073" t="s">
        <v>2478</v>
      </c>
      <c r="B66" s="1386" t="str">
        <f>ROUND('DATA-CED'!N25*100,1)&amp;"%"</f>
        <v>0%</v>
      </c>
      <c r="C66" s="248" t="s">
        <v>2596</v>
      </c>
      <c r="D66" s="1272" t="str">
        <f>IF('DATA-CED'!N25&gt;=0.7,"✅ OK","⚠ ALERTA — ejecución &lt;70%")</f>
        <v>⚠ ALERTA — ejecución &lt;70%</v>
      </c>
      <c r="E66" s="101" t="s">
        <v>2990</v>
      </c>
      <c r="F66" s="101"/>
      <c r="G66" s="101"/>
      <c r="H66" s="101"/>
      <c r="I66" s="101"/>
      <c r="J66" s="101"/>
      <c r="K66" s="101"/>
      <c r="L66" s="101"/>
      <c r="M66" s="101"/>
      <c r="N66" s="101"/>
      <c r="O66" s="101"/>
      <c r="P66" s="104"/>
      <c r="Q66" s="104"/>
      <c r="R66" s="104"/>
      <c r="S66" s="104"/>
      <c r="T66" s="104"/>
      <c r="U66" s="104"/>
      <c r="V66" s="104"/>
      <c r="W66" s="104"/>
      <c r="X66" s="104"/>
      <c r="Y66" s="104"/>
      <c r="Z66" s="988"/>
    </row>
    <row r="67" spans="1:26" ht="18" customHeight="1" x14ac:dyDescent="0.3">
      <c r="A67" s="1394" t="s">
        <v>2991</v>
      </c>
      <c r="B67" s="1387" t="str">
        <f>COUNTIF('M4-AUDIT'!X5:X24,1)&amp;"/20"</f>
        <v>8/20</v>
      </c>
      <c r="C67" s="299" t="s">
        <v>2992</v>
      </c>
      <c r="D67" s="318" t="str">
        <f>IF(COUNTIF('M4-AUDIT'!X5:X24,1)=20,"✅ OK","⚠ "&amp;(20-COUNTIF('M4-AUDIT'!X5:X24,1))&amp;" metas sin cadena")</f>
        <v>⚠ 12 metas sin cadena</v>
      </c>
      <c r="E67" s="233" t="s">
        <v>2993</v>
      </c>
      <c r="F67" s="233"/>
      <c r="G67" s="233"/>
      <c r="H67" s="233"/>
      <c r="I67" s="233"/>
      <c r="J67" s="233"/>
      <c r="K67" s="233"/>
      <c r="L67" s="233"/>
      <c r="M67" s="233"/>
      <c r="N67" s="233"/>
      <c r="O67" s="233"/>
      <c r="P67" s="265"/>
      <c r="Q67" s="265"/>
      <c r="R67" s="265"/>
      <c r="S67" s="265"/>
      <c r="T67" s="265"/>
      <c r="U67" s="265"/>
      <c r="V67" s="265"/>
      <c r="W67" s="265"/>
      <c r="X67" s="265"/>
      <c r="Y67" s="265"/>
      <c r="Z67" s="1175"/>
    </row>
    <row r="68" spans="1:26" x14ac:dyDescent="0.3">
      <c r="A68" s="1395"/>
      <c r="B68" s="1370"/>
      <c r="C68" s="1370"/>
      <c r="D68" s="1370"/>
      <c r="E68" s="1370"/>
      <c r="F68" s="1370"/>
      <c r="G68" s="1370"/>
      <c r="H68" s="1370"/>
      <c r="I68" s="1370"/>
      <c r="J68" s="1370"/>
      <c r="K68" s="1370"/>
      <c r="L68" s="1370"/>
      <c r="M68" s="1370"/>
      <c r="N68" s="1370"/>
      <c r="O68" s="1370"/>
      <c r="P68" s="1370"/>
      <c r="Q68" s="1370"/>
      <c r="R68" s="1370"/>
      <c r="S68" s="1370"/>
      <c r="T68" s="1370"/>
      <c r="U68" s="1370"/>
      <c r="V68" s="1370"/>
      <c r="W68" s="1370"/>
      <c r="X68" s="1370"/>
      <c r="Y68" s="1370"/>
      <c r="Z68" s="1372"/>
    </row>
    <row r="69" spans="1:26" ht="19.95" customHeight="1" x14ac:dyDescent="0.3">
      <c r="A69" s="1856" t="s">
        <v>4109</v>
      </c>
      <c r="B69" s="1764"/>
      <c r="C69" s="1764"/>
      <c r="D69" s="1764"/>
      <c r="E69" s="1764"/>
      <c r="F69" s="1764"/>
      <c r="G69" s="1764"/>
      <c r="H69" s="1764"/>
      <c r="I69" s="1764"/>
      <c r="J69" s="1764"/>
      <c r="K69" s="1764"/>
      <c r="L69" s="1764"/>
      <c r="M69" s="1764"/>
      <c r="N69" s="1764"/>
      <c r="O69" s="1764"/>
      <c r="P69" s="1764"/>
      <c r="Q69" s="1764"/>
      <c r="R69" s="1764"/>
      <c r="S69" s="1764"/>
      <c r="T69" s="1764"/>
      <c r="U69" s="1764"/>
      <c r="V69" s="1764"/>
      <c r="W69" s="1764"/>
      <c r="X69" s="1764"/>
      <c r="Y69" s="1764"/>
      <c r="Z69" s="1857"/>
    </row>
    <row r="70" spans="1:26" ht="19.95" customHeight="1" x14ac:dyDescent="0.3">
      <c r="A70" s="1942" t="s">
        <v>4110</v>
      </c>
      <c r="B70" s="1764"/>
      <c r="C70" s="1764"/>
      <c r="D70" s="1764"/>
      <c r="E70" s="1764"/>
      <c r="F70" s="1764"/>
      <c r="G70" s="1764"/>
      <c r="H70" s="1764"/>
      <c r="I70" s="1764"/>
      <c r="J70" s="1764"/>
      <c r="K70" s="1764"/>
      <c r="L70" s="1764"/>
      <c r="M70" s="1764"/>
      <c r="N70" s="1764"/>
      <c r="O70" s="1764"/>
      <c r="P70" s="1764"/>
      <c r="Q70" s="1764"/>
      <c r="R70" s="1764"/>
      <c r="S70" s="1764"/>
      <c r="T70" s="1764"/>
      <c r="U70" s="1764"/>
      <c r="V70" s="1764"/>
      <c r="W70" s="1764"/>
      <c r="X70" s="1764"/>
      <c r="Y70" s="1764"/>
      <c r="Z70" s="1857"/>
    </row>
    <row r="71" spans="1:26" ht="19.95" customHeight="1" thickBot="1" x14ac:dyDescent="0.35">
      <c r="A71" s="1858" t="s">
        <v>4111</v>
      </c>
      <c r="B71" s="1859"/>
      <c r="C71" s="1859"/>
      <c r="D71" s="1859"/>
      <c r="E71" s="1859"/>
      <c r="F71" s="1859"/>
      <c r="G71" s="1859"/>
      <c r="H71" s="1859"/>
      <c r="I71" s="1859"/>
      <c r="J71" s="1859"/>
      <c r="K71" s="1859"/>
      <c r="L71" s="1859"/>
      <c r="M71" s="1859"/>
      <c r="N71" s="1859"/>
      <c r="O71" s="1859"/>
      <c r="P71" s="1859"/>
      <c r="Q71" s="1859"/>
      <c r="R71" s="1859"/>
      <c r="S71" s="1859"/>
      <c r="T71" s="1859"/>
      <c r="U71" s="1859"/>
      <c r="V71" s="1859"/>
      <c r="W71" s="1859"/>
      <c r="X71" s="1859"/>
      <c r="Y71" s="1859"/>
      <c r="Z71" s="1860"/>
    </row>
    <row r="72" spans="1:26" ht="15" thickTop="1" x14ac:dyDescent="0.3">
      <c r="A72" s="1397" t="s">
        <v>4112</v>
      </c>
      <c r="B72" s="1388" t="s">
        <v>4113</v>
      </c>
      <c r="C72" s="1363" t="s">
        <v>824</v>
      </c>
      <c r="D72" s="1363" t="s">
        <v>30</v>
      </c>
      <c r="E72" s="1363" t="s">
        <v>4114</v>
      </c>
      <c r="F72" s="1363" t="s">
        <v>1858</v>
      </c>
      <c r="G72" s="1364" t="s">
        <v>4115</v>
      </c>
      <c r="H72" s="1370"/>
      <c r="I72" s="1370"/>
      <c r="J72" s="1370"/>
      <c r="K72" s="1370"/>
      <c r="L72" s="1370"/>
      <c r="M72" s="1370"/>
      <c r="N72" s="1370"/>
      <c r="O72" s="1370"/>
      <c r="P72" s="1370"/>
      <c r="Q72" s="1370"/>
      <c r="R72" s="1370"/>
      <c r="S72" s="1370"/>
      <c r="T72" s="1370"/>
      <c r="U72" s="1370"/>
      <c r="V72" s="1370"/>
      <c r="W72" s="1370"/>
      <c r="X72" s="1370"/>
      <c r="Y72" s="1370"/>
      <c r="Z72" s="1372"/>
    </row>
    <row r="73" spans="1:26" x14ac:dyDescent="0.3">
      <c r="A73" s="1398" t="s">
        <v>4116</v>
      </c>
      <c r="B73" s="1389" t="s">
        <v>716</v>
      </c>
      <c r="C73" s="319" t="s">
        <v>4117</v>
      </c>
      <c r="D73" s="320" t="str">
        <f>IF(ABS('M2-PLAN-Pi'!F34-1)&lt;0.0001,"✅ OK","❌ ERROR: ΣPi="&amp;ROUND('M2-PLAN-Pi'!F34,6))</f>
        <v>✅ OK</v>
      </c>
      <c r="E73" s="321" t="str">
        <f>"ΣPi = "&amp;ROUND('M2-PLAN-Pi'!F34,6)&amp;" | Tolerancia ±0.0001 | n=20 pesos"</f>
        <v>ΣPi = 1 | Tolerancia ±0.0001 | n=20 pesos</v>
      </c>
      <c r="F73" s="319" t="s">
        <v>4118</v>
      </c>
      <c r="G73" s="1365" t="s">
        <v>96</v>
      </c>
      <c r="H73" s="1371"/>
      <c r="I73" s="1371"/>
      <c r="J73" s="1371"/>
      <c r="K73" s="1371"/>
      <c r="L73" s="1371"/>
      <c r="M73" s="1371"/>
      <c r="N73" s="1371"/>
      <c r="O73" s="1371"/>
      <c r="P73" s="1371"/>
      <c r="Q73" s="1371"/>
      <c r="R73" s="1371"/>
      <c r="S73" s="1371"/>
      <c r="T73" s="1371"/>
      <c r="U73" s="1371"/>
      <c r="V73" s="1371"/>
      <c r="W73" s="1371"/>
      <c r="X73" s="1371"/>
      <c r="Y73" s="1371"/>
      <c r="Z73" s="1373"/>
    </row>
    <row r="74" spans="1:26" x14ac:dyDescent="0.3">
      <c r="A74" s="1398" t="s">
        <v>4119</v>
      </c>
      <c r="B74" s="1390" t="s">
        <v>4120</v>
      </c>
      <c r="C74" s="322" t="s">
        <v>3113</v>
      </c>
      <c r="D74" s="323" t="str">
        <f>IF(COUNTA('M5-ICPI'!A5:A24)=20,"✅ OK","❌ ERROR: "&amp;COUNTA('M5-ICPI'!A5:A24)&amp;" metas detectadas")</f>
        <v>✅ OK</v>
      </c>
      <c r="E74" s="324" t="str">
        <f>"Metas en ICPI!A5:A24: "&amp;COUNTA('M5-ICPI'!A5:A24)&amp;" | Esperado: 20 | Rango excluye fila 25 (Σ TOTAL)"</f>
        <v>Metas en ICPI!A5:A24: 20 | Esperado: 20 | Rango excluye fila 25 (Σ TOTAL)</v>
      </c>
      <c r="F74" s="322" t="s">
        <v>4121</v>
      </c>
      <c r="G74" s="1366" t="s">
        <v>96</v>
      </c>
      <c r="H74" s="1370"/>
      <c r="I74" s="1370"/>
      <c r="J74" s="1370"/>
      <c r="K74" s="1370"/>
      <c r="L74" s="1370"/>
      <c r="M74" s="1370"/>
      <c r="N74" s="1370"/>
      <c r="O74" s="1370"/>
      <c r="P74" s="1370"/>
      <c r="Q74" s="1370"/>
      <c r="R74" s="1370"/>
      <c r="S74" s="1370"/>
      <c r="T74" s="1370"/>
      <c r="U74" s="1370"/>
      <c r="V74" s="1370"/>
      <c r="W74" s="1370"/>
      <c r="X74" s="1370"/>
      <c r="Y74" s="1370"/>
      <c r="Z74" s="1372"/>
    </row>
    <row r="75" spans="1:26" x14ac:dyDescent="0.3">
      <c r="A75" s="1398" t="s">
        <v>4122</v>
      </c>
      <c r="B75" s="1389" t="s">
        <v>4123</v>
      </c>
      <c r="C75" s="319" t="s">
        <v>4124</v>
      </c>
      <c r="D75" s="320" t="str">
        <f>IF(COUNTIF('M5-ICPI'!C5:C24,0)+COUNTBLANK('M5-ICPI'!C5:C24)=0,"✅ OK","❌ ERROR: "&amp;(COUNTIF('M5-ICPI'!C5:C24,0)+COUNTBLANK('M5-ICPI'!C5:C24))&amp;" meta(s) sin Pi")</f>
        <v>❌ ERROR: 1 meta(s) sin Pi</v>
      </c>
      <c r="E75" s="321" t="str">
        <f>"Pi=0: "&amp;COUNTIF('M5-ICPI'!C5:C24,0)&amp;" | Pi vacío: "&amp;COUNTBLANK('M5-ICPI'!C5:C24)&amp;" | Pi min: "&amp;ROUND(MIN('M5-ICPI'!C5:C24),6)</f>
        <v>Pi=0: 1 | Pi vacío: 0 | Pi min: 0</v>
      </c>
      <c r="F75" s="319" t="s">
        <v>4125</v>
      </c>
      <c r="G75" s="1365" t="s">
        <v>96</v>
      </c>
      <c r="H75" s="1371"/>
      <c r="I75" s="1371"/>
      <c r="J75" s="1371"/>
      <c r="K75" s="1371"/>
      <c r="L75" s="1371"/>
      <c r="M75" s="1371"/>
      <c r="N75" s="1371"/>
      <c r="O75" s="1371"/>
      <c r="P75" s="1371"/>
      <c r="Q75" s="1371"/>
      <c r="R75" s="1371"/>
      <c r="S75" s="1371"/>
      <c r="T75" s="1371"/>
      <c r="U75" s="1371"/>
      <c r="V75" s="1371"/>
      <c r="W75" s="1371"/>
      <c r="X75" s="1371"/>
      <c r="Y75" s="1371"/>
      <c r="Z75" s="1373"/>
    </row>
    <row r="76" spans="1:26" x14ac:dyDescent="0.3">
      <c r="A76" s="1398" t="s">
        <v>4126</v>
      </c>
      <c r="B76" s="1390" t="s">
        <v>4127</v>
      </c>
      <c r="C76" s="322" t="s">
        <v>4128</v>
      </c>
      <c r="D76" s="323" t="str">
        <f>IF(COUNTIF('M5-ICPI'!D5:D24,0)+COUNTBLANK('M5-ICPI'!D5:D24)=0,"✅ OK","⚠️ AVISO: "&amp;(COUNTIF('M5-ICPI'!D5:D24,0)+COUNTBLANK('M5-ICPI'!D5:D24))&amp;" meta(s) con Ri=0")</f>
        <v>✅ OK</v>
      </c>
      <c r="E76" s="324" t="str">
        <f>"Ri=0: "&amp;COUNTIF('M5-ICPI'!D5:D24,0)&amp;" | Ri vacío: "&amp;COUNTBLANK('M5-ICPI'!D5:D24)&amp;" | Ri min: "&amp;MIN('M5-ICPI'!D5:D24)&amp;" | Ri max: "&amp;MAX('M5-ICPI'!D5:D24)</f>
        <v>Ri=0: 0 | Ri vacío: 0 | Ri min: 0,5 | Ri max: 1,5</v>
      </c>
      <c r="F76" s="322" t="s">
        <v>4129</v>
      </c>
      <c r="G76" s="1366" t="s">
        <v>98</v>
      </c>
      <c r="H76" s="1370"/>
      <c r="I76" s="1370"/>
      <c r="J76" s="1370"/>
      <c r="K76" s="1370"/>
      <c r="L76" s="1370"/>
      <c r="M76" s="1370"/>
      <c r="N76" s="1370"/>
      <c r="O76" s="1370"/>
      <c r="P76" s="1370"/>
      <c r="Q76" s="1370"/>
      <c r="R76" s="1370"/>
      <c r="S76" s="1370"/>
      <c r="T76" s="1370"/>
      <c r="U76" s="1370"/>
      <c r="V76" s="1370"/>
      <c r="W76" s="1370"/>
      <c r="X76" s="1370"/>
      <c r="Y76" s="1370"/>
      <c r="Z76" s="1372"/>
    </row>
    <row r="77" spans="1:26" x14ac:dyDescent="0.3">
      <c r="A77" s="1398" t="s">
        <v>4130</v>
      </c>
      <c r="B77" s="1389" t="s">
        <v>4131</v>
      </c>
      <c r="C77" s="319" t="s">
        <v>4132</v>
      </c>
      <c r="D77" s="320" t="str" cm="1">
        <f t="array" ref="D77">IF(SUMPRODUCT(('M5-ICPI'!E5:E24&lt;&gt;0)*('M5-ICPI'!E5:E24&lt;&gt;1))=0,"✅ OK","❌ ERROR: "&amp;SUMPRODUCT(('M5-ICPI'!E5:E24&lt;&gt;0)*('M5-ICPI'!E5:E24&lt;&gt;1))&amp;" valor(es) fuera de {0,1}")</f>
        <v>✅ OK</v>
      </c>
      <c r="E77" s="321" t="str">
        <f>"Vi=1: "&amp;COUNTIF('M5-ICPI'!E5:E24,1)&amp;" metas ✓ | Vi=0: "&amp;COUNTIF('M5-ICPI'!E5:E24,0)&amp;" metas sin evidencia | Total: "&amp;COUNTA('M5-ICPI'!E5:E24)</f>
        <v>Vi=1: 15 metas ✓ | Vi=0: 5 metas sin evidencia | Total: 20</v>
      </c>
      <c r="F77" s="319" t="s">
        <v>4133</v>
      </c>
      <c r="G77" s="1365" t="s">
        <v>96</v>
      </c>
      <c r="H77" s="1371"/>
      <c r="I77" s="1371"/>
      <c r="J77" s="1371"/>
      <c r="K77" s="1371"/>
      <c r="L77" s="1371"/>
      <c r="M77" s="1371"/>
      <c r="N77" s="1371"/>
      <c r="O77" s="1371"/>
      <c r="P77" s="1371"/>
      <c r="Q77" s="1371"/>
      <c r="R77" s="1371"/>
      <c r="S77" s="1371"/>
      <c r="T77" s="1371"/>
      <c r="U77" s="1371"/>
      <c r="V77" s="1371"/>
      <c r="W77" s="1371"/>
      <c r="X77" s="1371"/>
      <c r="Y77" s="1371"/>
      <c r="Z77" s="1373"/>
    </row>
    <row r="78" spans="1:26" x14ac:dyDescent="0.3">
      <c r="A78" s="1398" t="s">
        <v>4134</v>
      </c>
      <c r="B78" s="1390" t="s">
        <v>4135</v>
      </c>
      <c r="C78" s="322" t="s">
        <v>4132</v>
      </c>
      <c r="D78" s="323" t="str" cm="1">
        <f t="array" ref="D78">IF(SUMPRODUCT(('M5-ICPI'!F5:F24&lt;0)+('M5-ICPI'!F5:F24&gt;1))=0,"✅ OK","❌ ERROR: "&amp;SUMPRODUCT(('M5-ICPI'!F5:F24&lt;0)+('M5-ICPI'!F5:F24&gt;1))&amp;" valor(es) fuera de [0,1]")</f>
        <v>✅ OK</v>
      </c>
      <c r="E78" s="324" t="str">
        <f>"Ti min: "&amp;MIN('M5-ICPI'!F5:F24)&amp;" | Ti max: "&amp;MAX('M5-ICPI'!F5:F24)&amp;" | Ti promedio: "&amp;ROUND(AVERAGE('M5-ICPI'!F5:F24),3)&amp;" | Ti=0: "&amp;COUNTIF('M5-ICPI'!F5:F24,0)</f>
        <v>Ti min: 0 | Ti max: 1 | Ti promedio: 0,495 | Ti=0: 2</v>
      </c>
      <c r="F78" s="322" t="s">
        <v>4136</v>
      </c>
      <c r="G78" s="1366" t="s">
        <v>96</v>
      </c>
      <c r="H78" s="1370"/>
      <c r="I78" s="1370"/>
      <c r="J78" s="1370"/>
      <c r="K78" s="1370"/>
      <c r="L78" s="1370"/>
      <c r="M78" s="1370"/>
      <c r="N78" s="1370"/>
      <c r="O78" s="1370"/>
      <c r="P78" s="1370"/>
      <c r="Q78" s="1370"/>
      <c r="R78" s="1370"/>
      <c r="S78" s="1370"/>
      <c r="T78" s="1370"/>
      <c r="U78" s="1370"/>
      <c r="V78" s="1370"/>
      <c r="W78" s="1370"/>
      <c r="X78" s="1370"/>
      <c r="Y78" s="1370"/>
      <c r="Z78" s="1372"/>
    </row>
    <row r="79" spans="1:26" x14ac:dyDescent="0.3">
      <c r="A79" s="1398" t="s">
        <v>4137</v>
      </c>
      <c r="B79" s="1389" t="s">
        <v>4138</v>
      </c>
      <c r="C79" s="319" t="s">
        <v>4132</v>
      </c>
      <c r="D79" s="320" t="str" cm="1">
        <f t="array" ref="D79">IF(SUMPRODUCT(('M5-ICPI'!I5:I24&lt;0)+('M5-ICPI'!I5:I24&gt;1))=0,"✅ OK","❌ ERROR: "&amp;SUMPRODUCT(('M5-ICPI'!I5:I24&lt;0)+('M5-ICPI'!I5:I24&gt;1))&amp;" valor(es) fuera de [0,1]")</f>
        <v>✅ OK</v>
      </c>
      <c r="E79" s="321" t="str">
        <f>"Ci=1: "&amp;COUNTIF('M5-ICPI'!I5:I24,1)&amp;" | Ci&lt;1: "&amp;COUNTIF('M5-ICPI'!I5:I24,"&lt;1")&amp;" | Ci min: "&amp;MIN('M5-ICPI'!I5:I24)&amp;" | Ci promedio: "&amp;ROUND(AVERAGE('M5-ICPI'!I5:I24),3)</f>
        <v>Ci=1: 17 | Ci&lt;1: 3 | Ci min: 0,75 | Ci promedio: 0,978</v>
      </c>
      <c r="F79" s="319" t="s">
        <v>4139</v>
      </c>
      <c r="G79" s="1365" t="s">
        <v>98</v>
      </c>
      <c r="H79" s="1371"/>
      <c r="I79" s="1371"/>
      <c r="J79" s="1371"/>
      <c r="K79" s="1371"/>
      <c r="L79" s="1371"/>
      <c r="M79" s="1371"/>
      <c r="N79" s="1371"/>
      <c r="O79" s="1371"/>
      <c r="P79" s="1371"/>
      <c r="Q79" s="1371"/>
      <c r="R79" s="1371"/>
      <c r="S79" s="1371"/>
      <c r="T79" s="1371"/>
      <c r="U79" s="1371"/>
      <c r="V79" s="1371"/>
      <c r="W79" s="1371"/>
      <c r="X79" s="1371"/>
      <c r="Y79" s="1371"/>
      <c r="Z79" s="1373"/>
    </row>
    <row r="80" spans="1:26" x14ac:dyDescent="0.3">
      <c r="A80" s="1398" t="s">
        <v>4140</v>
      </c>
      <c r="B80" s="1390" t="s">
        <v>4141</v>
      </c>
      <c r="C80" s="322" t="s">
        <v>3113</v>
      </c>
      <c r="D80" s="323" t="str" cm="1">
        <f t="array" ref="D80">IF(SUMPRODUCT((COUNTIF('M5-ICPI'!A5:A24,'M5-ICPI'!A5:A24)-1))=0,"✅ OK","❌ ERROR: "&amp;SUMPRODUCT((COUNTIF('M5-ICPI'!A5:A24,'M5-ICPI'!A5:A24)-1))/2&amp;" par(es) duplicados")</f>
        <v>✅ OK</v>
      </c>
      <c r="E80" s="324" t="str" cm="1">
        <f t="array" ref="E80">"Códigos únicos en ICPI: "&amp;SUMPRODUCT(1/COUNTIF('M5-ICPI'!A5:A24,'M5-ICPI'!A5:A24))&amp;" / 20 esperado | Duplicados distorsionan ΣPi"</f>
        <v>Códigos únicos en ICPI: 20 / 20 esperado | Duplicados distorsionan ΣPi</v>
      </c>
      <c r="F80" s="322" t="s">
        <v>4121</v>
      </c>
      <c r="G80" s="1366" t="s">
        <v>96</v>
      </c>
      <c r="H80" s="1370"/>
      <c r="I80" s="1370"/>
      <c r="J80" s="1370"/>
      <c r="K80" s="1370"/>
      <c r="L80" s="1370"/>
      <c r="M80" s="1370"/>
      <c r="N80" s="1370"/>
      <c r="O80" s="1370"/>
      <c r="P80" s="1370"/>
      <c r="Q80" s="1370"/>
      <c r="R80" s="1370"/>
      <c r="S80" s="1370"/>
      <c r="T80" s="1370"/>
      <c r="U80" s="1370"/>
      <c r="V80" s="1370"/>
      <c r="W80" s="1370"/>
      <c r="X80" s="1370"/>
      <c r="Y80" s="1370"/>
      <c r="Z80" s="1372"/>
    </row>
    <row r="81" spans="1:26" x14ac:dyDescent="0.3">
      <c r="A81" s="1398" t="s">
        <v>4142</v>
      </c>
      <c r="B81" s="1389" t="s">
        <v>4143</v>
      </c>
      <c r="C81" s="319" t="s">
        <v>4124</v>
      </c>
      <c r="D81" s="320" t="str" cm="1">
        <f t="array" ref="D81">IF(SUMPRODUCT(--(ISNA(MATCH('M5-ICPI'!A5:A24,'M2-PLAN-Pi'!B14:B33,0))))=0,"✅ OK","❌ ERROR: "&amp;SUMPRODUCT(--(ISNA(MATCH('M5-ICPI'!A5:A24,'M2-PLAN-Pi'!B14:B33,0))))&amp;" código(s) ICPI no encontrado(s) en PONDER")</f>
        <v>✅ OK</v>
      </c>
      <c r="E81" s="321" t="str" cm="1">
        <f t="array" ref="E81">"ICPI sin par en PONDER: "&amp;SUMPRODUCT(--(ISNA(MATCH('M5-ICPI'!A5:A24,'M2-PLAN-Pi'!B14:B33,0))))&amp;" | Si &gt;0: Pi incorrecto (posicional roto)"</f>
        <v>ICPI sin par en PONDER: 0 | Si &gt;0: Pi incorrecto (posicional roto)</v>
      </c>
      <c r="F81" s="319" t="s">
        <v>4144</v>
      </c>
      <c r="G81" s="1365" t="s">
        <v>96</v>
      </c>
      <c r="H81" s="1371"/>
      <c r="I81" s="1371"/>
      <c r="J81" s="1371"/>
      <c r="K81" s="1371"/>
      <c r="L81" s="1371"/>
      <c r="M81" s="1371"/>
      <c r="N81" s="1371"/>
      <c r="O81" s="1371"/>
      <c r="P81" s="1371"/>
      <c r="Q81" s="1371"/>
      <c r="R81" s="1371"/>
      <c r="S81" s="1371"/>
      <c r="T81" s="1371"/>
      <c r="U81" s="1371"/>
      <c r="V81" s="1371"/>
      <c r="W81" s="1371"/>
      <c r="X81" s="1371"/>
      <c r="Y81" s="1371"/>
      <c r="Z81" s="1373"/>
    </row>
    <row r="82" spans="1:26" x14ac:dyDescent="0.3">
      <c r="A82" s="1398" t="s">
        <v>4145</v>
      </c>
      <c r="B82" s="1390" t="s">
        <v>4146</v>
      </c>
      <c r="C82" s="322" t="s">
        <v>4132</v>
      </c>
      <c r="D82" s="323" t="str" cm="1">
        <f t="array" ref="D82">IF(SUMPRODUCT(--(ISNA(MATCH('M5-ICPI'!A5:A24,'M4-AUDIT'!A5:A24,0))))=0,"✅ OK","❌ ERROR: "&amp;SUMPRODUCT(--(ISNA(MATCH('M5-ICPI'!A5:A24,'M4-AUDIT'!A5:A24,0))))&amp;" código(s) del motor sin fila en MAD")</f>
        <v>✅ OK</v>
      </c>
      <c r="E82" s="324" t="str" cm="1">
        <f t="array" ref="E82">"ICPI sin par en MAD: "&amp;SUMPRODUCT(--(ISNA(MATCH('M5-ICPI'!A5:A24,'M4-AUDIT'!A5:A24,0))))&amp;" | Si &gt;0: Vi/Ti/Ci usarán defaults (1/0/1)"</f>
        <v>ICPI sin par en MAD: 0 | Si &gt;0: Vi/Ti/Ci usarán defaults (1/0/1)</v>
      </c>
      <c r="F82" s="322" t="s">
        <v>4147</v>
      </c>
      <c r="G82" s="1366" t="s">
        <v>96</v>
      </c>
      <c r="H82" s="1370"/>
      <c r="I82" s="1370"/>
      <c r="J82" s="1370"/>
      <c r="K82" s="1370"/>
      <c r="L82" s="1370"/>
      <c r="M82" s="1370"/>
      <c r="N82" s="1370"/>
      <c r="O82" s="1370"/>
      <c r="P82" s="1370"/>
      <c r="Q82" s="1370"/>
      <c r="R82" s="1370"/>
      <c r="S82" s="1370"/>
      <c r="T82" s="1370"/>
      <c r="U82" s="1370"/>
      <c r="V82" s="1370"/>
      <c r="W82" s="1370"/>
      <c r="X82" s="1370"/>
      <c r="Y82" s="1370"/>
      <c r="Z82" s="1372"/>
    </row>
    <row r="83" spans="1:26" x14ac:dyDescent="0.3">
      <c r="A83" s="1398" t="s">
        <v>4148</v>
      </c>
      <c r="B83" s="1389" t="s">
        <v>4149</v>
      </c>
      <c r="C83" s="319" t="s">
        <v>4150</v>
      </c>
      <c r="D83" s="320" t="str" cm="1">
        <f t="array" ref="D83">IF(SUMPRODUCT(--(ISNA(MATCH('M2-PDOT'!B4:B23,'M4-AUDIT'!A5:A24,0))))=0,"✅ OK","⚠️ AVISO: "&amp;SUMPRODUCT(--(ISNA(MATCH('M2-PDOT'!B4:B23,'M4-AUDIT'!A5:A24,0))))&amp;" meta(s) PDOT ausente(s) en MAD")</f>
        <v>✅ OK</v>
      </c>
      <c r="E83" s="321" t="str" cm="1">
        <f t="array" ref="E83">"Metas PDOT sin par en MAD: "&amp;SUMPRODUCT(--(ISNA(MATCH('M2-PDOT'!B4:B23,'M4-AUDIT'!A5:A24,0))))&amp;" | Metas MAD sin par en PDOT: "&amp;SUMPRODUCT(--(ISNA(MATCH('M4-AUDIT'!A5:A24,'M2-PDOT'!B4:B23,0))))</f>
        <v>Metas PDOT sin par en MAD: 0 | Metas MAD sin par en PDOT: 0</v>
      </c>
      <c r="F83" s="319" t="s">
        <v>4151</v>
      </c>
      <c r="G83" s="1365" t="s">
        <v>1145</v>
      </c>
      <c r="H83" s="1371"/>
      <c r="I83" s="1371"/>
      <c r="J83" s="1371"/>
      <c r="K83" s="1371"/>
      <c r="L83" s="1371"/>
      <c r="M83" s="1371"/>
      <c r="N83" s="1371"/>
      <c r="O83" s="1371"/>
      <c r="P83" s="1371"/>
      <c r="Q83" s="1371"/>
      <c r="R83" s="1371"/>
      <c r="S83" s="1371"/>
      <c r="T83" s="1371"/>
      <c r="U83" s="1371"/>
      <c r="V83" s="1371"/>
      <c r="W83" s="1371"/>
      <c r="X83" s="1371"/>
      <c r="Y83" s="1371"/>
      <c r="Z83" s="1373"/>
    </row>
    <row r="84" spans="1:26" x14ac:dyDescent="0.3">
      <c r="A84" s="1398" t="s">
        <v>4152</v>
      </c>
      <c r="B84" s="1390" t="s">
        <v>4153</v>
      </c>
      <c r="C84" s="322" t="s">
        <v>4154</v>
      </c>
      <c r="D84" s="323" t="str">
        <f>IF('M5-ICPI'!H25&gt;0,"✅ OK — Σ(Pi×Ri)="&amp;ROUND('M5-ICPI'!H25,4),"❌ ERROR CRÍTICO: Denominador ="&amp;'M5-ICPI'!H25)</f>
        <v>✅ OK — Σ(Pi×Ri)=1,0683</v>
      </c>
      <c r="E84" s="324" t="str">
        <f>"Σ(Pi×Ri) = "&amp;ROUND('M5-ICPI'!H25,6)&amp;" | Ref. Fase 2: 1.065905 | Δ = "&amp;ROUND('M5-ICPI'!H25-1.065905,6)</f>
        <v>Σ(Pi×Ri) = 1,068267 | Ref. Fase 2: 1.065905 | Δ = 0,002362</v>
      </c>
      <c r="F84" s="322" t="s">
        <v>4155</v>
      </c>
      <c r="G84" s="1366" t="s">
        <v>96</v>
      </c>
      <c r="H84" s="1370"/>
      <c r="I84" s="1370"/>
      <c r="J84" s="1370"/>
      <c r="K84" s="1370"/>
      <c r="L84" s="1370"/>
      <c r="M84" s="1370"/>
      <c r="N84" s="1370"/>
      <c r="O84" s="1370"/>
      <c r="P84" s="1370"/>
      <c r="Q84" s="1370"/>
      <c r="R84" s="1370"/>
      <c r="S84" s="1370"/>
      <c r="T84" s="1370"/>
      <c r="U84" s="1370"/>
      <c r="V84" s="1370"/>
      <c r="W84" s="1370"/>
      <c r="X84" s="1370"/>
      <c r="Y84" s="1370"/>
      <c r="Z84" s="1372"/>
    </row>
    <row r="85" spans="1:26" ht="15" thickBot="1" x14ac:dyDescent="0.35">
      <c r="A85" s="1399" t="s">
        <v>4156</v>
      </c>
      <c r="B85" s="1391" t="s">
        <v>4157</v>
      </c>
      <c r="C85" s="325" t="s">
        <v>4154</v>
      </c>
      <c r="D85" s="326" t="str">
        <f>IF(AND('M5-ICPI'!G29&gt;=0,'M5-ICPI'!G29&lt;=100),"✅ OK — ICPI="&amp;ROUND('M5-ICPI'!G29,2)&amp;"%","❌ ERROR: ICPI fuera de rango: "&amp;ROUND('M5-ICPI'!G29,2)&amp;"%")</f>
        <v>✅ OK — ICPI=38,28%</v>
      </c>
      <c r="E85" s="327" t="str">
        <f>"ICPI = "&amp;ROUND('M5-ICPI'!G29,4)&amp;"% | Numerador: "&amp;ROUND('M5-ICPI'!G25,4)&amp;" | Denominador: "&amp;ROUND('M5-ICPI'!H25,4)&amp;" | Ref.: 41.53%"</f>
        <v>ICPI = 38,283% | Numerador: 0,409 | Denominador: 1,0683 | Ref.: 41.53%</v>
      </c>
      <c r="F85" s="325" t="s">
        <v>4158</v>
      </c>
      <c r="G85" s="1367" t="s">
        <v>96</v>
      </c>
      <c r="H85" s="1371"/>
      <c r="I85" s="1371"/>
      <c r="J85" s="1371"/>
      <c r="K85" s="1371"/>
      <c r="L85" s="1371"/>
      <c r="M85" s="1371"/>
      <c r="N85" s="1371"/>
      <c r="O85" s="1371"/>
      <c r="P85" s="1371"/>
      <c r="Q85" s="1371"/>
      <c r="R85" s="1371"/>
      <c r="S85" s="1371"/>
      <c r="T85" s="1371"/>
      <c r="U85" s="1371"/>
      <c r="V85" s="1371"/>
      <c r="W85" s="1371"/>
      <c r="X85" s="1371"/>
      <c r="Y85" s="1371"/>
      <c r="Z85" s="1373"/>
    </row>
    <row r="86" spans="1:26" ht="15.6" thickTop="1" thickBot="1" x14ac:dyDescent="0.35">
      <c r="A86" s="1395"/>
      <c r="B86" s="1370"/>
      <c r="C86" s="1370"/>
      <c r="D86" s="1370"/>
      <c r="E86" s="1370"/>
      <c r="F86" s="1370"/>
      <c r="G86" s="1370"/>
      <c r="H86" s="1370"/>
      <c r="I86" s="1370"/>
      <c r="J86" s="1370"/>
      <c r="K86" s="1370"/>
      <c r="L86" s="1370"/>
      <c r="M86" s="1370"/>
      <c r="N86" s="1370"/>
      <c r="O86" s="1370"/>
      <c r="P86" s="1370"/>
      <c r="Q86" s="1370"/>
      <c r="R86" s="1370"/>
      <c r="S86" s="1370"/>
      <c r="T86" s="1370"/>
      <c r="U86" s="1370"/>
      <c r="V86" s="1370"/>
      <c r="W86" s="1370"/>
      <c r="X86" s="1370"/>
      <c r="Y86" s="1370"/>
      <c r="Z86" s="1372"/>
    </row>
    <row r="87" spans="1:26" ht="15" thickTop="1" x14ac:dyDescent="0.3">
      <c r="A87" s="1396" t="s">
        <v>4159</v>
      </c>
      <c r="B87" s="1368" t="str">
        <f>IF(COUNTIF(D73:D85,"*OK*")=13,"✅ MODELO CONSISTENTE — "&amp;COUNTIF(D73:D85,"*OK*")&amp;"/13 verificaciones OK","❌ ATENCIÓN — "&amp;(13-COUNTIF(D73:D85,"*OK*"))&amp;" verificación(es) fallida(s)")</f>
        <v>❌ ATENCIÓN — 1 verificación(es) fallida(s)</v>
      </c>
      <c r="C87" s="1371"/>
      <c r="D87" s="1371"/>
      <c r="E87" s="1371"/>
      <c r="F87" s="1369" t="str">
        <f>"ICPI = "&amp;ROUND('M5-ICPI'!G29,2)&amp;"%"</f>
        <v>ICPI = 38,28%</v>
      </c>
      <c r="G87" s="1371"/>
      <c r="H87" s="1371"/>
      <c r="I87" s="1371"/>
      <c r="J87" s="1371"/>
      <c r="K87" s="1371"/>
      <c r="L87" s="1371"/>
      <c r="M87" s="1371"/>
      <c r="N87" s="1371"/>
      <c r="O87" s="1371"/>
      <c r="P87" s="1371"/>
      <c r="Q87" s="1371"/>
      <c r="R87" s="1371"/>
      <c r="S87" s="1371"/>
      <c r="T87" s="1371"/>
      <c r="U87" s="1371"/>
      <c r="V87" s="1371"/>
      <c r="W87" s="1371"/>
      <c r="X87" s="1371"/>
      <c r="Y87" s="1371"/>
      <c r="Z87" s="1373"/>
    </row>
    <row r="88" spans="1:26" ht="15" thickBot="1" x14ac:dyDescent="0.35">
      <c r="A88" s="1125" t="s">
        <v>4160</v>
      </c>
      <c r="B88" s="1374" t="str">
        <f>COUNTIF(D73:D85,"*ERROR*")&amp;" error(es) ❌ | "&amp;COUNTIF(D73:D85,"*AVISO*")&amp;" aviso(s) ⚠️ | "&amp;COUNTIF(D73:D85,"*OK*")&amp;" OK ✅ de 13 verificaciones"</f>
        <v>1 error(es) ❌ | 0 aviso(s) ⚠️ | 12 OK ✅ de 13 verificaciones</v>
      </c>
      <c r="C88" s="1375"/>
      <c r="D88" s="1375"/>
      <c r="E88" s="1375"/>
      <c r="F88" s="1376" t="str">
        <f>"ΣPi="&amp;ROUND('M2-PLAN-Pi'!F34,4)&amp;" | n="&amp;COUNTA('M5-ICPI'!A5:A24)&amp;" | ΔDenom="&amp;ROUND('M5-ICPI'!H25-1.065905,6)</f>
        <v>ΣPi=1 | n=20 | ΔDenom=0,002362</v>
      </c>
      <c r="G88" s="1375"/>
      <c r="H88" s="1375"/>
      <c r="I88" s="1375"/>
      <c r="J88" s="1375"/>
      <c r="K88" s="1375"/>
      <c r="L88" s="1375"/>
      <c r="M88" s="1375"/>
      <c r="N88" s="1375"/>
      <c r="O88" s="1375"/>
      <c r="P88" s="1375"/>
      <c r="Q88" s="1375"/>
      <c r="R88" s="1375"/>
      <c r="S88" s="1375"/>
      <c r="T88" s="1375"/>
      <c r="U88" s="1375"/>
      <c r="V88" s="1375"/>
      <c r="W88" s="1375"/>
      <c r="X88" s="1375"/>
      <c r="Y88" s="1375"/>
      <c r="Z88" s="1377"/>
    </row>
    <row r="89" spans="1:26" ht="15" thickTop="1" x14ac:dyDescent="0.3"/>
  </sheetData>
  <mergeCells count="20">
    <mergeCell ref="A36:Z36"/>
    <mergeCell ref="A45:Z45"/>
    <mergeCell ref="A1:Z1"/>
    <mergeCell ref="A3:Z3"/>
    <mergeCell ref="A4:Z4"/>
    <mergeCell ref="A18:Z18"/>
    <mergeCell ref="A35:Z35"/>
    <mergeCell ref="A47:Z47"/>
    <mergeCell ref="A48:Z48"/>
    <mergeCell ref="A52:Z52"/>
    <mergeCell ref="A53:Z53"/>
    <mergeCell ref="A54:Z54"/>
    <mergeCell ref="A69:Z69"/>
    <mergeCell ref="A70:Z70"/>
    <mergeCell ref="A71:Z71"/>
    <mergeCell ref="A55:Z55"/>
    <mergeCell ref="A56:Z56"/>
    <mergeCell ref="A57:Z57"/>
    <mergeCell ref="A60:Z60"/>
    <mergeCell ref="A63:Z63"/>
  </mergeCells>
  <conditionalFormatting sqref="G6:G16 G19:G20">
    <cfRule type="containsText" dxfId="7" priority="1" operator="containsText" text="⏳">
      <formula>NOT(ISERROR(SEARCH("⏳",G6)))</formula>
    </cfRule>
    <cfRule type="containsText" dxfId="6" priority="2" operator="containsText" text="✅">
      <formula>NOT(ISERROR(SEARCH("✅",G6)))</formula>
    </cfRule>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DEEAF1"/>
  </sheetPr>
  <dimension ref="A1:Z25"/>
  <sheetViews>
    <sheetView showGridLines="0" zoomScale="115" zoomScaleNormal="115" workbookViewId="0">
      <pane ySplit="3" topLeftCell="A4" activePane="bottomLeft" state="frozen"/>
      <selection pane="bottomLeft" sqref="A1:Z1"/>
    </sheetView>
  </sheetViews>
  <sheetFormatPr baseColWidth="10" defaultRowHeight="14.4" x14ac:dyDescent="0.3"/>
  <cols>
    <col min="1" max="1" width="5.21875" customWidth="1"/>
    <col min="2" max="2" width="37.33203125" bestFit="1" customWidth="1"/>
    <col min="3" max="3" width="15.44140625" bestFit="1" customWidth="1"/>
    <col min="4" max="4" width="255.77734375" bestFit="1" customWidth="1"/>
    <col min="5" max="5" width="15.6640625" style="1" bestFit="1" customWidth="1"/>
    <col min="6" max="6" width="255.77734375" bestFit="1" customWidth="1"/>
    <col min="7" max="7" width="175.88671875" bestFit="1" customWidth="1"/>
    <col min="26" max="26" width="8.21875" bestFit="1" customWidth="1"/>
  </cols>
  <sheetData>
    <row r="1" spans="1:26" ht="19.95" customHeight="1" x14ac:dyDescent="0.3">
      <c r="A1" s="1930" t="s">
        <v>4802</v>
      </c>
      <c r="B1" s="1749"/>
      <c r="C1" s="1749"/>
      <c r="D1" s="1749"/>
      <c r="E1" s="1749"/>
      <c r="F1" s="1749"/>
      <c r="G1" s="1749"/>
      <c r="H1" s="1749"/>
      <c r="I1" s="1749"/>
      <c r="J1" s="1749"/>
      <c r="K1" s="1749"/>
      <c r="L1" s="1749"/>
      <c r="M1" s="1749"/>
      <c r="N1" s="1749"/>
      <c r="O1" s="1749"/>
      <c r="P1" s="1749"/>
      <c r="Q1" s="1749"/>
      <c r="R1" s="1749"/>
      <c r="S1" s="1749"/>
      <c r="T1" s="1749"/>
      <c r="U1" s="1749"/>
      <c r="V1" s="1749"/>
      <c r="W1" s="1749"/>
      <c r="X1" s="1749"/>
      <c r="Y1" s="1749"/>
      <c r="Z1" s="1749"/>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473"/>
      <c r="N2" s="473"/>
      <c r="O2" s="473"/>
      <c r="P2" s="473"/>
      <c r="Q2" s="473"/>
      <c r="R2" s="473"/>
      <c r="S2" s="473"/>
      <c r="T2" s="473"/>
      <c r="U2" s="473"/>
      <c r="V2" s="473"/>
      <c r="W2" s="473"/>
      <c r="X2" s="473"/>
      <c r="Y2" s="473"/>
      <c r="Z2" s="473"/>
    </row>
    <row r="3" spans="1:26" ht="19.95" customHeight="1" thickBot="1" x14ac:dyDescent="0.35">
      <c r="A3" s="1714" t="s">
        <v>4083</v>
      </c>
      <c r="B3" s="1714"/>
      <c r="C3" s="1714"/>
      <c r="D3" s="1714"/>
      <c r="E3" s="1714"/>
      <c r="F3" s="1714"/>
      <c r="G3" s="1714"/>
      <c r="H3" s="1714"/>
      <c r="I3" s="1714"/>
      <c r="J3" s="1714"/>
      <c r="K3" s="1714"/>
      <c r="L3" s="1714"/>
      <c r="M3" s="1714"/>
      <c r="N3" s="1714"/>
      <c r="O3" s="1714"/>
      <c r="P3" s="1714"/>
      <c r="Q3" s="1714"/>
      <c r="R3" s="1714"/>
      <c r="S3" s="1714"/>
      <c r="T3" s="1714"/>
      <c r="U3" s="1714"/>
      <c r="V3" s="1714"/>
      <c r="W3" s="1714"/>
      <c r="X3" s="1714"/>
      <c r="Y3" s="1714"/>
      <c r="Z3" s="1714"/>
    </row>
    <row r="4" spans="1:26" s="15" customFormat="1" ht="28.05" customHeight="1" thickTop="1" x14ac:dyDescent="0.3">
      <c r="A4" s="1124" t="s">
        <v>487</v>
      </c>
      <c r="B4" s="564" t="s">
        <v>3789</v>
      </c>
      <c r="C4" s="565">
        <v>1</v>
      </c>
      <c r="D4" s="565" t="s">
        <v>3790</v>
      </c>
      <c r="E4" s="1209">
        <v>224635</v>
      </c>
      <c r="F4" s="565" t="s">
        <v>3791</v>
      </c>
      <c r="G4" s="565" t="s">
        <v>3792</v>
      </c>
      <c r="H4" s="565"/>
      <c r="I4" s="565"/>
      <c r="J4" s="565"/>
      <c r="K4" s="565"/>
      <c r="L4" s="565"/>
      <c r="M4" s="565"/>
      <c r="N4" s="565"/>
      <c r="O4" s="565"/>
      <c r="P4" s="565"/>
      <c r="Q4" s="565"/>
      <c r="R4" s="565"/>
      <c r="S4" s="565"/>
      <c r="T4" s="565"/>
      <c r="U4" s="565"/>
      <c r="V4" s="565"/>
      <c r="W4" s="565"/>
      <c r="X4" s="565"/>
      <c r="Y4" s="565"/>
      <c r="Z4" s="566"/>
    </row>
    <row r="5" spans="1:26" ht="30" customHeight="1" x14ac:dyDescent="0.3">
      <c r="A5" s="1217" t="s">
        <v>687</v>
      </c>
      <c r="B5" s="414" t="s">
        <v>750</v>
      </c>
      <c r="C5" s="184">
        <v>1</v>
      </c>
      <c r="D5" s="184" t="s">
        <v>3793</v>
      </c>
      <c r="E5" s="1193">
        <v>338760</v>
      </c>
      <c r="F5" s="184" t="s">
        <v>3794</v>
      </c>
      <c r="G5" s="184" t="s">
        <v>3795</v>
      </c>
      <c r="H5" s="184"/>
      <c r="I5" s="184"/>
      <c r="J5" s="184"/>
      <c r="K5" s="184"/>
      <c r="L5" s="184"/>
      <c r="M5" s="184"/>
      <c r="N5" s="184"/>
      <c r="O5" s="184"/>
      <c r="P5" s="184"/>
      <c r="Q5" s="184"/>
      <c r="R5" s="184"/>
      <c r="S5" s="184"/>
      <c r="T5" s="184"/>
      <c r="U5" s="184"/>
      <c r="V5" s="184"/>
      <c r="W5" s="184"/>
      <c r="X5" s="184"/>
      <c r="Y5" s="184"/>
      <c r="Z5" s="928"/>
    </row>
    <row r="6" spans="1:26" x14ac:dyDescent="0.3">
      <c r="A6" s="1046" t="s">
        <v>53</v>
      </c>
      <c r="B6" s="1213" t="s">
        <v>3878</v>
      </c>
      <c r="C6" s="1195" t="s">
        <v>3879</v>
      </c>
      <c r="D6" s="1194" t="s">
        <v>3880</v>
      </c>
      <c r="E6" s="1196">
        <v>0</v>
      </c>
      <c r="F6" s="1194" t="s">
        <v>3881</v>
      </c>
      <c r="G6" s="1194" t="s">
        <v>3882</v>
      </c>
      <c r="H6" s="104"/>
      <c r="I6" s="104"/>
      <c r="J6" s="104"/>
      <c r="K6" s="104"/>
      <c r="L6" s="104"/>
      <c r="M6" s="104"/>
      <c r="N6" s="104"/>
      <c r="O6" s="104"/>
      <c r="P6" s="104"/>
      <c r="Q6" s="104"/>
      <c r="R6" s="104"/>
      <c r="S6" s="104"/>
      <c r="T6" s="104"/>
      <c r="U6" s="104"/>
      <c r="V6" s="104"/>
      <c r="W6" s="104"/>
      <c r="X6" s="104"/>
      <c r="Y6" s="104"/>
      <c r="Z6" s="988"/>
    </row>
    <row r="7" spans="1:26" x14ac:dyDescent="0.3">
      <c r="A7" s="1046" t="s">
        <v>507</v>
      </c>
      <c r="B7" s="1214" t="s">
        <v>751</v>
      </c>
      <c r="C7" s="1197">
        <v>1</v>
      </c>
      <c r="D7" s="192" t="s">
        <v>3796</v>
      </c>
      <c r="E7" s="1198">
        <v>0</v>
      </c>
      <c r="F7" s="1199" t="s">
        <v>3797</v>
      </c>
      <c r="G7" s="192" t="s">
        <v>3798</v>
      </c>
      <c r="H7" s="194"/>
      <c r="I7" s="194"/>
      <c r="J7" s="194"/>
      <c r="K7" s="194"/>
      <c r="L7" s="194"/>
      <c r="M7" s="194"/>
      <c r="N7" s="194"/>
      <c r="O7" s="194"/>
      <c r="P7" s="194"/>
      <c r="Q7" s="194"/>
      <c r="R7" s="194"/>
      <c r="S7" s="194"/>
      <c r="T7" s="194"/>
      <c r="U7" s="194"/>
      <c r="V7" s="194"/>
      <c r="W7" s="194"/>
      <c r="X7" s="194"/>
      <c r="Y7" s="194"/>
      <c r="Z7" s="987"/>
    </row>
    <row r="8" spans="1:26" x14ac:dyDescent="0.3">
      <c r="A8" s="1073" t="s">
        <v>633</v>
      </c>
      <c r="B8" s="407" t="s">
        <v>3799</v>
      </c>
      <c r="C8" s="1200">
        <v>1</v>
      </c>
      <c r="D8" s="151" t="s">
        <v>3800</v>
      </c>
      <c r="E8" s="328">
        <v>445399</v>
      </c>
      <c r="F8" s="1201" t="s">
        <v>3801</v>
      </c>
      <c r="G8" s="151" t="s">
        <v>3802</v>
      </c>
      <c r="H8" s="104"/>
      <c r="I8" s="104"/>
      <c r="J8" s="104"/>
      <c r="K8" s="104"/>
      <c r="L8" s="104"/>
      <c r="M8" s="104"/>
      <c r="N8" s="104"/>
      <c r="O8" s="104"/>
      <c r="P8" s="104"/>
      <c r="Q8" s="104"/>
      <c r="R8" s="104"/>
      <c r="S8" s="104"/>
      <c r="T8" s="104"/>
      <c r="U8" s="104"/>
      <c r="V8" s="104"/>
      <c r="W8" s="104"/>
      <c r="X8" s="104"/>
      <c r="Y8" s="104"/>
      <c r="Z8" s="988"/>
    </row>
    <row r="9" spans="1:26" x14ac:dyDescent="0.3">
      <c r="A9" s="1073" t="s">
        <v>526</v>
      </c>
      <c r="B9" s="406" t="s">
        <v>755</v>
      </c>
      <c r="C9" s="1197">
        <v>1</v>
      </c>
      <c r="D9" s="192" t="s">
        <v>3803</v>
      </c>
      <c r="E9" s="1202">
        <v>1294278</v>
      </c>
      <c r="F9" s="1203" t="s">
        <v>3804</v>
      </c>
      <c r="G9" s="192" t="s">
        <v>3805</v>
      </c>
      <c r="H9" s="194"/>
      <c r="I9" s="194"/>
      <c r="J9" s="194"/>
      <c r="K9" s="194"/>
      <c r="L9" s="194"/>
      <c r="M9" s="194"/>
      <c r="N9" s="194"/>
      <c r="O9" s="194"/>
      <c r="P9" s="194"/>
      <c r="Q9" s="194"/>
      <c r="R9" s="194"/>
      <c r="S9" s="194"/>
      <c r="T9" s="194"/>
      <c r="U9" s="194"/>
      <c r="V9" s="194"/>
      <c r="W9" s="194"/>
      <c r="X9" s="194"/>
      <c r="Y9" s="194"/>
      <c r="Z9" s="987"/>
    </row>
    <row r="10" spans="1:26" x14ac:dyDescent="0.3">
      <c r="A10" s="1046" t="s">
        <v>47</v>
      </c>
      <c r="B10" s="1215" t="s">
        <v>3883</v>
      </c>
      <c r="C10" s="1200">
        <v>1</v>
      </c>
      <c r="D10" s="1204" t="s">
        <v>3884</v>
      </c>
      <c r="E10" s="1205">
        <v>0</v>
      </c>
      <c r="F10" s="1206" t="s">
        <v>3885</v>
      </c>
      <c r="G10" s="1204" t="s">
        <v>3886</v>
      </c>
      <c r="H10" s="104"/>
      <c r="I10" s="104"/>
      <c r="J10" s="104"/>
      <c r="K10" s="104"/>
      <c r="L10" s="104"/>
      <c r="M10" s="104"/>
      <c r="N10" s="104"/>
      <c r="O10" s="104"/>
      <c r="P10" s="104"/>
      <c r="Q10" s="104"/>
      <c r="R10" s="104"/>
      <c r="S10" s="104"/>
      <c r="T10" s="104"/>
      <c r="U10" s="104"/>
      <c r="V10" s="104"/>
      <c r="W10" s="104"/>
      <c r="X10" s="104"/>
      <c r="Y10" s="104"/>
      <c r="Z10" s="988"/>
    </row>
    <row r="11" spans="1:26" x14ac:dyDescent="0.3">
      <c r="A11" s="1073" t="s">
        <v>483</v>
      </c>
      <c r="B11" s="406" t="s">
        <v>3806</v>
      </c>
      <c r="C11" s="1197">
        <v>1</v>
      </c>
      <c r="D11" s="192" t="s">
        <v>3807</v>
      </c>
      <c r="E11" s="1202">
        <v>224635</v>
      </c>
      <c r="F11" s="1203" t="s">
        <v>3808</v>
      </c>
      <c r="G11" s="192" t="s">
        <v>3809</v>
      </c>
      <c r="H11" s="194"/>
      <c r="I11" s="194"/>
      <c r="J11" s="194"/>
      <c r="K11" s="194"/>
      <c r="L11" s="194"/>
      <c r="M11" s="194"/>
      <c r="N11" s="194"/>
      <c r="O11" s="194"/>
      <c r="P11" s="194"/>
      <c r="Q11" s="194"/>
      <c r="R11" s="194"/>
      <c r="S11" s="194"/>
      <c r="T11" s="194"/>
      <c r="U11" s="194"/>
      <c r="V11" s="194"/>
      <c r="W11" s="194"/>
      <c r="X11" s="194"/>
      <c r="Y11" s="194"/>
      <c r="Z11" s="987"/>
    </row>
    <row r="12" spans="1:26" x14ac:dyDescent="0.3">
      <c r="A12" s="1073" t="s">
        <v>443</v>
      </c>
      <c r="B12" s="407" t="s">
        <v>3810</v>
      </c>
      <c r="C12" s="1200">
        <v>1</v>
      </c>
      <c r="D12" s="151" t="s">
        <v>3811</v>
      </c>
      <c r="E12" s="328">
        <v>1294278</v>
      </c>
      <c r="F12" s="1201" t="s">
        <v>3812</v>
      </c>
      <c r="G12" s="151" t="s">
        <v>3813</v>
      </c>
      <c r="H12" s="104"/>
      <c r="I12" s="104"/>
      <c r="J12" s="104"/>
      <c r="K12" s="104"/>
      <c r="L12" s="104"/>
      <c r="M12" s="104"/>
      <c r="N12" s="104"/>
      <c r="O12" s="104"/>
      <c r="P12" s="104"/>
      <c r="Q12" s="104"/>
      <c r="R12" s="104"/>
      <c r="S12" s="104"/>
      <c r="T12" s="104"/>
      <c r="U12" s="104"/>
      <c r="V12" s="104"/>
      <c r="W12" s="104"/>
      <c r="X12" s="104"/>
      <c r="Y12" s="104"/>
      <c r="Z12" s="988"/>
    </row>
    <row r="13" spans="1:26" x14ac:dyDescent="0.3">
      <c r="A13" s="1046" t="s">
        <v>622</v>
      </c>
      <c r="B13" s="1214" t="s">
        <v>759</v>
      </c>
      <c r="C13" s="1207">
        <v>1</v>
      </c>
      <c r="D13" s="192" t="s">
        <v>3814</v>
      </c>
      <c r="E13" s="1202">
        <v>169100</v>
      </c>
      <c r="F13" s="1208" t="s">
        <v>3815</v>
      </c>
      <c r="G13" s="192" t="s">
        <v>3816</v>
      </c>
      <c r="H13" s="194"/>
      <c r="I13" s="194"/>
      <c r="J13" s="194"/>
      <c r="K13" s="194"/>
      <c r="L13" s="194"/>
      <c r="M13" s="194"/>
      <c r="N13" s="194"/>
      <c r="O13" s="194"/>
      <c r="P13" s="194"/>
      <c r="Q13" s="194"/>
      <c r="R13" s="194"/>
      <c r="S13" s="194"/>
      <c r="T13" s="194"/>
      <c r="U13" s="194"/>
      <c r="V13" s="194"/>
      <c r="W13" s="194"/>
      <c r="X13" s="194"/>
      <c r="Y13" s="194"/>
      <c r="Z13" s="987"/>
    </row>
    <row r="14" spans="1:26" x14ac:dyDescent="0.3">
      <c r="A14" s="1073" t="s">
        <v>615</v>
      </c>
      <c r="B14" s="407" t="s">
        <v>3817</v>
      </c>
      <c r="C14" s="1200">
        <v>1</v>
      </c>
      <c r="D14" s="151" t="s">
        <v>3818</v>
      </c>
      <c r="E14" s="328">
        <v>224635</v>
      </c>
      <c r="F14" s="1201" t="s">
        <v>3819</v>
      </c>
      <c r="G14" s="151" t="s">
        <v>3820</v>
      </c>
      <c r="H14" s="104"/>
      <c r="I14" s="104"/>
      <c r="J14" s="104"/>
      <c r="K14" s="104"/>
      <c r="L14" s="104"/>
      <c r="M14" s="104"/>
      <c r="N14" s="104"/>
      <c r="O14" s="104"/>
      <c r="P14" s="104"/>
      <c r="Q14" s="104"/>
      <c r="R14" s="104"/>
      <c r="S14" s="104"/>
      <c r="T14" s="104"/>
      <c r="U14" s="104"/>
      <c r="V14" s="104"/>
      <c r="W14" s="104"/>
      <c r="X14" s="104"/>
      <c r="Y14" s="104"/>
      <c r="Z14" s="988"/>
    </row>
    <row r="15" spans="1:26" x14ac:dyDescent="0.3">
      <c r="A15" s="1073" t="s">
        <v>557</v>
      </c>
      <c r="B15" s="406" t="s">
        <v>1085</v>
      </c>
      <c r="C15" s="1197">
        <v>1</v>
      </c>
      <c r="D15" s="192" t="s">
        <v>3821</v>
      </c>
      <c r="E15" s="1202">
        <v>10892761</v>
      </c>
      <c r="F15" s="1203" t="s">
        <v>3822</v>
      </c>
      <c r="G15" s="192" t="s">
        <v>3823</v>
      </c>
      <c r="H15" s="194"/>
      <c r="I15" s="194"/>
      <c r="J15" s="194"/>
      <c r="K15" s="194"/>
      <c r="L15" s="194"/>
      <c r="M15" s="194"/>
      <c r="N15" s="194"/>
      <c r="O15" s="194"/>
      <c r="P15" s="194"/>
      <c r="Q15" s="194"/>
      <c r="R15" s="194"/>
      <c r="S15" s="194"/>
      <c r="T15" s="194"/>
      <c r="U15" s="194"/>
      <c r="V15" s="194"/>
      <c r="W15" s="194"/>
      <c r="X15" s="194"/>
      <c r="Y15" s="194"/>
      <c r="Z15" s="987"/>
    </row>
    <row r="16" spans="1:26" x14ac:dyDescent="0.3">
      <c r="A16" s="1073" t="s">
        <v>587</v>
      </c>
      <c r="B16" s="407" t="s">
        <v>3824</v>
      </c>
      <c r="C16" s="1200">
        <v>1</v>
      </c>
      <c r="D16" s="151" t="s">
        <v>3825</v>
      </c>
      <c r="E16" s="328">
        <v>9003</v>
      </c>
      <c r="F16" s="1201" t="s">
        <v>3826</v>
      </c>
      <c r="G16" s="151" t="s">
        <v>3827</v>
      </c>
      <c r="H16" s="104"/>
      <c r="I16" s="104"/>
      <c r="J16" s="104"/>
      <c r="K16" s="104"/>
      <c r="L16" s="104"/>
      <c r="M16" s="104"/>
      <c r="N16" s="104"/>
      <c r="O16" s="104"/>
      <c r="P16" s="104"/>
      <c r="Q16" s="104"/>
      <c r="R16" s="104"/>
      <c r="S16" s="104"/>
      <c r="T16" s="104"/>
      <c r="U16" s="104"/>
      <c r="V16" s="104"/>
      <c r="W16" s="104"/>
      <c r="X16" s="104"/>
      <c r="Y16" s="104"/>
      <c r="Z16" s="988"/>
    </row>
    <row r="17" spans="1:26" x14ac:dyDescent="0.3">
      <c r="A17" s="1073" t="s">
        <v>597</v>
      </c>
      <c r="B17" s="406" t="s">
        <v>3828</v>
      </c>
      <c r="C17" s="1197">
        <v>1</v>
      </c>
      <c r="D17" s="192" t="s">
        <v>3829</v>
      </c>
      <c r="E17" s="1202">
        <v>445399</v>
      </c>
      <c r="F17" s="1203" t="s">
        <v>3830</v>
      </c>
      <c r="G17" s="192" t="s">
        <v>3802</v>
      </c>
      <c r="H17" s="194"/>
      <c r="I17" s="194"/>
      <c r="J17" s="194"/>
      <c r="K17" s="194"/>
      <c r="L17" s="194"/>
      <c r="M17" s="194"/>
      <c r="N17" s="194"/>
      <c r="O17" s="194"/>
      <c r="P17" s="194"/>
      <c r="Q17" s="194"/>
      <c r="R17" s="194"/>
      <c r="S17" s="194"/>
      <c r="T17" s="194"/>
      <c r="U17" s="194"/>
      <c r="V17" s="194"/>
      <c r="W17" s="194"/>
      <c r="X17" s="194"/>
      <c r="Y17" s="194"/>
      <c r="Z17" s="987"/>
    </row>
    <row r="18" spans="1:26" x14ac:dyDescent="0.3">
      <c r="A18" s="1073" t="s">
        <v>593</v>
      </c>
      <c r="B18" s="407" t="s">
        <v>3831</v>
      </c>
      <c r="C18" s="1200">
        <v>1</v>
      </c>
      <c r="D18" s="151" t="s">
        <v>3832</v>
      </c>
      <c r="E18" s="328">
        <v>169100</v>
      </c>
      <c r="F18" s="1201" t="s">
        <v>3833</v>
      </c>
      <c r="G18" s="151" t="s">
        <v>3834</v>
      </c>
      <c r="H18" s="104"/>
      <c r="I18" s="104"/>
      <c r="J18" s="104"/>
      <c r="K18" s="104"/>
      <c r="L18" s="104"/>
      <c r="M18" s="104"/>
      <c r="N18" s="104"/>
      <c r="O18" s="104"/>
      <c r="P18" s="104"/>
      <c r="Q18" s="104"/>
      <c r="R18" s="104"/>
      <c r="S18" s="104"/>
      <c r="T18" s="104"/>
      <c r="U18" s="104"/>
      <c r="V18" s="104"/>
      <c r="W18" s="104"/>
      <c r="X18" s="104"/>
      <c r="Y18" s="104"/>
      <c r="Z18" s="988"/>
    </row>
    <row r="19" spans="1:26" x14ac:dyDescent="0.3">
      <c r="A19" s="1073" t="s">
        <v>550</v>
      </c>
      <c r="B19" s="406" t="s">
        <v>3835</v>
      </c>
      <c r="C19" s="1197">
        <v>1</v>
      </c>
      <c r="D19" s="192" t="s">
        <v>3836</v>
      </c>
      <c r="E19" s="1202">
        <v>24407</v>
      </c>
      <c r="F19" s="1203" t="s">
        <v>3837</v>
      </c>
      <c r="G19" s="192" t="s">
        <v>3838</v>
      </c>
      <c r="H19" s="194"/>
      <c r="I19" s="194"/>
      <c r="J19" s="194"/>
      <c r="K19" s="194"/>
      <c r="L19" s="194"/>
      <c r="M19" s="194"/>
      <c r="N19" s="194"/>
      <c r="O19" s="194"/>
      <c r="P19" s="194"/>
      <c r="Q19" s="194"/>
      <c r="R19" s="194"/>
      <c r="S19" s="194"/>
      <c r="T19" s="194"/>
      <c r="U19" s="194"/>
      <c r="V19" s="194"/>
      <c r="W19" s="194"/>
      <c r="X19" s="194"/>
      <c r="Y19" s="194"/>
      <c r="Z19" s="987"/>
    </row>
    <row r="20" spans="1:26" x14ac:dyDescent="0.3">
      <c r="A20" s="1073" t="s">
        <v>693</v>
      </c>
      <c r="B20" s="407" t="s">
        <v>3839</v>
      </c>
      <c r="C20" s="1200">
        <v>1</v>
      </c>
      <c r="D20" s="151" t="s">
        <v>3840</v>
      </c>
      <c r="E20" s="328">
        <v>16036</v>
      </c>
      <c r="F20" s="1201" t="s">
        <v>3841</v>
      </c>
      <c r="G20" s="151" t="s">
        <v>3842</v>
      </c>
      <c r="H20" s="104"/>
      <c r="I20" s="104"/>
      <c r="J20" s="104"/>
      <c r="K20" s="104"/>
      <c r="L20" s="104"/>
      <c r="M20" s="104"/>
      <c r="N20" s="104"/>
      <c r="O20" s="104"/>
      <c r="P20" s="104"/>
      <c r="Q20" s="104"/>
      <c r="R20" s="104"/>
      <c r="S20" s="104"/>
      <c r="T20" s="104"/>
      <c r="U20" s="104"/>
      <c r="V20" s="104"/>
      <c r="W20" s="104"/>
      <c r="X20" s="104"/>
      <c r="Y20" s="104"/>
      <c r="Z20" s="988"/>
    </row>
    <row r="21" spans="1:26" x14ac:dyDescent="0.3">
      <c r="A21" s="1073" t="s">
        <v>464</v>
      </c>
      <c r="B21" s="406" t="s">
        <v>3843</v>
      </c>
      <c r="C21" s="1197">
        <v>1</v>
      </c>
      <c r="D21" s="192" t="s">
        <v>3844</v>
      </c>
      <c r="E21" s="1202">
        <v>15600</v>
      </c>
      <c r="F21" s="1203" t="s">
        <v>3845</v>
      </c>
      <c r="G21" s="192" t="s">
        <v>3846</v>
      </c>
      <c r="H21" s="194"/>
      <c r="I21" s="194"/>
      <c r="J21" s="194"/>
      <c r="K21" s="194"/>
      <c r="L21" s="194"/>
      <c r="M21" s="194"/>
      <c r="N21" s="194"/>
      <c r="O21" s="194"/>
      <c r="P21" s="194"/>
      <c r="Q21" s="194"/>
      <c r="R21" s="194"/>
      <c r="S21" s="194"/>
      <c r="T21" s="194"/>
      <c r="U21" s="194"/>
      <c r="V21" s="194"/>
      <c r="W21" s="194"/>
      <c r="X21" s="194"/>
      <c r="Y21" s="194"/>
      <c r="Z21" s="987"/>
    </row>
    <row r="22" spans="1:26" x14ac:dyDescent="0.3">
      <c r="A22" s="1073" t="s">
        <v>3847</v>
      </c>
      <c r="B22" s="407" t="s">
        <v>3848</v>
      </c>
      <c r="C22" s="1200">
        <v>1</v>
      </c>
      <c r="D22" s="151" t="s">
        <v>3849</v>
      </c>
      <c r="E22" s="328">
        <v>11406254</v>
      </c>
      <c r="F22" s="1201" t="s">
        <v>3850</v>
      </c>
      <c r="G22" s="151" t="s">
        <v>3851</v>
      </c>
      <c r="H22" s="104"/>
      <c r="I22" s="104"/>
      <c r="J22" s="104"/>
      <c r="K22" s="104"/>
      <c r="L22" s="104"/>
      <c r="M22" s="104"/>
      <c r="N22" s="104"/>
      <c r="O22" s="104"/>
      <c r="P22" s="104"/>
      <c r="Q22" s="104"/>
      <c r="R22" s="104"/>
      <c r="S22" s="104"/>
      <c r="T22" s="104"/>
      <c r="U22" s="104"/>
      <c r="V22" s="104"/>
      <c r="W22" s="104"/>
      <c r="X22" s="104"/>
      <c r="Y22" s="104"/>
      <c r="Z22" s="988"/>
    </row>
    <row r="23" spans="1:26" x14ac:dyDescent="0.3">
      <c r="A23" s="1073" t="s">
        <v>3852</v>
      </c>
      <c r="B23" s="406" t="s">
        <v>3853</v>
      </c>
      <c r="C23" s="1197">
        <v>1</v>
      </c>
      <c r="D23" s="192" t="s">
        <v>3854</v>
      </c>
      <c r="E23" s="1202">
        <v>62561</v>
      </c>
      <c r="F23" s="1203" t="s">
        <v>3855</v>
      </c>
      <c r="G23" s="192" t="s">
        <v>3856</v>
      </c>
      <c r="H23" s="194"/>
      <c r="I23" s="194"/>
      <c r="J23" s="194"/>
      <c r="K23" s="194"/>
      <c r="L23" s="194"/>
      <c r="M23" s="194"/>
      <c r="N23" s="194"/>
      <c r="O23" s="194"/>
      <c r="P23" s="194"/>
      <c r="Q23" s="194"/>
      <c r="R23" s="194"/>
      <c r="S23" s="194"/>
      <c r="T23" s="194"/>
      <c r="U23" s="194"/>
      <c r="V23" s="194"/>
      <c r="W23" s="194"/>
      <c r="X23" s="194"/>
      <c r="Y23" s="194"/>
      <c r="Z23" s="987"/>
    </row>
    <row r="24" spans="1:26" ht="15" thickBot="1" x14ac:dyDescent="0.35">
      <c r="A24" s="1125" t="s">
        <v>3857</v>
      </c>
      <c r="B24" s="1216"/>
      <c r="C24" s="1115"/>
      <c r="D24" s="1210" t="s">
        <v>3887</v>
      </c>
      <c r="E24" s="1211">
        <f>SUM(E4:E23)</f>
        <v>27256841</v>
      </c>
      <c r="F24" s="1212" t="s">
        <v>3888</v>
      </c>
      <c r="G24" s="1210" t="s">
        <v>3889</v>
      </c>
      <c r="H24" s="989"/>
      <c r="I24" s="989"/>
      <c r="J24" s="989"/>
      <c r="K24" s="989"/>
      <c r="L24" s="989"/>
      <c r="M24" s="989"/>
      <c r="N24" s="989"/>
      <c r="O24" s="989"/>
      <c r="P24" s="989"/>
      <c r="Q24" s="989"/>
      <c r="R24" s="989"/>
      <c r="S24" s="989"/>
      <c r="T24" s="989"/>
      <c r="U24" s="989"/>
      <c r="V24" s="989"/>
      <c r="W24" s="989"/>
      <c r="X24" s="989"/>
      <c r="Y24" s="989"/>
      <c r="Z24" s="990"/>
    </row>
    <row r="25" spans="1:26" ht="15" thickTop="1" x14ac:dyDescent="0.3"/>
  </sheetData>
  <mergeCells count="2">
    <mergeCell ref="A1:Z1"/>
    <mergeCell ref="A3:Z3"/>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DEEAF1"/>
  </sheetPr>
  <dimension ref="A1:L100"/>
  <sheetViews>
    <sheetView showGridLines="0" zoomScale="60" zoomScaleNormal="60" workbookViewId="0">
      <pane ySplit="4" topLeftCell="A5" activePane="bottomLeft" state="frozen"/>
      <selection pane="bottomLeft" activeCell="N44" sqref="N44"/>
    </sheetView>
  </sheetViews>
  <sheetFormatPr baseColWidth="10" defaultRowHeight="14.4" x14ac:dyDescent="0.3"/>
  <cols>
    <col min="1" max="1" width="5.21875" customWidth="1"/>
    <col min="2" max="2" width="22.21875" customWidth="1"/>
    <col min="3" max="3" width="11.109375" customWidth="1"/>
    <col min="4" max="4" width="33.33203125" customWidth="1"/>
    <col min="5" max="5" width="42.5546875" customWidth="1"/>
    <col min="6" max="6" width="10.21875" customWidth="1"/>
    <col min="7" max="7" width="34.21875" customWidth="1"/>
  </cols>
  <sheetData>
    <row r="1" spans="1:12" ht="28.05" customHeight="1" x14ac:dyDescent="0.3">
      <c r="A1" s="1931" t="s">
        <v>4803</v>
      </c>
      <c r="B1" s="1655"/>
      <c r="C1" s="1655"/>
      <c r="D1" s="1655"/>
      <c r="E1" s="1655"/>
      <c r="F1" s="1655"/>
      <c r="G1" s="1655"/>
      <c r="H1" s="1869"/>
      <c r="I1" s="1869"/>
      <c r="J1" s="1869"/>
      <c r="K1" s="1869"/>
      <c r="L1" s="1869"/>
    </row>
    <row r="2" spans="1:12" ht="19.95" customHeight="1" thickBot="1" x14ac:dyDescent="0.35">
      <c r="A2" s="1645" t="str">
        <f>HYPERLINK("#'M-INDEX'!A1","⌂ INDICE")</f>
        <v>⌂ INDICE</v>
      </c>
      <c r="B2" s="1844"/>
      <c r="C2" s="1844"/>
      <c r="D2" s="1844"/>
      <c r="E2" s="1844"/>
      <c r="F2" s="1844"/>
      <c r="G2" s="1876"/>
      <c r="H2" s="344" t="str">
        <f>HYPERLINK("#'M7-PROSP'!A1","M7")</f>
        <v>M7</v>
      </c>
      <c r="I2" s="344" t="str">
        <f>HYPERLINK("#'DATA-POA'!A1","DATA-POA")</f>
        <v>DATA-POA</v>
      </c>
      <c r="J2" s="345" t="s">
        <v>4626</v>
      </c>
      <c r="K2" s="344" t="str">
        <f>HYPERLINK("#'DATA-ORG'!A1","DATA-ORG")</f>
        <v>DATA-ORG</v>
      </c>
      <c r="L2" s="344" t="str">
        <f>HYPERLINK("#'M-DASHBOARD'!A1","DASH")</f>
        <v>DASH</v>
      </c>
    </row>
    <row r="3" spans="1:12" ht="16.05" customHeight="1" thickBot="1" x14ac:dyDescent="0.35">
      <c r="A3" s="567" t="s">
        <v>661</v>
      </c>
      <c r="B3" s="568" t="s">
        <v>4613</v>
      </c>
      <c r="C3" s="568" t="s">
        <v>85</v>
      </c>
      <c r="D3" s="568" t="s">
        <v>3965</v>
      </c>
      <c r="E3" s="568" t="s">
        <v>4614</v>
      </c>
      <c r="F3" s="568" t="s">
        <v>4615</v>
      </c>
      <c r="G3" s="569" t="s">
        <v>4616</v>
      </c>
    </row>
    <row r="4" spans="1:12" ht="30" customHeight="1" thickTop="1" x14ac:dyDescent="0.3">
      <c r="A4" s="610" t="s">
        <v>4617</v>
      </c>
      <c r="B4" s="606" t="s">
        <v>4618</v>
      </c>
      <c r="C4" s="584" t="s">
        <v>4619</v>
      </c>
      <c r="D4" s="584" t="s">
        <v>4620</v>
      </c>
      <c r="E4" s="584" t="s">
        <v>4621</v>
      </c>
      <c r="F4" s="584" t="s">
        <v>4622</v>
      </c>
      <c r="G4" s="613" t="s">
        <v>4623</v>
      </c>
    </row>
    <row r="5" spans="1:12" ht="55.05" customHeight="1" x14ac:dyDescent="0.3">
      <c r="A5" s="920" t="s">
        <v>3966</v>
      </c>
      <c r="B5" s="700" t="s">
        <v>3967</v>
      </c>
      <c r="C5" s="622" t="s">
        <v>3968</v>
      </c>
      <c r="D5" s="684" t="s">
        <v>4682</v>
      </c>
      <c r="E5" s="622" t="s">
        <v>4569</v>
      </c>
      <c r="F5" s="685">
        <v>0.5</v>
      </c>
      <c r="G5" s="616" t="s">
        <v>4744</v>
      </c>
    </row>
    <row r="6" spans="1:12" ht="55.05" customHeight="1" x14ac:dyDescent="0.3">
      <c r="A6" s="658" t="s">
        <v>3969</v>
      </c>
      <c r="B6" s="637" t="s">
        <v>3970</v>
      </c>
      <c r="C6" s="623" t="s">
        <v>3968</v>
      </c>
      <c r="D6" s="686" t="s">
        <v>4683</v>
      </c>
      <c r="E6" s="617" t="s">
        <v>4570</v>
      </c>
      <c r="F6" s="687">
        <v>0.5</v>
      </c>
      <c r="G6" s="619" t="s">
        <v>4745</v>
      </c>
    </row>
    <row r="7" spans="1:12" ht="55.05" customHeight="1" x14ac:dyDescent="0.3">
      <c r="A7" s="920" t="s">
        <v>3971</v>
      </c>
      <c r="B7" s="638" t="s">
        <v>4038</v>
      </c>
      <c r="C7" s="622" t="s">
        <v>1535</v>
      </c>
      <c r="D7" s="688" t="s">
        <v>4684</v>
      </c>
      <c r="E7" s="620" t="s">
        <v>4571</v>
      </c>
      <c r="F7" s="685">
        <v>0</v>
      </c>
      <c r="G7" s="689" t="s">
        <v>4746</v>
      </c>
    </row>
    <row r="8" spans="1:12" ht="18" customHeight="1" x14ac:dyDescent="0.3">
      <c r="A8" s="1877" t="s">
        <v>4609</v>
      </c>
      <c r="B8" s="1878"/>
      <c r="C8" s="1878"/>
      <c r="D8" s="1878"/>
      <c r="E8" s="1878"/>
      <c r="F8" s="1878"/>
      <c r="G8" s="1879"/>
    </row>
    <row r="9" spans="1:12" ht="55.05" customHeight="1" x14ac:dyDescent="0.3">
      <c r="A9" s="920" t="s">
        <v>3972</v>
      </c>
      <c r="B9" s="638" t="s">
        <v>3973</v>
      </c>
      <c r="C9" s="622" t="s">
        <v>3968</v>
      </c>
      <c r="D9" s="688" t="s">
        <v>4685</v>
      </c>
      <c r="E9" s="620" t="s">
        <v>4572</v>
      </c>
      <c r="F9" s="685">
        <v>0.5</v>
      </c>
      <c r="G9" s="616" t="s">
        <v>4747</v>
      </c>
    </row>
    <row r="10" spans="1:12" ht="55.05" customHeight="1" x14ac:dyDescent="0.3">
      <c r="A10" s="658" t="s">
        <v>3974</v>
      </c>
      <c r="B10" s="637" t="s">
        <v>3975</v>
      </c>
      <c r="C10" s="623" t="s">
        <v>771</v>
      </c>
      <c r="D10" s="686" t="s">
        <v>4686</v>
      </c>
      <c r="E10" s="617" t="s">
        <v>4573</v>
      </c>
      <c r="F10" s="687">
        <v>1</v>
      </c>
      <c r="G10" s="619" t="s">
        <v>4748</v>
      </c>
    </row>
    <row r="11" spans="1:12" ht="55.05" customHeight="1" x14ac:dyDescent="0.3">
      <c r="A11" s="920" t="s">
        <v>3976</v>
      </c>
      <c r="B11" s="638" t="s">
        <v>3977</v>
      </c>
      <c r="C11" s="622" t="s">
        <v>3968</v>
      </c>
      <c r="D11" s="688" t="s">
        <v>4687</v>
      </c>
      <c r="E11" s="620" t="s">
        <v>4574</v>
      </c>
      <c r="F11" s="685">
        <v>0.5</v>
      </c>
      <c r="G11" s="616" t="s">
        <v>4749</v>
      </c>
    </row>
    <row r="12" spans="1:12" ht="55.05" customHeight="1" x14ac:dyDescent="0.3">
      <c r="A12" s="658" t="s">
        <v>3978</v>
      </c>
      <c r="B12" s="637" t="s">
        <v>3979</v>
      </c>
      <c r="C12" s="623" t="s">
        <v>1535</v>
      </c>
      <c r="D12" s="686" t="s">
        <v>4688</v>
      </c>
      <c r="E12" s="617" t="s">
        <v>4575</v>
      </c>
      <c r="F12" s="687">
        <v>0</v>
      </c>
      <c r="G12" s="690" t="s">
        <v>4750</v>
      </c>
    </row>
    <row r="13" spans="1:12" ht="55.05" customHeight="1" x14ac:dyDescent="0.3">
      <c r="A13" s="920" t="s">
        <v>3980</v>
      </c>
      <c r="B13" s="638" t="s">
        <v>3973</v>
      </c>
      <c r="C13" s="622" t="s">
        <v>3968</v>
      </c>
      <c r="D13" s="688" t="s">
        <v>4689</v>
      </c>
      <c r="E13" s="620" t="s">
        <v>4576</v>
      </c>
      <c r="F13" s="685">
        <v>0.5</v>
      </c>
      <c r="G13" s="616" t="s">
        <v>4751</v>
      </c>
    </row>
    <row r="14" spans="1:12" ht="18" customHeight="1" x14ac:dyDescent="0.3">
      <c r="A14" s="1870" t="s">
        <v>3981</v>
      </c>
      <c r="B14" s="1871"/>
      <c r="C14" s="1871"/>
      <c r="D14" s="1871"/>
      <c r="E14" s="1871"/>
      <c r="F14" s="1871"/>
      <c r="G14" s="1872"/>
    </row>
    <row r="15" spans="1:12" ht="55.05" customHeight="1" x14ac:dyDescent="0.3">
      <c r="A15" s="920" t="s">
        <v>3982</v>
      </c>
      <c r="B15" s="638" t="s">
        <v>3983</v>
      </c>
      <c r="C15" s="622" t="s">
        <v>3968</v>
      </c>
      <c r="D15" s="688" t="s">
        <v>4690</v>
      </c>
      <c r="E15" s="620" t="s">
        <v>4577</v>
      </c>
      <c r="F15" s="620" t="s">
        <v>1613</v>
      </c>
      <c r="G15" s="616" t="s">
        <v>4752</v>
      </c>
    </row>
    <row r="16" spans="1:12" ht="18" customHeight="1" x14ac:dyDescent="0.3">
      <c r="A16" s="1877" t="s">
        <v>4610</v>
      </c>
      <c r="B16" s="1878"/>
      <c r="C16" s="1878"/>
      <c r="D16" s="1878"/>
      <c r="E16" s="1878"/>
      <c r="F16" s="1878"/>
      <c r="G16" s="1879"/>
    </row>
    <row r="17" spans="1:7" ht="55.05" customHeight="1" x14ac:dyDescent="0.3">
      <c r="A17" s="920" t="s">
        <v>3984</v>
      </c>
      <c r="B17" s="638" t="s">
        <v>3985</v>
      </c>
      <c r="C17" s="622" t="s">
        <v>1535</v>
      </c>
      <c r="D17" s="688" t="s">
        <v>4691</v>
      </c>
      <c r="E17" s="620" t="s">
        <v>4578</v>
      </c>
      <c r="F17" s="685">
        <v>0.5</v>
      </c>
      <c r="G17" s="616" t="s">
        <v>4753</v>
      </c>
    </row>
    <row r="18" spans="1:7" ht="22.05" customHeight="1" x14ac:dyDescent="0.3">
      <c r="A18" s="658" t="s">
        <v>3986</v>
      </c>
      <c r="B18" s="701" t="s">
        <v>3987</v>
      </c>
      <c r="C18" s="691" t="s">
        <v>3968</v>
      </c>
      <c r="D18" s="692" t="s">
        <v>4692</v>
      </c>
      <c r="E18" s="691" t="s">
        <v>4579</v>
      </c>
      <c r="F18" s="694">
        <v>0</v>
      </c>
      <c r="G18" s="693" t="s">
        <v>4754</v>
      </c>
    </row>
    <row r="19" spans="1:7" ht="55.05" customHeight="1" x14ac:dyDescent="0.3">
      <c r="A19" s="920" t="s">
        <v>3988</v>
      </c>
      <c r="B19" s="638" t="s">
        <v>3989</v>
      </c>
      <c r="C19" s="622" t="s">
        <v>3968</v>
      </c>
      <c r="D19" s="688" t="s">
        <v>4693</v>
      </c>
      <c r="E19" s="620" t="s">
        <v>4580</v>
      </c>
      <c r="F19" s="685">
        <v>0</v>
      </c>
      <c r="G19" s="689" t="s">
        <v>4755</v>
      </c>
    </row>
    <row r="20" spans="1:7" ht="55.05" customHeight="1" x14ac:dyDescent="0.3">
      <c r="A20" s="658" t="s">
        <v>3990</v>
      </c>
      <c r="B20" s="637" t="s">
        <v>3991</v>
      </c>
      <c r="C20" s="623" t="s">
        <v>3968</v>
      </c>
      <c r="D20" s="686" t="s">
        <v>4694</v>
      </c>
      <c r="E20" s="617" t="s">
        <v>4581</v>
      </c>
      <c r="F20" s="687">
        <v>0.5</v>
      </c>
      <c r="G20" s="619" t="s">
        <v>4756</v>
      </c>
    </row>
    <row r="21" spans="1:7" ht="55.05" customHeight="1" x14ac:dyDescent="0.3">
      <c r="A21" s="920" t="s">
        <v>3992</v>
      </c>
      <c r="B21" s="638" t="s">
        <v>3993</v>
      </c>
      <c r="C21" s="622" t="s">
        <v>771</v>
      </c>
      <c r="D21" s="688" t="s">
        <v>4695</v>
      </c>
      <c r="E21" s="620" t="s">
        <v>4582</v>
      </c>
      <c r="F21" s="685">
        <v>0.5</v>
      </c>
      <c r="G21" s="616" t="s">
        <v>4757</v>
      </c>
    </row>
    <row r="22" spans="1:7" ht="55.05" customHeight="1" x14ac:dyDescent="0.3">
      <c r="A22" s="658" t="s">
        <v>3994</v>
      </c>
      <c r="B22" s="637" t="s">
        <v>3995</v>
      </c>
      <c r="C22" s="623" t="s">
        <v>771</v>
      </c>
      <c r="D22" s="686"/>
      <c r="E22" s="617" t="s">
        <v>4583</v>
      </c>
      <c r="F22" s="687">
        <v>0.5</v>
      </c>
      <c r="G22" s="619" t="s">
        <v>4758</v>
      </c>
    </row>
    <row r="23" spans="1:7" ht="18" customHeight="1" x14ac:dyDescent="0.3">
      <c r="A23" s="1870" t="s">
        <v>3996</v>
      </c>
      <c r="B23" s="1871"/>
      <c r="C23" s="1871"/>
      <c r="D23" s="1871"/>
      <c r="E23" s="1871"/>
      <c r="F23" s="1871"/>
      <c r="G23" s="1872"/>
    </row>
    <row r="24" spans="1:7" ht="18" customHeight="1" x14ac:dyDescent="0.3">
      <c r="A24" s="1877" t="s">
        <v>4611</v>
      </c>
      <c r="B24" s="1878"/>
      <c r="C24" s="1878"/>
      <c r="D24" s="1878"/>
      <c r="E24" s="1878"/>
      <c r="F24" s="1878"/>
      <c r="G24" s="1879"/>
    </row>
    <row r="25" spans="1:7" ht="55.05" customHeight="1" x14ac:dyDescent="0.3">
      <c r="A25" s="920" t="s">
        <v>3997</v>
      </c>
      <c r="B25" s="638" t="s">
        <v>3998</v>
      </c>
      <c r="C25" s="622" t="s">
        <v>3968</v>
      </c>
      <c r="D25" s="688"/>
      <c r="E25" s="620" t="s">
        <v>4584</v>
      </c>
      <c r="F25" s="685">
        <v>1</v>
      </c>
      <c r="G25" s="616" t="s">
        <v>4759</v>
      </c>
    </row>
    <row r="26" spans="1:7" ht="55.05" customHeight="1" x14ac:dyDescent="0.3">
      <c r="A26" s="658" t="s">
        <v>3999</v>
      </c>
      <c r="B26" s="637" t="s">
        <v>4000</v>
      </c>
      <c r="C26" s="623" t="s">
        <v>3968</v>
      </c>
      <c r="D26" s="686" t="s">
        <v>4696</v>
      </c>
      <c r="E26" s="617" t="s">
        <v>4585</v>
      </c>
      <c r="F26" s="687">
        <v>1</v>
      </c>
      <c r="G26" s="619" t="s">
        <v>4760</v>
      </c>
    </row>
    <row r="27" spans="1:7" ht="55.05" customHeight="1" x14ac:dyDescent="0.3">
      <c r="A27" s="920" t="s">
        <v>4001</v>
      </c>
      <c r="B27" s="638" t="s">
        <v>4002</v>
      </c>
      <c r="C27" s="622" t="s">
        <v>771</v>
      </c>
      <c r="D27" s="688" t="s">
        <v>4697</v>
      </c>
      <c r="E27" s="620" t="s">
        <v>4586</v>
      </c>
      <c r="F27" s="685">
        <v>0.5</v>
      </c>
      <c r="G27" s="616" t="s">
        <v>4761</v>
      </c>
    </row>
    <row r="28" spans="1:7" ht="22.05" customHeight="1" x14ac:dyDescent="0.3">
      <c r="A28" s="658" t="s">
        <v>4003</v>
      </c>
      <c r="B28" s="701" t="s">
        <v>4004</v>
      </c>
      <c r="C28" s="691" t="s">
        <v>3968</v>
      </c>
      <c r="D28" s="692" t="s">
        <v>4698</v>
      </c>
      <c r="E28" s="691" t="s">
        <v>4587</v>
      </c>
      <c r="F28" s="694">
        <v>0.5</v>
      </c>
      <c r="G28" s="693" t="s">
        <v>4762</v>
      </c>
    </row>
    <row r="29" spans="1:7" ht="18" customHeight="1" x14ac:dyDescent="0.3">
      <c r="A29" s="1870" t="s">
        <v>4005</v>
      </c>
      <c r="B29" s="1871"/>
      <c r="C29" s="1871"/>
      <c r="D29" s="1871"/>
      <c r="E29" s="1871"/>
      <c r="F29" s="1871"/>
      <c r="G29" s="1872"/>
    </row>
    <row r="30" spans="1:7" ht="55.05" customHeight="1" x14ac:dyDescent="0.3">
      <c r="A30" s="658" t="s">
        <v>4006</v>
      </c>
      <c r="B30" s="637" t="s">
        <v>4007</v>
      </c>
      <c r="C30" s="623" t="s">
        <v>3968</v>
      </c>
      <c r="D30" s="686"/>
      <c r="E30" s="617" t="s">
        <v>4588</v>
      </c>
      <c r="F30" s="687">
        <v>0</v>
      </c>
      <c r="G30" s="690"/>
    </row>
    <row r="31" spans="1:7" ht="18" customHeight="1" x14ac:dyDescent="0.3">
      <c r="A31" s="1877" t="s">
        <v>4612</v>
      </c>
      <c r="B31" s="1878"/>
      <c r="C31" s="1878"/>
      <c r="D31" s="1878"/>
      <c r="E31" s="1878"/>
      <c r="F31" s="1878"/>
      <c r="G31" s="1879"/>
    </row>
    <row r="32" spans="1:7" ht="55.05" customHeight="1" x14ac:dyDescent="0.3">
      <c r="A32" s="658" t="s">
        <v>4008</v>
      </c>
      <c r="B32" s="637" t="s">
        <v>4009</v>
      </c>
      <c r="C32" s="623" t="s">
        <v>771</v>
      </c>
      <c r="D32" s="686"/>
      <c r="E32" s="617" t="s">
        <v>4589</v>
      </c>
      <c r="F32" s="687">
        <v>0.5</v>
      </c>
      <c r="G32" s="619" t="s">
        <v>4763</v>
      </c>
    </row>
    <row r="33" spans="1:7" ht="55.05" customHeight="1" x14ac:dyDescent="0.3">
      <c r="A33" s="920" t="s">
        <v>4010</v>
      </c>
      <c r="B33" s="638" t="s">
        <v>4011</v>
      </c>
      <c r="C33" s="622" t="s">
        <v>1535</v>
      </c>
      <c r="D33" s="688" t="s">
        <v>4699</v>
      </c>
      <c r="E33" s="620" t="s">
        <v>4590</v>
      </c>
      <c r="F33" s="685">
        <v>0.5</v>
      </c>
      <c r="G33" s="616" t="s">
        <v>4764</v>
      </c>
    </row>
    <row r="34" spans="1:7" ht="55.05" customHeight="1" x14ac:dyDescent="0.3">
      <c r="A34" s="658" t="s">
        <v>4012</v>
      </c>
      <c r="B34" s="637" t="s">
        <v>4013</v>
      </c>
      <c r="C34" s="623" t="s">
        <v>1535</v>
      </c>
      <c r="D34" s="686" t="s">
        <v>4700</v>
      </c>
      <c r="E34" s="617" t="s">
        <v>4591</v>
      </c>
      <c r="F34" s="687">
        <v>1</v>
      </c>
      <c r="G34" s="619" t="s">
        <v>4765</v>
      </c>
    </row>
    <row r="35" spans="1:7" ht="55.05" customHeight="1" x14ac:dyDescent="0.3">
      <c r="A35" s="920" t="s">
        <v>4014</v>
      </c>
      <c r="B35" s="638" t="s">
        <v>4015</v>
      </c>
      <c r="C35" s="622" t="s">
        <v>771</v>
      </c>
      <c r="D35" s="688" t="s">
        <v>4701</v>
      </c>
      <c r="E35" s="620" t="s">
        <v>4592</v>
      </c>
      <c r="F35" s="685">
        <v>0</v>
      </c>
      <c r="G35" s="689" t="s">
        <v>4766</v>
      </c>
    </row>
    <row r="36" spans="1:7" ht="55.05" customHeight="1" thickBot="1" x14ac:dyDescent="0.35">
      <c r="A36" s="703" t="s">
        <v>4014</v>
      </c>
      <c r="B36" s="702" t="s">
        <v>4015</v>
      </c>
      <c r="C36" s="696" t="s">
        <v>771</v>
      </c>
      <c r="D36" s="697" t="s">
        <v>4702</v>
      </c>
      <c r="E36" s="695" t="s">
        <v>4593</v>
      </c>
      <c r="F36" s="698">
        <v>0</v>
      </c>
      <c r="G36" s="699" t="s">
        <v>4767</v>
      </c>
    </row>
    <row r="37" spans="1:7" ht="19.95" customHeight="1" thickTop="1" thickBot="1" x14ac:dyDescent="0.35">
      <c r="A37" s="1873" t="s">
        <v>4016</v>
      </c>
      <c r="B37" s="1874"/>
      <c r="C37" s="1874"/>
      <c r="D37" s="1874"/>
      <c r="E37" s="1874"/>
      <c r="F37" s="1874"/>
      <c r="G37" s="1875"/>
    </row>
    <row r="38" spans="1:7" ht="30" customHeight="1" thickBot="1" x14ac:dyDescent="0.35">
      <c r="A38" s="508" t="s">
        <v>4017</v>
      </c>
      <c r="B38" s="507" t="s">
        <v>4018</v>
      </c>
      <c r="C38" s="507" t="s">
        <v>4019</v>
      </c>
      <c r="D38" s="507" t="s">
        <v>4020</v>
      </c>
      <c r="E38" s="507" t="s">
        <v>4594</v>
      </c>
      <c r="F38" s="507" t="s">
        <v>4595</v>
      </c>
      <c r="G38" s="509" t="s">
        <v>4596</v>
      </c>
    </row>
    <row r="39" spans="1:7" ht="22.05" customHeight="1" thickBot="1" x14ac:dyDescent="0.35">
      <c r="A39" s="1943" t="s">
        <v>4624</v>
      </c>
      <c r="B39" s="1861"/>
      <c r="C39" s="1861"/>
      <c r="D39" s="1861"/>
      <c r="E39" s="1861"/>
      <c r="F39" s="1861"/>
      <c r="G39" s="1862"/>
    </row>
    <row r="40" spans="1:7" ht="24" customHeight="1" thickBot="1" x14ac:dyDescent="0.35">
      <c r="A40" s="1863" t="s">
        <v>4021</v>
      </c>
      <c r="B40" s="1864"/>
      <c r="C40" s="1864"/>
      <c r="D40" s="1864"/>
      <c r="E40" s="1864"/>
      <c r="F40" s="1864"/>
      <c r="G40" s="1865"/>
    </row>
    <row r="41" spans="1:7" ht="30" customHeight="1" thickBot="1" x14ac:dyDescent="0.35">
      <c r="A41" s="506" t="s">
        <v>4022</v>
      </c>
      <c r="B41" s="511" t="s">
        <v>909</v>
      </c>
      <c r="C41" s="511" t="s">
        <v>4023</v>
      </c>
      <c r="D41" s="512" t="s">
        <v>4024</v>
      </c>
      <c r="E41" s="513" t="s">
        <v>4597</v>
      </c>
      <c r="F41" s="513" t="s">
        <v>4598</v>
      </c>
      <c r="G41" s="514" t="s">
        <v>4599</v>
      </c>
    </row>
    <row r="42" spans="1:7" ht="30" customHeight="1" thickBot="1" x14ac:dyDescent="0.35">
      <c r="A42" s="506" t="s">
        <v>4025</v>
      </c>
      <c r="B42" s="515" t="s">
        <v>4026</v>
      </c>
      <c r="C42" s="515" t="s">
        <v>4027</v>
      </c>
      <c r="D42" s="516" t="s">
        <v>4028</v>
      </c>
      <c r="E42" s="517" t="s">
        <v>4600</v>
      </c>
      <c r="F42" s="510" t="s">
        <v>4601</v>
      </c>
      <c r="G42" s="518" t="s">
        <v>4602</v>
      </c>
    </row>
    <row r="43" spans="1:7" ht="30" customHeight="1" thickBot="1" x14ac:dyDescent="0.35">
      <c r="A43" s="506" t="s">
        <v>4029</v>
      </c>
      <c r="B43" s="519" t="s">
        <v>4030</v>
      </c>
      <c r="C43" s="519" t="s">
        <v>4031</v>
      </c>
      <c r="D43" s="519" t="s">
        <v>4032</v>
      </c>
      <c r="E43" s="520" t="s">
        <v>4603</v>
      </c>
      <c r="F43" s="513" t="s">
        <v>4604</v>
      </c>
      <c r="G43" s="521" t="s">
        <v>4605</v>
      </c>
    </row>
    <row r="44" spans="1:7" ht="30" customHeight="1" thickBot="1" x14ac:dyDescent="0.35">
      <c r="A44" s="506" t="s">
        <v>4033</v>
      </c>
      <c r="B44" s="515" t="s">
        <v>4034</v>
      </c>
      <c r="C44" s="515" t="s">
        <v>4035</v>
      </c>
      <c r="D44" s="515" t="s">
        <v>4036</v>
      </c>
      <c r="E44" s="510" t="s">
        <v>4606</v>
      </c>
      <c r="F44" s="510" t="s">
        <v>4607</v>
      </c>
      <c r="G44" s="522" t="s">
        <v>4608</v>
      </c>
    </row>
    <row r="45" spans="1:7" ht="120" customHeight="1" thickBot="1" x14ac:dyDescent="0.35">
      <c r="A45" s="1866" t="s">
        <v>4037</v>
      </c>
      <c r="B45" s="1867"/>
      <c r="C45" s="1867"/>
      <c r="D45" s="1867"/>
      <c r="E45" s="1867"/>
      <c r="F45" s="1867"/>
      <c r="G45" s="1868"/>
    </row>
    <row r="46" spans="1:7" x14ac:dyDescent="0.3">
      <c r="A46" s="44"/>
      <c r="B46" s="44"/>
      <c r="C46" s="44"/>
      <c r="D46" s="44"/>
      <c r="E46" s="44"/>
      <c r="F46" s="44"/>
      <c r="G46" s="44"/>
    </row>
    <row r="47" spans="1:7" x14ac:dyDescent="0.3">
      <c r="A47" s="44"/>
      <c r="B47" s="44"/>
      <c r="C47" s="44"/>
      <c r="D47" s="44"/>
      <c r="E47" s="44"/>
      <c r="F47" s="44"/>
      <c r="G47" s="44"/>
    </row>
    <row r="48" spans="1:7" x14ac:dyDescent="0.3">
      <c r="A48" s="44"/>
      <c r="B48" s="44"/>
      <c r="C48" s="44"/>
      <c r="D48" s="44"/>
      <c r="E48" s="44"/>
      <c r="F48" s="44"/>
      <c r="G48" s="44"/>
    </row>
    <row r="49" spans="1:7" x14ac:dyDescent="0.3">
      <c r="A49" s="44"/>
      <c r="B49" s="44"/>
      <c r="C49" s="44"/>
      <c r="D49" s="44"/>
      <c r="E49" s="44"/>
      <c r="F49" s="44"/>
      <c r="G49" s="44"/>
    </row>
    <row r="50" spans="1:7" x14ac:dyDescent="0.3">
      <c r="A50" s="44"/>
      <c r="B50" s="44"/>
      <c r="C50" s="44"/>
      <c r="D50" s="44"/>
      <c r="E50" s="44"/>
      <c r="F50" s="44"/>
      <c r="G50" s="44"/>
    </row>
    <row r="51" spans="1:7" x14ac:dyDescent="0.3">
      <c r="A51" s="44"/>
      <c r="B51" s="44"/>
      <c r="C51" s="44"/>
      <c r="D51" s="44"/>
      <c r="E51" s="44"/>
      <c r="F51" s="44"/>
      <c r="G51" s="44"/>
    </row>
    <row r="52" spans="1:7" x14ac:dyDescent="0.3">
      <c r="A52" s="44"/>
      <c r="B52" s="44"/>
      <c r="C52" s="44"/>
      <c r="D52" s="44"/>
      <c r="E52" s="44"/>
      <c r="F52" s="44"/>
      <c r="G52" s="44"/>
    </row>
    <row r="53" spans="1:7" x14ac:dyDescent="0.3">
      <c r="A53" s="44"/>
      <c r="B53" s="44"/>
      <c r="C53" s="44"/>
      <c r="D53" s="44"/>
      <c r="E53" s="44"/>
      <c r="F53" s="44"/>
      <c r="G53" s="44"/>
    </row>
    <row r="54" spans="1:7" x14ac:dyDescent="0.3">
      <c r="A54" s="44"/>
      <c r="B54" s="44"/>
      <c r="C54" s="44"/>
      <c r="D54" s="44"/>
      <c r="E54" s="44"/>
      <c r="F54" s="44"/>
      <c r="G54" s="44"/>
    </row>
    <row r="55" spans="1:7" x14ac:dyDescent="0.3">
      <c r="A55" s="44"/>
      <c r="B55" s="44"/>
      <c r="C55" s="44"/>
      <c r="D55" s="44"/>
      <c r="E55" s="44"/>
      <c r="F55" s="44"/>
      <c r="G55" s="44"/>
    </row>
    <row r="56" spans="1:7" x14ac:dyDescent="0.3">
      <c r="A56" s="44"/>
      <c r="B56" s="44"/>
      <c r="C56" s="44"/>
      <c r="D56" s="44"/>
      <c r="E56" s="44"/>
      <c r="F56" s="44"/>
      <c r="G56" s="44"/>
    </row>
    <row r="57" spans="1:7" x14ac:dyDescent="0.3">
      <c r="A57" s="44"/>
      <c r="B57" s="44"/>
      <c r="C57" s="44"/>
      <c r="D57" s="44"/>
      <c r="E57" s="44"/>
      <c r="F57" s="44"/>
      <c r="G57" s="44"/>
    </row>
    <row r="58" spans="1:7" x14ac:dyDescent="0.3">
      <c r="A58" s="44"/>
      <c r="B58" s="44"/>
      <c r="C58" s="44"/>
      <c r="D58" s="44"/>
      <c r="E58" s="44"/>
      <c r="F58" s="44"/>
      <c r="G58" s="44"/>
    </row>
    <row r="59" spans="1:7" x14ac:dyDescent="0.3">
      <c r="A59" s="44"/>
      <c r="B59" s="44"/>
      <c r="C59" s="44"/>
      <c r="D59" s="44"/>
      <c r="E59" s="44"/>
      <c r="F59" s="44"/>
      <c r="G59" s="44"/>
    </row>
    <row r="60" spans="1:7" x14ac:dyDescent="0.3">
      <c r="A60" s="44"/>
      <c r="B60" s="44"/>
      <c r="C60" s="44"/>
      <c r="D60" s="44"/>
      <c r="E60" s="44"/>
      <c r="F60" s="44"/>
      <c r="G60" s="44"/>
    </row>
    <row r="61" spans="1:7" x14ac:dyDescent="0.3">
      <c r="A61" s="44"/>
      <c r="B61" s="44"/>
      <c r="C61" s="44"/>
      <c r="D61" s="44"/>
      <c r="E61" s="44"/>
      <c r="F61" s="44"/>
      <c r="G61" s="44"/>
    </row>
    <row r="62" spans="1:7" x14ac:dyDescent="0.3">
      <c r="A62" s="44"/>
      <c r="B62" s="44"/>
      <c r="C62" s="44"/>
      <c r="D62" s="44"/>
      <c r="E62" s="44"/>
      <c r="F62" s="44"/>
      <c r="G62" s="44"/>
    </row>
    <row r="63" spans="1:7" x14ac:dyDescent="0.3">
      <c r="A63" s="44"/>
      <c r="B63" s="44"/>
      <c r="C63" s="44"/>
      <c r="D63" s="44"/>
      <c r="E63" s="44"/>
      <c r="F63" s="44"/>
      <c r="G63" s="44"/>
    </row>
    <row r="64" spans="1:7" x14ac:dyDescent="0.3">
      <c r="A64" s="44"/>
      <c r="B64" s="44"/>
      <c r="C64" s="44"/>
      <c r="D64" s="44"/>
      <c r="E64" s="44"/>
      <c r="F64" s="44"/>
      <c r="G64" s="44"/>
    </row>
    <row r="65" spans="1:7" x14ac:dyDescent="0.3">
      <c r="A65" s="44"/>
      <c r="B65" s="44"/>
      <c r="C65" s="44"/>
      <c r="D65" s="44"/>
      <c r="E65" s="44"/>
      <c r="F65" s="44"/>
      <c r="G65" s="44"/>
    </row>
    <row r="66" spans="1:7" x14ac:dyDescent="0.3">
      <c r="A66" s="44"/>
      <c r="B66" s="44"/>
      <c r="C66" s="44"/>
      <c r="D66" s="44"/>
      <c r="E66" s="44"/>
      <c r="F66" s="44"/>
      <c r="G66" s="44"/>
    </row>
    <row r="67" spans="1:7" x14ac:dyDescent="0.3">
      <c r="A67" s="44"/>
      <c r="B67" s="44"/>
      <c r="C67" s="44"/>
      <c r="D67" s="44"/>
      <c r="E67" s="44"/>
      <c r="F67" s="44"/>
      <c r="G67" s="44"/>
    </row>
    <row r="68" spans="1:7" x14ac:dyDescent="0.3">
      <c r="A68" s="44"/>
      <c r="B68" s="44"/>
      <c r="C68" s="44"/>
      <c r="D68" s="44"/>
      <c r="E68" s="44"/>
      <c r="F68" s="44"/>
      <c r="G68" s="44"/>
    </row>
    <row r="69" spans="1:7" x14ac:dyDescent="0.3">
      <c r="A69" s="44"/>
      <c r="B69" s="44"/>
      <c r="C69" s="44"/>
      <c r="D69" s="44"/>
      <c r="E69" s="44"/>
      <c r="F69" s="44"/>
      <c r="G69" s="44"/>
    </row>
    <row r="70" spans="1:7" x14ac:dyDescent="0.3">
      <c r="A70" s="44"/>
      <c r="B70" s="44"/>
      <c r="C70" s="44"/>
      <c r="D70" s="44"/>
      <c r="E70" s="44"/>
      <c r="F70" s="44"/>
      <c r="G70" s="44"/>
    </row>
    <row r="71" spans="1:7" x14ac:dyDescent="0.3">
      <c r="A71" s="44"/>
      <c r="B71" s="44"/>
      <c r="C71" s="44"/>
      <c r="D71" s="44"/>
      <c r="E71" s="44"/>
      <c r="F71" s="44"/>
      <c r="G71" s="44"/>
    </row>
    <row r="72" spans="1:7" x14ac:dyDescent="0.3">
      <c r="A72" s="44"/>
      <c r="B72" s="44"/>
      <c r="C72" s="44"/>
      <c r="D72" s="44"/>
      <c r="E72" s="44"/>
      <c r="F72" s="44"/>
      <c r="G72" s="44"/>
    </row>
    <row r="73" spans="1:7" x14ac:dyDescent="0.3">
      <c r="A73" s="44"/>
      <c r="B73" s="44"/>
      <c r="C73" s="44"/>
      <c r="D73" s="44"/>
      <c r="E73" s="44"/>
      <c r="F73" s="44"/>
      <c r="G73" s="44"/>
    </row>
    <row r="74" spans="1:7" x14ac:dyDescent="0.3">
      <c r="A74" s="44"/>
      <c r="B74" s="44"/>
      <c r="C74" s="44"/>
      <c r="D74" s="44"/>
      <c r="E74" s="44"/>
      <c r="F74" s="44"/>
      <c r="G74" s="44"/>
    </row>
    <row r="75" spans="1:7" x14ac:dyDescent="0.3">
      <c r="A75" s="44"/>
      <c r="B75" s="44"/>
      <c r="C75" s="44"/>
      <c r="D75" s="44"/>
      <c r="E75" s="44"/>
      <c r="F75" s="44"/>
      <c r="G75" s="44"/>
    </row>
    <row r="76" spans="1:7" x14ac:dyDescent="0.3">
      <c r="A76" s="44"/>
      <c r="B76" s="44"/>
      <c r="C76" s="44"/>
      <c r="D76" s="44"/>
      <c r="E76" s="44"/>
      <c r="F76" s="44"/>
      <c r="G76" s="44"/>
    </row>
    <row r="77" spans="1:7" x14ac:dyDescent="0.3">
      <c r="A77" s="44"/>
      <c r="B77" s="44"/>
      <c r="C77" s="44"/>
      <c r="D77" s="44"/>
      <c r="E77" s="44"/>
      <c r="F77" s="44"/>
      <c r="G77" s="44"/>
    </row>
    <row r="78" spans="1:7" x14ac:dyDescent="0.3">
      <c r="A78" s="44"/>
      <c r="B78" s="44"/>
      <c r="C78" s="44"/>
      <c r="D78" s="44"/>
      <c r="E78" s="44"/>
      <c r="F78" s="44"/>
      <c r="G78" s="44"/>
    </row>
    <row r="79" spans="1:7" x14ac:dyDescent="0.3">
      <c r="A79" s="44"/>
      <c r="B79" s="44"/>
      <c r="C79" s="44"/>
      <c r="D79" s="44"/>
      <c r="E79" s="44"/>
      <c r="F79" s="44"/>
      <c r="G79" s="44"/>
    </row>
    <row r="80" spans="1:7" x14ac:dyDescent="0.3">
      <c r="A80" s="44"/>
      <c r="B80" s="44"/>
      <c r="C80" s="44"/>
      <c r="D80" s="44"/>
      <c r="E80" s="44"/>
      <c r="F80" s="44"/>
      <c r="G80" s="44"/>
    </row>
    <row r="81" spans="1:7" x14ac:dyDescent="0.3">
      <c r="A81" s="44"/>
      <c r="B81" s="44"/>
      <c r="C81" s="44"/>
      <c r="D81" s="44"/>
      <c r="E81" s="44"/>
      <c r="F81" s="44"/>
      <c r="G81" s="44"/>
    </row>
    <row r="82" spans="1:7" x14ac:dyDescent="0.3">
      <c r="A82" s="44"/>
      <c r="B82" s="44"/>
      <c r="C82" s="44"/>
      <c r="D82" s="44"/>
      <c r="E82" s="44"/>
      <c r="F82" s="44"/>
      <c r="G82" s="44"/>
    </row>
    <row r="83" spans="1:7" x14ac:dyDescent="0.3">
      <c r="A83" s="44"/>
      <c r="B83" s="44"/>
      <c r="C83" s="44"/>
      <c r="D83" s="44"/>
      <c r="E83" s="44"/>
      <c r="F83" s="44"/>
      <c r="G83" s="44"/>
    </row>
    <row r="84" spans="1:7" x14ac:dyDescent="0.3">
      <c r="A84" s="44"/>
      <c r="B84" s="44"/>
      <c r="C84" s="44"/>
      <c r="D84" s="44"/>
      <c r="E84" s="44"/>
      <c r="F84" s="44"/>
      <c r="G84" s="44"/>
    </row>
    <row r="85" spans="1:7" x14ac:dyDescent="0.3">
      <c r="A85" s="44"/>
      <c r="B85" s="44"/>
      <c r="C85" s="44"/>
      <c r="D85" s="44"/>
      <c r="E85" s="44"/>
      <c r="F85" s="44"/>
      <c r="G85" s="44"/>
    </row>
    <row r="86" spans="1:7" x14ac:dyDescent="0.3">
      <c r="A86" s="44"/>
      <c r="B86" s="44"/>
      <c r="C86" s="44"/>
      <c r="D86" s="44"/>
      <c r="E86" s="44"/>
      <c r="F86" s="44"/>
      <c r="G86" s="44"/>
    </row>
    <row r="87" spans="1:7" x14ac:dyDescent="0.3">
      <c r="A87" s="44"/>
      <c r="B87" s="44"/>
      <c r="C87" s="44"/>
      <c r="D87" s="44"/>
      <c r="E87" s="44"/>
      <c r="F87" s="44"/>
      <c r="G87" s="44"/>
    </row>
    <row r="88" spans="1:7" x14ac:dyDescent="0.3">
      <c r="A88" s="44"/>
      <c r="B88" s="44"/>
      <c r="C88" s="44"/>
      <c r="D88" s="44"/>
      <c r="E88" s="44"/>
      <c r="F88" s="44"/>
      <c r="G88" s="44"/>
    </row>
    <row r="89" spans="1:7" x14ac:dyDescent="0.3">
      <c r="A89" s="44"/>
      <c r="B89" s="44"/>
      <c r="C89" s="44"/>
      <c r="D89" s="44"/>
      <c r="E89" s="44"/>
      <c r="F89" s="44"/>
      <c r="G89" s="44"/>
    </row>
    <row r="90" spans="1:7" x14ac:dyDescent="0.3">
      <c r="A90" s="44"/>
      <c r="B90" s="44"/>
      <c r="C90" s="44"/>
      <c r="D90" s="44"/>
      <c r="E90" s="44"/>
      <c r="F90" s="44"/>
      <c r="G90" s="44"/>
    </row>
    <row r="91" spans="1:7" x14ac:dyDescent="0.3">
      <c r="A91" s="44"/>
      <c r="B91" s="44"/>
      <c r="C91" s="44"/>
      <c r="D91" s="44"/>
      <c r="E91" s="44"/>
      <c r="F91" s="44"/>
      <c r="G91" s="44"/>
    </row>
    <row r="92" spans="1:7" x14ac:dyDescent="0.3">
      <c r="A92" s="44"/>
      <c r="B92" s="44"/>
      <c r="C92" s="44"/>
      <c r="D92" s="44"/>
      <c r="E92" s="44"/>
      <c r="F92" s="44"/>
      <c r="G92" s="44"/>
    </row>
    <row r="93" spans="1:7" x14ac:dyDescent="0.3">
      <c r="A93" s="44"/>
      <c r="B93" s="44"/>
      <c r="C93" s="44"/>
      <c r="D93" s="44"/>
      <c r="E93" s="44"/>
      <c r="F93" s="44"/>
      <c r="G93" s="44"/>
    </row>
    <row r="94" spans="1:7" x14ac:dyDescent="0.3">
      <c r="A94" s="44"/>
      <c r="B94" s="44"/>
      <c r="C94" s="44"/>
      <c r="D94" s="44"/>
      <c r="E94" s="44"/>
      <c r="F94" s="44"/>
      <c r="G94" s="44"/>
    </row>
    <row r="95" spans="1:7" x14ac:dyDescent="0.3">
      <c r="A95" s="44"/>
      <c r="B95" s="44"/>
      <c r="C95" s="44"/>
      <c r="D95" s="44"/>
      <c r="E95" s="44"/>
      <c r="F95" s="44"/>
      <c r="G95" s="44"/>
    </row>
    <row r="96" spans="1:7" x14ac:dyDescent="0.3">
      <c r="A96" s="44"/>
      <c r="B96" s="44"/>
      <c r="C96" s="44"/>
      <c r="D96" s="44"/>
      <c r="E96" s="44"/>
      <c r="F96" s="44"/>
      <c r="G96" s="44"/>
    </row>
    <row r="97" spans="1:7" x14ac:dyDescent="0.3">
      <c r="A97" s="44"/>
      <c r="B97" s="44"/>
      <c r="C97" s="44"/>
      <c r="D97" s="44"/>
      <c r="E97" s="44"/>
      <c r="F97" s="44"/>
      <c r="G97" s="44"/>
    </row>
    <row r="98" spans="1:7" x14ac:dyDescent="0.3">
      <c r="A98" s="44"/>
      <c r="B98" s="44"/>
      <c r="C98" s="44"/>
      <c r="D98" s="44"/>
      <c r="E98" s="44"/>
      <c r="F98" s="44"/>
      <c r="G98" s="44"/>
    </row>
    <row r="99" spans="1:7" x14ac:dyDescent="0.3">
      <c r="A99" s="44"/>
      <c r="B99" s="44"/>
      <c r="C99" s="44"/>
      <c r="D99" s="44"/>
      <c r="E99" s="44"/>
      <c r="F99" s="44"/>
      <c r="G99" s="44"/>
    </row>
    <row r="100" spans="1:7" x14ac:dyDescent="0.3">
      <c r="A100" s="44"/>
      <c r="B100" s="44"/>
      <c r="C100" s="44"/>
      <c r="D100" s="44"/>
      <c r="E100" s="44"/>
      <c r="F100" s="44"/>
      <c r="G100" s="44"/>
    </row>
  </sheetData>
  <mergeCells count="13">
    <mergeCell ref="A39:G39"/>
    <mergeCell ref="A40:G40"/>
    <mergeCell ref="A45:G45"/>
    <mergeCell ref="A1:L1"/>
    <mergeCell ref="A14:G14"/>
    <mergeCell ref="A23:G23"/>
    <mergeCell ref="A29:G29"/>
    <mergeCell ref="A37:G37"/>
    <mergeCell ref="A2:G2"/>
    <mergeCell ref="A8:G8"/>
    <mergeCell ref="A16:G16"/>
    <mergeCell ref="A24:G24"/>
    <mergeCell ref="A31:G3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DEEAF1"/>
  </sheetPr>
  <dimension ref="A1:Z6"/>
  <sheetViews>
    <sheetView showGridLines="0" workbookViewId="0">
      <pane ySplit="3" topLeftCell="A4" activePane="bottomLeft" state="frozen"/>
      <selection pane="bottomLeft" sqref="A1:Z1"/>
    </sheetView>
  </sheetViews>
  <sheetFormatPr baseColWidth="10" defaultRowHeight="14.4" x14ac:dyDescent="0.3"/>
  <cols>
    <col min="1" max="1" width="5.21875" customWidth="1"/>
    <col min="2" max="2" width="8.6640625" bestFit="1" customWidth="1"/>
    <col min="3" max="3" width="7.44140625" bestFit="1" customWidth="1"/>
    <col min="4" max="4" width="5.88671875" bestFit="1" customWidth="1"/>
    <col min="5" max="5" width="7.33203125" bestFit="1" customWidth="1"/>
    <col min="26" max="26" width="8" bestFit="1" customWidth="1"/>
  </cols>
  <sheetData>
    <row r="1" spans="1:26" ht="19.95" customHeight="1" x14ac:dyDescent="0.3">
      <c r="A1" s="1930" t="s">
        <v>4804</v>
      </c>
      <c r="B1" s="1749"/>
      <c r="C1" s="1749"/>
      <c r="D1" s="1749"/>
      <c r="E1" s="1749"/>
      <c r="F1" s="1749"/>
      <c r="G1" s="1749"/>
      <c r="H1" s="1749"/>
      <c r="I1" s="1749"/>
      <c r="J1" s="1749"/>
      <c r="K1" s="1749"/>
      <c r="L1" s="1749"/>
      <c r="M1" s="1749"/>
      <c r="N1" s="1749"/>
      <c r="O1" s="1749"/>
      <c r="P1" s="1749"/>
      <c r="Q1" s="1749"/>
      <c r="R1" s="1749"/>
      <c r="S1" s="1749"/>
      <c r="T1" s="1749"/>
      <c r="U1" s="1749"/>
      <c r="V1" s="1749"/>
      <c r="W1" s="1749"/>
      <c r="X1" s="1749"/>
      <c r="Y1" s="1749"/>
      <c r="Z1" s="1749"/>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473"/>
      <c r="N2" s="473"/>
      <c r="O2" s="473"/>
      <c r="P2" s="473"/>
      <c r="Q2" s="473"/>
      <c r="R2" s="473"/>
      <c r="S2" s="473"/>
      <c r="T2" s="473"/>
      <c r="U2" s="473"/>
      <c r="V2" s="473"/>
      <c r="W2" s="473"/>
      <c r="X2" s="473"/>
      <c r="Y2" s="473"/>
      <c r="Z2" s="473"/>
    </row>
    <row r="3" spans="1:26" ht="19.95" customHeight="1" thickBot="1" x14ac:dyDescent="0.35">
      <c r="A3" s="1714" t="s">
        <v>4084</v>
      </c>
      <c r="B3" s="1714"/>
      <c r="C3" s="1714"/>
      <c r="D3" s="1714"/>
      <c r="E3" s="1714"/>
      <c r="F3" s="1714"/>
      <c r="G3" s="1714"/>
      <c r="H3" s="1714"/>
      <c r="I3" s="1714"/>
      <c r="J3" s="1714"/>
      <c r="K3" s="1714"/>
      <c r="L3" s="1714"/>
      <c r="M3" s="1714"/>
      <c r="N3" s="1714"/>
      <c r="O3" s="1714"/>
      <c r="P3" s="1714"/>
      <c r="Q3" s="1714"/>
      <c r="R3" s="1714"/>
      <c r="S3" s="1714"/>
      <c r="T3" s="1714"/>
      <c r="U3" s="1714"/>
      <c r="V3" s="1714"/>
      <c r="W3" s="1714"/>
      <c r="X3" s="1714"/>
      <c r="Y3" s="1714"/>
      <c r="Z3" s="1714"/>
    </row>
    <row r="4" spans="1:26" ht="28.05" customHeight="1" thickTop="1" x14ac:dyDescent="0.3">
      <c r="A4" s="1124" t="s">
        <v>685</v>
      </c>
      <c r="B4" s="564" t="s">
        <v>3701</v>
      </c>
      <c r="C4" s="565" t="s">
        <v>3702</v>
      </c>
      <c r="D4" s="565" t="s">
        <v>3703</v>
      </c>
      <c r="E4" s="565" t="s">
        <v>3700</v>
      </c>
      <c r="F4" s="565"/>
      <c r="G4" s="565"/>
      <c r="H4" s="565"/>
      <c r="I4" s="565"/>
      <c r="J4" s="565"/>
      <c r="K4" s="565"/>
      <c r="L4" s="565"/>
      <c r="M4" s="565"/>
      <c r="N4" s="565"/>
      <c r="O4" s="565"/>
      <c r="P4" s="565"/>
      <c r="Q4" s="565"/>
      <c r="R4" s="565"/>
      <c r="S4" s="565"/>
      <c r="T4" s="565"/>
      <c r="U4" s="565"/>
      <c r="V4" s="565"/>
      <c r="W4" s="565"/>
      <c r="X4" s="565"/>
      <c r="Y4" s="565"/>
      <c r="Z4" s="566"/>
    </row>
    <row r="5" spans="1:26" ht="19.95" customHeight="1" thickBot="1" x14ac:dyDescent="0.35">
      <c r="A5" s="1725" t="s">
        <v>3362</v>
      </c>
      <c r="B5" s="1726"/>
      <c r="C5" s="1726"/>
      <c r="D5" s="1726"/>
      <c r="E5" s="1726"/>
      <c r="F5" s="1726"/>
      <c r="G5" s="1726"/>
      <c r="H5" s="1726"/>
      <c r="I5" s="1726"/>
      <c r="J5" s="1726"/>
      <c r="K5" s="1726"/>
      <c r="L5" s="1726"/>
      <c r="M5" s="1726"/>
      <c r="N5" s="1726"/>
      <c r="O5" s="1726"/>
      <c r="P5" s="1726"/>
      <c r="Q5" s="1726"/>
      <c r="R5" s="1726"/>
      <c r="S5" s="1726"/>
      <c r="T5" s="1726"/>
      <c r="U5" s="1726"/>
      <c r="V5" s="1726"/>
      <c r="W5" s="1726"/>
      <c r="X5" s="1726"/>
      <c r="Y5" s="1726"/>
      <c r="Z5" s="1727"/>
    </row>
    <row r="6" spans="1:26" ht="15" thickTop="1" x14ac:dyDescent="0.3"/>
  </sheetData>
  <mergeCells count="3">
    <mergeCell ref="A1:Z1"/>
    <mergeCell ref="A3:Z3"/>
    <mergeCell ref="A5:Z5"/>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2A85A-C842-4436-B7CC-028A2FEE62D9}">
  <sheetPr>
    <tabColor rgb="FFB8CCE4"/>
  </sheetPr>
  <dimension ref="A1:Z34"/>
  <sheetViews>
    <sheetView showGridLines="0" topLeftCell="B1" zoomScale="55" zoomScaleNormal="55" workbookViewId="0">
      <pane xSplit="1" ySplit="3" topLeftCell="C4" activePane="bottomRight" state="frozen"/>
      <selection activeCell="B1" sqref="B1"/>
      <selection pane="topRight" activeCell="C1" sqref="C1"/>
      <selection pane="bottomLeft" activeCell="B4" sqref="B4"/>
      <selection pane="bottomRight" sqref="A1:Z1"/>
    </sheetView>
  </sheetViews>
  <sheetFormatPr baseColWidth="10" defaultRowHeight="14.4" x14ac:dyDescent="0.3"/>
  <cols>
    <col min="1" max="1" width="5.21875" customWidth="1"/>
    <col min="2" max="2" width="95.109375" bestFit="1" customWidth="1"/>
    <col min="3" max="3" width="64.77734375" customWidth="1"/>
    <col min="4" max="4" width="20" bestFit="1" customWidth="1"/>
    <col min="5" max="5" width="22.77734375" bestFit="1" customWidth="1"/>
    <col min="6" max="6" width="21.77734375" bestFit="1" customWidth="1"/>
    <col min="26" max="26" width="8" bestFit="1" customWidth="1"/>
  </cols>
  <sheetData>
    <row r="1" spans="1:26" ht="19.95" customHeight="1" x14ac:dyDescent="0.3">
      <c r="A1" s="1930" t="s">
        <v>4805</v>
      </c>
      <c r="B1" s="1749"/>
      <c r="C1" s="1749"/>
      <c r="D1" s="1749"/>
      <c r="E1" s="1749"/>
      <c r="F1" s="1749"/>
      <c r="G1" s="1749"/>
      <c r="H1" s="1749"/>
      <c r="I1" s="1749"/>
      <c r="J1" s="1749"/>
      <c r="K1" s="1749"/>
      <c r="L1" s="1749"/>
      <c r="M1" s="1749"/>
      <c r="N1" s="1749"/>
      <c r="O1" s="1749"/>
      <c r="P1" s="1749"/>
      <c r="Q1" s="1749"/>
      <c r="R1" s="1749"/>
      <c r="S1" s="1749"/>
      <c r="T1" s="1749"/>
      <c r="U1" s="1749"/>
      <c r="V1" s="1749"/>
      <c r="W1" s="1749"/>
      <c r="X1" s="1749"/>
      <c r="Y1" s="1749"/>
      <c r="Z1" s="1749"/>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473"/>
      <c r="N2" s="473"/>
      <c r="O2" s="473"/>
      <c r="P2" s="473"/>
      <c r="Q2" s="473"/>
      <c r="R2" s="473"/>
      <c r="S2" s="473"/>
      <c r="T2" s="473"/>
      <c r="U2" s="473"/>
      <c r="V2" s="473"/>
      <c r="W2" s="473"/>
      <c r="X2" s="473"/>
      <c r="Y2" s="473"/>
      <c r="Z2" s="473"/>
    </row>
    <row r="3" spans="1:26" ht="19.95" customHeight="1" thickBot="1" x14ac:dyDescent="0.35">
      <c r="A3" s="1714" t="s">
        <v>4085</v>
      </c>
      <c r="B3" s="1714"/>
      <c r="C3" s="1714"/>
      <c r="D3" s="1714"/>
      <c r="E3" s="1714"/>
      <c r="F3" s="1714"/>
      <c r="G3" s="1714"/>
      <c r="H3" s="1714"/>
      <c r="I3" s="1714"/>
      <c r="J3" s="1714"/>
      <c r="K3" s="1714"/>
      <c r="L3" s="1714"/>
      <c r="M3" s="1714"/>
      <c r="N3" s="1714"/>
      <c r="O3" s="1714"/>
      <c r="P3" s="1714"/>
      <c r="Q3" s="1714"/>
      <c r="R3" s="1714"/>
      <c r="S3" s="1714"/>
      <c r="T3" s="1714"/>
      <c r="U3" s="1714"/>
      <c r="V3" s="1714"/>
      <c r="W3" s="1714"/>
      <c r="X3" s="1714"/>
      <c r="Y3" s="1714"/>
      <c r="Z3" s="1714"/>
    </row>
    <row r="4" spans="1:26" ht="19.95" customHeight="1" thickTop="1" x14ac:dyDescent="0.3">
      <c r="A4" s="1944" t="s">
        <v>4357</v>
      </c>
      <c r="B4" s="1880"/>
      <c r="C4" s="1880"/>
      <c r="D4" s="1880"/>
      <c r="E4" s="1880"/>
      <c r="F4" s="1880"/>
      <c r="G4" s="1880"/>
      <c r="H4" s="1880"/>
      <c r="I4" s="1880"/>
      <c r="J4" s="1880"/>
      <c r="K4" s="1880"/>
      <c r="L4" s="1880"/>
      <c r="M4" s="1880"/>
      <c r="N4" s="1880"/>
      <c r="O4" s="1880"/>
      <c r="P4" s="1880"/>
      <c r="Q4" s="1880"/>
      <c r="R4" s="1880"/>
      <c r="S4" s="1880"/>
      <c r="T4" s="1880"/>
      <c r="U4" s="1880"/>
      <c r="V4" s="1880"/>
      <c r="W4" s="1880"/>
      <c r="X4" s="1880"/>
      <c r="Y4" s="1880"/>
      <c r="Z4" s="1881"/>
    </row>
    <row r="5" spans="1:26" ht="28.05" customHeight="1" x14ac:dyDescent="0.3">
      <c r="A5" s="1511" t="s">
        <v>4313</v>
      </c>
      <c r="B5" s="1458" t="s">
        <v>100</v>
      </c>
      <c r="C5" s="1458" t="s">
        <v>4358</v>
      </c>
      <c r="D5" s="1458" t="s">
        <v>4359</v>
      </c>
      <c r="E5" s="1458" t="s">
        <v>4360</v>
      </c>
      <c r="F5" s="1458" t="s">
        <v>4361</v>
      </c>
      <c r="G5" s="184"/>
      <c r="H5" s="184"/>
      <c r="I5" s="184"/>
      <c r="J5" s="184"/>
      <c r="K5" s="184"/>
      <c r="L5" s="184"/>
      <c r="M5" s="184"/>
      <c r="N5" s="184"/>
      <c r="O5" s="184"/>
      <c r="P5" s="184"/>
      <c r="Q5" s="184"/>
      <c r="R5" s="184"/>
      <c r="S5" s="184"/>
      <c r="T5" s="184"/>
      <c r="U5" s="184"/>
      <c r="V5" s="184"/>
      <c r="W5" s="184"/>
      <c r="X5" s="184"/>
      <c r="Y5" s="184"/>
      <c r="Z5" s="928"/>
    </row>
    <row r="6" spans="1:26" ht="55.05" customHeight="1" x14ac:dyDescent="0.3">
      <c r="A6" s="1512" t="s">
        <v>665</v>
      </c>
      <c r="B6" s="1459" t="s">
        <v>4362</v>
      </c>
      <c r="C6" s="1459" t="s">
        <v>4363</v>
      </c>
      <c r="D6" s="1459" t="s">
        <v>4364</v>
      </c>
      <c r="E6" s="1459" t="s">
        <v>4365</v>
      </c>
      <c r="F6" s="1459" t="s">
        <v>4366</v>
      </c>
      <c r="G6" s="104"/>
      <c r="H6" s="104"/>
      <c r="I6" s="104"/>
      <c r="J6" s="104"/>
      <c r="K6" s="104"/>
      <c r="L6" s="104"/>
      <c r="M6" s="104"/>
      <c r="N6" s="104"/>
      <c r="O6" s="104"/>
      <c r="P6" s="104"/>
      <c r="Q6" s="104"/>
      <c r="R6" s="104"/>
      <c r="S6" s="104"/>
      <c r="T6" s="104"/>
      <c r="U6" s="104"/>
      <c r="V6" s="104"/>
      <c r="W6" s="104"/>
      <c r="X6" s="104"/>
      <c r="Y6" s="104"/>
      <c r="Z6" s="988"/>
    </row>
    <row r="7" spans="1:26" ht="55.05" customHeight="1" x14ac:dyDescent="0.3">
      <c r="A7" s="1513" t="s">
        <v>666</v>
      </c>
      <c r="B7" s="1460" t="s">
        <v>4367</v>
      </c>
      <c r="C7" s="1460" t="s">
        <v>4368</v>
      </c>
      <c r="D7" s="1460" t="s">
        <v>4369</v>
      </c>
      <c r="E7" s="1460" t="s">
        <v>4370</v>
      </c>
      <c r="F7" s="1460" t="s">
        <v>4371</v>
      </c>
      <c r="G7" s="194"/>
      <c r="H7" s="194"/>
      <c r="I7" s="194"/>
      <c r="J7" s="194"/>
      <c r="K7" s="194"/>
      <c r="L7" s="194"/>
      <c r="M7" s="194"/>
      <c r="N7" s="194"/>
      <c r="O7" s="194"/>
      <c r="P7" s="194"/>
      <c r="Q7" s="194"/>
      <c r="R7" s="194"/>
      <c r="S7" s="194"/>
      <c r="T7" s="194"/>
      <c r="U7" s="194"/>
      <c r="V7" s="194"/>
      <c r="W7" s="194"/>
      <c r="X7" s="194"/>
      <c r="Y7" s="194"/>
      <c r="Z7" s="987"/>
    </row>
    <row r="8" spans="1:26" ht="55.05" customHeight="1" x14ac:dyDescent="0.3">
      <c r="A8" s="1512" t="s">
        <v>667</v>
      </c>
      <c r="B8" s="1459" t="s">
        <v>4372</v>
      </c>
      <c r="C8" s="1459" t="s">
        <v>4373</v>
      </c>
      <c r="D8" s="1459" t="s">
        <v>4374</v>
      </c>
      <c r="E8" s="1459" t="s">
        <v>4375</v>
      </c>
      <c r="F8" s="1459" t="s">
        <v>4376</v>
      </c>
      <c r="G8" s="104"/>
      <c r="H8" s="104"/>
      <c r="I8" s="104"/>
      <c r="J8" s="104"/>
      <c r="K8" s="104"/>
      <c r="L8" s="104"/>
      <c r="M8" s="104"/>
      <c r="N8" s="104"/>
      <c r="O8" s="104"/>
      <c r="P8" s="104"/>
      <c r="Q8" s="104"/>
      <c r="R8" s="104"/>
      <c r="S8" s="104"/>
      <c r="T8" s="104"/>
      <c r="U8" s="104"/>
      <c r="V8" s="104"/>
      <c r="W8" s="104"/>
      <c r="X8" s="104"/>
      <c r="Y8" s="104"/>
      <c r="Z8" s="988"/>
    </row>
    <row r="9" spans="1:26" ht="55.05" customHeight="1" x14ac:dyDescent="0.3">
      <c r="A9" s="1513" t="s">
        <v>670</v>
      </c>
      <c r="B9" s="1460" t="s">
        <v>4377</v>
      </c>
      <c r="C9" s="1460" t="s">
        <v>4378</v>
      </c>
      <c r="D9" s="1460" t="s">
        <v>4379</v>
      </c>
      <c r="E9" s="1460" t="s">
        <v>4380</v>
      </c>
      <c r="F9" s="1460" t="s">
        <v>4381</v>
      </c>
      <c r="G9" s="194"/>
      <c r="H9" s="194"/>
      <c r="I9" s="194"/>
      <c r="J9" s="194"/>
      <c r="K9" s="194"/>
      <c r="L9" s="194"/>
      <c r="M9" s="194"/>
      <c r="N9" s="194"/>
      <c r="O9" s="194"/>
      <c r="P9" s="194"/>
      <c r="Q9" s="194"/>
      <c r="R9" s="194"/>
      <c r="S9" s="194"/>
      <c r="T9" s="194"/>
      <c r="U9" s="194"/>
      <c r="V9" s="194"/>
      <c r="W9" s="194"/>
      <c r="X9" s="194"/>
      <c r="Y9" s="194"/>
      <c r="Z9" s="987"/>
    </row>
    <row r="10" spans="1:26" ht="55.05" customHeight="1" x14ac:dyDescent="0.3">
      <c r="A10" s="1512" t="s">
        <v>668</v>
      </c>
      <c r="B10" s="1459" t="s">
        <v>4382</v>
      </c>
      <c r="C10" s="1459" t="s">
        <v>4383</v>
      </c>
      <c r="D10" s="1459" t="s">
        <v>4384</v>
      </c>
      <c r="E10" s="1459" t="s">
        <v>4385</v>
      </c>
      <c r="F10" s="1459" t="s">
        <v>4386</v>
      </c>
      <c r="G10" s="104"/>
      <c r="H10" s="104"/>
      <c r="I10" s="104"/>
      <c r="J10" s="104"/>
      <c r="K10" s="104"/>
      <c r="L10" s="104"/>
      <c r="M10" s="104"/>
      <c r="N10" s="104"/>
      <c r="O10" s="104"/>
      <c r="P10" s="104"/>
      <c r="Q10" s="104"/>
      <c r="R10" s="104"/>
      <c r="S10" s="104"/>
      <c r="T10" s="104"/>
      <c r="U10" s="104"/>
      <c r="V10" s="104"/>
      <c r="W10" s="104"/>
      <c r="X10" s="104"/>
      <c r="Y10" s="104"/>
      <c r="Z10" s="988"/>
    </row>
    <row r="11" spans="1:26" ht="55.05" customHeight="1" x14ac:dyDescent="0.3">
      <c r="A11" s="1513" t="s">
        <v>669</v>
      </c>
      <c r="B11" s="1460" t="s">
        <v>4387</v>
      </c>
      <c r="C11" s="1460" t="s">
        <v>4388</v>
      </c>
      <c r="D11" s="1460" t="s">
        <v>4389</v>
      </c>
      <c r="E11" s="1460" t="s">
        <v>4390</v>
      </c>
      <c r="F11" s="1460" t="s">
        <v>4391</v>
      </c>
      <c r="G11" s="194"/>
      <c r="H11" s="194"/>
      <c r="I11" s="194"/>
      <c r="J11" s="194"/>
      <c r="K11" s="194"/>
      <c r="L11" s="194"/>
      <c r="M11" s="194"/>
      <c r="N11" s="194"/>
      <c r="O11" s="194"/>
      <c r="P11" s="194"/>
      <c r="Q11" s="194"/>
      <c r="R11" s="194"/>
      <c r="S11" s="194"/>
      <c r="T11" s="194"/>
      <c r="U11" s="194"/>
      <c r="V11" s="194"/>
      <c r="W11" s="194"/>
      <c r="X11" s="194"/>
      <c r="Y11" s="194"/>
      <c r="Z11" s="987"/>
    </row>
    <row r="12" spans="1:26" x14ac:dyDescent="0.3">
      <c r="A12" s="1514"/>
      <c r="B12" s="1370"/>
      <c r="C12" s="1370"/>
      <c r="D12" s="1370"/>
      <c r="E12" s="1370"/>
      <c r="F12" s="1370"/>
      <c r="G12" s="104"/>
      <c r="H12" s="104"/>
      <c r="I12" s="104"/>
      <c r="J12" s="104"/>
      <c r="K12" s="104"/>
      <c r="L12" s="104"/>
      <c r="M12" s="104"/>
      <c r="N12" s="104"/>
      <c r="O12" s="104"/>
      <c r="P12" s="104"/>
      <c r="Q12" s="104"/>
      <c r="R12" s="104"/>
      <c r="S12" s="104"/>
      <c r="T12" s="104"/>
      <c r="U12" s="104"/>
      <c r="V12" s="104"/>
      <c r="W12" s="104"/>
      <c r="X12" s="104"/>
      <c r="Y12" s="104"/>
      <c r="Z12" s="988"/>
    </row>
    <row r="13" spans="1:26" ht="19.95" customHeight="1" x14ac:dyDescent="0.3">
      <c r="A13" s="1945" t="s">
        <v>4392</v>
      </c>
      <c r="B13" s="1749"/>
      <c r="C13" s="1749"/>
      <c r="D13" s="1749"/>
      <c r="E13" s="1749"/>
      <c r="F13" s="1749"/>
      <c r="G13" s="1749"/>
      <c r="H13" s="1749"/>
      <c r="I13" s="1749"/>
      <c r="J13" s="1749"/>
      <c r="K13" s="1749"/>
      <c r="L13" s="1749"/>
      <c r="M13" s="1749"/>
      <c r="N13" s="1749"/>
      <c r="O13" s="1749"/>
      <c r="P13" s="1749"/>
      <c r="Q13" s="1749"/>
      <c r="R13" s="1749"/>
      <c r="S13" s="1749"/>
      <c r="T13" s="1749"/>
      <c r="U13" s="1749"/>
      <c r="V13" s="1749"/>
      <c r="W13" s="1749"/>
      <c r="X13" s="1749"/>
      <c r="Y13" s="1749"/>
      <c r="Z13" s="1883"/>
    </row>
    <row r="14" spans="1:26" ht="19.95" customHeight="1" x14ac:dyDescent="0.3">
      <c r="A14" s="1856" t="s">
        <v>4393</v>
      </c>
      <c r="B14" s="1764"/>
      <c r="C14" s="1764"/>
      <c r="D14" s="1764"/>
      <c r="E14" s="1764"/>
      <c r="F14" s="1764"/>
      <c r="G14" s="1764"/>
      <c r="H14" s="1764"/>
      <c r="I14" s="1764"/>
      <c r="J14" s="1764"/>
      <c r="K14" s="1764"/>
      <c r="L14" s="1764"/>
      <c r="M14" s="1764"/>
      <c r="N14" s="1764"/>
      <c r="O14" s="1764"/>
      <c r="P14" s="1764"/>
      <c r="Q14" s="1764"/>
      <c r="R14" s="1764"/>
      <c r="S14" s="1764"/>
      <c r="T14" s="1764"/>
      <c r="U14" s="1764"/>
      <c r="V14" s="1764"/>
      <c r="W14" s="1764"/>
      <c r="X14" s="1764"/>
      <c r="Y14" s="1764"/>
      <c r="Z14" s="1857"/>
    </row>
    <row r="15" spans="1:26" ht="22.05" customHeight="1" x14ac:dyDescent="0.3">
      <c r="A15" s="1511" t="s">
        <v>4318</v>
      </c>
      <c r="B15" s="1461" t="s">
        <v>4394</v>
      </c>
      <c r="C15" s="1461"/>
      <c r="D15" s="1461"/>
      <c r="E15" s="1461"/>
      <c r="F15" s="1461"/>
      <c r="G15" s="194"/>
      <c r="H15" s="194"/>
      <c r="I15" s="194"/>
      <c r="J15" s="194"/>
      <c r="K15" s="194"/>
      <c r="L15" s="194"/>
      <c r="M15" s="194"/>
      <c r="N15" s="194"/>
      <c r="O15" s="194"/>
      <c r="P15" s="194"/>
      <c r="Q15" s="194"/>
      <c r="R15" s="194"/>
      <c r="S15" s="194"/>
      <c r="T15" s="194"/>
      <c r="U15" s="194"/>
      <c r="V15" s="194"/>
      <c r="W15" s="194"/>
      <c r="X15" s="194"/>
      <c r="Y15" s="194"/>
      <c r="Z15" s="987"/>
    </row>
    <row r="16" spans="1:26" ht="22.05" customHeight="1" x14ac:dyDescent="0.3">
      <c r="A16" s="1515" t="s">
        <v>4320</v>
      </c>
      <c r="B16" s="1462" t="s">
        <v>4395</v>
      </c>
      <c r="C16" s="1462"/>
      <c r="D16" s="1462"/>
      <c r="E16" s="1462"/>
      <c r="F16" s="1462"/>
      <c r="G16" s="104"/>
      <c r="H16" s="104"/>
      <c r="I16" s="104"/>
      <c r="J16" s="104"/>
      <c r="K16" s="104"/>
      <c r="L16" s="104"/>
      <c r="M16" s="104"/>
      <c r="N16" s="104"/>
      <c r="O16" s="104"/>
      <c r="P16" s="104"/>
      <c r="Q16" s="104"/>
      <c r="R16" s="104"/>
      <c r="S16" s="104"/>
      <c r="T16" s="104"/>
      <c r="U16" s="104"/>
      <c r="V16" s="104"/>
      <c r="W16" s="104"/>
      <c r="X16" s="104"/>
      <c r="Y16" s="104"/>
      <c r="Z16" s="988"/>
    </row>
    <row r="17" spans="1:26" ht="22.05" customHeight="1" x14ac:dyDescent="0.3">
      <c r="A17" s="1511" t="s">
        <v>4396</v>
      </c>
      <c r="B17" s="1461" t="s">
        <v>4397</v>
      </c>
      <c r="C17" s="1461"/>
      <c r="D17" s="1461"/>
      <c r="E17" s="1461"/>
      <c r="F17" s="1461"/>
      <c r="G17" s="194"/>
      <c r="H17" s="194"/>
      <c r="I17" s="194"/>
      <c r="J17" s="194"/>
      <c r="K17" s="194"/>
      <c r="L17" s="194"/>
      <c r="M17" s="194"/>
      <c r="N17" s="194"/>
      <c r="O17" s="194"/>
      <c r="P17" s="194"/>
      <c r="Q17" s="194"/>
      <c r="R17" s="194"/>
      <c r="S17" s="194"/>
      <c r="T17" s="194"/>
      <c r="U17" s="194"/>
      <c r="V17" s="194"/>
      <c r="W17" s="194"/>
      <c r="X17" s="194"/>
      <c r="Y17" s="194"/>
      <c r="Z17" s="987"/>
    </row>
    <row r="18" spans="1:26" ht="22.05" customHeight="1" x14ac:dyDescent="0.3">
      <c r="A18" s="1515" t="s">
        <v>4398</v>
      </c>
      <c r="B18" s="1462" t="s">
        <v>4399</v>
      </c>
      <c r="C18" s="1462"/>
      <c r="D18" s="1462"/>
      <c r="E18" s="1462"/>
      <c r="F18" s="1462"/>
      <c r="G18" s="104"/>
      <c r="H18" s="104"/>
      <c r="I18" s="104"/>
      <c r="J18" s="104"/>
      <c r="K18" s="104"/>
      <c r="L18" s="104"/>
      <c r="M18" s="104"/>
      <c r="N18" s="104"/>
      <c r="O18" s="104"/>
      <c r="P18" s="104"/>
      <c r="Q18" s="104"/>
      <c r="R18" s="104"/>
      <c r="S18" s="104"/>
      <c r="T18" s="104"/>
      <c r="U18" s="104"/>
      <c r="V18" s="104"/>
      <c r="W18" s="104"/>
      <c r="X18" s="104"/>
      <c r="Y18" s="104"/>
      <c r="Z18" s="988"/>
    </row>
    <row r="19" spans="1:26" x14ac:dyDescent="0.3">
      <c r="A19" s="1395"/>
      <c r="B19" s="535"/>
      <c r="C19" s="535"/>
      <c r="D19" s="535"/>
      <c r="E19" s="535"/>
      <c r="F19" s="535"/>
      <c r="G19" s="60"/>
      <c r="H19" s="60"/>
      <c r="I19" s="60"/>
      <c r="J19" s="60"/>
      <c r="K19" s="60"/>
      <c r="L19" s="60"/>
      <c r="M19" s="60"/>
      <c r="N19" s="60"/>
      <c r="O19" s="60"/>
      <c r="P19" s="60"/>
      <c r="Q19" s="60"/>
      <c r="R19" s="60"/>
      <c r="S19" s="60"/>
      <c r="T19" s="60"/>
      <c r="U19" s="60"/>
      <c r="V19" s="60"/>
      <c r="W19" s="60"/>
      <c r="X19" s="60"/>
      <c r="Y19" s="60"/>
      <c r="Z19" s="1463"/>
    </row>
    <row r="20" spans="1:26" x14ac:dyDescent="0.3">
      <c r="A20" s="1395"/>
      <c r="B20" s="44"/>
      <c r="C20" s="44"/>
      <c r="D20" s="44"/>
      <c r="E20" s="44"/>
      <c r="F20" s="44"/>
      <c r="G20" s="50"/>
      <c r="H20" s="50"/>
      <c r="I20" s="50"/>
      <c r="J20" s="50"/>
      <c r="K20" s="50"/>
      <c r="L20" s="50"/>
      <c r="M20" s="50"/>
      <c r="N20" s="50"/>
      <c r="O20" s="50"/>
      <c r="P20" s="50"/>
      <c r="Q20" s="50"/>
      <c r="R20" s="50"/>
      <c r="S20" s="50"/>
      <c r="T20" s="50"/>
      <c r="U20" s="50"/>
      <c r="V20" s="50"/>
      <c r="W20" s="50"/>
      <c r="X20" s="50"/>
      <c r="Y20" s="50"/>
      <c r="Z20" s="1464"/>
    </row>
    <row r="21" spans="1:26" x14ac:dyDescent="0.3">
      <c r="A21" s="1395"/>
      <c r="B21" s="535"/>
      <c r="C21" s="535"/>
      <c r="D21" s="535"/>
      <c r="E21" s="535"/>
      <c r="F21" s="535"/>
      <c r="G21" s="60"/>
      <c r="H21" s="60"/>
      <c r="I21" s="60"/>
      <c r="J21" s="60"/>
      <c r="K21" s="60"/>
      <c r="L21" s="60"/>
      <c r="M21" s="60"/>
      <c r="N21" s="60"/>
      <c r="O21" s="60"/>
      <c r="P21" s="60"/>
      <c r="Q21" s="60"/>
      <c r="R21" s="60"/>
      <c r="S21" s="60"/>
      <c r="T21" s="60"/>
      <c r="U21" s="60"/>
      <c r="V21" s="60"/>
      <c r="W21" s="60"/>
      <c r="X21" s="60"/>
      <c r="Y21" s="60"/>
      <c r="Z21" s="1463"/>
    </row>
    <row r="22" spans="1:26" x14ac:dyDescent="0.3">
      <c r="A22" s="1395"/>
      <c r="B22" s="44"/>
      <c r="C22" s="44"/>
      <c r="D22" s="44"/>
      <c r="E22" s="44"/>
      <c r="F22" s="44"/>
      <c r="G22" s="50"/>
      <c r="H22" s="50"/>
      <c r="I22" s="50"/>
      <c r="J22" s="50"/>
      <c r="K22" s="50"/>
      <c r="L22" s="50"/>
      <c r="M22" s="50"/>
      <c r="N22" s="50"/>
      <c r="O22" s="50"/>
      <c r="P22" s="50"/>
      <c r="Q22" s="50"/>
      <c r="R22" s="50"/>
      <c r="S22" s="50"/>
      <c r="T22" s="50"/>
      <c r="U22" s="50"/>
      <c r="V22" s="50"/>
      <c r="W22" s="50"/>
      <c r="X22" s="50"/>
      <c r="Y22" s="50"/>
      <c r="Z22" s="1464"/>
    </row>
    <row r="23" spans="1:26" x14ac:dyDescent="0.3">
      <c r="A23" s="1395"/>
      <c r="B23" s="535"/>
      <c r="C23" s="535"/>
      <c r="D23" s="535"/>
      <c r="E23" s="535"/>
      <c r="F23" s="535"/>
      <c r="G23" s="60"/>
      <c r="H23" s="60"/>
      <c r="I23" s="60"/>
      <c r="J23" s="60"/>
      <c r="K23" s="60"/>
      <c r="L23" s="60"/>
      <c r="M23" s="60"/>
      <c r="N23" s="60"/>
      <c r="O23" s="60"/>
      <c r="P23" s="60"/>
      <c r="Q23" s="60"/>
      <c r="R23" s="60"/>
      <c r="S23" s="60"/>
      <c r="T23" s="60"/>
      <c r="U23" s="60"/>
      <c r="V23" s="60"/>
      <c r="W23" s="60"/>
      <c r="X23" s="60"/>
      <c r="Y23" s="60"/>
      <c r="Z23" s="1463"/>
    </row>
    <row r="24" spans="1:26" x14ac:dyDescent="0.3">
      <c r="A24" s="1395"/>
      <c r="B24" s="44"/>
      <c r="C24" s="44"/>
      <c r="D24" s="44"/>
      <c r="E24" s="44"/>
      <c r="F24" s="44"/>
      <c r="G24" s="50"/>
      <c r="H24" s="50"/>
      <c r="I24" s="50"/>
      <c r="J24" s="50"/>
      <c r="K24" s="50"/>
      <c r="L24" s="50"/>
      <c r="M24" s="50"/>
      <c r="N24" s="50"/>
      <c r="O24" s="50"/>
      <c r="P24" s="50"/>
      <c r="Q24" s="50"/>
      <c r="R24" s="50"/>
      <c r="S24" s="50"/>
      <c r="T24" s="50"/>
      <c r="U24" s="50"/>
      <c r="V24" s="50"/>
      <c r="W24" s="50"/>
      <c r="X24" s="50"/>
      <c r="Y24" s="50"/>
      <c r="Z24" s="1464"/>
    </row>
    <row r="25" spans="1:26" x14ac:dyDescent="0.3">
      <c r="A25" s="1395"/>
      <c r="B25" s="535"/>
      <c r="C25" s="535"/>
      <c r="D25" s="535"/>
      <c r="E25" s="535"/>
      <c r="F25" s="535"/>
      <c r="G25" s="60"/>
      <c r="H25" s="60"/>
      <c r="I25" s="60"/>
      <c r="J25" s="60"/>
      <c r="K25" s="60"/>
      <c r="L25" s="60"/>
      <c r="M25" s="60"/>
      <c r="N25" s="60"/>
      <c r="O25" s="60"/>
      <c r="P25" s="60"/>
      <c r="Q25" s="60"/>
      <c r="R25" s="60"/>
      <c r="S25" s="60"/>
      <c r="T25" s="60"/>
      <c r="U25" s="60"/>
      <c r="V25" s="60"/>
      <c r="W25" s="60"/>
      <c r="X25" s="60"/>
      <c r="Y25" s="60"/>
      <c r="Z25" s="1463"/>
    </row>
    <row r="26" spans="1:26" x14ac:dyDescent="0.3">
      <c r="A26" s="1395"/>
      <c r="B26" s="44"/>
      <c r="C26" s="44"/>
      <c r="D26" s="44"/>
      <c r="E26" s="44"/>
      <c r="F26" s="44"/>
      <c r="G26" s="50"/>
      <c r="H26" s="50"/>
      <c r="I26" s="50"/>
      <c r="J26" s="50"/>
      <c r="K26" s="50"/>
      <c r="L26" s="50"/>
      <c r="M26" s="50"/>
      <c r="N26" s="50"/>
      <c r="O26" s="50"/>
      <c r="P26" s="50"/>
      <c r="Q26" s="50"/>
      <c r="R26" s="50"/>
      <c r="S26" s="50"/>
      <c r="T26" s="50"/>
      <c r="U26" s="50"/>
      <c r="V26" s="50"/>
      <c r="W26" s="50"/>
      <c r="X26" s="50"/>
      <c r="Y26" s="50"/>
      <c r="Z26" s="1464"/>
    </row>
    <row r="27" spans="1:26" x14ac:dyDescent="0.3">
      <c r="A27" s="1395"/>
      <c r="B27" s="535"/>
      <c r="C27" s="535"/>
      <c r="D27" s="535"/>
      <c r="E27" s="535"/>
      <c r="F27" s="535"/>
      <c r="G27" s="60"/>
      <c r="H27" s="60"/>
      <c r="I27" s="60"/>
      <c r="J27" s="60"/>
      <c r="K27" s="60"/>
      <c r="L27" s="60"/>
      <c r="M27" s="60"/>
      <c r="N27" s="60"/>
      <c r="O27" s="60"/>
      <c r="P27" s="60"/>
      <c r="Q27" s="60"/>
      <c r="R27" s="60"/>
      <c r="S27" s="60"/>
      <c r="T27" s="60"/>
      <c r="U27" s="60"/>
      <c r="V27" s="60"/>
      <c r="W27" s="60"/>
      <c r="X27" s="60"/>
      <c r="Y27" s="60"/>
      <c r="Z27" s="1463"/>
    </row>
    <row r="28" spans="1:26" x14ac:dyDescent="0.3">
      <c r="A28" s="1395"/>
      <c r="B28" s="44"/>
      <c r="C28" s="44"/>
      <c r="D28" s="44"/>
      <c r="E28" s="44"/>
      <c r="F28" s="44"/>
      <c r="G28" s="50"/>
      <c r="H28" s="50"/>
      <c r="I28" s="50"/>
      <c r="J28" s="50"/>
      <c r="K28" s="50"/>
      <c r="L28" s="50"/>
      <c r="M28" s="50"/>
      <c r="N28" s="50"/>
      <c r="O28" s="50"/>
      <c r="P28" s="50"/>
      <c r="Q28" s="50"/>
      <c r="R28" s="50"/>
      <c r="S28" s="50"/>
      <c r="T28" s="50"/>
      <c r="U28" s="50"/>
      <c r="V28" s="50"/>
      <c r="W28" s="50"/>
      <c r="X28" s="50"/>
      <c r="Y28" s="50"/>
      <c r="Z28" s="1464"/>
    </row>
    <row r="29" spans="1:26" x14ac:dyDescent="0.3">
      <c r="A29" s="1395"/>
      <c r="B29" s="535"/>
      <c r="C29" s="535"/>
      <c r="D29" s="535"/>
      <c r="E29" s="535"/>
      <c r="F29" s="535"/>
      <c r="G29" s="60"/>
      <c r="H29" s="60"/>
      <c r="I29" s="60"/>
      <c r="J29" s="60"/>
      <c r="K29" s="60"/>
      <c r="L29" s="60"/>
      <c r="M29" s="60"/>
      <c r="N29" s="60"/>
      <c r="O29" s="60"/>
      <c r="P29" s="60"/>
      <c r="Q29" s="60"/>
      <c r="R29" s="60"/>
      <c r="S29" s="60"/>
      <c r="T29" s="60"/>
      <c r="U29" s="60"/>
      <c r="V29" s="60"/>
      <c r="W29" s="60"/>
      <c r="X29" s="60"/>
      <c r="Y29" s="60"/>
      <c r="Z29" s="1463"/>
    </row>
    <row r="30" spans="1:26" x14ac:dyDescent="0.3">
      <c r="A30" s="1395"/>
      <c r="B30" s="44"/>
      <c r="C30" s="44"/>
      <c r="D30" s="44"/>
      <c r="E30" s="44"/>
      <c r="F30" s="44"/>
      <c r="G30" s="50"/>
      <c r="H30" s="50"/>
      <c r="I30" s="50"/>
      <c r="J30" s="50"/>
      <c r="K30" s="50"/>
      <c r="L30" s="50"/>
      <c r="M30" s="50"/>
      <c r="N30" s="50"/>
      <c r="O30" s="50"/>
      <c r="P30" s="50"/>
      <c r="Q30" s="50"/>
      <c r="R30" s="50"/>
      <c r="S30" s="50"/>
      <c r="T30" s="50"/>
      <c r="U30" s="50"/>
      <c r="V30" s="50"/>
      <c r="W30" s="50"/>
      <c r="X30" s="50"/>
      <c r="Y30" s="50"/>
      <c r="Z30" s="1464"/>
    </row>
    <row r="31" spans="1:26" x14ac:dyDescent="0.3">
      <c r="A31" s="1395"/>
      <c r="B31" s="535"/>
      <c r="C31" s="535"/>
      <c r="D31" s="535"/>
      <c r="E31" s="535"/>
      <c r="F31" s="535"/>
      <c r="G31" s="60"/>
      <c r="H31" s="60"/>
      <c r="I31" s="60"/>
      <c r="J31" s="60"/>
      <c r="K31" s="60"/>
      <c r="L31" s="60"/>
      <c r="M31" s="60"/>
      <c r="N31" s="60"/>
      <c r="O31" s="60"/>
      <c r="P31" s="60"/>
      <c r="Q31" s="60"/>
      <c r="R31" s="60"/>
      <c r="S31" s="60"/>
      <c r="T31" s="60"/>
      <c r="U31" s="60"/>
      <c r="V31" s="60"/>
      <c r="W31" s="60"/>
      <c r="X31" s="60"/>
      <c r="Y31" s="60"/>
      <c r="Z31" s="1463"/>
    </row>
    <row r="32" spans="1:26" x14ac:dyDescent="0.3">
      <c r="A32" s="1395"/>
      <c r="B32" s="44"/>
      <c r="C32" s="44"/>
      <c r="D32" s="44"/>
      <c r="E32" s="44"/>
      <c r="F32" s="44"/>
      <c r="G32" s="50"/>
      <c r="H32" s="50"/>
      <c r="I32" s="50"/>
      <c r="J32" s="50"/>
      <c r="K32" s="50"/>
      <c r="L32" s="50"/>
      <c r="M32" s="50"/>
      <c r="N32" s="50"/>
      <c r="O32" s="50"/>
      <c r="P32" s="50"/>
      <c r="Q32" s="50"/>
      <c r="R32" s="50"/>
      <c r="S32" s="50"/>
      <c r="T32" s="50"/>
      <c r="U32" s="50"/>
      <c r="V32" s="50"/>
      <c r="W32" s="50"/>
      <c r="X32" s="50"/>
      <c r="Y32" s="50"/>
      <c r="Z32" s="1464"/>
    </row>
    <row r="33" spans="1:26" ht="15" thickBot="1" x14ac:dyDescent="0.35">
      <c r="A33" s="1466"/>
      <c r="B33" s="1465"/>
      <c r="C33" s="1465"/>
      <c r="D33" s="1465"/>
      <c r="E33" s="1465"/>
      <c r="F33" s="1465"/>
      <c r="G33" s="1341"/>
      <c r="H33" s="1341"/>
      <c r="I33" s="1341"/>
      <c r="J33" s="1341"/>
      <c r="K33" s="1341"/>
      <c r="L33" s="1341"/>
      <c r="M33" s="1341"/>
      <c r="N33" s="1341"/>
      <c r="O33" s="1341"/>
      <c r="P33" s="1341"/>
      <c r="Q33" s="1341"/>
      <c r="R33" s="1341"/>
      <c r="S33" s="1341"/>
      <c r="T33" s="1341"/>
      <c r="U33" s="1341"/>
      <c r="V33" s="1341"/>
      <c r="W33" s="1341"/>
      <c r="X33" s="1341"/>
      <c r="Y33" s="1341"/>
      <c r="Z33" s="1342"/>
    </row>
    <row r="34" spans="1:26" ht="15" thickTop="1" x14ac:dyDescent="0.3"/>
  </sheetData>
  <mergeCells count="5">
    <mergeCell ref="A1:Z1"/>
    <mergeCell ref="A3:Z3"/>
    <mergeCell ref="A4:Z4"/>
    <mergeCell ref="A13:Z13"/>
    <mergeCell ref="A14:Z1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F118E-65DE-485D-B37B-83CB73A88BDA}">
  <sheetPr>
    <tabColor rgb="FFDEEAF1"/>
  </sheetPr>
  <dimension ref="A1:Z52"/>
  <sheetViews>
    <sheetView showGridLines="0" zoomScale="69" zoomScaleNormal="69" workbookViewId="0">
      <pane ySplit="5" topLeftCell="A6" activePane="bottomLeft" state="frozen"/>
      <selection pane="bottomLeft" activeCell="C7" sqref="C7:D7"/>
    </sheetView>
  </sheetViews>
  <sheetFormatPr baseColWidth="10" defaultRowHeight="14.4" x14ac:dyDescent="0.3"/>
  <cols>
    <col min="1" max="1" width="5.21875" customWidth="1"/>
    <col min="2" max="2" width="17.5546875" customWidth="1"/>
    <col min="3" max="3" width="28.6640625" customWidth="1"/>
    <col min="4" max="4" width="14.77734375" customWidth="1"/>
    <col min="5" max="5" width="16.6640625" customWidth="1"/>
    <col min="6" max="6" width="13" customWidth="1"/>
    <col min="7" max="9" width="9.21875" customWidth="1"/>
    <col min="10" max="10" width="13" customWidth="1"/>
    <col min="11" max="11" width="8.33203125" customWidth="1"/>
    <col min="12" max="12" width="12" customWidth="1"/>
    <col min="13" max="13" width="9.21875" customWidth="1"/>
    <col min="14" max="14" width="13" customWidth="1"/>
    <col min="15" max="15" width="10.21875" customWidth="1"/>
    <col min="16" max="16" width="18.5546875" customWidth="1"/>
    <col min="17" max="17" width="6.44140625" customWidth="1"/>
    <col min="18" max="18" width="9.21875" customWidth="1"/>
    <col min="26" max="26" width="10" bestFit="1" customWidth="1"/>
  </cols>
  <sheetData>
    <row r="1" spans="1:26" ht="28.05" customHeight="1" x14ac:dyDescent="0.3">
      <c r="A1" s="1932" t="s">
        <v>4806</v>
      </c>
      <c r="B1" s="1655"/>
      <c r="C1" s="1655"/>
      <c r="D1" s="1655"/>
      <c r="E1" s="1655"/>
      <c r="F1" s="1655"/>
      <c r="G1" s="1655"/>
      <c r="H1" s="1655"/>
      <c r="I1" s="1655"/>
      <c r="J1" s="1655"/>
      <c r="K1" s="1655"/>
      <c r="L1" s="1655"/>
      <c r="M1" s="471"/>
      <c r="N1" s="471"/>
      <c r="O1" s="471"/>
      <c r="P1" s="471"/>
      <c r="Q1" s="471"/>
      <c r="R1" s="471"/>
      <c r="S1" s="92"/>
      <c r="T1" s="92"/>
      <c r="U1" s="92"/>
      <c r="V1" s="92"/>
      <c r="W1" s="92"/>
      <c r="X1" s="92"/>
      <c r="Y1" s="92"/>
      <c r="Z1" s="93" t="s">
        <v>4300</v>
      </c>
    </row>
    <row r="2" spans="1:26" ht="19.95" customHeight="1" x14ac:dyDescent="0.3">
      <c r="A2" s="472"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473"/>
      <c r="N2" s="473"/>
      <c r="O2" s="473"/>
      <c r="P2" s="473"/>
      <c r="Q2" s="473"/>
      <c r="R2" s="473"/>
      <c r="S2" s="94"/>
      <c r="T2" s="94"/>
      <c r="U2" s="94"/>
      <c r="V2" s="94"/>
      <c r="W2" s="94"/>
      <c r="X2" s="94"/>
      <c r="Y2" s="94"/>
      <c r="Z2" s="94"/>
    </row>
    <row r="3" spans="1:26" ht="16.05" customHeight="1" thickBot="1" x14ac:dyDescent="0.35">
      <c r="A3" s="1894" t="s">
        <v>4086</v>
      </c>
      <c r="B3" s="1894"/>
      <c r="C3" s="1894"/>
      <c r="D3" s="1894"/>
      <c r="E3" s="1894"/>
      <c r="F3" s="1894"/>
      <c r="G3" s="1894"/>
      <c r="H3" s="1894"/>
      <c r="I3" s="1894"/>
      <c r="J3" s="1894"/>
      <c r="K3" s="1894"/>
      <c r="L3" s="1894"/>
      <c r="M3" s="1895"/>
      <c r="N3" s="1895"/>
      <c r="O3" s="1895"/>
      <c r="P3" s="1895"/>
      <c r="Q3" s="1895"/>
      <c r="R3" s="1895"/>
      <c r="S3" s="217"/>
      <c r="T3" s="217"/>
      <c r="U3" s="217"/>
      <c r="V3" s="217"/>
      <c r="W3" s="217"/>
      <c r="X3" s="217"/>
      <c r="Y3" s="217"/>
      <c r="Z3" s="217"/>
    </row>
    <row r="4" spans="1:26" ht="18" customHeight="1" thickTop="1" thickBot="1" x14ac:dyDescent="0.35">
      <c r="A4" s="1898" t="s">
        <v>3890</v>
      </c>
      <c r="B4" s="1899"/>
      <c r="C4" s="1899"/>
      <c r="D4" s="579" t="str">
        <f>'M-TECH-VARS'!C10</f>
        <v>Porcentaje de avance presupuestario devengado sobre el presupuesto codificado asignado. Ti = Devengado_acumulado / Codificado × 100%. Fuente oficial: cédulas presupuestarias eSIGEF (NCI 403-10 CGE).</v>
      </c>
      <c r="E4" s="1899" t="s">
        <v>3891</v>
      </c>
      <c r="F4" s="1899"/>
      <c r="G4" s="579" t="str">
        <f>'M-TECH-VARS'!C11</f>
        <v>Factor de control directo del GAD sobre la ejecución según modalidad de gestión. 1.0 = Gestión directa (estructura orgánica GAD) / 0.9 = Adscrita o convenio de cooperación / 0.5 = Mancomunidad con otros GADs.</v>
      </c>
      <c r="H4" s="1899" t="s">
        <v>3892</v>
      </c>
      <c r="I4" s="1899"/>
      <c r="J4" s="579">
        <f>'M-TECH-VARS'!C28</f>
        <v>0</v>
      </c>
      <c r="K4" s="579">
        <f>'M-TECH-VARS'!C29</f>
        <v>0</v>
      </c>
      <c r="L4" s="579" t="s">
        <v>3897</v>
      </c>
      <c r="M4" s="579"/>
      <c r="N4" s="579"/>
      <c r="O4" s="579"/>
      <c r="P4" s="579"/>
      <c r="Q4" s="579"/>
      <c r="R4" s="579"/>
      <c r="S4" s="95"/>
      <c r="T4" s="95"/>
      <c r="U4" s="95"/>
      <c r="V4" s="95"/>
      <c r="W4" s="95"/>
      <c r="X4" s="95"/>
      <c r="Y4" s="95"/>
      <c r="Z4" s="96"/>
    </row>
    <row r="5" spans="1:26" ht="37.950000000000003" customHeight="1" thickTop="1" x14ac:dyDescent="0.3">
      <c r="A5" s="764" t="s">
        <v>430</v>
      </c>
      <c r="B5" s="756" t="s">
        <v>662</v>
      </c>
      <c r="C5" s="659" t="s">
        <v>664</v>
      </c>
      <c r="D5" s="659" t="s">
        <v>663</v>
      </c>
      <c r="E5" s="659" t="s">
        <v>3893</v>
      </c>
      <c r="F5" s="659" t="s">
        <v>3894</v>
      </c>
      <c r="G5" s="659" t="s">
        <v>3964</v>
      </c>
      <c r="H5" s="659" t="s">
        <v>3895</v>
      </c>
      <c r="I5" s="659" t="s">
        <v>866</v>
      </c>
      <c r="J5" s="659" t="s">
        <v>441</v>
      </c>
      <c r="K5" s="659"/>
      <c r="L5" s="659" t="s">
        <v>3898</v>
      </c>
      <c r="M5" s="659" t="s">
        <v>3899</v>
      </c>
      <c r="N5" s="659" t="s">
        <v>3900</v>
      </c>
      <c r="O5" s="659" t="s">
        <v>3901</v>
      </c>
      <c r="P5" s="659" t="s">
        <v>3902</v>
      </c>
      <c r="Q5" s="659" t="s">
        <v>3936</v>
      </c>
      <c r="R5" s="767" t="s">
        <v>4300</v>
      </c>
      <c r="S5" s="414"/>
      <c r="T5" s="184"/>
      <c r="U5" s="184"/>
      <c r="V5" s="184"/>
      <c r="W5" s="184"/>
      <c r="X5" s="184"/>
      <c r="Y5" s="184"/>
      <c r="Z5" s="218"/>
    </row>
    <row r="6" spans="1:26" ht="40.049999999999997" customHeight="1" x14ac:dyDescent="0.3">
      <c r="A6" s="765">
        <v>1</v>
      </c>
      <c r="B6" s="782" t="str">
        <f>'M2-PDOT'!B4</f>
        <v>PDOT.AS.VL.M1.01</v>
      </c>
      <c r="C6" s="745" t="str">
        <f>'M2-PDOT'!D4</f>
        <v>Mantenimiento de vías urbanas para el acceso de los barrios del cantón</v>
      </c>
      <c r="D6" s="595" t="str">
        <f>'M2-PDOT'!C4</f>
        <v>Asentamientos Humanos</v>
      </c>
      <c r="E6" s="595" t="str">
        <f>'M2-PDOT'!K4</f>
        <v>Dir. Obras Públicas</v>
      </c>
      <c r="F6" s="728">
        <f>'M2-PDOT'!L4</f>
        <v>10892760.76</v>
      </c>
      <c r="G6" s="725">
        <f>'M-TECH-VARS'!$C$24</f>
        <v>0</v>
      </c>
      <c r="H6" s="768">
        <f>'M2-PDOT'!E4</f>
        <v>0.3315584274613419</v>
      </c>
      <c r="I6" s="769">
        <f>'M2-PDOT'!I4</f>
        <v>1</v>
      </c>
      <c r="J6" s="725" t="str">
        <f>'M2-PDOT'!N4</f>
        <v>✅ ALINEADA</v>
      </c>
      <c r="K6" s="595"/>
      <c r="L6" s="742">
        <v>0</v>
      </c>
      <c r="M6" s="770">
        <v>0</v>
      </c>
      <c r="N6" s="728" t="e">
        <f>F6*'M-TECH-VARS'!$C$11</f>
        <v>#VALUE!</v>
      </c>
      <c r="O6" s="771" t="str">
        <f>IF(AND(M6=0,'M-TECH-VARS'!$C$10&gt;3),"ALERTA",IF('M-TECH-VARS'!$C$11=0,"N/D",M6/(G6*'M-TECH-VARS'!$C$11)))</f>
        <v>ALERTA</v>
      </c>
      <c r="P6" s="739" t="str">
        <f>IF(AND(M6=0,'M-TECH-VARS'!$C$10&gt;3),"🚨 NEGLIGENCIA OPERATIVA",IF(AND(L6=0,M6=0),"⬜ SIN DATOS",IF(AND(M6&gt;='M-TECH-VARS'!$C$11,L6&lt;=N6,L6&gt;0),"🔵 GESTIÓN EFICIENTE",IF(ISNUMBER(O6),IF(O6&gt;=0.85,"🔵 EXCELENTE (≥85%)",IF(O6&gt;=0.7,"🟢 SATISFACTORIO (70-84%)",IF(O6&gt;=0.4,"🟡 TRANSICIÓN CRÍTICA (40-69%)","🔴 RUPTURA (&lt;40%)"))),"⬜ SIN DATOS"))))</f>
        <v>🚨 NEGLIGENCIA OPERATIVA</v>
      </c>
      <c r="Q6" s="772">
        <f>IF('M2-PDOT'!G4=1,1,0)</f>
        <v>1</v>
      </c>
      <c r="R6" s="773">
        <f t="shared" ref="R6:R25" si="0">IF(ISNUMBER(O6),O6*I6,IF(O6="ALERTA",0,"N/D"))</f>
        <v>0</v>
      </c>
      <c r="S6" s="404"/>
      <c r="T6" s="104"/>
      <c r="U6" s="104"/>
      <c r="V6" s="104"/>
      <c r="W6" s="104"/>
      <c r="X6" s="104"/>
      <c r="Y6" s="104"/>
      <c r="Z6" s="105"/>
    </row>
    <row r="7" spans="1:26" ht="40.049999999999997" customHeight="1" x14ac:dyDescent="0.3">
      <c r="A7" s="1510">
        <v>2</v>
      </c>
      <c r="B7" s="783" t="str">
        <f>'M2-PDOT'!B5</f>
        <v>PDOT.SC.OE2.M1.01</v>
      </c>
      <c r="C7" s="744" t="str">
        <f>'M2-PDOT'!D5</f>
        <v>Desarrollo del Bienestar Integral para Montecristi</v>
      </c>
      <c r="D7" s="590" t="str">
        <f>'M2-PDOT'!C5</f>
        <v>Socio Cultural</v>
      </c>
      <c r="E7" s="590" t="str">
        <f>'M2-PDOT'!K5</f>
        <v>Patronato Municipal</v>
      </c>
      <c r="F7" s="733">
        <f>'M2-PDOT'!L5</f>
        <v>5827477</v>
      </c>
      <c r="G7" s="730">
        <f>'M-TECH-VARS'!$C$24</f>
        <v>0</v>
      </c>
      <c r="H7" s="774">
        <f>'M2-PDOT'!E5</f>
        <v>0.17737919272791763</v>
      </c>
      <c r="I7" s="775">
        <f>'M2-PDOT'!I5</f>
        <v>0.9</v>
      </c>
      <c r="J7" s="776" t="str">
        <f>'M2-PDOT'!N5</f>
        <v>✅ ALINEADA</v>
      </c>
      <c r="K7" s="590"/>
      <c r="L7" s="777">
        <v>0</v>
      </c>
      <c r="M7" s="778">
        <v>0</v>
      </c>
      <c r="N7" s="733" t="e">
        <f>F7*'M-TECH-VARS'!$C$11</f>
        <v>#VALUE!</v>
      </c>
      <c r="O7" s="779" t="str">
        <f>IF(AND(M7=0,'M-TECH-VARS'!$C$10&gt;3),"ALERTA",IF('M-TECH-VARS'!$C$11=0,"N/D",M7/(G7*'M-TECH-VARS'!$C$11)))</f>
        <v>ALERTA</v>
      </c>
      <c r="P7" s="776" t="str">
        <f>IF(AND(M7=0,'M-TECH-VARS'!$C$10&gt;3),"🚨 NEGLIGENCIA OPERATIVA",IF(AND(L7=0,M7=0),"⬜ SIN DATOS",IF(AND(M7&gt;='M-TECH-VARS'!$C$11,L7&lt;=N7,L7&gt;0),"🔵 GESTIÓN EFICIENTE",IF(ISNUMBER(O7),IF(O7&gt;=0.85,"🔵 EXCELENTE (≥85%)",IF(O7&gt;=0.7,"🟢 SATISFACTORIO (70-84%)",IF(O7&gt;=0.4,"🟡 TRANSICIÓN CRÍTICA (40-69%)","🔴 RUPTURA (&lt;40%)"))),"⬜ SIN DATOS"))))</f>
        <v>🚨 NEGLIGENCIA OPERATIVA</v>
      </c>
      <c r="Q7" s="780">
        <f>IF('M2-PDOT'!G5=1,1,0)</f>
        <v>1</v>
      </c>
      <c r="R7" s="781">
        <f t="shared" si="0"/>
        <v>0</v>
      </c>
      <c r="S7" s="408"/>
      <c r="T7" s="194"/>
      <c r="U7" s="194"/>
      <c r="V7" s="194"/>
      <c r="W7" s="194"/>
      <c r="X7" s="194"/>
      <c r="Y7" s="194"/>
      <c r="Z7" s="236"/>
    </row>
    <row r="8" spans="1:26" ht="40.049999999999997" customHeight="1" x14ac:dyDescent="0.3">
      <c r="A8" s="765">
        <v>3</v>
      </c>
      <c r="B8" s="782" t="str">
        <f>'M2-PDOT'!B6</f>
        <v>PDOT.AM.OE3.M2.01</v>
      </c>
      <c r="C8" s="745" t="str">
        <f>'M2-PDOT'!D6</f>
        <v>Gestión Integral de Desechos Sólidos</v>
      </c>
      <c r="D8" s="595" t="str">
        <f>'M2-PDOT'!C6</f>
        <v>Ambiental</v>
      </c>
      <c r="E8" s="595" t="str">
        <f>'M2-PDOT'!K6</f>
        <v>Dir. Gestión Ambiental</v>
      </c>
      <c r="F8" s="728">
        <f>'M2-PDOT'!L6</f>
        <v>5001962.76</v>
      </c>
      <c r="G8" s="725">
        <f>'M-TECH-VARS'!$C$24</f>
        <v>0</v>
      </c>
      <c r="H8" s="768">
        <f>'M2-PDOT'!E6</f>
        <v>0.152251843537762</v>
      </c>
      <c r="I8" s="769">
        <f>'M2-PDOT'!I6</f>
        <v>1</v>
      </c>
      <c r="J8" s="739" t="str">
        <f>'M2-PDOT'!N6</f>
        <v>✅ ALINEADA</v>
      </c>
      <c r="K8" s="595"/>
      <c r="L8" s="742">
        <v>0</v>
      </c>
      <c r="M8" s="770">
        <v>0</v>
      </c>
      <c r="N8" s="728" t="e">
        <f>F8*'M-TECH-VARS'!$C$11</f>
        <v>#VALUE!</v>
      </c>
      <c r="O8" s="771" t="str">
        <f>IF(AND(M8=0,'M-TECH-VARS'!$C$10&gt;3),"ALERTA",IF('M-TECH-VARS'!$C$11=0,"N/D",M8/(G8*'M-TECH-VARS'!$C$11)))</f>
        <v>ALERTA</v>
      </c>
      <c r="P8" s="739" t="str">
        <f>IF(AND(M8=0,'M-TECH-VARS'!$C$10&gt;3),"🚨 NEGLIGENCIA OPERATIVA",IF(AND(L8=0,M8=0),"⬜ SIN DATOS",IF(AND(M8&gt;='M-TECH-VARS'!$C$11,L8&lt;=N8,L8&gt;0),"🔵 GESTIÓN EFICIENTE",IF(ISNUMBER(O8),IF(O8&gt;=0.85,"🔵 EXCELENTE (≥85%)",IF(O8&gt;=0.7,"🟢 SATISFACTORIO (70-84%)",IF(O8&gt;=0.4,"🟡 TRANSICIÓN CRÍTICA (40-69%)","🔴 RUPTURA (&lt;40%)"))),"⬜ SIN DATOS"))))</f>
        <v>🚨 NEGLIGENCIA OPERATIVA</v>
      </c>
      <c r="Q8" s="772">
        <f>IF('M2-PDOT'!G6=1,1,0)</f>
        <v>1</v>
      </c>
      <c r="R8" s="773">
        <f t="shared" si="0"/>
        <v>0</v>
      </c>
      <c r="S8" s="404"/>
      <c r="T8" s="104"/>
      <c r="U8" s="104"/>
      <c r="V8" s="104"/>
      <c r="W8" s="104"/>
      <c r="X8" s="104"/>
      <c r="Y8" s="104"/>
      <c r="Z8" s="105"/>
    </row>
    <row r="9" spans="1:26" ht="40.049999999999997" customHeight="1" x14ac:dyDescent="0.3">
      <c r="A9" s="1510">
        <v>4</v>
      </c>
      <c r="B9" s="783" t="str">
        <f>'M2-PDOT'!B7</f>
        <v>PDOT.AS.OE1.M2.01</v>
      </c>
      <c r="C9" s="744" t="str">
        <f>'M2-PDOT'!D7</f>
        <v>Fortalecimiento estratégico de equipamiento público comercial y administrativo</v>
      </c>
      <c r="D9" s="590" t="str">
        <f>'M2-PDOT'!C7</f>
        <v>Asentamientos Humanos</v>
      </c>
      <c r="E9" s="590" t="str">
        <f>'M2-PDOT'!K7</f>
        <v>Dir. Planificación</v>
      </c>
      <c r="F9" s="733">
        <f>'M2-PDOT'!L7</f>
        <v>1693800</v>
      </c>
      <c r="G9" s="730">
        <f>'M-TECH-VARS'!$C$24</f>
        <v>0</v>
      </c>
      <c r="H9" s="774">
        <f>'M2-PDOT'!E7</f>
        <v>5.1556595872029501E-2</v>
      </c>
      <c r="I9" s="775">
        <f>'M2-PDOT'!I7</f>
        <v>1</v>
      </c>
      <c r="J9" s="776" t="str">
        <f>'M2-PDOT'!N7</f>
        <v>⚠️ PARCIAL</v>
      </c>
      <c r="K9" s="590"/>
      <c r="L9" s="777">
        <v>0</v>
      </c>
      <c r="M9" s="778">
        <v>0</v>
      </c>
      <c r="N9" s="733" t="e">
        <f>F9*'M-TECH-VARS'!$C$11</f>
        <v>#VALUE!</v>
      </c>
      <c r="O9" s="779" t="str">
        <f>IF(AND(M9=0,'M-TECH-VARS'!$C$10&gt;3),"ALERTA",IF('M-TECH-VARS'!$C$11=0,"N/D",M9/(G9*'M-TECH-VARS'!$C$11)))</f>
        <v>ALERTA</v>
      </c>
      <c r="P9" s="776" t="str">
        <f>IF(AND(M9=0,'M-TECH-VARS'!$C$10&gt;3),"🚨 NEGLIGENCIA OPERATIVA",IF(AND(L9=0,M9=0),"⬜ SIN DATOS",IF(AND(M9&gt;='M-TECH-VARS'!$C$11,L9&lt;=N9,L9&gt;0),"🔵 GESTIÓN EFICIENTE",IF(ISNUMBER(O9),IF(O9&gt;=0.85,"🔵 EXCELENTE (≥85%)",IF(O9&gt;=0.7,"🟢 SATISFACTORIO (70-84%)",IF(O9&gt;=0.4,"🟡 TRANSICIÓN CRÍTICA (40-69%)","🔴 RUPTURA (&lt;40%)"))),"⬜ SIN DATOS"))))</f>
        <v>🚨 NEGLIGENCIA OPERATIVA</v>
      </c>
      <c r="Q9" s="780">
        <f>IF('M2-PDOT'!G7=1,1,0)</f>
        <v>0</v>
      </c>
      <c r="R9" s="781">
        <f t="shared" si="0"/>
        <v>0</v>
      </c>
      <c r="S9" s="408"/>
      <c r="T9" s="194"/>
      <c r="U9" s="194"/>
      <c r="V9" s="194"/>
      <c r="W9" s="194"/>
      <c r="X9" s="194"/>
      <c r="Y9" s="194"/>
      <c r="Z9" s="236"/>
    </row>
    <row r="10" spans="1:26" ht="40.049999999999997" customHeight="1" x14ac:dyDescent="0.3">
      <c r="A10" s="765">
        <v>5</v>
      </c>
      <c r="B10" s="782" t="str">
        <f>'M2-PDOT'!B8</f>
        <v>PDOT.SC.OE2.M4.01</v>
      </c>
      <c r="C10" s="745" t="str">
        <f>'M2-PDOT'!D8</f>
        <v>Proyecto Integral de Desarrollo y Apoyo Comunitario</v>
      </c>
      <c r="D10" s="595" t="str">
        <f>'M2-PDOT'!C8</f>
        <v>Socio Cultural</v>
      </c>
      <c r="E10" s="595" t="str">
        <f>'M2-PDOT'!K8</f>
        <v>Dir. Planificación</v>
      </c>
      <c r="F10" s="728">
        <f>'M2-PDOT'!L8</f>
        <v>1611066</v>
      </c>
      <c r="G10" s="725">
        <f>'M-TECH-VARS'!$C$24</f>
        <v>0</v>
      </c>
      <c r="H10" s="768">
        <f>'M2-PDOT'!E8</f>
        <v>4.903830362803583E-2</v>
      </c>
      <c r="I10" s="769">
        <f>'M2-PDOT'!I8</f>
        <v>1</v>
      </c>
      <c r="J10" s="739" t="str">
        <f>'M2-PDOT'!N8</f>
        <v>⚠️ PARCIAL</v>
      </c>
      <c r="K10" s="595"/>
      <c r="L10" s="742">
        <v>0</v>
      </c>
      <c r="M10" s="770">
        <v>0</v>
      </c>
      <c r="N10" s="728" t="e">
        <f>F10*'M-TECH-VARS'!$C$11</f>
        <v>#VALUE!</v>
      </c>
      <c r="O10" s="771" t="str">
        <f>IF(AND(M10=0,'M-TECH-VARS'!$C$10&gt;3),"ALERTA",IF('M-TECH-VARS'!$C$11=0,"N/D",M10/(G10*'M-TECH-VARS'!$C$11)))</f>
        <v>ALERTA</v>
      </c>
      <c r="P10" s="739" t="str">
        <f>IF(AND(M10=0,'M-TECH-VARS'!$C$10&gt;3),"🚨 NEGLIGENCIA OPERATIVA",IF(AND(L10=0,M10=0),"⬜ SIN DATOS",IF(AND(M10&gt;='M-TECH-VARS'!$C$11,L10&lt;=N10,L10&gt;0),"🔵 GESTIÓN EFICIENTE",IF(ISNUMBER(O10),IF(O10&gt;=0.85,"🔵 EXCELENTE (≥85%)",IF(O10&gt;=0.7,"🟢 SATISFACTORIO (70-84%)",IF(O10&gt;=0.4,"🟡 TRANSICIÓN CRÍTICA (40-69%)","🔴 RUPTURA (&lt;40%)"))),"⬜ SIN DATOS"))))</f>
        <v>🚨 NEGLIGENCIA OPERATIVA</v>
      </c>
      <c r="Q10" s="772">
        <f>IF('M2-PDOT'!G8=1,1,0)</f>
        <v>1</v>
      </c>
      <c r="R10" s="773">
        <f t="shared" si="0"/>
        <v>0</v>
      </c>
      <c r="S10" s="404"/>
      <c r="T10" s="104"/>
      <c r="U10" s="104"/>
      <c r="V10" s="104"/>
      <c r="W10" s="104"/>
      <c r="X10" s="104"/>
      <c r="Y10" s="104"/>
      <c r="Z10" s="105"/>
    </row>
    <row r="11" spans="1:26" ht="40.049999999999997" customHeight="1" x14ac:dyDescent="0.3">
      <c r="A11" s="1510">
        <v>6</v>
      </c>
      <c r="B11" s="783" t="str">
        <f>'M2-PDOT'!B9</f>
        <v>PDOT.AS.OE1.M1.02</v>
      </c>
      <c r="C11" s="744" t="str">
        <f>'M2-PDOT'!D9</f>
        <v>Gestión para la construcción de nueva infraestructura de tratamiento de aguas residuales</v>
      </c>
      <c r="D11" s="590" t="str">
        <f>'M2-PDOT'!C9</f>
        <v>Asentamientos Humanos</v>
      </c>
      <c r="E11" s="590" t="str">
        <f>'M2-PDOT'!K9</f>
        <v>Dir. Agua Potable y Alcantarillado</v>
      </c>
      <c r="F11" s="733">
        <f>'M2-PDOT'!L9</f>
        <v>1269859.46</v>
      </c>
      <c r="G11" s="730">
        <f>'M-TECH-VARS'!$C$24</f>
        <v>0</v>
      </c>
      <c r="H11" s="774">
        <f>'M2-PDOT'!E9</f>
        <v>3.8652515641453306E-2</v>
      </c>
      <c r="I11" s="775">
        <f>'M2-PDOT'!I9</f>
        <v>1</v>
      </c>
      <c r="J11" s="731" t="str">
        <f>'M2-PDOT'!N9</f>
        <v>🔴 BAJA</v>
      </c>
      <c r="K11" s="590"/>
      <c r="L11" s="777">
        <v>0</v>
      </c>
      <c r="M11" s="778">
        <v>0</v>
      </c>
      <c r="N11" s="733" t="e">
        <f>F11*'M-TECH-VARS'!$C$11</f>
        <v>#VALUE!</v>
      </c>
      <c r="O11" s="779" t="str">
        <f>IF(AND(M11=0,'M-TECH-VARS'!$C$10&gt;3),"ALERTA",IF('M-TECH-VARS'!$C$11=0,"N/D",M11/(G11*'M-TECH-VARS'!$C$11)))</f>
        <v>ALERTA</v>
      </c>
      <c r="P11" s="776" t="str">
        <f>IF(AND(M11=0,'M-TECH-VARS'!$C$10&gt;3),"🚨 NEGLIGENCIA OPERATIVA",IF(AND(L11=0,M11=0),"⬜ SIN DATOS",IF(AND(M11&gt;='M-TECH-VARS'!$C$11,L11&lt;=N11,L11&gt;0),"🔵 GESTIÓN EFICIENTE",IF(ISNUMBER(O11),IF(O11&gt;=0.85,"🔵 EXCELENTE (≥85%)",IF(O11&gt;=0.7,"🟢 SATISFACTORIO (70-84%)",IF(O11&gt;=0.4,"🟡 TRANSICIÓN CRÍTICA (40-69%)","🔴 RUPTURA (&lt;40%)"))),"⬜ SIN DATOS"))))</f>
        <v>🚨 NEGLIGENCIA OPERATIVA</v>
      </c>
      <c r="Q11" s="780">
        <f>IF('M2-PDOT'!G9=1,1,0)</f>
        <v>0</v>
      </c>
      <c r="R11" s="781">
        <f t="shared" si="0"/>
        <v>0</v>
      </c>
      <c r="S11" s="408"/>
      <c r="T11" s="194"/>
      <c r="U11" s="194"/>
      <c r="V11" s="194"/>
      <c r="W11" s="194"/>
      <c r="X11" s="194"/>
      <c r="Y11" s="194"/>
      <c r="Z11" s="236"/>
    </row>
    <row r="12" spans="1:26" ht="40.049999999999997" customHeight="1" x14ac:dyDescent="0.3">
      <c r="A12" s="765">
        <v>7</v>
      </c>
      <c r="B12" s="782" t="str">
        <f>'M2-PDOT'!B10</f>
        <v>PDOT.PI.OE4.M1.01</v>
      </c>
      <c r="C12" s="745" t="str">
        <f>'M2-PDOT'!D10</f>
        <v>Implementación de la Transformación digital de los procedimientos institucionales</v>
      </c>
      <c r="D12" s="595" t="str">
        <f>'M2-PDOT'!C10</f>
        <v>Político Institucional</v>
      </c>
      <c r="E12" s="595" t="str">
        <f>'M2-PDOT'!K10</f>
        <v>Dir. TICs</v>
      </c>
      <c r="F12" s="728">
        <f>'M2-PDOT'!L10</f>
        <v>1219611.33</v>
      </c>
      <c r="G12" s="725">
        <f>'M-TECH-VARS'!$C$24</f>
        <v>0</v>
      </c>
      <c r="H12" s="768">
        <f>'M2-PDOT'!E10</f>
        <v>3.7123041954043229E-2</v>
      </c>
      <c r="I12" s="769">
        <f>'M2-PDOT'!I10</f>
        <v>1</v>
      </c>
      <c r="J12" s="739" t="str">
        <f>'M2-PDOT'!N10</f>
        <v>✅ ALINEADA</v>
      </c>
      <c r="K12" s="595"/>
      <c r="L12" s="742">
        <v>0</v>
      </c>
      <c r="M12" s="770">
        <v>0</v>
      </c>
      <c r="N12" s="728" t="e">
        <f>F12*'M-TECH-VARS'!$C$11</f>
        <v>#VALUE!</v>
      </c>
      <c r="O12" s="771" t="str">
        <f>IF(AND(M12=0,'M-TECH-VARS'!$C$10&gt;3),"ALERTA",IF('M-TECH-VARS'!$C$11=0,"N/D",M12/(G12*'M-TECH-VARS'!$C$11)))</f>
        <v>ALERTA</v>
      </c>
      <c r="P12" s="739" t="str">
        <f>IF(AND(M12=0,'M-TECH-VARS'!$C$10&gt;3),"🚨 NEGLIGENCIA OPERATIVA",IF(AND(L12=0,M12=0),"⬜ SIN DATOS",IF(AND(M12&gt;='M-TECH-VARS'!$C$11,L12&lt;=N12,L12&gt;0),"🔵 GESTIÓN EFICIENTE",IF(ISNUMBER(O12),IF(O12&gt;=0.85,"🔵 EXCELENTE (≥85%)",IF(O12&gt;=0.7,"🟢 SATISFACTORIO (70-84%)",IF(O12&gt;=0.4,"🟡 TRANSICIÓN CRÍTICA (40-69%)","🔴 RUPTURA (&lt;40%)"))),"⬜ SIN DATOS"))))</f>
        <v>🚨 NEGLIGENCIA OPERATIVA</v>
      </c>
      <c r="Q12" s="772">
        <f>IF('M2-PDOT'!G10=1,1,0)</f>
        <v>1</v>
      </c>
      <c r="R12" s="773">
        <f t="shared" si="0"/>
        <v>0</v>
      </c>
      <c r="S12" s="404"/>
      <c r="T12" s="104"/>
      <c r="U12" s="104"/>
      <c r="V12" s="104"/>
      <c r="W12" s="104"/>
      <c r="X12" s="104"/>
      <c r="Y12" s="104"/>
      <c r="Z12" s="105"/>
    </row>
    <row r="13" spans="1:26" ht="40.049999999999997" customHeight="1" x14ac:dyDescent="0.3">
      <c r="A13" s="1510">
        <v>8</v>
      </c>
      <c r="B13" s="783" t="str">
        <f>'M2-PDOT'!B11</f>
        <v>PDOT.AV.OE1.M1.01</v>
      </c>
      <c r="C13" s="744" t="str">
        <f>'M2-PDOT'!D11</f>
        <v>Recuperación integral de los espacios públicos</v>
      </c>
      <c r="D13" s="590" t="str">
        <f>'M2-PDOT'!C11</f>
        <v>Asentamientos Humanos</v>
      </c>
      <c r="E13" s="590" t="str">
        <f>'M2-PDOT'!K11</f>
        <v>Dir. Planificación</v>
      </c>
      <c r="F13" s="733">
        <f>'M2-PDOT'!L11</f>
        <v>894755.8</v>
      </c>
      <c r="G13" s="730">
        <f>'M-TECH-VARS'!$C$24</f>
        <v>0</v>
      </c>
      <c r="H13" s="774">
        <f>'M2-PDOT'!E11</f>
        <v>2.7234952877998854E-2</v>
      </c>
      <c r="I13" s="775">
        <f>'M2-PDOT'!I11</f>
        <v>1</v>
      </c>
      <c r="J13" s="776" t="str">
        <f>'M2-PDOT'!N11</f>
        <v>✅ ALINEADA</v>
      </c>
      <c r="K13" s="590"/>
      <c r="L13" s="777">
        <v>0</v>
      </c>
      <c r="M13" s="778">
        <v>0</v>
      </c>
      <c r="N13" s="733" t="e">
        <f>F13*'M-TECH-VARS'!$C$11</f>
        <v>#VALUE!</v>
      </c>
      <c r="O13" s="779" t="str">
        <f>IF(AND(M13=0,'M-TECH-VARS'!$C$10&gt;3),"ALERTA",IF('M-TECH-VARS'!$C$11=0,"N/D",M13/(G13*'M-TECH-VARS'!$C$11)))</f>
        <v>ALERTA</v>
      </c>
      <c r="P13" s="776" t="str">
        <f>IF(AND(M13=0,'M-TECH-VARS'!$C$10&gt;3),"🚨 NEGLIGENCIA OPERATIVA",IF(AND(L13=0,M13=0),"⬜ SIN DATOS",IF(AND(M13&gt;='M-TECH-VARS'!$C$11,L13&lt;=N13,L13&gt;0),"🔵 GESTIÓN EFICIENTE",IF(ISNUMBER(O13),IF(O13&gt;=0.85,"🔵 EXCELENTE (≥85%)",IF(O13&gt;=0.7,"🟢 SATISFACTORIO (70-84%)",IF(O13&gt;=0.4,"🟡 TRANSICIÓN CRÍTICA (40-69%)","🔴 RUPTURA (&lt;40%)"))),"⬜ SIN DATOS"))))</f>
        <v>🚨 NEGLIGENCIA OPERATIVA</v>
      </c>
      <c r="Q13" s="780">
        <f>IF('M2-PDOT'!G11=1,1,0)</f>
        <v>1</v>
      </c>
      <c r="R13" s="781">
        <f t="shared" si="0"/>
        <v>0</v>
      </c>
      <c r="S13" s="408"/>
      <c r="T13" s="194"/>
      <c r="U13" s="194"/>
      <c r="V13" s="194"/>
      <c r="W13" s="194"/>
      <c r="X13" s="194"/>
      <c r="Y13" s="194"/>
      <c r="Z13" s="236"/>
    </row>
    <row r="14" spans="1:26" ht="40.049999999999997" customHeight="1" x14ac:dyDescent="0.3">
      <c r="A14" s="765">
        <v>9</v>
      </c>
      <c r="B14" s="782" t="str">
        <f>'M2-PDOT'!B12</f>
        <v>PDOT.AM.OE3.M1.01</v>
      </c>
      <c r="C14" s="745" t="str">
        <f>'M2-PDOT'!D12</f>
        <v>Implementación de Infraestructura civil para la mitigación y reducción de impactos ante la susceptib</v>
      </c>
      <c r="D14" s="595" t="str">
        <f>'M2-PDOT'!C12</f>
        <v>Ambiental</v>
      </c>
      <c r="E14" s="595" t="str">
        <f>'M2-PDOT'!K12</f>
        <v>Dir. Planificación</v>
      </c>
      <c r="F14" s="728">
        <f>'M2-PDOT'!L12</f>
        <v>840000</v>
      </c>
      <c r="G14" s="725">
        <f>'M-TECH-VARS'!$C$24</f>
        <v>0</v>
      </c>
      <c r="H14" s="768">
        <f>'M2-PDOT'!E12</f>
        <v>2.5568272837705033E-2</v>
      </c>
      <c r="I14" s="769">
        <f>'M2-PDOT'!I12</f>
        <v>1</v>
      </c>
      <c r="J14" s="726" t="str">
        <f>'M2-PDOT'!N12</f>
        <v>🔴 BAJA</v>
      </c>
      <c r="K14" s="595"/>
      <c r="L14" s="742">
        <v>0</v>
      </c>
      <c r="M14" s="770">
        <v>0</v>
      </c>
      <c r="N14" s="728" t="e">
        <f>F14*'M-TECH-VARS'!$C$11</f>
        <v>#VALUE!</v>
      </c>
      <c r="O14" s="771" t="str">
        <f>IF(AND(M14=0,'M-TECH-VARS'!$C$10&gt;3),"ALERTA",IF('M-TECH-VARS'!$C$11=0,"N/D",M14/(G14*'M-TECH-VARS'!$C$11)))</f>
        <v>ALERTA</v>
      </c>
      <c r="P14" s="739" t="str">
        <f>IF(AND(M14=0,'M-TECH-VARS'!$C$10&gt;3),"🚨 NEGLIGENCIA OPERATIVA",IF(AND(L14=0,M14=0),"⬜ SIN DATOS",IF(AND(M14&gt;='M-TECH-VARS'!$C$11,L14&lt;=N14,L14&gt;0),"🔵 GESTIÓN EFICIENTE",IF(ISNUMBER(O14),IF(O14&gt;=0.85,"🔵 EXCELENTE (≥85%)",IF(O14&gt;=0.7,"🟢 SATISFACTORIO (70-84%)",IF(O14&gt;=0.4,"🟡 TRANSICIÓN CRÍTICA (40-69%)","🔴 RUPTURA (&lt;40%)"))),"⬜ SIN DATOS"))))</f>
        <v>🚨 NEGLIGENCIA OPERATIVA</v>
      </c>
      <c r="Q14" s="772">
        <f>IF('M2-PDOT'!G12=1,1,0)</f>
        <v>0</v>
      </c>
      <c r="R14" s="773">
        <f t="shared" si="0"/>
        <v>0</v>
      </c>
      <c r="S14" s="404"/>
      <c r="T14" s="104"/>
      <c r="U14" s="104"/>
      <c r="V14" s="104"/>
      <c r="W14" s="104"/>
      <c r="X14" s="104"/>
      <c r="Y14" s="104"/>
      <c r="Z14" s="105"/>
    </row>
    <row r="15" spans="1:26" ht="40.049999999999997" customHeight="1" x14ac:dyDescent="0.3">
      <c r="A15" s="1510">
        <v>10</v>
      </c>
      <c r="B15" s="783" t="str">
        <f>'M2-PDOT'!B13</f>
        <v>PDOT.FA.OE4.AH.02</v>
      </c>
      <c r="C15" s="744" t="str">
        <f>'M2-PDOT'!D13</f>
        <v>Mejorando la capacidad de
disposición final de desechos sólidos</v>
      </c>
      <c r="D15" s="590" t="str">
        <f>'M2-PDOT'!C13</f>
        <v>Físico Ambiental</v>
      </c>
      <c r="E15" s="590" t="str">
        <f>'M2-PDOT'!K13</f>
        <v>Dir. Gestión Ambiental</v>
      </c>
      <c r="F15" s="733">
        <f>'M2-PDOT'!L13</f>
        <v>748782.57</v>
      </c>
      <c r="G15" s="730">
        <f>'M-TECH-VARS'!$C$24</f>
        <v>0</v>
      </c>
      <c r="H15" s="774">
        <f>'M2-PDOT'!E13</f>
        <v>2.2791758387949959E-2</v>
      </c>
      <c r="I15" s="775">
        <f>'M2-PDOT'!I13</f>
        <v>1</v>
      </c>
      <c r="J15" s="776" t="str">
        <f>'M2-PDOT'!N13</f>
        <v>⚠️ PARCIAL</v>
      </c>
      <c r="K15" s="590"/>
      <c r="L15" s="777">
        <v>0</v>
      </c>
      <c r="M15" s="778">
        <v>0</v>
      </c>
      <c r="N15" s="733" t="e">
        <f>F15*'M-TECH-VARS'!$C$11</f>
        <v>#VALUE!</v>
      </c>
      <c r="O15" s="779" t="str">
        <f>IF(AND(M15=0,'M-TECH-VARS'!$C$10&gt;3),"ALERTA",IF('M-TECH-VARS'!$C$11=0,"N/D",M15/(G15*'M-TECH-VARS'!$C$11)))</f>
        <v>ALERTA</v>
      </c>
      <c r="P15" s="776" t="str">
        <f>IF(AND(M15=0,'M-TECH-VARS'!$C$10&gt;3),"🚨 NEGLIGENCIA OPERATIVA",IF(AND(L15=0,M15=0),"⬜ SIN DATOS",IF(AND(M15&gt;='M-TECH-VARS'!$C$11,L15&lt;=N15,L15&gt;0),"🔵 GESTIÓN EFICIENTE",IF(ISNUMBER(O15),IF(O15&gt;=0.85,"🔵 EXCELENTE (≥85%)",IF(O15&gt;=0.7,"🟢 SATISFACTORIO (70-84%)",IF(O15&gt;=0.4,"🟡 TRANSICIÓN CRÍTICA (40-69%)","🔴 RUPTURA (&lt;40%)"))),"⬜ SIN DATOS"))))</f>
        <v>🚨 NEGLIGENCIA OPERATIVA</v>
      </c>
      <c r="Q15" s="780">
        <f>IF('M2-PDOT'!G13=1,1,0)</f>
        <v>1</v>
      </c>
      <c r="R15" s="781">
        <f t="shared" si="0"/>
        <v>0</v>
      </c>
      <c r="S15" s="408"/>
      <c r="T15" s="194"/>
      <c r="U15" s="194"/>
      <c r="V15" s="194"/>
      <c r="W15" s="194"/>
      <c r="X15" s="194"/>
      <c r="Y15" s="194"/>
      <c r="Z15" s="236"/>
    </row>
    <row r="16" spans="1:26" ht="40.049999999999997" customHeight="1" x14ac:dyDescent="0.3">
      <c r="A16" s="765">
        <v>11</v>
      </c>
      <c r="B16" s="782" t="str">
        <f>'M2-PDOT'!B14</f>
        <v>PDOT.FA.OE1.PV.01</v>
      </c>
      <c r="C16" s="745" t="str">
        <f>'M2-PDOT'!D14</f>
        <v>Desarrollo de la red Verde y recuperación del espacio público</v>
      </c>
      <c r="D16" s="595" t="str">
        <f>'M2-PDOT'!C14</f>
        <v>Físico Ambiental</v>
      </c>
      <c r="E16" s="595" t="str">
        <f>'M2-PDOT'!K14</f>
        <v>Dir. Gestión Ambiental</v>
      </c>
      <c r="F16" s="728">
        <f>'M2-PDOT'!L14</f>
        <v>609999.54</v>
      </c>
      <c r="G16" s="725">
        <f>'M-TECH-VARS'!$C$24</f>
        <v>0</v>
      </c>
      <c r="H16" s="768">
        <f>'M2-PDOT'!E14</f>
        <v>1.8567422225707814E-2</v>
      </c>
      <c r="I16" s="769">
        <f>'M2-PDOT'!I14</f>
        <v>1</v>
      </c>
      <c r="J16" s="739" t="str">
        <f>'M2-PDOT'!N14</f>
        <v>⚠️ PARCIAL</v>
      </c>
      <c r="K16" s="595"/>
      <c r="L16" s="742">
        <v>0</v>
      </c>
      <c r="M16" s="770">
        <v>0</v>
      </c>
      <c r="N16" s="728" t="e">
        <f>F16*'M-TECH-VARS'!$C$11</f>
        <v>#VALUE!</v>
      </c>
      <c r="O16" s="771" t="str">
        <f>IF(AND(M16=0,'M-TECH-VARS'!$C$10&gt;3),"ALERTA",IF('M-TECH-VARS'!$C$11=0,"N/D",M16/(G16*'M-TECH-VARS'!$C$11)))</f>
        <v>ALERTA</v>
      </c>
      <c r="P16" s="739" t="str">
        <f>IF(AND(M16=0,'M-TECH-VARS'!$C$10&gt;3),"🚨 NEGLIGENCIA OPERATIVA",IF(AND(L16=0,M16=0),"⬜ SIN DATOS",IF(AND(M16&gt;='M-TECH-VARS'!$C$11,L16&lt;=N16,L16&gt;0),"🔵 GESTIÓN EFICIENTE",IF(ISNUMBER(O16),IF(O16&gt;=0.85,"🔵 EXCELENTE (≥85%)",IF(O16&gt;=0.7,"🟢 SATISFACTORIO (70-84%)",IF(O16&gt;=0.4,"🟡 TRANSICIÓN CRÍTICA (40-69%)","🔴 RUPTURA (&lt;40%)"))),"⬜ SIN DATOS"))))</f>
        <v>🚨 NEGLIGENCIA OPERATIVA</v>
      </c>
      <c r="Q16" s="772">
        <f>IF('M2-PDOT'!G14=1,1,0)</f>
        <v>1</v>
      </c>
      <c r="R16" s="773">
        <f t="shared" si="0"/>
        <v>0</v>
      </c>
      <c r="S16" s="404"/>
      <c r="T16" s="104"/>
      <c r="U16" s="104"/>
      <c r="V16" s="104"/>
      <c r="W16" s="104"/>
      <c r="X16" s="104"/>
      <c r="Y16" s="104"/>
      <c r="Z16" s="105"/>
    </row>
    <row r="17" spans="1:26" ht="40.049999999999997" customHeight="1" x14ac:dyDescent="0.3">
      <c r="A17" s="1510">
        <v>12</v>
      </c>
      <c r="B17" s="783" t="str">
        <f>'M2-PDOT'!B15</f>
        <v>PDOT.PI.OE4.M2.01</v>
      </c>
      <c r="C17" s="744" t="str">
        <f>'M2-PDOT'!D15</f>
        <v>Fortalecimiento del Sistema de Información Territorial Municipal</v>
      </c>
      <c r="D17" s="590" t="str">
        <f>'M2-PDOT'!C15</f>
        <v>Político Institucional</v>
      </c>
      <c r="E17" s="590" t="str">
        <f>'M2-PDOT'!K15</f>
        <v>Dir. TICs</v>
      </c>
      <c r="F17" s="733">
        <f>'M2-PDOT'!L15</f>
        <v>600955.82999999996</v>
      </c>
      <c r="G17" s="730">
        <f>'M-TECH-VARS'!$C$24</f>
        <v>0</v>
      </c>
      <c r="H17" s="774">
        <f>'M2-PDOT'!E15</f>
        <v>1.8292145981963669E-2</v>
      </c>
      <c r="I17" s="775">
        <f>'M2-PDOT'!I15</f>
        <v>1</v>
      </c>
      <c r="J17" s="731" t="str">
        <f>'M2-PDOT'!N15</f>
        <v>🔴 BAJA</v>
      </c>
      <c r="K17" s="590"/>
      <c r="L17" s="777">
        <v>0</v>
      </c>
      <c r="M17" s="778">
        <v>0</v>
      </c>
      <c r="N17" s="733" t="e">
        <f>F17*'M-TECH-VARS'!$C$11</f>
        <v>#VALUE!</v>
      </c>
      <c r="O17" s="779" t="str">
        <f>IF(AND(M17=0,'M-TECH-VARS'!$C$10&gt;3),"ALERTA",IF('M-TECH-VARS'!$C$11=0,"N/D",M17/(G17*'M-TECH-VARS'!$C$11)))</f>
        <v>ALERTA</v>
      </c>
      <c r="P17" s="776" t="str">
        <f>IF(AND(M17=0,'M-TECH-VARS'!$C$10&gt;3),"🚨 NEGLIGENCIA OPERATIVA",IF(AND(L17=0,M17=0),"⬜ SIN DATOS",IF(AND(M17&gt;='M-TECH-VARS'!$C$11,L17&lt;=N17,L17&gt;0),"🔵 GESTIÓN EFICIENTE",IF(ISNUMBER(O17),IF(O17&gt;=0.85,"🔵 EXCELENTE (≥85%)",IF(O17&gt;=0.7,"🟢 SATISFACTORIO (70-84%)",IF(O17&gt;=0.4,"🟡 TRANSICIÓN CRÍTICA (40-69%)","🔴 RUPTURA (&lt;40%)"))),"⬜ SIN DATOS"))))</f>
        <v>🚨 NEGLIGENCIA OPERATIVA</v>
      </c>
      <c r="Q17" s="780">
        <f>IF('M2-PDOT'!G15=1,1,0)</f>
        <v>0</v>
      </c>
      <c r="R17" s="781">
        <f t="shared" si="0"/>
        <v>0</v>
      </c>
      <c r="S17" s="408"/>
      <c r="T17" s="194"/>
      <c r="U17" s="194"/>
      <c r="V17" s="194"/>
      <c r="W17" s="194"/>
      <c r="X17" s="194"/>
      <c r="Y17" s="194"/>
      <c r="Z17" s="236"/>
    </row>
    <row r="18" spans="1:26" ht="40.049999999999997" customHeight="1" x14ac:dyDescent="0.3">
      <c r="A18" s="765">
        <v>13</v>
      </c>
      <c r="B18" s="782" t="str">
        <f>'M2-PDOT'!B16</f>
        <v>PDOT.PI.OE4.FI.01</v>
      </c>
      <c r="C18" s="745" t="str">
        <f>'M2-PDOT'!D16</f>
        <v>Desarrollo e implementación de Planes Estratégicos Institucionales</v>
      </c>
      <c r="D18" s="595" t="str">
        <f>'M2-PDOT'!C16</f>
        <v>Político Institucional</v>
      </c>
      <c r="E18" s="595" t="str">
        <f>'M2-PDOT'!K16</f>
        <v>Dir. Planificación</v>
      </c>
      <c r="F18" s="728">
        <f>'M2-PDOT'!L16</f>
        <v>412973</v>
      </c>
      <c r="G18" s="725">
        <f>'M-TECH-VARS'!$C$24</f>
        <v>0</v>
      </c>
      <c r="H18" s="768">
        <f>'M2-PDOT'!E16</f>
        <v>1.2570245641197094E-2</v>
      </c>
      <c r="I18" s="769">
        <f>'M2-PDOT'!I16</f>
        <v>1</v>
      </c>
      <c r="J18" s="739" t="str">
        <f>'M2-PDOT'!N16</f>
        <v>⚠️ PARCIAL</v>
      </c>
      <c r="K18" s="595"/>
      <c r="L18" s="742">
        <v>0</v>
      </c>
      <c r="M18" s="770">
        <v>0</v>
      </c>
      <c r="N18" s="728" t="e">
        <f>F18*'M-TECH-VARS'!$C$11</f>
        <v>#VALUE!</v>
      </c>
      <c r="O18" s="771" t="str">
        <f>IF(AND(M18=0,'M-TECH-VARS'!$C$10&gt;3),"ALERTA",IF('M-TECH-VARS'!$C$11=0,"N/D",M18/(G18*'M-TECH-VARS'!$C$11)))</f>
        <v>ALERTA</v>
      </c>
      <c r="P18" s="739" t="str">
        <f>IF(AND(M18=0,'M-TECH-VARS'!$C$10&gt;3),"🚨 NEGLIGENCIA OPERATIVA",IF(AND(L18=0,M18=0),"⬜ SIN DATOS",IF(AND(M18&gt;='M-TECH-VARS'!$C$11,L18&lt;=N18,L18&gt;0),"🔵 GESTIÓN EFICIENTE",IF(ISNUMBER(O18),IF(O18&gt;=0.85,"🔵 EXCELENTE (≥85%)",IF(O18&gt;=0.7,"🟢 SATISFACTORIO (70-84%)",IF(O18&gt;=0.4,"🟡 TRANSICIÓN CRÍTICA (40-69%)","🔴 RUPTURA (&lt;40%)"))),"⬜ SIN DATOS"))))</f>
        <v>🚨 NEGLIGENCIA OPERATIVA</v>
      </c>
      <c r="Q18" s="772">
        <f>IF('M2-PDOT'!G16=1,1,0)</f>
        <v>1</v>
      </c>
      <c r="R18" s="773">
        <f t="shared" si="0"/>
        <v>0</v>
      </c>
      <c r="S18" s="404"/>
      <c r="T18" s="104"/>
      <c r="U18" s="104"/>
      <c r="V18" s="104"/>
      <c r="W18" s="104"/>
      <c r="X18" s="104"/>
      <c r="Y18" s="104"/>
      <c r="Z18" s="105"/>
    </row>
    <row r="19" spans="1:26" ht="40.049999999999997" customHeight="1" x14ac:dyDescent="0.3">
      <c r="A19" s="1510">
        <v>14</v>
      </c>
      <c r="B19" s="783" t="str">
        <f>'M2-PDOT'!B17</f>
        <v>PDOT.AS.VV.HB.01</v>
      </c>
      <c r="C19" s="744" t="str">
        <f>'M2-PDOT'!D17</f>
        <v>Repoteciación de viviendas en
condiciones precarias</v>
      </c>
      <c r="D19" s="590" t="str">
        <f>'M2-PDOT'!C17</f>
        <v>Asentamientos Humanos</v>
      </c>
      <c r="E19" s="590" t="str">
        <f>'M2-PDOT'!K17</f>
        <v>Dir. Planificación Territorial</v>
      </c>
      <c r="F19" s="733">
        <f>'M2-PDOT'!L17</f>
        <v>324000</v>
      </c>
      <c r="G19" s="730">
        <f>'M-TECH-VARS'!$C$24</f>
        <v>0</v>
      </c>
      <c r="H19" s="774">
        <f>'M2-PDOT'!E17</f>
        <v>9.8620480945433697E-3</v>
      </c>
      <c r="I19" s="775">
        <f>'M2-PDOT'!I17</f>
        <v>1</v>
      </c>
      <c r="J19" s="776" t="str">
        <f>'M2-PDOT'!N17</f>
        <v>✅ ALINEADA</v>
      </c>
      <c r="K19" s="590"/>
      <c r="L19" s="777">
        <v>0</v>
      </c>
      <c r="M19" s="778">
        <v>0</v>
      </c>
      <c r="N19" s="733" t="e">
        <f>F19*'M-TECH-VARS'!$C$11</f>
        <v>#VALUE!</v>
      </c>
      <c r="O19" s="779" t="str">
        <f>IF(AND(M19=0,'M-TECH-VARS'!$C$10&gt;3),"ALERTA",IF('M-TECH-VARS'!$C$11=0,"N/D",M19/(G19*'M-TECH-VARS'!$C$11)))</f>
        <v>ALERTA</v>
      </c>
      <c r="P19" s="776" t="str">
        <f>IF(AND(M19=0,'M-TECH-VARS'!$C$10&gt;3),"🚨 NEGLIGENCIA OPERATIVA",IF(AND(L19=0,M19=0),"⬜ SIN DATOS",IF(AND(M19&gt;='M-TECH-VARS'!$C$11,L19&lt;=N19,L19&gt;0),"🔵 GESTIÓN EFICIENTE",IF(ISNUMBER(O19),IF(O19&gt;=0.85,"🔵 EXCELENTE (≥85%)",IF(O19&gt;=0.7,"🟢 SATISFACTORIO (70-84%)",IF(O19&gt;=0.4,"🟡 TRANSICIÓN CRÍTICA (40-69%)","🔴 RUPTURA (&lt;40%)"))),"⬜ SIN DATOS"))))</f>
        <v>🚨 NEGLIGENCIA OPERATIVA</v>
      </c>
      <c r="Q19" s="780">
        <f>IF('M2-PDOT'!G17=1,1,0)</f>
        <v>1</v>
      </c>
      <c r="R19" s="781">
        <f t="shared" si="0"/>
        <v>0</v>
      </c>
      <c r="S19" s="408"/>
      <c r="T19" s="194"/>
      <c r="U19" s="194"/>
      <c r="V19" s="194"/>
      <c r="W19" s="194"/>
      <c r="X19" s="194"/>
      <c r="Y19" s="194"/>
      <c r="Z19" s="236"/>
    </row>
    <row r="20" spans="1:26" ht="40.049999999999997" customHeight="1" x14ac:dyDescent="0.3">
      <c r="A20" s="765">
        <v>15</v>
      </c>
      <c r="B20" s="782" t="str">
        <f>'M2-PDOT'!B18</f>
        <v>PDOT.SC.PA.CP.01</v>
      </c>
      <c r="C20" s="745" t="str">
        <f>'M2-PDOT'!D18</f>
        <v>Generación del Catastro
y clasificación de artistas y gestores culturales en el RUAC (Registro Único</v>
      </c>
      <c r="D20" s="595" t="str">
        <f>'M2-PDOT'!C18</f>
        <v>Socio Cultural</v>
      </c>
      <c r="E20" s="595" t="str">
        <f>'M2-PDOT'!K18</f>
        <v>Dir. Cultura</v>
      </c>
      <c r="F20" s="728">
        <f>'M2-PDOT'!L18</f>
        <v>284047.5</v>
      </c>
      <c r="G20" s="725">
        <f>'M-TECH-VARS'!$C$24</f>
        <v>0</v>
      </c>
      <c r="H20" s="768">
        <f>'M2-PDOT'!E18</f>
        <v>8.6459571177000243E-3</v>
      </c>
      <c r="I20" s="769">
        <f>'M2-PDOT'!I18</f>
        <v>1</v>
      </c>
      <c r="J20" s="726" t="str">
        <f>'M2-PDOT'!N18</f>
        <v>🔴 BAJA</v>
      </c>
      <c r="K20" s="595"/>
      <c r="L20" s="742">
        <v>0</v>
      </c>
      <c r="M20" s="770">
        <v>0</v>
      </c>
      <c r="N20" s="728" t="e">
        <f>F20*'M-TECH-VARS'!$C$11</f>
        <v>#VALUE!</v>
      </c>
      <c r="O20" s="771" t="str">
        <f>IF(AND(M20=0,'M-TECH-VARS'!$C$10&gt;3),"ALERTA",IF('M-TECH-VARS'!$C$11=0,"N/D",M20/(G20*'M-TECH-VARS'!$C$11)))</f>
        <v>ALERTA</v>
      </c>
      <c r="P20" s="739" t="str">
        <f>IF(AND(M20=0,'M-TECH-VARS'!$C$10&gt;3),"🚨 NEGLIGENCIA OPERATIVA",IF(AND(L20=0,M20=0),"⬜ SIN DATOS",IF(AND(M20&gt;='M-TECH-VARS'!$C$11,L20&lt;=N20,L20&gt;0),"🔵 GESTIÓN EFICIENTE",IF(ISNUMBER(O20),IF(O20&gt;=0.85,"🔵 EXCELENTE (≥85%)",IF(O20&gt;=0.7,"🟢 SATISFACTORIO (70-84%)",IF(O20&gt;=0.4,"🟡 TRANSICIÓN CRÍTICA (40-69%)","🔴 RUPTURA (&lt;40%)"))),"⬜ SIN DATOS"))))</f>
        <v>🚨 NEGLIGENCIA OPERATIVA</v>
      </c>
      <c r="Q20" s="772">
        <f>IF('M2-PDOT'!G18=1,1,0)</f>
        <v>0</v>
      </c>
      <c r="R20" s="773">
        <f t="shared" si="0"/>
        <v>0</v>
      </c>
      <c r="S20" s="404"/>
      <c r="T20" s="104"/>
      <c r="U20" s="104"/>
      <c r="V20" s="104"/>
      <c r="W20" s="104"/>
      <c r="X20" s="104"/>
      <c r="Y20" s="104"/>
      <c r="Z20" s="105"/>
    </row>
    <row r="21" spans="1:26" ht="40.049999999999997" customHeight="1" x14ac:dyDescent="0.3">
      <c r="A21" s="1510">
        <v>16</v>
      </c>
      <c r="B21" s="783" t="str">
        <f>'M2-PDOT'!B19</f>
        <v>PDOT.EP.OE5.PD.01</v>
      </c>
      <c r="C21" s="744" t="str">
        <f>'M2-PDOT'!D19</f>
        <v>Implementación de Ferias Productivas
y Feria de Negocios para Emprendedores del Cantón Montecristi</v>
      </c>
      <c r="D21" s="590" t="str">
        <f>'M2-PDOT'!C19</f>
        <v>Económico Productivo</v>
      </c>
      <c r="E21" s="590" t="str">
        <f>'M2-PDOT'!K19</f>
        <v>Dir. Desarrollo Económico</v>
      </c>
      <c r="F21" s="733">
        <f>'M2-PDOT'!L19</f>
        <v>109763.4</v>
      </c>
      <c r="G21" s="730">
        <f>'M-TECH-VARS'!$C$24</f>
        <v>0</v>
      </c>
      <c r="H21" s="774">
        <f>'M2-PDOT'!E19</f>
        <v>3.3410244747549434E-3</v>
      </c>
      <c r="I21" s="775">
        <f>'M2-PDOT'!I19</f>
        <v>1</v>
      </c>
      <c r="J21" s="776" t="str">
        <f>'M2-PDOT'!N19</f>
        <v>✅ ALINEADA</v>
      </c>
      <c r="K21" s="590"/>
      <c r="L21" s="777">
        <v>0</v>
      </c>
      <c r="M21" s="778">
        <v>0</v>
      </c>
      <c r="N21" s="733" t="e">
        <f>F21*'M-TECH-VARS'!$C$11</f>
        <v>#VALUE!</v>
      </c>
      <c r="O21" s="779" t="str">
        <f>IF(AND(M21=0,'M-TECH-VARS'!$C$10&gt;3),"ALERTA",IF('M-TECH-VARS'!$C$11=0,"N/D",M21/(G21*'M-TECH-VARS'!$C$11)))</f>
        <v>ALERTA</v>
      </c>
      <c r="P21" s="776" t="str">
        <f>IF(AND(M21=0,'M-TECH-VARS'!$C$10&gt;3),"🚨 NEGLIGENCIA OPERATIVA",IF(AND(L21=0,M21=0),"⬜ SIN DATOS",IF(AND(M21&gt;='M-TECH-VARS'!$C$11,L21&lt;=N21,L21&gt;0),"🔵 GESTIÓN EFICIENTE",IF(ISNUMBER(O21),IF(O21&gt;=0.85,"🔵 EXCELENTE (≥85%)",IF(O21&gt;=0.7,"🟢 SATISFACTORIO (70-84%)",IF(O21&gt;=0.4,"🟡 TRANSICIÓN CRÍTICA (40-69%)","🔴 RUPTURA (&lt;40%)"))),"⬜ SIN DATOS"))))</f>
        <v>🚨 NEGLIGENCIA OPERATIVA</v>
      </c>
      <c r="Q21" s="780">
        <f>IF('M2-PDOT'!G19=1,1,0)</f>
        <v>1</v>
      </c>
      <c r="R21" s="781">
        <f t="shared" si="0"/>
        <v>0</v>
      </c>
      <c r="S21" s="408"/>
      <c r="T21" s="194"/>
      <c r="U21" s="194"/>
      <c r="V21" s="194"/>
      <c r="W21" s="194"/>
      <c r="X21" s="194"/>
      <c r="Y21" s="194"/>
      <c r="Z21" s="236"/>
    </row>
    <row r="22" spans="1:26" ht="40.049999999999997" customHeight="1" x14ac:dyDescent="0.3">
      <c r="A22" s="765">
        <v>17</v>
      </c>
      <c r="B22" s="782" t="str">
        <f>'M2-PDOT'!B20</f>
        <v>PDOT.SC.PA.CP.02</v>
      </c>
      <c r="C22" s="745" t="str">
        <f>'M2-PDOT'!D20</f>
        <v>Creación del Inventario del Patrimonio Cultural de Montecristi</v>
      </c>
      <c r="D22" s="595" t="str">
        <f>'M2-PDOT'!C20</f>
        <v>Socio Cultural</v>
      </c>
      <c r="E22" s="595" t="str">
        <f>'M2-PDOT'!K20</f>
        <v>Dir. Cultura</v>
      </c>
      <c r="F22" s="728">
        <f>'M2-PDOT'!L20</f>
        <v>214401.43</v>
      </c>
      <c r="G22" s="725">
        <f>'M-TECH-VARS'!$C$24</f>
        <v>0</v>
      </c>
      <c r="H22" s="768">
        <f>'M2-PDOT'!E20</f>
        <v>6.5260407845644242E-3</v>
      </c>
      <c r="I22" s="769">
        <f>'M2-PDOT'!I20</f>
        <v>1</v>
      </c>
      <c r="J22" s="739" t="str">
        <f>'M2-PDOT'!N20</f>
        <v>✅ ALINEADA</v>
      </c>
      <c r="K22" s="595"/>
      <c r="L22" s="742">
        <v>0</v>
      </c>
      <c r="M22" s="770">
        <v>0</v>
      </c>
      <c r="N22" s="728" t="e">
        <f>F22*'M-TECH-VARS'!$C$11</f>
        <v>#VALUE!</v>
      </c>
      <c r="O22" s="771" t="str">
        <f>IF(AND(M22=0,'M-TECH-VARS'!$C$10&gt;3),"ALERTA",IF('M-TECH-VARS'!$C$11=0,"N/D",M22/(G22*'M-TECH-VARS'!$C$11)))</f>
        <v>ALERTA</v>
      </c>
      <c r="P22" s="739" t="str">
        <f>IF(AND(M22=0,'M-TECH-VARS'!$C$10&gt;3),"🚨 NEGLIGENCIA OPERATIVA",IF(AND(L22=0,M22=0),"⬜ SIN DATOS",IF(AND(M22&gt;='M-TECH-VARS'!$C$11,L22&lt;=N22,L22&gt;0),"🔵 GESTIÓN EFICIENTE",IF(ISNUMBER(O22),IF(O22&gt;=0.85,"🔵 EXCELENTE (≥85%)",IF(O22&gt;=0.7,"🟢 SATISFACTORIO (70-84%)",IF(O22&gt;=0.4,"🟡 TRANSICIÓN CRÍTICA (40-69%)","🔴 RUPTURA (&lt;40%)"))),"⬜ SIN DATOS"))))</f>
        <v>🚨 NEGLIGENCIA OPERATIVA</v>
      </c>
      <c r="Q22" s="772">
        <f>IF('M2-PDOT'!G20=1,1,0)</f>
        <v>1</v>
      </c>
      <c r="R22" s="773">
        <f t="shared" si="0"/>
        <v>0</v>
      </c>
      <c r="S22" s="404"/>
      <c r="T22" s="104"/>
      <c r="U22" s="104"/>
      <c r="V22" s="104"/>
      <c r="W22" s="104"/>
      <c r="X22" s="104"/>
      <c r="Y22" s="104"/>
      <c r="Z22" s="105"/>
    </row>
    <row r="23" spans="1:26" ht="40.049999999999997" customHeight="1" x14ac:dyDescent="0.3">
      <c r="A23" s="1510">
        <v>18</v>
      </c>
      <c r="B23" s="783" t="str">
        <f>'M2-PDOT'!B21</f>
        <v>PDOT.AS.VL.SV.01</v>
      </c>
      <c r="C23" s="744" t="str">
        <f>'M2-PDOT'!D21</f>
        <v>Mejora del servicio deTransporte Público</v>
      </c>
      <c r="D23" s="590" t="str">
        <f>'M2-PDOT'!C21</f>
        <v>Asentamientos Humanos</v>
      </c>
      <c r="E23" s="590" t="str">
        <f>'M2-PDOT'!K21</f>
        <v>Dir. Tránsito y Transporte</v>
      </c>
      <c r="F23" s="733">
        <f>'M2-PDOT'!L21</f>
        <v>153000</v>
      </c>
      <c r="G23" s="730">
        <f>'M-TECH-VARS'!$C$24</f>
        <v>0</v>
      </c>
      <c r="H23" s="774">
        <f>'M2-PDOT'!E21</f>
        <v>4.6570782668677018E-3</v>
      </c>
      <c r="I23" s="775">
        <f>'M2-PDOT'!I21</f>
        <v>1</v>
      </c>
      <c r="J23" s="776" t="str">
        <f>'M2-PDOT'!N21</f>
        <v>⚠️ PARCIAL</v>
      </c>
      <c r="K23" s="590"/>
      <c r="L23" s="777">
        <v>0</v>
      </c>
      <c r="M23" s="778">
        <v>0</v>
      </c>
      <c r="N23" s="733" t="e">
        <f>F23*'M-TECH-VARS'!$C$11</f>
        <v>#VALUE!</v>
      </c>
      <c r="O23" s="779" t="str">
        <f>IF(AND(M23=0,'M-TECH-VARS'!$C$10&gt;3),"ALERTA",IF('M-TECH-VARS'!$C$11=0,"N/D",M23/(G23*'M-TECH-VARS'!$C$11)))</f>
        <v>ALERTA</v>
      </c>
      <c r="P23" s="776" t="str">
        <f>IF(AND(M23=0,'M-TECH-VARS'!$C$10&gt;3),"🚨 NEGLIGENCIA OPERATIVA",IF(AND(L23=0,M23=0),"⬜ SIN DATOS",IF(AND(M23&gt;='M-TECH-VARS'!$C$11,L23&lt;=N23,L23&gt;0),"🔵 GESTIÓN EFICIENTE",IF(ISNUMBER(O23),IF(O23&gt;=0.85,"🔵 EXCELENTE (≥85%)",IF(O23&gt;=0.7,"🟢 SATISFACTORIO (70-84%)",IF(O23&gt;=0.4,"🟡 TRANSICIÓN CRÍTICA (40-69%)","🔴 RUPTURA (&lt;40%)"))),"⬜ SIN DATOS"))))</f>
        <v>🚨 NEGLIGENCIA OPERATIVA</v>
      </c>
      <c r="Q23" s="780">
        <f>IF('M2-PDOT'!G21=1,1,0)</f>
        <v>1</v>
      </c>
      <c r="R23" s="781">
        <f t="shared" si="0"/>
        <v>0</v>
      </c>
      <c r="S23" s="408"/>
      <c r="T23" s="194"/>
      <c r="U23" s="194"/>
      <c r="V23" s="194"/>
      <c r="W23" s="194"/>
      <c r="X23" s="194"/>
      <c r="Y23" s="194"/>
      <c r="Z23" s="236"/>
    </row>
    <row r="24" spans="1:26" ht="40.049999999999997" customHeight="1" x14ac:dyDescent="0.3">
      <c r="A24" s="765">
        <v>19</v>
      </c>
      <c r="B24" s="782" t="str">
        <f>'M2-PDOT'!B22</f>
        <v>PDOT.SC.OE2.M2.01</v>
      </c>
      <c r="C24" s="745" t="str">
        <f>'M2-PDOT'!D22</f>
        <v>Fortalecimiento para la reducción de indicadores territoriales del cantón Montecristi relacionados a</v>
      </c>
      <c r="D24" s="595" t="str">
        <f>'M2-PDOT'!C22</f>
        <v>Socio Cultural</v>
      </c>
      <c r="E24" s="595" t="str">
        <f>'M2-PDOT'!K22</f>
        <v>Dir. Planificación</v>
      </c>
      <c r="F24" s="728">
        <f>'M2-PDOT'!L22</f>
        <v>144000</v>
      </c>
      <c r="G24" s="725">
        <f>'M-TECH-VARS'!$C$24</f>
        <v>0</v>
      </c>
      <c r="H24" s="768">
        <f>'M2-PDOT'!E22</f>
        <v>4.3831324864637197E-3</v>
      </c>
      <c r="I24" s="769">
        <f>'M2-PDOT'!I22</f>
        <v>1</v>
      </c>
      <c r="J24" s="739" t="str">
        <f>'M2-PDOT'!N22</f>
        <v>⚠️ PARCIAL</v>
      </c>
      <c r="K24" s="595"/>
      <c r="L24" s="742">
        <v>0</v>
      </c>
      <c r="M24" s="770">
        <v>0</v>
      </c>
      <c r="N24" s="728" t="e">
        <f>F24*'M-TECH-VARS'!$C$11</f>
        <v>#VALUE!</v>
      </c>
      <c r="O24" s="771" t="str">
        <f>IF(AND(M24=0,'M-TECH-VARS'!$C$10&gt;3),"ALERTA",IF('M-TECH-VARS'!$C$11=0,"N/D",M24/(G24*'M-TECH-VARS'!$C$11)))</f>
        <v>ALERTA</v>
      </c>
      <c r="P24" s="739" t="str">
        <f>IF(AND(M24=0,'M-TECH-VARS'!$C$10&gt;3),"🚨 NEGLIGENCIA OPERATIVA",IF(AND(L24=0,M24=0),"⬜ SIN DATOS",IF(AND(M24&gt;='M-TECH-VARS'!$C$11,L24&lt;=N24,L24&gt;0),"🔵 GESTIÓN EFICIENTE",IF(ISNUMBER(O24),IF(O24&gt;=0.85,"🔵 EXCELENTE (≥85%)",IF(O24&gt;=0.7,"🟢 SATISFACTORIO (70-84%)",IF(O24&gt;=0.4,"🟡 TRANSICIÓN CRÍTICA (40-69%)","🔴 RUPTURA (&lt;40%)"))),"⬜ SIN DATOS"))))</f>
        <v>🚨 NEGLIGENCIA OPERATIVA</v>
      </c>
      <c r="Q24" s="772">
        <f>IF('M2-PDOT'!G22=1,1,0)</f>
        <v>1</v>
      </c>
      <c r="R24" s="773">
        <f t="shared" si="0"/>
        <v>0</v>
      </c>
      <c r="S24" s="404"/>
      <c r="T24" s="104"/>
      <c r="U24" s="104"/>
      <c r="V24" s="104"/>
      <c r="W24" s="104"/>
      <c r="X24" s="104"/>
      <c r="Y24" s="104"/>
      <c r="Z24" s="105"/>
    </row>
    <row r="25" spans="1:26" ht="40.049999999999997" customHeight="1" x14ac:dyDescent="0.3">
      <c r="A25" s="1510">
        <v>20</v>
      </c>
      <c r="B25" s="783" t="str">
        <f>'M2-PDOT'!B23</f>
        <v>PDOT.FA.OE2.MA.01</v>
      </c>
      <c r="C25" s="744">
        <f>'M2-PDOT'!D23</f>
        <v>0</v>
      </c>
      <c r="D25" s="590">
        <f>'M2-PDOT'!C23</f>
        <v>0</v>
      </c>
      <c r="E25" s="590">
        <f>'M2-PDOT'!K23</f>
        <v>0</v>
      </c>
      <c r="F25" s="733">
        <f>'M2-PDOT'!L23</f>
        <v>0</v>
      </c>
      <c r="G25" s="730">
        <f>'M-TECH-VARS'!$C$24</f>
        <v>0</v>
      </c>
      <c r="H25" s="774">
        <f>'M2-PDOT'!E23</f>
        <v>0</v>
      </c>
      <c r="I25" s="775">
        <f>'M2-PDOT'!I23</f>
        <v>0</v>
      </c>
      <c r="J25" s="776">
        <f>'M2-PDOT'!N23</f>
        <v>0</v>
      </c>
      <c r="K25" s="590"/>
      <c r="L25" s="777">
        <v>0</v>
      </c>
      <c r="M25" s="778">
        <v>0</v>
      </c>
      <c r="N25" s="733" t="e">
        <f>F25*'M-TECH-VARS'!$C$11</f>
        <v>#VALUE!</v>
      </c>
      <c r="O25" s="779" t="str">
        <f>IF(AND(M25=0,'M-TECH-VARS'!$C$10&gt;3),"ALERTA",IF('M-TECH-VARS'!$C$11=0,"N/D",M25/(G25*'M-TECH-VARS'!$C$11)))</f>
        <v>ALERTA</v>
      </c>
      <c r="P25" s="776" t="str">
        <f>IF(AND(M25=0,'M-TECH-VARS'!$C$10&gt;3),"🚨 NEGLIGENCIA OPERATIVA",IF(AND(L25=0,M25=0),"⬜ SIN DATOS",IF(AND(M25&gt;='M-TECH-VARS'!$C$11,L25&lt;=N25,L25&gt;0),"🔵 GESTIÓN EFICIENTE",IF(ISNUMBER(O25),IF(O25&gt;=0.85,"🔵 EXCELENTE (≥85%)",IF(O25&gt;=0.7,"🟢 SATISFACTORIO (70-84%)",IF(O25&gt;=0.4,"🟡 TRANSICIÓN CRÍTICA (40-69%)","🔴 RUPTURA (&lt;40%)"))),"⬜ SIN DATOS"))))</f>
        <v>🚨 NEGLIGENCIA OPERATIVA</v>
      </c>
      <c r="Q25" s="780">
        <f>IF('M2-PDOT'!G23=1,1,0)</f>
        <v>0</v>
      </c>
      <c r="R25" s="781">
        <f t="shared" si="0"/>
        <v>0</v>
      </c>
      <c r="S25" s="408"/>
      <c r="T25" s="194"/>
      <c r="U25" s="194"/>
      <c r="V25" s="194"/>
      <c r="W25" s="194"/>
      <c r="X25" s="194"/>
      <c r="Y25" s="194"/>
      <c r="Z25" s="236"/>
    </row>
    <row r="26" spans="1:26" ht="25.95" customHeight="1" thickBot="1" x14ac:dyDescent="0.35">
      <c r="A26" s="1524" t="s">
        <v>656</v>
      </c>
      <c r="B26" s="1900" t="s">
        <v>3896</v>
      </c>
      <c r="C26" s="1901"/>
      <c r="D26" s="1901"/>
      <c r="E26" s="1901"/>
      <c r="F26" s="1901"/>
      <c r="G26" s="1901"/>
      <c r="H26" s="1901"/>
      <c r="I26" s="1901"/>
      <c r="J26" s="1901"/>
      <c r="K26" s="1901"/>
      <c r="L26" s="1901"/>
      <c r="M26" s="1901"/>
      <c r="N26" s="1901"/>
      <c r="O26" s="1901"/>
      <c r="P26" s="1901"/>
      <c r="Q26" s="1901"/>
      <c r="R26" s="1902"/>
      <c r="S26" s="404"/>
      <c r="T26" s="104"/>
      <c r="U26" s="104"/>
      <c r="V26" s="104"/>
      <c r="W26" s="104"/>
      <c r="X26" s="104"/>
      <c r="Y26" s="104"/>
      <c r="Z26" s="105"/>
    </row>
    <row r="27" spans="1:26" ht="28.05" customHeight="1" thickTop="1" x14ac:dyDescent="0.3">
      <c r="A27" s="1896"/>
      <c r="B27" s="1897"/>
      <c r="C27" s="1897"/>
      <c r="D27" s="1897"/>
      <c r="E27" s="1897"/>
      <c r="F27" s="1897"/>
      <c r="G27" s="1897"/>
      <c r="H27" s="1897"/>
      <c r="I27" s="1897"/>
      <c r="J27" s="1897"/>
      <c r="K27" s="1897"/>
      <c r="L27" s="1897"/>
      <c r="M27" s="1897"/>
      <c r="N27" s="1897"/>
      <c r="O27" s="1897"/>
      <c r="P27" s="1897"/>
      <c r="Q27" s="580"/>
      <c r="R27" s="580"/>
      <c r="S27" s="194"/>
      <c r="T27" s="194"/>
      <c r="U27" s="194"/>
      <c r="V27" s="194"/>
      <c r="W27" s="194"/>
      <c r="X27" s="194"/>
      <c r="Y27" s="194"/>
      <c r="Z27" s="236"/>
    </row>
    <row r="28" spans="1:26" ht="22.05" customHeight="1" x14ac:dyDescent="0.3">
      <c r="A28" s="1946" t="s">
        <v>3903</v>
      </c>
      <c r="B28" s="1716"/>
      <c r="C28" s="1716"/>
      <c r="D28" s="1716"/>
      <c r="E28" s="1716"/>
      <c r="F28" s="1716"/>
      <c r="G28" s="1716"/>
      <c r="H28" s="1716"/>
      <c r="I28" s="1716"/>
      <c r="J28" s="1716"/>
      <c r="K28" s="1716"/>
      <c r="L28" s="1716"/>
      <c r="M28" s="1716"/>
      <c r="N28" s="1716"/>
      <c r="O28" s="1716"/>
      <c r="P28" s="1716"/>
      <c r="Q28" s="1716"/>
      <c r="R28" s="1903"/>
      <c r="S28" s="104"/>
      <c r="T28" s="104"/>
      <c r="U28" s="104"/>
      <c r="V28" s="104"/>
      <c r="W28" s="104"/>
      <c r="X28" s="104"/>
      <c r="Y28" s="104"/>
      <c r="Z28" s="105"/>
    </row>
    <row r="29" spans="1:26" ht="25.95" customHeight="1" x14ac:dyDescent="0.3">
      <c r="A29" s="1884" t="s">
        <v>3904</v>
      </c>
      <c r="B29" s="1885"/>
      <c r="C29" s="1885"/>
      <c r="D29" s="1885"/>
      <c r="E29" s="1885"/>
      <c r="F29" s="1885"/>
      <c r="G29" s="1885"/>
      <c r="H29" s="1885"/>
      <c r="I29" s="1885"/>
      <c r="J29" s="1885"/>
      <c r="K29" s="1885"/>
      <c r="L29" s="1885"/>
      <c r="M29" s="1885"/>
      <c r="N29" s="1885"/>
      <c r="O29" s="1885"/>
      <c r="P29" s="1885"/>
      <c r="Q29" s="1885"/>
      <c r="R29" s="1886"/>
      <c r="S29" s="194"/>
      <c r="T29" s="194"/>
      <c r="U29" s="194"/>
      <c r="V29" s="194"/>
      <c r="W29" s="194"/>
      <c r="X29" s="194"/>
      <c r="Y29" s="194"/>
      <c r="Z29" s="236"/>
    </row>
    <row r="30" spans="1:26" ht="25.95" customHeight="1" x14ac:dyDescent="0.3">
      <c r="A30" s="1525" t="s">
        <v>3905</v>
      </c>
      <c r="B30" s="476"/>
      <c r="C30" s="477" t="s">
        <v>3906</v>
      </c>
      <c r="D30" s="477"/>
      <c r="E30" s="477" t="s">
        <v>4039</v>
      </c>
      <c r="F30" s="477"/>
      <c r="G30" s="477"/>
      <c r="H30" s="477" t="s">
        <v>3907</v>
      </c>
      <c r="I30" s="477"/>
      <c r="J30" s="477"/>
      <c r="K30" s="476" t="s">
        <v>3908</v>
      </c>
      <c r="L30" s="477"/>
      <c r="M30" s="477"/>
      <c r="N30" s="477"/>
      <c r="O30" s="477"/>
      <c r="P30" s="477"/>
      <c r="Q30" s="477"/>
      <c r="R30" s="477"/>
      <c r="S30" s="104"/>
      <c r="T30" s="104"/>
      <c r="U30" s="104"/>
      <c r="V30" s="104"/>
      <c r="W30" s="104"/>
      <c r="X30" s="104"/>
      <c r="Y30" s="104"/>
      <c r="Z30" s="105"/>
    </row>
    <row r="31" spans="1:26" ht="25.95" customHeight="1" x14ac:dyDescent="0.3">
      <c r="A31" s="1526" t="s">
        <v>3909</v>
      </c>
      <c r="B31" s="478"/>
      <c r="C31" s="479" t="s">
        <v>3910</v>
      </c>
      <c r="D31" s="479"/>
      <c r="E31" s="479" t="s">
        <v>3911</v>
      </c>
      <c r="F31" s="479"/>
      <c r="G31" s="479"/>
      <c r="H31" s="479" t="s">
        <v>3912</v>
      </c>
      <c r="I31" s="479"/>
      <c r="J31" s="479"/>
      <c r="K31" s="479" t="s">
        <v>3913</v>
      </c>
      <c r="L31" s="479"/>
      <c r="M31" s="479"/>
      <c r="N31" s="479"/>
      <c r="O31" s="479"/>
      <c r="P31" s="479"/>
      <c r="Q31" s="479"/>
      <c r="R31" s="479"/>
      <c r="S31" s="194"/>
      <c r="T31" s="194"/>
      <c r="U31" s="194"/>
      <c r="V31" s="194"/>
      <c r="W31" s="194"/>
      <c r="X31" s="194"/>
      <c r="Y31" s="194"/>
      <c r="Z31" s="236"/>
    </row>
    <row r="32" spans="1:26" ht="25.95" customHeight="1" x14ac:dyDescent="0.3">
      <c r="A32" s="1525" t="s">
        <v>3914</v>
      </c>
      <c r="B32" s="476"/>
      <c r="C32" s="477" t="s">
        <v>3915</v>
      </c>
      <c r="D32" s="477"/>
      <c r="E32" s="477" t="s">
        <v>3916</v>
      </c>
      <c r="F32" s="477"/>
      <c r="G32" s="477"/>
      <c r="H32" s="477" t="s">
        <v>3917</v>
      </c>
      <c r="I32" s="477"/>
      <c r="J32" s="477"/>
      <c r="K32" s="476" t="s">
        <v>422</v>
      </c>
      <c r="L32" s="477"/>
      <c r="M32" s="477"/>
      <c r="N32" s="477"/>
      <c r="O32" s="477"/>
      <c r="P32" s="477"/>
      <c r="Q32" s="477"/>
      <c r="R32" s="477"/>
      <c r="S32" s="104"/>
      <c r="T32" s="104"/>
      <c r="U32" s="104"/>
      <c r="V32" s="104"/>
      <c r="W32" s="104"/>
      <c r="X32" s="104"/>
      <c r="Y32" s="104"/>
      <c r="Z32" s="105"/>
    </row>
    <row r="33" spans="1:26" ht="25.95" customHeight="1" x14ac:dyDescent="0.3">
      <c r="A33" s="1526" t="s">
        <v>3918</v>
      </c>
      <c r="B33" s="478"/>
      <c r="C33" s="479" t="s">
        <v>3919</v>
      </c>
      <c r="D33" s="479"/>
      <c r="E33" s="479" t="s">
        <v>3920</v>
      </c>
      <c r="F33" s="479"/>
      <c r="G33" s="479"/>
      <c r="H33" s="479" t="s">
        <v>3921</v>
      </c>
      <c r="I33" s="479"/>
      <c r="J33" s="479"/>
      <c r="K33" s="479" t="s">
        <v>3922</v>
      </c>
      <c r="L33" s="479"/>
      <c r="M33" s="479"/>
      <c r="N33" s="479"/>
      <c r="O33" s="479"/>
      <c r="P33" s="479"/>
      <c r="Q33" s="479"/>
      <c r="R33" s="479"/>
      <c r="S33" s="194"/>
      <c r="T33" s="194"/>
      <c r="U33" s="194"/>
      <c r="V33" s="194"/>
      <c r="W33" s="194"/>
      <c r="X33" s="194"/>
      <c r="Y33" s="194"/>
      <c r="Z33" s="236"/>
    </row>
    <row r="34" spans="1:26" ht="25.95" customHeight="1" x14ac:dyDescent="0.3">
      <c r="A34" s="1525" t="s">
        <v>3923</v>
      </c>
      <c r="B34" s="476"/>
      <c r="C34" s="477" t="s">
        <v>3924</v>
      </c>
      <c r="D34" s="477"/>
      <c r="E34" s="477" t="s">
        <v>3925</v>
      </c>
      <c r="F34" s="477"/>
      <c r="G34" s="477"/>
      <c r="H34" s="477" t="s">
        <v>3926</v>
      </c>
      <c r="I34" s="477"/>
      <c r="J34" s="477"/>
      <c r="K34" s="477" t="s">
        <v>429</v>
      </c>
      <c r="L34" s="477"/>
      <c r="M34" s="477"/>
      <c r="N34" s="477"/>
      <c r="O34" s="477"/>
      <c r="P34" s="477"/>
      <c r="Q34" s="477"/>
      <c r="R34" s="477"/>
      <c r="S34" s="104"/>
      <c r="T34" s="104"/>
      <c r="U34" s="104"/>
      <c r="V34" s="104"/>
      <c r="W34" s="104"/>
      <c r="X34" s="104"/>
      <c r="Y34" s="104"/>
      <c r="Z34" s="105"/>
    </row>
    <row r="35" spans="1:26" ht="25.95" customHeight="1" x14ac:dyDescent="0.3">
      <c r="A35" s="1526" t="s">
        <v>3927</v>
      </c>
      <c r="B35" s="478"/>
      <c r="C35" s="479" t="s">
        <v>3928</v>
      </c>
      <c r="D35" s="479"/>
      <c r="E35" s="479" t="s">
        <v>3929</v>
      </c>
      <c r="F35" s="479"/>
      <c r="G35" s="479"/>
      <c r="H35" s="479" t="s">
        <v>3930</v>
      </c>
      <c r="I35" s="479"/>
      <c r="J35" s="479"/>
      <c r="K35" s="478" t="s">
        <v>3931</v>
      </c>
      <c r="L35" s="479"/>
      <c r="M35" s="479"/>
      <c r="N35" s="479"/>
      <c r="O35" s="479"/>
      <c r="P35" s="479"/>
      <c r="Q35" s="479"/>
      <c r="R35" s="479"/>
      <c r="S35" s="194"/>
      <c r="T35" s="194"/>
      <c r="U35" s="194"/>
      <c r="V35" s="194"/>
      <c r="W35" s="194"/>
      <c r="X35" s="194"/>
      <c r="Y35" s="194"/>
      <c r="Z35" s="236"/>
    </row>
    <row r="36" spans="1:26" ht="25.95" customHeight="1" x14ac:dyDescent="0.3">
      <c r="A36" s="1525" t="s">
        <v>3932</v>
      </c>
      <c r="B36" s="476"/>
      <c r="C36" s="477" t="s">
        <v>3933</v>
      </c>
      <c r="D36" s="477"/>
      <c r="E36" s="477" t="s">
        <v>1613</v>
      </c>
      <c r="F36" s="477"/>
      <c r="G36" s="477"/>
      <c r="H36" s="477" t="s">
        <v>3934</v>
      </c>
      <c r="I36" s="477"/>
      <c r="J36" s="477"/>
      <c r="K36" s="477" t="s">
        <v>3935</v>
      </c>
      <c r="L36" s="477"/>
      <c r="M36" s="477"/>
      <c r="N36" s="477"/>
      <c r="O36" s="477"/>
      <c r="P36" s="477"/>
      <c r="Q36" s="477"/>
      <c r="R36" s="477"/>
      <c r="S36" s="104"/>
      <c r="T36" s="104"/>
      <c r="U36" s="104"/>
      <c r="V36" s="104"/>
      <c r="W36" s="104"/>
      <c r="X36" s="104"/>
      <c r="Y36" s="104"/>
      <c r="Z36" s="105"/>
    </row>
    <row r="37" spans="1:26" ht="70.05" customHeight="1" x14ac:dyDescent="0.3">
      <c r="A37" s="1947" t="s">
        <v>4040</v>
      </c>
      <c r="B37" s="1887"/>
      <c r="C37" s="1887"/>
      <c r="D37" s="1887"/>
      <c r="E37" s="1887"/>
      <c r="F37" s="1887"/>
      <c r="G37" s="1887"/>
      <c r="H37" s="1887"/>
      <c r="I37" s="1887"/>
      <c r="J37" s="1887"/>
      <c r="K37" s="1887"/>
      <c r="L37" s="1887"/>
      <c r="M37" s="1887"/>
      <c r="N37" s="1887"/>
      <c r="O37" s="1887"/>
      <c r="P37" s="1887"/>
      <c r="Q37" s="1887"/>
      <c r="R37" s="1888"/>
      <c r="S37" s="194"/>
      <c r="T37" s="194"/>
      <c r="U37" s="194"/>
      <c r="V37" s="194"/>
      <c r="W37" s="194"/>
      <c r="X37" s="194"/>
      <c r="Y37" s="194"/>
      <c r="Z37" s="236"/>
    </row>
    <row r="38" spans="1:26" ht="28.05" customHeight="1" x14ac:dyDescent="0.3">
      <c r="A38" s="480"/>
      <c r="B38" s="477"/>
      <c r="C38" s="477"/>
      <c r="D38" s="477"/>
      <c r="E38" s="477"/>
      <c r="F38" s="477"/>
      <c r="G38" s="477"/>
      <c r="H38" s="477"/>
      <c r="I38" s="477"/>
      <c r="J38" s="477"/>
      <c r="K38" s="477"/>
      <c r="L38" s="477"/>
      <c r="M38" s="477"/>
      <c r="N38" s="477"/>
      <c r="O38" s="477"/>
      <c r="P38" s="477"/>
      <c r="Q38" s="477"/>
      <c r="R38" s="477"/>
      <c r="S38" s="104"/>
      <c r="T38" s="104"/>
      <c r="U38" s="104"/>
      <c r="V38" s="104"/>
      <c r="W38" s="104"/>
      <c r="X38" s="104"/>
      <c r="Y38" s="104"/>
      <c r="Z38" s="105"/>
    </row>
    <row r="39" spans="1:26" ht="22.05" customHeight="1" x14ac:dyDescent="0.3">
      <c r="A39" s="1948" t="s">
        <v>3937</v>
      </c>
      <c r="B39" s="1889"/>
      <c r="C39" s="1889"/>
      <c r="D39" s="1889"/>
      <c r="E39" s="1889"/>
      <c r="F39" s="1889"/>
      <c r="G39" s="1889"/>
      <c r="H39" s="1889"/>
      <c r="I39" s="1889"/>
      <c r="J39" s="1889"/>
      <c r="K39" s="1889"/>
      <c r="L39" s="1889"/>
      <c r="M39" s="1889"/>
      <c r="N39" s="1889"/>
      <c r="O39" s="1889"/>
      <c r="P39" s="1889"/>
      <c r="Q39" s="1889"/>
      <c r="R39" s="1890"/>
      <c r="S39" s="194"/>
      <c r="T39" s="194"/>
      <c r="U39" s="194"/>
      <c r="V39" s="194"/>
      <c r="W39" s="194"/>
      <c r="X39" s="194"/>
      <c r="Y39" s="194"/>
      <c r="Z39" s="236"/>
    </row>
    <row r="40" spans="1:26" ht="22.05" customHeight="1" x14ac:dyDescent="0.3">
      <c r="A40" s="1891" t="e">
        <f>"Sincronizado con ICPI Global: "&amp;TEXT('M-TECH-VARS'!C28,"0.00")&amp;"% · COOTAD Art.306 (autonomía Patronato) · LOTAIP Art.7 (transparencia activa) · LOSEP Art.78 (méritos) · Mes Evaluación: "&amp;CHOOSE('M-TECH-VARS'!C10,"Enero","Febrero","Marzo","Abril","Mayo","Junio","Julio","Agosto","Septiembre","Octubre","Noviembre","Diciembre")&amp;" 2025 (Mes "&amp;'M-TECH-VARS'!C10&amp;")"</f>
        <v>#VALUE!</v>
      </c>
      <c r="B40" s="1892"/>
      <c r="C40" s="1892"/>
      <c r="D40" s="1892"/>
      <c r="E40" s="1892"/>
      <c r="F40" s="1892"/>
      <c r="G40" s="1892"/>
      <c r="H40" s="1892"/>
      <c r="I40" s="1892"/>
      <c r="J40" s="1892"/>
      <c r="K40" s="1892"/>
      <c r="L40" s="1892"/>
      <c r="M40" s="1892"/>
      <c r="N40" s="1892"/>
      <c r="O40" s="1892"/>
      <c r="P40" s="1892"/>
      <c r="Q40" s="1892"/>
      <c r="R40" s="1893"/>
      <c r="S40" s="104"/>
      <c r="T40" s="104"/>
      <c r="U40" s="104"/>
      <c r="V40" s="104"/>
      <c r="W40" s="104"/>
      <c r="X40" s="104"/>
      <c r="Y40" s="104"/>
      <c r="Z40" s="105"/>
    </row>
    <row r="41" spans="1:26" ht="28.05" customHeight="1" x14ac:dyDescent="0.3">
      <c r="A41" s="481" t="s">
        <v>3938</v>
      </c>
      <c r="B41" s="483" t="s">
        <v>3939</v>
      </c>
      <c r="C41" s="479"/>
      <c r="D41" s="479"/>
      <c r="E41" s="479"/>
      <c r="F41" s="484" t="s">
        <v>3940</v>
      </c>
      <c r="G41" s="483" t="s">
        <v>3941</v>
      </c>
      <c r="H41" s="479"/>
      <c r="I41" s="479"/>
      <c r="J41" s="479"/>
      <c r="K41" s="484" t="s">
        <v>3942</v>
      </c>
      <c r="L41" s="483" t="s">
        <v>3943</v>
      </c>
      <c r="M41" s="479"/>
      <c r="N41" s="479"/>
      <c r="O41" s="479"/>
      <c r="P41" s="484" t="s">
        <v>3944</v>
      </c>
      <c r="Q41" s="485" t="s">
        <v>3945</v>
      </c>
      <c r="R41" s="479"/>
      <c r="S41" s="194"/>
      <c r="T41" s="194"/>
      <c r="U41" s="194"/>
      <c r="V41" s="194"/>
      <c r="W41" s="194"/>
      <c r="X41" s="194"/>
      <c r="Y41" s="194"/>
      <c r="Z41" s="236"/>
    </row>
    <row r="42" spans="1:26" ht="28.05" customHeight="1" x14ac:dyDescent="0.3">
      <c r="A42" s="487" t="s">
        <v>3946</v>
      </c>
      <c r="B42" s="486" t="s">
        <v>662</v>
      </c>
      <c r="C42" s="486" t="s">
        <v>3947</v>
      </c>
      <c r="D42" s="486" t="s">
        <v>3948</v>
      </c>
      <c r="E42" s="477"/>
      <c r="F42" s="486" t="s">
        <v>3949</v>
      </c>
      <c r="G42" s="486" t="s">
        <v>658</v>
      </c>
      <c r="H42" s="486" t="s">
        <v>3950</v>
      </c>
      <c r="I42" s="486" t="s">
        <v>669</v>
      </c>
      <c r="J42" s="486" t="s">
        <v>3951</v>
      </c>
      <c r="K42" s="486" t="s">
        <v>3952</v>
      </c>
      <c r="L42" s="486" t="s">
        <v>3953</v>
      </c>
      <c r="M42" s="486" t="s">
        <v>3954</v>
      </c>
      <c r="N42" s="486" t="s">
        <v>3955</v>
      </c>
      <c r="O42" s="477"/>
      <c r="P42" s="486" t="s">
        <v>9</v>
      </c>
      <c r="Q42" s="486" t="s">
        <v>30</v>
      </c>
      <c r="R42" s="486" t="s">
        <v>3956</v>
      </c>
      <c r="S42" s="104"/>
      <c r="T42" s="104"/>
      <c r="U42" s="104"/>
      <c r="V42" s="104"/>
      <c r="W42" s="104"/>
      <c r="X42" s="104"/>
      <c r="Y42" s="104"/>
      <c r="Z42" s="105"/>
    </row>
    <row r="43" spans="1:26" ht="28.05" customHeight="1" x14ac:dyDescent="0.3">
      <c r="A43" s="1527">
        <f>IFERROR(MATCH(MAX(R6:R25),R6:R25,0),"N/D")</f>
        <v>1</v>
      </c>
      <c r="B43" s="484" t="str">
        <f>IFERROR(INDEX(B6:B25,MATCH(MAX(R6:R25),R6:R25,0)),"Sin datos - ingrese ejecución real")</f>
        <v>PDOT.AS.VL.M1.01</v>
      </c>
      <c r="C43" s="488" t="str">
        <f>IFERROR(INDEX(C6:C25,MATCH(MAX(R6:R25),R6:R25,0)),"Sin datos - ingrese ejecución real")</f>
        <v>Mantenimiento de vías urbanas para el acceso de los barrios del cantón</v>
      </c>
      <c r="D43" s="489" t="str">
        <f>IFERROR(IF(MAX(R6:R25)=0,"Sin datos",MAX(R6:R25)),"N/D")</f>
        <v>Sin datos</v>
      </c>
      <c r="E43" s="479"/>
      <c r="F43" s="484" t="str">
        <f>IFERROR(INDEX(E6:E25,MATCH(MAX(R6:R25),R6:R25,0)),"Sin datos")</f>
        <v>Dir. Obras Públicas</v>
      </c>
      <c r="G43" s="484" t="str">
        <f>IFERROR(INDEX(D6:D25,MATCH(MAX(R6:R25),R6:R25,0)),"N/D")</f>
        <v>Asentamientos Humanos</v>
      </c>
      <c r="H43" s="490" t="str">
        <f>IFERROR(INDEX(O6:O25,MATCH(MAX(R6:R25),R6:R25,0)),"N/D")</f>
        <v>ALERTA</v>
      </c>
      <c r="I43" s="491">
        <f>IFERROR(INDEX(I6:I25,MATCH(MAX(R6:R25),R6:R25,0)),"N/D")</f>
        <v>1</v>
      </c>
      <c r="J43" s="489" t="str">
        <f>IFERROR(IF(MAX(R6:R25)=0,"Sin datos",MAX(R6:R25)),"N/D")</f>
        <v>Sin datos</v>
      </c>
      <c r="K43" s="492">
        <f>IFERROR(INDEX(Q6:Q25,MATCH(MAX(R6:R25),R6:R25,0)),"N/D")</f>
        <v>1</v>
      </c>
      <c r="L43" s="493">
        <f>COUNTIF(Q6:Q25,1)</f>
        <v>14</v>
      </c>
      <c r="M43" s="493">
        <f>COUNTIF(Q6:Q25,0)</f>
        <v>6</v>
      </c>
      <c r="N43" s="494">
        <f>IFERROR(COUNTIF(Q6:Q25,1)/COUNT(Q6:Q25),0)</f>
        <v>0.7</v>
      </c>
      <c r="O43" s="479"/>
      <c r="P43" s="495">
        <f>'M-TECH-VARS'!C28</f>
        <v>0</v>
      </c>
      <c r="Q43" s="484">
        <f>'M-TECH-VARS'!C29</f>
        <v>0</v>
      </c>
      <c r="R43" s="484" t="s">
        <v>3957</v>
      </c>
      <c r="S43" s="194"/>
      <c r="T43" s="194"/>
      <c r="U43" s="194"/>
      <c r="V43" s="194"/>
      <c r="W43" s="194"/>
      <c r="X43" s="194"/>
      <c r="Y43" s="194"/>
      <c r="Z43" s="236"/>
    </row>
    <row r="44" spans="1:26" ht="28.05" customHeight="1" x14ac:dyDescent="0.3">
      <c r="A44" s="482" t="s">
        <v>3958</v>
      </c>
      <c r="B44" s="477"/>
      <c r="C44" s="477"/>
      <c r="D44" s="477"/>
      <c r="E44" s="477"/>
      <c r="F44" s="477"/>
      <c r="G44" s="477"/>
      <c r="H44" s="477"/>
      <c r="I44" s="477"/>
      <c r="J44" s="477"/>
      <c r="K44" s="477"/>
      <c r="L44" s="477"/>
      <c r="M44" s="477"/>
      <c r="N44" s="477"/>
      <c r="O44" s="477"/>
      <c r="P44" s="477"/>
      <c r="Q44" s="477"/>
      <c r="R44" s="477"/>
      <c r="S44" s="104"/>
      <c r="T44" s="104"/>
      <c r="U44" s="104"/>
      <c r="V44" s="104"/>
      <c r="W44" s="104"/>
      <c r="X44" s="104"/>
      <c r="Y44" s="104"/>
      <c r="Z44" s="105"/>
    </row>
    <row r="45" spans="1:26" ht="28.05" customHeight="1" x14ac:dyDescent="0.3">
      <c r="A45" s="1949" t="s">
        <v>3959</v>
      </c>
      <c r="B45" s="479"/>
      <c r="C45" s="479"/>
      <c r="D45" s="479"/>
      <c r="E45" s="479"/>
      <c r="F45" s="479"/>
      <c r="G45" s="479"/>
      <c r="H45" s="479"/>
      <c r="I45" s="479"/>
      <c r="J45" s="479"/>
      <c r="K45" s="479"/>
      <c r="L45" s="479"/>
      <c r="M45" s="479"/>
      <c r="N45" s="479"/>
      <c r="O45" s="479"/>
      <c r="P45" s="479"/>
      <c r="Q45" s="479"/>
      <c r="R45" s="479"/>
      <c r="S45" s="194"/>
      <c r="T45" s="194"/>
      <c r="U45" s="194"/>
      <c r="V45" s="194"/>
      <c r="W45" s="194"/>
      <c r="X45" s="194"/>
      <c r="Y45" s="194"/>
      <c r="Z45" s="236"/>
    </row>
    <row r="46" spans="1:26" ht="28.05" customHeight="1" x14ac:dyDescent="0.3">
      <c r="A46" s="487"/>
      <c r="B46" s="477"/>
      <c r="C46" s="477"/>
      <c r="D46" s="477"/>
      <c r="E46" s="477"/>
      <c r="F46" s="477"/>
      <c r="G46" s="477"/>
      <c r="H46" s="477"/>
      <c r="I46" s="477"/>
      <c r="J46" s="477"/>
      <c r="K46" s="477"/>
      <c r="L46" s="477"/>
      <c r="M46" s="477"/>
      <c r="N46" s="477"/>
      <c r="O46" s="477"/>
      <c r="P46" s="477"/>
      <c r="Q46" s="477"/>
      <c r="R46" s="477"/>
      <c r="S46" s="104"/>
      <c r="T46" s="104"/>
      <c r="U46" s="104"/>
      <c r="V46" s="104"/>
      <c r="W46" s="104"/>
      <c r="X46" s="104"/>
      <c r="Y46" s="104"/>
      <c r="Z46" s="105"/>
    </row>
    <row r="47" spans="1:26" ht="31.95" customHeight="1" x14ac:dyDescent="0.3">
      <c r="A47" s="481" t="s">
        <v>3960</v>
      </c>
      <c r="B47" s="330" t="s">
        <v>662</v>
      </c>
      <c r="C47" s="330" t="s">
        <v>664</v>
      </c>
      <c r="D47" s="330" t="s">
        <v>671</v>
      </c>
      <c r="E47" s="330" t="s">
        <v>663</v>
      </c>
      <c r="F47" s="330" t="s">
        <v>3950</v>
      </c>
      <c r="G47" s="330" t="s">
        <v>669</v>
      </c>
      <c r="H47" s="1528" t="s">
        <v>3961</v>
      </c>
      <c r="I47" s="1529" t="s">
        <v>3952</v>
      </c>
      <c r="J47" s="330" t="s">
        <v>30</v>
      </c>
      <c r="K47" s="104"/>
      <c r="L47" s="104"/>
      <c r="M47" s="104"/>
      <c r="N47" s="104"/>
      <c r="O47" s="104"/>
      <c r="P47" s="104"/>
      <c r="Q47" s="104"/>
      <c r="R47" s="104"/>
      <c r="S47" s="194"/>
      <c r="T47" s="194"/>
      <c r="U47" s="194"/>
      <c r="V47" s="194"/>
      <c r="W47" s="194"/>
      <c r="X47" s="194"/>
      <c r="Y47" s="194"/>
      <c r="Z47" s="236"/>
    </row>
    <row r="48" spans="1:26" ht="31.95" customHeight="1" x14ac:dyDescent="0.3">
      <c r="A48" s="487" t="s">
        <v>86</v>
      </c>
      <c r="B48" s="1530" t="str">
        <f>IFERROR(INDEX(B$6:B$25,MATCH(LARGE(R$6:R$25,1),R$6:R$25,0)),"N/D")</f>
        <v>PDOT.AS.VL.M1.01</v>
      </c>
      <c r="C48" s="1531" t="str">
        <f>IFERROR(INDEX(C$6:C$25,MATCH(LARGE(R$6:R$25,1),R$6:R$25,0)),"Sin datos - ingrese ejecución")</f>
        <v>Mantenimiento de vías urbanas para el acceso de los barrios del cantón</v>
      </c>
      <c r="D48" s="1530" t="str">
        <f>IFERROR(INDEX(E$6:E$25,MATCH(LARGE(R$6:R$25,1),R$6:R$25,0)),"N/D")</f>
        <v>Dir. Obras Públicas</v>
      </c>
      <c r="E48" s="1530" t="str">
        <f>IFERROR(INDEX(D$6:D$25,MATCH(LARGE(R$6:R$25,1),R$6:R$25,0)),"N/D")</f>
        <v>Asentamientos Humanos</v>
      </c>
      <c r="F48" s="329" t="str">
        <f>IFERROR(INDEX(O$6:O$25,MATCH(LARGE(R$6:R$25,1),R$6:R$25,0)),0)</f>
        <v>ALERTA</v>
      </c>
      <c r="G48" s="1532">
        <f>IFERROR(INDEX(I$6:I$25,MATCH(LARGE(R$6:R$25,1),R$6:R$25,0)),0)</f>
        <v>1</v>
      </c>
      <c r="H48" s="1533">
        <f>IFERROR(LARGE(R$6:R$25,1),0)</f>
        <v>0</v>
      </c>
      <c r="I48" s="62">
        <f>IFERROR(INDEX(Q$6:Q$25,MATCH(LARGE(R$6:R$25,1),R$6:R$25,0)),0)</f>
        <v>1</v>
      </c>
      <c r="J48" s="474" t="str">
        <f>IFERROR(INDEX(P$6:P$25,MATCH(LARGE(R$6:R$25,1),R$6:R$25,0)),"N/D")</f>
        <v>🚨 NEGLIGENCIA OPERATIVA</v>
      </c>
      <c r="K48" s="194"/>
      <c r="L48" s="194"/>
      <c r="M48" s="194"/>
      <c r="N48" s="194"/>
      <c r="O48" s="194"/>
      <c r="P48" s="194"/>
      <c r="Q48" s="194"/>
      <c r="R48" s="194"/>
      <c r="S48" s="104"/>
      <c r="T48" s="104"/>
      <c r="U48" s="104"/>
      <c r="V48" s="104"/>
      <c r="W48" s="104"/>
      <c r="X48" s="104"/>
      <c r="Y48" s="104"/>
      <c r="Z48" s="105"/>
    </row>
    <row r="49" spans="1:26" ht="31.95" customHeight="1" x14ac:dyDescent="0.3">
      <c r="A49" s="481" t="s">
        <v>88</v>
      </c>
      <c r="B49" s="1534" t="str">
        <f>IFERROR(INDEX(B$6:B$25,MATCH(LARGE(R$6:R$25,2),R$6:R$25,0)),"N/D")</f>
        <v>PDOT.AS.VL.M1.01</v>
      </c>
      <c r="C49" s="1535" t="str">
        <f>IFERROR(INDEX(C$6:C$25,MATCH(LARGE(R$6:R$25,2),R$6:R$25,0)),"Sin datos")</f>
        <v>Mantenimiento de vías urbanas para el acceso de los barrios del cantón</v>
      </c>
      <c r="D49" s="1534" t="str">
        <f>IFERROR(INDEX(E$6:E$25,MATCH(LARGE(R$6:R$25,2),R$6:R$25,0)),"N/D")</f>
        <v>Dir. Obras Públicas</v>
      </c>
      <c r="E49" s="1534" t="str">
        <f>IFERROR(INDEX(D$6:D$25,MATCH(LARGE(R$6:R$25,2),R$6:R$25,0)),"N/D")</f>
        <v>Asentamientos Humanos</v>
      </c>
      <c r="F49" s="1536" t="str">
        <f>IFERROR(INDEX(O$6:O$25,MATCH(LARGE(R$6:R$25,2),R$6:R$25,0)),0)</f>
        <v>ALERTA</v>
      </c>
      <c r="G49" s="1537">
        <f>IFERROR(INDEX(I$6:I$25,MATCH(LARGE(R$6:R$25,2),R$6:R$25,0)),0)</f>
        <v>1</v>
      </c>
      <c r="H49" s="1538">
        <f>IFERROR(LARGE(R$6:R$25,2),0)</f>
        <v>0</v>
      </c>
      <c r="I49" s="63">
        <f>IFERROR(INDEX(Q$6:Q$25,MATCH(LARGE(R$6:R$25,2),R$6:R$25,0)),0)</f>
        <v>1</v>
      </c>
      <c r="J49" s="475" t="str">
        <f>IFERROR(INDEX(P$6:P$25,MATCH(LARGE(R$6:R$25,2),R$6:R$25,0)),"N/D")</f>
        <v>🚨 NEGLIGENCIA OPERATIVA</v>
      </c>
      <c r="K49" s="104"/>
      <c r="L49" s="104"/>
      <c r="M49" s="104"/>
      <c r="N49" s="104"/>
      <c r="O49" s="104"/>
      <c r="P49" s="104"/>
      <c r="Q49" s="104"/>
      <c r="R49" s="104"/>
      <c r="S49" s="194"/>
      <c r="T49" s="194"/>
      <c r="U49" s="194"/>
      <c r="V49" s="194"/>
      <c r="W49" s="194"/>
      <c r="X49" s="194"/>
      <c r="Y49" s="194"/>
      <c r="Z49" s="236"/>
    </row>
    <row r="50" spans="1:26" ht="31.95" customHeight="1" x14ac:dyDescent="0.3">
      <c r="A50" s="487" t="s">
        <v>90</v>
      </c>
      <c r="B50" s="1539" t="str">
        <f>IFERROR(INDEX(B$6:B$25,MATCH(LARGE(R$6:R$25,3),R$6:R$25,0)),"N/D")</f>
        <v>PDOT.AS.VL.M1.01</v>
      </c>
      <c r="C50" s="1540" t="str">
        <f>IFERROR(INDEX(C$6:C$25,MATCH(LARGE(R$6:R$25,3),R$6:R$25,0)),"Sin datos")</f>
        <v>Mantenimiento de vías urbanas para el acceso de los barrios del cantón</v>
      </c>
      <c r="D50" s="1539" t="str">
        <f>IFERROR(INDEX(E$6:E$25,MATCH(LARGE(R$6:R$25,3),R$6:R$25,0)),"N/D")</f>
        <v>Dir. Obras Públicas</v>
      </c>
      <c r="E50" s="1539" t="str">
        <f>IFERROR(INDEX(D$6:D$25,MATCH(LARGE(R$6:R$25,3),R$6:R$25,0)),"N/D")</f>
        <v>Asentamientos Humanos</v>
      </c>
      <c r="F50" s="1541" t="str">
        <f>IFERROR(INDEX(O$6:O$25,MATCH(LARGE(R$6:R$25,3),R$6:R$25,0)),0)</f>
        <v>ALERTA</v>
      </c>
      <c r="G50" s="1542">
        <f>IFERROR(INDEX(I$6:I$25,MATCH(LARGE(R$6:R$25,3),R$6:R$25,0)),0)</f>
        <v>1</v>
      </c>
      <c r="H50" s="1543">
        <f>IFERROR(LARGE(R$6:R$25,3),0)</f>
        <v>0</v>
      </c>
      <c r="I50" s="62">
        <f>IFERROR(INDEX(Q$6:Q$25,MATCH(LARGE(R$6:R$25,3),R$6:R$25,0)),0)</f>
        <v>1</v>
      </c>
      <c r="J50" s="474" t="str">
        <f>IFERROR(INDEX(P$6:P$25,MATCH(LARGE(R$6:R$25,3),R$6:R$25,0)),"N/D")</f>
        <v>🚨 NEGLIGENCIA OPERATIVA</v>
      </c>
      <c r="K50" s="194"/>
      <c r="L50" s="194"/>
      <c r="M50" s="194"/>
      <c r="N50" s="194"/>
      <c r="O50" s="194"/>
      <c r="P50" s="194"/>
      <c r="Q50" s="194"/>
      <c r="R50" s="194"/>
      <c r="S50" s="104"/>
      <c r="T50" s="104"/>
      <c r="U50" s="104"/>
      <c r="V50" s="104"/>
      <c r="W50" s="104"/>
      <c r="X50" s="104"/>
      <c r="Y50" s="104"/>
      <c r="Z50" s="105"/>
    </row>
    <row r="51" spans="1:26" ht="31.95" customHeight="1" x14ac:dyDescent="0.3">
      <c r="A51" s="481" t="s">
        <v>3962</v>
      </c>
      <c r="B51" s="1534" t="str">
        <f>IFERROR(INDEX(B$6:B$25,MATCH(LARGE(R$6:R$25,4),R$6:R$25,0)),"N/D")</f>
        <v>PDOT.AS.VL.M1.01</v>
      </c>
      <c r="C51" s="1535" t="str">
        <f>IFERROR(INDEX(C$6:C$25,MATCH(LARGE(R$6:R$25,4),R$6:R$25,0)),"Sin datos")</f>
        <v>Mantenimiento de vías urbanas para el acceso de los barrios del cantón</v>
      </c>
      <c r="D51" s="1534" t="str">
        <f>IFERROR(INDEX(E$6:E$25,MATCH(LARGE(R$6:R$25,4),R$6:R$25,0)),"N/D")</f>
        <v>Dir. Obras Públicas</v>
      </c>
      <c r="E51" s="1534" t="str">
        <f>IFERROR(INDEX(D$6:D$25,MATCH(LARGE(R$6:R$25,4),R$6:R$25,0)),"N/D")</f>
        <v>Asentamientos Humanos</v>
      </c>
      <c r="F51" s="1536" t="str">
        <f>IFERROR(INDEX(O$6:O$25,MATCH(LARGE(R$6:R$25,4),R$6:R$25,0)),0)</f>
        <v>ALERTA</v>
      </c>
      <c r="G51" s="1537">
        <f>IFERROR(INDEX(I$6:I$25,MATCH(LARGE(R$6:R$25,4),R$6:R$25,0)),0)</f>
        <v>1</v>
      </c>
      <c r="H51" s="1538">
        <f>IFERROR(LARGE(R$6:R$25,4),0)</f>
        <v>0</v>
      </c>
      <c r="I51" s="1544">
        <f>IFERROR(INDEX(Q$6:Q$25,MATCH(LARGE(R$6:R$25,4),R$6:R$25,0)),0)</f>
        <v>1</v>
      </c>
      <c r="J51" s="475" t="str">
        <f>IFERROR(INDEX(P$6:P$25,MATCH(LARGE(R$6:R$25,4),R$6:R$25,0)),"N/D")</f>
        <v>🚨 NEGLIGENCIA OPERATIVA</v>
      </c>
      <c r="K51" s="104"/>
      <c r="L51" s="104"/>
      <c r="M51" s="104"/>
      <c r="N51" s="104"/>
      <c r="O51" s="104"/>
      <c r="P51" s="104"/>
      <c r="Q51" s="104"/>
      <c r="R51" s="104"/>
      <c r="S51" s="194"/>
      <c r="T51" s="194"/>
      <c r="U51" s="194"/>
      <c r="V51" s="194"/>
      <c r="W51" s="194"/>
      <c r="X51" s="194"/>
      <c r="Y51" s="194"/>
      <c r="Z51" s="236"/>
    </row>
    <row r="52" spans="1:26" x14ac:dyDescent="0.3">
      <c r="A52" s="1552" t="s">
        <v>3963</v>
      </c>
      <c r="B52" s="1545" t="str">
        <f>IFERROR(INDEX(B$6:B$25,MATCH(LARGE(R$6:R$25,5),R$6:R$25,0)),"N/D")</f>
        <v>PDOT.AS.VL.M1.01</v>
      </c>
      <c r="C52" s="1546" t="str">
        <f>IFERROR(INDEX(C$6:C$25,MATCH(LARGE(R$6:R$25,5),R$6:R$25,0)),"Sin datos")</f>
        <v>Mantenimiento de vías urbanas para el acceso de los barrios del cantón</v>
      </c>
      <c r="D52" s="1545" t="str">
        <f>IFERROR(INDEX(E$6:E$25,MATCH(LARGE(R$6:R$25,5),R$6:R$25,0)),"N/D")</f>
        <v>Dir. Obras Públicas</v>
      </c>
      <c r="E52" s="1545" t="str">
        <f>IFERROR(INDEX(D$6:D$25,MATCH(LARGE(R$6:R$25,5),R$6:R$25,0)),"N/D")</f>
        <v>Asentamientos Humanos</v>
      </c>
      <c r="F52" s="1547" t="str">
        <f>IFERROR(INDEX(O$6:O$25,MATCH(LARGE(R$6:R$25,5),R$6:R$25,0)),0)</f>
        <v>ALERTA</v>
      </c>
      <c r="G52" s="1548">
        <f>IFERROR(INDEX(I$6:I$25,MATCH(LARGE(R$6:R$25,5),R$6:R$25,0)),0)</f>
        <v>1</v>
      </c>
      <c r="H52" s="1549">
        <f>IFERROR(LARGE(R$6:R$25,5),0)</f>
        <v>0</v>
      </c>
      <c r="I52" s="1550">
        <f>IFERROR(INDEX(Q$6:Q$25,MATCH(LARGE(R$6:R$25,5),R$6:R$25,0)),0)</f>
        <v>1</v>
      </c>
      <c r="J52" s="1551" t="str">
        <f>IFERROR(INDEX(P$6:P$25,MATCH(LARGE(R$6:R$25,5),R$6:R$25,0)),"N/D")</f>
        <v>🚨 NEGLIGENCIA OPERATIVA</v>
      </c>
      <c r="K52" s="265"/>
      <c r="L52" s="265"/>
      <c r="M52" s="265"/>
      <c r="N52" s="265"/>
      <c r="O52" s="265"/>
      <c r="P52" s="265"/>
      <c r="Q52" s="265"/>
      <c r="R52" s="265"/>
      <c r="S52" s="238"/>
      <c r="T52" s="238"/>
      <c r="U52" s="238"/>
      <c r="V52" s="238"/>
      <c r="W52" s="238"/>
      <c r="X52" s="238"/>
      <c r="Y52" s="238"/>
      <c r="Z52" s="239"/>
    </row>
  </sheetData>
  <mergeCells count="12">
    <mergeCell ref="A29:R29"/>
    <mergeCell ref="A37:R37"/>
    <mergeCell ref="A39:R39"/>
    <mergeCell ref="A40:R40"/>
    <mergeCell ref="A1:L1"/>
    <mergeCell ref="A3:R3"/>
    <mergeCell ref="A27:P27"/>
    <mergeCell ref="A4:C4"/>
    <mergeCell ref="E4:F4"/>
    <mergeCell ref="H4:I4"/>
    <mergeCell ref="B26:R26"/>
    <mergeCell ref="A28:R28"/>
  </mergeCells>
  <conditionalFormatting sqref="A6:R25">
    <cfRule type="expression" dxfId="5" priority="1">
      <formula>ISNUMBER(SEARCH("NEGLIGENCIA",$P6))</formula>
    </cfRule>
    <cfRule type="expression" dxfId="4" priority="2">
      <formula>ISNUMBER(SEARCH("RUPTURA",$P6))</formula>
    </cfRule>
    <cfRule type="expression" dxfId="3" priority="3">
      <formula>ISNUMBER(SEARCH("TRANSICIÓN",$P6))</formula>
    </cfRule>
    <cfRule type="expression" dxfId="2" priority="4">
      <formula>ISNUMBER(SEARCH("SATISFACTORIO",$P6))</formula>
    </cfRule>
    <cfRule type="expression" dxfId="1" priority="5">
      <formula>ISNUMBER(SEARCH("EXCELENTE",$P6))</formula>
    </cfRule>
    <cfRule type="expression" dxfId="0" priority="6">
      <formula>ISNUMBER(SEARCH("EFICIENTE",$P6))</formula>
    </cfRule>
  </conditionalFormatting>
  <hyperlinks>
    <hyperlink ref="Z1" location="'M-INDEX'!A1" tooltip="Volver al Índice Principal" display="⌂ ÍNDICE" xr:uid="{0A6BE6D9-637B-444C-8F12-AF83DF506D82}"/>
    <hyperlink ref="R5" location="'M-INDEX'!A1" tooltip="Volver al Índice Principal" display="⌂ ÍNDICE" xr:uid="{AB9F6E34-D30D-42E7-B59B-2C62203F93D5}"/>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38C25-C164-4543-98D5-7CA59EA78FE5}">
  <sheetPr>
    <tabColor rgb="FFFFF2CC"/>
  </sheetPr>
  <dimension ref="A1:Z67"/>
  <sheetViews>
    <sheetView showGridLines="0" zoomScale="25" zoomScaleNormal="25" workbookViewId="0">
      <selection sqref="A1:Z1"/>
    </sheetView>
  </sheetViews>
  <sheetFormatPr baseColWidth="10" defaultRowHeight="14.4" x14ac:dyDescent="0.3"/>
  <cols>
    <col min="1" max="1" width="5.21875" customWidth="1"/>
    <col min="2" max="2" width="106.33203125" customWidth="1"/>
    <col min="3" max="3" width="45.88671875" customWidth="1"/>
    <col min="4" max="4" width="107.6640625" bestFit="1" customWidth="1"/>
    <col min="5" max="5" width="52" bestFit="1" customWidth="1"/>
    <col min="6" max="6" width="14.21875" bestFit="1" customWidth="1"/>
    <col min="25" max="25" width="13.6640625" bestFit="1" customWidth="1"/>
    <col min="26" max="26" width="8" bestFit="1" customWidth="1"/>
  </cols>
  <sheetData>
    <row r="1" spans="1:26" ht="25.95" customHeight="1" x14ac:dyDescent="0.3">
      <c r="A1" s="1933" t="s">
        <v>4807</v>
      </c>
      <c r="B1" s="1904"/>
      <c r="C1" s="1904"/>
      <c r="D1" s="1904"/>
      <c r="E1" s="1904"/>
      <c r="F1" s="1904"/>
      <c r="G1" s="1904"/>
      <c r="H1" s="1904"/>
      <c r="I1" s="1904"/>
      <c r="J1" s="1904"/>
      <c r="K1" s="1904"/>
      <c r="L1" s="1904"/>
      <c r="M1" s="1218"/>
      <c r="N1" s="1218"/>
      <c r="O1" s="1218"/>
      <c r="P1" s="1218"/>
      <c r="Q1" s="1218"/>
      <c r="R1" s="1218"/>
      <c r="S1" s="1218"/>
      <c r="T1" s="1218"/>
      <c r="U1" s="1218"/>
      <c r="V1" s="1218"/>
      <c r="W1" s="1218"/>
      <c r="X1" s="1218"/>
      <c r="Y1" s="1218" t="s">
        <v>4400</v>
      </c>
      <c r="Z1" s="1126" t="s">
        <v>4300</v>
      </c>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1219"/>
      <c r="N2" s="1219"/>
      <c r="O2" s="1219"/>
      <c r="P2" s="1219"/>
      <c r="Q2" s="1219"/>
      <c r="R2" s="1219"/>
      <c r="S2" s="1219"/>
      <c r="T2" s="1219"/>
      <c r="U2" s="1219"/>
      <c r="V2" s="1219"/>
      <c r="W2" s="1219"/>
      <c r="X2" s="1219"/>
      <c r="Y2" s="1219"/>
      <c r="Z2" s="1219"/>
    </row>
    <row r="3" spans="1:26" ht="16.05" customHeight="1" thickBot="1" x14ac:dyDescent="0.35">
      <c r="A3" s="1222" t="s">
        <v>4076</v>
      </c>
      <c r="B3" s="526"/>
      <c r="C3" s="526"/>
      <c r="D3" s="526"/>
      <c r="E3" s="526"/>
      <c r="F3" s="526"/>
      <c r="G3" s="526"/>
      <c r="H3" s="526"/>
      <c r="I3" s="526"/>
      <c r="J3" s="526"/>
      <c r="K3" s="526"/>
      <c r="L3" s="526"/>
      <c r="M3" s="1220"/>
      <c r="N3" s="1220"/>
      <c r="O3" s="1220"/>
      <c r="P3" s="1220"/>
      <c r="Q3" s="1220"/>
      <c r="R3" s="1220"/>
      <c r="S3" s="1220"/>
      <c r="T3" s="1220"/>
      <c r="U3" s="1220"/>
      <c r="V3" s="1220"/>
      <c r="W3" s="1220"/>
      <c r="X3" s="1220"/>
      <c r="Y3" s="1220"/>
      <c r="Z3" s="1220"/>
    </row>
    <row r="4" spans="1:26" ht="19.95" customHeight="1" thickTop="1" x14ac:dyDescent="0.3">
      <c r="A4" s="1944" t="s">
        <v>2601</v>
      </c>
      <c r="B4" s="1880"/>
      <c r="C4" s="1880"/>
      <c r="D4" s="1880"/>
      <c r="E4" s="1880"/>
      <c r="F4" s="1880"/>
      <c r="G4" s="1880"/>
      <c r="H4" s="1880"/>
      <c r="I4" s="1880"/>
      <c r="J4" s="1880"/>
      <c r="K4" s="1880"/>
      <c r="L4" s="1880"/>
      <c r="M4" s="1880"/>
      <c r="N4" s="1880"/>
      <c r="O4" s="1880"/>
      <c r="P4" s="1880"/>
      <c r="Q4" s="1880"/>
      <c r="R4" s="1880"/>
      <c r="S4" s="1880"/>
      <c r="T4" s="1880"/>
      <c r="U4" s="1880"/>
      <c r="V4" s="1880"/>
      <c r="W4" s="1880"/>
      <c r="X4" s="1880"/>
      <c r="Y4" s="1880"/>
      <c r="Z4" s="1881"/>
    </row>
    <row r="5" spans="1:26" ht="16.05" customHeight="1" x14ac:dyDescent="0.3">
      <c r="A5" s="1231" t="s">
        <v>1460</v>
      </c>
      <c r="B5" s="1225" t="s">
        <v>1461</v>
      </c>
      <c r="C5" s="1225" t="s">
        <v>1858</v>
      </c>
      <c r="D5" s="1225" t="s">
        <v>2602</v>
      </c>
      <c r="E5" s="1226"/>
      <c r="F5" s="1226"/>
      <c r="G5" s="1226"/>
      <c r="H5" s="1226"/>
      <c r="I5" s="1226"/>
      <c r="J5" s="1226"/>
      <c r="K5" s="1226"/>
      <c r="L5" s="1226"/>
      <c r="M5" s="1226"/>
      <c r="N5" s="1226"/>
      <c r="O5" s="1226"/>
      <c r="P5" s="1226"/>
      <c r="Q5" s="1226"/>
      <c r="R5" s="1226"/>
      <c r="S5" s="1226"/>
      <c r="T5" s="1226"/>
      <c r="U5" s="1226"/>
      <c r="V5" s="1226"/>
      <c r="W5" s="1226"/>
      <c r="X5" s="1226"/>
      <c r="Y5" s="1226"/>
      <c r="Z5" s="1228"/>
    </row>
    <row r="6" spans="1:26" ht="16.05" customHeight="1" x14ac:dyDescent="0.3">
      <c r="A6" s="1598" t="s">
        <v>2346</v>
      </c>
      <c r="B6" s="1223" t="s">
        <v>4401</v>
      </c>
      <c r="C6" s="1223">
        <v>0.40003606491564098</v>
      </c>
      <c r="D6" s="1223" t="s">
        <v>2603</v>
      </c>
      <c r="E6" s="1224"/>
      <c r="F6" s="1224"/>
      <c r="G6" s="1224"/>
      <c r="H6" s="1224"/>
      <c r="I6" s="1224"/>
      <c r="J6" s="1224"/>
      <c r="K6" s="1224"/>
      <c r="L6" s="1224"/>
      <c r="M6" s="1224"/>
      <c r="N6" s="1224"/>
      <c r="O6" s="1224"/>
      <c r="P6" s="1224"/>
      <c r="Q6" s="1224"/>
      <c r="R6" s="1224"/>
      <c r="S6" s="1224"/>
      <c r="T6" s="1224"/>
      <c r="U6" s="1224"/>
      <c r="V6" s="1224"/>
      <c r="W6" s="1224"/>
      <c r="X6" s="1224"/>
      <c r="Y6" s="1224"/>
      <c r="Z6" s="1227"/>
    </row>
    <row r="7" spans="1:26" ht="16.05" customHeight="1" x14ac:dyDescent="0.3">
      <c r="A7" s="1231" t="s">
        <v>2604</v>
      </c>
      <c r="B7" s="1225" t="s">
        <v>4402</v>
      </c>
      <c r="C7" s="1225" t="s">
        <v>2605</v>
      </c>
      <c r="D7" s="1225" t="s">
        <v>2606</v>
      </c>
      <c r="E7" s="1226"/>
      <c r="F7" s="1226"/>
      <c r="G7" s="1226"/>
      <c r="H7" s="1226"/>
      <c r="I7" s="1226"/>
      <c r="J7" s="1226"/>
      <c r="K7" s="1226"/>
      <c r="L7" s="1226"/>
      <c r="M7" s="1226"/>
      <c r="N7" s="1226"/>
      <c r="O7" s="1226"/>
      <c r="P7" s="1226"/>
      <c r="Q7" s="1226"/>
      <c r="R7" s="1226"/>
      <c r="S7" s="1226"/>
      <c r="T7" s="1226"/>
      <c r="U7" s="1226"/>
      <c r="V7" s="1226"/>
      <c r="W7" s="1226"/>
      <c r="X7" s="1226"/>
      <c r="Y7" s="1226"/>
      <c r="Z7" s="1228"/>
    </row>
    <row r="8" spans="1:26" ht="16.05" customHeight="1" x14ac:dyDescent="0.3">
      <c r="A8" s="1598" t="s">
        <v>2607</v>
      </c>
      <c r="B8" s="1223" t="s">
        <v>2608</v>
      </c>
      <c r="C8" s="1223" t="s">
        <v>2609</v>
      </c>
      <c r="D8" s="1223" t="s">
        <v>2610</v>
      </c>
      <c r="E8" s="1224"/>
      <c r="F8" s="1224"/>
      <c r="G8" s="1224"/>
      <c r="H8" s="1224"/>
      <c r="I8" s="1224"/>
      <c r="J8" s="1224"/>
      <c r="K8" s="1224"/>
      <c r="L8" s="1224"/>
      <c r="M8" s="1224"/>
      <c r="N8" s="1224"/>
      <c r="O8" s="1224"/>
      <c r="P8" s="1224"/>
      <c r="Q8" s="1224"/>
      <c r="R8" s="1224"/>
      <c r="S8" s="1224"/>
      <c r="T8" s="1224"/>
      <c r="U8" s="1224"/>
      <c r="V8" s="1224"/>
      <c r="W8" s="1224"/>
      <c r="X8" s="1224"/>
      <c r="Y8" s="1224"/>
      <c r="Z8" s="1227"/>
    </row>
    <row r="9" spans="1:26" ht="16.05" customHeight="1" x14ac:dyDescent="0.3">
      <c r="A9" s="1231" t="s">
        <v>2611</v>
      </c>
      <c r="B9" s="1225" t="s">
        <v>2612</v>
      </c>
      <c r="C9" s="1225" t="s">
        <v>2613</v>
      </c>
      <c r="D9" s="1225" t="s">
        <v>4093</v>
      </c>
      <c r="E9" s="1226"/>
      <c r="F9" s="1226"/>
      <c r="G9" s="1226"/>
      <c r="H9" s="1226"/>
      <c r="I9" s="1226"/>
      <c r="J9" s="1226"/>
      <c r="K9" s="1226"/>
      <c r="L9" s="1226"/>
      <c r="M9" s="1226"/>
      <c r="N9" s="1226"/>
      <c r="O9" s="1226"/>
      <c r="P9" s="1226"/>
      <c r="Q9" s="1226"/>
      <c r="R9" s="1226"/>
      <c r="S9" s="1226"/>
      <c r="T9" s="1226"/>
      <c r="U9" s="1226"/>
      <c r="V9" s="1226"/>
      <c r="W9" s="1226"/>
      <c r="X9" s="1226"/>
      <c r="Y9" s="1226"/>
      <c r="Z9" s="1228"/>
    </row>
    <row r="10" spans="1:26" ht="16.05" customHeight="1" x14ac:dyDescent="0.3">
      <c r="A10" s="1598" t="s">
        <v>2614</v>
      </c>
      <c r="B10" s="1223" t="s">
        <v>4403</v>
      </c>
      <c r="C10" s="1223" t="s">
        <v>2615</v>
      </c>
      <c r="D10" s="1223" t="s">
        <v>4404</v>
      </c>
      <c r="E10" s="1224"/>
      <c r="F10" s="1224"/>
      <c r="G10" s="1224"/>
      <c r="H10" s="1224"/>
      <c r="I10" s="1224"/>
      <c r="J10" s="1224"/>
      <c r="K10" s="1224"/>
      <c r="L10" s="1224"/>
      <c r="M10" s="1224"/>
      <c r="N10" s="1224"/>
      <c r="O10" s="1224"/>
      <c r="P10" s="1224"/>
      <c r="Q10" s="1224"/>
      <c r="R10" s="1224"/>
      <c r="S10" s="1224"/>
      <c r="T10" s="1224"/>
      <c r="U10" s="1224"/>
      <c r="V10" s="1224"/>
      <c r="W10" s="1224"/>
      <c r="X10" s="1224"/>
      <c r="Y10" s="1224"/>
      <c r="Z10" s="1227"/>
    </row>
    <row r="11" spans="1:26" ht="16.05" customHeight="1" x14ac:dyDescent="0.3">
      <c r="A11" s="1231" t="s">
        <v>330</v>
      </c>
      <c r="B11" s="1225" t="s">
        <v>4405</v>
      </c>
      <c r="C11" s="1225" t="s">
        <v>2615</v>
      </c>
      <c r="D11" s="1225" t="s">
        <v>4406</v>
      </c>
      <c r="E11" s="1226"/>
      <c r="F11" s="1226"/>
      <c r="G11" s="1226"/>
      <c r="H11" s="1226"/>
      <c r="I11" s="1226"/>
      <c r="J11" s="1226"/>
      <c r="K11" s="1226"/>
      <c r="L11" s="1226"/>
      <c r="M11" s="1226"/>
      <c r="N11" s="1226"/>
      <c r="O11" s="1226"/>
      <c r="P11" s="1226"/>
      <c r="Q11" s="1226"/>
      <c r="R11" s="1226"/>
      <c r="S11" s="1226"/>
      <c r="T11" s="1226"/>
      <c r="U11" s="1226"/>
      <c r="V11" s="1226"/>
      <c r="W11" s="1226"/>
      <c r="X11" s="1226"/>
      <c r="Y11" s="1226"/>
      <c r="Z11" s="1228"/>
    </row>
    <row r="12" spans="1:26" ht="16.05" customHeight="1" x14ac:dyDescent="0.3">
      <c r="A12" s="1598" t="s">
        <v>2616</v>
      </c>
      <c r="B12" s="1223" t="s">
        <v>2617</v>
      </c>
      <c r="C12" s="1223" t="s">
        <v>379</v>
      </c>
      <c r="D12" s="1223" t="s">
        <v>2618</v>
      </c>
      <c r="E12" s="1224"/>
      <c r="F12" s="1224"/>
      <c r="G12" s="1224"/>
      <c r="H12" s="1224"/>
      <c r="I12" s="1224"/>
      <c r="J12" s="1224"/>
      <c r="K12" s="1224"/>
      <c r="L12" s="1224"/>
      <c r="M12" s="1224"/>
      <c r="N12" s="1224"/>
      <c r="O12" s="1224"/>
      <c r="P12" s="1224"/>
      <c r="Q12" s="1224"/>
      <c r="R12" s="1224"/>
      <c r="S12" s="1224"/>
      <c r="T12" s="1224"/>
      <c r="U12" s="1224"/>
      <c r="V12" s="1224"/>
      <c r="W12" s="1224"/>
      <c r="X12" s="1224"/>
      <c r="Y12" s="1224"/>
      <c r="Z12" s="1227"/>
    </row>
    <row r="13" spans="1:26" ht="16.05" customHeight="1" x14ac:dyDescent="0.3">
      <c r="A13" s="1231" t="s">
        <v>391</v>
      </c>
      <c r="B13" s="1225" t="s">
        <v>2619</v>
      </c>
      <c r="C13" s="1225" t="s">
        <v>389</v>
      </c>
      <c r="D13" s="1225" t="s">
        <v>2620</v>
      </c>
      <c r="E13" s="1226"/>
      <c r="F13" s="1226"/>
      <c r="G13" s="1226"/>
      <c r="H13" s="1226"/>
      <c r="I13" s="1226"/>
      <c r="J13" s="1226"/>
      <c r="K13" s="1226"/>
      <c r="L13" s="1226"/>
      <c r="M13" s="1226"/>
      <c r="N13" s="1226"/>
      <c r="O13" s="1226"/>
      <c r="P13" s="1226"/>
      <c r="Q13" s="1226"/>
      <c r="R13" s="1226"/>
      <c r="S13" s="1226"/>
      <c r="T13" s="1226"/>
      <c r="U13" s="1226"/>
      <c r="V13" s="1226"/>
      <c r="W13" s="1226"/>
      <c r="X13" s="1226"/>
      <c r="Y13" s="1226"/>
      <c r="Z13" s="1228"/>
    </row>
    <row r="14" spans="1:26" ht="16.05" customHeight="1" x14ac:dyDescent="0.3">
      <c r="A14" s="1598"/>
      <c r="B14" s="1223"/>
      <c r="C14" s="1223"/>
      <c r="D14" s="1223"/>
      <c r="E14" s="1224"/>
      <c r="F14" s="1224"/>
      <c r="G14" s="1224"/>
      <c r="H14" s="1224"/>
      <c r="I14" s="1224"/>
      <c r="J14" s="1224"/>
      <c r="K14" s="1224"/>
      <c r="L14" s="1224"/>
      <c r="M14" s="1224"/>
      <c r="N14" s="1224"/>
      <c r="O14" s="1224"/>
      <c r="P14" s="1224"/>
      <c r="Q14" s="1224"/>
      <c r="R14" s="1224"/>
      <c r="S14" s="1224"/>
      <c r="T14" s="1224"/>
      <c r="U14" s="1224"/>
      <c r="V14" s="1224"/>
      <c r="W14" s="1224"/>
      <c r="X14" s="1224"/>
      <c r="Y14" s="1224"/>
      <c r="Z14" s="1227"/>
    </row>
    <row r="15" spans="1:26" ht="16.05" customHeight="1" x14ac:dyDescent="0.3">
      <c r="A15" s="1231" t="s">
        <v>2621</v>
      </c>
      <c r="B15" s="1225"/>
      <c r="C15" s="1225"/>
      <c r="D15" s="1225"/>
      <c r="E15" s="1226"/>
      <c r="F15" s="1226"/>
      <c r="G15" s="1226"/>
      <c r="H15" s="1226"/>
      <c r="I15" s="1226"/>
      <c r="J15" s="1226"/>
      <c r="K15" s="1226"/>
      <c r="L15" s="1226"/>
      <c r="M15" s="1226"/>
      <c r="N15" s="1226"/>
      <c r="O15" s="1226"/>
      <c r="P15" s="1226"/>
      <c r="Q15" s="1226"/>
      <c r="R15" s="1226"/>
      <c r="S15" s="1226"/>
      <c r="T15" s="1226"/>
      <c r="U15" s="1226"/>
      <c r="V15" s="1226"/>
      <c r="W15" s="1226"/>
      <c r="X15" s="1226"/>
      <c r="Y15" s="1226"/>
      <c r="Z15" s="1228"/>
    </row>
    <row r="16" spans="1:26" ht="16.05" customHeight="1" x14ac:dyDescent="0.3">
      <c r="A16" s="1598" t="s">
        <v>2622</v>
      </c>
      <c r="B16" s="1223" t="s">
        <v>2623</v>
      </c>
      <c r="C16" s="1223" t="s">
        <v>2624</v>
      </c>
      <c r="D16" s="1223" t="s">
        <v>2625</v>
      </c>
      <c r="E16" s="1224"/>
      <c r="F16" s="1224"/>
      <c r="G16" s="1224"/>
      <c r="H16" s="1224"/>
      <c r="I16" s="1224"/>
      <c r="J16" s="1224"/>
      <c r="K16" s="1224"/>
      <c r="L16" s="1224"/>
      <c r="M16" s="1224"/>
      <c r="N16" s="1224"/>
      <c r="O16" s="1224"/>
      <c r="P16" s="1224"/>
      <c r="Q16" s="1224"/>
      <c r="R16" s="1224"/>
      <c r="S16" s="1224"/>
      <c r="T16" s="1224"/>
      <c r="U16" s="1224"/>
      <c r="V16" s="1224"/>
      <c r="W16" s="1224"/>
      <c r="X16" s="1224"/>
      <c r="Y16" s="1224"/>
      <c r="Z16" s="1227"/>
    </row>
    <row r="17" spans="1:26" ht="16.05" customHeight="1" x14ac:dyDescent="0.3">
      <c r="A17" s="1231" t="s">
        <v>2626</v>
      </c>
      <c r="B17" s="1225" t="s">
        <v>2627</v>
      </c>
      <c r="C17" s="1225" t="s">
        <v>2628</v>
      </c>
      <c r="D17" s="1225" t="s">
        <v>2629</v>
      </c>
      <c r="E17" s="1226"/>
      <c r="F17" s="1226"/>
      <c r="G17" s="1226"/>
      <c r="H17" s="1226"/>
      <c r="I17" s="1226"/>
      <c r="J17" s="1226"/>
      <c r="K17" s="1226"/>
      <c r="L17" s="1226"/>
      <c r="M17" s="1226"/>
      <c r="N17" s="1226"/>
      <c r="O17" s="1226"/>
      <c r="P17" s="1226"/>
      <c r="Q17" s="1226"/>
      <c r="R17" s="1226"/>
      <c r="S17" s="1226"/>
      <c r="T17" s="1226"/>
      <c r="U17" s="1226"/>
      <c r="V17" s="1226"/>
      <c r="W17" s="1226"/>
      <c r="X17" s="1226"/>
      <c r="Y17" s="1226"/>
      <c r="Z17" s="1228"/>
    </row>
    <row r="18" spans="1:26" ht="16.05" customHeight="1" x14ac:dyDescent="0.3">
      <c r="A18" s="1598" t="s">
        <v>2630</v>
      </c>
      <c r="B18" s="1223" t="s">
        <v>2631</v>
      </c>
      <c r="C18" s="1223" t="s">
        <v>2632</v>
      </c>
      <c r="D18" s="1223" t="s">
        <v>2633</v>
      </c>
      <c r="E18" s="1224"/>
      <c r="F18" s="1224"/>
      <c r="G18" s="1224"/>
      <c r="H18" s="1224"/>
      <c r="I18" s="1224"/>
      <c r="J18" s="1224"/>
      <c r="K18" s="1224"/>
      <c r="L18" s="1224"/>
      <c r="M18" s="1224"/>
      <c r="N18" s="1224"/>
      <c r="O18" s="1224"/>
      <c r="P18" s="1224"/>
      <c r="Q18" s="1224"/>
      <c r="R18" s="1224"/>
      <c r="S18" s="1224"/>
      <c r="T18" s="1224"/>
      <c r="U18" s="1224"/>
      <c r="V18" s="1224"/>
      <c r="W18" s="1224"/>
      <c r="X18" s="1224"/>
      <c r="Y18" s="1224"/>
      <c r="Z18" s="1227"/>
    </row>
    <row r="19" spans="1:26" ht="16.05" customHeight="1" x14ac:dyDescent="0.3">
      <c r="A19" s="1231" t="s">
        <v>2634</v>
      </c>
      <c r="B19" s="1225" t="s">
        <v>2635</v>
      </c>
      <c r="C19" s="1225" t="s">
        <v>2636</v>
      </c>
      <c r="D19" s="1225" t="s">
        <v>2637</v>
      </c>
      <c r="E19" s="1226"/>
      <c r="F19" s="1226"/>
      <c r="G19" s="1226"/>
      <c r="H19" s="1226"/>
      <c r="I19" s="1226"/>
      <c r="J19" s="1226"/>
      <c r="K19" s="1226"/>
      <c r="L19" s="1226"/>
      <c r="M19" s="1226"/>
      <c r="N19" s="1226"/>
      <c r="O19" s="1226"/>
      <c r="P19" s="1226"/>
      <c r="Q19" s="1226"/>
      <c r="R19" s="1226"/>
      <c r="S19" s="1226"/>
      <c r="T19" s="1226"/>
      <c r="U19" s="1226"/>
      <c r="V19" s="1226"/>
      <c r="W19" s="1226"/>
      <c r="X19" s="1226"/>
      <c r="Y19" s="1226"/>
      <c r="Z19" s="1228"/>
    </row>
    <row r="20" spans="1:26" ht="16.05" customHeight="1" x14ac:dyDescent="0.3">
      <c r="A20" s="1598" t="s">
        <v>2638</v>
      </c>
      <c r="B20" s="1223" t="s">
        <v>2639</v>
      </c>
      <c r="C20" s="1223" t="s">
        <v>2640</v>
      </c>
      <c r="D20" s="1223" t="s">
        <v>2641</v>
      </c>
      <c r="E20" s="1224"/>
      <c r="F20" s="1224"/>
      <c r="G20" s="1224"/>
      <c r="H20" s="1224"/>
      <c r="I20" s="1224"/>
      <c r="J20" s="1224"/>
      <c r="K20" s="1224"/>
      <c r="L20" s="1224"/>
      <c r="M20" s="1224"/>
      <c r="N20" s="1224"/>
      <c r="O20" s="1224"/>
      <c r="P20" s="1224"/>
      <c r="Q20" s="1224"/>
      <c r="R20" s="1224"/>
      <c r="S20" s="1224"/>
      <c r="T20" s="1224"/>
      <c r="U20" s="1224"/>
      <c r="V20" s="1224"/>
      <c r="W20" s="1224"/>
      <c r="X20" s="1224"/>
      <c r="Y20" s="1224"/>
      <c r="Z20" s="1227"/>
    </row>
    <row r="21" spans="1:26" ht="16.05" customHeight="1" x14ac:dyDescent="0.3">
      <c r="A21" s="1231" t="s">
        <v>2642</v>
      </c>
      <c r="B21" s="1225" t="s">
        <v>2643</v>
      </c>
      <c r="C21" s="1225" t="s">
        <v>2644</v>
      </c>
      <c r="D21" s="1225" t="s">
        <v>2645</v>
      </c>
      <c r="E21" s="1226"/>
      <c r="F21" s="1226"/>
      <c r="G21" s="1226"/>
      <c r="H21" s="1226"/>
      <c r="I21" s="1226"/>
      <c r="J21" s="1226"/>
      <c r="K21" s="1226"/>
      <c r="L21" s="1226"/>
      <c r="M21" s="1226"/>
      <c r="N21" s="1226"/>
      <c r="O21" s="1226"/>
      <c r="P21" s="1226"/>
      <c r="Q21" s="1226"/>
      <c r="R21" s="1226"/>
      <c r="S21" s="1226"/>
      <c r="T21" s="1226"/>
      <c r="U21" s="1226"/>
      <c r="V21" s="1226"/>
      <c r="W21" s="1226"/>
      <c r="X21" s="1226"/>
      <c r="Y21" s="1226"/>
      <c r="Z21" s="1228"/>
    </row>
    <row r="22" spans="1:26" ht="16.05" customHeight="1" x14ac:dyDescent="0.3">
      <c r="A22" s="1598" t="s">
        <v>2646</v>
      </c>
      <c r="B22" s="1223" t="s">
        <v>4407</v>
      </c>
      <c r="C22" s="1223" t="s">
        <v>4401</v>
      </c>
      <c r="D22" s="1223" t="s">
        <v>4408</v>
      </c>
      <c r="E22" s="1224"/>
      <c r="F22" s="1224"/>
      <c r="G22" s="1224"/>
      <c r="H22" s="1224"/>
      <c r="I22" s="1224"/>
      <c r="J22" s="1224"/>
      <c r="K22" s="1224"/>
      <c r="L22" s="1224"/>
      <c r="M22" s="1224"/>
      <c r="N22" s="1224"/>
      <c r="O22" s="1224"/>
      <c r="P22" s="1224"/>
      <c r="Q22" s="1224"/>
      <c r="R22" s="1224"/>
      <c r="S22" s="1224"/>
      <c r="T22" s="1224"/>
      <c r="U22" s="1224"/>
      <c r="V22" s="1224"/>
      <c r="W22" s="1224"/>
      <c r="X22" s="1224"/>
      <c r="Y22" s="1224"/>
      <c r="Z22" s="1227"/>
    </row>
    <row r="23" spans="1:26" ht="16.05" customHeight="1" x14ac:dyDescent="0.3">
      <c r="A23" s="1231"/>
      <c r="B23" s="1225"/>
      <c r="C23" s="1225"/>
      <c r="D23" s="1225"/>
      <c r="E23" s="1226"/>
      <c r="F23" s="1226"/>
      <c r="G23" s="1226"/>
      <c r="H23" s="1226"/>
      <c r="I23" s="1226"/>
      <c r="J23" s="1226"/>
      <c r="K23" s="1226"/>
      <c r="L23" s="1226"/>
      <c r="M23" s="1226"/>
      <c r="N23" s="1226"/>
      <c r="O23" s="1226"/>
      <c r="P23" s="1226"/>
      <c r="Q23" s="1226"/>
      <c r="R23" s="1226"/>
      <c r="S23" s="1226"/>
      <c r="T23" s="1226"/>
      <c r="U23" s="1226"/>
      <c r="V23" s="1226"/>
      <c r="W23" s="1226"/>
      <c r="X23" s="1226"/>
      <c r="Y23" s="1226"/>
      <c r="Z23" s="1228"/>
    </row>
    <row r="24" spans="1:26" ht="16.05" customHeight="1" x14ac:dyDescent="0.3">
      <c r="A24" s="1598" t="s">
        <v>2647</v>
      </c>
      <c r="B24" s="1223"/>
      <c r="C24" s="1223"/>
      <c r="D24" s="1223"/>
      <c r="E24" s="1224"/>
      <c r="F24" s="1224"/>
      <c r="G24" s="1224"/>
      <c r="H24" s="1224"/>
      <c r="I24" s="1224"/>
      <c r="J24" s="1224"/>
      <c r="K24" s="1224"/>
      <c r="L24" s="1224"/>
      <c r="M24" s="1224"/>
      <c r="N24" s="1224"/>
      <c r="O24" s="1224"/>
      <c r="P24" s="1224"/>
      <c r="Q24" s="1224"/>
      <c r="R24" s="1224"/>
      <c r="S24" s="1224"/>
      <c r="T24" s="1224"/>
      <c r="U24" s="1224"/>
      <c r="V24" s="1224"/>
      <c r="W24" s="1224"/>
      <c r="X24" s="1224"/>
      <c r="Y24" s="1224"/>
      <c r="Z24" s="1227"/>
    </row>
    <row r="25" spans="1:26" ht="16.05" customHeight="1" x14ac:dyDescent="0.3">
      <c r="A25" s="1231" t="s">
        <v>2648</v>
      </c>
      <c r="B25" s="1225" t="s">
        <v>2649</v>
      </c>
      <c r="C25" s="1225" t="s">
        <v>2650</v>
      </c>
      <c r="D25" s="1225" t="s">
        <v>2651</v>
      </c>
      <c r="E25" s="1226"/>
      <c r="F25" s="1226"/>
      <c r="G25" s="1226"/>
      <c r="H25" s="1226"/>
      <c r="I25" s="1226"/>
      <c r="J25" s="1226"/>
      <c r="K25" s="1226"/>
      <c r="L25" s="1226"/>
      <c r="M25" s="1226"/>
      <c r="N25" s="1226"/>
      <c r="O25" s="1226"/>
      <c r="P25" s="1226"/>
      <c r="Q25" s="1226"/>
      <c r="R25" s="1226"/>
      <c r="S25" s="1226"/>
      <c r="T25" s="1226"/>
      <c r="U25" s="1226"/>
      <c r="V25" s="1226"/>
      <c r="W25" s="1226"/>
      <c r="X25" s="1226"/>
      <c r="Y25" s="1226"/>
      <c r="Z25" s="1228"/>
    </row>
    <row r="26" spans="1:26" ht="16.05" customHeight="1" x14ac:dyDescent="0.3">
      <c r="A26" s="1598" t="s">
        <v>2652</v>
      </c>
      <c r="B26" s="1223" t="s">
        <v>2653</v>
      </c>
      <c r="C26" s="1223" t="s">
        <v>2654</v>
      </c>
      <c r="D26" s="1223" t="s">
        <v>2655</v>
      </c>
      <c r="E26" s="1224"/>
      <c r="F26" s="1224"/>
      <c r="G26" s="1224"/>
      <c r="H26" s="1224"/>
      <c r="I26" s="1224"/>
      <c r="J26" s="1224"/>
      <c r="K26" s="1224"/>
      <c r="L26" s="1224"/>
      <c r="M26" s="1224"/>
      <c r="N26" s="1224"/>
      <c r="O26" s="1224"/>
      <c r="P26" s="1224"/>
      <c r="Q26" s="1224"/>
      <c r="R26" s="1224"/>
      <c r="S26" s="1224"/>
      <c r="T26" s="1224"/>
      <c r="U26" s="1224"/>
      <c r="V26" s="1224"/>
      <c r="W26" s="1224"/>
      <c r="X26" s="1224"/>
      <c r="Y26" s="1224"/>
      <c r="Z26" s="1227"/>
    </row>
    <row r="27" spans="1:26" ht="16.05" customHeight="1" x14ac:dyDescent="0.3">
      <c r="A27" s="1231" t="s">
        <v>2656</v>
      </c>
      <c r="B27" s="1225" t="s">
        <v>2657</v>
      </c>
      <c r="C27" s="1225" t="s">
        <v>2658</v>
      </c>
      <c r="D27" s="1225" t="s">
        <v>2659</v>
      </c>
      <c r="E27" s="1226"/>
      <c r="F27" s="1226"/>
      <c r="G27" s="1226"/>
      <c r="H27" s="1226"/>
      <c r="I27" s="1226"/>
      <c r="J27" s="1226"/>
      <c r="K27" s="1226"/>
      <c r="L27" s="1226"/>
      <c r="M27" s="1226"/>
      <c r="N27" s="1226"/>
      <c r="O27" s="1226"/>
      <c r="P27" s="1226"/>
      <c r="Q27" s="1226"/>
      <c r="R27" s="1226"/>
      <c r="S27" s="1226"/>
      <c r="T27" s="1226"/>
      <c r="U27" s="1226"/>
      <c r="V27" s="1226"/>
      <c r="W27" s="1226"/>
      <c r="X27" s="1226"/>
      <c r="Y27" s="1226"/>
      <c r="Z27" s="1228"/>
    </row>
    <row r="28" spans="1:26" ht="16.05" customHeight="1" x14ac:dyDescent="0.3">
      <c r="A28" s="1598" t="s">
        <v>2660</v>
      </c>
      <c r="B28" s="1223" t="s">
        <v>2661</v>
      </c>
      <c r="C28" s="1223" t="s">
        <v>2662</v>
      </c>
      <c r="D28" s="1223" t="s">
        <v>2663</v>
      </c>
      <c r="E28" s="1224"/>
      <c r="F28" s="1224"/>
      <c r="G28" s="1224"/>
      <c r="H28" s="1224"/>
      <c r="I28" s="1224"/>
      <c r="J28" s="1224"/>
      <c r="K28" s="1224"/>
      <c r="L28" s="1224"/>
      <c r="M28" s="1224"/>
      <c r="N28" s="1224"/>
      <c r="O28" s="1224"/>
      <c r="P28" s="1224"/>
      <c r="Q28" s="1224"/>
      <c r="R28" s="1224"/>
      <c r="S28" s="1224"/>
      <c r="T28" s="1224"/>
      <c r="U28" s="1224"/>
      <c r="V28" s="1224"/>
      <c r="W28" s="1224"/>
      <c r="X28" s="1224"/>
      <c r="Y28" s="1224"/>
      <c r="Z28" s="1227"/>
    </row>
    <row r="29" spans="1:26" ht="16.05" customHeight="1" x14ac:dyDescent="0.3">
      <c r="A29" s="1231" t="s">
        <v>2664</v>
      </c>
      <c r="B29" s="1225" t="s">
        <v>2665</v>
      </c>
      <c r="C29" s="1225" t="s">
        <v>2658</v>
      </c>
      <c r="D29" s="1225" t="s">
        <v>2666</v>
      </c>
      <c r="E29" s="1226"/>
      <c r="F29" s="1226"/>
      <c r="G29" s="1226"/>
      <c r="H29" s="1226"/>
      <c r="I29" s="1226"/>
      <c r="J29" s="1226"/>
      <c r="K29" s="1226"/>
      <c r="L29" s="1226"/>
      <c r="M29" s="1226"/>
      <c r="N29" s="1226"/>
      <c r="O29" s="1226"/>
      <c r="P29" s="1226"/>
      <c r="Q29" s="1226"/>
      <c r="R29" s="1226"/>
      <c r="S29" s="1226"/>
      <c r="T29" s="1226"/>
      <c r="U29" s="1226"/>
      <c r="V29" s="1226"/>
      <c r="W29" s="1226"/>
      <c r="X29" s="1226"/>
      <c r="Y29" s="1226"/>
      <c r="Z29" s="1228"/>
    </row>
    <row r="30" spans="1:26" ht="16.05" customHeight="1" x14ac:dyDescent="0.3">
      <c r="A30" s="1598" t="s">
        <v>2667</v>
      </c>
      <c r="B30" s="1223" t="s">
        <v>2668</v>
      </c>
      <c r="C30" s="1223" t="s">
        <v>2669</v>
      </c>
      <c r="D30" s="1223" t="s">
        <v>2670</v>
      </c>
      <c r="E30" s="1224"/>
      <c r="F30" s="1224"/>
      <c r="G30" s="1224"/>
      <c r="H30" s="1224"/>
      <c r="I30" s="1224"/>
      <c r="J30" s="1224"/>
      <c r="K30" s="1224"/>
      <c r="L30" s="1224"/>
      <c r="M30" s="1224"/>
      <c r="N30" s="1224"/>
      <c r="O30" s="1224"/>
      <c r="P30" s="1224"/>
      <c r="Q30" s="1224"/>
      <c r="R30" s="1224"/>
      <c r="S30" s="1224"/>
      <c r="T30" s="1224"/>
      <c r="U30" s="1224"/>
      <c r="V30" s="1224"/>
      <c r="W30" s="1224"/>
      <c r="X30" s="1224"/>
      <c r="Y30" s="1224"/>
      <c r="Z30" s="1227"/>
    </row>
    <row r="31" spans="1:26" ht="16.05" customHeight="1" x14ac:dyDescent="0.3">
      <c r="A31" s="1231"/>
      <c r="B31" s="1225"/>
      <c r="C31" s="1225"/>
      <c r="D31" s="1225"/>
      <c r="E31" s="1226"/>
      <c r="F31" s="1226"/>
      <c r="G31" s="1226"/>
      <c r="H31" s="1226"/>
      <c r="I31" s="1226"/>
      <c r="J31" s="1226"/>
      <c r="K31" s="1226"/>
      <c r="L31" s="1226"/>
      <c r="M31" s="1226"/>
      <c r="N31" s="1226"/>
      <c r="O31" s="1226"/>
      <c r="P31" s="1226"/>
      <c r="Q31" s="1226"/>
      <c r="R31" s="1226"/>
      <c r="S31" s="1226"/>
      <c r="T31" s="1226"/>
      <c r="U31" s="1226"/>
      <c r="V31" s="1226"/>
      <c r="W31" s="1226"/>
      <c r="X31" s="1226"/>
      <c r="Y31" s="1226"/>
      <c r="Z31" s="1228"/>
    </row>
    <row r="32" spans="1:26" ht="16.05" customHeight="1" x14ac:dyDescent="0.3">
      <c r="A32" s="1598" t="s">
        <v>2671</v>
      </c>
      <c r="B32" s="1223"/>
      <c r="C32" s="1223"/>
      <c r="D32" s="1223"/>
      <c r="E32" s="1224"/>
      <c r="F32" s="1224"/>
      <c r="G32" s="1224"/>
      <c r="H32" s="1224"/>
      <c r="I32" s="1224"/>
      <c r="J32" s="1224"/>
      <c r="K32" s="1224"/>
      <c r="L32" s="1224"/>
      <c r="M32" s="1224"/>
      <c r="N32" s="1224"/>
      <c r="O32" s="1224"/>
      <c r="P32" s="1224"/>
      <c r="Q32" s="1224"/>
      <c r="R32" s="1224"/>
      <c r="S32" s="1224"/>
      <c r="T32" s="1224"/>
      <c r="U32" s="1224"/>
      <c r="V32" s="1224"/>
      <c r="W32" s="1224"/>
      <c r="X32" s="1224"/>
      <c r="Y32" s="1224"/>
      <c r="Z32" s="1227"/>
    </row>
    <row r="33" spans="1:26" ht="16.05" customHeight="1" x14ac:dyDescent="0.3">
      <c r="A33" s="1231" t="s">
        <v>2672</v>
      </c>
      <c r="B33" s="1225" t="s">
        <v>2673</v>
      </c>
      <c r="C33" s="1225" t="s">
        <v>2674</v>
      </c>
      <c r="D33" s="1225" t="s">
        <v>122</v>
      </c>
      <c r="E33" s="1226"/>
      <c r="F33" s="1226"/>
      <c r="G33" s="1226"/>
      <c r="H33" s="1226"/>
      <c r="I33" s="1226"/>
      <c r="J33" s="1226"/>
      <c r="K33" s="1226"/>
      <c r="L33" s="1226"/>
      <c r="M33" s="1226"/>
      <c r="N33" s="1226"/>
      <c r="O33" s="1226"/>
      <c r="P33" s="1226"/>
      <c r="Q33" s="1226"/>
      <c r="R33" s="1226"/>
      <c r="S33" s="1226"/>
      <c r="T33" s="1226"/>
      <c r="U33" s="1226"/>
      <c r="V33" s="1226"/>
      <c r="W33" s="1226"/>
      <c r="X33" s="1226"/>
      <c r="Y33" s="1226"/>
      <c r="Z33" s="1228"/>
    </row>
    <row r="34" spans="1:26" ht="16.05" customHeight="1" x14ac:dyDescent="0.3">
      <c r="A34" s="1598" t="s">
        <v>2675</v>
      </c>
      <c r="B34" s="1223" t="s">
        <v>2676</v>
      </c>
      <c r="C34" s="1223" t="s">
        <v>2677</v>
      </c>
      <c r="D34" s="1223" t="s">
        <v>2678</v>
      </c>
      <c r="E34" s="1224"/>
      <c r="F34" s="1224"/>
      <c r="G34" s="1224"/>
      <c r="H34" s="1224"/>
      <c r="I34" s="1224"/>
      <c r="J34" s="1224"/>
      <c r="K34" s="1224"/>
      <c r="L34" s="1224"/>
      <c r="M34" s="1224"/>
      <c r="N34" s="1224"/>
      <c r="O34" s="1224"/>
      <c r="P34" s="1224"/>
      <c r="Q34" s="1224"/>
      <c r="R34" s="1224"/>
      <c r="S34" s="1224"/>
      <c r="T34" s="1224"/>
      <c r="U34" s="1224"/>
      <c r="V34" s="1224"/>
      <c r="W34" s="1224"/>
      <c r="X34" s="1224"/>
      <c r="Y34" s="1224"/>
      <c r="Z34" s="1227"/>
    </row>
    <row r="35" spans="1:26" ht="16.05" customHeight="1" x14ac:dyDescent="0.3">
      <c r="A35" s="1231" t="s">
        <v>2679</v>
      </c>
      <c r="B35" s="1225" t="s">
        <v>2680</v>
      </c>
      <c r="C35" s="1225" t="s">
        <v>2681</v>
      </c>
      <c r="D35" s="1225" t="s">
        <v>2682</v>
      </c>
      <c r="E35" s="1226"/>
      <c r="F35" s="1226"/>
      <c r="G35" s="1226"/>
      <c r="H35" s="1226"/>
      <c r="I35" s="1226"/>
      <c r="J35" s="1226"/>
      <c r="K35" s="1226"/>
      <c r="L35" s="1226"/>
      <c r="M35" s="1226"/>
      <c r="N35" s="1226"/>
      <c r="O35" s="1226"/>
      <c r="P35" s="1226"/>
      <c r="Q35" s="1226"/>
      <c r="R35" s="1226"/>
      <c r="S35" s="1226"/>
      <c r="T35" s="1226"/>
      <c r="U35" s="1226"/>
      <c r="V35" s="1226"/>
      <c r="W35" s="1226"/>
      <c r="X35" s="1226"/>
      <c r="Y35" s="1226"/>
      <c r="Z35" s="1228"/>
    </row>
    <row r="36" spans="1:26" ht="16.05" customHeight="1" x14ac:dyDescent="0.3">
      <c r="A36" s="1598" t="s">
        <v>2683</v>
      </c>
      <c r="B36" s="1223" t="s">
        <v>2684</v>
      </c>
      <c r="C36" s="1223" t="s">
        <v>2685</v>
      </c>
      <c r="D36" s="1223" t="s">
        <v>2686</v>
      </c>
      <c r="E36" s="1224"/>
      <c r="F36" s="1224"/>
      <c r="G36" s="1224"/>
      <c r="H36" s="1224"/>
      <c r="I36" s="1224"/>
      <c r="J36" s="1224"/>
      <c r="K36" s="1224"/>
      <c r="L36" s="1224"/>
      <c r="M36" s="1224"/>
      <c r="N36" s="1224"/>
      <c r="O36" s="1224"/>
      <c r="P36" s="1224"/>
      <c r="Q36" s="1224"/>
      <c r="R36" s="1224"/>
      <c r="S36" s="1224"/>
      <c r="T36" s="1224"/>
      <c r="U36" s="1224"/>
      <c r="V36" s="1224"/>
      <c r="W36" s="1224"/>
      <c r="X36" s="1224"/>
      <c r="Y36" s="1224"/>
      <c r="Z36" s="1227"/>
    </row>
    <row r="37" spans="1:26" ht="16.05" customHeight="1" x14ac:dyDescent="0.3">
      <c r="A37" s="1231"/>
      <c r="B37" s="1225"/>
      <c r="C37" s="1225"/>
      <c r="D37" s="1225"/>
      <c r="E37" s="1226"/>
      <c r="F37" s="1226"/>
      <c r="G37" s="1226"/>
      <c r="H37" s="1226"/>
      <c r="I37" s="1226"/>
      <c r="J37" s="1226"/>
      <c r="K37" s="1226"/>
      <c r="L37" s="1226"/>
      <c r="M37" s="1226"/>
      <c r="N37" s="1226"/>
      <c r="O37" s="1226"/>
      <c r="P37" s="1226"/>
      <c r="Q37" s="1226"/>
      <c r="R37" s="1226"/>
      <c r="S37" s="1226"/>
      <c r="T37" s="1226"/>
      <c r="U37" s="1226"/>
      <c r="V37" s="1226"/>
      <c r="W37" s="1226"/>
      <c r="X37" s="1226"/>
      <c r="Y37" s="1226"/>
      <c r="Z37" s="1228"/>
    </row>
    <row r="38" spans="1:26" ht="22.05" customHeight="1" x14ac:dyDescent="0.3">
      <c r="A38" s="1905" t="s">
        <v>4414</v>
      </c>
      <c r="B38" s="1906"/>
      <c r="C38" s="1906"/>
      <c r="D38" s="1906"/>
      <c r="E38" s="1906"/>
      <c r="F38" s="1906"/>
      <c r="G38" s="1906"/>
      <c r="H38" s="1906"/>
      <c r="I38" s="1906"/>
      <c r="J38" s="1906"/>
      <c r="K38" s="1906"/>
      <c r="L38" s="1906"/>
      <c r="M38" s="1906"/>
      <c r="N38" s="1906"/>
      <c r="O38" s="1906"/>
      <c r="P38" s="1906"/>
      <c r="Q38" s="1906"/>
      <c r="R38" s="1906"/>
      <c r="S38" s="1906"/>
      <c r="T38" s="1906"/>
      <c r="U38" s="1906"/>
      <c r="V38" s="1906"/>
      <c r="W38" s="1906"/>
      <c r="X38" s="1906"/>
      <c r="Y38" s="1906"/>
      <c r="Z38" s="1907"/>
    </row>
    <row r="39" spans="1:26" ht="16.05" customHeight="1" x14ac:dyDescent="0.3">
      <c r="A39" s="1231" t="s">
        <v>4301</v>
      </c>
      <c r="B39" s="1225" t="s">
        <v>4409</v>
      </c>
      <c r="C39" s="1225" t="s">
        <v>1432</v>
      </c>
      <c r="D39" s="1225"/>
      <c r="E39" s="1226" t="s">
        <v>4410</v>
      </c>
      <c r="F39" s="1226" t="s">
        <v>4411</v>
      </c>
      <c r="G39" s="1226"/>
      <c r="H39" s="1226"/>
      <c r="I39" s="1226"/>
      <c r="J39" s="1226"/>
      <c r="K39" s="1226"/>
      <c r="L39" s="1226"/>
      <c r="M39" s="1226"/>
      <c r="N39" s="1226"/>
      <c r="O39" s="1226"/>
      <c r="P39" s="1226"/>
      <c r="Q39" s="1226"/>
      <c r="R39" s="1226"/>
      <c r="S39" s="1226"/>
      <c r="T39" s="1226"/>
      <c r="U39" s="1226"/>
      <c r="V39" s="1226"/>
      <c r="W39" s="1226"/>
      <c r="X39" s="1226"/>
      <c r="Y39" s="1226"/>
      <c r="Z39" s="1228" t="s">
        <v>4300</v>
      </c>
    </row>
    <row r="40" spans="1:26" ht="16.05" customHeight="1" x14ac:dyDescent="0.3">
      <c r="A40" s="1598" t="s">
        <v>4302</v>
      </c>
      <c r="B40" s="1223"/>
      <c r="C40" s="1223"/>
      <c r="D40" s="1223"/>
      <c r="E40" s="1224"/>
      <c r="F40" s="1224"/>
      <c r="G40" s="1224"/>
      <c r="H40" s="1224"/>
      <c r="I40" s="1224"/>
      <c r="J40" s="1224"/>
      <c r="K40" s="1224"/>
      <c r="L40" s="1224"/>
      <c r="M40" s="1224"/>
      <c r="N40" s="1224"/>
      <c r="O40" s="1224"/>
      <c r="P40" s="1224"/>
      <c r="Q40" s="1224"/>
      <c r="R40" s="1224"/>
      <c r="S40" s="1224"/>
      <c r="T40" s="1224"/>
      <c r="U40" s="1224"/>
      <c r="V40" s="1224"/>
      <c r="W40" s="1224"/>
      <c r="X40" s="1224"/>
      <c r="Y40" s="1224"/>
      <c r="Z40" s="1227"/>
    </row>
    <row r="41" spans="1:26" ht="16.05" customHeight="1" x14ac:dyDescent="0.3">
      <c r="A41" s="1231" t="s">
        <v>4313</v>
      </c>
      <c r="B41" s="1225"/>
      <c r="C41" s="1225"/>
      <c r="D41" s="1225"/>
      <c r="E41" s="1226"/>
      <c r="F41" s="1226"/>
      <c r="G41" s="1226"/>
      <c r="H41" s="1226"/>
      <c r="I41" s="1226"/>
      <c r="J41" s="1226"/>
      <c r="K41" s="1226"/>
      <c r="L41" s="1226"/>
      <c r="M41" s="1226"/>
      <c r="N41" s="1226"/>
      <c r="O41" s="1226"/>
      <c r="P41" s="1226"/>
      <c r="Q41" s="1226"/>
      <c r="R41" s="1226"/>
      <c r="S41" s="1226"/>
      <c r="T41" s="1226"/>
      <c r="U41" s="1226"/>
      <c r="V41" s="1226"/>
      <c r="W41" s="1226"/>
      <c r="X41" s="1226"/>
      <c r="Y41" s="1226"/>
      <c r="Z41" s="1228"/>
    </row>
    <row r="42" spans="1:26" ht="16.05" customHeight="1" x14ac:dyDescent="0.3">
      <c r="A42" s="1598" t="s">
        <v>1433</v>
      </c>
      <c r="B42" s="1223">
        <v>1.065904838717</v>
      </c>
      <c r="C42" s="1223"/>
      <c r="D42" s="1223"/>
      <c r="E42" s="1224"/>
      <c r="F42" s="1224"/>
      <c r="G42" s="1224"/>
      <c r="H42" s="1224"/>
      <c r="I42" s="1224"/>
      <c r="J42" s="1224"/>
      <c r="K42" s="1224"/>
      <c r="L42" s="1224"/>
      <c r="M42" s="1224"/>
      <c r="N42" s="1224"/>
      <c r="O42" s="1224"/>
      <c r="P42" s="1224"/>
      <c r="Q42" s="1224"/>
      <c r="R42" s="1224"/>
      <c r="S42" s="1224"/>
      <c r="T42" s="1224"/>
      <c r="U42" s="1224"/>
      <c r="V42" s="1224"/>
      <c r="W42" s="1224"/>
      <c r="X42" s="1224"/>
      <c r="Y42" s="1224"/>
      <c r="Z42" s="1227"/>
    </row>
    <row r="43" spans="1:26" ht="16.05" customHeight="1" x14ac:dyDescent="0.3">
      <c r="A43" s="1950" t="s">
        <v>1434</v>
      </c>
      <c r="B43" s="1225">
        <v>0.40003606491564098</v>
      </c>
      <c r="C43" s="1225"/>
      <c r="D43" s="1225"/>
      <c r="E43" s="1226"/>
      <c r="F43" s="1226"/>
      <c r="G43" s="1226"/>
      <c r="H43" s="1226"/>
      <c r="I43" s="1226"/>
      <c r="J43" s="1226"/>
      <c r="K43" s="1226"/>
      <c r="L43" s="1226"/>
      <c r="M43" s="1226"/>
      <c r="N43" s="1226"/>
      <c r="O43" s="1226"/>
      <c r="P43" s="1226"/>
      <c r="Q43" s="1226"/>
      <c r="R43" s="1226"/>
      <c r="S43" s="1226"/>
      <c r="T43" s="1226"/>
      <c r="U43" s="1226"/>
      <c r="V43" s="1226"/>
      <c r="W43" s="1226"/>
      <c r="X43" s="1226"/>
      <c r="Y43" s="1226"/>
      <c r="Z43" s="1228"/>
    </row>
    <row r="44" spans="1:26" ht="16.05" customHeight="1" x14ac:dyDescent="0.3">
      <c r="A44" s="1598" t="s">
        <v>4314</v>
      </c>
      <c r="B44" s="1223" t="s">
        <v>4412</v>
      </c>
      <c r="C44" s="1223"/>
      <c r="D44" s="1223"/>
      <c r="E44" s="1224"/>
      <c r="F44" s="1224"/>
      <c r="G44" s="1224"/>
      <c r="H44" s="1224"/>
      <c r="I44" s="1224"/>
      <c r="J44" s="1224"/>
      <c r="K44" s="1224"/>
      <c r="L44" s="1224"/>
      <c r="M44" s="1224"/>
      <c r="N44" s="1224"/>
      <c r="O44" s="1224"/>
      <c r="P44" s="1224"/>
      <c r="Q44" s="1224"/>
      <c r="R44" s="1224"/>
      <c r="S44" s="1224"/>
      <c r="T44" s="1224"/>
      <c r="U44" s="1224"/>
      <c r="V44" s="1224"/>
      <c r="W44" s="1224"/>
      <c r="X44" s="1224"/>
      <c r="Y44" s="1224"/>
      <c r="Z44" s="1227"/>
    </row>
    <row r="45" spans="1:26" ht="16.05" customHeight="1" x14ac:dyDescent="0.3">
      <c r="A45" s="1231" t="s">
        <v>1435</v>
      </c>
      <c r="B45" s="1225" t="s">
        <v>1465</v>
      </c>
      <c r="C45" s="1225"/>
      <c r="D45" s="1225"/>
      <c r="E45" s="1226"/>
      <c r="F45" s="1226"/>
      <c r="G45" s="1226"/>
      <c r="H45" s="1226"/>
      <c r="I45" s="1226"/>
      <c r="J45" s="1226"/>
      <c r="K45" s="1226"/>
      <c r="L45" s="1226"/>
      <c r="M45" s="1226"/>
      <c r="N45" s="1226"/>
      <c r="O45" s="1226"/>
      <c r="P45" s="1226"/>
      <c r="Q45" s="1226"/>
      <c r="R45" s="1226"/>
      <c r="S45" s="1226"/>
      <c r="T45" s="1226"/>
      <c r="U45" s="1226"/>
      <c r="V45" s="1226"/>
      <c r="W45" s="1226"/>
      <c r="X45" s="1226"/>
      <c r="Y45" s="1226"/>
      <c r="Z45" s="1228"/>
    </row>
    <row r="46" spans="1:26" ht="16.05" customHeight="1" x14ac:dyDescent="0.3">
      <c r="A46" s="1950" t="s">
        <v>1436</v>
      </c>
      <c r="B46" s="1223" t="s">
        <v>4413</v>
      </c>
      <c r="C46" s="1223"/>
      <c r="D46" s="1223"/>
      <c r="E46" s="1224"/>
      <c r="F46" s="1224"/>
      <c r="G46" s="1224"/>
      <c r="H46" s="1224"/>
      <c r="I46" s="1224"/>
      <c r="J46" s="1224"/>
      <c r="K46" s="1224"/>
      <c r="L46" s="1224"/>
      <c r="M46" s="1224"/>
      <c r="N46" s="1224"/>
      <c r="O46" s="1224"/>
      <c r="P46" s="1224"/>
      <c r="Q46" s="1224"/>
      <c r="R46" s="1224"/>
      <c r="S46" s="1224"/>
      <c r="T46" s="1224"/>
      <c r="U46" s="1224"/>
      <c r="V46" s="1224"/>
      <c r="W46" s="1224"/>
      <c r="X46" s="1224"/>
      <c r="Y46" s="1224"/>
      <c r="Z46" s="1227"/>
    </row>
    <row r="47" spans="1:26" ht="16.05" customHeight="1" x14ac:dyDescent="0.3">
      <c r="A47" s="1231" t="s">
        <v>1437</v>
      </c>
      <c r="B47" s="1225">
        <v>-0.59996393508435897</v>
      </c>
      <c r="C47" s="1225" t="s">
        <v>4088</v>
      </c>
      <c r="D47" s="1225"/>
      <c r="E47" s="1226"/>
      <c r="F47" s="1226"/>
      <c r="G47" s="1226"/>
      <c r="H47" s="1226"/>
      <c r="I47" s="1226"/>
      <c r="J47" s="1226"/>
      <c r="K47" s="1226"/>
      <c r="L47" s="1226"/>
      <c r="M47" s="1226"/>
      <c r="N47" s="1226"/>
      <c r="O47" s="1226"/>
      <c r="P47" s="1226"/>
      <c r="Q47" s="1226"/>
      <c r="R47" s="1226"/>
      <c r="S47" s="1226"/>
      <c r="T47" s="1226"/>
      <c r="U47" s="1226"/>
      <c r="V47" s="1226"/>
      <c r="W47" s="1226"/>
      <c r="X47" s="1226"/>
      <c r="Y47" s="1226"/>
      <c r="Z47" s="1228"/>
    </row>
    <row r="48" spans="1:26" ht="16.05" customHeight="1" x14ac:dyDescent="0.3">
      <c r="A48" s="1598"/>
      <c r="B48" s="1223"/>
      <c r="C48" s="1223"/>
      <c r="D48" s="1223"/>
      <c r="E48" s="1224"/>
      <c r="F48" s="1224"/>
      <c r="G48" s="1224"/>
      <c r="H48" s="1224"/>
      <c r="I48" s="1224"/>
      <c r="J48" s="1224"/>
      <c r="K48" s="1224"/>
      <c r="L48" s="1224"/>
      <c r="M48" s="1224"/>
      <c r="N48" s="1224"/>
      <c r="O48" s="1224"/>
      <c r="P48" s="1224"/>
      <c r="Q48" s="1224"/>
      <c r="R48" s="1224"/>
      <c r="S48" s="1224"/>
      <c r="T48" s="1224"/>
      <c r="U48" s="1224"/>
      <c r="V48" s="1224"/>
      <c r="W48" s="1224"/>
      <c r="X48" s="1224"/>
      <c r="Y48" s="1224"/>
      <c r="Z48" s="1227"/>
    </row>
    <row r="49" spans="1:26" ht="31.95" customHeight="1" x14ac:dyDescent="0.3">
      <c r="A49" s="1950" t="s">
        <v>4315</v>
      </c>
      <c r="B49" s="1908"/>
      <c r="C49" s="1909"/>
      <c r="D49" s="1909"/>
      <c r="E49" s="1909"/>
      <c r="F49" s="1909"/>
      <c r="G49" s="1909"/>
      <c r="H49" s="1909"/>
      <c r="I49" s="1909"/>
      <c r="J49" s="1909"/>
      <c r="K49" s="1909"/>
      <c r="L49" s="1909"/>
      <c r="M49" s="1909"/>
      <c r="N49" s="1909"/>
      <c r="O49" s="1909"/>
      <c r="P49" s="1909"/>
      <c r="Q49" s="1909"/>
      <c r="R49" s="1909"/>
      <c r="S49" s="1909"/>
      <c r="T49" s="1909"/>
      <c r="U49" s="1909"/>
      <c r="V49" s="1909"/>
      <c r="W49" s="1909"/>
      <c r="X49" s="1909"/>
      <c r="Y49" s="1909"/>
      <c r="Z49" s="1910"/>
    </row>
    <row r="50" spans="1:26" ht="16.05" customHeight="1" x14ac:dyDescent="0.3">
      <c r="A50" s="1598" t="s">
        <v>4316</v>
      </c>
      <c r="B50" s="1223" t="s">
        <v>4317</v>
      </c>
      <c r="C50" s="1223"/>
      <c r="D50" s="1223"/>
      <c r="E50" s="1224"/>
      <c r="F50" s="1224"/>
      <c r="G50" s="1224"/>
      <c r="H50" s="1224"/>
      <c r="I50" s="1224"/>
      <c r="J50" s="1224"/>
      <c r="K50" s="1224"/>
      <c r="L50" s="1224"/>
      <c r="M50" s="1224"/>
      <c r="N50" s="1224"/>
      <c r="O50" s="1224"/>
      <c r="P50" s="1224"/>
      <c r="Q50" s="1224"/>
      <c r="R50" s="1224"/>
      <c r="S50" s="1224"/>
      <c r="T50" s="1224"/>
      <c r="U50" s="1224"/>
      <c r="V50" s="1224"/>
      <c r="W50" s="1224"/>
      <c r="X50" s="1224"/>
      <c r="Y50" s="1224"/>
      <c r="Z50" s="1227"/>
    </row>
    <row r="51" spans="1:26" ht="16.05" customHeight="1" x14ac:dyDescent="0.3">
      <c r="A51" s="1231" t="s">
        <v>4318</v>
      </c>
      <c r="B51" s="1225" t="s">
        <v>4319</v>
      </c>
      <c r="C51" s="1225"/>
      <c r="D51" s="1225"/>
      <c r="E51" s="1226"/>
      <c r="F51" s="1226"/>
      <c r="G51" s="1226"/>
      <c r="H51" s="1226"/>
      <c r="I51" s="1226"/>
      <c r="J51" s="1226"/>
      <c r="K51" s="1226"/>
      <c r="L51" s="1226"/>
      <c r="M51" s="1226"/>
      <c r="N51" s="1226"/>
      <c r="O51" s="1226"/>
      <c r="P51" s="1226"/>
      <c r="Q51" s="1226"/>
      <c r="R51" s="1226"/>
      <c r="S51" s="1226"/>
      <c r="T51" s="1226"/>
      <c r="U51" s="1226"/>
      <c r="V51" s="1226"/>
      <c r="W51" s="1226"/>
      <c r="X51" s="1226"/>
      <c r="Y51" s="1226"/>
      <c r="Z51" s="1228"/>
    </row>
    <row r="52" spans="1:26" ht="16.05" customHeight="1" x14ac:dyDescent="0.3">
      <c r="A52" s="1598" t="s">
        <v>4320</v>
      </c>
      <c r="B52" s="1223" t="s">
        <v>4321</v>
      </c>
      <c r="C52" s="1223"/>
      <c r="D52" s="1223"/>
      <c r="E52" s="1224"/>
      <c r="F52" s="1224"/>
      <c r="G52" s="1224"/>
      <c r="H52" s="1224"/>
      <c r="I52" s="1224"/>
      <c r="J52" s="1224"/>
      <c r="K52" s="1224"/>
      <c r="L52" s="1224"/>
      <c r="M52" s="1224"/>
      <c r="N52" s="1224"/>
      <c r="O52" s="1224"/>
      <c r="P52" s="1224"/>
      <c r="Q52" s="1224"/>
      <c r="R52" s="1224"/>
      <c r="S52" s="1224"/>
      <c r="T52" s="1224"/>
      <c r="U52" s="1224"/>
      <c r="V52" s="1224"/>
      <c r="W52" s="1224"/>
      <c r="X52" s="1224"/>
      <c r="Y52" s="1224"/>
      <c r="Z52" s="1227"/>
    </row>
    <row r="53" spans="1:26" ht="16.05" customHeight="1" x14ac:dyDescent="0.3">
      <c r="A53" s="1231" t="s">
        <v>4322</v>
      </c>
      <c r="B53" s="1225" t="s">
        <v>4323</v>
      </c>
      <c r="C53" s="1225"/>
      <c r="D53" s="1225"/>
      <c r="E53" s="1226"/>
      <c r="F53" s="1226"/>
      <c r="G53" s="1226"/>
      <c r="H53" s="1226"/>
      <c r="I53" s="1226"/>
      <c r="J53" s="1226"/>
      <c r="K53" s="1226"/>
      <c r="L53" s="1226"/>
      <c r="M53" s="1226"/>
      <c r="N53" s="1226"/>
      <c r="O53" s="1226"/>
      <c r="P53" s="1226"/>
      <c r="Q53" s="1226"/>
      <c r="R53" s="1226"/>
      <c r="S53" s="1226"/>
      <c r="T53" s="1226"/>
      <c r="U53" s="1226"/>
      <c r="V53" s="1226"/>
      <c r="W53" s="1226"/>
      <c r="X53" s="1226"/>
      <c r="Y53" s="1226"/>
      <c r="Z53" s="1228"/>
    </row>
    <row r="54" spans="1:26" ht="16.05" customHeight="1" x14ac:dyDescent="0.3">
      <c r="A54" s="1598" t="s">
        <v>4324</v>
      </c>
      <c r="B54" s="1223" t="s">
        <v>4325</v>
      </c>
      <c r="C54" s="1223"/>
      <c r="D54" s="1223"/>
      <c r="E54" s="1224"/>
      <c r="F54" s="1224"/>
      <c r="G54" s="1224"/>
      <c r="H54" s="1224"/>
      <c r="I54" s="1224"/>
      <c r="J54" s="1224"/>
      <c r="K54" s="1224"/>
      <c r="L54" s="1224"/>
      <c r="M54" s="1224"/>
      <c r="N54" s="1224"/>
      <c r="O54" s="1224"/>
      <c r="P54" s="1224"/>
      <c r="Q54" s="1224"/>
      <c r="R54" s="1224"/>
      <c r="S54" s="1224"/>
      <c r="T54" s="1224"/>
      <c r="U54" s="1224"/>
      <c r="V54" s="1224"/>
      <c r="W54" s="1224"/>
      <c r="X54" s="1224"/>
      <c r="Y54" s="1224"/>
      <c r="Z54" s="1227"/>
    </row>
    <row r="55" spans="1:26" ht="16.05" customHeight="1" x14ac:dyDescent="0.3">
      <c r="A55" s="1231" t="s">
        <v>4326</v>
      </c>
      <c r="B55" s="1225" t="s">
        <v>4327</v>
      </c>
      <c r="C55" s="1225"/>
      <c r="D55" s="1225"/>
      <c r="E55" s="1226"/>
      <c r="F55" s="1226"/>
      <c r="G55" s="1226"/>
      <c r="H55" s="1226"/>
      <c r="I55" s="1226"/>
      <c r="J55" s="1226"/>
      <c r="K55" s="1226"/>
      <c r="L55" s="1226"/>
      <c r="M55" s="1226"/>
      <c r="N55" s="1226"/>
      <c r="O55" s="1226"/>
      <c r="P55" s="1226"/>
      <c r="Q55" s="1226"/>
      <c r="R55" s="1226"/>
      <c r="S55" s="1226"/>
      <c r="T55" s="1226"/>
      <c r="U55" s="1226"/>
      <c r="V55" s="1226"/>
      <c r="W55" s="1226"/>
      <c r="X55" s="1226"/>
      <c r="Y55" s="1226"/>
      <c r="Z55" s="1228"/>
    </row>
    <row r="56" spans="1:26" ht="16.05" customHeight="1" x14ac:dyDescent="0.3">
      <c r="A56" s="1598" t="s">
        <v>4328</v>
      </c>
      <c r="B56" s="1223" t="s">
        <v>4329</v>
      </c>
      <c r="C56" s="1223"/>
      <c r="D56" s="1223"/>
      <c r="E56" s="1224"/>
      <c r="F56" s="1224"/>
      <c r="G56" s="1224"/>
      <c r="H56" s="1224"/>
      <c r="I56" s="1224"/>
      <c r="J56" s="1224"/>
      <c r="K56" s="1224"/>
      <c r="L56" s="1224"/>
      <c r="M56" s="1224"/>
      <c r="N56" s="1224"/>
      <c r="O56" s="1224"/>
      <c r="P56" s="1224"/>
      <c r="Q56" s="1224"/>
      <c r="R56" s="1224"/>
      <c r="S56" s="1224"/>
      <c r="T56" s="1224"/>
      <c r="U56" s="1224"/>
      <c r="V56" s="1224"/>
      <c r="W56" s="1224"/>
      <c r="X56" s="1224"/>
      <c r="Y56" s="1224"/>
      <c r="Z56" s="1227"/>
    </row>
    <row r="57" spans="1:26" ht="16.05" customHeight="1" x14ac:dyDescent="0.3">
      <c r="A57" s="1231" t="s">
        <v>4330</v>
      </c>
      <c r="B57" s="1225" t="s">
        <v>4331</v>
      </c>
      <c r="C57" s="1225"/>
      <c r="D57" s="1225"/>
      <c r="E57" s="1226"/>
      <c r="F57" s="1226"/>
      <c r="G57" s="1226"/>
      <c r="H57" s="1226"/>
      <c r="I57" s="1226"/>
      <c r="J57" s="1226"/>
      <c r="K57" s="1226"/>
      <c r="L57" s="1226"/>
      <c r="M57" s="1226"/>
      <c r="N57" s="1226"/>
      <c r="O57" s="1226"/>
      <c r="P57" s="1226"/>
      <c r="Q57" s="1226"/>
      <c r="R57" s="1226"/>
      <c r="S57" s="1226"/>
      <c r="T57" s="1226"/>
      <c r="U57" s="1226"/>
      <c r="V57" s="1226"/>
      <c r="W57" s="1226"/>
      <c r="X57" s="1226"/>
      <c r="Y57" s="1226"/>
      <c r="Z57" s="1228"/>
    </row>
    <row r="58" spans="1:26" ht="16.05" customHeight="1" x14ac:dyDescent="0.3">
      <c r="A58" s="1598" t="s">
        <v>4332</v>
      </c>
      <c r="B58" s="1223" t="s">
        <v>4333</v>
      </c>
      <c r="C58" s="1223"/>
      <c r="D58" s="1223"/>
      <c r="E58" s="1224"/>
      <c r="F58" s="1224"/>
      <c r="G58" s="1224"/>
      <c r="H58" s="1224"/>
      <c r="I58" s="1224"/>
      <c r="J58" s="1224"/>
      <c r="K58" s="1224"/>
      <c r="L58" s="1224"/>
      <c r="M58" s="1224"/>
      <c r="N58" s="1224"/>
      <c r="O58" s="1224"/>
      <c r="P58" s="1224"/>
      <c r="Q58" s="1224"/>
      <c r="R58" s="1224"/>
      <c r="S58" s="1224"/>
      <c r="T58" s="1224"/>
      <c r="U58" s="1224"/>
      <c r="V58" s="1224"/>
      <c r="W58" s="1224"/>
      <c r="X58" s="1224"/>
      <c r="Y58" s="1224"/>
      <c r="Z58" s="1227"/>
    </row>
    <row r="59" spans="1:26" ht="16.05" customHeight="1" x14ac:dyDescent="0.3">
      <c r="A59" s="1231" t="s">
        <v>4334</v>
      </c>
      <c r="B59" s="1225" t="s">
        <v>4335</v>
      </c>
      <c r="C59" s="1225"/>
      <c r="D59" s="1225"/>
      <c r="E59" s="1226"/>
      <c r="F59" s="1226"/>
      <c r="G59" s="1226"/>
      <c r="H59" s="1226"/>
      <c r="I59" s="1226"/>
      <c r="J59" s="1226"/>
      <c r="K59" s="1226"/>
      <c r="L59" s="1226"/>
      <c r="M59" s="1226"/>
      <c r="N59" s="1226"/>
      <c r="O59" s="1226"/>
      <c r="P59" s="1226"/>
      <c r="Q59" s="1226"/>
      <c r="R59" s="1226"/>
      <c r="S59" s="1226"/>
      <c r="T59" s="1226"/>
      <c r="U59" s="1226"/>
      <c r="V59" s="1226"/>
      <c r="W59" s="1226"/>
      <c r="X59" s="1226"/>
      <c r="Y59" s="1226"/>
      <c r="Z59" s="1228"/>
    </row>
    <row r="60" spans="1:26" ht="16.05" customHeight="1" x14ac:dyDescent="0.3">
      <c r="A60" s="1598"/>
      <c r="B60" s="1223"/>
      <c r="C60" s="1223"/>
      <c r="D60" s="1223"/>
      <c r="E60" s="1224"/>
      <c r="F60" s="1224"/>
      <c r="G60" s="1224"/>
      <c r="H60" s="1224"/>
      <c r="I60" s="1224"/>
      <c r="J60" s="1224"/>
      <c r="K60" s="1224"/>
      <c r="L60" s="1224"/>
      <c r="M60" s="1224"/>
      <c r="N60" s="1224"/>
      <c r="O60" s="1224"/>
      <c r="P60" s="1224"/>
      <c r="Q60" s="1224"/>
      <c r="R60" s="1224"/>
      <c r="S60" s="1224"/>
      <c r="T60" s="1224"/>
      <c r="U60" s="1224"/>
      <c r="V60" s="1224"/>
      <c r="W60" s="1224"/>
      <c r="X60" s="1224"/>
      <c r="Y60" s="1224"/>
      <c r="Z60" s="1227"/>
    </row>
    <row r="61" spans="1:26" ht="19.95" customHeight="1" x14ac:dyDescent="0.3">
      <c r="A61" s="1882" t="s">
        <v>4336</v>
      </c>
      <c r="B61" s="1749"/>
      <c r="C61" s="1749"/>
      <c r="D61" s="1749"/>
      <c r="E61" s="1749"/>
      <c r="F61" s="1749"/>
      <c r="G61" s="1749"/>
      <c r="H61" s="1749"/>
      <c r="I61" s="1749"/>
      <c r="J61" s="1749"/>
      <c r="K61" s="1749"/>
      <c r="L61" s="1749"/>
      <c r="M61" s="1749"/>
      <c r="N61" s="1749"/>
      <c r="O61" s="1749"/>
      <c r="P61" s="1749"/>
      <c r="Q61" s="1749"/>
      <c r="R61" s="1749"/>
      <c r="S61" s="1749"/>
      <c r="T61" s="1749"/>
      <c r="U61" s="1749"/>
      <c r="V61" s="1749"/>
      <c r="W61" s="1749"/>
      <c r="X61" s="1749"/>
      <c r="Y61" s="1749"/>
      <c r="Z61" s="1883"/>
    </row>
    <row r="62" spans="1:26" ht="16.05" customHeight="1" x14ac:dyDescent="0.3">
      <c r="A62" s="1598" t="s">
        <v>85</v>
      </c>
      <c r="B62" s="1223" t="s">
        <v>4337</v>
      </c>
      <c r="C62" s="1223" t="s">
        <v>4338</v>
      </c>
      <c r="D62" s="1223" t="s">
        <v>4339</v>
      </c>
      <c r="E62" s="1224" t="s">
        <v>3440</v>
      </c>
      <c r="F62" s="1224"/>
      <c r="G62" s="1224"/>
      <c r="H62" s="1224"/>
      <c r="I62" s="1224"/>
      <c r="J62" s="1224"/>
      <c r="K62" s="1224"/>
      <c r="L62" s="1224"/>
      <c r="M62" s="1224"/>
      <c r="N62" s="1224"/>
      <c r="O62" s="1224"/>
      <c r="P62" s="1224"/>
      <c r="Q62" s="1224"/>
      <c r="R62" s="1224"/>
      <c r="S62" s="1224"/>
      <c r="T62" s="1224"/>
      <c r="U62" s="1224"/>
      <c r="V62" s="1224"/>
      <c r="W62" s="1224"/>
      <c r="X62" s="1224"/>
      <c r="Y62" s="1224"/>
      <c r="Z62" s="1227"/>
    </row>
    <row r="63" spans="1:26" ht="16.05" customHeight="1" x14ac:dyDescent="0.3">
      <c r="A63" s="1231" t="s">
        <v>4340</v>
      </c>
      <c r="B63" s="1225" t="s">
        <v>4341</v>
      </c>
      <c r="C63" s="1225" t="s">
        <v>4342</v>
      </c>
      <c r="D63" s="1225" t="s">
        <v>1441</v>
      </c>
      <c r="E63" s="1226" t="s">
        <v>4343</v>
      </c>
      <c r="F63" s="1226"/>
      <c r="G63" s="1226"/>
      <c r="H63" s="1226"/>
      <c r="I63" s="1226"/>
      <c r="J63" s="1226"/>
      <c r="K63" s="1226"/>
      <c r="L63" s="1226"/>
      <c r="M63" s="1226"/>
      <c r="N63" s="1226"/>
      <c r="O63" s="1226"/>
      <c r="P63" s="1226"/>
      <c r="Q63" s="1226"/>
      <c r="R63" s="1226"/>
      <c r="S63" s="1226"/>
      <c r="T63" s="1226"/>
      <c r="U63" s="1226"/>
      <c r="V63" s="1226"/>
      <c r="W63" s="1226"/>
      <c r="X63" s="1226"/>
      <c r="Y63" s="1226"/>
      <c r="Z63" s="1228"/>
    </row>
    <row r="64" spans="1:26" ht="16.05" customHeight="1" x14ac:dyDescent="0.3">
      <c r="A64" s="1598" t="s">
        <v>4344</v>
      </c>
      <c r="B64" s="1223" t="s">
        <v>4345</v>
      </c>
      <c r="C64" s="1223" t="s">
        <v>1644</v>
      </c>
      <c r="D64" s="1223" t="s">
        <v>1445</v>
      </c>
      <c r="E64" s="1224" t="s">
        <v>4346</v>
      </c>
      <c r="F64" s="1224" t="s">
        <v>4350</v>
      </c>
      <c r="G64" s="1224"/>
      <c r="H64" s="1224"/>
      <c r="I64" s="1224"/>
      <c r="J64" s="1224"/>
      <c r="K64" s="1224"/>
      <c r="L64" s="1224"/>
      <c r="M64" s="1224"/>
      <c r="N64" s="1224"/>
      <c r="O64" s="1224"/>
      <c r="P64" s="1224"/>
      <c r="Q64" s="1224"/>
      <c r="R64" s="1224"/>
      <c r="S64" s="1224"/>
      <c r="T64" s="1224"/>
      <c r="U64" s="1224"/>
      <c r="V64" s="1224"/>
      <c r="W64" s="1224"/>
      <c r="X64" s="1224"/>
      <c r="Y64" s="1224"/>
      <c r="Z64" s="1227"/>
    </row>
    <row r="65" spans="1:26" ht="16.05" customHeight="1" x14ac:dyDescent="0.3">
      <c r="A65" s="1231" t="s">
        <v>4347</v>
      </c>
      <c r="B65" s="1225" t="s">
        <v>3184</v>
      </c>
      <c r="C65" s="1225" t="s">
        <v>1650</v>
      </c>
      <c r="D65" s="1225" t="s">
        <v>1465</v>
      </c>
      <c r="E65" s="1226" t="s">
        <v>4348</v>
      </c>
      <c r="F65" s="1226"/>
      <c r="G65" s="1226"/>
      <c r="H65" s="1226"/>
      <c r="I65" s="1226"/>
      <c r="J65" s="1226"/>
      <c r="K65" s="1226"/>
      <c r="L65" s="1226"/>
      <c r="M65" s="1226"/>
      <c r="N65" s="1226"/>
      <c r="O65" s="1226"/>
      <c r="P65" s="1226"/>
      <c r="Q65" s="1226"/>
      <c r="R65" s="1226"/>
      <c r="S65" s="1226"/>
      <c r="T65" s="1226"/>
      <c r="U65" s="1226"/>
      <c r="V65" s="1226"/>
      <c r="W65" s="1226"/>
      <c r="X65" s="1226"/>
      <c r="Y65" s="1226"/>
      <c r="Z65" s="1228"/>
    </row>
    <row r="66" spans="1:26" ht="16.05" customHeight="1" thickBot="1" x14ac:dyDescent="0.35">
      <c r="A66" s="1602" t="s">
        <v>1469</v>
      </c>
      <c r="B66" s="1599" t="s">
        <v>3187</v>
      </c>
      <c r="C66" s="1599" t="s">
        <v>1654</v>
      </c>
      <c r="D66" s="1599" t="s">
        <v>1453</v>
      </c>
      <c r="E66" s="1600" t="s">
        <v>4349</v>
      </c>
      <c r="F66" s="1600"/>
      <c r="G66" s="1600"/>
      <c r="H66" s="1600"/>
      <c r="I66" s="1600"/>
      <c r="J66" s="1600"/>
      <c r="K66" s="1600"/>
      <c r="L66" s="1600"/>
      <c r="M66" s="1600"/>
      <c r="N66" s="1600"/>
      <c r="O66" s="1600"/>
      <c r="P66" s="1600"/>
      <c r="Q66" s="1600"/>
      <c r="R66" s="1600"/>
      <c r="S66" s="1600"/>
      <c r="T66" s="1600"/>
      <c r="U66" s="1600"/>
      <c r="V66" s="1600"/>
      <c r="W66" s="1600"/>
      <c r="X66" s="1600"/>
      <c r="Y66" s="1600"/>
      <c r="Z66" s="1601"/>
    </row>
    <row r="67" spans="1:26" ht="15" thickTop="1" x14ac:dyDescent="0.3"/>
  </sheetData>
  <mergeCells count="5">
    <mergeCell ref="A1:L1"/>
    <mergeCell ref="A4:Z4"/>
    <mergeCell ref="A38:Z38"/>
    <mergeCell ref="B49:Z49"/>
    <mergeCell ref="A61:Z61"/>
  </mergeCells>
  <hyperlinks>
    <hyperlink ref="Z1" location="'M-INDEX'!A1" tooltip="Volver al Índice Principal" display="⌂ ÍNDICE" xr:uid="{9E1B6B28-E357-4FB1-91EA-3A556477EB59}"/>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3CDEB-76FF-40B6-A816-BB61FE45C8D9}">
  <sheetPr>
    <tabColor rgb="FFB8CCE4"/>
  </sheetPr>
  <dimension ref="A1:Z317"/>
  <sheetViews>
    <sheetView showGridLines="0" zoomScale="115" zoomScaleNormal="115" workbookViewId="0">
      <pane ySplit="2" topLeftCell="A17" activePane="bottomLeft" state="frozen"/>
      <selection pane="bottomLeft" sqref="A1:Z1"/>
    </sheetView>
  </sheetViews>
  <sheetFormatPr baseColWidth="10" defaultRowHeight="14.4" x14ac:dyDescent="0.3"/>
  <cols>
    <col min="1" max="1" width="5.21875" customWidth="1"/>
    <col min="2" max="2" width="25.88671875" customWidth="1"/>
    <col min="3" max="3" width="35.21875" customWidth="1"/>
    <col min="4" max="4" width="31.44140625" customWidth="1"/>
    <col min="5" max="5" width="25.88671875" customWidth="1"/>
    <col min="6" max="7" width="10.21875" customWidth="1"/>
    <col min="8" max="8" width="8.33203125" customWidth="1"/>
    <col min="9" max="10" width="22.21875" customWidth="1"/>
    <col min="11" max="11" width="24.109375" customWidth="1"/>
    <col min="12" max="13" width="12" customWidth="1"/>
    <col min="26" max="26" width="7.88671875" bestFit="1" customWidth="1"/>
  </cols>
  <sheetData>
    <row r="1" spans="1:26" ht="19.95" customHeight="1" x14ac:dyDescent="0.3">
      <c r="A1" s="1917" t="s">
        <v>4770</v>
      </c>
      <c r="B1" s="1749"/>
      <c r="C1" s="1749"/>
      <c r="D1" s="1749"/>
      <c r="E1" s="1749"/>
      <c r="F1" s="1749"/>
      <c r="G1" s="1749"/>
      <c r="H1" s="1749"/>
      <c r="I1" s="1749"/>
      <c r="J1" s="1749"/>
      <c r="K1" s="1749"/>
      <c r="L1" s="1749"/>
      <c r="M1" s="1749"/>
      <c r="N1" s="1749"/>
      <c r="O1" s="1749"/>
      <c r="P1" s="1749"/>
      <c r="Q1" s="1749"/>
      <c r="R1" s="1749"/>
      <c r="S1" s="1749"/>
      <c r="T1" s="1749"/>
      <c r="U1" s="1749"/>
      <c r="V1" s="1749"/>
      <c r="W1" s="1749"/>
      <c r="X1" s="1749"/>
      <c r="Y1" s="1749"/>
      <c r="Z1" s="1749"/>
    </row>
    <row r="2" spans="1:26" ht="19.95" customHeight="1" x14ac:dyDescent="0.3">
      <c r="A2" s="921" t="str">
        <f>HYPERLINK("#'M-INDEX'!A1","⌂ INDICE")</f>
        <v>⌂ INDICE</v>
      </c>
      <c r="B2" s="472" t="str">
        <f>HYPERLINK("#'M1-ITME'!A1","M1")</f>
        <v>M1</v>
      </c>
      <c r="C2" s="472" t="str">
        <f>HYPERLINK("#'M2-PDOT'!A1","M2")</f>
        <v>M2</v>
      </c>
      <c r="D2" s="472" t="str">
        <f>HYPERLINK("#'M3-MAO'!A1","M3")</f>
        <v>M3</v>
      </c>
      <c r="E2" s="472" t="str">
        <f>HYPERLINK("#'M4-AUDIT'!A1","M4")</f>
        <v>M4</v>
      </c>
      <c r="F2" s="472" t="str">
        <f>HYPERLINK("#'M5-ICPI'!A1","M5")</f>
        <v>M5</v>
      </c>
      <c r="G2" s="472" t="str">
        <f>HYPERLINK("#'M6-FEDS'!A1","M6")</f>
        <v>M6</v>
      </c>
      <c r="H2" s="472" t="str">
        <f>HYPERLINK("#'M7-PROSP'!A1","M7")</f>
        <v>M7</v>
      </c>
      <c r="I2" s="472" t="str">
        <f>HYPERLINK("#'DATA-POA'!A1","DATA-POA")</f>
        <v>DATA-POA</v>
      </c>
      <c r="J2" s="472" t="str">
        <f>HYPERLINK("#'DATA-CNE'!A1","DATA-CNE")</f>
        <v>DATA-CNE</v>
      </c>
      <c r="K2" s="472" t="str">
        <f>HYPERLINK("#'DATA-ORG'!A1","DATA-ORG")</f>
        <v>DATA-ORG</v>
      </c>
      <c r="L2" s="472" t="str">
        <f>HYPERLINK("#'M-DASHBOARD'!A1","DASH")</f>
        <v>DASH</v>
      </c>
      <c r="M2" s="1219"/>
      <c r="N2" s="1219"/>
      <c r="O2" s="1219"/>
      <c r="P2" s="1219"/>
      <c r="Q2" s="1219"/>
      <c r="R2" s="1219"/>
      <c r="S2" s="1219"/>
      <c r="T2" s="1219"/>
      <c r="U2" s="1219"/>
      <c r="V2" s="1219"/>
      <c r="W2" s="1219"/>
      <c r="X2" s="1219"/>
      <c r="Y2" s="1219"/>
      <c r="Z2" s="1219"/>
    </row>
    <row r="3" spans="1:26" ht="19.95" customHeight="1" thickBot="1" x14ac:dyDescent="0.35">
      <c r="A3" s="1911" t="s">
        <v>4307</v>
      </c>
      <c r="B3" s="1911"/>
      <c r="C3" s="1911"/>
      <c r="D3" s="1911"/>
      <c r="E3" s="1911"/>
      <c r="F3" s="1911"/>
      <c r="G3" s="1911"/>
      <c r="H3" s="1911"/>
      <c r="I3" s="1911"/>
      <c r="J3" s="1911"/>
      <c r="K3" s="1911"/>
      <c r="L3" s="1911"/>
      <c r="M3" s="1911"/>
      <c r="N3" s="1911"/>
      <c r="O3" s="1911"/>
      <c r="P3" s="1911"/>
      <c r="Q3" s="1911"/>
      <c r="R3" s="1911"/>
      <c r="S3" s="1911"/>
      <c r="T3" s="1911"/>
      <c r="U3" s="1911"/>
      <c r="V3" s="1911"/>
      <c r="W3" s="1911"/>
      <c r="X3" s="1911"/>
      <c r="Y3" s="1911"/>
      <c r="Z3" s="1911"/>
    </row>
    <row r="4" spans="1:26" ht="19.95" customHeight="1" thickTop="1" x14ac:dyDescent="0.3">
      <c r="A4" s="1912" t="s">
        <v>4308</v>
      </c>
      <c r="B4" s="1913"/>
      <c r="C4" s="1913"/>
      <c r="D4" s="1913"/>
      <c r="E4" s="1913"/>
      <c r="F4" s="1913"/>
      <c r="G4" s="1913"/>
      <c r="H4" s="1913"/>
      <c r="I4" s="1913"/>
      <c r="J4" s="1913"/>
      <c r="K4" s="1913"/>
      <c r="L4" s="1913"/>
      <c r="M4" s="1913"/>
      <c r="N4" s="1913"/>
      <c r="O4" s="1913"/>
      <c r="P4" s="1913"/>
      <c r="Q4" s="1913"/>
      <c r="R4" s="1913"/>
      <c r="S4" s="1913"/>
      <c r="T4" s="1913"/>
      <c r="U4" s="1913"/>
      <c r="V4" s="1913"/>
      <c r="W4" s="1913"/>
      <c r="X4" s="1913"/>
      <c r="Y4" s="1913"/>
      <c r="Z4" s="1914"/>
    </row>
    <row r="5" spans="1:26" ht="19.95" customHeight="1" x14ac:dyDescent="0.3">
      <c r="A5" s="1856" t="s">
        <v>4080</v>
      </c>
      <c r="B5" s="1764"/>
      <c r="C5" s="1764"/>
      <c r="D5" s="1764"/>
      <c r="E5" s="1764"/>
      <c r="F5" s="1764"/>
      <c r="G5" s="1764"/>
      <c r="H5" s="1764"/>
      <c r="I5" s="1764"/>
      <c r="J5" s="1764"/>
      <c r="K5" s="1764"/>
      <c r="L5" s="1764"/>
      <c r="M5" s="1764"/>
      <c r="N5" s="1764"/>
      <c r="O5" s="1764"/>
      <c r="P5" s="1764"/>
      <c r="Q5" s="1764"/>
      <c r="R5" s="1764"/>
      <c r="S5" s="1764"/>
      <c r="T5" s="1764"/>
      <c r="U5" s="1764"/>
      <c r="V5" s="1764"/>
      <c r="W5" s="1764"/>
      <c r="X5" s="1764"/>
      <c r="Y5" s="1764"/>
      <c r="Z5" s="1857"/>
    </row>
    <row r="6" spans="1:26" ht="19.95" customHeight="1" x14ac:dyDescent="0.3">
      <c r="A6" s="1942" t="s">
        <v>3211</v>
      </c>
      <c r="B6" s="1764"/>
      <c r="C6" s="1764"/>
      <c r="D6" s="1764"/>
      <c r="E6" s="1764"/>
      <c r="F6" s="1764"/>
      <c r="G6" s="1764"/>
      <c r="H6" s="1764"/>
      <c r="I6" s="1764"/>
      <c r="J6" s="1764"/>
      <c r="K6" s="1764"/>
      <c r="L6" s="1764"/>
      <c r="M6" s="1764"/>
      <c r="N6" s="1764"/>
      <c r="O6" s="1764"/>
      <c r="P6" s="1764"/>
      <c r="Q6" s="1764"/>
      <c r="R6" s="1764"/>
      <c r="S6" s="1764"/>
      <c r="T6" s="1764"/>
      <c r="U6" s="1764"/>
      <c r="V6" s="1764"/>
      <c r="W6" s="1764"/>
      <c r="X6" s="1764"/>
      <c r="Y6" s="1764"/>
      <c r="Z6" s="1857"/>
    </row>
    <row r="7" spans="1:26" x14ac:dyDescent="0.3">
      <c r="A7" s="1501" t="s">
        <v>3212</v>
      </c>
      <c r="B7" s="1224" t="s">
        <v>3213</v>
      </c>
      <c r="C7" s="1224" t="s">
        <v>3214</v>
      </c>
      <c r="D7" s="1224" t="s">
        <v>3215</v>
      </c>
      <c r="E7" s="1224" t="s">
        <v>3216</v>
      </c>
      <c r="F7" s="1224"/>
      <c r="G7" s="1224"/>
      <c r="H7" s="1224"/>
      <c r="I7" s="1224"/>
      <c r="J7" s="1224"/>
      <c r="K7" s="1224"/>
      <c r="L7" s="1224"/>
      <c r="M7" s="1224"/>
      <c r="N7" s="1224"/>
      <c r="O7" s="1224"/>
      <c r="P7" s="1224"/>
      <c r="Q7" s="1224"/>
      <c r="R7" s="1224"/>
      <c r="S7" s="1224"/>
      <c r="T7" s="1224"/>
      <c r="U7" s="1224"/>
      <c r="V7" s="1224"/>
      <c r="W7" s="1224"/>
      <c r="X7" s="1224"/>
      <c r="Y7" s="1224"/>
      <c r="Z7" s="1227"/>
    </row>
    <row r="8" spans="1:26" ht="41.4" x14ac:dyDescent="0.3">
      <c r="A8" s="1501">
        <v>1</v>
      </c>
      <c r="B8" s="1226" t="s">
        <v>3217</v>
      </c>
      <c r="C8" s="1226" t="s">
        <v>3218</v>
      </c>
      <c r="D8" s="1226" t="s">
        <v>2484</v>
      </c>
      <c r="E8" s="1226" t="s">
        <v>3219</v>
      </c>
      <c r="F8" s="1226"/>
      <c r="G8" s="1226"/>
      <c r="H8" s="1226"/>
      <c r="I8" s="1226"/>
      <c r="J8" s="1226"/>
      <c r="K8" s="1226"/>
      <c r="L8" s="1226"/>
      <c r="M8" s="1226"/>
      <c r="N8" s="1226"/>
      <c r="O8" s="1226"/>
      <c r="P8" s="1226"/>
      <c r="Q8" s="1226"/>
      <c r="R8" s="1226"/>
      <c r="S8" s="1226"/>
      <c r="T8" s="1226"/>
      <c r="U8" s="1226"/>
      <c r="V8" s="1226"/>
      <c r="W8" s="1226"/>
      <c r="X8" s="1226"/>
      <c r="Y8" s="1226"/>
      <c r="Z8" s="1228"/>
    </row>
    <row r="9" spans="1:26" ht="55.2" x14ac:dyDescent="0.3">
      <c r="A9" s="1501">
        <v>2</v>
      </c>
      <c r="B9" s="1224" t="s">
        <v>4047</v>
      </c>
      <c r="C9" s="1224" t="s">
        <v>3220</v>
      </c>
      <c r="D9" s="1224" t="s">
        <v>3221</v>
      </c>
      <c r="E9" s="1224" t="s">
        <v>3222</v>
      </c>
      <c r="F9" s="1224"/>
      <c r="G9" s="1224"/>
      <c r="H9" s="1224"/>
      <c r="I9" s="1224"/>
      <c r="J9" s="1224"/>
      <c r="K9" s="1224"/>
      <c r="L9" s="1224"/>
      <c r="M9" s="1224"/>
      <c r="N9" s="1224"/>
      <c r="O9" s="1224"/>
      <c r="P9" s="1224"/>
      <c r="Q9" s="1224"/>
      <c r="R9" s="1224"/>
      <c r="S9" s="1224"/>
      <c r="T9" s="1224"/>
      <c r="U9" s="1224"/>
      <c r="V9" s="1224"/>
      <c r="W9" s="1224"/>
      <c r="X9" s="1224"/>
      <c r="Y9" s="1224"/>
      <c r="Z9" s="1227"/>
    </row>
    <row r="10" spans="1:26" ht="27.6" x14ac:dyDescent="0.3">
      <c r="A10" s="1501">
        <v>3</v>
      </c>
      <c r="B10" s="1226" t="s">
        <v>3223</v>
      </c>
      <c r="C10" s="1226" t="s">
        <v>3224</v>
      </c>
      <c r="D10" s="1226" t="s">
        <v>3225</v>
      </c>
      <c r="E10" s="1226" t="s">
        <v>3226</v>
      </c>
      <c r="F10" s="1226"/>
      <c r="G10" s="1226"/>
      <c r="H10" s="1226"/>
      <c r="I10" s="1226"/>
      <c r="J10" s="1226"/>
      <c r="K10" s="1226"/>
      <c r="L10" s="1226"/>
      <c r="M10" s="1226"/>
      <c r="N10" s="1226"/>
      <c r="O10" s="1226"/>
      <c r="P10" s="1226"/>
      <c r="Q10" s="1226"/>
      <c r="R10" s="1226"/>
      <c r="S10" s="1226"/>
      <c r="T10" s="1226"/>
      <c r="U10" s="1226"/>
      <c r="V10" s="1226"/>
      <c r="W10" s="1226"/>
      <c r="X10" s="1226"/>
      <c r="Y10" s="1226"/>
      <c r="Z10" s="1228"/>
    </row>
    <row r="11" spans="1:26" ht="27.6" x14ac:dyDescent="0.3">
      <c r="A11" s="1501">
        <v>4</v>
      </c>
      <c r="B11" s="1224" t="s">
        <v>3227</v>
      </c>
      <c r="C11" s="1224" t="s">
        <v>3228</v>
      </c>
      <c r="D11" s="1224" t="s">
        <v>3229</v>
      </c>
      <c r="E11" s="1224" t="s">
        <v>3230</v>
      </c>
      <c r="F11" s="1224"/>
      <c r="G11" s="1224"/>
      <c r="H11" s="1224"/>
      <c r="I11" s="1224"/>
      <c r="J11" s="1224"/>
      <c r="K11" s="1224"/>
      <c r="L11" s="1224"/>
      <c r="M11" s="1224"/>
      <c r="N11" s="1224"/>
      <c r="O11" s="1224"/>
      <c r="P11" s="1224"/>
      <c r="Q11" s="1224"/>
      <c r="R11" s="1224"/>
      <c r="S11" s="1224"/>
      <c r="T11" s="1224"/>
      <c r="U11" s="1224"/>
      <c r="V11" s="1224"/>
      <c r="W11" s="1224"/>
      <c r="X11" s="1224"/>
      <c r="Y11" s="1224"/>
      <c r="Z11" s="1227"/>
    </row>
    <row r="12" spans="1:26" ht="27.6" x14ac:dyDescent="0.3">
      <c r="A12" s="1501">
        <v>5</v>
      </c>
      <c r="B12" s="1226" t="s">
        <v>3231</v>
      </c>
      <c r="C12" s="1226" t="s">
        <v>3232</v>
      </c>
      <c r="D12" s="1226" t="s">
        <v>3233</v>
      </c>
      <c r="E12" s="1226" t="s">
        <v>3234</v>
      </c>
      <c r="F12" s="1226"/>
      <c r="G12" s="1226"/>
      <c r="H12" s="1226"/>
      <c r="I12" s="1226"/>
      <c r="J12" s="1226"/>
      <c r="K12" s="1226"/>
      <c r="L12" s="1226"/>
      <c r="M12" s="1226"/>
      <c r="N12" s="1226"/>
      <c r="O12" s="1226"/>
      <c r="P12" s="1226"/>
      <c r="Q12" s="1226"/>
      <c r="R12" s="1226"/>
      <c r="S12" s="1226"/>
      <c r="T12" s="1226"/>
      <c r="U12" s="1226"/>
      <c r="V12" s="1226"/>
      <c r="W12" s="1226"/>
      <c r="X12" s="1226"/>
      <c r="Y12" s="1226"/>
      <c r="Z12" s="1228"/>
    </row>
    <row r="13" spans="1:26" ht="27.6" x14ac:dyDescent="0.3">
      <c r="A13" s="1501">
        <v>6</v>
      </c>
      <c r="B13" s="1224" t="s">
        <v>3235</v>
      </c>
      <c r="C13" s="1224" t="s">
        <v>3236</v>
      </c>
      <c r="D13" s="1224" t="s">
        <v>3233</v>
      </c>
      <c r="E13" s="1224" t="s">
        <v>3234</v>
      </c>
      <c r="F13" s="1224"/>
      <c r="G13" s="1224"/>
      <c r="H13" s="1224"/>
      <c r="I13" s="1224"/>
      <c r="J13" s="1224"/>
      <c r="K13" s="1224"/>
      <c r="L13" s="1224"/>
      <c r="M13" s="1224"/>
      <c r="N13" s="1224"/>
      <c r="O13" s="1224"/>
      <c r="P13" s="1224"/>
      <c r="Q13" s="1224"/>
      <c r="R13" s="1224"/>
      <c r="S13" s="1224"/>
      <c r="T13" s="1224"/>
      <c r="U13" s="1224"/>
      <c r="V13" s="1224"/>
      <c r="W13" s="1224"/>
      <c r="X13" s="1224"/>
      <c r="Y13" s="1224"/>
      <c r="Z13" s="1227"/>
    </row>
    <row r="14" spans="1:26" ht="19.95" customHeight="1" x14ac:dyDescent="0.3">
      <c r="A14" s="1856" t="s">
        <v>3237</v>
      </c>
      <c r="B14" s="1764"/>
      <c r="C14" s="1764"/>
      <c r="D14" s="1764"/>
      <c r="E14" s="1764"/>
      <c r="F14" s="1764"/>
      <c r="G14" s="1764"/>
      <c r="H14" s="1764"/>
      <c r="I14" s="1764"/>
      <c r="J14" s="1764"/>
      <c r="K14" s="1764"/>
      <c r="L14" s="1764"/>
      <c r="M14" s="1764"/>
      <c r="N14" s="1764"/>
      <c r="O14" s="1764"/>
      <c r="P14" s="1764"/>
      <c r="Q14" s="1764"/>
      <c r="R14" s="1764"/>
      <c r="S14" s="1764"/>
      <c r="T14" s="1764"/>
      <c r="U14" s="1764"/>
      <c r="V14" s="1764"/>
      <c r="W14" s="1764"/>
      <c r="X14" s="1764"/>
      <c r="Y14" s="1764"/>
      <c r="Z14" s="1857"/>
    </row>
    <row r="15" spans="1:26" x14ac:dyDescent="0.3">
      <c r="A15" s="1501" t="s">
        <v>3238</v>
      </c>
      <c r="B15" s="1224" t="s">
        <v>2890</v>
      </c>
      <c r="C15" s="1224" t="s">
        <v>3239</v>
      </c>
      <c r="D15" s="1224" t="s">
        <v>3240</v>
      </c>
      <c r="E15" s="1224" t="s">
        <v>3241</v>
      </c>
      <c r="F15" s="1224"/>
      <c r="G15" s="1224"/>
      <c r="H15" s="1224"/>
      <c r="I15" s="1224"/>
      <c r="J15" s="1224"/>
      <c r="K15" s="1224"/>
      <c r="L15" s="1224"/>
      <c r="M15" s="1224"/>
      <c r="N15" s="1224"/>
      <c r="O15" s="1224"/>
      <c r="P15" s="1224"/>
      <c r="Q15" s="1224"/>
      <c r="R15" s="1224"/>
      <c r="S15" s="1224"/>
      <c r="T15" s="1224"/>
      <c r="U15" s="1224"/>
      <c r="V15" s="1224"/>
      <c r="W15" s="1224"/>
      <c r="X15" s="1224"/>
      <c r="Y15" s="1224"/>
      <c r="Z15" s="1227"/>
    </row>
    <row r="16" spans="1:26" ht="55.2" x14ac:dyDescent="0.3">
      <c r="A16" s="1501" t="s">
        <v>3242</v>
      </c>
      <c r="B16" s="1226" t="s">
        <v>3243</v>
      </c>
      <c r="C16" s="1226" t="s">
        <v>109</v>
      </c>
      <c r="D16" s="1226" t="s">
        <v>3244</v>
      </c>
      <c r="E16" s="1226" t="s">
        <v>3245</v>
      </c>
      <c r="F16" s="1226"/>
      <c r="G16" s="1226"/>
      <c r="H16" s="1226"/>
      <c r="I16" s="1226"/>
      <c r="J16" s="1226"/>
      <c r="K16" s="1226"/>
      <c r="L16" s="1226"/>
      <c r="M16" s="1226"/>
      <c r="N16" s="1226"/>
      <c r="O16" s="1226"/>
      <c r="P16" s="1226"/>
      <c r="Q16" s="1226"/>
      <c r="R16" s="1226"/>
      <c r="S16" s="1226"/>
      <c r="T16" s="1226"/>
      <c r="U16" s="1226"/>
      <c r="V16" s="1226"/>
      <c r="W16" s="1226"/>
      <c r="X16" s="1226"/>
      <c r="Y16" s="1226"/>
      <c r="Z16" s="1228"/>
    </row>
    <row r="17" spans="1:26" ht="41.4" x14ac:dyDescent="0.3">
      <c r="A17" s="1501" t="s">
        <v>3246</v>
      </c>
      <c r="B17" s="1224" t="s">
        <v>3247</v>
      </c>
      <c r="C17" s="1224" t="s">
        <v>3248</v>
      </c>
      <c r="D17" s="1224" t="s">
        <v>3249</v>
      </c>
      <c r="E17" s="1224" t="s">
        <v>3250</v>
      </c>
      <c r="F17" s="1224"/>
      <c r="G17" s="1224"/>
      <c r="H17" s="1224"/>
      <c r="I17" s="1224"/>
      <c r="J17" s="1224"/>
      <c r="K17" s="1224"/>
      <c r="L17" s="1224"/>
      <c r="M17" s="1224"/>
      <c r="N17" s="1224"/>
      <c r="O17" s="1224"/>
      <c r="P17" s="1224"/>
      <c r="Q17" s="1224"/>
      <c r="R17" s="1224"/>
      <c r="S17" s="1224"/>
      <c r="T17" s="1224"/>
      <c r="U17" s="1224"/>
      <c r="V17" s="1224"/>
      <c r="W17" s="1224"/>
      <c r="X17" s="1224"/>
      <c r="Y17" s="1224"/>
      <c r="Z17" s="1227"/>
    </row>
    <row r="18" spans="1:26" ht="55.2" x14ac:dyDescent="0.3">
      <c r="A18" s="1501" t="s">
        <v>3251</v>
      </c>
      <c r="B18" s="1226" t="s">
        <v>3252</v>
      </c>
      <c r="C18" s="1226" t="s">
        <v>3253</v>
      </c>
      <c r="D18" s="1226" t="s">
        <v>3254</v>
      </c>
      <c r="E18" s="1226" t="s">
        <v>3255</v>
      </c>
      <c r="F18" s="1226"/>
      <c r="G18" s="1226"/>
      <c r="H18" s="1226"/>
      <c r="I18" s="1226"/>
      <c r="J18" s="1226"/>
      <c r="K18" s="1226"/>
      <c r="L18" s="1226"/>
      <c r="M18" s="1226"/>
      <c r="N18" s="1226"/>
      <c r="O18" s="1226"/>
      <c r="P18" s="1226"/>
      <c r="Q18" s="1226"/>
      <c r="R18" s="1226"/>
      <c r="S18" s="1226"/>
      <c r="T18" s="1226"/>
      <c r="U18" s="1226"/>
      <c r="V18" s="1226"/>
      <c r="W18" s="1226"/>
      <c r="X18" s="1226"/>
      <c r="Y18" s="1226"/>
      <c r="Z18" s="1228"/>
    </row>
    <row r="19" spans="1:26" ht="69" x14ac:dyDescent="0.3">
      <c r="A19" s="1501" t="s">
        <v>3256</v>
      </c>
      <c r="B19" s="1224" t="s">
        <v>4048</v>
      </c>
      <c r="C19" s="1224" t="s">
        <v>3257</v>
      </c>
      <c r="D19" s="1224" t="s">
        <v>3258</v>
      </c>
      <c r="E19" s="1224" t="s">
        <v>3259</v>
      </c>
      <c r="F19" s="1224"/>
      <c r="G19" s="1224"/>
      <c r="H19" s="1224"/>
      <c r="I19" s="1224"/>
      <c r="J19" s="1224"/>
      <c r="K19" s="1224"/>
      <c r="L19" s="1224"/>
      <c r="M19" s="1224"/>
      <c r="N19" s="1224"/>
      <c r="O19" s="1224"/>
      <c r="P19" s="1224"/>
      <c r="Q19" s="1224"/>
      <c r="R19" s="1224"/>
      <c r="S19" s="1224"/>
      <c r="T19" s="1224"/>
      <c r="U19" s="1224"/>
      <c r="V19" s="1224"/>
      <c r="W19" s="1224"/>
      <c r="X19" s="1224"/>
      <c r="Y19" s="1224"/>
      <c r="Z19" s="1227"/>
    </row>
    <row r="20" spans="1:26" ht="41.4" x14ac:dyDescent="0.3">
      <c r="A20" s="1501" t="s">
        <v>3260</v>
      </c>
      <c r="B20" s="1226" t="s">
        <v>3261</v>
      </c>
      <c r="C20" s="1226" t="s">
        <v>3262</v>
      </c>
      <c r="D20" s="1226" t="s">
        <v>3263</v>
      </c>
      <c r="E20" s="1226" t="s">
        <v>3264</v>
      </c>
      <c r="F20" s="1226"/>
      <c r="G20" s="1226"/>
      <c r="H20" s="1226"/>
      <c r="I20" s="1226"/>
      <c r="J20" s="1226"/>
      <c r="K20" s="1226"/>
      <c r="L20" s="1226"/>
      <c r="M20" s="1226"/>
      <c r="N20" s="1226"/>
      <c r="O20" s="1226"/>
      <c r="P20" s="1226"/>
      <c r="Q20" s="1226"/>
      <c r="R20" s="1226"/>
      <c r="S20" s="1226"/>
      <c r="T20" s="1226"/>
      <c r="U20" s="1226"/>
      <c r="V20" s="1226"/>
      <c r="W20" s="1226"/>
      <c r="X20" s="1226"/>
      <c r="Y20" s="1226"/>
      <c r="Z20" s="1228"/>
    </row>
    <row r="21" spans="1:26" ht="27.6" x14ac:dyDescent="0.3">
      <c r="A21" s="1501" t="s">
        <v>3265</v>
      </c>
      <c r="B21" s="1224" t="s">
        <v>3266</v>
      </c>
      <c r="C21" s="1224" t="s">
        <v>3267</v>
      </c>
      <c r="D21" s="1224" t="s">
        <v>3268</v>
      </c>
      <c r="E21" s="1224" t="s">
        <v>3269</v>
      </c>
      <c r="F21" s="1224"/>
      <c r="G21" s="1224"/>
      <c r="H21" s="1224"/>
      <c r="I21" s="1224"/>
      <c r="J21" s="1224"/>
      <c r="K21" s="1224"/>
      <c r="L21" s="1224"/>
      <c r="M21" s="1224"/>
      <c r="N21" s="1224"/>
      <c r="O21" s="1224"/>
      <c r="P21" s="1224"/>
      <c r="Q21" s="1224"/>
      <c r="R21" s="1224"/>
      <c r="S21" s="1224"/>
      <c r="T21" s="1224"/>
      <c r="U21" s="1224"/>
      <c r="V21" s="1224"/>
      <c r="W21" s="1224"/>
      <c r="X21" s="1224"/>
      <c r="Y21" s="1224"/>
      <c r="Z21" s="1227"/>
    </row>
    <row r="22" spans="1:26" ht="41.4" x14ac:dyDescent="0.3">
      <c r="A22" s="1501" t="s">
        <v>3270</v>
      </c>
      <c r="B22" s="1226" t="s">
        <v>3271</v>
      </c>
      <c r="C22" s="1226" t="s">
        <v>389</v>
      </c>
      <c r="D22" s="1226" t="s">
        <v>3272</v>
      </c>
      <c r="E22" s="1226" t="s">
        <v>3273</v>
      </c>
      <c r="F22" s="1226"/>
      <c r="G22" s="1226"/>
      <c r="H22" s="1226"/>
      <c r="I22" s="1226"/>
      <c r="J22" s="1226"/>
      <c r="K22" s="1226"/>
      <c r="L22" s="1226"/>
      <c r="M22" s="1226"/>
      <c r="N22" s="1226"/>
      <c r="O22" s="1226"/>
      <c r="P22" s="1226"/>
      <c r="Q22" s="1226"/>
      <c r="R22" s="1226"/>
      <c r="S22" s="1226"/>
      <c r="T22" s="1226"/>
      <c r="U22" s="1226"/>
      <c r="V22" s="1226"/>
      <c r="W22" s="1226"/>
      <c r="X22" s="1226"/>
      <c r="Y22" s="1226"/>
      <c r="Z22" s="1228"/>
    </row>
    <row r="23" spans="1:26" ht="19.95" customHeight="1" x14ac:dyDescent="0.3">
      <c r="A23" s="1856" t="s">
        <v>4046</v>
      </c>
      <c r="B23" s="1764"/>
      <c r="C23" s="1764"/>
      <c r="D23" s="1764"/>
      <c r="E23" s="1764"/>
      <c r="F23" s="1764"/>
      <c r="G23" s="1764"/>
      <c r="H23" s="1764"/>
      <c r="I23" s="1764"/>
      <c r="J23" s="1764"/>
      <c r="K23" s="1764"/>
      <c r="L23" s="1764"/>
      <c r="M23" s="1764"/>
      <c r="N23" s="1764"/>
      <c r="O23" s="1764"/>
      <c r="P23" s="1764"/>
      <c r="Q23" s="1764"/>
      <c r="R23" s="1764"/>
      <c r="S23" s="1764"/>
      <c r="T23" s="1764"/>
      <c r="U23" s="1764"/>
      <c r="V23" s="1764"/>
      <c r="W23" s="1764"/>
      <c r="X23" s="1764"/>
      <c r="Y23" s="1764"/>
      <c r="Z23" s="1857"/>
    </row>
    <row r="24" spans="1:26" x14ac:dyDescent="0.3">
      <c r="A24" s="1501" t="s">
        <v>2546</v>
      </c>
      <c r="B24" s="1226" t="s">
        <v>3274</v>
      </c>
      <c r="C24" s="1226" t="s">
        <v>3275</v>
      </c>
      <c r="D24" s="1226" t="s">
        <v>1857</v>
      </c>
      <c r="E24" s="1226" t="s">
        <v>3276</v>
      </c>
      <c r="F24" s="1226"/>
      <c r="G24" s="1226"/>
      <c r="H24" s="1226"/>
      <c r="I24" s="1226"/>
      <c r="J24" s="1226"/>
      <c r="K24" s="1226"/>
      <c r="L24" s="1226"/>
      <c r="M24" s="1226"/>
      <c r="N24" s="1226"/>
      <c r="O24" s="1226"/>
      <c r="P24" s="1226"/>
      <c r="Q24" s="1226"/>
      <c r="R24" s="1226"/>
      <c r="S24" s="1226"/>
      <c r="T24" s="1226"/>
      <c r="U24" s="1226"/>
      <c r="V24" s="1226"/>
      <c r="W24" s="1226"/>
      <c r="X24" s="1226"/>
      <c r="Y24" s="1226"/>
      <c r="Z24" s="1228"/>
    </row>
    <row r="25" spans="1:26" ht="69" x14ac:dyDescent="0.3">
      <c r="A25" s="1501" t="s">
        <v>3277</v>
      </c>
      <c r="B25" s="1224" t="s">
        <v>3278</v>
      </c>
      <c r="C25" s="1224" t="s">
        <v>3279</v>
      </c>
      <c r="D25" s="1224" t="s">
        <v>3280</v>
      </c>
      <c r="E25" s="1224" t="s">
        <v>3281</v>
      </c>
      <c r="F25" s="1224"/>
      <c r="G25" s="1224"/>
      <c r="H25" s="1224"/>
      <c r="I25" s="1224"/>
      <c r="J25" s="1224"/>
      <c r="K25" s="1224"/>
      <c r="L25" s="1224"/>
      <c r="M25" s="1224"/>
      <c r="N25" s="1224"/>
      <c r="O25" s="1224"/>
      <c r="P25" s="1224"/>
      <c r="Q25" s="1224"/>
      <c r="R25" s="1224"/>
      <c r="S25" s="1224"/>
      <c r="T25" s="1224"/>
      <c r="U25" s="1224"/>
      <c r="V25" s="1224"/>
      <c r="W25" s="1224"/>
      <c r="X25" s="1224"/>
      <c r="Y25" s="1224"/>
      <c r="Z25" s="1227"/>
    </row>
    <row r="26" spans="1:26" ht="69" x14ac:dyDescent="0.3">
      <c r="A26" s="1501" t="s">
        <v>3282</v>
      </c>
      <c r="B26" s="1226" t="s">
        <v>3283</v>
      </c>
      <c r="C26" s="1226" t="s">
        <v>3284</v>
      </c>
      <c r="D26" s="1226" t="s">
        <v>3285</v>
      </c>
      <c r="E26" s="1226" t="s">
        <v>2498</v>
      </c>
      <c r="F26" s="1226"/>
      <c r="G26" s="1226"/>
      <c r="H26" s="1226"/>
      <c r="I26" s="1226"/>
      <c r="J26" s="1226"/>
      <c r="K26" s="1226"/>
      <c r="L26" s="1226"/>
      <c r="M26" s="1226"/>
      <c r="N26" s="1226"/>
      <c r="O26" s="1226"/>
      <c r="P26" s="1226"/>
      <c r="Q26" s="1226"/>
      <c r="R26" s="1226"/>
      <c r="S26" s="1226"/>
      <c r="T26" s="1226"/>
      <c r="U26" s="1226"/>
      <c r="V26" s="1226"/>
      <c r="W26" s="1226"/>
      <c r="X26" s="1226"/>
      <c r="Y26" s="1226"/>
      <c r="Z26" s="1228"/>
    </row>
    <row r="27" spans="1:26" ht="82.8" x14ac:dyDescent="0.3">
      <c r="A27" s="1501" t="s">
        <v>3286</v>
      </c>
      <c r="B27" s="1224" t="s">
        <v>3287</v>
      </c>
      <c r="C27" s="1224" t="s">
        <v>3288</v>
      </c>
      <c r="D27" s="1224" t="s">
        <v>3289</v>
      </c>
      <c r="E27" s="1224" t="s">
        <v>2484</v>
      </c>
      <c r="F27" s="1224"/>
      <c r="G27" s="1224"/>
      <c r="H27" s="1224"/>
      <c r="I27" s="1224"/>
      <c r="J27" s="1224"/>
      <c r="K27" s="1224"/>
      <c r="L27" s="1224"/>
      <c r="M27" s="1224"/>
      <c r="N27" s="1224"/>
      <c r="O27" s="1224"/>
      <c r="P27" s="1224"/>
      <c r="Q27" s="1224"/>
      <c r="R27" s="1224"/>
      <c r="S27" s="1224"/>
      <c r="T27" s="1224"/>
      <c r="U27" s="1224"/>
      <c r="V27" s="1224"/>
      <c r="W27" s="1224"/>
      <c r="X27" s="1224"/>
      <c r="Y27" s="1224"/>
      <c r="Z27" s="1227"/>
    </row>
    <row r="28" spans="1:26" ht="55.2" x14ac:dyDescent="0.3">
      <c r="A28" s="1501" t="s">
        <v>3290</v>
      </c>
      <c r="B28" s="1226" t="s">
        <v>3291</v>
      </c>
      <c r="C28" s="1226" t="s">
        <v>3292</v>
      </c>
      <c r="D28" s="1226" t="s">
        <v>2055</v>
      </c>
      <c r="E28" s="1226" t="s">
        <v>2484</v>
      </c>
      <c r="F28" s="1226"/>
      <c r="G28" s="1226"/>
      <c r="H28" s="1226"/>
      <c r="I28" s="1226"/>
      <c r="J28" s="1226"/>
      <c r="K28" s="1226"/>
      <c r="L28" s="1226"/>
      <c r="M28" s="1226"/>
      <c r="N28" s="1226"/>
      <c r="O28" s="1226"/>
      <c r="P28" s="1226"/>
      <c r="Q28" s="1226"/>
      <c r="R28" s="1226"/>
      <c r="S28" s="1226"/>
      <c r="T28" s="1226"/>
      <c r="U28" s="1226"/>
      <c r="V28" s="1226"/>
      <c r="W28" s="1226"/>
      <c r="X28" s="1226"/>
      <c r="Y28" s="1226"/>
      <c r="Z28" s="1228"/>
    </row>
    <row r="29" spans="1:26" ht="55.2" x14ac:dyDescent="0.3">
      <c r="A29" s="1501" t="s">
        <v>3293</v>
      </c>
      <c r="B29" s="1224" t="s">
        <v>3294</v>
      </c>
      <c r="C29" s="1224" t="s">
        <v>3295</v>
      </c>
      <c r="D29" s="1224" t="s">
        <v>103</v>
      </c>
      <c r="E29" s="1224" t="s">
        <v>3281</v>
      </c>
      <c r="F29" s="1224"/>
      <c r="G29" s="1224"/>
      <c r="H29" s="1224"/>
      <c r="I29" s="1224"/>
      <c r="J29" s="1224"/>
      <c r="K29" s="1224"/>
      <c r="L29" s="1224"/>
      <c r="M29" s="1224"/>
      <c r="N29" s="1224"/>
      <c r="O29" s="1224"/>
      <c r="P29" s="1224"/>
      <c r="Q29" s="1224"/>
      <c r="R29" s="1224"/>
      <c r="S29" s="1224"/>
      <c r="T29" s="1224"/>
      <c r="U29" s="1224"/>
      <c r="V29" s="1224"/>
      <c r="W29" s="1224"/>
      <c r="X29" s="1224"/>
      <c r="Y29" s="1224"/>
      <c r="Z29" s="1227"/>
    </row>
    <row r="30" spans="1:26" ht="19.95" customHeight="1" x14ac:dyDescent="0.3">
      <c r="A30" s="1856" t="s">
        <v>3296</v>
      </c>
      <c r="B30" s="1764"/>
      <c r="C30" s="1764"/>
      <c r="D30" s="1764"/>
      <c r="E30" s="1764"/>
      <c r="F30" s="1764"/>
      <c r="G30" s="1764"/>
      <c r="H30" s="1764"/>
      <c r="I30" s="1764"/>
      <c r="J30" s="1764"/>
      <c r="K30" s="1764"/>
      <c r="L30" s="1764"/>
      <c r="M30" s="1764"/>
      <c r="N30" s="1764"/>
      <c r="O30" s="1764"/>
      <c r="P30" s="1764"/>
      <c r="Q30" s="1764"/>
      <c r="R30" s="1764"/>
      <c r="S30" s="1764"/>
      <c r="T30" s="1764"/>
      <c r="U30" s="1764"/>
      <c r="V30" s="1764"/>
      <c r="W30" s="1764"/>
      <c r="X30" s="1764"/>
      <c r="Y30" s="1764"/>
      <c r="Z30" s="1857"/>
    </row>
    <row r="31" spans="1:26" ht="19.95" customHeight="1" x14ac:dyDescent="0.3">
      <c r="A31" s="1856" t="s">
        <v>3297</v>
      </c>
      <c r="B31" s="1764"/>
      <c r="C31" s="1764"/>
      <c r="D31" s="1764"/>
      <c r="E31" s="1764"/>
      <c r="F31" s="1764"/>
      <c r="G31" s="1764"/>
      <c r="H31" s="1764"/>
      <c r="I31" s="1764"/>
      <c r="J31" s="1764"/>
      <c r="K31" s="1764"/>
      <c r="L31" s="1764"/>
      <c r="M31" s="1764"/>
      <c r="N31" s="1764"/>
      <c r="O31" s="1764"/>
      <c r="P31" s="1764"/>
      <c r="Q31" s="1764"/>
      <c r="R31" s="1764"/>
      <c r="S31" s="1764"/>
      <c r="T31" s="1764"/>
      <c r="U31" s="1764"/>
      <c r="V31" s="1764"/>
      <c r="W31" s="1764"/>
      <c r="X31" s="1764"/>
      <c r="Y31" s="1764"/>
      <c r="Z31" s="1857"/>
    </row>
    <row r="32" spans="1:26" ht="41.4" x14ac:dyDescent="0.3">
      <c r="A32" s="1501" t="s">
        <v>3298</v>
      </c>
      <c r="B32" s="1226" t="s">
        <v>3299</v>
      </c>
      <c r="C32" s="1226"/>
      <c r="D32" s="1226"/>
      <c r="E32" s="1226"/>
      <c r="F32" s="1226"/>
      <c r="G32" s="1226"/>
      <c r="H32" s="1226"/>
      <c r="I32" s="1226"/>
      <c r="J32" s="1226"/>
      <c r="K32" s="1226"/>
      <c r="L32" s="1226"/>
      <c r="M32" s="1226"/>
      <c r="N32" s="1226"/>
      <c r="O32" s="1226"/>
      <c r="P32" s="1226"/>
      <c r="Q32" s="1226"/>
      <c r="R32" s="1226"/>
      <c r="S32" s="1226"/>
      <c r="T32" s="1226"/>
      <c r="U32" s="1226"/>
      <c r="V32" s="1226"/>
      <c r="W32" s="1226"/>
      <c r="X32" s="1226"/>
      <c r="Y32" s="1226"/>
      <c r="Z32" s="1228"/>
    </row>
    <row r="33" spans="1:26" ht="27.6" x14ac:dyDescent="0.3">
      <c r="A33" s="1501" t="s">
        <v>3300</v>
      </c>
      <c r="B33" s="1224" t="s">
        <v>3301</v>
      </c>
      <c r="C33" s="1224"/>
      <c r="D33" s="1224"/>
      <c r="E33" s="1224"/>
      <c r="F33" s="1224"/>
      <c r="G33" s="1224"/>
      <c r="H33" s="1224"/>
      <c r="I33" s="1224"/>
      <c r="J33" s="1224"/>
      <c r="K33" s="1224"/>
      <c r="L33" s="1224"/>
      <c r="M33" s="1224"/>
      <c r="N33" s="1224"/>
      <c r="O33" s="1224"/>
      <c r="P33" s="1224"/>
      <c r="Q33" s="1224"/>
      <c r="R33" s="1224"/>
      <c r="S33" s="1224"/>
      <c r="T33" s="1224"/>
      <c r="U33" s="1224"/>
      <c r="V33" s="1224"/>
      <c r="W33" s="1224"/>
      <c r="X33" s="1224"/>
      <c r="Y33" s="1224"/>
      <c r="Z33" s="1227"/>
    </row>
    <row r="34" spans="1:26" ht="41.4" x14ac:dyDescent="0.3">
      <c r="A34" s="1501" t="s">
        <v>3302</v>
      </c>
      <c r="B34" s="1226" t="s">
        <v>3303</v>
      </c>
      <c r="C34" s="1226"/>
      <c r="D34" s="1226"/>
      <c r="E34" s="1226"/>
      <c r="F34" s="1226"/>
      <c r="G34" s="1226"/>
      <c r="H34" s="1226"/>
      <c r="I34" s="1226"/>
      <c r="J34" s="1226"/>
      <c r="K34" s="1226"/>
      <c r="L34" s="1226"/>
      <c r="M34" s="1226"/>
      <c r="N34" s="1226"/>
      <c r="O34" s="1226"/>
      <c r="P34" s="1226"/>
      <c r="Q34" s="1226"/>
      <c r="R34" s="1226"/>
      <c r="S34" s="1226"/>
      <c r="T34" s="1226"/>
      <c r="U34" s="1226"/>
      <c r="V34" s="1226"/>
      <c r="W34" s="1226"/>
      <c r="X34" s="1226"/>
      <c r="Y34" s="1226"/>
      <c r="Z34" s="1228"/>
    </row>
    <row r="35" spans="1:26" ht="41.4" x14ac:dyDescent="0.3">
      <c r="A35" s="1501" t="s">
        <v>3304</v>
      </c>
      <c r="B35" s="1224" t="s">
        <v>3305</v>
      </c>
      <c r="C35" s="1224"/>
      <c r="D35" s="1224"/>
      <c r="E35" s="1224"/>
      <c r="F35" s="1224"/>
      <c r="G35" s="1224"/>
      <c r="H35" s="1224"/>
      <c r="I35" s="1224"/>
      <c r="J35" s="1224"/>
      <c r="K35" s="1224"/>
      <c r="L35" s="1224"/>
      <c r="M35" s="1224"/>
      <c r="N35" s="1224"/>
      <c r="O35" s="1224"/>
      <c r="P35" s="1224"/>
      <c r="Q35" s="1224"/>
      <c r="R35" s="1224"/>
      <c r="S35" s="1224"/>
      <c r="T35" s="1224"/>
      <c r="U35" s="1224"/>
      <c r="V35" s="1224"/>
      <c r="W35" s="1224"/>
      <c r="X35" s="1224"/>
      <c r="Y35" s="1224"/>
      <c r="Z35" s="1227"/>
    </row>
    <row r="36" spans="1:26" ht="41.4" x14ac:dyDescent="0.3">
      <c r="A36" s="1501" t="s">
        <v>3306</v>
      </c>
      <c r="B36" s="1226" t="s">
        <v>3307</v>
      </c>
      <c r="C36" s="1226"/>
      <c r="D36" s="1226"/>
      <c r="E36" s="1226"/>
      <c r="F36" s="1226"/>
      <c r="G36" s="1226"/>
      <c r="H36" s="1226"/>
      <c r="I36" s="1226"/>
      <c r="J36" s="1226"/>
      <c r="K36" s="1226"/>
      <c r="L36" s="1226"/>
      <c r="M36" s="1226"/>
      <c r="N36" s="1226"/>
      <c r="O36" s="1226"/>
      <c r="P36" s="1226"/>
      <c r="Q36" s="1226"/>
      <c r="R36" s="1226"/>
      <c r="S36" s="1226"/>
      <c r="T36" s="1226"/>
      <c r="U36" s="1226"/>
      <c r="V36" s="1226"/>
      <c r="W36" s="1226"/>
      <c r="X36" s="1226"/>
      <c r="Y36" s="1226"/>
      <c r="Z36" s="1228"/>
    </row>
    <row r="37" spans="1:26" x14ac:dyDescent="0.3">
      <c r="A37" s="1501"/>
      <c r="B37" s="1224"/>
      <c r="C37" s="1224"/>
      <c r="D37" s="1224"/>
      <c r="E37" s="1224"/>
      <c r="F37" s="1224"/>
      <c r="G37" s="1224"/>
      <c r="H37" s="1224"/>
      <c r="I37" s="1224"/>
      <c r="J37" s="1224"/>
      <c r="K37" s="1224"/>
      <c r="L37" s="1224"/>
      <c r="M37" s="1224"/>
      <c r="N37" s="1224"/>
      <c r="O37" s="1224"/>
      <c r="P37" s="1224"/>
      <c r="Q37" s="1224"/>
      <c r="R37" s="1224"/>
      <c r="S37" s="1224"/>
      <c r="T37" s="1224"/>
      <c r="U37" s="1224"/>
      <c r="V37" s="1224"/>
      <c r="W37" s="1224"/>
      <c r="X37" s="1224"/>
      <c r="Y37" s="1224"/>
      <c r="Z37" s="1227"/>
    </row>
    <row r="38" spans="1:26" ht="19.95" customHeight="1" x14ac:dyDescent="0.3">
      <c r="A38" s="1856" t="s">
        <v>3308</v>
      </c>
      <c r="B38" s="1764"/>
      <c r="C38" s="1764"/>
      <c r="D38" s="1764"/>
      <c r="E38" s="1764"/>
      <c r="F38" s="1764"/>
      <c r="G38" s="1764"/>
      <c r="H38" s="1764"/>
      <c r="I38" s="1764"/>
      <c r="J38" s="1764"/>
      <c r="K38" s="1764"/>
      <c r="L38" s="1764"/>
      <c r="M38" s="1764"/>
      <c r="N38" s="1764"/>
      <c r="O38" s="1764"/>
      <c r="P38" s="1764"/>
      <c r="Q38" s="1764"/>
      <c r="R38" s="1764"/>
      <c r="S38" s="1764"/>
      <c r="T38" s="1764"/>
      <c r="U38" s="1764"/>
      <c r="V38" s="1764"/>
      <c r="W38" s="1764"/>
      <c r="X38" s="1764"/>
      <c r="Y38" s="1764"/>
      <c r="Z38" s="1857"/>
    </row>
    <row r="39" spans="1:26" ht="41.4" x14ac:dyDescent="0.3">
      <c r="A39" s="1501" t="s">
        <v>2261</v>
      </c>
      <c r="B39" s="1224" t="s">
        <v>3309</v>
      </c>
      <c r="C39" s="1224"/>
      <c r="D39" s="1224"/>
      <c r="E39" s="1224"/>
      <c r="F39" s="1224"/>
      <c r="G39" s="1224"/>
      <c r="H39" s="1224"/>
      <c r="I39" s="1224"/>
      <c r="J39" s="1224"/>
      <c r="K39" s="1224"/>
      <c r="L39" s="1224"/>
      <c r="M39" s="1224"/>
      <c r="N39" s="1224"/>
      <c r="O39" s="1224"/>
      <c r="P39" s="1224"/>
      <c r="Q39" s="1224"/>
      <c r="R39" s="1224"/>
      <c r="S39" s="1224"/>
      <c r="T39" s="1224"/>
      <c r="U39" s="1224"/>
      <c r="V39" s="1224"/>
      <c r="W39" s="1224"/>
      <c r="X39" s="1224"/>
      <c r="Y39" s="1224"/>
      <c r="Z39" s="1227"/>
    </row>
    <row r="40" spans="1:26" ht="41.4" x14ac:dyDescent="0.3">
      <c r="A40" s="1501" t="s">
        <v>2262</v>
      </c>
      <c r="B40" s="1226" t="s">
        <v>3310</v>
      </c>
      <c r="C40" s="1226"/>
      <c r="D40" s="1226"/>
      <c r="E40" s="1226"/>
      <c r="F40" s="1226"/>
      <c r="G40" s="1226"/>
      <c r="H40" s="1226"/>
      <c r="I40" s="1226"/>
      <c r="J40" s="1226"/>
      <c r="K40" s="1226"/>
      <c r="L40" s="1226"/>
      <c r="M40" s="1226"/>
      <c r="N40" s="1226"/>
      <c r="O40" s="1226"/>
      <c r="P40" s="1226"/>
      <c r="Q40" s="1226"/>
      <c r="R40" s="1226"/>
      <c r="S40" s="1226"/>
      <c r="T40" s="1226"/>
      <c r="U40" s="1226"/>
      <c r="V40" s="1226"/>
      <c r="W40" s="1226"/>
      <c r="X40" s="1226"/>
      <c r="Y40" s="1226"/>
      <c r="Z40" s="1228"/>
    </row>
    <row r="41" spans="1:26" ht="55.2" x14ac:dyDescent="0.3">
      <c r="A41" s="1501" t="s">
        <v>2263</v>
      </c>
      <c r="B41" s="1224" t="s">
        <v>3311</v>
      </c>
      <c r="C41" s="1224"/>
      <c r="D41" s="1224"/>
      <c r="E41" s="1224"/>
      <c r="F41" s="1224"/>
      <c r="G41" s="1224"/>
      <c r="H41" s="1224"/>
      <c r="I41" s="1224"/>
      <c r="J41" s="1224"/>
      <c r="K41" s="1224"/>
      <c r="L41" s="1224"/>
      <c r="M41" s="1224"/>
      <c r="N41" s="1224"/>
      <c r="O41" s="1224"/>
      <c r="P41" s="1224"/>
      <c r="Q41" s="1224"/>
      <c r="R41" s="1224"/>
      <c r="S41" s="1224"/>
      <c r="T41" s="1224"/>
      <c r="U41" s="1224"/>
      <c r="V41" s="1224"/>
      <c r="W41" s="1224"/>
      <c r="X41" s="1224"/>
      <c r="Y41" s="1224"/>
      <c r="Z41" s="1227"/>
    </row>
    <row r="42" spans="1:26" ht="55.2" x14ac:dyDescent="0.3">
      <c r="A42" s="1501" t="s">
        <v>2264</v>
      </c>
      <c r="B42" s="1226" t="s">
        <v>3312</v>
      </c>
      <c r="C42" s="1226"/>
      <c r="D42" s="1226"/>
      <c r="E42" s="1226"/>
      <c r="F42" s="1226"/>
      <c r="G42" s="1226"/>
      <c r="H42" s="1226"/>
      <c r="I42" s="1226"/>
      <c r="J42" s="1226"/>
      <c r="K42" s="1226"/>
      <c r="L42" s="1226"/>
      <c r="M42" s="1226"/>
      <c r="N42" s="1226"/>
      <c r="O42" s="1226"/>
      <c r="P42" s="1226"/>
      <c r="Q42" s="1226"/>
      <c r="R42" s="1226"/>
      <c r="S42" s="1226"/>
      <c r="T42" s="1226"/>
      <c r="U42" s="1226"/>
      <c r="V42" s="1226"/>
      <c r="W42" s="1226"/>
      <c r="X42" s="1226"/>
      <c r="Y42" s="1226"/>
      <c r="Z42" s="1228"/>
    </row>
    <row r="43" spans="1:26" ht="55.2" x14ac:dyDescent="0.3">
      <c r="A43" s="1501" t="s">
        <v>2265</v>
      </c>
      <c r="B43" s="1224" t="s">
        <v>3313</v>
      </c>
      <c r="C43" s="1224"/>
      <c r="D43" s="1224"/>
      <c r="E43" s="1224"/>
      <c r="F43" s="1224"/>
      <c r="G43" s="1224"/>
      <c r="H43" s="1224"/>
      <c r="I43" s="1224"/>
      <c r="J43" s="1224"/>
      <c r="K43" s="1224"/>
      <c r="L43" s="1224"/>
      <c r="M43" s="1224"/>
      <c r="N43" s="1224"/>
      <c r="O43" s="1224"/>
      <c r="P43" s="1224"/>
      <c r="Q43" s="1224"/>
      <c r="R43" s="1224"/>
      <c r="S43" s="1224"/>
      <c r="T43" s="1224"/>
      <c r="U43" s="1224"/>
      <c r="V43" s="1224"/>
      <c r="W43" s="1224"/>
      <c r="X43" s="1224"/>
      <c r="Y43" s="1224"/>
      <c r="Z43" s="1227"/>
    </row>
    <row r="44" spans="1:26" ht="55.2" x14ac:dyDescent="0.3">
      <c r="A44" s="1501" t="s">
        <v>3314</v>
      </c>
      <c r="B44" s="1226" t="s">
        <v>3315</v>
      </c>
      <c r="C44" s="1226"/>
      <c r="D44" s="1226"/>
      <c r="E44" s="1226"/>
      <c r="F44" s="1226"/>
      <c r="G44" s="1226"/>
      <c r="H44" s="1226"/>
      <c r="I44" s="1226"/>
      <c r="J44" s="1226"/>
      <c r="K44" s="1226"/>
      <c r="L44" s="1226"/>
      <c r="M44" s="1226"/>
      <c r="N44" s="1226"/>
      <c r="O44" s="1226"/>
      <c r="P44" s="1226"/>
      <c r="Q44" s="1226"/>
      <c r="R44" s="1226"/>
      <c r="S44" s="1226"/>
      <c r="T44" s="1226"/>
      <c r="U44" s="1226"/>
      <c r="V44" s="1226"/>
      <c r="W44" s="1226"/>
      <c r="X44" s="1226"/>
      <c r="Y44" s="1226"/>
      <c r="Z44" s="1228"/>
    </row>
    <row r="45" spans="1:26" ht="69" x14ac:dyDescent="0.3">
      <c r="A45" s="1501" t="s">
        <v>3316</v>
      </c>
      <c r="B45" s="1224" t="s">
        <v>3317</v>
      </c>
      <c r="C45" s="1224"/>
      <c r="D45" s="1224"/>
      <c r="E45" s="1224"/>
      <c r="F45" s="1224"/>
      <c r="G45" s="1224"/>
      <c r="H45" s="1224"/>
      <c r="I45" s="1224"/>
      <c r="J45" s="1224"/>
      <c r="K45" s="1224"/>
      <c r="L45" s="1224"/>
      <c r="M45" s="1224"/>
      <c r="N45" s="1224"/>
      <c r="O45" s="1224"/>
      <c r="P45" s="1224"/>
      <c r="Q45" s="1224"/>
      <c r="R45" s="1224"/>
      <c r="S45" s="1224"/>
      <c r="T45" s="1224"/>
      <c r="U45" s="1224"/>
      <c r="V45" s="1224"/>
      <c r="W45" s="1224"/>
      <c r="X45" s="1224"/>
      <c r="Y45" s="1224"/>
      <c r="Z45" s="1227"/>
    </row>
    <row r="46" spans="1:26" x14ac:dyDescent="0.3">
      <c r="A46" s="1501"/>
      <c r="B46" s="1226"/>
      <c r="C46" s="1226"/>
      <c r="D46" s="1226"/>
      <c r="E46" s="1226"/>
      <c r="F46" s="1226"/>
      <c r="G46" s="1226"/>
      <c r="H46" s="1226"/>
      <c r="I46" s="1226"/>
      <c r="J46" s="1226"/>
      <c r="K46" s="1226"/>
      <c r="L46" s="1226"/>
      <c r="M46" s="1226"/>
      <c r="N46" s="1226"/>
      <c r="O46" s="1226"/>
      <c r="P46" s="1226"/>
      <c r="Q46" s="1226"/>
      <c r="R46" s="1226"/>
      <c r="S46" s="1226"/>
      <c r="T46" s="1226"/>
      <c r="U46" s="1226"/>
      <c r="V46" s="1226"/>
      <c r="W46" s="1226"/>
      <c r="X46" s="1226"/>
      <c r="Y46" s="1226"/>
      <c r="Z46" s="1228"/>
    </row>
    <row r="47" spans="1:26" x14ac:dyDescent="0.3">
      <c r="A47" s="1501"/>
      <c r="B47" s="1224"/>
      <c r="C47" s="1224"/>
      <c r="D47" s="1224"/>
      <c r="E47" s="1224"/>
      <c r="F47" s="1224"/>
      <c r="G47" s="1224"/>
      <c r="H47" s="1224"/>
      <c r="I47" s="1224"/>
      <c r="J47" s="1224"/>
      <c r="K47" s="1224"/>
      <c r="L47" s="1224"/>
      <c r="M47" s="1224"/>
      <c r="N47" s="1224"/>
      <c r="O47" s="1224"/>
      <c r="P47" s="1224"/>
      <c r="Q47" s="1224"/>
      <c r="R47" s="1224"/>
      <c r="S47" s="1224"/>
      <c r="T47" s="1224"/>
      <c r="U47" s="1224"/>
      <c r="V47" s="1224"/>
      <c r="W47" s="1224"/>
      <c r="X47" s="1224"/>
      <c r="Y47" s="1224"/>
      <c r="Z47" s="1227"/>
    </row>
    <row r="48" spans="1:26" ht="19.95" customHeight="1" x14ac:dyDescent="0.3">
      <c r="A48" s="1856" t="s">
        <v>3318</v>
      </c>
      <c r="B48" s="1764"/>
      <c r="C48" s="1764"/>
      <c r="D48" s="1764"/>
      <c r="E48" s="1764"/>
      <c r="F48" s="1764"/>
      <c r="G48" s="1764"/>
      <c r="H48" s="1764"/>
      <c r="I48" s="1764"/>
      <c r="J48" s="1764"/>
      <c r="K48" s="1764"/>
      <c r="L48" s="1764"/>
      <c r="M48" s="1764"/>
      <c r="N48" s="1764"/>
      <c r="O48" s="1764"/>
      <c r="P48" s="1764"/>
      <c r="Q48" s="1764"/>
      <c r="R48" s="1764"/>
      <c r="S48" s="1764"/>
      <c r="T48" s="1764"/>
      <c r="U48" s="1764"/>
      <c r="V48" s="1764"/>
      <c r="W48" s="1764"/>
      <c r="X48" s="1764"/>
      <c r="Y48" s="1764"/>
      <c r="Z48" s="1857"/>
    </row>
    <row r="49" spans="1:26" ht="21.6" x14ac:dyDescent="0.3">
      <c r="A49" s="1501" t="s">
        <v>3319</v>
      </c>
      <c r="B49" s="1224" t="s">
        <v>83</v>
      </c>
      <c r="C49" s="1224" t="s">
        <v>3320</v>
      </c>
      <c r="D49" s="1224" t="s">
        <v>3321</v>
      </c>
      <c r="E49" s="1224" t="s">
        <v>3322</v>
      </c>
      <c r="F49" s="1224"/>
      <c r="G49" s="1224"/>
      <c r="H49" s="1224"/>
      <c r="I49" s="1224"/>
      <c r="J49" s="1224"/>
      <c r="K49" s="1224"/>
      <c r="L49" s="1224"/>
      <c r="M49" s="1224"/>
      <c r="N49" s="1224"/>
      <c r="O49" s="1224"/>
      <c r="P49" s="1224"/>
      <c r="Q49" s="1224"/>
      <c r="R49" s="1224"/>
      <c r="S49" s="1224"/>
      <c r="T49" s="1224"/>
      <c r="U49" s="1224"/>
      <c r="V49" s="1224"/>
      <c r="W49" s="1224"/>
      <c r="X49" s="1224"/>
      <c r="Y49" s="1224"/>
      <c r="Z49" s="1227"/>
    </row>
    <row r="50" spans="1:26" ht="19.95" customHeight="1" x14ac:dyDescent="0.3">
      <c r="A50" s="1856" t="s">
        <v>3323</v>
      </c>
      <c r="B50" s="1764"/>
      <c r="C50" s="1764"/>
      <c r="D50" s="1764"/>
      <c r="E50" s="1764"/>
      <c r="F50" s="1764"/>
      <c r="G50" s="1764"/>
      <c r="H50" s="1764"/>
      <c r="I50" s="1764"/>
      <c r="J50" s="1764"/>
      <c r="K50" s="1764"/>
      <c r="L50" s="1764"/>
      <c r="M50" s="1764"/>
      <c r="N50" s="1764"/>
      <c r="O50" s="1764"/>
      <c r="P50" s="1764"/>
      <c r="Q50" s="1764"/>
      <c r="R50" s="1764"/>
      <c r="S50" s="1764"/>
      <c r="T50" s="1764"/>
      <c r="U50" s="1764"/>
      <c r="V50" s="1764"/>
      <c r="W50" s="1764"/>
      <c r="X50" s="1764"/>
      <c r="Y50" s="1764"/>
      <c r="Z50" s="1857"/>
    </row>
    <row r="51" spans="1:26" ht="43.2" x14ac:dyDescent="0.3">
      <c r="A51" s="1501" t="s">
        <v>3324</v>
      </c>
      <c r="B51" s="1224" t="s">
        <v>99</v>
      </c>
      <c r="C51" s="1224" t="s">
        <v>809</v>
      </c>
      <c r="D51" s="1224" t="s">
        <v>810</v>
      </c>
      <c r="E51" s="1224" t="s">
        <v>3325</v>
      </c>
      <c r="F51" s="1224"/>
      <c r="G51" s="1224"/>
      <c r="H51" s="1224"/>
      <c r="I51" s="1224"/>
      <c r="J51" s="1224"/>
      <c r="K51" s="1224"/>
      <c r="L51" s="1224"/>
      <c r="M51" s="1224"/>
      <c r="N51" s="1224"/>
      <c r="O51" s="1224"/>
      <c r="P51" s="1224"/>
      <c r="Q51" s="1224"/>
      <c r="R51" s="1224"/>
      <c r="S51" s="1224"/>
      <c r="T51" s="1224"/>
      <c r="U51" s="1224"/>
      <c r="V51" s="1224"/>
      <c r="W51" s="1224"/>
      <c r="X51" s="1224"/>
      <c r="Y51" s="1224"/>
      <c r="Z51" s="1227"/>
    </row>
    <row r="52" spans="1:26" ht="19.95" customHeight="1" x14ac:dyDescent="0.3">
      <c r="A52" s="1856" t="s">
        <v>2072</v>
      </c>
      <c r="B52" s="1764"/>
      <c r="C52" s="1764"/>
      <c r="D52" s="1764"/>
      <c r="E52" s="1764"/>
      <c r="F52" s="1764"/>
      <c r="G52" s="1764"/>
      <c r="H52" s="1764"/>
      <c r="I52" s="1764"/>
      <c r="J52" s="1764"/>
      <c r="K52" s="1764"/>
      <c r="L52" s="1764"/>
      <c r="M52" s="1764"/>
      <c r="N52" s="1764"/>
      <c r="O52" s="1764"/>
      <c r="P52" s="1764"/>
      <c r="Q52" s="1764"/>
      <c r="R52" s="1764"/>
      <c r="S52" s="1764"/>
      <c r="T52" s="1764"/>
      <c r="U52" s="1764"/>
      <c r="V52" s="1764"/>
      <c r="W52" s="1764"/>
      <c r="X52" s="1764"/>
      <c r="Y52" s="1764"/>
      <c r="Z52" s="1857"/>
    </row>
    <row r="53" spans="1:26" ht="43.2" x14ac:dyDescent="0.3">
      <c r="A53" s="1501" t="s">
        <v>675</v>
      </c>
      <c r="B53" s="1224" t="s">
        <v>89</v>
      </c>
      <c r="C53" s="1224" t="s">
        <v>783</v>
      </c>
      <c r="D53" s="1224" t="s">
        <v>784</v>
      </c>
      <c r="E53" s="1224" t="s">
        <v>3326</v>
      </c>
      <c r="F53" s="1224"/>
      <c r="G53" s="1224"/>
      <c r="H53" s="1224"/>
      <c r="I53" s="1224"/>
      <c r="J53" s="1224"/>
      <c r="K53" s="1224"/>
      <c r="L53" s="1224"/>
      <c r="M53" s="1224"/>
      <c r="N53" s="1224"/>
      <c r="O53" s="1224"/>
      <c r="P53" s="1224"/>
      <c r="Q53" s="1224"/>
      <c r="R53" s="1224"/>
      <c r="S53" s="1224"/>
      <c r="T53" s="1224"/>
      <c r="U53" s="1224"/>
      <c r="V53" s="1224"/>
      <c r="W53" s="1224"/>
      <c r="X53" s="1224"/>
      <c r="Y53" s="1224"/>
      <c r="Z53" s="1227"/>
    </row>
    <row r="54" spans="1:26" ht="43.2" x14ac:dyDescent="0.3">
      <c r="A54" s="1501" t="s">
        <v>3327</v>
      </c>
      <c r="B54" s="1226" t="s">
        <v>87</v>
      </c>
      <c r="C54" s="1226" t="s">
        <v>796</v>
      </c>
      <c r="D54" s="1226" t="s">
        <v>797</v>
      </c>
      <c r="E54" s="1226" t="s">
        <v>3328</v>
      </c>
      <c r="F54" s="1226"/>
      <c r="G54" s="1226"/>
      <c r="H54" s="1226"/>
      <c r="I54" s="1226"/>
      <c r="J54" s="1226"/>
      <c r="K54" s="1226"/>
      <c r="L54" s="1226"/>
      <c r="M54" s="1226"/>
      <c r="N54" s="1226"/>
      <c r="O54" s="1226"/>
      <c r="P54" s="1226"/>
      <c r="Q54" s="1226"/>
      <c r="R54" s="1226"/>
      <c r="S54" s="1226"/>
      <c r="T54" s="1226"/>
      <c r="U54" s="1226"/>
      <c r="V54" s="1226"/>
      <c r="W54" s="1226"/>
      <c r="X54" s="1226"/>
      <c r="Y54" s="1226"/>
      <c r="Z54" s="1228"/>
    </row>
    <row r="55" spans="1:26" ht="32.4" x14ac:dyDescent="0.3">
      <c r="A55" s="1501" t="s">
        <v>134</v>
      </c>
      <c r="B55" s="1224" t="s">
        <v>791</v>
      </c>
      <c r="C55" s="1224" t="s">
        <v>792</v>
      </c>
      <c r="D55" s="1224" t="s">
        <v>793</v>
      </c>
      <c r="E55" s="1224" t="s">
        <v>3329</v>
      </c>
      <c r="F55" s="1224"/>
      <c r="G55" s="1224"/>
      <c r="H55" s="1224"/>
      <c r="I55" s="1224"/>
      <c r="J55" s="1224"/>
      <c r="K55" s="1224"/>
      <c r="L55" s="1224"/>
      <c r="M55" s="1224"/>
      <c r="N55" s="1224"/>
      <c r="O55" s="1224"/>
      <c r="P55" s="1224"/>
      <c r="Q55" s="1224"/>
      <c r="R55" s="1224"/>
      <c r="S55" s="1224"/>
      <c r="T55" s="1224"/>
      <c r="U55" s="1224"/>
      <c r="V55" s="1224"/>
      <c r="W55" s="1224"/>
      <c r="X55" s="1224"/>
      <c r="Y55" s="1224"/>
      <c r="Z55" s="1227"/>
    </row>
    <row r="56" spans="1:26" ht="27.6" x14ac:dyDescent="0.3">
      <c r="A56" s="1501" t="s">
        <v>3330</v>
      </c>
      <c r="B56" s="1226" t="s">
        <v>99</v>
      </c>
      <c r="C56" s="1226" t="s">
        <v>809</v>
      </c>
      <c r="D56" s="1226" t="s">
        <v>810</v>
      </c>
      <c r="E56" s="1226" t="s">
        <v>3331</v>
      </c>
      <c r="F56" s="1226"/>
      <c r="G56" s="1226"/>
      <c r="H56" s="1226"/>
      <c r="I56" s="1226"/>
      <c r="J56" s="1226"/>
      <c r="K56" s="1226"/>
      <c r="L56" s="1226"/>
      <c r="M56" s="1226"/>
      <c r="N56" s="1226"/>
      <c r="O56" s="1226"/>
      <c r="P56" s="1226"/>
      <c r="Q56" s="1226"/>
      <c r="R56" s="1226"/>
      <c r="S56" s="1226"/>
      <c r="T56" s="1226"/>
      <c r="U56" s="1226"/>
      <c r="V56" s="1226"/>
      <c r="W56" s="1226"/>
      <c r="X56" s="1226"/>
      <c r="Y56" s="1226"/>
      <c r="Z56" s="1228"/>
    </row>
    <row r="57" spans="1:26" ht="54" x14ac:dyDescent="0.3">
      <c r="A57" s="1501" t="s">
        <v>2254</v>
      </c>
      <c r="B57" s="1224" t="s">
        <v>811</v>
      </c>
      <c r="C57" s="1224" t="s">
        <v>813</v>
      </c>
      <c r="D57" s="1224" t="s">
        <v>814</v>
      </c>
      <c r="E57" s="1224" t="s">
        <v>3332</v>
      </c>
      <c r="F57" s="1224"/>
      <c r="G57" s="1224"/>
      <c r="H57" s="1224"/>
      <c r="I57" s="1224"/>
      <c r="J57" s="1224"/>
      <c r="K57" s="1224"/>
      <c r="L57" s="1224"/>
      <c r="M57" s="1224"/>
      <c r="N57" s="1224"/>
      <c r="O57" s="1224"/>
      <c r="P57" s="1224"/>
      <c r="Q57" s="1224"/>
      <c r="R57" s="1224"/>
      <c r="S57" s="1224"/>
      <c r="T57" s="1224"/>
      <c r="U57" s="1224"/>
      <c r="V57" s="1224"/>
      <c r="W57" s="1224"/>
      <c r="X57" s="1224"/>
      <c r="Y57" s="1224"/>
      <c r="Z57" s="1227"/>
    </row>
    <row r="58" spans="1:26" ht="43.2" x14ac:dyDescent="0.3">
      <c r="A58" s="1501" t="s">
        <v>678</v>
      </c>
      <c r="B58" s="1226" t="s">
        <v>94</v>
      </c>
      <c r="C58" s="1226" t="s">
        <v>788</v>
      </c>
      <c r="D58" s="1226" t="s">
        <v>789</v>
      </c>
      <c r="E58" s="1226" t="s">
        <v>3333</v>
      </c>
      <c r="F58" s="1226"/>
      <c r="G58" s="1226"/>
      <c r="H58" s="1226"/>
      <c r="I58" s="1226"/>
      <c r="J58" s="1226"/>
      <c r="K58" s="1226"/>
      <c r="L58" s="1226"/>
      <c r="M58" s="1226"/>
      <c r="N58" s="1226"/>
      <c r="O58" s="1226"/>
      <c r="P58" s="1226"/>
      <c r="Q58" s="1226"/>
      <c r="R58" s="1226"/>
      <c r="S58" s="1226"/>
      <c r="T58" s="1226"/>
      <c r="U58" s="1226"/>
      <c r="V58" s="1226"/>
      <c r="W58" s="1226"/>
      <c r="X58" s="1226"/>
      <c r="Y58" s="1226"/>
      <c r="Z58" s="1228"/>
    </row>
    <row r="59" spans="1:26" ht="32.4" x14ac:dyDescent="0.3">
      <c r="A59" s="1501" t="s">
        <v>3334</v>
      </c>
      <c r="B59" s="1224" t="s">
        <v>804</v>
      </c>
      <c r="C59" s="1224" t="s">
        <v>807</v>
      </c>
      <c r="D59" s="1224" t="s">
        <v>808</v>
      </c>
      <c r="E59" s="1224" t="s">
        <v>3335</v>
      </c>
      <c r="F59" s="1224"/>
      <c r="G59" s="1224"/>
      <c r="H59" s="1224"/>
      <c r="I59" s="1224"/>
      <c r="J59" s="1224"/>
      <c r="K59" s="1224"/>
      <c r="L59" s="1224"/>
      <c r="M59" s="1224"/>
      <c r="N59" s="1224"/>
      <c r="O59" s="1224"/>
      <c r="P59" s="1224"/>
      <c r="Q59" s="1224"/>
      <c r="R59" s="1224"/>
      <c r="S59" s="1224"/>
      <c r="T59" s="1224"/>
      <c r="U59" s="1224"/>
      <c r="V59" s="1224"/>
      <c r="W59" s="1224"/>
      <c r="X59" s="1224"/>
      <c r="Y59" s="1224"/>
      <c r="Z59" s="1227"/>
    </row>
    <row r="60" spans="1:26" ht="54" x14ac:dyDescent="0.3">
      <c r="A60" s="1501" t="s">
        <v>3336</v>
      </c>
      <c r="B60" s="1226" t="s">
        <v>799</v>
      </c>
      <c r="C60" s="1226" t="s">
        <v>802</v>
      </c>
      <c r="D60" s="1226" t="s">
        <v>803</v>
      </c>
      <c r="E60" s="1226" t="s">
        <v>3337</v>
      </c>
      <c r="F60" s="1226"/>
      <c r="G60" s="1226"/>
      <c r="H60" s="1226"/>
      <c r="I60" s="1226"/>
      <c r="J60" s="1226"/>
      <c r="K60" s="1226"/>
      <c r="L60" s="1226"/>
      <c r="M60" s="1226"/>
      <c r="N60" s="1226"/>
      <c r="O60" s="1226"/>
      <c r="P60" s="1226"/>
      <c r="Q60" s="1226"/>
      <c r="R60" s="1226"/>
      <c r="S60" s="1226"/>
      <c r="T60" s="1226"/>
      <c r="U60" s="1226"/>
      <c r="V60" s="1226"/>
      <c r="W60" s="1226"/>
      <c r="X60" s="1226"/>
      <c r="Y60" s="1226"/>
      <c r="Z60" s="1228"/>
    </row>
    <row r="61" spans="1:26" ht="32.4" x14ac:dyDescent="0.3">
      <c r="A61" s="1501" t="s">
        <v>3338</v>
      </c>
      <c r="B61" s="1224" t="s">
        <v>818</v>
      </c>
      <c r="C61" s="1224" t="s">
        <v>819</v>
      </c>
      <c r="D61" s="1224" t="s">
        <v>820</v>
      </c>
      <c r="E61" s="1224" t="s">
        <v>3339</v>
      </c>
      <c r="F61" s="1224"/>
      <c r="G61" s="1224"/>
      <c r="H61" s="1224"/>
      <c r="I61" s="1224"/>
      <c r="J61" s="1224"/>
      <c r="K61" s="1224"/>
      <c r="L61" s="1224"/>
      <c r="M61" s="1224"/>
      <c r="N61" s="1224"/>
      <c r="O61" s="1224"/>
      <c r="P61" s="1224"/>
      <c r="Q61" s="1224"/>
      <c r="R61" s="1224"/>
      <c r="S61" s="1224"/>
      <c r="T61" s="1224"/>
      <c r="U61" s="1224"/>
      <c r="V61" s="1224"/>
      <c r="W61" s="1224"/>
      <c r="X61" s="1224"/>
      <c r="Y61" s="1224"/>
      <c r="Z61" s="1227"/>
    </row>
    <row r="62" spans="1:26" ht="54" x14ac:dyDescent="0.3">
      <c r="A62" s="1501" t="s">
        <v>3340</v>
      </c>
      <c r="B62" s="1226" t="s">
        <v>97</v>
      </c>
      <c r="C62" s="1226" t="s">
        <v>816</v>
      </c>
      <c r="D62" s="1226" t="s">
        <v>817</v>
      </c>
      <c r="E62" s="1226" t="s">
        <v>3341</v>
      </c>
      <c r="F62" s="1226"/>
      <c r="G62" s="1226"/>
      <c r="H62" s="1226"/>
      <c r="I62" s="1226"/>
      <c r="J62" s="1226"/>
      <c r="K62" s="1226"/>
      <c r="L62" s="1226"/>
      <c r="M62" s="1226"/>
      <c r="N62" s="1226"/>
      <c r="O62" s="1226"/>
      <c r="P62" s="1226"/>
      <c r="Q62" s="1226"/>
      <c r="R62" s="1226"/>
      <c r="S62" s="1226"/>
      <c r="T62" s="1226"/>
      <c r="U62" s="1226"/>
      <c r="V62" s="1226"/>
      <c r="W62" s="1226"/>
      <c r="X62" s="1226"/>
      <c r="Y62" s="1226"/>
      <c r="Z62" s="1228"/>
    </row>
    <row r="63" spans="1:26" ht="64.8" x14ac:dyDescent="0.3">
      <c r="A63" s="1501" t="s">
        <v>3342</v>
      </c>
      <c r="B63" s="1224" t="s">
        <v>3343</v>
      </c>
      <c r="C63" s="1224" t="s">
        <v>3344</v>
      </c>
      <c r="D63" s="1224" t="s">
        <v>3345</v>
      </c>
      <c r="E63" s="1224" t="s">
        <v>3346</v>
      </c>
      <c r="F63" s="1224"/>
      <c r="G63" s="1224"/>
      <c r="H63" s="1224"/>
      <c r="I63" s="1224"/>
      <c r="J63" s="1224"/>
      <c r="K63" s="1224"/>
      <c r="L63" s="1224"/>
      <c r="M63" s="1224"/>
      <c r="N63" s="1224"/>
      <c r="O63" s="1224"/>
      <c r="P63" s="1224"/>
      <c r="Q63" s="1224"/>
      <c r="R63" s="1224"/>
      <c r="S63" s="1224"/>
      <c r="T63" s="1224"/>
      <c r="U63" s="1224"/>
      <c r="V63" s="1224"/>
      <c r="W63" s="1224"/>
      <c r="X63" s="1224"/>
      <c r="Y63" s="1224"/>
      <c r="Z63" s="1227"/>
    </row>
    <row r="64" spans="1:26" x14ac:dyDescent="0.3">
      <c r="A64" s="1501"/>
      <c r="B64" s="1226"/>
      <c r="C64" s="1226"/>
      <c r="D64" s="1226"/>
      <c r="E64" s="1226"/>
      <c r="F64" s="1226"/>
      <c r="G64" s="1226"/>
      <c r="H64" s="1226"/>
      <c r="I64" s="1226"/>
      <c r="J64" s="1226"/>
      <c r="K64" s="1226"/>
      <c r="L64" s="1226"/>
      <c r="M64" s="1226"/>
      <c r="N64" s="1226"/>
      <c r="O64" s="1226"/>
      <c r="P64" s="1226"/>
      <c r="Q64" s="1226"/>
      <c r="R64" s="1226"/>
      <c r="S64" s="1226"/>
      <c r="T64" s="1226"/>
      <c r="U64" s="1226"/>
      <c r="V64" s="1226"/>
      <c r="W64" s="1226"/>
      <c r="X64" s="1226"/>
      <c r="Y64" s="1226"/>
      <c r="Z64" s="1228"/>
    </row>
    <row r="65" spans="1:26" x14ac:dyDescent="0.3">
      <c r="A65" s="1501"/>
      <c r="B65" s="1224"/>
      <c r="C65" s="1224"/>
      <c r="D65" s="1224"/>
      <c r="E65" s="1224"/>
      <c r="F65" s="1224"/>
      <c r="G65" s="1224"/>
      <c r="H65" s="1224"/>
      <c r="I65" s="1224"/>
      <c r="J65" s="1224"/>
      <c r="K65" s="1224"/>
      <c r="L65" s="1224"/>
      <c r="M65" s="1224"/>
      <c r="N65" s="1224"/>
      <c r="O65" s="1224"/>
      <c r="P65" s="1224"/>
      <c r="Q65" s="1224"/>
      <c r="R65" s="1224"/>
      <c r="S65" s="1224"/>
      <c r="T65" s="1224"/>
      <c r="U65" s="1224"/>
      <c r="V65" s="1224"/>
      <c r="W65" s="1224"/>
      <c r="X65" s="1224"/>
      <c r="Y65" s="1224"/>
      <c r="Z65" s="1227"/>
    </row>
    <row r="66" spans="1:26" ht="19.95" customHeight="1" x14ac:dyDescent="0.3">
      <c r="A66" s="1856" t="s">
        <v>3347</v>
      </c>
      <c r="B66" s="1764"/>
      <c r="C66" s="1764"/>
      <c r="D66" s="1764"/>
      <c r="E66" s="1764"/>
      <c r="F66" s="1764"/>
      <c r="G66" s="1764"/>
      <c r="H66" s="1764"/>
      <c r="I66" s="1764"/>
      <c r="J66" s="1764"/>
      <c r="K66" s="1764"/>
      <c r="L66" s="1764"/>
      <c r="M66" s="1764"/>
      <c r="N66" s="1764"/>
      <c r="O66" s="1764"/>
      <c r="P66" s="1764"/>
      <c r="Q66" s="1764"/>
      <c r="R66" s="1764"/>
      <c r="S66" s="1764"/>
      <c r="T66" s="1764"/>
      <c r="U66" s="1764"/>
      <c r="V66" s="1764"/>
      <c r="W66" s="1764"/>
      <c r="X66" s="1764"/>
      <c r="Y66" s="1764"/>
      <c r="Z66" s="1857"/>
    </row>
    <row r="67" spans="1:26" ht="21.6" x14ac:dyDescent="0.3">
      <c r="A67" s="1501" t="s">
        <v>3348</v>
      </c>
      <c r="B67" s="1224" t="s">
        <v>3349</v>
      </c>
      <c r="C67" s="1224"/>
      <c r="D67" s="1224"/>
      <c r="E67" s="1224"/>
      <c r="F67" s="1224"/>
      <c r="G67" s="1224"/>
      <c r="H67" s="1224"/>
      <c r="I67" s="1224"/>
      <c r="J67" s="1224"/>
      <c r="K67" s="1224"/>
      <c r="L67" s="1224"/>
      <c r="M67" s="1224"/>
      <c r="N67" s="1224"/>
      <c r="O67" s="1224"/>
      <c r="P67" s="1224"/>
      <c r="Q67" s="1224"/>
      <c r="R67" s="1224"/>
      <c r="S67" s="1224"/>
      <c r="T67" s="1224"/>
      <c r="U67" s="1224"/>
      <c r="V67" s="1224"/>
      <c r="W67" s="1224"/>
      <c r="X67" s="1224"/>
      <c r="Y67" s="1224"/>
      <c r="Z67" s="1227"/>
    </row>
    <row r="68" spans="1:26" ht="19.95" customHeight="1" x14ac:dyDescent="0.3">
      <c r="A68" s="1856" t="s">
        <v>3350</v>
      </c>
      <c r="B68" s="1764"/>
      <c r="C68" s="1764"/>
      <c r="D68" s="1764"/>
      <c r="E68" s="1764"/>
      <c r="F68" s="1764"/>
      <c r="G68" s="1764"/>
      <c r="H68" s="1764"/>
      <c r="I68" s="1764"/>
      <c r="J68" s="1764"/>
      <c r="K68" s="1764"/>
      <c r="L68" s="1764"/>
      <c r="M68" s="1764"/>
      <c r="N68" s="1764"/>
      <c r="O68" s="1764"/>
      <c r="P68" s="1764"/>
      <c r="Q68" s="1764"/>
      <c r="R68" s="1764"/>
      <c r="S68" s="1764"/>
      <c r="T68" s="1764"/>
      <c r="U68" s="1764"/>
      <c r="V68" s="1764"/>
      <c r="W68" s="1764"/>
      <c r="X68" s="1764"/>
      <c r="Y68" s="1764"/>
      <c r="Z68" s="1857"/>
    </row>
    <row r="69" spans="1:26" ht="19.95" customHeight="1" x14ac:dyDescent="0.3">
      <c r="A69" s="1856" t="s">
        <v>3351</v>
      </c>
      <c r="B69" s="1764"/>
      <c r="C69" s="1764"/>
      <c r="D69" s="1764"/>
      <c r="E69" s="1764"/>
      <c r="F69" s="1764"/>
      <c r="G69" s="1764"/>
      <c r="H69" s="1764"/>
      <c r="I69" s="1764"/>
      <c r="J69" s="1764"/>
      <c r="K69" s="1764"/>
      <c r="L69" s="1764"/>
      <c r="M69" s="1764"/>
      <c r="N69" s="1764"/>
      <c r="O69" s="1764"/>
      <c r="P69" s="1764"/>
      <c r="Q69" s="1764"/>
      <c r="R69" s="1764"/>
      <c r="S69" s="1764"/>
      <c r="T69" s="1764"/>
      <c r="U69" s="1764"/>
      <c r="V69" s="1764"/>
      <c r="W69" s="1764"/>
      <c r="X69" s="1764"/>
      <c r="Y69" s="1764"/>
      <c r="Z69" s="1857"/>
    </row>
    <row r="70" spans="1:26" ht="19.95" customHeight="1" x14ac:dyDescent="0.3">
      <c r="A70" s="1856" t="s">
        <v>3352</v>
      </c>
      <c r="B70" s="1764"/>
      <c r="C70" s="1764"/>
      <c r="D70" s="1764"/>
      <c r="E70" s="1764"/>
      <c r="F70" s="1764"/>
      <c r="G70" s="1764"/>
      <c r="H70" s="1764"/>
      <c r="I70" s="1764"/>
      <c r="J70" s="1764"/>
      <c r="K70" s="1764"/>
      <c r="L70" s="1764"/>
      <c r="M70" s="1764"/>
      <c r="N70" s="1764"/>
      <c r="O70" s="1764"/>
      <c r="P70" s="1764"/>
      <c r="Q70" s="1764"/>
      <c r="R70" s="1764"/>
      <c r="S70" s="1764"/>
      <c r="T70" s="1764"/>
      <c r="U70" s="1764"/>
      <c r="V70" s="1764"/>
      <c r="W70" s="1764"/>
      <c r="X70" s="1764"/>
      <c r="Y70" s="1764"/>
      <c r="Z70" s="1857"/>
    </row>
    <row r="71" spans="1:26" ht="124.2" x14ac:dyDescent="0.3">
      <c r="A71" s="1501" t="s">
        <v>3353</v>
      </c>
      <c r="B71" s="1224" t="s">
        <v>3354</v>
      </c>
      <c r="C71" s="1224"/>
      <c r="D71" s="1224"/>
      <c r="E71" s="1224"/>
      <c r="F71" s="1224"/>
      <c r="G71" s="1224"/>
      <c r="H71" s="1224"/>
      <c r="I71" s="1224"/>
      <c r="J71" s="1224"/>
      <c r="K71" s="1224"/>
      <c r="L71" s="1224"/>
      <c r="M71" s="1224"/>
      <c r="N71" s="1224"/>
      <c r="O71" s="1224"/>
      <c r="P71" s="1224"/>
      <c r="Q71" s="1224"/>
      <c r="R71" s="1224"/>
      <c r="S71" s="1224"/>
      <c r="T71" s="1224"/>
      <c r="U71" s="1224"/>
      <c r="V71" s="1224"/>
      <c r="W71" s="1224"/>
      <c r="X71" s="1224"/>
      <c r="Y71" s="1224"/>
      <c r="Z71" s="1227"/>
    </row>
    <row r="72" spans="1:26" ht="19.95" customHeight="1" x14ac:dyDescent="0.3">
      <c r="A72" s="1856" t="s">
        <v>3355</v>
      </c>
      <c r="B72" s="1764"/>
      <c r="C72" s="1764"/>
      <c r="D72" s="1764"/>
      <c r="E72" s="1764"/>
      <c r="F72" s="1764"/>
      <c r="G72" s="1764"/>
      <c r="H72" s="1764"/>
      <c r="I72" s="1764"/>
      <c r="J72" s="1764"/>
      <c r="K72" s="1764"/>
      <c r="L72" s="1764"/>
      <c r="M72" s="1764"/>
      <c r="N72" s="1764"/>
      <c r="O72" s="1764"/>
      <c r="P72" s="1764"/>
      <c r="Q72" s="1764"/>
      <c r="R72" s="1764"/>
      <c r="S72" s="1764"/>
      <c r="T72" s="1764"/>
      <c r="U72" s="1764"/>
      <c r="V72" s="1764"/>
      <c r="W72" s="1764"/>
      <c r="X72" s="1764"/>
      <c r="Y72" s="1764"/>
      <c r="Z72" s="1857"/>
    </row>
    <row r="73" spans="1:26" ht="19.95" customHeight="1" x14ac:dyDescent="0.3">
      <c r="A73" s="1856" t="s">
        <v>3356</v>
      </c>
      <c r="B73" s="1764"/>
      <c r="C73" s="1764"/>
      <c r="D73" s="1764"/>
      <c r="E73" s="1764"/>
      <c r="F73" s="1764"/>
      <c r="G73" s="1764"/>
      <c r="H73" s="1764"/>
      <c r="I73" s="1764"/>
      <c r="J73" s="1764"/>
      <c r="K73" s="1764"/>
      <c r="L73" s="1764"/>
      <c r="M73" s="1764"/>
      <c r="N73" s="1764"/>
      <c r="O73" s="1764"/>
      <c r="P73" s="1764"/>
      <c r="Q73" s="1764"/>
      <c r="R73" s="1764"/>
      <c r="S73" s="1764"/>
      <c r="T73" s="1764"/>
      <c r="U73" s="1764"/>
      <c r="V73" s="1764"/>
      <c r="W73" s="1764"/>
      <c r="X73" s="1764"/>
      <c r="Y73" s="1764"/>
      <c r="Z73" s="1857"/>
    </row>
    <row r="74" spans="1:26" ht="19.95" customHeight="1" x14ac:dyDescent="0.3">
      <c r="A74" s="1856" t="s">
        <v>3357</v>
      </c>
      <c r="B74" s="1764"/>
      <c r="C74" s="1764"/>
      <c r="D74" s="1764"/>
      <c r="E74" s="1764"/>
      <c r="F74" s="1764"/>
      <c r="G74" s="1764"/>
      <c r="H74" s="1764"/>
      <c r="I74" s="1764"/>
      <c r="J74" s="1764"/>
      <c r="K74" s="1764"/>
      <c r="L74" s="1764"/>
      <c r="M74" s="1764"/>
      <c r="N74" s="1764"/>
      <c r="O74" s="1764"/>
      <c r="P74" s="1764"/>
      <c r="Q74" s="1764"/>
      <c r="R74" s="1764"/>
      <c r="S74" s="1764"/>
      <c r="T74" s="1764"/>
      <c r="U74" s="1764"/>
      <c r="V74" s="1764"/>
      <c r="W74" s="1764"/>
      <c r="X74" s="1764"/>
      <c r="Y74" s="1764"/>
      <c r="Z74" s="1857"/>
    </row>
    <row r="75" spans="1:26" x14ac:dyDescent="0.3">
      <c r="A75" s="1501"/>
      <c r="B75" s="1224"/>
      <c r="C75" s="1224"/>
      <c r="D75" s="1224"/>
      <c r="E75" s="1224"/>
      <c r="F75" s="1224"/>
      <c r="G75" s="1224"/>
      <c r="H75" s="1224"/>
      <c r="I75" s="1224"/>
      <c r="J75" s="1224"/>
      <c r="K75" s="1224"/>
      <c r="L75" s="1224"/>
      <c r="M75" s="1224"/>
      <c r="N75" s="1224"/>
      <c r="O75" s="1224"/>
      <c r="P75" s="1224"/>
      <c r="Q75" s="1224"/>
      <c r="R75" s="1224"/>
      <c r="S75" s="1224"/>
      <c r="T75" s="1224"/>
      <c r="U75" s="1224"/>
      <c r="V75" s="1224"/>
      <c r="W75" s="1224"/>
      <c r="X75" s="1224"/>
      <c r="Y75" s="1224"/>
      <c r="Z75" s="1227"/>
    </row>
    <row r="76" spans="1:26" ht="19.95" customHeight="1" x14ac:dyDescent="0.3">
      <c r="A76" s="1856" t="s">
        <v>4415</v>
      </c>
      <c r="B76" s="1764"/>
      <c r="C76" s="1764"/>
      <c r="D76" s="1764"/>
      <c r="E76" s="1764"/>
      <c r="F76" s="1764"/>
      <c r="G76" s="1764"/>
      <c r="H76" s="1764"/>
      <c r="I76" s="1764"/>
      <c r="J76" s="1764"/>
      <c r="K76" s="1764"/>
      <c r="L76" s="1764"/>
      <c r="M76" s="1764"/>
      <c r="N76" s="1764"/>
      <c r="O76" s="1764"/>
      <c r="P76" s="1764"/>
      <c r="Q76" s="1764"/>
      <c r="R76" s="1764"/>
      <c r="S76" s="1764"/>
      <c r="T76" s="1764"/>
      <c r="U76" s="1764"/>
      <c r="V76" s="1764"/>
      <c r="W76" s="1764"/>
      <c r="X76" s="1764"/>
      <c r="Y76" s="1764"/>
      <c r="Z76" s="1857"/>
    </row>
    <row r="77" spans="1:26" ht="19.95" customHeight="1" x14ac:dyDescent="0.3">
      <c r="A77" s="1856" t="s">
        <v>4305</v>
      </c>
      <c r="B77" s="1764"/>
      <c r="C77" s="1764"/>
      <c r="D77" s="1764"/>
      <c r="E77" s="1764"/>
      <c r="F77" s="1764"/>
      <c r="G77" s="1764"/>
      <c r="H77" s="1764"/>
      <c r="I77" s="1764"/>
      <c r="J77" s="1764"/>
      <c r="K77" s="1764"/>
      <c r="L77" s="1764"/>
      <c r="M77" s="1764"/>
      <c r="N77" s="1764"/>
      <c r="O77" s="1764"/>
      <c r="P77" s="1764"/>
      <c r="Q77" s="1764"/>
      <c r="R77" s="1764"/>
      <c r="S77" s="1764"/>
      <c r="T77" s="1764"/>
      <c r="U77" s="1764"/>
      <c r="V77" s="1764"/>
      <c r="W77" s="1764"/>
      <c r="X77" s="1764"/>
      <c r="Y77" s="1764"/>
      <c r="Z77" s="1857"/>
    </row>
    <row r="78" spans="1:26" ht="19.95" customHeight="1" x14ac:dyDescent="0.3">
      <c r="A78" s="1856" t="s">
        <v>4306</v>
      </c>
      <c r="B78" s="1764"/>
      <c r="C78" s="1764"/>
      <c r="D78" s="1764"/>
      <c r="E78" s="1764"/>
      <c r="F78" s="1764"/>
      <c r="G78" s="1764"/>
      <c r="H78" s="1764"/>
      <c r="I78" s="1764"/>
      <c r="J78" s="1764"/>
      <c r="K78" s="1764"/>
      <c r="L78" s="1764"/>
      <c r="M78" s="1764"/>
      <c r="N78" s="1764"/>
      <c r="O78" s="1764"/>
      <c r="P78" s="1764"/>
      <c r="Q78" s="1764"/>
      <c r="R78" s="1764"/>
      <c r="S78" s="1764"/>
      <c r="T78" s="1764"/>
      <c r="U78" s="1764"/>
      <c r="V78" s="1764"/>
      <c r="W78" s="1764"/>
      <c r="X78" s="1764"/>
      <c r="Y78" s="1764"/>
      <c r="Z78" s="1857"/>
    </row>
    <row r="79" spans="1:26" ht="19.95" customHeight="1" x14ac:dyDescent="0.3">
      <c r="A79" s="1856" t="s">
        <v>4079</v>
      </c>
      <c r="B79" s="1764"/>
      <c r="C79" s="1764"/>
      <c r="D79" s="1764"/>
      <c r="E79" s="1764"/>
      <c r="F79" s="1764"/>
      <c r="G79" s="1764"/>
      <c r="H79" s="1764"/>
      <c r="I79" s="1764"/>
      <c r="J79" s="1764"/>
      <c r="K79" s="1764"/>
      <c r="L79" s="1764"/>
      <c r="M79" s="1764"/>
      <c r="N79" s="1764"/>
      <c r="O79" s="1764"/>
      <c r="P79" s="1764"/>
      <c r="Q79" s="1764"/>
      <c r="R79" s="1764"/>
      <c r="S79" s="1764"/>
      <c r="T79" s="1764"/>
      <c r="U79" s="1764"/>
      <c r="V79" s="1764"/>
      <c r="W79" s="1764"/>
      <c r="X79" s="1764"/>
      <c r="Y79" s="1764"/>
      <c r="Z79" s="1857"/>
    </row>
    <row r="80" spans="1:26" ht="19.95" customHeight="1" x14ac:dyDescent="0.3">
      <c r="A80" s="1942" t="s">
        <v>3059</v>
      </c>
      <c r="B80" s="1764"/>
      <c r="C80" s="1764"/>
      <c r="D80" s="1764"/>
      <c r="E80" s="1764"/>
      <c r="F80" s="1764"/>
      <c r="G80" s="1764"/>
      <c r="H80" s="1764"/>
      <c r="I80" s="1764"/>
      <c r="J80" s="1764"/>
      <c r="K80" s="1764"/>
      <c r="L80" s="1764"/>
      <c r="M80" s="1764"/>
      <c r="N80" s="1764"/>
      <c r="O80" s="1764"/>
      <c r="P80" s="1764"/>
      <c r="Q80" s="1764"/>
      <c r="R80" s="1764"/>
      <c r="S80" s="1764"/>
      <c r="T80" s="1764"/>
      <c r="U80" s="1764"/>
      <c r="V80" s="1764"/>
      <c r="W80" s="1764"/>
      <c r="X80" s="1764"/>
      <c r="Y80" s="1764"/>
      <c r="Z80" s="1857"/>
    </row>
    <row r="81" spans="1:26" ht="124.2" x14ac:dyDescent="0.3">
      <c r="A81" s="1501">
        <v>1</v>
      </c>
      <c r="B81" s="1224" t="s">
        <v>3060</v>
      </c>
      <c r="C81" s="1224" t="s">
        <v>3061</v>
      </c>
      <c r="D81" s="1224" t="s">
        <v>3062</v>
      </c>
      <c r="E81" s="1224" t="s">
        <v>1867</v>
      </c>
      <c r="F81" s="1224"/>
      <c r="G81" s="1224"/>
      <c r="H81" s="1224"/>
      <c r="I81" s="1224"/>
      <c r="J81" s="1224"/>
      <c r="K81" s="1224"/>
      <c r="L81" s="1224"/>
      <c r="M81" s="1224"/>
      <c r="N81" s="1224"/>
      <c r="O81" s="1224"/>
      <c r="P81" s="1224"/>
      <c r="Q81" s="1224"/>
      <c r="R81" s="1224"/>
      <c r="S81" s="1224"/>
      <c r="T81" s="1224"/>
      <c r="U81" s="1224"/>
      <c r="V81" s="1224"/>
      <c r="W81" s="1224"/>
      <c r="X81" s="1224"/>
      <c r="Y81" s="1224"/>
      <c r="Z81" s="1227"/>
    </row>
    <row r="82" spans="1:26" ht="69" x14ac:dyDescent="0.3">
      <c r="A82" s="1501">
        <v>2</v>
      </c>
      <c r="B82" s="1226" t="s">
        <v>3063</v>
      </c>
      <c r="C82" s="1226" t="s">
        <v>3064</v>
      </c>
      <c r="D82" s="1226" t="s">
        <v>3065</v>
      </c>
      <c r="E82" s="1226" t="s">
        <v>1867</v>
      </c>
      <c r="F82" s="1226"/>
      <c r="G82" s="1226"/>
      <c r="H82" s="1226"/>
      <c r="I82" s="1226"/>
      <c r="J82" s="1226"/>
      <c r="K82" s="1226"/>
      <c r="L82" s="1226"/>
      <c r="M82" s="1226"/>
      <c r="N82" s="1226"/>
      <c r="O82" s="1226"/>
      <c r="P82" s="1226"/>
      <c r="Q82" s="1226"/>
      <c r="R82" s="1226"/>
      <c r="S82" s="1226"/>
      <c r="T82" s="1226"/>
      <c r="U82" s="1226"/>
      <c r="V82" s="1226"/>
      <c r="W82" s="1226"/>
      <c r="X82" s="1226"/>
      <c r="Y82" s="1226"/>
      <c r="Z82" s="1228"/>
    </row>
    <row r="83" spans="1:26" ht="55.2" x14ac:dyDescent="0.3">
      <c r="A83" s="1501">
        <v>3</v>
      </c>
      <c r="B83" s="1224" t="s">
        <v>3066</v>
      </c>
      <c r="C83" s="1224" t="s">
        <v>3067</v>
      </c>
      <c r="D83" s="1224" t="s">
        <v>3068</v>
      </c>
      <c r="E83" s="1224" t="s">
        <v>1867</v>
      </c>
      <c r="F83" s="1224"/>
      <c r="G83" s="1224"/>
      <c r="H83" s="1224"/>
      <c r="I83" s="1224"/>
      <c r="J83" s="1224"/>
      <c r="K83" s="1224"/>
      <c r="L83" s="1224"/>
      <c r="M83" s="1224"/>
      <c r="N83" s="1224"/>
      <c r="O83" s="1224"/>
      <c r="P83" s="1224"/>
      <c r="Q83" s="1224"/>
      <c r="R83" s="1224"/>
      <c r="S83" s="1224"/>
      <c r="T83" s="1224"/>
      <c r="U83" s="1224"/>
      <c r="V83" s="1224"/>
      <c r="W83" s="1224"/>
      <c r="X83" s="1224"/>
      <c r="Y83" s="1224"/>
      <c r="Z83" s="1227"/>
    </row>
    <row r="84" spans="1:26" ht="55.2" x14ac:dyDescent="0.3">
      <c r="A84" s="1501">
        <v>4</v>
      </c>
      <c r="B84" s="1226" t="s">
        <v>3069</v>
      </c>
      <c r="C84" s="1226" t="s">
        <v>3070</v>
      </c>
      <c r="D84" s="1226" t="s">
        <v>3071</v>
      </c>
      <c r="E84" s="1226" t="s">
        <v>1822</v>
      </c>
      <c r="F84" s="1226"/>
      <c r="G84" s="1226"/>
      <c r="H84" s="1226"/>
      <c r="I84" s="1226"/>
      <c r="J84" s="1226"/>
      <c r="K84" s="1226"/>
      <c r="L84" s="1226"/>
      <c r="M84" s="1226"/>
      <c r="N84" s="1226"/>
      <c r="O84" s="1226"/>
      <c r="P84" s="1226"/>
      <c r="Q84" s="1226"/>
      <c r="R84" s="1226"/>
      <c r="S84" s="1226"/>
      <c r="T84" s="1226"/>
      <c r="U84" s="1226"/>
      <c r="V84" s="1226"/>
      <c r="W84" s="1226"/>
      <c r="X84" s="1226"/>
      <c r="Y84" s="1226"/>
      <c r="Z84" s="1228"/>
    </row>
    <row r="85" spans="1:26" ht="69" x14ac:dyDescent="0.3">
      <c r="A85" s="1501">
        <v>5</v>
      </c>
      <c r="B85" s="1224" t="s">
        <v>3072</v>
      </c>
      <c r="C85" s="1224" t="s">
        <v>3073</v>
      </c>
      <c r="D85" s="1224" t="s">
        <v>3074</v>
      </c>
      <c r="E85" s="1224" t="s">
        <v>3075</v>
      </c>
      <c r="F85" s="1224"/>
      <c r="G85" s="1224"/>
      <c r="H85" s="1224"/>
      <c r="I85" s="1224"/>
      <c r="J85" s="1224"/>
      <c r="K85" s="1224"/>
      <c r="L85" s="1224"/>
      <c r="M85" s="1224"/>
      <c r="N85" s="1224"/>
      <c r="O85" s="1224"/>
      <c r="P85" s="1224"/>
      <c r="Q85" s="1224"/>
      <c r="R85" s="1224"/>
      <c r="S85" s="1224"/>
      <c r="T85" s="1224"/>
      <c r="U85" s="1224"/>
      <c r="V85" s="1224"/>
      <c r="W85" s="1224"/>
      <c r="X85" s="1224"/>
      <c r="Y85" s="1224"/>
      <c r="Z85" s="1227"/>
    </row>
    <row r="86" spans="1:26" ht="69" x14ac:dyDescent="0.3">
      <c r="A86" s="1501">
        <v>6</v>
      </c>
      <c r="B86" s="1226" t="s">
        <v>3076</v>
      </c>
      <c r="C86" s="1226" t="s">
        <v>3077</v>
      </c>
      <c r="D86" s="1226" t="s">
        <v>3078</v>
      </c>
      <c r="E86" s="1226" t="s">
        <v>3075</v>
      </c>
      <c r="F86" s="1226"/>
      <c r="G86" s="1226"/>
      <c r="H86" s="1226"/>
      <c r="I86" s="1226"/>
      <c r="J86" s="1226"/>
      <c r="K86" s="1226"/>
      <c r="L86" s="1226"/>
      <c r="M86" s="1226"/>
      <c r="N86" s="1226"/>
      <c r="O86" s="1226"/>
      <c r="P86" s="1226"/>
      <c r="Q86" s="1226"/>
      <c r="R86" s="1226"/>
      <c r="S86" s="1226"/>
      <c r="T86" s="1226"/>
      <c r="U86" s="1226"/>
      <c r="V86" s="1226"/>
      <c r="W86" s="1226"/>
      <c r="X86" s="1226"/>
      <c r="Y86" s="1226"/>
      <c r="Z86" s="1228"/>
    </row>
    <row r="87" spans="1:26" ht="69" x14ac:dyDescent="0.3">
      <c r="A87" s="1501">
        <v>7</v>
      </c>
      <c r="B87" s="1224" t="s">
        <v>3079</v>
      </c>
      <c r="C87" s="1224" t="s">
        <v>3080</v>
      </c>
      <c r="D87" s="1224" t="s">
        <v>3081</v>
      </c>
      <c r="E87" s="1224" t="s">
        <v>1822</v>
      </c>
      <c r="F87" s="1224"/>
      <c r="G87" s="1224"/>
      <c r="H87" s="1224"/>
      <c r="I87" s="1224"/>
      <c r="J87" s="1224"/>
      <c r="K87" s="1224"/>
      <c r="L87" s="1224"/>
      <c r="M87" s="1224"/>
      <c r="N87" s="1224"/>
      <c r="O87" s="1224"/>
      <c r="P87" s="1224"/>
      <c r="Q87" s="1224"/>
      <c r="R87" s="1224"/>
      <c r="S87" s="1224"/>
      <c r="T87" s="1224"/>
      <c r="U87" s="1224"/>
      <c r="V87" s="1224"/>
      <c r="W87" s="1224"/>
      <c r="X87" s="1224"/>
      <c r="Y87" s="1224"/>
      <c r="Z87" s="1227"/>
    </row>
    <row r="88" spans="1:26" ht="69" x14ac:dyDescent="0.3">
      <c r="A88" s="1501">
        <v>8</v>
      </c>
      <c r="B88" s="1226" t="s">
        <v>3082</v>
      </c>
      <c r="C88" s="1226" t="s">
        <v>3083</v>
      </c>
      <c r="D88" s="1226" t="s">
        <v>3084</v>
      </c>
      <c r="E88" s="1226" t="s">
        <v>1822</v>
      </c>
      <c r="F88" s="1226"/>
      <c r="G88" s="1226"/>
      <c r="H88" s="1226"/>
      <c r="I88" s="1226"/>
      <c r="J88" s="1226"/>
      <c r="K88" s="1226"/>
      <c r="L88" s="1226"/>
      <c r="M88" s="1226"/>
      <c r="N88" s="1226"/>
      <c r="O88" s="1226"/>
      <c r="P88" s="1226"/>
      <c r="Q88" s="1226"/>
      <c r="R88" s="1226"/>
      <c r="S88" s="1226"/>
      <c r="T88" s="1226"/>
      <c r="U88" s="1226"/>
      <c r="V88" s="1226"/>
      <c r="W88" s="1226"/>
      <c r="X88" s="1226"/>
      <c r="Y88" s="1226"/>
      <c r="Z88" s="1228"/>
    </row>
    <row r="89" spans="1:26" ht="69" x14ac:dyDescent="0.3">
      <c r="A89" s="1501">
        <v>9</v>
      </c>
      <c r="B89" s="1224" t="s">
        <v>3085</v>
      </c>
      <c r="C89" s="1224" t="s">
        <v>3086</v>
      </c>
      <c r="D89" s="1224" t="s">
        <v>3087</v>
      </c>
      <c r="E89" s="1224" t="s">
        <v>1822</v>
      </c>
      <c r="F89" s="1224"/>
      <c r="G89" s="1224"/>
      <c r="H89" s="1224"/>
      <c r="I89" s="1224"/>
      <c r="J89" s="1224"/>
      <c r="K89" s="1224"/>
      <c r="L89" s="1224"/>
      <c r="M89" s="1224"/>
      <c r="N89" s="1224"/>
      <c r="O89" s="1224"/>
      <c r="P89" s="1224"/>
      <c r="Q89" s="1224"/>
      <c r="R89" s="1224"/>
      <c r="S89" s="1224"/>
      <c r="T89" s="1224"/>
      <c r="U89" s="1224"/>
      <c r="V89" s="1224"/>
      <c r="W89" s="1224"/>
      <c r="X89" s="1224"/>
      <c r="Y89" s="1224"/>
      <c r="Z89" s="1227"/>
    </row>
    <row r="90" spans="1:26" ht="55.2" x14ac:dyDescent="0.3">
      <c r="A90" s="1501"/>
      <c r="B90" s="1226" t="s">
        <v>3088</v>
      </c>
      <c r="C90" s="1226"/>
      <c r="D90" s="1226"/>
      <c r="E90" s="1226" t="s">
        <v>3089</v>
      </c>
      <c r="F90" s="1226"/>
      <c r="G90" s="1226"/>
      <c r="H90" s="1226"/>
      <c r="I90" s="1226"/>
      <c r="J90" s="1226"/>
      <c r="K90" s="1226"/>
      <c r="L90" s="1226"/>
      <c r="M90" s="1226"/>
      <c r="N90" s="1226"/>
      <c r="O90" s="1226"/>
      <c r="P90" s="1226"/>
      <c r="Q90" s="1226"/>
      <c r="R90" s="1226"/>
      <c r="S90" s="1226"/>
      <c r="T90" s="1226"/>
      <c r="U90" s="1226"/>
      <c r="V90" s="1226"/>
      <c r="W90" s="1226"/>
      <c r="X90" s="1226"/>
      <c r="Y90" s="1226"/>
      <c r="Z90" s="1228"/>
    </row>
    <row r="91" spans="1:26" ht="69" x14ac:dyDescent="0.3">
      <c r="A91" s="1501">
        <v>10</v>
      </c>
      <c r="B91" s="1224" t="s">
        <v>3090</v>
      </c>
      <c r="C91" s="1224" t="s">
        <v>3091</v>
      </c>
      <c r="D91" s="1224" t="s">
        <v>3092</v>
      </c>
      <c r="E91" s="1224" t="s">
        <v>3093</v>
      </c>
      <c r="F91" s="1224"/>
      <c r="G91" s="1224"/>
      <c r="H91" s="1224"/>
      <c r="I91" s="1224"/>
      <c r="J91" s="1224"/>
      <c r="K91" s="1224"/>
      <c r="L91" s="1224"/>
      <c r="M91" s="1224"/>
      <c r="N91" s="1224"/>
      <c r="O91" s="1224"/>
      <c r="P91" s="1224"/>
      <c r="Q91" s="1224"/>
      <c r="R91" s="1224"/>
      <c r="S91" s="1224"/>
      <c r="T91" s="1224"/>
      <c r="U91" s="1224"/>
      <c r="V91" s="1224"/>
      <c r="W91" s="1224"/>
      <c r="X91" s="1224"/>
      <c r="Y91" s="1224"/>
      <c r="Z91" s="1227"/>
    </row>
    <row r="92" spans="1:26" ht="55.2" x14ac:dyDescent="0.3">
      <c r="A92" s="1501">
        <v>11</v>
      </c>
      <c r="B92" s="1226" t="s">
        <v>3094</v>
      </c>
      <c r="C92" s="1226" t="s">
        <v>3095</v>
      </c>
      <c r="D92" s="1226" t="s">
        <v>3096</v>
      </c>
      <c r="E92" s="1226" t="s">
        <v>1867</v>
      </c>
      <c r="F92" s="1226"/>
      <c r="G92" s="1226"/>
      <c r="H92" s="1226"/>
      <c r="I92" s="1226"/>
      <c r="J92" s="1226"/>
      <c r="K92" s="1226"/>
      <c r="L92" s="1226"/>
      <c r="M92" s="1226"/>
      <c r="N92" s="1226"/>
      <c r="O92" s="1226"/>
      <c r="P92" s="1226"/>
      <c r="Q92" s="1226"/>
      <c r="R92" s="1226"/>
      <c r="S92" s="1226"/>
      <c r="T92" s="1226"/>
      <c r="U92" s="1226"/>
      <c r="V92" s="1226"/>
      <c r="W92" s="1226"/>
      <c r="X92" s="1226"/>
      <c r="Y92" s="1226"/>
      <c r="Z92" s="1228"/>
    </row>
    <row r="93" spans="1:26" ht="69" x14ac:dyDescent="0.3">
      <c r="A93" s="1501">
        <v>12</v>
      </c>
      <c r="B93" s="1224" t="s">
        <v>3097</v>
      </c>
      <c r="C93" s="1224" t="s">
        <v>3098</v>
      </c>
      <c r="D93" s="1224" t="s">
        <v>3099</v>
      </c>
      <c r="E93" s="1224" t="s">
        <v>1867</v>
      </c>
      <c r="F93" s="1224"/>
      <c r="G93" s="1224"/>
      <c r="H93" s="1224"/>
      <c r="I93" s="1224"/>
      <c r="J93" s="1224"/>
      <c r="K93" s="1224"/>
      <c r="L93" s="1224"/>
      <c r="M93" s="1224"/>
      <c r="N93" s="1224"/>
      <c r="O93" s="1224"/>
      <c r="P93" s="1224"/>
      <c r="Q93" s="1224"/>
      <c r="R93" s="1224"/>
      <c r="S93" s="1224"/>
      <c r="T93" s="1224"/>
      <c r="U93" s="1224"/>
      <c r="V93" s="1224"/>
      <c r="W93" s="1224"/>
      <c r="X93" s="1224"/>
      <c r="Y93" s="1224"/>
      <c r="Z93" s="1227"/>
    </row>
    <row r="94" spans="1:26" ht="55.2" x14ac:dyDescent="0.3">
      <c r="A94" s="1501">
        <v>13</v>
      </c>
      <c r="B94" s="1226" t="s">
        <v>3100</v>
      </c>
      <c r="C94" s="1226" t="s">
        <v>3101</v>
      </c>
      <c r="D94" s="1226" t="s">
        <v>3102</v>
      </c>
      <c r="E94" s="1226" t="s">
        <v>3103</v>
      </c>
      <c r="F94" s="1226"/>
      <c r="G94" s="1226"/>
      <c r="H94" s="1226"/>
      <c r="I94" s="1226"/>
      <c r="J94" s="1226"/>
      <c r="K94" s="1226"/>
      <c r="L94" s="1226"/>
      <c r="M94" s="1226"/>
      <c r="N94" s="1226"/>
      <c r="O94" s="1226"/>
      <c r="P94" s="1226"/>
      <c r="Q94" s="1226"/>
      <c r="R94" s="1226"/>
      <c r="S94" s="1226"/>
      <c r="T94" s="1226"/>
      <c r="U94" s="1226"/>
      <c r="V94" s="1226"/>
      <c r="W94" s="1226"/>
      <c r="X94" s="1226"/>
      <c r="Y94" s="1226"/>
      <c r="Z94" s="1228"/>
    </row>
    <row r="95" spans="1:26" ht="69" x14ac:dyDescent="0.3">
      <c r="A95" s="1501">
        <v>14</v>
      </c>
      <c r="B95" s="1224" t="s">
        <v>3104</v>
      </c>
      <c r="C95" s="1224" t="s">
        <v>3105</v>
      </c>
      <c r="D95" s="1224" t="s">
        <v>3106</v>
      </c>
      <c r="E95" s="1224" t="s">
        <v>3103</v>
      </c>
      <c r="F95" s="1224"/>
      <c r="G95" s="1224"/>
      <c r="H95" s="1224"/>
      <c r="I95" s="1224"/>
      <c r="J95" s="1224"/>
      <c r="K95" s="1224"/>
      <c r="L95" s="1224"/>
      <c r="M95" s="1224"/>
      <c r="N95" s="1224"/>
      <c r="O95" s="1224"/>
      <c r="P95" s="1224"/>
      <c r="Q95" s="1224"/>
      <c r="R95" s="1224"/>
      <c r="S95" s="1224"/>
      <c r="T95" s="1224"/>
      <c r="U95" s="1224"/>
      <c r="V95" s="1224"/>
      <c r="W95" s="1224"/>
      <c r="X95" s="1224"/>
      <c r="Y95" s="1224"/>
      <c r="Z95" s="1227"/>
    </row>
    <row r="96" spans="1:26" ht="124.2" x14ac:dyDescent="0.3">
      <c r="A96" s="1501">
        <v>15</v>
      </c>
      <c r="B96" s="1226" t="s">
        <v>3107</v>
      </c>
      <c r="C96" s="1226" t="s">
        <v>3108</v>
      </c>
      <c r="D96" s="1226" t="s">
        <v>3109</v>
      </c>
      <c r="E96" s="1226" t="s">
        <v>3110</v>
      </c>
      <c r="F96" s="1226"/>
      <c r="G96" s="1226"/>
      <c r="H96" s="1226"/>
      <c r="I96" s="1226"/>
      <c r="J96" s="1226"/>
      <c r="K96" s="1226"/>
      <c r="L96" s="1226"/>
      <c r="M96" s="1226"/>
      <c r="N96" s="1226"/>
      <c r="O96" s="1226"/>
      <c r="P96" s="1226"/>
      <c r="Q96" s="1226"/>
      <c r="R96" s="1226"/>
      <c r="S96" s="1226"/>
      <c r="T96" s="1226"/>
      <c r="U96" s="1226"/>
      <c r="V96" s="1226"/>
      <c r="W96" s="1226"/>
      <c r="X96" s="1226"/>
      <c r="Y96" s="1226"/>
      <c r="Z96" s="1228"/>
    </row>
    <row r="97" spans="1:26" ht="69" x14ac:dyDescent="0.3">
      <c r="A97" s="1501"/>
      <c r="B97" s="1951" t="s">
        <v>3111</v>
      </c>
      <c r="C97" s="1224"/>
      <c r="D97" s="1224"/>
      <c r="E97" s="1224" t="s">
        <v>3112</v>
      </c>
      <c r="F97" s="1224"/>
      <c r="G97" s="1224"/>
      <c r="H97" s="1224"/>
      <c r="I97" s="1224"/>
      <c r="J97" s="1224"/>
      <c r="K97" s="1224"/>
      <c r="L97" s="1224"/>
      <c r="M97" s="1224"/>
      <c r="N97" s="1224"/>
      <c r="O97" s="1224"/>
      <c r="P97" s="1224"/>
      <c r="Q97" s="1224"/>
      <c r="R97" s="1224"/>
      <c r="S97" s="1224"/>
      <c r="T97" s="1224"/>
      <c r="U97" s="1224"/>
      <c r="V97" s="1224"/>
      <c r="W97" s="1224"/>
      <c r="X97" s="1224"/>
      <c r="Y97" s="1224"/>
      <c r="Z97" s="1227"/>
    </row>
    <row r="98" spans="1:26" ht="124.2" x14ac:dyDescent="0.3">
      <c r="A98" s="1501">
        <v>16</v>
      </c>
      <c r="B98" s="1226" t="s">
        <v>3113</v>
      </c>
      <c r="C98" s="1226" t="s">
        <v>3114</v>
      </c>
      <c r="D98" s="1226" t="s">
        <v>3115</v>
      </c>
      <c r="E98" s="1226" t="s">
        <v>1867</v>
      </c>
      <c r="F98" s="1226"/>
      <c r="G98" s="1226"/>
      <c r="H98" s="1226"/>
      <c r="I98" s="1226"/>
      <c r="J98" s="1226"/>
      <c r="K98" s="1226"/>
      <c r="L98" s="1226"/>
      <c r="M98" s="1226"/>
      <c r="N98" s="1226"/>
      <c r="O98" s="1226"/>
      <c r="P98" s="1226"/>
      <c r="Q98" s="1226"/>
      <c r="R98" s="1226"/>
      <c r="S98" s="1226"/>
      <c r="T98" s="1226"/>
      <c r="U98" s="1226"/>
      <c r="V98" s="1226"/>
      <c r="W98" s="1226"/>
      <c r="X98" s="1226"/>
      <c r="Y98" s="1226"/>
      <c r="Z98" s="1228"/>
    </row>
    <row r="99" spans="1:26" ht="96.6" x14ac:dyDescent="0.3">
      <c r="A99" s="1501">
        <v>17</v>
      </c>
      <c r="B99" s="1224" t="s">
        <v>3116</v>
      </c>
      <c r="C99" s="1224" t="s">
        <v>3117</v>
      </c>
      <c r="D99" s="1224" t="s">
        <v>3118</v>
      </c>
      <c r="E99" s="1224" t="s">
        <v>1832</v>
      </c>
      <c r="F99" s="1224"/>
      <c r="G99" s="1224"/>
      <c r="H99" s="1224"/>
      <c r="I99" s="1224"/>
      <c r="J99" s="1224"/>
      <c r="K99" s="1224"/>
      <c r="L99" s="1224"/>
      <c r="M99" s="1224"/>
      <c r="N99" s="1224"/>
      <c r="O99" s="1224"/>
      <c r="P99" s="1224"/>
      <c r="Q99" s="1224"/>
      <c r="R99" s="1224"/>
      <c r="S99" s="1224"/>
      <c r="T99" s="1224"/>
      <c r="U99" s="1224"/>
      <c r="V99" s="1224"/>
      <c r="W99" s="1224"/>
      <c r="X99" s="1224"/>
      <c r="Y99" s="1224"/>
      <c r="Z99" s="1227"/>
    </row>
    <row r="100" spans="1:26" ht="82.8" x14ac:dyDescent="0.3">
      <c r="A100" s="1501">
        <v>18</v>
      </c>
      <c r="B100" s="1226" t="s">
        <v>3119</v>
      </c>
      <c r="C100" s="1226" t="s">
        <v>3120</v>
      </c>
      <c r="D100" s="1226" t="s">
        <v>3121</v>
      </c>
      <c r="E100" s="1226" t="s">
        <v>3122</v>
      </c>
      <c r="F100" s="1226"/>
      <c r="G100" s="1226"/>
      <c r="H100" s="1226"/>
      <c r="I100" s="1226"/>
      <c r="J100" s="1226"/>
      <c r="K100" s="1226"/>
      <c r="L100" s="1226"/>
      <c r="M100" s="1226"/>
      <c r="N100" s="1226"/>
      <c r="O100" s="1226"/>
      <c r="P100" s="1226"/>
      <c r="Q100" s="1226"/>
      <c r="R100" s="1226"/>
      <c r="S100" s="1226"/>
      <c r="T100" s="1226"/>
      <c r="U100" s="1226"/>
      <c r="V100" s="1226"/>
      <c r="W100" s="1226"/>
      <c r="X100" s="1226"/>
      <c r="Y100" s="1226"/>
      <c r="Z100" s="1228"/>
    </row>
    <row r="101" spans="1:26" ht="82.8" x14ac:dyDescent="0.3">
      <c r="A101" s="1501">
        <v>19</v>
      </c>
      <c r="B101" s="1224" t="s">
        <v>3123</v>
      </c>
      <c r="C101" s="1224" t="s">
        <v>3124</v>
      </c>
      <c r="D101" s="1224" t="s">
        <v>3125</v>
      </c>
      <c r="E101" s="1224" t="s">
        <v>3126</v>
      </c>
      <c r="F101" s="1224"/>
      <c r="G101" s="1224"/>
      <c r="H101" s="1224"/>
      <c r="I101" s="1224"/>
      <c r="J101" s="1224"/>
      <c r="K101" s="1224"/>
      <c r="L101" s="1224"/>
      <c r="M101" s="1224"/>
      <c r="N101" s="1224"/>
      <c r="O101" s="1224"/>
      <c r="P101" s="1224"/>
      <c r="Q101" s="1224"/>
      <c r="R101" s="1224"/>
      <c r="S101" s="1224"/>
      <c r="T101" s="1224"/>
      <c r="U101" s="1224"/>
      <c r="V101" s="1224"/>
      <c r="W101" s="1224"/>
      <c r="X101" s="1224"/>
      <c r="Y101" s="1224"/>
      <c r="Z101" s="1227"/>
    </row>
    <row r="102" spans="1:26" ht="82.8" x14ac:dyDescent="0.3">
      <c r="A102" s="1501">
        <v>20</v>
      </c>
      <c r="B102" s="1226" t="s">
        <v>3127</v>
      </c>
      <c r="C102" s="1226" t="s">
        <v>3128</v>
      </c>
      <c r="D102" s="1226" t="s">
        <v>4098</v>
      </c>
      <c r="E102" s="1226" t="s">
        <v>3126</v>
      </c>
      <c r="F102" s="1226"/>
      <c r="G102" s="1226"/>
      <c r="H102" s="1226"/>
      <c r="I102" s="1226"/>
      <c r="J102" s="1226"/>
      <c r="K102" s="1226"/>
      <c r="L102" s="1226"/>
      <c r="M102" s="1226"/>
      <c r="N102" s="1226"/>
      <c r="O102" s="1226"/>
      <c r="P102" s="1226"/>
      <c r="Q102" s="1226"/>
      <c r="R102" s="1226"/>
      <c r="S102" s="1226"/>
      <c r="T102" s="1226"/>
      <c r="U102" s="1226"/>
      <c r="V102" s="1226"/>
      <c r="W102" s="1226"/>
      <c r="X102" s="1226"/>
      <c r="Y102" s="1226"/>
      <c r="Z102" s="1228"/>
    </row>
    <row r="103" spans="1:26" ht="82.8" x14ac:dyDescent="0.3">
      <c r="A103" s="1501">
        <v>21</v>
      </c>
      <c r="B103" s="1224" t="s">
        <v>3129</v>
      </c>
      <c r="C103" s="1224" t="s">
        <v>3130</v>
      </c>
      <c r="D103" s="1224" t="s">
        <v>3131</v>
      </c>
      <c r="E103" s="1224" t="s">
        <v>3126</v>
      </c>
      <c r="F103" s="1224"/>
      <c r="G103" s="1224"/>
      <c r="H103" s="1224"/>
      <c r="I103" s="1224"/>
      <c r="J103" s="1224"/>
      <c r="K103" s="1224"/>
      <c r="L103" s="1224"/>
      <c r="M103" s="1224"/>
      <c r="N103" s="1224"/>
      <c r="O103" s="1224"/>
      <c r="P103" s="1224"/>
      <c r="Q103" s="1224"/>
      <c r="R103" s="1224"/>
      <c r="S103" s="1224"/>
      <c r="T103" s="1224"/>
      <c r="U103" s="1224"/>
      <c r="V103" s="1224"/>
      <c r="W103" s="1224"/>
      <c r="X103" s="1224"/>
      <c r="Y103" s="1224"/>
      <c r="Z103" s="1227"/>
    </row>
    <row r="104" spans="1:26" ht="82.8" x14ac:dyDescent="0.3">
      <c r="A104" s="1501">
        <v>22</v>
      </c>
      <c r="B104" s="1226" t="s">
        <v>3132</v>
      </c>
      <c r="C104" s="1226" t="s">
        <v>3133</v>
      </c>
      <c r="D104" s="1226" t="s">
        <v>3134</v>
      </c>
      <c r="E104" s="1226" t="s">
        <v>3126</v>
      </c>
      <c r="F104" s="1226"/>
      <c r="G104" s="1226"/>
      <c r="H104" s="1226"/>
      <c r="I104" s="1226"/>
      <c r="J104" s="1226"/>
      <c r="K104" s="1226"/>
      <c r="L104" s="1226"/>
      <c r="M104" s="1226"/>
      <c r="N104" s="1226"/>
      <c r="O104" s="1226"/>
      <c r="P104" s="1226"/>
      <c r="Q104" s="1226"/>
      <c r="R104" s="1226"/>
      <c r="S104" s="1226"/>
      <c r="T104" s="1226"/>
      <c r="U104" s="1226"/>
      <c r="V104" s="1226"/>
      <c r="W104" s="1226"/>
      <c r="X104" s="1226"/>
      <c r="Y104" s="1226"/>
      <c r="Z104" s="1228"/>
    </row>
    <row r="105" spans="1:26" ht="96.6" x14ac:dyDescent="0.3">
      <c r="A105" s="1501">
        <v>23</v>
      </c>
      <c r="B105" s="1224" t="s">
        <v>3135</v>
      </c>
      <c r="C105" s="1224" t="s">
        <v>3136</v>
      </c>
      <c r="D105" s="1224" t="s">
        <v>3137</v>
      </c>
      <c r="E105" s="1224" t="s">
        <v>3126</v>
      </c>
      <c r="F105" s="1224"/>
      <c r="G105" s="1224"/>
      <c r="H105" s="1224"/>
      <c r="I105" s="1224"/>
      <c r="J105" s="1224"/>
      <c r="K105" s="1224"/>
      <c r="L105" s="1224"/>
      <c r="M105" s="1224"/>
      <c r="N105" s="1224"/>
      <c r="O105" s="1224"/>
      <c r="P105" s="1224"/>
      <c r="Q105" s="1224"/>
      <c r="R105" s="1224"/>
      <c r="S105" s="1224"/>
      <c r="T105" s="1224"/>
      <c r="U105" s="1224"/>
      <c r="V105" s="1224"/>
      <c r="W105" s="1224"/>
      <c r="X105" s="1224"/>
      <c r="Y105" s="1224"/>
      <c r="Z105" s="1227"/>
    </row>
    <row r="106" spans="1:26" ht="110.4" x14ac:dyDescent="0.3">
      <c r="A106" s="1501">
        <v>24</v>
      </c>
      <c r="B106" s="1226" t="s">
        <v>3138</v>
      </c>
      <c r="C106" s="1226" t="s">
        <v>3139</v>
      </c>
      <c r="D106" s="1226" t="s">
        <v>3140</v>
      </c>
      <c r="E106" s="1226" t="s">
        <v>3126</v>
      </c>
      <c r="F106" s="1226"/>
      <c r="G106" s="1226"/>
      <c r="H106" s="1226"/>
      <c r="I106" s="1226"/>
      <c r="J106" s="1226"/>
      <c r="K106" s="1226"/>
      <c r="L106" s="1226"/>
      <c r="M106" s="1226"/>
      <c r="N106" s="1226"/>
      <c r="O106" s="1226"/>
      <c r="P106" s="1226"/>
      <c r="Q106" s="1226"/>
      <c r="R106" s="1226"/>
      <c r="S106" s="1226"/>
      <c r="T106" s="1226"/>
      <c r="U106" s="1226"/>
      <c r="V106" s="1226"/>
      <c r="W106" s="1226"/>
      <c r="X106" s="1226"/>
      <c r="Y106" s="1226"/>
      <c r="Z106" s="1228"/>
    </row>
    <row r="107" spans="1:26" ht="82.8" x14ac:dyDescent="0.3">
      <c r="A107" s="1501">
        <v>25</v>
      </c>
      <c r="B107" s="1224" t="s">
        <v>3141</v>
      </c>
      <c r="C107" s="1224" t="s">
        <v>3142</v>
      </c>
      <c r="D107" s="1224" t="s">
        <v>3143</v>
      </c>
      <c r="E107" s="1224" t="s">
        <v>3144</v>
      </c>
      <c r="F107" s="1224"/>
      <c r="G107" s="1224"/>
      <c r="H107" s="1224"/>
      <c r="I107" s="1224"/>
      <c r="J107" s="1224"/>
      <c r="K107" s="1224"/>
      <c r="L107" s="1224"/>
      <c r="M107" s="1224"/>
      <c r="N107" s="1224"/>
      <c r="O107" s="1224"/>
      <c r="P107" s="1224"/>
      <c r="Q107" s="1224"/>
      <c r="R107" s="1224"/>
      <c r="S107" s="1224"/>
      <c r="T107" s="1224"/>
      <c r="U107" s="1224"/>
      <c r="V107" s="1224"/>
      <c r="W107" s="1224"/>
      <c r="X107" s="1224"/>
      <c r="Y107" s="1224"/>
      <c r="Z107" s="1227"/>
    </row>
    <row r="108" spans="1:26" ht="69" x14ac:dyDescent="0.3">
      <c r="A108" s="1501">
        <v>26</v>
      </c>
      <c r="B108" s="1226" t="s">
        <v>3145</v>
      </c>
      <c r="C108" s="1226" t="s">
        <v>3146</v>
      </c>
      <c r="D108" s="1226" t="s">
        <v>3147</v>
      </c>
      <c r="E108" s="1226" t="s">
        <v>1832</v>
      </c>
      <c r="F108" s="1226"/>
      <c r="G108" s="1226"/>
      <c r="H108" s="1226"/>
      <c r="I108" s="1226"/>
      <c r="J108" s="1226"/>
      <c r="K108" s="1226"/>
      <c r="L108" s="1226"/>
      <c r="M108" s="1226"/>
      <c r="N108" s="1226"/>
      <c r="O108" s="1226"/>
      <c r="P108" s="1226"/>
      <c r="Q108" s="1226"/>
      <c r="R108" s="1226"/>
      <c r="S108" s="1226"/>
      <c r="T108" s="1226"/>
      <c r="U108" s="1226"/>
      <c r="V108" s="1226"/>
      <c r="W108" s="1226"/>
      <c r="X108" s="1226"/>
      <c r="Y108" s="1226"/>
      <c r="Z108" s="1228"/>
    </row>
    <row r="109" spans="1:26" ht="82.8" x14ac:dyDescent="0.3">
      <c r="A109" s="1501">
        <v>27</v>
      </c>
      <c r="B109" s="1224" t="s">
        <v>3148</v>
      </c>
      <c r="C109" s="1224" t="s">
        <v>3149</v>
      </c>
      <c r="D109" s="1224" t="s">
        <v>3150</v>
      </c>
      <c r="E109" s="1224" t="s">
        <v>3151</v>
      </c>
      <c r="F109" s="1224"/>
      <c r="G109" s="1224"/>
      <c r="H109" s="1224"/>
      <c r="I109" s="1224"/>
      <c r="J109" s="1224"/>
      <c r="K109" s="1224"/>
      <c r="L109" s="1224"/>
      <c r="M109" s="1224"/>
      <c r="N109" s="1224"/>
      <c r="O109" s="1224"/>
      <c r="P109" s="1224"/>
      <c r="Q109" s="1224"/>
      <c r="R109" s="1224"/>
      <c r="S109" s="1224"/>
      <c r="T109" s="1224"/>
      <c r="U109" s="1224"/>
      <c r="V109" s="1224"/>
      <c r="W109" s="1224"/>
      <c r="X109" s="1224"/>
      <c r="Y109" s="1224"/>
      <c r="Z109" s="1227"/>
    </row>
    <row r="110" spans="1:26" ht="69" x14ac:dyDescent="0.3">
      <c r="A110" s="1501"/>
      <c r="B110" s="1226" t="s">
        <v>3152</v>
      </c>
      <c r="C110" s="1226"/>
      <c r="D110" s="1226"/>
      <c r="E110" s="1226" t="s">
        <v>3153</v>
      </c>
      <c r="F110" s="1226"/>
      <c r="G110" s="1226"/>
      <c r="H110" s="1226"/>
      <c r="I110" s="1226"/>
      <c r="J110" s="1226"/>
      <c r="K110" s="1226"/>
      <c r="L110" s="1226"/>
      <c r="M110" s="1226"/>
      <c r="N110" s="1226"/>
      <c r="O110" s="1226"/>
      <c r="P110" s="1226"/>
      <c r="Q110" s="1226"/>
      <c r="R110" s="1226"/>
      <c r="S110" s="1226"/>
      <c r="T110" s="1226"/>
      <c r="U110" s="1226"/>
      <c r="V110" s="1226"/>
      <c r="W110" s="1226"/>
      <c r="X110" s="1226"/>
      <c r="Y110" s="1226"/>
      <c r="Z110" s="1228"/>
    </row>
    <row r="111" spans="1:26" ht="96.6" x14ac:dyDescent="0.3">
      <c r="A111" s="1501">
        <v>28</v>
      </c>
      <c r="B111" s="1224" t="s">
        <v>3154</v>
      </c>
      <c r="C111" s="1224" t="s">
        <v>3155</v>
      </c>
      <c r="D111" s="1224" t="s">
        <v>3156</v>
      </c>
      <c r="E111" s="1224" t="s">
        <v>3157</v>
      </c>
      <c r="F111" s="1224"/>
      <c r="G111" s="1224"/>
      <c r="H111" s="1224"/>
      <c r="I111" s="1224"/>
      <c r="J111" s="1224"/>
      <c r="K111" s="1224"/>
      <c r="L111" s="1224"/>
      <c r="M111" s="1224"/>
      <c r="N111" s="1224"/>
      <c r="O111" s="1224"/>
      <c r="P111" s="1224"/>
      <c r="Q111" s="1224"/>
      <c r="R111" s="1224"/>
      <c r="S111" s="1224"/>
      <c r="T111" s="1224"/>
      <c r="U111" s="1224"/>
      <c r="V111" s="1224"/>
      <c r="W111" s="1224"/>
      <c r="X111" s="1224"/>
      <c r="Y111" s="1224"/>
      <c r="Z111" s="1227"/>
    </row>
    <row r="112" spans="1:26" ht="82.8" x14ac:dyDescent="0.3">
      <c r="A112" s="1501">
        <v>29</v>
      </c>
      <c r="B112" s="1226" t="s">
        <v>3158</v>
      </c>
      <c r="C112" s="1226" t="s">
        <v>3159</v>
      </c>
      <c r="D112" s="1226" t="s">
        <v>3160</v>
      </c>
      <c r="E112" s="1226" t="s">
        <v>3161</v>
      </c>
      <c r="F112" s="1226"/>
      <c r="G112" s="1226"/>
      <c r="H112" s="1226"/>
      <c r="I112" s="1226"/>
      <c r="J112" s="1226"/>
      <c r="K112" s="1226"/>
      <c r="L112" s="1226"/>
      <c r="M112" s="1226"/>
      <c r="N112" s="1226"/>
      <c r="O112" s="1226"/>
      <c r="P112" s="1226"/>
      <c r="Q112" s="1226"/>
      <c r="R112" s="1226"/>
      <c r="S112" s="1226"/>
      <c r="T112" s="1226"/>
      <c r="U112" s="1226"/>
      <c r="V112" s="1226"/>
      <c r="W112" s="1226"/>
      <c r="X112" s="1226"/>
      <c r="Y112" s="1226"/>
      <c r="Z112" s="1228"/>
    </row>
    <row r="113" spans="1:26" ht="110.4" x14ac:dyDescent="0.3">
      <c r="A113" s="1501">
        <v>30</v>
      </c>
      <c r="B113" s="1224" t="s">
        <v>3162</v>
      </c>
      <c r="C113" s="1224" t="s">
        <v>3163</v>
      </c>
      <c r="D113" s="1224" t="s">
        <v>4099</v>
      </c>
      <c r="E113" s="1224" t="s">
        <v>1841</v>
      </c>
      <c r="F113" s="1224"/>
      <c r="G113" s="1224"/>
      <c r="H113" s="1224"/>
      <c r="I113" s="1224"/>
      <c r="J113" s="1224"/>
      <c r="K113" s="1224"/>
      <c r="L113" s="1224"/>
      <c r="M113" s="1224"/>
      <c r="N113" s="1224"/>
      <c r="O113" s="1224"/>
      <c r="P113" s="1224"/>
      <c r="Q113" s="1224"/>
      <c r="R113" s="1224"/>
      <c r="S113" s="1224"/>
      <c r="T113" s="1224"/>
      <c r="U113" s="1224"/>
      <c r="V113" s="1224"/>
      <c r="W113" s="1224"/>
      <c r="X113" s="1224"/>
      <c r="Y113" s="1224"/>
      <c r="Z113" s="1227"/>
    </row>
    <row r="114" spans="1:26" ht="82.8" x14ac:dyDescent="0.3">
      <c r="A114" s="1501">
        <v>31</v>
      </c>
      <c r="B114" s="1226" t="s">
        <v>3164</v>
      </c>
      <c r="C114" s="1226" t="s">
        <v>4100</v>
      </c>
      <c r="D114" s="1226" t="s">
        <v>4101</v>
      </c>
      <c r="E114" s="1226" t="s">
        <v>3165</v>
      </c>
      <c r="F114" s="1226"/>
      <c r="G114" s="1226"/>
      <c r="H114" s="1226"/>
      <c r="I114" s="1226"/>
      <c r="J114" s="1226"/>
      <c r="K114" s="1226"/>
      <c r="L114" s="1226"/>
      <c r="M114" s="1226"/>
      <c r="N114" s="1226"/>
      <c r="O114" s="1226"/>
      <c r="P114" s="1226"/>
      <c r="Q114" s="1226"/>
      <c r="R114" s="1226"/>
      <c r="S114" s="1226"/>
      <c r="T114" s="1226"/>
      <c r="U114" s="1226"/>
      <c r="V114" s="1226"/>
      <c r="W114" s="1226"/>
      <c r="X114" s="1226"/>
      <c r="Y114" s="1226"/>
      <c r="Z114" s="1228"/>
    </row>
    <row r="115" spans="1:26" ht="82.8" x14ac:dyDescent="0.3">
      <c r="A115" s="1501">
        <v>31</v>
      </c>
      <c r="B115" s="1224" t="s">
        <v>3166</v>
      </c>
      <c r="C115" s="1224" t="s">
        <v>4102</v>
      </c>
      <c r="D115" s="1224" t="s">
        <v>3167</v>
      </c>
      <c r="E115" s="1224" t="s">
        <v>1867</v>
      </c>
      <c r="F115" s="1224"/>
      <c r="G115" s="1224"/>
      <c r="H115" s="1224"/>
      <c r="I115" s="1224"/>
      <c r="J115" s="1224"/>
      <c r="K115" s="1224"/>
      <c r="L115" s="1224"/>
      <c r="M115" s="1224"/>
      <c r="N115" s="1224"/>
      <c r="O115" s="1224"/>
      <c r="P115" s="1224"/>
      <c r="Q115" s="1224"/>
      <c r="R115" s="1224"/>
      <c r="S115" s="1224"/>
      <c r="T115" s="1224"/>
      <c r="U115" s="1224"/>
      <c r="V115" s="1224"/>
      <c r="W115" s="1224"/>
      <c r="X115" s="1224"/>
      <c r="Y115" s="1224"/>
      <c r="Z115" s="1227"/>
    </row>
    <row r="116" spans="1:26" ht="82.8" x14ac:dyDescent="0.3">
      <c r="A116" s="1501">
        <v>32</v>
      </c>
      <c r="B116" s="1226" t="s">
        <v>3168</v>
      </c>
      <c r="C116" s="1226" t="s">
        <v>3169</v>
      </c>
      <c r="D116" s="1226" t="s">
        <v>3170</v>
      </c>
      <c r="E116" s="1226" t="s">
        <v>3171</v>
      </c>
      <c r="F116" s="1226"/>
      <c r="G116" s="1226"/>
      <c r="H116" s="1226"/>
      <c r="I116" s="1226"/>
      <c r="J116" s="1226"/>
      <c r="K116" s="1226"/>
      <c r="L116" s="1226"/>
      <c r="M116" s="1226"/>
      <c r="N116" s="1226"/>
      <c r="O116" s="1226"/>
      <c r="P116" s="1226"/>
      <c r="Q116" s="1226"/>
      <c r="R116" s="1226"/>
      <c r="S116" s="1226"/>
      <c r="T116" s="1226"/>
      <c r="U116" s="1226"/>
      <c r="V116" s="1226"/>
      <c r="W116" s="1226"/>
      <c r="X116" s="1226"/>
      <c r="Y116" s="1226"/>
      <c r="Z116" s="1228"/>
    </row>
    <row r="117" spans="1:26" ht="82.8" x14ac:dyDescent="0.3">
      <c r="A117" s="1501">
        <v>33</v>
      </c>
      <c r="B117" s="1224" t="s">
        <v>3172</v>
      </c>
      <c r="C117" s="1224" t="s">
        <v>3173</v>
      </c>
      <c r="D117" s="1224" t="s">
        <v>3174</v>
      </c>
      <c r="E117" s="1224" t="s">
        <v>3171</v>
      </c>
      <c r="F117" s="1224"/>
      <c r="G117" s="1224"/>
      <c r="H117" s="1224"/>
      <c r="I117" s="1224"/>
      <c r="J117" s="1224"/>
      <c r="K117" s="1224"/>
      <c r="L117" s="1224"/>
      <c r="M117" s="1224"/>
      <c r="N117" s="1224"/>
      <c r="O117" s="1224"/>
      <c r="P117" s="1224"/>
      <c r="Q117" s="1224"/>
      <c r="R117" s="1224"/>
      <c r="S117" s="1224"/>
      <c r="T117" s="1224"/>
      <c r="U117" s="1224"/>
      <c r="V117" s="1224"/>
      <c r="W117" s="1224"/>
      <c r="X117" s="1224"/>
      <c r="Y117" s="1224"/>
      <c r="Z117" s="1227"/>
    </row>
    <row r="118" spans="1:26" ht="220.8" x14ac:dyDescent="0.3">
      <c r="A118" s="1501">
        <v>34</v>
      </c>
      <c r="B118" s="1226" t="s">
        <v>4043</v>
      </c>
      <c r="C118" s="1226" t="s">
        <v>4044</v>
      </c>
      <c r="D118" s="1226" t="s">
        <v>4771</v>
      </c>
      <c r="E118" s="1226" t="s">
        <v>4045</v>
      </c>
      <c r="F118" s="1226"/>
      <c r="G118" s="1226"/>
      <c r="H118" s="1226"/>
      <c r="I118" s="1226"/>
      <c r="J118" s="1226"/>
      <c r="K118" s="1226"/>
      <c r="L118" s="1226"/>
      <c r="M118" s="1226"/>
      <c r="N118" s="1226"/>
      <c r="O118" s="1226"/>
      <c r="P118" s="1226"/>
      <c r="Q118" s="1226"/>
      <c r="R118" s="1226"/>
      <c r="S118" s="1226"/>
      <c r="T118" s="1226"/>
      <c r="U118" s="1226"/>
      <c r="V118" s="1226"/>
      <c r="W118" s="1226"/>
      <c r="X118" s="1226"/>
      <c r="Y118" s="1226"/>
      <c r="Z118" s="1228"/>
    </row>
    <row r="119" spans="1:26" x14ac:dyDescent="0.3">
      <c r="A119" s="1501"/>
      <c r="B119" s="1224"/>
      <c r="C119" s="1224"/>
      <c r="D119" s="1224"/>
      <c r="E119" s="1224"/>
      <c r="F119" s="1224"/>
      <c r="G119" s="1224"/>
      <c r="H119" s="1224"/>
      <c r="I119" s="1224"/>
      <c r="J119" s="1224"/>
      <c r="K119" s="1224"/>
      <c r="L119" s="1224"/>
      <c r="M119" s="1224"/>
      <c r="N119" s="1224"/>
      <c r="O119" s="1224"/>
      <c r="P119" s="1224"/>
      <c r="Q119" s="1224"/>
      <c r="R119" s="1224"/>
      <c r="S119" s="1224"/>
      <c r="T119" s="1224"/>
      <c r="U119" s="1224"/>
      <c r="V119" s="1224"/>
      <c r="W119" s="1224"/>
      <c r="X119" s="1224"/>
      <c r="Y119" s="1224"/>
      <c r="Z119" s="1227"/>
    </row>
    <row r="120" spans="1:26" ht="151.19999999999999" x14ac:dyDescent="0.3">
      <c r="A120" s="1501" t="s">
        <v>4041</v>
      </c>
      <c r="B120" s="1226"/>
      <c r="C120" s="1226"/>
      <c r="D120" s="1226"/>
      <c r="E120" s="1226" t="s">
        <v>1867</v>
      </c>
      <c r="F120" s="1226"/>
      <c r="G120" s="1226"/>
      <c r="H120" s="1226"/>
      <c r="I120" s="1226"/>
      <c r="J120" s="1226"/>
      <c r="K120" s="1226"/>
      <c r="L120" s="1226"/>
      <c r="M120" s="1226"/>
      <c r="N120" s="1226"/>
      <c r="O120" s="1226"/>
      <c r="P120" s="1226"/>
      <c r="Q120" s="1226"/>
      <c r="R120" s="1226"/>
      <c r="S120" s="1226"/>
      <c r="T120" s="1226"/>
      <c r="U120" s="1226"/>
      <c r="V120" s="1226"/>
      <c r="W120" s="1226"/>
      <c r="X120" s="1226"/>
      <c r="Y120" s="1226"/>
      <c r="Z120" s="1228"/>
    </row>
    <row r="121" spans="1:26" x14ac:dyDescent="0.3">
      <c r="A121" s="1501" t="s">
        <v>430</v>
      </c>
      <c r="B121" s="1224" t="s">
        <v>4042</v>
      </c>
      <c r="C121" s="1224" t="s">
        <v>3175</v>
      </c>
      <c r="D121" s="1224" t="s">
        <v>3176</v>
      </c>
      <c r="E121" s="1224" t="s">
        <v>32</v>
      </c>
      <c r="F121" s="1224"/>
      <c r="G121" s="1224"/>
      <c r="H121" s="1224"/>
      <c r="I121" s="1224"/>
      <c r="J121" s="1224"/>
      <c r="K121" s="1224"/>
      <c r="L121" s="1224"/>
      <c r="M121" s="1224"/>
      <c r="N121" s="1224"/>
      <c r="O121" s="1224"/>
      <c r="P121" s="1224"/>
      <c r="Q121" s="1224"/>
      <c r="R121" s="1224"/>
      <c r="S121" s="1224"/>
      <c r="T121" s="1224"/>
      <c r="U121" s="1224"/>
      <c r="V121" s="1224"/>
      <c r="W121" s="1224"/>
      <c r="X121" s="1224"/>
      <c r="Y121" s="1224"/>
      <c r="Z121" s="1227"/>
    </row>
    <row r="122" spans="1:26" ht="55.2" x14ac:dyDescent="0.3">
      <c r="A122" s="1501">
        <v>1</v>
      </c>
      <c r="B122" s="1226" t="s">
        <v>3177</v>
      </c>
      <c r="C122" s="1226" t="s">
        <v>1441</v>
      </c>
      <c r="D122" s="1226" t="s">
        <v>3178</v>
      </c>
      <c r="E122" s="1226" t="s">
        <v>3179</v>
      </c>
      <c r="F122" s="1226"/>
      <c r="G122" s="1226"/>
      <c r="H122" s="1226"/>
      <c r="I122" s="1226"/>
      <c r="J122" s="1226"/>
      <c r="K122" s="1226"/>
      <c r="L122" s="1226"/>
      <c r="M122" s="1226"/>
      <c r="N122" s="1226"/>
      <c r="O122" s="1226"/>
      <c r="P122" s="1226"/>
      <c r="Q122" s="1226"/>
      <c r="R122" s="1226"/>
      <c r="S122" s="1226"/>
      <c r="T122" s="1226"/>
      <c r="U122" s="1226"/>
      <c r="V122" s="1226"/>
      <c r="W122" s="1226"/>
      <c r="X122" s="1226"/>
      <c r="Y122" s="1226"/>
      <c r="Z122" s="1228"/>
    </row>
    <row r="123" spans="1:26" ht="55.2" x14ac:dyDescent="0.3">
      <c r="A123" s="1501">
        <v>2</v>
      </c>
      <c r="B123" s="1224" t="s">
        <v>3180</v>
      </c>
      <c r="C123" s="1224" t="s">
        <v>3181</v>
      </c>
      <c r="D123" s="1224" t="s">
        <v>3182</v>
      </c>
      <c r="E123" s="1224" t="s">
        <v>3183</v>
      </c>
      <c r="F123" s="1224"/>
      <c r="G123" s="1224"/>
      <c r="H123" s="1224"/>
      <c r="I123" s="1224"/>
      <c r="J123" s="1224"/>
      <c r="K123" s="1224"/>
      <c r="L123" s="1224"/>
      <c r="M123" s="1224"/>
      <c r="N123" s="1224"/>
      <c r="O123" s="1224"/>
      <c r="P123" s="1224"/>
      <c r="Q123" s="1224"/>
      <c r="R123" s="1224"/>
      <c r="S123" s="1224"/>
      <c r="T123" s="1224"/>
      <c r="U123" s="1224"/>
      <c r="V123" s="1224"/>
      <c r="W123" s="1224"/>
      <c r="X123" s="1224"/>
      <c r="Y123" s="1224"/>
      <c r="Z123" s="1227"/>
    </row>
    <row r="124" spans="1:26" ht="41.4" x14ac:dyDescent="0.3">
      <c r="A124" s="1501">
        <v>3</v>
      </c>
      <c r="B124" s="1226" t="s">
        <v>3184</v>
      </c>
      <c r="C124" s="1226" t="s">
        <v>3185</v>
      </c>
      <c r="D124" s="1226" t="s">
        <v>4103</v>
      </c>
      <c r="E124" s="1226" t="s">
        <v>3186</v>
      </c>
      <c r="F124" s="1226"/>
      <c r="G124" s="1226"/>
      <c r="H124" s="1226"/>
      <c r="I124" s="1226"/>
      <c r="J124" s="1226"/>
      <c r="K124" s="1226"/>
      <c r="L124" s="1226"/>
      <c r="M124" s="1226"/>
      <c r="N124" s="1226"/>
      <c r="O124" s="1226"/>
      <c r="P124" s="1226"/>
      <c r="Q124" s="1226"/>
      <c r="R124" s="1226"/>
      <c r="S124" s="1226"/>
      <c r="T124" s="1226"/>
      <c r="U124" s="1226"/>
      <c r="V124" s="1226"/>
      <c r="W124" s="1226"/>
      <c r="X124" s="1226"/>
      <c r="Y124" s="1226"/>
      <c r="Z124" s="1228"/>
    </row>
    <row r="125" spans="1:26" ht="41.4" x14ac:dyDescent="0.3">
      <c r="A125" s="1501">
        <v>4</v>
      </c>
      <c r="B125" s="1224" t="s">
        <v>3187</v>
      </c>
      <c r="C125" s="1224" t="s">
        <v>3188</v>
      </c>
      <c r="D125" s="1224" t="s">
        <v>3189</v>
      </c>
      <c r="E125" s="1224" t="s">
        <v>3190</v>
      </c>
      <c r="F125" s="1224"/>
      <c r="G125" s="1224"/>
      <c r="H125" s="1224"/>
      <c r="I125" s="1224"/>
      <c r="J125" s="1224"/>
      <c r="K125" s="1224"/>
      <c r="L125" s="1224"/>
      <c r="M125" s="1224"/>
      <c r="N125" s="1224"/>
      <c r="O125" s="1224"/>
      <c r="P125" s="1224"/>
      <c r="Q125" s="1224"/>
      <c r="R125" s="1224"/>
      <c r="S125" s="1224"/>
      <c r="T125" s="1224"/>
      <c r="U125" s="1224"/>
      <c r="V125" s="1224"/>
      <c r="W125" s="1224"/>
      <c r="X125" s="1224"/>
      <c r="Y125" s="1224"/>
      <c r="Z125" s="1227"/>
    </row>
    <row r="126" spans="1:26" ht="55.2" x14ac:dyDescent="0.3">
      <c r="A126" s="1501">
        <v>5</v>
      </c>
      <c r="B126" s="1226" t="s">
        <v>3191</v>
      </c>
      <c r="C126" s="1226" t="s">
        <v>1457</v>
      </c>
      <c r="D126" s="1226" t="s">
        <v>3192</v>
      </c>
      <c r="E126" s="1226" t="s">
        <v>3193</v>
      </c>
      <c r="F126" s="1226"/>
      <c r="G126" s="1226"/>
      <c r="H126" s="1226"/>
      <c r="I126" s="1226"/>
      <c r="J126" s="1226"/>
      <c r="K126" s="1226"/>
      <c r="L126" s="1226"/>
      <c r="M126" s="1226"/>
      <c r="N126" s="1226"/>
      <c r="O126" s="1226"/>
      <c r="P126" s="1226"/>
      <c r="Q126" s="1226"/>
      <c r="R126" s="1226"/>
      <c r="S126" s="1226"/>
      <c r="T126" s="1226"/>
      <c r="U126" s="1226"/>
      <c r="V126" s="1226"/>
      <c r="W126" s="1226"/>
      <c r="X126" s="1226"/>
      <c r="Y126" s="1226"/>
      <c r="Z126" s="1228"/>
    </row>
    <row r="127" spans="1:26" ht="54" x14ac:dyDescent="0.3">
      <c r="A127" s="1501" t="s">
        <v>1428</v>
      </c>
      <c r="B127" s="1224"/>
      <c r="C127" s="1224"/>
      <c r="D127" s="1224"/>
      <c r="E127" s="1224"/>
      <c r="F127" s="1224"/>
      <c r="G127" s="1224"/>
      <c r="H127" s="1224"/>
      <c r="I127" s="1224"/>
      <c r="J127" s="1224"/>
      <c r="K127" s="1224"/>
      <c r="L127" s="1224"/>
      <c r="M127" s="1224"/>
      <c r="N127" s="1224"/>
      <c r="O127" s="1224"/>
      <c r="P127" s="1224"/>
      <c r="Q127" s="1224"/>
      <c r="R127" s="1224"/>
      <c r="S127" s="1224"/>
      <c r="T127" s="1224"/>
      <c r="U127" s="1224"/>
      <c r="V127" s="1224"/>
      <c r="W127" s="1224"/>
      <c r="X127" s="1224"/>
      <c r="Y127" s="1224"/>
      <c r="Z127" s="1227"/>
    </row>
    <row r="128" spans="1:26" ht="409.6" x14ac:dyDescent="0.3">
      <c r="A128" s="1952" t="s">
        <v>3194</v>
      </c>
      <c r="B128" s="1226"/>
      <c r="C128" s="1226"/>
      <c r="D128" s="1226"/>
      <c r="E128" s="1226"/>
      <c r="F128" s="1226"/>
      <c r="G128" s="1226"/>
      <c r="H128" s="1226"/>
      <c r="I128" s="1226"/>
      <c r="J128" s="1226"/>
      <c r="K128" s="1226"/>
      <c r="L128" s="1226"/>
      <c r="M128" s="1226"/>
      <c r="N128" s="1226"/>
      <c r="O128" s="1226"/>
      <c r="P128" s="1226"/>
      <c r="Q128" s="1226"/>
      <c r="R128" s="1226"/>
      <c r="S128" s="1226"/>
      <c r="T128" s="1226"/>
      <c r="U128" s="1226"/>
      <c r="V128" s="1226"/>
      <c r="W128" s="1226"/>
      <c r="X128" s="1226"/>
      <c r="Y128" s="1226"/>
      <c r="Z128" s="1228"/>
    </row>
    <row r="129" spans="1:26" ht="313.2" x14ac:dyDescent="0.3">
      <c r="A129" s="1501" t="s">
        <v>3195</v>
      </c>
      <c r="B129" s="1224"/>
      <c r="C129" s="1224"/>
      <c r="D129" s="1224"/>
      <c r="E129" s="1224"/>
      <c r="F129" s="1224"/>
      <c r="G129" s="1224"/>
      <c r="H129" s="1224"/>
      <c r="I129" s="1224"/>
      <c r="J129" s="1224"/>
      <c r="K129" s="1224"/>
      <c r="L129" s="1224"/>
      <c r="M129" s="1224"/>
      <c r="N129" s="1224"/>
      <c r="O129" s="1224"/>
      <c r="P129" s="1224"/>
      <c r="Q129" s="1224"/>
      <c r="R129" s="1224"/>
      <c r="S129" s="1224"/>
      <c r="T129" s="1224"/>
      <c r="U129" s="1224"/>
      <c r="V129" s="1224"/>
      <c r="W129" s="1224"/>
      <c r="X129" s="1224"/>
      <c r="Y129" s="1224"/>
      <c r="Z129" s="1227"/>
    </row>
    <row r="130" spans="1:26" x14ac:dyDescent="0.3">
      <c r="A130" s="1501"/>
      <c r="B130" s="1226"/>
      <c r="C130" s="1226"/>
      <c r="D130" s="1226"/>
      <c r="E130" s="1226"/>
      <c r="F130" s="1226"/>
      <c r="G130" s="1226"/>
      <c r="H130" s="1226"/>
      <c r="I130" s="1226"/>
      <c r="J130" s="1226"/>
      <c r="K130" s="1226"/>
      <c r="L130" s="1226"/>
      <c r="M130" s="1226"/>
      <c r="N130" s="1226"/>
      <c r="O130" s="1226"/>
      <c r="P130" s="1226"/>
      <c r="Q130" s="1226"/>
      <c r="R130" s="1226"/>
      <c r="S130" s="1226"/>
      <c r="T130" s="1226"/>
      <c r="U130" s="1226"/>
      <c r="V130" s="1226"/>
      <c r="W130" s="1226"/>
      <c r="X130" s="1226"/>
      <c r="Y130" s="1226"/>
      <c r="Z130" s="1228"/>
    </row>
    <row r="131" spans="1:26" ht="162" x14ac:dyDescent="0.3">
      <c r="A131" s="1952" t="s">
        <v>3196</v>
      </c>
      <c r="B131" s="1224"/>
      <c r="C131" s="1224"/>
      <c r="D131" s="1224"/>
      <c r="E131" s="1224"/>
      <c r="F131" s="1224"/>
      <c r="G131" s="1224"/>
      <c r="H131" s="1224"/>
      <c r="I131" s="1224"/>
      <c r="J131" s="1224"/>
      <c r="K131" s="1224"/>
      <c r="L131" s="1224"/>
      <c r="M131" s="1224"/>
      <c r="N131" s="1224"/>
      <c r="O131" s="1224"/>
      <c r="P131" s="1224"/>
      <c r="Q131" s="1224"/>
      <c r="R131" s="1224"/>
      <c r="S131" s="1224"/>
      <c r="T131" s="1224"/>
      <c r="U131" s="1224"/>
      <c r="V131" s="1224"/>
      <c r="W131" s="1224"/>
      <c r="X131" s="1224"/>
      <c r="Y131" s="1224"/>
      <c r="Z131" s="1227"/>
    </row>
    <row r="132" spans="1:26" ht="69" x14ac:dyDescent="0.3">
      <c r="A132" s="1501" t="s">
        <v>3197</v>
      </c>
      <c r="B132" s="1226" t="s">
        <v>3198</v>
      </c>
      <c r="C132" s="1226" t="s">
        <v>3199</v>
      </c>
      <c r="D132" s="1226"/>
      <c r="E132" s="1226"/>
      <c r="F132" s="1226"/>
      <c r="G132" s="1226"/>
      <c r="H132" s="1226"/>
      <c r="I132" s="1226"/>
      <c r="J132" s="1226"/>
      <c r="K132" s="1226"/>
      <c r="L132" s="1226"/>
      <c r="M132" s="1226"/>
      <c r="N132" s="1226"/>
      <c r="O132" s="1226"/>
      <c r="P132" s="1226"/>
      <c r="Q132" s="1226"/>
      <c r="R132" s="1226"/>
      <c r="S132" s="1226"/>
      <c r="T132" s="1226"/>
      <c r="U132" s="1226"/>
      <c r="V132" s="1226"/>
      <c r="W132" s="1226"/>
      <c r="X132" s="1226"/>
      <c r="Y132" s="1226"/>
      <c r="Z132" s="1228"/>
    </row>
    <row r="133" spans="1:26" ht="69" x14ac:dyDescent="0.3">
      <c r="A133" s="1501" t="s">
        <v>3200</v>
      </c>
      <c r="B133" s="1224" t="s">
        <v>3201</v>
      </c>
      <c r="C133" s="1224" t="s">
        <v>3202</v>
      </c>
      <c r="D133" s="1224"/>
      <c r="E133" s="1224"/>
      <c r="F133" s="1224"/>
      <c r="G133" s="1224"/>
      <c r="H133" s="1224"/>
      <c r="I133" s="1224"/>
      <c r="J133" s="1224"/>
      <c r="K133" s="1224"/>
      <c r="L133" s="1224"/>
      <c r="M133" s="1224"/>
      <c r="N133" s="1224"/>
      <c r="O133" s="1224"/>
      <c r="P133" s="1224"/>
      <c r="Q133" s="1224"/>
      <c r="R133" s="1224"/>
      <c r="S133" s="1224"/>
      <c r="T133" s="1224"/>
      <c r="U133" s="1224"/>
      <c r="V133" s="1224"/>
      <c r="W133" s="1224"/>
      <c r="X133" s="1224"/>
      <c r="Y133" s="1224"/>
      <c r="Z133" s="1227"/>
    </row>
    <row r="134" spans="1:26" ht="82.8" x14ac:dyDescent="0.3">
      <c r="A134" s="1501" t="s">
        <v>3203</v>
      </c>
      <c r="B134" s="1226" t="s">
        <v>3204</v>
      </c>
      <c r="C134" s="1226" t="s">
        <v>3205</v>
      </c>
      <c r="D134" s="1226"/>
      <c r="E134" s="1226"/>
      <c r="F134" s="1226"/>
      <c r="G134" s="1226"/>
      <c r="H134" s="1226"/>
      <c r="I134" s="1226"/>
      <c r="J134" s="1226"/>
      <c r="K134" s="1226"/>
      <c r="L134" s="1226"/>
      <c r="M134" s="1226"/>
      <c r="N134" s="1226"/>
      <c r="O134" s="1226"/>
      <c r="P134" s="1226"/>
      <c r="Q134" s="1226"/>
      <c r="R134" s="1226"/>
      <c r="S134" s="1226"/>
      <c r="T134" s="1226"/>
      <c r="U134" s="1226"/>
      <c r="V134" s="1226"/>
      <c r="W134" s="1226"/>
      <c r="X134" s="1226"/>
      <c r="Y134" s="1226"/>
      <c r="Z134" s="1228"/>
    </row>
    <row r="135" spans="1:26" ht="96.6" x14ac:dyDescent="0.3">
      <c r="A135" s="1501" t="s">
        <v>3206</v>
      </c>
      <c r="B135" s="1224" t="s">
        <v>3207</v>
      </c>
      <c r="C135" s="1224" t="s">
        <v>3208</v>
      </c>
      <c r="D135" s="1224"/>
      <c r="E135" s="1224"/>
      <c r="F135" s="1224"/>
      <c r="G135" s="1224"/>
      <c r="H135" s="1224"/>
      <c r="I135" s="1224"/>
      <c r="J135" s="1224"/>
      <c r="K135" s="1224"/>
      <c r="L135" s="1224"/>
      <c r="M135" s="1224"/>
      <c r="N135" s="1224"/>
      <c r="O135" s="1224"/>
      <c r="P135" s="1224"/>
      <c r="Q135" s="1224"/>
      <c r="R135" s="1224"/>
      <c r="S135" s="1224"/>
      <c r="T135" s="1224"/>
      <c r="U135" s="1224"/>
      <c r="V135" s="1224"/>
      <c r="W135" s="1224"/>
      <c r="X135" s="1224"/>
      <c r="Y135" s="1224"/>
      <c r="Z135" s="1227"/>
    </row>
    <row r="136" spans="1:26" ht="82.8" x14ac:dyDescent="0.3">
      <c r="A136" s="1501" t="s">
        <v>669</v>
      </c>
      <c r="B136" s="1226" t="s">
        <v>3209</v>
      </c>
      <c r="C136" s="1226" t="s">
        <v>3210</v>
      </c>
      <c r="D136" s="1226"/>
      <c r="E136" s="1226"/>
      <c r="F136" s="1226"/>
      <c r="G136" s="1226"/>
      <c r="H136" s="1226"/>
      <c r="I136" s="1226"/>
      <c r="J136" s="1226"/>
      <c r="K136" s="1226"/>
      <c r="L136" s="1226"/>
      <c r="M136" s="1226"/>
      <c r="N136" s="1226"/>
      <c r="O136" s="1226"/>
      <c r="P136" s="1226"/>
      <c r="Q136" s="1226"/>
      <c r="R136" s="1226"/>
      <c r="S136" s="1226"/>
      <c r="T136" s="1226"/>
      <c r="U136" s="1226"/>
      <c r="V136" s="1226"/>
      <c r="W136" s="1226"/>
      <c r="X136" s="1226"/>
      <c r="Y136" s="1226"/>
      <c r="Z136" s="1228"/>
    </row>
    <row r="137" spans="1:26" x14ac:dyDescent="0.3">
      <c r="A137" s="1501"/>
      <c r="B137" s="1224"/>
      <c r="C137" s="1224"/>
      <c r="D137" s="1224"/>
      <c r="E137" s="1224"/>
      <c r="F137" s="1224"/>
      <c r="G137" s="1224"/>
      <c r="H137" s="1224"/>
      <c r="I137" s="1224"/>
      <c r="J137" s="1224"/>
      <c r="K137" s="1224"/>
      <c r="L137" s="1224"/>
      <c r="M137" s="1224"/>
      <c r="N137" s="1224"/>
      <c r="O137" s="1224"/>
      <c r="P137" s="1224"/>
      <c r="Q137" s="1224"/>
      <c r="R137" s="1224"/>
      <c r="S137" s="1224"/>
      <c r="T137" s="1224"/>
      <c r="U137" s="1224"/>
      <c r="V137" s="1224"/>
      <c r="W137" s="1224"/>
      <c r="X137" s="1224"/>
      <c r="Y137" s="1224"/>
      <c r="Z137" s="1227"/>
    </row>
    <row r="138" spans="1:26" ht="324" x14ac:dyDescent="0.3">
      <c r="A138" s="1502" t="s">
        <v>4416</v>
      </c>
      <c r="B138" s="1226"/>
      <c r="C138" s="1226"/>
      <c r="D138" s="1226"/>
      <c r="E138" s="1226"/>
      <c r="F138" s="1226"/>
      <c r="G138" s="1226"/>
      <c r="H138" s="1226"/>
      <c r="I138" s="1226"/>
      <c r="J138" s="1226"/>
      <c r="K138" s="1226"/>
      <c r="L138" s="1226"/>
      <c r="M138" s="1226"/>
      <c r="N138" s="1226"/>
      <c r="O138" s="1226"/>
      <c r="P138" s="1226"/>
      <c r="Q138" s="1226"/>
      <c r="R138" s="1226"/>
      <c r="S138" s="1226"/>
      <c r="T138" s="1226"/>
      <c r="U138" s="1226"/>
      <c r="V138" s="1226"/>
      <c r="W138" s="1226"/>
      <c r="X138" s="1226"/>
      <c r="Y138" s="1226"/>
      <c r="Z138" s="1228"/>
    </row>
    <row r="139" spans="1:26" ht="129.6" x14ac:dyDescent="0.3">
      <c r="A139" s="1952" t="s">
        <v>4303</v>
      </c>
      <c r="B139" s="1224" t="s">
        <v>2994</v>
      </c>
      <c r="C139" s="1224"/>
      <c r="D139" s="1224"/>
      <c r="E139" s="1224"/>
      <c r="F139" s="1224"/>
      <c r="G139" s="1224"/>
      <c r="H139" s="1224"/>
      <c r="I139" s="1224"/>
      <c r="J139" s="1224"/>
      <c r="K139" s="1224"/>
      <c r="L139" s="1224"/>
      <c r="M139" s="1224"/>
      <c r="N139" s="1224"/>
      <c r="O139" s="1224"/>
      <c r="P139" s="1224"/>
      <c r="Q139" s="1224"/>
      <c r="R139" s="1224"/>
      <c r="S139" s="1224"/>
      <c r="T139" s="1224"/>
      <c r="U139" s="1224"/>
      <c r="V139" s="1224"/>
      <c r="W139" s="1224"/>
      <c r="X139" s="1224"/>
      <c r="Y139" s="1224"/>
      <c r="Z139" s="1227" t="s">
        <v>4300</v>
      </c>
    </row>
    <row r="140" spans="1:26" ht="140.4" x14ac:dyDescent="0.3">
      <c r="A140" s="1501" t="s">
        <v>4304</v>
      </c>
      <c r="B140" s="1226"/>
      <c r="C140" s="1226"/>
      <c r="D140" s="1226"/>
      <c r="E140" s="1226"/>
      <c r="F140" s="1226"/>
      <c r="G140" s="1226"/>
      <c r="H140" s="1226"/>
      <c r="I140" s="1226"/>
      <c r="J140" s="1226"/>
      <c r="K140" s="1226"/>
      <c r="L140" s="1226"/>
      <c r="M140" s="1226"/>
      <c r="N140" s="1226"/>
      <c r="O140" s="1226"/>
      <c r="P140" s="1226"/>
      <c r="Q140" s="1226"/>
      <c r="R140" s="1226"/>
      <c r="S140" s="1226"/>
      <c r="T140" s="1226"/>
      <c r="U140" s="1226"/>
      <c r="V140" s="1226"/>
      <c r="W140" s="1226"/>
      <c r="X140" s="1226"/>
      <c r="Y140" s="1226"/>
      <c r="Z140" s="1228"/>
    </row>
    <row r="141" spans="1:26" ht="162" x14ac:dyDescent="0.3">
      <c r="A141" s="1501" t="s">
        <v>4078</v>
      </c>
      <c r="B141" s="1224"/>
      <c r="C141" s="1224"/>
      <c r="D141" s="1224"/>
      <c r="E141" s="1224"/>
      <c r="F141" s="1224"/>
      <c r="G141" s="1224"/>
      <c r="H141" s="1224"/>
      <c r="I141" s="1224"/>
      <c r="J141" s="1224"/>
      <c r="K141" s="1224"/>
      <c r="L141" s="1224"/>
      <c r="M141" s="1224"/>
      <c r="N141" s="1224"/>
      <c r="O141" s="1224"/>
      <c r="P141" s="1224"/>
      <c r="Q141" s="1224"/>
      <c r="R141" s="1224"/>
      <c r="S141" s="1224"/>
      <c r="T141" s="1224"/>
      <c r="U141" s="1224"/>
      <c r="V141" s="1224"/>
      <c r="W141" s="1224"/>
      <c r="X141" s="1224"/>
      <c r="Y141" s="1224"/>
      <c r="Z141" s="1227"/>
    </row>
    <row r="142" spans="1:26" ht="194.4" x14ac:dyDescent="0.3">
      <c r="A142" s="1501" t="s">
        <v>2995</v>
      </c>
      <c r="B142" s="1226"/>
      <c r="C142" s="1226"/>
      <c r="D142" s="1226"/>
      <c r="E142" s="1226"/>
      <c r="F142" s="1226"/>
      <c r="G142" s="1226"/>
      <c r="H142" s="1226"/>
      <c r="I142" s="1226"/>
      <c r="J142" s="1226"/>
      <c r="K142" s="1226"/>
      <c r="L142" s="1226"/>
      <c r="M142" s="1226"/>
      <c r="N142" s="1226"/>
      <c r="O142" s="1226"/>
      <c r="P142" s="1226"/>
      <c r="Q142" s="1226"/>
      <c r="R142" s="1226"/>
      <c r="S142" s="1226"/>
      <c r="T142" s="1226"/>
      <c r="U142" s="1226"/>
      <c r="V142" s="1226"/>
      <c r="W142" s="1226"/>
      <c r="X142" s="1226"/>
      <c r="Y142" s="1226"/>
      <c r="Z142" s="1228"/>
    </row>
    <row r="143" spans="1:26" ht="110.4" x14ac:dyDescent="0.3">
      <c r="A143" s="1501" t="s">
        <v>2996</v>
      </c>
      <c r="B143" s="1224" t="s">
        <v>2997</v>
      </c>
      <c r="C143" s="1224" t="s">
        <v>2998</v>
      </c>
      <c r="D143" s="1224" t="s">
        <v>4094</v>
      </c>
      <c r="E143" s="1224" t="s">
        <v>2999</v>
      </c>
      <c r="F143" s="1224"/>
      <c r="G143" s="1224"/>
      <c r="H143" s="1224"/>
      <c r="I143" s="1224"/>
      <c r="J143" s="1224"/>
      <c r="K143" s="1224"/>
      <c r="L143" s="1224"/>
      <c r="M143" s="1224"/>
      <c r="N143" s="1224"/>
      <c r="O143" s="1224"/>
      <c r="P143" s="1224"/>
      <c r="Q143" s="1224"/>
      <c r="R143" s="1224"/>
      <c r="S143" s="1224"/>
      <c r="T143" s="1224"/>
      <c r="U143" s="1224"/>
      <c r="V143" s="1224"/>
      <c r="W143" s="1224"/>
      <c r="X143" s="1224"/>
      <c r="Y143" s="1224"/>
      <c r="Z143" s="1227"/>
    </row>
    <row r="144" spans="1:26" ht="96.6" x14ac:dyDescent="0.3">
      <c r="A144" s="1501" t="s">
        <v>3000</v>
      </c>
      <c r="B144" s="1226" t="s">
        <v>3001</v>
      </c>
      <c r="C144" s="1226" t="s">
        <v>3002</v>
      </c>
      <c r="D144" s="1226" t="s">
        <v>3003</v>
      </c>
      <c r="E144" s="1226" t="s">
        <v>3004</v>
      </c>
      <c r="F144" s="1226"/>
      <c r="G144" s="1226"/>
      <c r="H144" s="1226"/>
      <c r="I144" s="1226"/>
      <c r="J144" s="1226"/>
      <c r="K144" s="1226"/>
      <c r="L144" s="1226"/>
      <c r="M144" s="1226"/>
      <c r="N144" s="1226"/>
      <c r="O144" s="1226"/>
      <c r="P144" s="1226"/>
      <c r="Q144" s="1226"/>
      <c r="R144" s="1226"/>
      <c r="S144" s="1226"/>
      <c r="T144" s="1226"/>
      <c r="U144" s="1226"/>
      <c r="V144" s="1226"/>
      <c r="W144" s="1226"/>
      <c r="X144" s="1226"/>
      <c r="Y144" s="1226"/>
      <c r="Z144" s="1228"/>
    </row>
    <row r="145" spans="1:26" ht="138" x14ac:dyDescent="0.3">
      <c r="A145" s="1501" t="s">
        <v>3005</v>
      </c>
      <c r="B145" s="1224" t="s">
        <v>3006</v>
      </c>
      <c r="C145" s="1224" t="s">
        <v>3007</v>
      </c>
      <c r="D145" s="1224" t="s">
        <v>3008</v>
      </c>
      <c r="E145" s="1224" t="s">
        <v>3009</v>
      </c>
      <c r="F145" s="1224"/>
      <c r="G145" s="1224"/>
      <c r="H145" s="1224"/>
      <c r="I145" s="1224"/>
      <c r="J145" s="1224"/>
      <c r="K145" s="1224"/>
      <c r="L145" s="1224"/>
      <c r="M145" s="1224"/>
      <c r="N145" s="1224"/>
      <c r="O145" s="1224"/>
      <c r="P145" s="1224"/>
      <c r="Q145" s="1224"/>
      <c r="R145" s="1224"/>
      <c r="S145" s="1224"/>
      <c r="T145" s="1224"/>
      <c r="U145" s="1224"/>
      <c r="V145" s="1224"/>
      <c r="W145" s="1224"/>
      <c r="X145" s="1224"/>
      <c r="Y145" s="1224"/>
      <c r="Z145" s="1227"/>
    </row>
    <row r="146" spans="1:26" ht="110.4" x14ac:dyDescent="0.3">
      <c r="A146" s="1501" t="s">
        <v>3010</v>
      </c>
      <c r="B146" s="1226" t="s">
        <v>3011</v>
      </c>
      <c r="C146" s="1226" t="s">
        <v>3012</v>
      </c>
      <c r="D146" s="1226" t="s">
        <v>4095</v>
      </c>
      <c r="E146" s="1226" t="s">
        <v>3013</v>
      </c>
      <c r="F146" s="1226"/>
      <c r="G146" s="1226"/>
      <c r="H146" s="1226"/>
      <c r="I146" s="1226"/>
      <c r="J146" s="1226"/>
      <c r="K146" s="1226"/>
      <c r="L146" s="1226"/>
      <c r="M146" s="1226"/>
      <c r="N146" s="1226"/>
      <c r="O146" s="1226"/>
      <c r="P146" s="1226"/>
      <c r="Q146" s="1226"/>
      <c r="R146" s="1226"/>
      <c r="S146" s="1226"/>
      <c r="T146" s="1226"/>
      <c r="U146" s="1226"/>
      <c r="V146" s="1226"/>
      <c r="W146" s="1226"/>
      <c r="X146" s="1226"/>
      <c r="Y146" s="1226"/>
      <c r="Z146" s="1228"/>
    </row>
    <row r="147" spans="1:26" ht="55.2" x14ac:dyDescent="0.3">
      <c r="A147" s="1501"/>
      <c r="B147" s="1224" t="s">
        <v>3014</v>
      </c>
      <c r="C147" s="1224"/>
      <c r="D147" s="1224"/>
      <c r="E147" s="1224"/>
      <c r="F147" s="1224"/>
      <c r="G147" s="1224"/>
      <c r="H147" s="1224"/>
      <c r="I147" s="1224"/>
      <c r="J147" s="1224"/>
      <c r="K147" s="1224"/>
      <c r="L147" s="1224"/>
      <c r="M147" s="1224"/>
      <c r="N147" s="1224"/>
      <c r="O147" s="1224"/>
      <c r="P147" s="1224"/>
      <c r="Q147" s="1224"/>
      <c r="R147" s="1224"/>
      <c r="S147" s="1224"/>
      <c r="T147" s="1224"/>
      <c r="U147" s="1224"/>
      <c r="V147" s="1224"/>
      <c r="W147" s="1224"/>
      <c r="X147" s="1224"/>
      <c r="Y147" s="1224"/>
      <c r="Z147" s="1227"/>
    </row>
    <row r="148" spans="1:26" ht="124.2" x14ac:dyDescent="0.3">
      <c r="A148" s="1501" t="s">
        <v>3015</v>
      </c>
      <c r="B148" s="1226" t="s">
        <v>3016</v>
      </c>
      <c r="C148" s="1226" t="s">
        <v>3017</v>
      </c>
      <c r="D148" s="1226" t="s">
        <v>3018</v>
      </c>
      <c r="E148" s="1226" t="s">
        <v>3019</v>
      </c>
      <c r="F148" s="1226"/>
      <c r="G148" s="1226"/>
      <c r="H148" s="1226"/>
      <c r="I148" s="1226"/>
      <c r="J148" s="1226"/>
      <c r="K148" s="1226"/>
      <c r="L148" s="1226"/>
      <c r="M148" s="1226"/>
      <c r="N148" s="1226"/>
      <c r="O148" s="1226"/>
      <c r="P148" s="1226"/>
      <c r="Q148" s="1226"/>
      <c r="R148" s="1226"/>
      <c r="S148" s="1226"/>
      <c r="T148" s="1226"/>
      <c r="U148" s="1226"/>
      <c r="V148" s="1226"/>
      <c r="W148" s="1226"/>
      <c r="X148" s="1226"/>
      <c r="Y148" s="1226"/>
      <c r="Z148" s="1228"/>
    </row>
    <row r="149" spans="1:26" ht="110.4" x14ac:dyDescent="0.3">
      <c r="A149" s="1501" t="s">
        <v>3020</v>
      </c>
      <c r="B149" s="1224" t="s">
        <v>3021</v>
      </c>
      <c r="C149" s="1224" t="s">
        <v>3017</v>
      </c>
      <c r="D149" s="1224" t="s">
        <v>3022</v>
      </c>
      <c r="E149" s="1224" t="s">
        <v>3023</v>
      </c>
      <c r="F149" s="1224"/>
      <c r="G149" s="1224"/>
      <c r="H149" s="1224"/>
      <c r="I149" s="1224"/>
      <c r="J149" s="1224"/>
      <c r="K149" s="1224"/>
      <c r="L149" s="1224"/>
      <c r="M149" s="1224"/>
      <c r="N149" s="1224"/>
      <c r="O149" s="1224"/>
      <c r="P149" s="1224"/>
      <c r="Q149" s="1224"/>
      <c r="R149" s="1224"/>
      <c r="S149" s="1224"/>
      <c r="T149" s="1224"/>
      <c r="U149" s="1224"/>
      <c r="V149" s="1224"/>
      <c r="W149" s="1224"/>
      <c r="X149" s="1224"/>
      <c r="Y149" s="1224"/>
      <c r="Z149" s="1227"/>
    </row>
    <row r="150" spans="1:26" ht="124.2" x14ac:dyDescent="0.3">
      <c r="A150" s="1501" t="s">
        <v>3024</v>
      </c>
      <c r="B150" s="1226" t="s">
        <v>3025</v>
      </c>
      <c r="C150" s="1226" t="s">
        <v>3026</v>
      </c>
      <c r="D150" s="1226" t="s">
        <v>3027</v>
      </c>
      <c r="E150" s="1226" t="s">
        <v>3028</v>
      </c>
      <c r="F150" s="1226"/>
      <c r="G150" s="1226"/>
      <c r="H150" s="1226"/>
      <c r="I150" s="1226"/>
      <c r="J150" s="1226"/>
      <c r="K150" s="1226"/>
      <c r="L150" s="1226"/>
      <c r="M150" s="1226"/>
      <c r="N150" s="1226"/>
      <c r="O150" s="1226"/>
      <c r="P150" s="1226"/>
      <c r="Q150" s="1226"/>
      <c r="R150" s="1226"/>
      <c r="S150" s="1226"/>
      <c r="T150" s="1226"/>
      <c r="U150" s="1226"/>
      <c r="V150" s="1226"/>
      <c r="W150" s="1226"/>
      <c r="X150" s="1226"/>
      <c r="Y150" s="1226"/>
      <c r="Z150" s="1228"/>
    </row>
    <row r="151" spans="1:26" ht="69" x14ac:dyDescent="0.3">
      <c r="A151" s="1501"/>
      <c r="B151" s="1951" t="s">
        <v>3029</v>
      </c>
      <c r="C151" s="1224"/>
      <c r="D151" s="1224"/>
      <c r="E151" s="1224"/>
      <c r="F151" s="1224"/>
      <c r="G151" s="1224"/>
      <c r="H151" s="1224"/>
      <c r="I151" s="1224"/>
      <c r="J151" s="1224"/>
      <c r="K151" s="1224"/>
      <c r="L151" s="1224"/>
      <c r="M151" s="1224"/>
      <c r="N151" s="1224"/>
      <c r="O151" s="1224"/>
      <c r="P151" s="1224"/>
      <c r="Q151" s="1224"/>
      <c r="R151" s="1224"/>
      <c r="S151" s="1224"/>
      <c r="T151" s="1224"/>
      <c r="U151" s="1224"/>
      <c r="V151" s="1224"/>
      <c r="W151" s="1224"/>
      <c r="X151" s="1224"/>
      <c r="Y151" s="1224"/>
      <c r="Z151" s="1227"/>
    </row>
    <row r="152" spans="1:26" ht="138" x14ac:dyDescent="0.3">
      <c r="A152" s="1501" t="s">
        <v>3030</v>
      </c>
      <c r="B152" s="1226" t="s">
        <v>3031</v>
      </c>
      <c r="C152" s="1226" t="s">
        <v>3032</v>
      </c>
      <c r="D152" s="1226" t="s">
        <v>3033</v>
      </c>
      <c r="E152" s="1226" t="s">
        <v>3034</v>
      </c>
      <c r="F152" s="1226"/>
      <c r="G152" s="1226"/>
      <c r="H152" s="1226"/>
      <c r="I152" s="1226"/>
      <c r="J152" s="1226"/>
      <c r="K152" s="1226"/>
      <c r="L152" s="1226"/>
      <c r="M152" s="1226"/>
      <c r="N152" s="1226"/>
      <c r="O152" s="1226"/>
      <c r="P152" s="1226"/>
      <c r="Q152" s="1226"/>
      <c r="R152" s="1226"/>
      <c r="S152" s="1226"/>
      <c r="T152" s="1226"/>
      <c r="U152" s="1226"/>
      <c r="V152" s="1226"/>
      <c r="W152" s="1226"/>
      <c r="X152" s="1226"/>
      <c r="Y152" s="1226"/>
      <c r="Z152" s="1228"/>
    </row>
    <row r="153" spans="1:26" ht="151.80000000000001" x14ac:dyDescent="0.3">
      <c r="A153" s="1501" t="s">
        <v>3035</v>
      </c>
      <c r="B153" s="1224" t="s">
        <v>3036</v>
      </c>
      <c r="C153" s="1224" t="s">
        <v>3037</v>
      </c>
      <c r="D153" s="1224" t="s">
        <v>3038</v>
      </c>
      <c r="E153" s="1224" t="s">
        <v>3039</v>
      </c>
      <c r="F153" s="1224"/>
      <c r="G153" s="1224"/>
      <c r="H153" s="1224"/>
      <c r="I153" s="1224"/>
      <c r="J153" s="1224"/>
      <c r="K153" s="1224"/>
      <c r="L153" s="1224"/>
      <c r="M153" s="1224"/>
      <c r="N153" s="1224"/>
      <c r="O153" s="1224"/>
      <c r="P153" s="1224"/>
      <c r="Q153" s="1224"/>
      <c r="R153" s="1224"/>
      <c r="S153" s="1224"/>
      <c r="T153" s="1224"/>
      <c r="U153" s="1224"/>
      <c r="V153" s="1224"/>
      <c r="W153" s="1224"/>
      <c r="X153" s="1224"/>
      <c r="Y153" s="1224"/>
      <c r="Z153" s="1227"/>
    </row>
    <row r="154" spans="1:26" ht="110.4" x14ac:dyDescent="0.3">
      <c r="A154" s="1501" t="s">
        <v>3040</v>
      </c>
      <c r="B154" s="1226" t="s">
        <v>3041</v>
      </c>
      <c r="C154" s="1226" t="s">
        <v>3042</v>
      </c>
      <c r="D154" s="1226" t="s">
        <v>3043</v>
      </c>
      <c r="E154" s="1226" t="s">
        <v>3044</v>
      </c>
      <c r="F154" s="1226"/>
      <c r="G154" s="1226"/>
      <c r="H154" s="1226"/>
      <c r="I154" s="1226"/>
      <c r="J154" s="1226"/>
      <c r="K154" s="1226"/>
      <c r="L154" s="1226"/>
      <c r="M154" s="1226"/>
      <c r="N154" s="1226"/>
      <c r="O154" s="1226"/>
      <c r="P154" s="1226"/>
      <c r="Q154" s="1226"/>
      <c r="R154" s="1226"/>
      <c r="S154" s="1226"/>
      <c r="T154" s="1226"/>
      <c r="U154" s="1226"/>
      <c r="V154" s="1226"/>
      <c r="W154" s="1226"/>
      <c r="X154" s="1226"/>
      <c r="Y154" s="1226"/>
      <c r="Z154" s="1228"/>
    </row>
    <row r="155" spans="1:26" ht="55.2" x14ac:dyDescent="0.3">
      <c r="A155" s="1501"/>
      <c r="B155" s="1951" t="s">
        <v>3045</v>
      </c>
      <c r="C155" s="1224"/>
      <c r="D155" s="1224"/>
      <c r="E155" s="1224"/>
      <c r="F155" s="1224"/>
      <c r="G155" s="1224"/>
      <c r="H155" s="1224"/>
      <c r="I155" s="1224"/>
      <c r="J155" s="1224"/>
      <c r="K155" s="1224"/>
      <c r="L155" s="1224"/>
      <c r="M155" s="1224"/>
      <c r="N155" s="1224"/>
      <c r="O155" s="1224"/>
      <c r="P155" s="1224"/>
      <c r="Q155" s="1224"/>
      <c r="R155" s="1224"/>
      <c r="S155" s="1224"/>
      <c r="T155" s="1224"/>
      <c r="U155" s="1224"/>
      <c r="V155" s="1224"/>
      <c r="W155" s="1224"/>
      <c r="X155" s="1224"/>
      <c r="Y155" s="1224"/>
      <c r="Z155" s="1227"/>
    </row>
    <row r="156" spans="1:26" ht="27.6" x14ac:dyDescent="0.3">
      <c r="A156" s="1501" t="s">
        <v>3046</v>
      </c>
      <c r="B156" s="1226" t="s">
        <v>3047</v>
      </c>
      <c r="C156" s="1226" t="s">
        <v>3048</v>
      </c>
      <c r="D156" s="1226" t="s">
        <v>3049</v>
      </c>
      <c r="E156" s="1226" t="s">
        <v>3050</v>
      </c>
      <c r="F156" s="1226"/>
      <c r="G156" s="1226"/>
      <c r="H156" s="1226"/>
      <c r="I156" s="1226"/>
      <c r="J156" s="1226"/>
      <c r="K156" s="1226"/>
      <c r="L156" s="1226"/>
      <c r="M156" s="1226"/>
      <c r="N156" s="1226"/>
      <c r="O156" s="1226"/>
      <c r="P156" s="1226"/>
      <c r="Q156" s="1226"/>
      <c r="R156" s="1226"/>
      <c r="S156" s="1226"/>
      <c r="T156" s="1226"/>
      <c r="U156" s="1226"/>
      <c r="V156" s="1226"/>
      <c r="W156" s="1226"/>
      <c r="X156" s="1226"/>
      <c r="Y156" s="1226"/>
      <c r="Z156" s="1228"/>
    </row>
    <row r="157" spans="1:26" ht="96.6" x14ac:dyDescent="0.3">
      <c r="A157" s="1501" t="s">
        <v>3051</v>
      </c>
      <c r="B157" s="1224" t="s">
        <v>4096</v>
      </c>
      <c r="C157" s="1224" t="s">
        <v>3052</v>
      </c>
      <c r="D157" s="1224" t="s">
        <v>4097</v>
      </c>
      <c r="E157" s="1224" t="s">
        <v>3053</v>
      </c>
      <c r="F157" s="1224"/>
      <c r="G157" s="1224"/>
      <c r="H157" s="1224"/>
      <c r="I157" s="1224"/>
      <c r="J157" s="1224"/>
      <c r="K157" s="1224"/>
      <c r="L157" s="1224"/>
      <c r="M157" s="1224"/>
      <c r="N157" s="1224"/>
      <c r="O157" s="1224"/>
      <c r="P157" s="1224"/>
      <c r="Q157" s="1224"/>
      <c r="R157" s="1224"/>
      <c r="S157" s="1224"/>
      <c r="T157" s="1224"/>
      <c r="U157" s="1224"/>
      <c r="V157" s="1224"/>
      <c r="W157" s="1224"/>
      <c r="X157" s="1224"/>
      <c r="Y157" s="1224"/>
      <c r="Z157" s="1227"/>
    </row>
    <row r="158" spans="1:26" ht="96.6" x14ac:dyDescent="0.3">
      <c r="A158" s="1501" t="s">
        <v>3054</v>
      </c>
      <c r="B158" s="1226" t="s">
        <v>3055</v>
      </c>
      <c r="C158" s="1226" t="s">
        <v>3056</v>
      </c>
      <c r="D158" s="1226" t="s">
        <v>3057</v>
      </c>
      <c r="E158" s="1226" t="s">
        <v>3058</v>
      </c>
      <c r="F158" s="1226"/>
      <c r="G158" s="1226"/>
      <c r="H158" s="1226"/>
      <c r="I158" s="1226"/>
      <c r="J158" s="1226"/>
      <c r="K158" s="1226"/>
      <c r="L158" s="1226"/>
      <c r="M158" s="1226"/>
      <c r="N158" s="1226"/>
      <c r="O158" s="1226"/>
      <c r="P158" s="1226"/>
      <c r="Q158" s="1226"/>
      <c r="R158" s="1226"/>
      <c r="S158" s="1226"/>
      <c r="T158" s="1226"/>
      <c r="U158" s="1226"/>
      <c r="V158" s="1226"/>
      <c r="W158" s="1226"/>
      <c r="X158" s="1226"/>
      <c r="Y158" s="1226"/>
      <c r="Z158" s="1228"/>
    </row>
    <row r="159" spans="1:26" x14ac:dyDescent="0.3">
      <c r="A159" s="1501"/>
      <c r="B159" s="1224"/>
      <c r="C159" s="1224"/>
      <c r="D159" s="1224"/>
      <c r="E159" s="1224"/>
      <c r="F159" s="1224"/>
      <c r="G159" s="1224"/>
      <c r="H159" s="1224"/>
      <c r="I159" s="1224"/>
      <c r="J159" s="1224"/>
      <c r="K159" s="1224"/>
      <c r="L159" s="1224"/>
      <c r="M159" s="1224"/>
      <c r="N159" s="1224"/>
      <c r="O159" s="1224"/>
      <c r="P159" s="1224"/>
      <c r="Q159" s="1224"/>
      <c r="R159" s="1224"/>
      <c r="S159" s="1224"/>
      <c r="T159" s="1224"/>
      <c r="U159" s="1224"/>
      <c r="V159" s="1224"/>
      <c r="W159" s="1224"/>
      <c r="X159" s="1224"/>
      <c r="Y159" s="1224"/>
      <c r="Z159" s="1227"/>
    </row>
    <row r="160" spans="1:26" ht="280.8" x14ac:dyDescent="0.3">
      <c r="A160" s="1502" t="s">
        <v>4417</v>
      </c>
      <c r="B160" s="1226"/>
      <c r="C160" s="1226"/>
      <c r="D160" s="1226"/>
      <c r="E160" s="1226"/>
      <c r="F160" s="1226"/>
      <c r="G160" s="1226"/>
      <c r="H160" s="1226"/>
      <c r="I160" s="1226"/>
      <c r="J160" s="1226"/>
      <c r="K160" s="1226"/>
      <c r="L160" s="1226"/>
      <c r="M160" s="1226"/>
      <c r="N160" s="1226"/>
      <c r="O160" s="1226"/>
      <c r="P160" s="1226"/>
      <c r="Q160" s="1226"/>
      <c r="R160" s="1226"/>
      <c r="S160" s="1226"/>
      <c r="T160" s="1226"/>
      <c r="U160" s="1226"/>
      <c r="V160" s="1226"/>
      <c r="W160" s="1226"/>
      <c r="X160" s="1226"/>
      <c r="Y160" s="1226"/>
      <c r="Z160" s="1228"/>
    </row>
    <row r="161" spans="1:26" ht="118.8" x14ac:dyDescent="0.3">
      <c r="A161" s="1501" t="s">
        <v>4309</v>
      </c>
      <c r="B161" s="1224"/>
      <c r="C161" s="1224"/>
      <c r="D161" s="1224"/>
      <c r="E161" s="1224"/>
      <c r="F161" s="1224"/>
      <c r="G161" s="1224"/>
      <c r="H161" s="1224"/>
      <c r="I161" s="1224"/>
      <c r="J161" s="1224"/>
      <c r="K161" s="1224"/>
      <c r="L161" s="1224"/>
      <c r="M161" s="1224"/>
      <c r="N161" s="1224"/>
      <c r="O161" s="1224"/>
      <c r="P161" s="1224"/>
      <c r="Q161" s="1224"/>
      <c r="R161" s="1224"/>
      <c r="S161" s="1224"/>
      <c r="T161" s="1224"/>
      <c r="U161" s="1224"/>
      <c r="V161" s="1224"/>
      <c r="W161" s="1224"/>
      <c r="X161" s="1224"/>
      <c r="Y161" s="1224"/>
      <c r="Z161" s="1227" t="s">
        <v>4300</v>
      </c>
    </row>
    <row r="162" spans="1:26" ht="129.6" x14ac:dyDescent="0.3">
      <c r="A162" s="1501" t="s">
        <v>4310</v>
      </c>
      <c r="B162" s="1226"/>
      <c r="C162" s="1226"/>
      <c r="D162" s="1226"/>
      <c r="E162" s="1226"/>
      <c r="F162" s="1226"/>
      <c r="G162" s="1226"/>
      <c r="H162" s="1226"/>
      <c r="I162" s="1226"/>
      <c r="J162" s="1226"/>
      <c r="K162" s="1226"/>
      <c r="L162" s="1226"/>
      <c r="M162" s="1226"/>
      <c r="N162" s="1226"/>
      <c r="O162" s="1226"/>
      <c r="P162" s="1226"/>
      <c r="Q162" s="1226"/>
      <c r="R162" s="1226"/>
      <c r="S162" s="1226"/>
      <c r="T162" s="1226"/>
      <c r="U162" s="1226"/>
      <c r="V162" s="1226"/>
      <c r="W162" s="1226"/>
      <c r="X162" s="1226"/>
      <c r="Y162" s="1226"/>
      <c r="Z162" s="1228"/>
    </row>
    <row r="163" spans="1:26" ht="118.8" x14ac:dyDescent="0.3">
      <c r="A163" s="1501" t="s">
        <v>4081</v>
      </c>
      <c r="B163" s="1224"/>
      <c r="C163" s="1224"/>
      <c r="D163" s="1224"/>
      <c r="E163" s="1224"/>
      <c r="F163" s="1224"/>
      <c r="G163" s="1224"/>
      <c r="H163" s="1224"/>
      <c r="I163" s="1224"/>
      <c r="J163" s="1224"/>
      <c r="K163" s="1224"/>
      <c r="L163" s="1224"/>
      <c r="M163" s="1224"/>
      <c r="N163" s="1224"/>
      <c r="O163" s="1224"/>
      <c r="P163" s="1224"/>
      <c r="Q163" s="1224"/>
      <c r="R163" s="1224"/>
      <c r="S163" s="1224"/>
      <c r="T163" s="1224"/>
      <c r="U163" s="1224"/>
      <c r="V163" s="1224"/>
      <c r="W163" s="1224"/>
      <c r="X163" s="1224"/>
      <c r="Y163" s="1224"/>
      <c r="Z163" s="1227"/>
    </row>
    <row r="164" spans="1:26" ht="21.6" x14ac:dyDescent="0.3">
      <c r="A164" s="1501" t="s">
        <v>3358</v>
      </c>
      <c r="B164" s="1226" t="s">
        <v>3359</v>
      </c>
      <c r="C164" s="1226" t="s">
        <v>3360</v>
      </c>
      <c r="D164" s="1226" t="s">
        <v>3361</v>
      </c>
      <c r="E164" s="1226"/>
      <c r="F164" s="1226"/>
      <c r="G164" s="1226"/>
      <c r="H164" s="1226"/>
      <c r="I164" s="1226"/>
      <c r="J164" s="1226"/>
      <c r="K164" s="1226"/>
      <c r="L164" s="1226"/>
      <c r="M164" s="1226"/>
      <c r="N164" s="1226"/>
      <c r="O164" s="1226"/>
      <c r="P164" s="1226"/>
      <c r="Q164" s="1226"/>
      <c r="R164" s="1226"/>
      <c r="S164" s="1226"/>
      <c r="T164" s="1226"/>
      <c r="U164" s="1226"/>
      <c r="V164" s="1226"/>
      <c r="W164" s="1226"/>
      <c r="X164" s="1226"/>
      <c r="Y164" s="1226"/>
      <c r="Z164" s="1228"/>
    </row>
    <row r="165" spans="1:26" ht="64.8" x14ac:dyDescent="0.3">
      <c r="A165" s="1501" t="s">
        <v>3362</v>
      </c>
      <c r="B165" s="1224"/>
      <c r="C165" s="1224"/>
      <c r="D165" s="1224"/>
      <c r="E165" s="1224"/>
      <c r="F165" s="1224"/>
      <c r="G165" s="1224"/>
      <c r="H165" s="1224"/>
      <c r="I165" s="1224"/>
      <c r="J165" s="1224"/>
      <c r="K165" s="1224"/>
      <c r="L165" s="1224"/>
      <c r="M165" s="1224"/>
      <c r="N165" s="1224"/>
      <c r="O165" s="1224"/>
      <c r="P165" s="1224"/>
      <c r="Q165" s="1224"/>
      <c r="R165" s="1224"/>
      <c r="S165" s="1224"/>
      <c r="T165" s="1224"/>
      <c r="U165" s="1224"/>
      <c r="V165" s="1224"/>
      <c r="W165" s="1224"/>
      <c r="X165" s="1224"/>
      <c r="Y165" s="1224"/>
      <c r="Z165" s="1227"/>
    </row>
    <row r="166" spans="1:26" x14ac:dyDescent="0.3">
      <c r="A166" s="1501"/>
      <c r="B166" s="1226"/>
      <c r="C166" s="1226"/>
      <c r="D166" s="1226"/>
      <c r="E166" s="1226"/>
      <c r="F166" s="1226"/>
      <c r="G166" s="1226"/>
      <c r="H166" s="1226"/>
      <c r="I166" s="1226"/>
      <c r="J166" s="1226"/>
      <c r="K166" s="1226"/>
      <c r="L166" s="1226"/>
      <c r="M166" s="1226"/>
      <c r="N166" s="1226"/>
      <c r="O166" s="1226"/>
      <c r="P166" s="1226"/>
      <c r="Q166" s="1226"/>
      <c r="R166" s="1226"/>
      <c r="S166" s="1226"/>
      <c r="T166" s="1226"/>
      <c r="U166" s="1226"/>
      <c r="V166" s="1226"/>
      <c r="W166" s="1226"/>
      <c r="X166" s="1226"/>
      <c r="Y166" s="1226"/>
      <c r="Z166" s="1228"/>
    </row>
    <row r="167" spans="1:26" ht="324" x14ac:dyDescent="0.3">
      <c r="A167" s="1502" t="s">
        <v>4418</v>
      </c>
      <c r="B167" s="1224"/>
      <c r="C167" s="1224"/>
      <c r="D167" s="1224"/>
      <c r="E167" s="1224"/>
      <c r="F167" s="1224"/>
      <c r="G167" s="1224"/>
      <c r="H167" s="1224"/>
      <c r="I167" s="1224"/>
      <c r="J167" s="1224"/>
      <c r="K167" s="1224"/>
      <c r="L167" s="1224"/>
      <c r="M167" s="1224"/>
      <c r="N167" s="1224"/>
      <c r="O167" s="1224"/>
      <c r="P167" s="1224"/>
      <c r="Q167" s="1224"/>
      <c r="R167" s="1224"/>
      <c r="S167" s="1224"/>
      <c r="T167" s="1224"/>
      <c r="U167" s="1224"/>
      <c r="V167" s="1224"/>
      <c r="W167" s="1224"/>
      <c r="X167" s="1224"/>
      <c r="Y167" s="1224"/>
      <c r="Z167" s="1227"/>
    </row>
    <row r="168" spans="1:26" ht="118.8" x14ac:dyDescent="0.3">
      <c r="A168" s="1501" t="s">
        <v>4311</v>
      </c>
      <c r="B168" s="1226" t="s">
        <v>4419</v>
      </c>
      <c r="C168" s="1226" t="s">
        <v>3363</v>
      </c>
      <c r="D168" s="1226"/>
      <c r="E168" s="1226"/>
      <c r="F168" s="1226"/>
      <c r="G168" s="1226"/>
      <c r="H168" s="1226"/>
      <c r="I168" s="1226"/>
      <c r="J168" s="1226"/>
      <c r="K168" s="1226"/>
      <c r="L168" s="1226" t="s">
        <v>4420</v>
      </c>
      <c r="M168" s="1226" t="s">
        <v>4411</v>
      </c>
      <c r="N168" s="1226"/>
      <c r="O168" s="1226"/>
      <c r="P168" s="1226"/>
      <c r="Q168" s="1226"/>
      <c r="R168" s="1226"/>
      <c r="S168" s="1226"/>
      <c r="T168" s="1226"/>
      <c r="U168" s="1226"/>
      <c r="V168" s="1226"/>
      <c r="W168" s="1226"/>
      <c r="X168" s="1226"/>
      <c r="Y168" s="1226"/>
      <c r="Z168" s="1228" t="s">
        <v>4300</v>
      </c>
    </row>
    <row r="169" spans="1:26" ht="151.19999999999999" x14ac:dyDescent="0.3">
      <c r="A169" s="1501" t="s">
        <v>4312</v>
      </c>
      <c r="B169" s="1224"/>
      <c r="C169" s="1224"/>
      <c r="D169" s="1224"/>
      <c r="E169" s="1224"/>
      <c r="F169" s="1224"/>
      <c r="G169" s="1224"/>
      <c r="H169" s="1224"/>
      <c r="I169" s="1224"/>
      <c r="J169" s="1224"/>
      <c r="K169" s="1224"/>
      <c r="L169" s="1224"/>
      <c r="M169" s="1224"/>
      <c r="N169" s="1224"/>
      <c r="O169" s="1224"/>
      <c r="P169" s="1224"/>
      <c r="Q169" s="1224"/>
      <c r="R169" s="1224"/>
      <c r="S169" s="1224"/>
      <c r="T169" s="1224"/>
      <c r="U169" s="1224"/>
      <c r="V169" s="1224"/>
      <c r="W169" s="1224"/>
      <c r="X169" s="1224"/>
      <c r="Y169" s="1224"/>
      <c r="Z169" s="1227"/>
    </row>
    <row r="170" spans="1:26" ht="140.4" x14ac:dyDescent="0.3">
      <c r="A170" s="1501" t="s">
        <v>4082</v>
      </c>
      <c r="B170" s="1226"/>
      <c r="C170" s="1226"/>
      <c r="D170" s="1226"/>
      <c r="E170" s="1226"/>
      <c r="F170" s="1226"/>
      <c r="G170" s="1226"/>
      <c r="H170" s="1226"/>
      <c r="I170" s="1226"/>
      <c r="J170" s="1226"/>
      <c r="K170" s="1226"/>
      <c r="L170" s="1226"/>
      <c r="M170" s="1226"/>
      <c r="N170" s="1226"/>
      <c r="O170" s="1226"/>
      <c r="P170" s="1226"/>
      <c r="Q170" s="1226"/>
      <c r="R170" s="1226"/>
      <c r="S170" s="1226"/>
      <c r="T170" s="1226"/>
      <c r="U170" s="1226"/>
      <c r="V170" s="1226"/>
      <c r="W170" s="1226"/>
      <c r="X170" s="1226"/>
      <c r="Y170" s="1226"/>
      <c r="Z170" s="1228"/>
    </row>
    <row r="171" spans="1:26" ht="194.4" x14ac:dyDescent="0.3">
      <c r="A171" s="1501" t="s">
        <v>3364</v>
      </c>
      <c r="B171" s="1224"/>
      <c r="C171" s="1224"/>
      <c r="D171" s="1224"/>
      <c r="E171" s="1224"/>
      <c r="F171" s="1224"/>
      <c r="G171" s="1224"/>
      <c r="H171" s="1224"/>
      <c r="I171" s="1224"/>
      <c r="J171" s="1224"/>
      <c r="K171" s="1224"/>
      <c r="L171" s="1224"/>
      <c r="M171" s="1224"/>
      <c r="N171" s="1224"/>
      <c r="O171" s="1224"/>
      <c r="P171" s="1224"/>
      <c r="Q171" s="1224"/>
      <c r="R171" s="1224"/>
      <c r="S171" s="1224"/>
      <c r="T171" s="1224"/>
      <c r="U171" s="1224"/>
      <c r="V171" s="1224"/>
      <c r="W171" s="1224"/>
      <c r="X171" s="1224"/>
      <c r="Y171" s="1224"/>
      <c r="Z171" s="1227"/>
    </row>
    <row r="172" spans="1:26" ht="97.2" x14ac:dyDescent="0.3">
      <c r="A172" s="1501" t="s">
        <v>3365</v>
      </c>
      <c r="B172" s="1226" t="s">
        <v>3366</v>
      </c>
      <c r="C172" s="1226" t="s">
        <v>3367</v>
      </c>
      <c r="D172" s="1226" t="s">
        <v>3368</v>
      </c>
      <c r="E172" s="1226" t="s">
        <v>3369</v>
      </c>
      <c r="F172" s="1226" t="s">
        <v>106</v>
      </c>
      <c r="G172" s="1226" t="s">
        <v>3370</v>
      </c>
      <c r="H172" s="1226" t="s">
        <v>3371</v>
      </c>
      <c r="I172" s="1226" t="s">
        <v>3372</v>
      </c>
      <c r="J172" s="1226" t="s">
        <v>3373</v>
      </c>
      <c r="K172" s="1226" t="s">
        <v>3374</v>
      </c>
      <c r="L172" s="1226" t="s">
        <v>3375</v>
      </c>
      <c r="M172" s="1226" t="s">
        <v>3376</v>
      </c>
      <c r="N172" s="1226"/>
      <c r="O172" s="1226"/>
      <c r="P172" s="1226"/>
      <c r="Q172" s="1226"/>
      <c r="R172" s="1226"/>
      <c r="S172" s="1226"/>
      <c r="T172" s="1226"/>
      <c r="U172" s="1226"/>
      <c r="V172" s="1226"/>
      <c r="W172" s="1226"/>
      <c r="X172" s="1226"/>
      <c r="Y172" s="1226"/>
      <c r="Z172" s="1228"/>
    </row>
    <row r="173" spans="1:26" ht="54" x14ac:dyDescent="0.3">
      <c r="A173" s="1501" t="s">
        <v>3377</v>
      </c>
      <c r="B173" s="1224" t="s">
        <v>3378</v>
      </c>
      <c r="C173" s="1224" t="s">
        <v>3379</v>
      </c>
      <c r="D173" s="1224" t="s">
        <v>3380</v>
      </c>
      <c r="E173" s="1224" t="s">
        <v>3381</v>
      </c>
      <c r="F173" s="1224" t="s">
        <v>3382</v>
      </c>
      <c r="G173" s="1224" t="s">
        <v>3370</v>
      </c>
      <c r="H173" s="1224" t="s">
        <v>3383</v>
      </c>
      <c r="I173" s="1224" t="s">
        <v>3384</v>
      </c>
      <c r="J173" s="1224" t="s">
        <v>3385</v>
      </c>
      <c r="K173" s="1224" t="s">
        <v>3386</v>
      </c>
      <c r="L173" s="1224" t="s">
        <v>3387</v>
      </c>
      <c r="M173" s="1224" t="s">
        <v>3388</v>
      </c>
      <c r="N173" s="1224"/>
      <c r="O173" s="1224"/>
      <c r="P173" s="1224"/>
      <c r="Q173" s="1224"/>
      <c r="R173" s="1224"/>
      <c r="S173" s="1224"/>
      <c r="T173" s="1224"/>
      <c r="U173" s="1224"/>
      <c r="V173" s="1224"/>
      <c r="W173" s="1224"/>
      <c r="X173" s="1224"/>
      <c r="Y173" s="1224"/>
      <c r="Z173" s="1227"/>
    </row>
    <row r="174" spans="1:26" ht="86.4" x14ac:dyDescent="0.3">
      <c r="A174" s="1501" t="s">
        <v>3389</v>
      </c>
      <c r="B174" s="1226" t="s">
        <v>3390</v>
      </c>
      <c r="C174" s="1226" t="s">
        <v>3391</v>
      </c>
      <c r="D174" s="1226" t="s">
        <v>3392</v>
      </c>
      <c r="E174" s="1226" t="s">
        <v>3393</v>
      </c>
      <c r="F174" s="1226" t="s">
        <v>3394</v>
      </c>
      <c r="G174" s="1226" t="s">
        <v>3370</v>
      </c>
      <c r="H174" s="1226" t="s">
        <v>3395</v>
      </c>
      <c r="I174" s="1226" t="s">
        <v>3396</v>
      </c>
      <c r="J174" s="1226" t="s">
        <v>3397</v>
      </c>
      <c r="K174" s="1226" t="s">
        <v>3398</v>
      </c>
      <c r="L174" s="1226" t="s">
        <v>3399</v>
      </c>
      <c r="M174" s="1226" t="s">
        <v>3400</v>
      </c>
      <c r="N174" s="1226"/>
      <c r="O174" s="1226"/>
      <c r="P174" s="1226"/>
      <c r="Q174" s="1226"/>
      <c r="R174" s="1226"/>
      <c r="S174" s="1226"/>
      <c r="T174" s="1226"/>
      <c r="U174" s="1226"/>
      <c r="V174" s="1226"/>
      <c r="W174" s="1226"/>
      <c r="X174" s="1226"/>
      <c r="Y174" s="1226"/>
      <c r="Z174" s="1228"/>
    </row>
    <row r="175" spans="1:26" ht="86.4" x14ac:dyDescent="0.3">
      <c r="A175" s="1501" t="s">
        <v>3401</v>
      </c>
      <c r="B175" s="1224" t="s">
        <v>3402</v>
      </c>
      <c r="C175" s="1224" t="s">
        <v>3403</v>
      </c>
      <c r="D175" s="1224" t="s">
        <v>3404</v>
      </c>
      <c r="E175" s="1224" t="s">
        <v>3405</v>
      </c>
      <c r="F175" s="1224" t="s">
        <v>3406</v>
      </c>
      <c r="G175" s="1224" t="s">
        <v>3370</v>
      </c>
      <c r="H175" s="1224" t="s">
        <v>3407</v>
      </c>
      <c r="I175" s="1224" t="s">
        <v>3408</v>
      </c>
      <c r="J175" s="1224" t="s">
        <v>3409</v>
      </c>
      <c r="K175" s="1224" t="s">
        <v>3410</v>
      </c>
      <c r="L175" s="1224" t="s">
        <v>3411</v>
      </c>
      <c r="M175" s="1224" t="s">
        <v>3412</v>
      </c>
      <c r="N175" s="1224"/>
      <c r="O175" s="1224"/>
      <c r="P175" s="1224"/>
      <c r="Q175" s="1224"/>
      <c r="R175" s="1224"/>
      <c r="S175" s="1224"/>
      <c r="T175" s="1224"/>
      <c r="U175" s="1224"/>
      <c r="V175" s="1224"/>
      <c r="W175" s="1224"/>
      <c r="X175" s="1224"/>
      <c r="Y175" s="1224"/>
      <c r="Z175" s="1227"/>
    </row>
    <row r="176" spans="1:26" ht="86.4" x14ac:dyDescent="0.3">
      <c r="A176" s="1501" t="s">
        <v>3413</v>
      </c>
      <c r="B176" s="1226" t="s">
        <v>3414</v>
      </c>
      <c r="C176" s="1226" t="s">
        <v>3415</v>
      </c>
      <c r="D176" s="1226" t="s">
        <v>3416</v>
      </c>
      <c r="E176" s="1226" t="s">
        <v>3417</v>
      </c>
      <c r="F176" s="1226" t="s">
        <v>3418</v>
      </c>
      <c r="G176" s="1226" t="s">
        <v>3370</v>
      </c>
      <c r="H176" s="1226" t="s">
        <v>3419</v>
      </c>
      <c r="I176" s="1226" t="s">
        <v>3420</v>
      </c>
      <c r="J176" s="1226" t="s">
        <v>3421</v>
      </c>
      <c r="K176" s="1226" t="s">
        <v>3422</v>
      </c>
      <c r="L176" s="1226" t="s">
        <v>3423</v>
      </c>
      <c r="M176" s="1226" t="s">
        <v>3424</v>
      </c>
      <c r="N176" s="1226"/>
      <c r="O176" s="1226"/>
      <c r="P176" s="1226"/>
      <c r="Q176" s="1226"/>
      <c r="R176" s="1226"/>
      <c r="S176" s="1226"/>
      <c r="T176" s="1226"/>
      <c r="U176" s="1226"/>
      <c r="V176" s="1226"/>
      <c r="W176" s="1226"/>
      <c r="X176" s="1226"/>
      <c r="Y176" s="1226"/>
      <c r="Z176" s="1228"/>
    </row>
    <row r="177" spans="1:26" ht="64.8" x14ac:dyDescent="0.3">
      <c r="A177" s="1501" t="s">
        <v>3425</v>
      </c>
      <c r="B177" s="1224" t="s">
        <v>3426</v>
      </c>
      <c r="C177" s="1224" t="s">
        <v>3427</v>
      </c>
      <c r="D177" s="1224" t="s">
        <v>3428</v>
      </c>
      <c r="E177" s="1224" t="s">
        <v>3429</v>
      </c>
      <c r="F177" s="1224" t="s">
        <v>389</v>
      </c>
      <c r="G177" s="1224" t="s">
        <v>3370</v>
      </c>
      <c r="H177" s="1224" t="s">
        <v>3430</v>
      </c>
      <c r="I177" s="1224" t="s">
        <v>3431</v>
      </c>
      <c r="J177" s="1224" t="s">
        <v>3432</v>
      </c>
      <c r="K177" s="1224" t="s">
        <v>3433</v>
      </c>
      <c r="L177" s="1224" t="s">
        <v>3434</v>
      </c>
      <c r="M177" s="1224" t="s">
        <v>3435</v>
      </c>
      <c r="N177" s="1224"/>
      <c r="O177" s="1224"/>
      <c r="P177" s="1224"/>
      <c r="Q177" s="1224"/>
      <c r="R177" s="1224"/>
      <c r="S177" s="1224"/>
      <c r="T177" s="1224"/>
      <c r="U177" s="1224"/>
      <c r="V177" s="1224"/>
      <c r="W177" s="1224"/>
      <c r="X177" s="1224"/>
      <c r="Y177" s="1224"/>
      <c r="Z177" s="1227"/>
    </row>
    <row r="178" spans="1:26" ht="409.6" x14ac:dyDescent="0.3">
      <c r="A178" s="1501" t="s">
        <v>3436</v>
      </c>
      <c r="B178" s="1226"/>
      <c r="C178" s="1226"/>
      <c r="D178" s="1226"/>
      <c r="E178" s="1226"/>
      <c r="F178" s="1226"/>
      <c r="G178" s="1226"/>
      <c r="H178" s="1226"/>
      <c r="I178" s="1226"/>
      <c r="J178" s="1226"/>
      <c r="K178" s="1226"/>
      <c r="L178" s="1226"/>
      <c r="M178" s="1226"/>
      <c r="N178" s="1226"/>
      <c r="O178" s="1226"/>
      <c r="P178" s="1226"/>
      <c r="Q178" s="1226"/>
      <c r="R178" s="1226"/>
      <c r="S178" s="1226"/>
      <c r="T178" s="1226"/>
      <c r="U178" s="1226"/>
      <c r="V178" s="1226"/>
      <c r="W178" s="1226"/>
      <c r="X178" s="1226"/>
      <c r="Y178" s="1226"/>
      <c r="Z178" s="1228"/>
    </row>
    <row r="179" spans="1:26" ht="194.4" x14ac:dyDescent="0.3">
      <c r="A179" s="1952" t="s">
        <v>3437</v>
      </c>
      <c r="B179" s="1224"/>
      <c r="C179" s="1224"/>
      <c r="D179" s="1224"/>
      <c r="E179" s="1224"/>
      <c r="F179" s="1224"/>
      <c r="G179" s="1224"/>
      <c r="H179" s="1224"/>
      <c r="I179" s="1224"/>
      <c r="J179" s="1224"/>
      <c r="K179" s="1224"/>
      <c r="L179" s="1224"/>
      <c r="M179" s="1224"/>
      <c r="N179" s="1224"/>
      <c r="O179" s="1224"/>
      <c r="P179" s="1224"/>
      <c r="Q179" s="1224"/>
      <c r="R179" s="1224"/>
      <c r="S179" s="1224"/>
      <c r="T179" s="1224"/>
      <c r="U179" s="1224"/>
      <c r="V179" s="1224"/>
      <c r="W179" s="1224"/>
      <c r="X179" s="1224"/>
      <c r="Y179" s="1224"/>
      <c r="Z179" s="1227"/>
    </row>
    <row r="180" spans="1:26" ht="32.4" x14ac:dyDescent="0.3">
      <c r="A180" s="1501" t="s">
        <v>3438</v>
      </c>
      <c r="B180" s="1226" t="s">
        <v>1461</v>
      </c>
      <c r="C180" s="1226" t="s">
        <v>3439</v>
      </c>
      <c r="D180" s="1226" t="s">
        <v>3440</v>
      </c>
      <c r="E180" s="1226" t="s">
        <v>3441</v>
      </c>
      <c r="F180" s="1226"/>
      <c r="G180" s="1226"/>
      <c r="H180" s="1226"/>
      <c r="I180" s="1226"/>
      <c r="J180" s="1226"/>
      <c r="K180" s="1226"/>
      <c r="L180" s="1226"/>
      <c r="M180" s="1226"/>
      <c r="N180" s="1226"/>
      <c r="O180" s="1226"/>
      <c r="P180" s="1226"/>
      <c r="Q180" s="1226"/>
      <c r="R180" s="1226"/>
      <c r="S180" s="1226"/>
      <c r="T180" s="1226"/>
      <c r="U180" s="1226"/>
      <c r="V180" s="1226"/>
      <c r="W180" s="1226"/>
      <c r="X180" s="1226"/>
      <c r="Y180" s="1226"/>
      <c r="Z180" s="1228"/>
    </row>
    <row r="181" spans="1:26" ht="54" x14ac:dyDescent="0.3">
      <c r="A181" s="1501" t="s">
        <v>3442</v>
      </c>
      <c r="B181" s="1224" t="s">
        <v>4401</v>
      </c>
      <c r="C181" s="1224" t="s">
        <v>4421</v>
      </c>
      <c r="D181" s="1224" t="s">
        <v>3443</v>
      </c>
      <c r="E181" s="1224"/>
      <c r="F181" s="1224"/>
      <c r="G181" s="1224"/>
      <c r="H181" s="1224"/>
      <c r="I181" s="1224"/>
      <c r="J181" s="1224"/>
      <c r="K181" s="1224"/>
      <c r="L181" s="1224"/>
      <c r="M181" s="1224"/>
      <c r="N181" s="1224"/>
      <c r="O181" s="1224"/>
      <c r="P181" s="1224"/>
      <c r="Q181" s="1224"/>
      <c r="R181" s="1224"/>
      <c r="S181" s="1224"/>
      <c r="T181" s="1224"/>
      <c r="U181" s="1224"/>
      <c r="V181" s="1224"/>
      <c r="W181" s="1224"/>
      <c r="X181" s="1224"/>
      <c r="Y181" s="1224"/>
      <c r="Z181" s="1227"/>
    </row>
    <row r="182" spans="1:26" ht="54" x14ac:dyDescent="0.3">
      <c r="A182" s="1501" t="s">
        <v>3444</v>
      </c>
      <c r="B182" s="1226" t="s">
        <v>4422</v>
      </c>
      <c r="C182" s="1226" t="s">
        <v>4423</v>
      </c>
      <c r="D182" s="1226" t="s">
        <v>3445</v>
      </c>
      <c r="E182" s="1226" t="s">
        <v>3446</v>
      </c>
      <c r="F182" s="1226"/>
      <c r="G182" s="1226"/>
      <c r="H182" s="1226"/>
      <c r="I182" s="1226"/>
      <c r="J182" s="1226"/>
      <c r="K182" s="1226"/>
      <c r="L182" s="1226"/>
      <c r="M182" s="1226"/>
      <c r="N182" s="1226"/>
      <c r="O182" s="1226"/>
      <c r="P182" s="1226"/>
      <c r="Q182" s="1226"/>
      <c r="R182" s="1226"/>
      <c r="S182" s="1226"/>
      <c r="T182" s="1226"/>
      <c r="U182" s="1226"/>
      <c r="V182" s="1226"/>
      <c r="W182" s="1226"/>
      <c r="X182" s="1226"/>
      <c r="Y182" s="1226"/>
      <c r="Z182" s="1228"/>
    </row>
    <row r="183" spans="1:26" ht="43.2" x14ac:dyDescent="0.3">
      <c r="A183" s="1501" t="s">
        <v>3447</v>
      </c>
      <c r="B183" s="1224" t="s">
        <v>4424</v>
      </c>
      <c r="C183" s="1224" t="s">
        <v>4425</v>
      </c>
      <c r="D183" s="1224" t="s">
        <v>3448</v>
      </c>
      <c r="E183" s="1224" t="s">
        <v>3449</v>
      </c>
      <c r="F183" s="1224"/>
      <c r="G183" s="1224"/>
      <c r="H183" s="1224"/>
      <c r="I183" s="1224"/>
      <c r="J183" s="1224"/>
      <c r="K183" s="1224"/>
      <c r="L183" s="1224"/>
      <c r="M183" s="1224"/>
      <c r="N183" s="1224"/>
      <c r="O183" s="1224"/>
      <c r="P183" s="1224"/>
      <c r="Q183" s="1224"/>
      <c r="R183" s="1224"/>
      <c r="S183" s="1224"/>
      <c r="T183" s="1224"/>
      <c r="U183" s="1224"/>
      <c r="V183" s="1224"/>
      <c r="W183" s="1224"/>
      <c r="X183" s="1224"/>
      <c r="Y183" s="1224"/>
      <c r="Z183" s="1227"/>
    </row>
    <row r="184" spans="1:26" ht="64.8" x14ac:dyDescent="0.3">
      <c r="A184" s="1501" t="s">
        <v>3450</v>
      </c>
      <c r="B184" s="1226" t="s">
        <v>4403</v>
      </c>
      <c r="C184" s="1226" t="s">
        <v>4426</v>
      </c>
      <c r="D184" s="1226" t="s">
        <v>4427</v>
      </c>
      <c r="E184" s="1226"/>
      <c r="F184" s="1226"/>
      <c r="G184" s="1226"/>
      <c r="H184" s="1226"/>
      <c r="I184" s="1226"/>
      <c r="J184" s="1226"/>
      <c r="K184" s="1226"/>
      <c r="L184" s="1226"/>
      <c r="M184" s="1226"/>
      <c r="N184" s="1226"/>
      <c r="O184" s="1226"/>
      <c r="P184" s="1226"/>
      <c r="Q184" s="1226"/>
      <c r="R184" s="1226"/>
      <c r="S184" s="1226"/>
      <c r="T184" s="1226"/>
      <c r="U184" s="1226"/>
      <c r="V184" s="1226"/>
      <c r="W184" s="1226"/>
      <c r="X184" s="1226"/>
      <c r="Y184" s="1226"/>
      <c r="Z184" s="1228"/>
    </row>
    <row r="185" spans="1:26" ht="43.2" x14ac:dyDescent="0.3">
      <c r="A185" s="1501" t="s">
        <v>3451</v>
      </c>
      <c r="B185" s="1224" t="s">
        <v>4405</v>
      </c>
      <c r="C185" s="1224" t="s">
        <v>4428</v>
      </c>
      <c r="D185" s="1224" t="s">
        <v>4429</v>
      </c>
      <c r="E185" s="1224"/>
      <c r="F185" s="1224"/>
      <c r="G185" s="1224"/>
      <c r="H185" s="1224"/>
      <c r="I185" s="1224"/>
      <c r="J185" s="1224"/>
      <c r="K185" s="1224"/>
      <c r="L185" s="1224"/>
      <c r="M185" s="1224"/>
      <c r="N185" s="1224"/>
      <c r="O185" s="1224"/>
      <c r="P185" s="1224"/>
      <c r="Q185" s="1224"/>
      <c r="R185" s="1224"/>
      <c r="S185" s="1224"/>
      <c r="T185" s="1224"/>
      <c r="U185" s="1224"/>
      <c r="V185" s="1224"/>
      <c r="W185" s="1224"/>
      <c r="X185" s="1224"/>
      <c r="Y185" s="1224"/>
      <c r="Z185" s="1227"/>
    </row>
    <row r="186" spans="1:26" ht="75.599999999999994" x14ac:dyDescent="0.3">
      <c r="A186" s="1501" t="s">
        <v>3452</v>
      </c>
      <c r="B186" s="1497">
        <v>46042</v>
      </c>
      <c r="C186" s="1226" t="s">
        <v>4430</v>
      </c>
      <c r="D186" s="1226" t="s">
        <v>4431</v>
      </c>
      <c r="E186" s="1226" t="s">
        <v>3453</v>
      </c>
      <c r="F186" s="1226"/>
      <c r="G186" s="1226"/>
      <c r="H186" s="1226"/>
      <c r="I186" s="1226"/>
      <c r="J186" s="1226"/>
      <c r="K186" s="1226"/>
      <c r="L186" s="1226"/>
      <c r="M186" s="1226"/>
      <c r="N186" s="1226"/>
      <c r="O186" s="1226"/>
      <c r="P186" s="1226"/>
      <c r="Q186" s="1226"/>
      <c r="R186" s="1226"/>
      <c r="S186" s="1226"/>
      <c r="T186" s="1226"/>
      <c r="U186" s="1226"/>
      <c r="V186" s="1226"/>
      <c r="W186" s="1226"/>
      <c r="X186" s="1226"/>
      <c r="Y186" s="1226"/>
      <c r="Z186" s="1228"/>
    </row>
    <row r="187" spans="1:26" ht="86.4" x14ac:dyDescent="0.3">
      <c r="A187" s="1501" t="s">
        <v>3454</v>
      </c>
      <c r="B187" s="1498">
        <v>46162</v>
      </c>
      <c r="C187" s="1224" t="s">
        <v>4432</v>
      </c>
      <c r="D187" s="1224" t="s">
        <v>4433</v>
      </c>
      <c r="E187" s="1224"/>
      <c r="F187" s="1224"/>
      <c r="G187" s="1224"/>
      <c r="H187" s="1224"/>
      <c r="I187" s="1224"/>
      <c r="J187" s="1224"/>
      <c r="K187" s="1224"/>
      <c r="L187" s="1224"/>
      <c r="M187" s="1224"/>
      <c r="N187" s="1224"/>
      <c r="O187" s="1224"/>
      <c r="P187" s="1224"/>
      <c r="Q187" s="1224"/>
      <c r="R187" s="1224"/>
      <c r="S187" s="1224"/>
      <c r="T187" s="1224"/>
      <c r="U187" s="1224"/>
      <c r="V187" s="1224"/>
      <c r="W187" s="1224"/>
      <c r="X187" s="1224"/>
      <c r="Y187" s="1224"/>
      <c r="Z187" s="1227"/>
    </row>
    <row r="188" spans="1:26" ht="75.599999999999994" x14ac:dyDescent="0.3">
      <c r="A188" s="1501" t="s">
        <v>3455</v>
      </c>
      <c r="B188" s="1226" t="s">
        <v>4434</v>
      </c>
      <c r="C188" s="1226" t="s">
        <v>4435</v>
      </c>
      <c r="D188" s="1226" t="s">
        <v>4436</v>
      </c>
      <c r="E188" s="1226"/>
      <c r="F188" s="1226"/>
      <c r="G188" s="1226"/>
      <c r="H188" s="1226"/>
      <c r="I188" s="1226"/>
      <c r="J188" s="1226"/>
      <c r="K188" s="1226"/>
      <c r="L188" s="1226"/>
      <c r="M188" s="1226"/>
      <c r="N188" s="1226"/>
      <c r="O188" s="1226"/>
      <c r="P188" s="1226"/>
      <c r="Q188" s="1226"/>
      <c r="R188" s="1226"/>
      <c r="S188" s="1226"/>
      <c r="T188" s="1226"/>
      <c r="U188" s="1226"/>
      <c r="V188" s="1226"/>
      <c r="W188" s="1226"/>
      <c r="X188" s="1226"/>
      <c r="Y188" s="1226"/>
      <c r="Z188" s="1228"/>
    </row>
    <row r="189" spans="1:26" ht="86.4" x14ac:dyDescent="0.3">
      <c r="A189" s="1501" t="s">
        <v>3456</v>
      </c>
      <c r="B189" s="1224" t="s">
        <v>3457</v>
      </c>
      <c r="C189" s="1224" t="s">
        <v>4437</v>
      </c>
      <c r="D189" s="1224" t="s">
        <v>3458</v>
      </c>
      <c r="E189" s="1224" t="s">
        <v>3459</v>
      </c>
      <c r="F189" s="1224"/>
      <c r="G189" s="1224"/>
      <c r="H189" s="1224"/>
      <c r="I189" s="1224"/>
      <c r="J189" s="1224"/>
      <c r="K189" s="1224"/>
      <c r="L189" s="1224"/>
      <c r="M189" s="1224"/>
      <c r="N189" s="1224"/>
      <c r="O189" s="1224"/>
      <c r="P189" s="1224"/>
      <c r="Q189" s="1224"/>
      <c r="R189" s="1224"/>
      <c r="S189" s="1224"/>
      <c r="T189" s="1224"/>
      <c r="U189" s="1224"/>
      <c r="V189" s="1224"/>
      <c r="W189" s="1224"/>
      <c r="X189" s="1224"/>
      <c r="Y189" s="1224"/>
      <c r="Z189" s="1227"/>
    </row>
    <row r="190" spans="1:26" ht="75.599999999999994" x14ac:dyDescent="0.3">
      <c r="A190" s="1501" t="s">
        <v>3460</v>
      </c>
      <c r="B190" s="1226" t="s">
        <v>4438</v>
      </c>
      <c r="C190" s="1226" t="s">
        <v>4439</v>
      </c>
      <c r="D190" s="1226" t="s">
        <v>3461</v>
      </c>
      <c r="E190" s="1226"/>
      <c r="F190" s="1226"/>
      <c r="G190" s="1226"/>
      <c r="H190" s="1226"/>
      <c r="I190" s="1226"/>
      <c r="J190" s="1226"/>
      <c r="K190" s="1226"/>
      <c r="L190" s="1226"/>
      <c r="M190" s="1226"/>
      <c r="N190" s="1226"/>
      <c r="O190" s="1226"/>
      <c r="P190" s="1226"/>
      <c r="Q190" s="1226"/>
      <c r="R190" s="1226"/>
      <c r="S190" s="1226"/>
      <c r="T190" s="1226"/>
      <c r="U190" s="1226"/>
      <c r="V190" s="1226"/>
      <c r="W190" s="1226"/>
      <c r="X190" s="1226"/>
      <c r="Y190" s="1226"/>
      <c r="Z190" s="1228"/>
    </row>
    <row r="191" spans="1:26" ht="97.2" x14ac:dyDescent="0.3">
      <c r="A191" s="1501" t="s">
        <v>3462</v>
      </c>
      <c r="B191" s="1224" t="s">
        <v>4440</v>
      </c>
      <c r="C191" s="1224" t="s">
        <v>4441</v>
      </c>
      <c r="D191" s="1224" t="s">
        <v>4442</v>
      </c>
      <c r="E191" s="1224" t="s">
        <v>3463</v>
      </c>
      <c r="F191" s="1224"/>
      <c r="G191" s="1224"/>
      <c r="H191" s="1224"/>
      <c r="I191" s="1224"/>
      <c r="J191" s="1224"/>
      <c r="K191" s="1224"/>
      <c r="L191" s="1224"/>
      <c r="M191" s="1224"/>
      <c r="N191" s="1224"/>
      <c r="O191" s="1224"/>
      <c r="P191" s="1224"/>
      <c r="Q191" s="1224"/>
      <c r="R191" s="1224"/>
      <c r="S191" s="1224"/>
      <c r="T191" s="1224"/>
      <c r="U191" s="1224"/>
      <c r="V191" s="1224"/>
      <c r="W191" s="1224"/>
      <c r="X191" s="1224"/>
      <c r="Y191" s="1224"/>
      <c r="Z191" s="1227"/>
    </row>
    <row r="192" spans="1:26" ht="64.8" x14ac:dyDescent="0.3">
      <c r="A192" s="1501" t="s">
        <v>3464</v>
      </c>
      <c r="B192" s="1226" t="s">
        <v>4443</v>
      </c>
      <c r="C192" s="1226" t="s">
        <v>4444</v>
      </c>
      <c r="D192" s="1226" t="s">
        <v>4445</v>
      </c>
      <c r="E192" s="1226" t="s">
        <v>3465</v>
      </c>
      <c r="F192" s="1226"/>
      <c r="G192" s="1226"/>
      <c r="H192" s="1226"/>
      <c r="I192" s="1226"/>
      <c r="J192" s="1226"/>
      <c r="K192" s="1226"/>
      <c r="L192" s="1226"/>
      <c r="M192" s="1226"/>
      <c r="N192" s="1226"/>
      <c r="O192" s="1226"/>
      <c r="P192" s="1226"/>
      <c r="Q192" s="1226"/>
      <c r="R192" s="1226"/>
      <c r="S192" s="1226"/>
      <c r="T192" s="1226"/>
      <c r="U192" s="1226"/>
      <c r="V192" s="1226"/>
      <c r="W192" s="1226"/>
      <c r="X192" s="1226"/>
      <c r="Y192" s="1226"/>
      <c r="Z192" s="1228"/>
    </row>
    <row r="193" spans="1:26" ht="226.8" x14ac:dyDescent="0.3">
      <c r="A193" s="1952" t="s">
        <v>3466</v>
      </c>
      <c r="B193" s="1224"/>
      <c r="C193" s="1224"/>
      <c r="D193" s="1224"/>
      <c r="E193" s="1224"/>
      <c r="F193" s="1224"/>
      <c r="G193" s="1224"/>
      <c r="H193" s="1224"/>
      <c r="I193" s="1224"/>
      <c r="J193" s="1224"/>
      <c r="K193" s="1224"/>
      <c r="L193" s="1224"/>
      <c r="M193" s="1224"/>
      <c r="N193" s="1224"/>
      <c r="O193" s="1224"/>
      <c r="P193" s="1224"/>
      <c r="Q193" s="1224"/>
      <c r="R193" s="1224"/>
      <c r="S193" s="1224"/>
      <c r="T193" s="1224"/>
      <c r="U193" s="1224"/>
      <c r="V193" s="1224"/>
      <c r="W193" s="1224"/>
      <c r="X193" s="1224"/>
      <c r="Y193" s="1224"/>
      <c r="Z193" s="1227"/>
    </row>
    <row r="194" spans="1:26" ht="41.4" x14ac:dyDescent="0.3">
      <c r="A194" s="1501" t="s">
        <v>888</v>
      </c>
      <c r="B194" s="1226" t="s">
        <v>3467</v>
      </c>
      <c r="C194" s="1226" t="s">
        <v>3468</v>
      </c>
      <c r="D194" s="1226" t="s">
        <v>3469</v>
      </c>
      <c r="E194" s="1226" t="s">
        <v>3470</v>
      </c>
      <c r="F194" s="1226" t="s">
        <v>671</v>
      </c>
      <c r="G194" s="1226" t="s">
        <v>30</v>
      </c>
      <c r="H194" s="1226" t="s">
        <v>2894</v>
      </c>
      <c r="I194" s="1226"/>
      <c r="J194" s="1226"/>
      <c r="K194" s="1226"/>
      <c r="L194" s="1226"/>
      <c r="M194" s="1226"/>
      <c r="N194" s="1226"/>
      <c r="O194" s="1226"/>
      <c r="P194" s="1226"/>
      <c r="Q194" s="1226"/>
      <c r="R194" s="1226"/>
      <c r="S194" s="1226"/>
      <c r="T194" s="1226"/>
      <c r="U194" s="1226"/>
      <c r="V194" s="1226"/>
      <c r="W194" s="1226"/>
      <c r="X194" s="1226"/>
      <c r="Y194" s="1226"/>
      <c r="Z194" s="1228"/>
    </row>
    <row r="195" spans="1:26" ht="82.8" x14ac:dyDescent="0.3">
      <c r="A195" s="1501" t="s">
        <v>3471</v>
      </c>
      <c r="B195" s="1224">
        <v>46089</v>
      </c>
      <c r="C195" s="1224" t="s">
        <v>3472</v>
      </c>
      <c r="D195" s="1224" t="s">
        <v>3473</v>
      </c>
      <c r="E195" s="1224" t="s">
        <v>3474</v>
      </c>
      <c r="F195" s="1224" t="s">
        <v>3475</v>
      </c>
      <c r="G195" s="1224" t="s">
        <v>3476</v>
      </c>
      <c r="H195" s="1224" t="s">
        <v>3477</v>
      </c>
      <c r="I195" s="1224"/>
      <c r="J195" s="1224"/>
      <c r="K195" s="1224"/>
      <c r="L195" s="1224"/>
      <c r="M195" s="1224"/>
      <c r="N195" s="1224"/>
      <c r="O195" s="1224"/>
      <c r="P195" s="1224"/>
      <c r="Q195" s="1224"/>
      <c r="R195" s="1224"/>
      <c r="S195" s="1224"/>
      <c r="T195" s="1224"/>
      <c r="U195" s="1224"/>
      <c r="V195" s="1224"/>
      <c r="W195" s="1224"/>
      <c r="X195" s="1224"/>
      <c r="Y195" s="1224"/>
      <c r="Z195" s="1227"/>
    </row>
    <row r="196" spans="1:26" ht="96.6" x14ac:dyDescent="0.3">
      <c r="A196" s="1501" t="s">
        <v>3471</v>
      </c>
      <c r="B196" s="1499">
        <v>46237</v>
      </c>
      <c r="C196" s="1226" t="s">
        <v>3478</v>
      </c>
      <c r="D196" s="1226" t="s">
        <v>3479</v>
      </c>
      <c r="E196" s="1226" t="s">
        <v>3474</v>
      </c>
      <c r="F196" s="1226" t="s">
        <v>3475</v>
      </c>
      <c r="G196" s="1226" t="s">
        <v>3476</v>
      </c>
      <c r="H196" s="1226" t="s">
        <v>3477</v>
      </c>
      <c r="I196" s="1226"/>
      <c r="J196" s="1226"/>
      <c r="K196" s="1226"/>
      <c r="L196" s="1226"/>
      <c r="M196" s="1226"/>
      <c r="N196" s="1226"/>
      <c r="O196" s="1226"/>
      <c r="P196" s="1226"/>
      <c r="Q196" s="1226"/>
      <c r="R196" s="1226"/>
      <c r="S196" s="1226"/>
      <c r="T196" s="1226"/>
      <c r="U196" s="1226"/>
      <c r="V196" s="1226"/>
      <c r="W196" s="1226"/>
      <c r="X196" s="1226"/>
      <c r="Y196" s="1226"/>
      <c r="Z196" s="1228"/>
    </row>
    <row r="197" spans="1:26" ht="69" x14ac:dyDescent="0.3">
      <c r="A197" s="1501"/>
      <c r="B197" s="1224" t="s">
        <v>3480</v>
      </c>
      <c r="C197" s="1224"/>
      <c r="D197" s="1224"/>
      <c r="E197" s="1224"/>
      <c r="F197" s="1224"/>
      <c r="G197" s="1224"/>
      <c r="H197" s="1224"/>
      <c r="I197" s="1224"/>
      <c r="J197" s="1224"/>
      <c r="K197" s="1224"/>
      <c r="L197" s="1224"/>
      <c r="M197" s="1224"/>
      <c r="N197" s="1224"/>
      <c r="O197" s="1224"/>
      <c r="P197" s="1224"/>
      <c r="Q197" s="1224"/>
      <c r="R197" s="1224"/>
      <c r="S197" s="1224"/>
      <c r="T197" s="1224"/>
      <c r="U197" s="1224"/>
      <c r="V197" s="1224"/>
      <c r="W197" s="1224"/>
      <c r="X197" s="1224"/>
      <c r="Y197" s="1224"/>
      <c r="Z197" s="1227"/>
    </row>
    <row r="198" spans="1:26" x14ac:dyDescent="0.3">
      <c r="A198" s="1501"/>
      <c r="B198" s="1226"/>
      <c r="C198" s="1226"/>
      <c r="D198" s="1226"/>
      <c r="E198" s="1226"/>
      <c r="F198" s="1226"/>
      <c r="G198" s="1226"/>
      <c r="H198" s="1226"/>
      <c r="I198" s="1226"/>
      <c r="J198" s="1226"/>
      <c r="K198" s="1226"/>
      <c r="L198" s="1226"/>
      <c r="M198" s="1226"/>
      <c r="N198" s="1226"/>
      <c r="O198" s="1226"/>
      <c r="P198" s="1226"/>
      <c r="Q198" s="1226"/>
      <c r="R198" s="1226"/>
      <c r="S198" s="1226"/>
      <c r="T198" s="1226"/>
      <c r="U198" s="1226"/>
      <c r="V198" s="1226"/>
      <c r="W198" s="1226"/>
      <c r="X198" s="1226"/>
      <c r="Y198" s="1226"/>
      <c r="Z198" s="1228"/>
    </row>
    <row r="199" spans="1:26" x14ac:dyDescent="0.3">
      <c r="A199" s="1501"/>
      <c r="B199" s="1224"/>
      <c r="C199" s="1224"/>
      <c r="D199" s="1224"/>
      <c r="E199" s="1224"/>
      <c r="F199" s="1224"/>
      <c r="G199" s="1224"/>
      <c r="H199" s="1224"/>
      <c r="I199" s="1224"/>
      <c r="J199" s="1224"/>
      <c r="K199" s="1224"/>
      <c r="L199" s="1224"/>
      <c r="M199" s="1224"/>
      <c r="N199" s="1224"/>
      <c r="O199" s="1224"/>
      <c r="P199" s="1224"/>
      <c r="Q199" s="1224"/>
      <c r="R199" s="1224"/>
      <c r="S199" s="1224"/>
      <c r="T199" s="1224"/>
      <c r="U199" s="1224"/>
      <c r="V199" s="1224"/>
      <c r="W199" s="1224"/>
      <c r="X199" s="1224"/>
      <c r="Y199" s="1224"/>
      <c r="Z199" s="1227"/>
    </row>
    <row r="200" spans="1:26" x14ac:dyDescent="0.3">
      <c r="A200" s="1501"/>
      <c r="B200" s="1226"/>
      <c r="C200" s="1226"/>
      <c r="D200" s="1226"/>
      <c r="E200" s="1226"/>
      <c r="F200" s="1226"/>
      <c r="G200" s="1226"/>
      <c r="H200" s="1226"/>
      <c r="I200" s="1226"/>
      <c r="J200" s="1226"/>
      <c r="K200" s="1226"/>
      <c r="L200" s="1226"/>
      <c r="M200" s="1226"/>
      <c r="N200" s="1226"/>
      <c r="O200" s="1226"/>
      <c r="P200" s="1226"/>
      <c r="Q200" s="1226"/>
      <c r="R200" s="1226"/>
      <c r="S200" s="1226"/>
      <c r="T200" s="1226"/>
      <c r="U200" s="1226"/>
      <c r="V200" s="1226"/>
      <c r="W200" s="1226"/>
      <c r="X200" s="1226"/>
      <c r="Y200" s="1226"/>
      <c r="Z200" s="1228"/>
    </row>
    <row r="201" spans="1:26" x14ac:dyDescent="0.3">
      <c r="A201" s="1501"/>
      <c r="B201" s="1224"/>
      <c r="C201" s="1224"/>
      <c r="D201" s="1224"/>
      <c r="E201" s="1224"/>
      <c r="F201" s="1224"/>
      <c r="G201" s="1224"/>
      <c r="H201" s="1224"/>
      <c r="I201" s="1224"/>
      <c r="J201" s="1224"/>
      <c r="K201" s="1224"/>
      <c r="L201" s="1224"/>
      <c r="M201" s="1224"/>
      <c r="N201" s="1224"/>
      <c r="O201" s="1224"/>
      <c r="P201" s="1224"/>
      <c r="Q201" s="1224"/>
      <c r="R201" s="1224"/>
      <c r="S201" s="1224"/>
      <c r="T201" s="1224"/>
      <c r="U201" s="1224"/>
      <c r="V201" s="1224"/>
      <c r="W201" s="1224"/>
      <c r="X201" s="1224"/>
      <c r="Y201" s="1224"/>
      <c r="Z201" s="1227"/>
    </row>
    <row r="202" spans="1:26" x14ac:dyDescent="0.3">
      <c r="A202" s="1501"/>
      <c r="B202" s="1226"/>
      <c r="C202" s="1226"/>
      <c r="D202" s="1226"/>
      <c r="E202" s="1226"/>
      <c r="F202" s="1226"/>
      <c r="G202" s="1226"/>
      <c r="H202" s="1226"/>
      <c r="I202" s="1226"/>
      <c r="J202" s="1226"/>
      <c r="K202" s="1226"/>
      <c r="L202" s="1226"/>
      <c r="M202" s="1226"/>
      <c r="N202" s="1226"/>
      <c r="O202" s="1226"/>
      <c r="P202" s="1226"/>
      <c r="Q202" s="1226"/>
      <c r="R202" s="1226"/>
      <c r="S202" s="1226"/>
      <c r="T202" s="1226"/>
      <c r="U202" s="1226"/>
      <c r="V202" s="1226"/>
      <c r="W202" s="1226"/>
      <c r="X202" s="1226"/>
      <c r="Y202" s="1226"/>
      <c r="Z202" s="1228"/>
    </row>
    <row r="203" spans="1:26" x14ac:dyDescent="0.3">
      <c r="A203" s="1501"/>
      <c r="B203" s="1224"/>
      <c r="C203" s="1224"/>
      <c r="D203" s="1224"/>
      <c r="E203" s="1224"/>
      <c r="F203" s="1224"/>
      <c r="G203" s="1224"/>
      <c r="H203" s="1224"/>
      <c r="I203" s="1224"/>
      <c r="J203" s="1224"/>
      <c r="K203" s="1224"/>
      <c r="L203" s="1224"/>
      <c r="M203" s="1224"/>
      <c r="N203" s="1224"/>
      <c r="O203" s="1224"/>
      <c r="P203" s="1224"/>
      <c r="Q203" s="1224"/>
      <c r="R203" s="1224"/>
      <c r="S203" s="1224"/>
      <c r="T203" s="1224"/>
      <c r="U203" s="1224"/>
      <c r="V203" s="1224"/>
      <c r="W203" s="1224"/>
      <c r="X203" s="1224"/>
      <c r="Y203" s="1224"/>
      <c r="Z203" s="1227"/>
    </row>
    <row r="204" spans="1:26" x14ac:dyDescent="0.3">
      <c r="A204" s="1501"/>
      <c r="B204" s="1226"/>
      <c r="C204" s="1226"/>
      <c r="D204" s="1226"/>
      <c r="E204" s="1226"/>
      <c r="F204" s="1226"/>
      <c r="G204" s="1226"/>
      <c r="H204" s="1226"/>
      <c r="I204" s="1226"/>
      <c r="J204" s="1226"/>
      <c r="K204" s="1226"/>
      <c r="L204" s="1226"/>
      <c r="M204" s="1226"/>
      <c r="N204" s="1226"/>
      <c r="O204" s="1226"/>
      <c r="P204" s="1226"/>
      <c r="Q204" s="1226"/>
      <c r="R204" s="1226"/>
      <c r="S204" s="1226"/>
      <c r="T204" s="1226"/>
      <c r="U204" s="1226"/>
      <c r="V204" s="1226"/>
      <c r="W204" s="1226"/>
      <c r="X204" s="1226"/>
      <c r="Y204" s="1226"/>
      <c r="Z204" s="1228"/>
    </row>
    <row r="205" spans="1:26" x14ac:dyDescent="0.3">
      <c r="A205" s="1501"/>
      <c r="B205" s="1224"/>
      <c r="C205" s="1224"/>
      <c r="D205" s="1224"/>
      <c r="E205" s="1224"/>
      <c r="F205" s="1224"/>
      <c r="G205" s="1224"/>
      <c r="H205" s="1224"/>
      <c r="I205" s="1224"/>
      <c r="J205" s="1224"/>
      <c r="K205" s="1224"/>
      <c r="L205" s="1224"/>
      <c r="M205" s="1224"/>
      <c r="N205" s="1224"/>
      <c r="O205" s="1224"/>
      <c r="P205" s="1224"/>
      <c r="Q205" s="1224"/>
      <c r="R205" s="1224"/>
      <c r="S205" s="1224"/>
      <c r="T205" s="1224"/>
      <c r="U205" s="1224"/>
      <c r="V205" s="1224"/>
      <c r="W205" s="1224"/>
      <c r="X205" s="1224"/>
      <c r="Y205" s="1224"/>
      <c r="Z205" s="1227"/>
    </row>
    <row r="206" spans="1:26" x14ac:dyDescent="0.3">
      <c r="A206" s="1501"/>
      <c r="B206" s="1226"/>
      <c r="C206" s="1226"/>
      <c r="D206" s="1226"/>
      <c r="E206" s="1226"/>
      <c r="F206" s="1226"/>
      <c r="G206" s="1226"/>
      <c r="H206" s="1226"/>
      <c r="I206" s="1226"/>
      <c r="J206" s="1226"/>
      <c r="K206" s="1226"/>
      <c r="L206" s="1226"/>
      <c r="M206" s="1226"/>
      <c r="N206" s="1226"/>
      <c r="O206" s="1226"/>
      <c r="P206" s="1226"/>
      <c r="Q206" s="1226"/>
      <c r="R206" s="1226"/>
      <c r="S206" s="1226"/>
      <c r="T206" s="1226"/>
      <c r="U206" s="1226"/>
      <c r="V206" s="1226"/>
      <c r="W206" s="1226"/>
      <c r="X206" s="1226"/>
      <c r="Y206" s="1226"/>
      <c r="Z206" s="1228"/>
    </row>
    <row r="207" spans="1:26" x14ac:dyDescent="0.3">
      <c r="A207" s="1501"/>
      <c r="B207" s="1224"/>
      <c r="C207" s="1224"/>
      <c r="D207" s="1224"/>
      <c r="E207" s="1224"/>
      <c r="F207" s="1224"/>
      <c r="G207" s="1224"/>
      <c r="H207" s="1224"/>
      <c r="I207" s="1224"/>
      <c r="J207" s="1224"/>
      <c r="K207" s="1224"/>
      <c r="L207" s="1224"/>
      <c r="M207" s="1224"/>
      <c r="N207" s="1224"/>
      <c r="O207" s="1224"/>
      <c r="P207" s="1224"/>
      <c r="Q207" s="1224"/>
      <c r="R207" s="1224"/>
      <c r="S207" s="1224"/>
      <c r="T207" s="1224"/>
      <c r="U207" s="1224"/>
      <c r="V207" s="1224"/>
      <c r="W207" s="1224"/>
      <c r="X207" s="1224"/>
      <c r="Y207" s="1224"/>
      <c r="Z207" s="1227"/>
    </row>
    <row r="208" spans="1:26" x14ac:dyDescent="0.3">
      <c r="A208" s="1501"/>
      <c r="B208" s="1226"/>
      <c r="C208" s="1226"/>
      <c r="D208" s="1226"/>
      <c r="E208" s="1226"/>
      <c r="F208" s="1226"/>
      <c r="G208" s="1226"/>
      <c r="H208" s="1226"/>
      <c r="I208" s="1226"/>
      <c r="J208" s="1226"/>
      <c r="K208" s="1226"/>
      <c r="L208" s="1226"/>
      <c r="M208" s="1226"/>
      <c r="N208" s="1226"/>
      <c r="O208" s="1226"/>
      <c r="P208" s="1226"/>
      <c r="Q208" s="1226"/>
      <c r="R208" s="1226"/>
      <c r="S208" s="1226"/>
      <c r="T208" s="1226"/>
      <c r="U208" s="1226"/>
      <c r="V208" s="1226"/>
      <c r="W208" s="1226"/>
      <c r="X208" s="1226"/>
      <c r="Y208" s="1226"/>
      <c r="Z208" s="1228"/>
    </row>
    <row r="209" spans="1:26" x14ac:dyDescent="0.3">
      <c r="A209" s="1501"/>
      <c r="B209" s="1224"/>
      <c r="C209" s="1224"/>
      <c r="D209" s="1224"/>
      <c r="E209" s="1224"/>
      <c r="F209" s="1224"/>
      <c r="G209" s="1224"/>
      <c r="H209" s="1224"/>
      <c r="I209" s="1224"/>
      <c r="J209" s="1224"/>
      <c r="K209" s="1224"/>
      <c r="L209" s="1224"/>
      <c r="M209" s="1224"/>
      <c r="N209" s="1224"/>
      <c r="O209" s="1224"/>
      <c r="P209" s="1224"/>
      <c r="Q209" s="1224"/>
      <c r="R209" s="1224"/>
      <c r="S209" s="1224"/>
      <c r="T209" s="1224"/>
      <c r="U209" s="1224"/>
      <c r="V209" s="1224"/>
      <c r="W209" s="1224"/>
      <c r="X209" s="1224"/>
      <c r="Y209" s="1224"/>
      <c r="Z209" s="1227"/>
    </row>
    <row r="210" spans="1:26" ht="226.8" x14ac:dyDescent="0.3">
      <c r="A210" s="1952" t="s">
        <v>3481</v>
      </c>
      <c r="B210" s="1226"/>
      <c r="C210" s="1226"/>
      <c r="D210" s="1226"/>
      <c r="E210" s="1226"/>
      <c r="F210" s="1226"/>
      <c r="G210" s="1226"/>
      <c r="H210" s="1226"/>
      <c r="I210" s="1226"/>
      <c r="J210" s="1226"/>
      <c r="K210" s="1226"/>
      <c r="L210" s="1226"/>
      <c r="M210" s="1226"/>
      <c r="N210" s="1226"/>
      <c r="O210" s="1226"/>
      <c r="P210" s="1226"/>
      <c r="Q210" s="1226"/>
      <c r="R210" s="1226"/>
      <c r="S210" s="1226"/>
      <c r="T210" s="1226"/>
      <c r="U210" s="1226"/>
      <c r="V210" s="1226"/>
      <c r="W210" s="1226"/>
      <c r="X210" s="1226"/>
      <c r="Y210" s="1226"/>
      <c r="Z210" s="1228"/>
    </row>
    <row r="211" spans="1:26" x14ac:dyDescent="0.3">
      <c r="A211" s="1501" t="s">
        <v>3482</v>
      </c>
      <c r="B211" s="1224" t="s">
        <v>3483</v>
      </c>
      <c r="C211" s="1224" t="s">
        <v>824</v>
      </c>
      <c r="D211" s="1224" t="s">
        <v>3484</v>
      </c>
      <c r="E211" s="1224" t="s">
        <v>101</v>
      </c>
      <c r="F211" s="1224" t="s">
        <v>102</v>
      </c>
      <c r="G211" s="1224" t="s">
        <v>30</v>
      </c>
      <c r="H211" s="1224"/>
      <c r="I211" s="1224"/>
      <c r="J211" s="1224"/>
      <c r="K211" s="1224"/>
      <c r="L211" s="1224"/>
      <c r="M211" s="1224"/>
      <c r="N211" s="1224"/>
      <c r="O211" s="1224"/>
      <c r="P211" s="1224"/>
      <c r="Q211" s="1224"/>
      <c r="R211" s="1224"/>
      <c r="S211" s="1224"/>
      <c r="T211" s="1224"/>
      <c r="U211" s="1224"/>
      <c r="V211" s="1224"/>
      <c r="W211" s="1224"/>
      <c r="X211" s="1224"/>
      <c r="Y211" s="1224"/>
      <c r="Z211" s="1227"/>
    </row>
    <row r="212" spans="1:26" ht="27.6" x14ac:dyDescent="0.3">
      <c r="A212" s="1503">
        <v>46087</v>
      </c>
      <c r="B212" s="1226" t="s">
        <v>3485</v>
      </c>
      <c r="C212" s="1226" t="s">
        <v>3486</v>
      </c>
      <c r="D212" s="1226" t="s">
        <v>3487</v>
      </c>
      <c r="E212" s="1226" t="s">
        <v>103</v>
      </c>
      <c r="F212" s="1226" t="s">
        <v>105</v>
      </c>
      <c r="G212" s="1226" t="s">
        <v>3370</v>
      </c>
      <c r="H212" s="1226"/>
      <c r="I212" s="1226"/>
      <c r="J212" s="1226"/>
      <c r="K212" s="1226"/>
      <c r="L212" s="1226"/>
      <c r="M212" s="1226"/>
      <c r="N212" s="1226"/>
      <c r="O212" s="1226"/>
      <c r="P212" s="1226"/>
      <c r="Q212" s="1226"/>
      <c r="R212" s="1226"/>
      <c r="S212" s="1226"/>
      <c r="T212" s="1226"/>
      <c r="U212" s="1226"/>
      <c r="V212" s="1226"/>
      <c r="W212" s="1226"/>
      <c r="X212" s="1226"/>
      <c r="Y212" s="1226"/>
      <c r="Z212" s="1228"/>
    </row>
    <row r="213" spans="1:26" ht="27.6" x14ac:dyDescent="0.3">
      <c r="A213" s="1501">
        <v>1</v>
      </c>
      <c r="B213" s="1224" t="s">
        <v>112</v>
      </c>
      <c r="C213" s="1224" t="s">
        <v>3488</v>
      </c>
      <c r="D213" s="1224" t="s">
        <v>3489</v>
      </c>
      <c r="E213" s="1224" t="s">
        <v>3490</v>
      </c>
      <c r="F213" s="1224" t="s">
        <v>103</v>
      </c>
      <c r="G213" s="1224" t="s">
        <v>3491</v>
      </c>
      <c r="H213" s="1224"/>
      <c r="I213" s="1224"/>
      <c r="J213" s="1224"/>
      <c r="K213" s="1224"/>
      <c r="L213" s="1224"/>
      <c r="M213" s="1224"/>
      <c r="N213" s="1224"/>
      <c r="O213" s="1224"/>
      <c r="P213" s="1224"/>
      <c r="Q213" s="1224"/>
      <c r="R213" s="1224"/>
      <c r="S213" s="1224"/>
      <c r="T213" s="1224"/>
      <c r="U213" s="1224"/>
      <c r="V213" s="1224"/>
      <c r="W213" s="1224"/>
      <c r="X213" s="1224"/>
      <c r="Y213" s="1224"/>
      <c r="Z213" s="1227"/>
    </row>
    <row r="214" spans="1:26" ht="27.6" x14ac:dyDescent="0.3">
      <c r="A214" s="1501">
        <v>2</v>
      </c>
      <c r="B214" s="1226" t="s">
        <v>270</v>
      </c>
      <c r="C214" s="1226" t="s">
        <v>3488</v>
      </c>
      <c r="D214" s="1226" t="s">
        <v>3492</v>
      </c>
      <c r="E214" s="1226" t="s">
        <v>103</v>
      </c>
      <c r="F214" s="1226" t="s">
        <v>3493</v>
      </c>
      <c r="G214" s="1226" t="s">
        <v>3491</v>
      </c>
      <c r="H214" s="1226"/>
      <c r="I214" s="1226"/>
      <c r="J214" s="1226"/>
      <c r="K214" s="1226"/>
      <c r="L214" s="1226"/>
      <c r="M214" s="1226"/>
      <c r="N214" s="1226"/>
      <c r="O214" s="1226"/>
      <c r="P214" s="1226"/>
      <c r="Q214" s="1226"/>
      <c r="R214" s="1226"/>
      <c r="S214" s="1226"/>
      <c r="T214" s="1226"/>
      <c r="U214" s="1226"/>
      <c r="V214" s="1226"/>
      <c r="W214" s="1226"/>
      <c r="X214" s="1226"/>
      <c r="Y214" s="1226"/>
      <c r="Z214" s="1228"/>
    </row>
    <row r="215" spans="1:26" ht="27.6" x14ac:dyDescent="0.3">
      <c r="A215" s="1501">
        <v>3</v>
      </c>
      <c r="B215" s="1224" t="s">
        <v>104</v>
      </c>
      <c r="C215" s="1224" t="s">
        <v>3488</v>
      </c>
      <c r="D215" s="1224" t="s">
        <v>3494</v>
      </c>
      <c r="E215" s="1224" t="s">
        <v>3495</v>
      </c>
      <c r="F215" s="1224" t="s">
        <v>105</v>
      </c>
      <c r="G215" s="1224" t="s">
        <v>3491</v>
      </c>
      <c r="H215" s="1224"/>
      <c r="I215" s="1224"/>
      <c r="J215" s="1224"/>
      <c r="K215" s="1224"/>
      <c r="L215" s="1224"/>
      <c r="M215" s="1224"/>
      <c r="N215" s="1224"/>
      <c r="O215" s="1224"/>
      <c r="P215" s="1224"/>
      <c r="Q215" s="1224"/>
      <c r="R215" s="1224"/>
      <c r="S215" s="1224"/>
      <c r="T215" s="1224"/>
      <c r="U215" s="1224"/>
      <c r="V215" s="1224"/>
      <c r="W215" s="1224"/>
      <c r="X215" s="1224"/>
      <c r="Y215" s="1224"/>
      <c r="Z215" s="1227"/>
    </row>
    <row r="216" spans="1:26" ht="41.4" x14ac:dyDescent="0.3">
      <c r="A216" s="1501">
        <v>4</v>
      </c>
      <c r="B216" s="1226" t="s">
        <v>106</v>
      </c>
      <c r="C216" s="1226" t="s">
        <v>3496</v>
      </c>
      <c r="D216" s="1226" t="s">
        <v>3497</v>
      </c>
      <c r="E216" s="1226" t="s">
        <v>3498</v>
      </c>
      <c r="F216" s="1226" t="s">
        <v>3499</v>
      </c>
      <c r="G216" s="1226" t="s">
        <v>3500</v>
      </c>
      <c r="H216" s="1226"/>
      <c r="I216" s="1226"/>
      <c r="J216" s="1226"/>
      <c r="K216" s="1226"/>
      <c r="L216" s="1226"/>
      <c r="M216" s="1226"/>
      <c r="N216" s="1226"/>
      <c r="O216" s="1226"/>
      <c r="P216" s="1226"/>
      <c r="Q216" s="1226"/>
      <c r="R216" s="1226"/>
      <c r="S216" s="1226"/>
      <c r="T216" s="1226"/>
      <c r="U216" s="1226"/>
      <c r="V216" s="1226"/>
      <c r="W216" s="1226"/>
      <c r="X216" s="1226"/>
      <c r="Y216" s="1226"/>
      <c r="Z216" s="1228"/>
    </row>
    <row r="217" spans="1:26" ht="55.2" x14ac:dyDescent="0.3">
      <c r="A217" s="1501">
        <v>4.5</v>
      </c>
      <c r="B217" s="1224" t="s">
        <v>3501</v>
      </c>
      <c r="C217" s="1224" t="s">
        <v>3496</v>
      </c>
      <c r="D217" s="1224" t="s">
        <v>3502</v>
      </c>
      <c r="E217" s="1224" t="s">
        <v>3503</v>
      </c>
      <c r="F217" s="1224" t="s">
        <v>3504</v>
      </c>
      <c r="G217" s="1224" t="s">
        <v>3505</v>
      </c>
      <c r="H217" s="1224"/>
      <c r="I217" s="1224"/>
      <c r="J217" s="1224"/>
      <c r="K217" s="1224"/>
      <c r="L217" s="1224"/>
      <c r="M217" s="1224"/>
      <c r="N217" s="1224"/>
      <c r="O217" s="1224"/>
      <c r="P217" s="1224"/>
      <c r="Q217" s="1224"/>
      <c r="R217" s="1224"/>
      <c r="S217" s="1224"/>
      <c r="T217" s="1224"/>
      <c r="U217" s="1224"/>
      <c r="V217" s="1224"/>
      <c r="W217" s="1224"/>
      <c r="X217" s="1224"/>
      <c r="Y217" s="1224"/>
      <c r="Z217" s="1227"/>
    </row>
    <row r="218" spans="1:26" ht="41.4" x14ac:dyDescent="0.3">
      <c r="A218" s="1501">
        <v>5</v>
      </c>
      <c r="B218" s="1226" t="s">
        <v>3506</v>
      </c>
      <c r="C218" s="1226" t="s">
        <v>3496</v>
      </c>
      <c r="D218" s="1226" t="s">
        <v>3507</v>
      </c>
      <c r="E218" s="1226" t="s">
        <v>3508</v>
      </c>
      <c r="F218" s="1226" t="s">
        <v>3113</v>
      </c>
      <c r="G218" s="1226" t="s">
        <v>3509</v>
      </c>
      <c r="H218" s="1226"/>
      <c r="I218" s="1226"/>
      <c r="J218" s="1226"/>
      <c r="K218" s="1226"/>
      <c r="L218" s="1226"/>
      <c r="M218" s="1226"/>
      <c r="N218" s="1226"/>
      <c r="O218" s="1226"/>
      <c r="P218" s="1226"/>
      <c r="Q218" s="1226"/>
      <c r="R218" s="1226"/>
      <c r="S218" s="1226"/>
      <c r="T218" s="1226"/>
      <c r="U218" s="1226"/>
      <c r="V218" s="1226"/>
      <c r="W218" s="1226"/>
      <c r="X218" s="1226"/>
      <c r="Y218" s="1226"/>
      <c r="Z218" s="1228"/>
    </row>
    <row r="219" spans="1:26" ht="27.6" x14ac:dyDescent="0.3">
      <c r="A219" s="1501">
        <v>6</v>
      </c>
      <c r="B219" s="1224" t="s">
        <v>3510</v>
      </c>
      <c r="C219" s="1224" t="s">
        <v>3496</v>
      </c>
      <c r="D219" s="1224" t="s">
        <v>3511</v>
      </c>
      <c r="E219" s="1224" t="s">
        <v>108</v>
      </c>
      <c r="F219" s="1224" t="s">
        <v>3512</v>
      </c>
      <c r="G219" s="1224" t="s">
        <v>3513</v>
      </c>
      <c r="H219" s="1224"/>
      <c r="I219" s="1224"/>
      <c r="J219" s="1224"/>
      <c r="K219" s="1224"/>
      <c r="L219" s="1224"/>
      <c r="M219" s="1224"/>
      <c r="N219" s="1224"/>
      <c r="O219" s="1224"/>
      <c r="P219" s="1224"/>
      <c r="Q219" s="1224"/>
      <c r="R219" s="1224"/>
      <c r="S219" s="1224"/>
      <c r="T219" s="1224"/>
      <c r="U219" s="1224"/>
      <c r="V219" s="1224"/>
      <c r="W219" s="1224"/>
      <c r="X219" s="1224"/>
      <c r="Y219" s="1224"/>
      <c r="Z219" s="1227"/>
    </row>
    <row r="220" spans="1:26" ht="41.4" x14ac:dyDescent="0.3">
      <c r="A220" s="1501">
        <v>7</v>
      </c>
      <c r="B220" s="1226" t="s">
        <v>3514</v>
      </c>
      <c r="C220" s="1226" t="s">
        <v>3496</v>
      </c>
      <c r="D220" s="1226" t="s">
        <v>3515</v>
      </c>
      <c r="E220" s="1226" t="s">
        <v>3516</v>
      </c>
      <c r="F220" s="1226" t="s">
        <v>3517</v>
      </c>
      <c r="G220" s="1226" t="s">
        <v>3518</v>
      </c>
      <c r="H220" s="1226"/>
      <c r="I220" s="1226"/>
      <c r="J220" s="1226"/>
      <c r="K220" s="1226"/>
      <c r="L220" s="1226"/>
      <c r="M220" s="1226"/>
      <c r="N220" s="1226"/>
      <c r="O220" s="1226"/>
      <c r="P220" s="1226"/>
      <c r="Q220" s="1226"/>
      <c r="R220" s="1226"/>
      <c r="S220" s="1226"/>
      <c r="T220" s="1226"/>
      <c r="U220" s="1226"/>
      <c r="V220" s="1226"/>
      <c r="W220" s="1226"/>
      <c r="X220" s="1226"/>
      <c r="Y220" s="1226"/>
      <c r="Z220" s="1228"/>
    </row>
    <row r="221" spans="1:26" ht="41.4" x14ac:dyDescent="0.3">
      <c r="A221" s="1501">
        <v>8</v>
      </c>
      <c r="B221" s="1224" t="s">
        <v>3519</v>
      </c>
      <c r="C221" s="1224" t="s">
        <v>3520</v>
      </c>
      <c r="D221" s="1224" t="s">
        <v>3521</v>
      </c>
      <c r="E221" s="1224" t="s">
        <v>3522</v>
      </c>
      <c r="F221" s="1224" t="s">
        <v>3523</v>
      </c>
      <c r="G221" s="1224" t="s">
        <v>3491</v>
      </c>
      <c r="H221" s="1224"/>
      <c r="I221" s="1224"/>
      <c r="J221" s="1224"/>
      <c r="K221" s="1224"/>
      <c r="L221" s="1224"/>
      <c r="M221" s="1224"/>
      <c r="N221" s="1224"/>
      <c r="O221" s="1224"/>
      <c r="P221" s="1224"/>
      <c r="Q221" s="1224"/>
      <c r="R221" s="1224"/>
      <c r="S221" s="1224"/>
      <c r="T221" s="1224"/>
      <c r="U221" s="1224"/>
      <c r="V221" s="1224"/>
      <c r="W221" s="1224"/>
      <c r="X221" s="1224"/>
      <c r="Y221" s="1224"/>
      <c r="Z221" s="1227"/>
    </row>
    <row r="222" spans="1:26" ht="41.4" x14ac:dyDescent="0.3">
      <c r="A222" s="1501">
        <v>9</v>
      </c>
      <c r="B222" s="1226" t="s">
        <v>3524</v>
      </c>
      <c r="C222" s="1226" t="s">
        <v>3520</v>
      </c>
      <c r="D222" s="1226" t="s">
        <v>3525</v>
      </c>
      <c r="E222" s="1226" t="s">
        <v>3526</v>
      </c>
      <c r="F222" s="1226" t="s">
        <v>3527</v>
      </c>
      <c r="G222" s="1226" t="s">
        <v>111</v>
      </c>
      <c r="H222" s="1226"/>
      <c r="I222" s="1226"/>
      <c r="J222" s="1226"/>
      <c r="K222" s="1226"/>
      <c r="L222" s="1226"/>
      <c r="M222" s="1226"/>
      <c r="N222" s="1226"/>
      <c r="O222" s="1226"/>
      <c r="P222" s="1226"/>
      <c r="Q222" s="1226"/>
      <c r="R222" s="1226"/>
      <c r="S222" s="1226"/>
      <c r="T222" s="1226"/>
      <c r="U222" s="1226"/>
      <c r="V222" s="1226"/>
      <c r="W222" s="1226"/>
      <c r="X222" s="1226"/>
      <c r="Y222" s="1226"/>
      <c r="Z222" s="1228"/>
    </row>
    <row r="223" spans="1:26" ht="41.4" x14ac:dyDescent="0.3">
      <c r="A223" s="1501">
        <v>10</v>
      </c>
      <c r="B223" s="1224" t="s">
        <v>3528</v>
      </c>
      <c r="C223" s="1224" t="s">
        <v>3520</v>
      </c>
      <c r="D223" s="1224" t="s">
        <v>3529</v>
      </c>
      <c r="E223" s="1224" t="s">
        <v>3530</v>
      </c>
      <c r="F223" s="1224" t="s">
        <v>3531</v>
      </c>
      <c r="G223" s="1224" t="s">
        <v>3532</v>
      </c>
      <c r="H223" s="1224"/>
      <c r="I223" s="1224"/>
      <c r="J223" s="1224"/>
      <c r="K223" s="1224"/>
      <c r="L223" s="1224"/>
      <c r="M223" s="1224"/>
      <c r="N223" s="1224"/>
      <c r="O223" s="1224"/>
      <c r="P223" s="1224"/>
      <c r="Q223" s="1224"/>
      <c r="R223" s="1224"/>
      <c r="S223" s="1224"/>
      <c r="T223" s="1224"/>
      <c r="U223" s="1224"/>
      <c r="V223" s="1224"/>
      <c r="W223" s="1224"/>
      <c r="X223" s="1224"/>
      <c r="Y223" s="1224"/>
      <c r="Z223" s="1227"/>
    </row>
    <row r="224" spans="1:26" ht="41.4" x14ac:dyDescent="0.3">
      <c r="A224" s="1501">
        <v>11</v>
      </c>
      <c r="B224" s="1226" t="s">
        <v>3533</v>
      </c>
      <c r="C224" s="1226" t="s">
        <v>3520</v>
      </c>
      <c r="D224" s="1226" t="s">
        <v>3534</v>
      </c>
      <c r="E224" s="1226" t="s">
        <v>3535</v>
      </c>
      <c r="F224" s="1226" t="s">
        <v>109</v>
      </c>
      <c r="G224" s="1226" t="s">
        <v>3536</v>
      </c>
      <c r="H224" s="1226"/>
      <c r="I224" s="1226"/>
      <c r="J224" s="1226"/>
      <c r="K224" s="1226"/>
      <c r="L224" s="1226"/>
      <c r="M224" s="1226"/>
      <c r="N224" s="1226"/>
      <c r="O224" s="1226"/>
      <c r="P224" s="1226"/>
      <c r="Q224" s="1226"/>
      <c r="R224" s="1226"/>
      <c r="S224" s="1226"/>
      <c r="T224" s="1226"/>
      <c r="U224" s="1226"/>
      <c r="V224" s="1226"/>
      <c r="W224" s="1226"/>
      <c r="X224" s="1226"/>
      <c r="Y224" s="1226"/>
      <c r="Z224" s="1228"/>
    </row>
    <row r="225" spans="1:26" ht="41.4" x14ac:dyDescent="0.3">
      <c r="A225" s="1501">
        <v>12</v>
      </c>
      <c r="B225" s="1224" t="s">
        <v>3537</v>
      </c>
      <c r="C225" s="1224" t="s">
        <v>3538</v>
      </c>
      <c r="D225" s="1224" t="s">
        <v>3539</v>
      </c>
      <c r="E225" s="1224" t="s">
        <v>3540</v>
      </c>
      <c r="F225" s="1224" t="s">
        <v>3541</v>
      </c>
      <c r="G225" s="1224" t="s">
        <v>3542</v>
      </c>
      <c r="H225" s="1224"/>
      <c r="I225" s="1224"/>
      <c r="J225" s="1224"/>
      <c r="K225" s="1224"/>
      <c r="L225" s="1224"/>
      <c r="M225" s="1224"/>
      <c r="N225" s="1224"/>
      <c r="O225" s="1224"/>
      <c r="P225" s="1224"/>
      <c r="Q225" s="1224"/>
      <c r="R225" s="1224"/>
      <c r="S225" s="1224"/>
      <c r="T225" s="1224"/>
      <c r="U225" s="1224"/>
      <c r="V225" s="1224"/>
      <c r="W225" s="1224"/>
      <c r="X225" s="1224"/>
      <c r="Y225" s="1224"/>
      <c r="Z225" s="1227"/>
    </row>
    <row r="226" spans="1:26" ht="41.4" x14ac:dyDescent="0.3">
      <c r="A226" s="1501">
        <v>13</v>
      </c>
      <c r="B226" s="1226" t="s">
        <v>3543</v>
      </c>
      <c r="C226" s="1226" t="s">
        <v>3544</v>
      </c>
      <c r="D226" s="1226" t="s">
        <v>4105</v>
      </c>
      <c r="E226" s="1226" t="s">
        <v>3545</v>
      </c>
      <c r="F226" s="1226" t="s">
        <v>3546</v>
      </c>
      <c r="G226" s="1226" t="s">
        <v>3547</v>
      </c>
      <c r="H226" s="1226"/>
      <c r="I226" s="1226"/>
      <c r="J226" s="1226"/>
      <c r="K226" s="1226"/>
      <c r="L226" s="1226"/>
      <c r="M226" s="1226"/>
      <c r="N226" s="1226"/>
      <c r="O226" s="1226"/>
      <c r="P226" s="1226"/>
      <c r="Q226" s="1226"/>
      <c r="R226" s="1226"/>
      <c r="S226" s="1226"/>
      <c r="T226" s="1226"/>
      <c r="U226" s="1226"/>
      <c r="V226" s="1226"/>
      <c r="W226" s="1226"/>
      <c r="X226" s="1226"/>
      <c r="Y226" s="1226"/>
      <c r="Z226" s="1228"/>
    </row>
    <row r="227" spans="1:26" ht="41.4" x14ac:dyDescent="0.3">
      <c r="A227" s="1501">
        <v>14</v>
      </c>
      <c r="B227" s="1224" t="s">
        <v>3548</v>
      </c>
      <c r="C227" s="1224" t="s">
        <v>3544</v>
      </c>
      <c r="D227" s="1224" t="s">
        <v>4106</v>
      </c>
      <c r="E227" s="1224" t="s">
        <v>107</v>
      </c>
      <c r="F227" s="1224" t="s">
        <v>3549</v>
      </c>
      <c r="G227" s="1224" t="s">
        <v>3491</v>
      </c>
      <c r="H227" s="1224"/>
      <c r="I227" s="1224"/>
      <c r="J227" s="1224"/>
      <c r="K227" s="1224"/>
      <c r="L227" s="1224"/>
      <c r="M227" s="1224"/>
      <c r="N227" s="1224"/>
      <c r="O227" s="1224"/>
      <c r="P227" s="1224"/>
      <c r="Q227" s="1224"/>
      <c r="R227" s="1224"/>
      <c r="S227" s="1224"/>
      <c r="T227" s="1224"/>
      <c r="U227" s="1224"/>
      <c r="V227" s="1224"/>
      <c r="W227" s="1224"/>
      <c r="X227" s="1224"/>
      <c r="Y227" s="1224"/>
      <c r="Z227" s="1227"/>
    </row>
    <row r="228" spans="1:26" ht="55.2" x14ac:dyDescent="0.3">
      <c r="A228" s="1501">
        <v>15</v>
      </c>
      <c r="B228" s="1226" t="s">
        <v>3550</v>
      </c>
      <c r="C228" s="1226" t="s">
        <v>3544</v>
      </c>
      <c r="D228" s="1226" t="s">
        <v>3551</v>
      </c>
      <c r="E228" s="1226" t="s">
        <v>3552</v>
      </c>
      <c r="F228" s="1226" t="s">
        <v>3553</v>
      </c>
      <c r="G228" s="1226" t="s">
        <v>3554</v>
      </c>
      <c r="H228" s="1226"/>
      <c r="I228" s="1226"/>
      <c r="J228" s="1226"/>
      <c r="K228" s="1226"/>
      <c r="L228" s="1226"/>
      <c r="M228" s="1226"/>
      <c r="N228" s="1226"/>
      <c r="O228" s="1226"/>
      <c r="P228" s="1226"/>
      <c r="Q228" s="1226"/>
      <c r="R228" s="1226"/>
      <c r="S228" s="1226"/>
      <c r="T228" s="1226"/>
      <c r="U228" s="1226"/>
      <c r="V228" s="1226"/>
      <c r="W228" s="1226"/>
      <c r="X228" s="1226"/>
      <c r="Y228" s="1226"/>
      <c r="Z228" s="1228"/>
    </row>
    <row r="229" spans="1:26" ht="41.4" x14ac:dyDescent="0.3">
      <c r="A229" s="1501">
        <v>16</v>
      </c>
      <c r="B229" s="1224" t="s">
        <v>3555</v>
      </c>
      <c r="C229" s="1224" t="s">
        <v>3544</v>
      </c>
      <c r="D229" s="1224" t="s">
        <v>3556</v>
      </c>
      <c r="E229" s="1224" t="s">
        <v>2903</v>
      </c>
      <c r="F229" s="1224" t="s">
        <v>3557</v>
      </c>
      <c r="G229" s="1224" t="s">
        <v>3491</v>
      </c>
      <c r="H229" s="1224"/>
      <c r="I229" s="1224"/>
      <c r="J229" s="1224"/>
      <c r="K229" s="1224"/>
      <c r="L229" s="1224"/>
      <c r="M229" s="1224"/>
      <c r="N229" s="1224"/>
      <c r="O229" s="1224"/>
      <c r="P229" s="1224"/>
      <c r="Q229" s="1224"/>
      <c r="R229" s="1224"/>
      <c r="S229" s="1224"/>
      <c r="T229" s="1224"/>
      <c r="U229" s="1224"/>
      <c r="V229" s="1224"/>
      <c r="W229" s="1224"/>
      <c r="X229" s="1224"/>
      <c r="Y229" s="1224"/>
      <c r="Z229" s="1227"/>
    </row>
    <row r="230" spans="1:26" ht="41.4" x14ac:dyDescent="0.3">
      <c r="A230" s="1501">
        <v>17</v>
      </c>
      <c r="B230" s="1226" t="s">
        <v>3558</v>
      </c>
      <c r="C230" s="1226" t="s">
        <v>3559</v>
      </c>
      <c r="D230" s="1226" t="s">
        <v>3560</v>
      </c>
      <c r="E230" s="1226" t="s">
        <v>3561</v>
      </c>
      <c r="F230" s="1226" t="s">
        <v>3562</v>
      </c>
      <c r="G230" s="1226" t="s">
        <v>3518</v>
      </c>
      <c r="H230" s="1226"/>
      <c r="I230" s="1226"/>
      <c r="J230" s="1226"/>
      <c r="K230" s="1226"/>
      <c r="L230" s="1226"/>
      <c r="M230" s="1226"/>
      <c r="N230" s="1226"/>
      <c r="O230" s="1226"/>
      <c r="P230" s="1226"/>
      <c r="Q230" s="1226"/>
      <c r="R230" s="1226"/>
      <c r="S230" s="1226"/>
      <c r="T230" s="1226"/>
      <c r="U230" s="1226"/>
      <c r="V230" s="1226"/>
      <c r="W230" s="1226"/>
      <c r="X230" s="1226"/>
      <c r="Y230" s="1226"/>
      <c r="Z230" s="1228"/>
    </row>
    <row r="231" spans="1:26" ht="41.4" x14ac:dyDescent="0.3">
      <c r="A231" s="1501">
        <v>18</v>
      </c>
      <c r="B231" s="1224" t="s">
        <v>3563</v>
      </c>
      <c r="C231" s="1224" t="s">
        <v>3559</v>
      </c>
      <c r="D231" s="1224" t="s">
        <v>3564</v>
      </c>
      <c r="E231" s="1224" t="s">
        <v>115</v>
      </c>
      <c r="F231" s="1224" t="s">
        <v>116</v>
      </c>
      <c r="G231" s="1224" t="s">
        <v>3565</v>
      </c>
      <c r="H231" s="1224"/>
      <c r="I231" s="1224"/>
      <c r="J231" s="1224"/>
      <c r="K231" s="1224"/>
      <c r="L231" s="1224"/>
      <c r="M231" s="1224"/>
      <c r="N231" s="1224"/>
      <c r="O231" s="1224"/>
      <c r="P231" s="1224"/>
      <c r="Q231" s="1224"/>
      <c r="R231" s="1224"/>
      <c r="S231" s="1224"/>
      <c r="T231" s="1224"/>
      <c r="U231" s="1224"/>
      <c r="V231" s="1224"/>
      <c r="W231" s="1224"/>
      <c r="X231" s="1224"/>
      <c r="Y231" s="1224"/>
      <c r="Z231" s="1227"/>
    </row>
    <row r="232" spans="1:26" ht="41.4" x14ac:dyDescent="0.3">
      <c r="A232" s="1501">
        <v>19</v>
      </c>
      <c r="B232" s="1226" t="s">
        <v>3566</v>
      </c>
      <c r="C232" s="1226" t="s">
        <v>3559</v>
      </c>
      <c r="D232" s="1226" t="s">
        <v>3567</v>
      </c>
      <c r="E232" s="1226" t="s">
        <v>3568</v>
      </c>
      <c r="F232" s="1226" t="s">
        <v>3569</v>
      </c>
      <c r="G232" s="1226" t="s">
        <v>3570</v>
      </c>
      <c r="H232" s="1226"/>
      <c r="I232" s="1226"/>
      <c r="J232" s="1226"/>
      <c r="K232" s="1226"/>
      <c r="L232" s="1226"/>
      <c r="M232" s="1226"/>
      <c r="N232" s="1226"/>
      <c r="O232" s="1226"/>
      <c r="P232" s="1226"/>
      <c r="Q232" s="1226"/>
      <c r="R232" s="1226"/>
      <c r="S232" s="1226"/>
      <c r="T232" s="1226"/>
      <c r="U232" s="1226"/>
      <c r="V232" s="1226"/>
      <c r="W232" s="1226"/>
      <c r="X232" s="1226"/>
      <c r="Y232" s="1226"/>
      <c r="Z232" s="1228"/>
    </row>
    <row r="233" spans="1:26" ht="41.4" x14ac:dyDescent="0.3">
      <c r="A233" s="1501">
        <v>20</v>
      </c>
      <c r="B233" s="1224" t="s">
        <v>3571</v>
      </c>
      <c r="C233" s="1224" t="s">
        <v>3559</v>
      </c>
      <c r="D233" s="1224" t="s">
        <v>3572</v>
      </c>
      <c r="E233" s="1224" t="s">
        <v>107</v>
      </c>
      <c r="F233" s="1224" t="s">
        <v>3557</v>
      </c>
      <c r="G233" s="1224" t="s">
        <v>3573</v>
      </c>
      <c r="H233" s="1224"/>
      <c r="I233" s="1224"/>
      <c r="J233" s="1224"/>
      <c r="K233" s="1224"/>
      <c r="L233" s="1224"/>
      <c r="M233" s="1224"/>
      <c r="N233" s="1224"/>
      <c r="O233" s="1224"/>
      <c r="P233" s="1224"/>
      <c r="Q233" s="1224"/>
      <c r="R233" s="1224"/>
      <c r="S233" s="1224"/>
      <c r="T233" s="1224"/>
      <c r="U233" s="1224"/>
      <c r="V233" s="1224"/>
      <c r="W233" s="1224"/>
      <c r="X233" s="1224"/>
      <c r="Y233" s="1224"/>
      <c r="Z233" s="1227"/>
    </row>
    <row r="234" spans="1:26" ht="41.4" x14ac:dyDescent="0.3">
      <c r="A234" s="1501">
        <v>21</v>
      </c>
      <c r="B234" s="1226" t="s">
        <v>3574</v>
      </c>
      <c r="C234" s="1226" t="s">
        <v>3559</v>
      </c>
      <c r="D234" s="1226" t="s">
        <v>3575</v>
      </c>
      <c r="E234" s="1226" t="s">
        <v>113</v>
      </c>
      <c r="F234" s="1226" t="s">
        <v>3576</v>
      </c>
      <c r="G234" s="1226" t="s">
        <v>3491</v>
      </c>
      <c r="H234" s="1226"/>
      <c r="I234" s="1226"/>
      <c r="J234" s="1226"/>
      <c r="K234" s="1226"/>
      <c r="L234" s="1226"/>
      <c r="M234" s="1226"/>
      <c r="N234" s="1226"/>
      <c r="O234" s="1226"/>
      <c r="P234" s="1226"/>
      <c r="Q234" s="1226"/>
      <c r="R234" s="1226"/>
      <c r="S234" s="1226"/>
      <c r="T234" s="1226"/>
      <c r="U234" s="1226"/>
      <c r="V234" s="1226"/>
      <c r="W234" s="1226"/>
      <c r="X234" s="1226"/>
      <c r="Y234" s="1226"/>
      <c r="Z234" s="1228"/>
    </row>
    <row r="235" spans="1:26" ht="41.4" x14ac:dyDescent="0.3">
      <c r="A235" s="1501">
        <v>22</v>
      </c>
      <c r="B235" s="1224" t="s">
        <v>3577</v>
      </c>
      <c r="C235" s="1224" t="s">
        <v>3559</v>
      </c>
      <c r="D235" s="1224" t="s">
        <v>3578</v>
      </c>
      <c r="E235" s="1224" t="s">
        <v>3579</v>
      </c>
      <c r="F235" s="1224" t="s">
        <v>3557</v>
      </c>
      <c r="G235" s="1224" t="s">
        <v>3580</v>
      </c>
      <c r="H235" s="1224"/>
      <c r="I235" s="1224"/>
      <c r="J235" s="1224"/>
      <c r="K235" s="1224"/>
      <c r="L235" s="1224"/>
      <c r="M235" s="1224"/>
      <c r="N235" s="1224"/>
      <c r="O235" s="1224"/>
      <c r="P235" s="1224"/>
      <c r="Q235" s="1224"/>
      <c r="R235" s="1224"/>
      <c r="S235" s="1224"/>
      <c r="T235" s="1224"/>
      <c r="U235" s="1224"/>
      <c r="V235" s="1224"/>
      <c r="W235" s="1224"/>
      <c r="X235" s="1224"/>
      <c r="Y235" s="1224"/>
      <c r="Z235" s="1227"/>
    </row>
    <row r="236" spans="1:26" ht="41.4" x14ac:dyDescent="0.3">
      <c r="A236" s="1501">
        <v>23</v>
      </c>
      <c r="B236" s="1226" t="s">
        <v>3581</v>
      </c>
      <c r="C236" s="1226" t="s">
        <v>3582</v>
      </c>
      <c r="D236" s="1226" t="s">
        <v>3583</v>
      </c>
      <c r="E236" s="1226" t="s">
        <v>114</v>
      </c>
      <c r="F236" s="1226" t="s">
        <v>3584</v>
      </c>
      <c r="G236" s="1226" t="s">
        <v>3585</v>
      </c>
      <c r="H236" s="1226"/>
      <c r="I236" s="1226"/>
      <c r="J236" s="1226"/>
      <c r="K236" s="1226"/>
      <c r="L236" s="1226"/>
      <c r="M236" s="1226"/>
      <c r="N236" s="1226"/>
      <c r="O236" s="1226"/>
      <c r="P236" s="1226"/>
      <c r="Q236" s="1226"/>
      <c r="R236" s="1226"/>
      <c r="S236" s="1226"/>
      <c r="T236" s="1226"/>
      <c r="U236" s="1226"/>
      <c r="V236" s="1226"/>
      <c r="W236" s="1226"/>
      <c r="X236" s="1226"/>
      <c r="Y236" s="1226"/>
      <c r="Z236" s="1228"/>
    </row>
    <row r="237" spans="1:26" ht="55.2" x14ac:dyDescent="0.3">
      <c r="A237" s="1501">
        <v>24</v>
      </c>
      <c r="B237" s="1224" t="s">
        <v>3586</v>
      </c>
      <c r="C237" s="1224" t="s">
        <v>3582</v>
      </c>
      <c r="D237" s="1224" t="s">
        <v>3587</v>
      </c>
      <c r="E237" s="1224" t="s">
        <v>3588</v>
      </c>
      <c r="F237" s="1224" t="s">
        <v>3589</v>
      </c>
      <c r="G237" s="1224" t="s">
        <v>3590</v>
      </c>
      <c r="H237" s="1224"/>
      <c r="I237" s="1224"/>
      <c r="J237" s="1224"/>
      <c r="K237" s="1224"/>
      <c r="L237" s="1224"/>
      <c r="M237" s="1224"/>
      <c r="N237" s="1224"/>
      <c r="O237" s="1224"/>
      <c r="P237" s="1224"/>
      <c r="Q237" s="1224"/>
      <c r="R237" s="1224"/>
      <c r="S237" s="1224"/>
      <c r="T237" s="1224"/>
      <c r="U237" s="1224"/>
      <c r="V237" s="1224"/>
      <c r="W237" s="1224"/>
      <c r="X237" s="1224"/>
      <c r="Y237" s="1224"/>
      <c r="Z237" s="1227"/>
    </row>
    <row r="238" spans="1:26" ht="27.6" x14ac:dyDescent="0.3">
      <c r="A238" s="1501">
        <v>25</v>
      </c>
      <c r="B238" s="1226" t="s">
        <v>3591</v>
      </c>
      <c r="C238" s="1226" t="s">
        <v>3582</v>
      </c>
      <c r="D238" s="1226" t="s">
        <v>3592</v>
      </c>
      <c r="E238" s="1226" t="s">
        <v>3593</v>
      </c>
      <c r="F238" s="1226" t="s">
        <v>3594</v>
      </c>
      <c r="G238" s="1226" t="s">
        <v>3595</v>
      </c>
      <c r="H238" s="1226"/>
      <c r="I238" s="1226"/>
      <c r="J238" s="1226"/>
      <c r="K238" s="1226"/>
      <c r="L238" s="1226"/>
      <c r="M238" s="1226"/>
      <c r="N238" s="1226"/>
      <c r="O238" s="1226"/>
      <c r="P238" s="1226"/>
      <c r="Q238" s="1226"/>
      <c r="R238" s="1226"/>
      <c r="S238" s="1226"/>
      <c r="T238" s="1226"/>
      <c r="U238" s="1226"/>
      <c r="V238" s="1226"/>
      <c r="W238" s="1226"/>
      <c r="X238" s="1226"/>
      <c r="Y238" s="1226"/>
      <c r="Z238" s="1228"/>
    </row>
    <row r="239" spans="1:26" ht="55.2" x14ac:dyDescent="0.3">
      <c r="A239" s="1501">
        <v>26</v>
      </c>
      <c r="B239" s="1224" t="s">
        <v>3596</v>
      </c>
      <c r="C239" s="1224" t="s">
        <v>3582</v>
      </c>
      <c r="D239" s="1224" t="s">
        <v>3597</v>
      </c>
      <c r="E239" s="1224" t="s">
        <v>117</v>
      </c>
      <c r="F239" s="1224" t="s">
        <v>3598</v>
      </c>
      <c r="G239" s="1224" t="s">
        <v>3599</v>
      </c>
      <c r="H239" s="1224"/>
      <c r="I239" s="1224"/>
      <c r="J239" s="1224"/>
      <c r="K239" s="1224"/>
      <c r="L239" s="1224"/>
      <c r="M239" s="1224"/>
      <c r="N239" s="1224"/>
      <c r="O239" s="1224"/>
      <c r="P239" s="1224"/>
      <c r="Q239" s="1224"/>
      <c r="R239" s="1224"/>
      <c r="S239" s="1224"/>
      <c r="T239" s="1224"/>
      <c r="U239" s="1224"/>
      <c r="V239" s="1224"/>
      <c r="W239" s="1224"/>
      <c r="X239" s="1224"/>
      <c r="Y239" s="1224"/>
      <c r="Z239" s="1227"/>
    </row>
    <row r="240" spans="1:26" ht="41.4" x14ac:dyDescent="0.3">
      <c r="A240" s="1501">
        <v>27</v>
      </c>
      <c r="B240" s="1226" t="s">
        <v>3600</v>
      </c>
      <c r="C240" s="1226" t="s">
        <v>3601</v>
      </c>
      <c r="D240" s="1226" t="s">
        <v>3602</v>
      </c>
      <c r="E240" s="1226" t="s">
        <v>3603</v>
      </c>
      <c r="F240" s="1226" t="s">
        <v>112</v>
      </c>
      <c r="G240" s="1226" t="s">
        <v>3491</v>
      </c>
      <c r="H240" s="1226"/>
      <c r="I240" s="1226"/>
      <c r="J240" s="1226"/>
      <c r="K240" s="1226"/>
      <c r="L240" s="1226"/>
      <c r="M240" s="1226"/>
      <c r="N240" s="1226"/>
      <c r="O240" s="1226"/>
      <c r="P240" s="1226"/>
      <c r="Q240" s="1226"/>
      <c r="R240" s="1226"/>
      <c r="S240" s="1226"/>
      <c r="T240" s="1226"/>
      <c r="U240" s="1226"/>
      <c r="V240" s="1226"/>
      <c r="W240" s="1226"/>
      <c r="X240" s="1226"/>
      <c r="Y240" s="1226"/>
      <c r="Z240" s="1228"/>
    </row>
    <row r="241" spans="1:26" ht="41.4" x14ac:dyDescent="0.3">
      <c r="A241" s="1501">
        <v>28</v>
      </c>
      <c r="B241" s="1224" t="s">
        <v>3604</v>
      </c>
      <c r="C241" s="1224" t="s">
        <v>3601</v>
      </c>
      <c r="D241" s="1224" t="s">
        <v>3605</v>
      </c>
      <c r="E241" s="1224" t="s">
        <v>3606</v>
      </c>
      <c r="F241" s="1224" t="s">
        <v>3607</v>
      </c>
      <c r="G241" s="1224" t="s">
        <v>3491</v>
      </c>
      <c r="H241" s="1224"/>
      <c r="I241" s="1224"/>
      <c r="J241" s="1224"/>
      <c r="K241" s="1224"/>
      <c r="L241" s="1224"/>
      <c r="M241" s="1224"/>
      <c r="N241" s="1224"/>
      <c r="O241" s="1224"/>
      <c r="P241" s="1224"/>
      <c r="Q241" s="1224"/>
      <c r="R241" s="1224"/>
      <c r="S241" s="1224"/>
      <c r="T241" s="1224"/>
      <c r="U241" s="1224"/>
      <c r="V241" s="1224"/>
      <c r="W241" s="1224"/>
      <c r="X241" s="1224"/>
      <c r="Y241" s="1224"/>
      <c r="Z241" s="1227"/>
    </row>
    <row r="242" spans="1:26" ht="55.2" x14ac:dyDescent="0.3">
      <c r="A242" s="1501">
        <v>29</v>
      </c>
      <c r="B242" s="1226" t="s">
        <v>3608</v>
      </c>
      <c r="C242" s="1226" t="s">
        <v>3601</v>
      </c>
      <c r="D242" s="1226" t="s">
        <v>3609</v>
      </c>
      <c r="E242" s="1226" t="s">
        <v>3610</v>
      </c>
      <c r="F242" s="1226" t="s">
        <v>3553</v>
      </c>
      <c r="G242" s="1226" t="s">
        <v>3491</v>
      </c>
      <c r="H242" s="1226"/>
      <c r="I242" s="1226"/>
      <c r="J242" s="1226"/>
      <c r="K242" s="1226"/>
      <c r="L242" s="1226"/>
      <c r="M242" s="1226"/>
      <c r="N242" s="1226"/>
      <c r="O242" s="1226"/>
      <c r="P242" s="1226"/>
      <c r="Q242" s="1226"/>
      <c r="R242" s="1226"/>
      <c r="S242" s="1226"/>
      <c r="T242" s="1226"/>
      <c r="U242" s="1226"/>
      <c r="V242" s="1226"/>
      <c r="W242" s="1226"/>
      <c r="X242" s="1226"/>
      <c r="Y242" s="1226"/>
      <c r="Z242" s="1228"/>
    </row>
    <row r="243" spans="1:26" ht="41.4" x14ac:dyDescent="0.3">
      <c r="A243" s="1501">
        <v>30</v>
      </c>
      <c r="B243" s="1224" t="s">
        <v>3611</v>
      </c>
      <c r="C243" s="1224" t="s">
        <v>3601</v>
      </c>
      <c r="D243" s="1224" t="s">
        <v>3612</v>
      </c>
      <c r="E243" s="1224" t="s">
        <v>3613</v>
      </c>
      <c r="F243" s="1224" t="s">
        <v>3614</v>
      </c>
      <c r="G243" s="1224" t="s">
        <v>3491</v>
      </c>
      <c r="H243" s="1224"/>
      <c r="I243" s="1224"/>
      <c r="J243" s="1224"/>
      <c r="K243" s="1224"/>
      <c r="L243" s="1224"/>
      <c r="M243" s="1224"/>
      <c r="N243" s="1224"/>
      <c r="O243" s="1224"/>
      <c r="P243" s="1224"/>
      <c r="Q243" s="1224"/>
      <c r="R243" s="1224"/>
      <c r="S243" s="1224"/>
      <c r="T243" s="1224"/>
      <c r="U243" s="1224"/>
      <c r="V243" s="1224"/>
      <c r="W243" s="1224"/>
      <c r="X243" s="1224"/>
      <c r="Y243" s="1224"/>
      <c r="Z243" s="1227"/>
    </row>
    <row r="244" spans="1:26" ht="41.4" x14ac:dyDescent="0.3">
      <c r="A244" s="1501">
        <v>31</v>
      </c>
      <c r="B244" s="1226" t="s">
        <v>3615</v>
      </c>
      <c r="C244" s="1226" t="s">
        <v>3616</v>
      </c>
      <c r="D244" s="1226" t="s">
        <v>3617</v>
      </c>
      <c r="E244" s="1226" t="s">
        <v>3618</v>
      </c>
      <c r="F244" s="1226" t="s">
        <v>103</v>
      </c>
      <c r="G244" s="1226" t="s">
        <v>3491</v>
      </c>
      <c r="H244" s="1226"/>
      <c r="I244" s="1226"/>
      <c r="J244" s="1226"/>
      <c r="K244" s="1226"/>
      <c r="L244" s="1226"/>
      <c r="M244" s="1226"/>
      <c r="N244" s="1226"/>
      <c r="O244" s="1226"/>
      <c r="P244" s="1226"/>
      <c r="Q244" s="1226"/>
      <c r="R244" s="1226"/>
      <c r="S244" s="1226"/>
      <c r="T244" s="1226"/>
      <c r="U244" s="1226"/>
      <c r="V244" s="1226"/>
      <c r="W244" s="1226"/>
      <c r="X244" s="1226"/>
      <c r="Y244" s="1226"/>
      <c r="Z244" s="1228"/>
    </row>
    <row r="245" spans="1:26" ht="41.4" x14ac:dyDescent="0.3">
      <c r="A245" s="1501">
        <v>32</v>
      </c>
      <c r="B245" s="1224" t="s">
        <v>3619</v>
      </c>
      <c r="C245" s="1224" t="s">
        <v>3616</v>
      </c>
      <c r="D245" s="1224" t="s">
        <v>3620</v>
      </c>
      <c r="E245" s="1224" t="s">
        <v>3618</v>
      </c>
      <c r="F245" s="1224" t="s">
        <v>105</v>
      </c>
      <c r="G245" s="1224" t="s">
        <v>3621</v>
      </c>
      <c r="H245" s="1224"/>
      <c r="I245" s="1224"/>
      <c r="J245" s="1224"/>
      <c r="K245" s="1224"/>
      <c r="L245" s="1224"/>
      <c r="M245" s="1224"/>
      <c r="N245" s="1224"/>
      <c r="O245" s="1224"/>
      <c r="P245" s="1224"/>
      <c r="Q245" s="1224"/>
      <c r="R245" s="1224"/>
      <c r="S245" s="1224"/>
      <c r="T245" s="1224"/>
      <c r="U245" s="1224"/>
      <c r="V245" s="1224"/>
      <c r="W245" s="1224"/>
      <c r="X245" s="1224"/>
      <c r="Y245" s="1224"/>
      <c r="Z245" s="1227"/>
    </row>
    <row r="246" spans="1:26" ht="55.2" x14ac:dyDescent="0.3">
      <c r="A246" s="1501">
        <v>33</v>
      </c>
      <c r="B246" s="1226" t="s">
        <v>3622</v>
      </c>
      <c r="C246" s="1226" t="s">
        <v>3616</v>
      </c>
      <c r="D246" s="1226" t="s">
        <v>3623</v>
      </c>
      <c r="E246" s="1226" t="s">
        <v>103</v>
      </c>
      <c r="F246" s="1226" t="s">
        <v>3624</v>
      </c>
      <c r="G246" s="1226" t="s">
        <v>3491</v>
      </c>
      <c r="H246" s="1226"/>
      <c r="I246" s="1226"/>
      <c r="J246" s="1226"/>
      <c r="K246" s="1226"/>
      <c r="L246" s="1226"/>
      <c r="M246" s="1226"/>
      <c r="N246" s="1226"/>
      <c r="O246" s="1226"/>
      <c r="P246" s="1226"/>
      <c r="Q246" s="1226"/>
      <c r="R246" s="1226"/>
      <c r="S246" s="1226"/>
      <c r="T246" s="1226"/>
      <c r="U246" s="1226"/>
      <c r="V246" s="1226"/>
      <c r="W246" s="1226"/>
      <c r="X246" s="1226"/>
      <c r="Y246" s="1226"/>
      <c r="Z246" s="1228"/>
    </row>
    <row r="247" spans="1:26" ht="27.6" x14ac:dyDescent="0.3">
      <c r="A247" s="1501">
        <v>34</v>
      </c>
      <c r="B247" s="1224" t="s">
        <v>3625</v>
      </c>
      <c r="C247" s="1224" t="s">
        <v>3616</v>
      </c>
      <c r="D247" s="1224" t="s">
        <v>3626</v>
      </c>
      <c r="E247" s="1224" t="s">
        <v>105</v>
      </c>
      <c r="F247" s="1224" t="s">
        <v>3627</v>
      </c>
      <c r="G247" s="1224" t="s">
        <v>3370</v>
      </c>
      <c r="H247" s="1224"/>
      <c r="I247" s="1224"/>
      <c r="J247" s="1224"/>
      <c r="K247" s="1224"/>
      <c r="L247" s="1224"/>
      <c r="M247" s="1224"/>
      <c r="N247" s="1224"/>
      <c r="O247" s="1224"/>
      <c r="P247" s="1224"/>
      <c r="Q247" s="1224"/>
      <c r="R247" s="1224"/>
      <c r="S247" s="1224"/>
      <c r="T247" s="1224"/>
      <c r="U247" s="1224"/>
      <c r="V247" s="1224"/>
      <c r="W247" s="1224"/>
      <c r="X247" s="1224"/>
      <c r="Y247" s="1224"/>
      <c r="Z247" s="1227"/>
    </row>
    <row r="248" spans="1:26" x14ac:dyDescent="0.3">
      <c r="A248" s="1503">
        <v>46087</v>
      </c>
      <c r="B248" s="1226" t="s">
        <v>3628</v>
      </c>
      <c r="C248" s="1226" t="s">
        <v>3629</v>
      </c>
      <c r="D248" s="1226" t="s">
        <v>3630</v>
      </c>
      <c r="E248" s="1226"/>
      <c r="F248" s="1226"/>
      <c r="G248" s="1226"/>
      <c r="H248" s="1226"/>
      <c r="I248" s="1226"/>
      <c r="J248" s="1226"/>
      <c r="K248" s="1226"/>
      <c r="L248" s="1226"/>
      <c r="M248" s="1226"/>
      <c r="N248" s="1226"/>
      <c r="O248" s="1226"/>
      <c r="P248" s="1226"/>
      <c r="Q248" s="1226"/>
      <c r="R248" s="1226"/>
      <c r="S248" s="1226"/>
      <c r="T248" s="1226"/>
      <c r="U248" s="1226"/>
      <c r="V248" s="1226"/>
      <c r="W248" s="1226"/>
      <c r="X248" s="1226"/>
      <c r="Y248" s="1226"/>
      <c r="Z248" s="1228"/>
    </row>
    <row r="249" spans="1:26" ht="43.2" x14ac:dyDescent="0.3">
      <c r="A249" s="1501" t="s">
        <v>3631</v>
      </c>
      <c r="B249" s="1224"/>
      <c r="C249" s="1224"/>
      <c r="D249" s="1224"/>
      <c r="E249" s="1224"/>
      <c r="F249" s="1224"/>
      <c r="G249" s="1224"/>
      <c r="H249" s="1224"/>
      <c r="I249" s="1224"/>
      <c r="J249" s="1224"/>
      <c r="K249" s="1224"/>
      <c r="L249" s="1224"/>
      <c r="M249" s="1224"/>
      <c r="N249" s="1224"/>
      <c r="O249" s="1224"/>
      <c r="P249" s="1224"/>
      <c r="Q249" s="1224"/>
      <c r="R249" s="1224"/>
      <c r="S249" s="1224"/>
      <c r="T249" s="1224"/>
      <c r="U249" s="1224"/>
      <c r="V249" s="1224"/>
      <c r="W249" s="1224"/>
      <c r="X249" s="1224"/>
      <c r="Y249" s="1224"/>
      <c r="Z249" s="1227"/>
    </row>
    <row r="250" spans="1:26" ht="41.4" x14ac:dyDescent="0.3">
      <c r="A250" s="1501" t="s">
        <v>1660</v>
      </c>
      <c r="B250" s="1226"/>
      <c r="C250" s="1226" t="s">
        <v>3632</v>
      </c>
      <c r="D250" s="1226" t="s">
        <v>42</v>
      </c>
      <c r="E250" s="1226" t="s">
        <v>671</v>
      </c>
      <c r="F250" s="1226" t="s">
        <v>1857</v>
      </c>
      <c r="G250" s="1226" t="s">
        <v>3633</v>
      </c>
      <c r="H250" s="1226"/>
      <c r="I250" s="1226"/>
      <c r="J250" s="1226"/>
      <c r="K250" s="1226"/>
      <c r="L250" s="1226"/>
      <c r="M250" s="1226"/>
      <c r="N250" s="1226"/>
      <c r="O250" s="1226"/>
      <c r="P250" s="1226"/>
      <c r="Q250" s="1226"/>
      <c r="R250" s="1226"/>
      <c r="S250" s="1226"/>
      <c r="T250" s="1226"/>
      <c r="U250" s="1226"/>
      <c r="V250" s="1226"/>
      <c r="W250" s="1226"/>
      <c r="X250" s="1226"/>
      <c r="Y250" s="1226"/>
      <c r="Z250" s="1228"/>
    </row>
    <row r="251" spans="1:26" ht="138" x14ac:dyDescent="0.3">
      <c r="A251" s="1501" t="s">
        <v>1568</v>
      </c>
      <c r="B251" s="1224" t="s">
        <v>3634</v>
      </c>
      <c r="C251" s="1224" t="s">
        <v>3635</v>
      </c>
      <c r="D251" s="1224" t="s">
        <v>3636</v>
      </c>
      <c r="E251" s="1224" t="s">
        <v>3637</v>
      </c>
      <c r="F251" s="1224" t="s">
        <v>3638</v>
      </c>
      <c r="G251" s="1224" t="s">
        <v>3639</v>
      </c>
      <c r="H251" s="1224"/>
      <c r="I251" s="1224"/>
      <c r="J251" s="1224"/>
      <c r="K251" s="1224"/>
      <c r="L251" s="1224"/>
      <c r="M251" s="1224"/>
      <c r="N251" s="1224"/>
      <c r="O251" s="1224"/>
      <c r="P251" s="1224"/>
      <c r="Q251" s="1224"/>
      <c r="R251" s="1224"/>
      <c r="S251" s="1224"/>
      <c r="T251" s="1224"/>
      <c r="U251" s="1224"/>
      <c r="V251" s="1224"/>
      <c r="W251" s="1224"/>
      <c r="X251" s="1224"/>
      <c r="Y251" s="1224"/>
      <c r="Z251" s="1227"/>
    </row>
    <row r="252" spans="1:26" ht="110.4" x14ac:dyDescent="0.3">
      <c r="A252" s="1501" t="s">
        <v>1568</v>
      </c>
      <c r="B252" s="1226" t="s">
        <v>3640</v>
      </c>
      <c r="C252" s="1226" t="s">
        <v>3641</v>
      </c>
      <c r="D252" s="1226" t="s">
        <v>3642</v>
      </c>
      <c r="E252" s="1226" t="s">
        <v>3643</v>
      </c>
      <c r="F252" s="1226" t="s">
        <v>3644</v>
      </c>
      <c r="G252" s="1226" t="s">
        <v>3645</v>
      </c>
      <c r="H252" s="1226"/>
      <c r="I252" s="1226"/>
      <c r="J252" s="1226"/>
      <c r="K252" s="1226"/>
      <c r="L252" s="1226"/>
      <c r="M252" s="1226"/>
      <c r="N252" s="1226"/>
      <c r="O252" s="1226"/>
      <c r="P252" s="1226"/>
      <c r="Q252" s="1226"/>
      <c r="R252" s="1226"/>
      <c r="S252" s="1226"/>
      <c r="T252" s="1226"/>
      <c r="U252" s="1226"/>
      <c r="V252" s="1226"/>
      <c r="W252" s="1226"/>
      <c r="X252" s="1226"/>
      <c r="Y252" s="1226"/>
      <c r="Z252" s="1228"/>
    </row>
    <row r="253" spans="1:26" ht="138" x14ac:dyDescent="0.3">
      <c r="A253" s="1501" t="s">
        <v>1568</v>
      </c>
      <c r="B253" s="1224" t="s">
        <v>3646</v>
      </c>
      <c r="C253" s="1224" t="s">
        <v>3647</v>
      </c>
      <c r="D253" s="1224" t="s">
        <v>3648</v>
      </c>
      <c r="E253" s="1224" t="s">
        <v>3649</v>
      </c>
      <c r="F253" s="1224" t="s">
        <v>3650</v>
      </c>
      <c r="G253" s="1224" t="s">
        <v>3651</v>
      </c>
      <c r="H253" s="1224"/>
      <c r="I253" s="1224"/>
      <c r="J253" s="1224"/>
      <c r="K253" s="1224"/>
      <c r="L253" s="1224"/>
      <c r="M253" s="1224"/>
      <c r="N253" s="1224"/>
      <c r="O253" s="1224"/>
      <c r="P253" s="1224"/>
      <c r="Q253" s="1224"/>
      <c r="R253" s="1224"/>
      <c r="S253" s="1224"/>
      <c r="T253" s="1224"/>
      <c r="U253" s="1224"/>
      <c r="V253" s="1224"/>
      <c r="W253" s="1224"/>
      <c r="X253" s="1224"/>
      <c r="Y253" s="1224"/>
      <c r="Z253" s="1227"/>
    </row>
    <row r="254" spans="1:26" ht="96.6" x14ac:dyDescent="0.3">
      <c r="A254" s="1501" t="s">
        <v>98</v>
      </c>
      <c r="B254" s="1226" t="s">
        <v>3652</v>
      </c>
      <c r="C254" s="1226" t="s">
        <v>3653</v>
      </c>
      <c r="D254" s="1226" t="s">
        <v>3654</v>
      </c>
      <c r="E254" s="1226" t="s">
        <v>3655</v>
      </c>
      <c r="F254" s="1226" t="s">
        <v>3656</v>
      </c>
      <c r="G254" s="1226" t="s">
        <v>3657</v>
      </c>
      <c r="H254" s="1226"/>
      <c r="I254" s="1226"/>
      <c r="J254" s="1226"/>
      <c r="K254" s="1226"/>
      <c r="L254" s="1226"/>
      <c r="M254" s="1226"/>
      <c r="N254" s="1226"/>
      <c r="O254" s="1226"/>
      <c r="P254" s="1226"/>
      <c r="Q254" s="1226"/>
      <c r="R254" s="1226"/>
      <c r="S254" s="1226"/>
      <c r="T254" s="1226"/>
      <c r="U254" s="1226"/>
      <c r="V254" s="1226"/>
      <c r="W254" s="1226"/>
      <c r="X254" s="1226"/>
      <c r="Y254" s="1226"/>
      <c r="Z254" s="1228"/>
    </row>
    <row r="255" spans="1:26" ht="110.4" x14ac:dyDescent="0.3">
      <c r="A255" s="1501" t="s">
        <v>98</v>
      </c>
      <c r="B255" s="1224" t="s">
        <v>3658</v>
      </c>
      <c r="C255" s="1224" t="s">
        <v>3659</v>
      </c>
      <c r="D255" s="1224" t="s">
        <v>3660</v>
      </c>
      <c r="E255" s="1224" t="s">
        <v>3661</v>
      </c>
      <c r="F255" s="1224" t="s">
        <v>2055</v>
      </c>
      <c r="G255" s="1224" t="s">
        <v>3662</v>
      </c>
      <c r="H255" s="1224"/>
      <c r="I255" s="1224"/>
      <c r="J255" s="1224"/>
      <c r="K255" s="1224"/>
      <c r="L255" s="1224"/>
      <c r="M255" s="1224"/>
      <c r="N255" s="1224"/>
      <c r="O255" s="1224"/>
      <c r="P255" s="1224"/>
      <c r="Q255" s="1224"/>
      <c r="R255" s="1224"/>
      <c r="S255" s="1224"/>
      <c r="T255" s="1224"/>
      <c r="U255" s="1224"/>
      <c r="V255" s="1224"/>
      <c r="W255" s="1224"/>
      <c r="X255" s="1224"/>
      <c r="Y255" s="1224"/>
      <c r="Z255" s="1227"/>
    </row>
    <row r="256" spans="1:26" ht="124.2" x14ac:dyDescent="0.3">
      <c r="A256" s="1501" t="s">
        <v>98</v>
      </c>
      <c r="B256" s="1226" t="s">
        <v>3663</v>
      </c>
      <c r="C256" s="1226" t="s">
        <v>3664</v>
      </c>
      <c r="D256" s="1226" t="s">
        <v>3665</v>
      </c>
      <c r="E256" s="1226" t="s">
        <v>3666</v>
      </c>
      <c r="F256" s="1226" t="s">
        <v>3650</v>
      </c>
      <c r="G256" s="1226" t="s">
        <v>3667</v>
      </c>
      <c r="H256" s="1226"/>
      <c r="I256" s="1226"/>
      <c r="J256" s="1226"/>
      <c r="K256" s="1226"/>
      <c r="L256" s="1226"/>
      <c r="M256" s="1226"/>
      <c r="N256" s="1226"/>
      <c r="O256" s="1226"/>
      <c r="P256" s="1226"/>
      <c r="Q256" s="1226"/>
      <c r="R256" s="1226"/>
      <c r="S256" s="1226"/>
      <c r="T256" s="1226"/>
      <c r="U256" s="1226"/>
      <c r="V256" s="1226"/>
      <c r="W256" s="1226"/>
      <c r="X256" s="1226"/>
      <c r="Y256" s="1226"/>
      <c r="Z256" s="1228"/>
    </row>
    <row r="257" spans="1:26" ht="124.2" x14ac:dyDescent="0.3">
      <c r="A257" s="1501" t="s">
        <v>1145</v>
      </c>
      <c r="B257" s="1224" t="s">
        <v>3668</v>
      </c>
      <c r="C257" s="1224" t="s">
        <v>3669</v>
      </c>
      <c r="D257" s="1224" t="s">
        <v>3670</v>
      </c>
      <c r="E257" s="1224" t="s">
        <v>3671</v>
      </c>
      <c r="F257" s="1224" t="s">
        <v>3638</v>
      </c>
      <c r="G257" s="1224" t="s">
        <v>3672</v>
      </c>
      <c r="H257" s="1224"/>
      <c r="I257" s="1224"/>
      <c r="J257" s="1224"/>
      <c r="K257" s="1224"/>
      <c r="L257" s="1224"/>
      <c r="M257" s="1224"/>
      <c r="N257" s="1224"/>
      <c r="O257" s="1224"/>
      <c r="P257" s="1224"/>
      <c r="Q257" s="1224"/>
      <c r="R257" s="1224"/>
      <c r="S257" s="1224"/>
      <c r="T257" s="1224"/>
      <c r="U257" s="1224"/>
      <c r="V257" s="1224"/>
      <c r="W257" s="1224"/>
      <c r="X257" s="1224"/>
      <c r="Y257" s="1224"/>
      <c r="Z257" s="1227"/>
    </row>
    <row r="258" spans="1:26" ht="110.4" x14ac:dyDescent="0.3">
      <c r="A258" s="1501" t="s">
        <v>1145</v>
      </c>
      <c r="B258" s="1226" t="s">
        <v>3673</v>
      </c>
      <c r="C258" s="1226" t="s">
        <v>3674</v>
      </c>
      <c r="D258" s="1226" t="s">
        <v>3675</v>
      </c>
      <c r="E258" s="1226" t="s">
        <v>2484</v>
      </c>
      <c r="F258" s="1226" t="s">
        <v>3650</v>
      </c>
      <c r="G258" s="1226" t="s">
        <v>3676</v>
      </c>
      <c r="H258" s="1226"/>
      <c r="I258" s="1226"/>
      <c r="J258" s="1226"/>
      <c r="K258" s="1226"/>
      <c r="L258" s="1226"/>
      <c r="M258" s="1226"/>
      <c r="N258" s="1226"/>
      <c r="O258" s="1226"/>
      <c r="P258" s="1226"/>
      <c r="Q258" s="1226"/>
      <c r="R258" s="1226"/>
      <c r="S258" s="1226"/>
      <c r="T258" s="1226"/>
      <c r="U258" s="1226"/>
      <c r="V258" s="1226"/>
      <c r="W258" s="1226"/>
      <c r="X258" s="1226"/>
      <c r="Y258" s="1226"/>
      <c r="Z258" s="1228"/>
    </row>
    <row r="259" spans="1:26" ht="96.6" x14ac:dyDescent="0.3">
      <c r="A259" s="1501" t="s">
        <v>1145</v>
      </c>
      <c r="B259" s="1224" t="s">
        <v>3677</v>
      </c>
      <c r="C259" s="1224" t="s">
        <v>3678</v>
      </c>
      <c r="D259" s="1224" t="s">
        <v>3679</v>
      </c>
      <c r="E259" s="1224" t="s">
        <v>3680</v>
      </c>
      <c r="F259" s="1224" t="s">
        <v>3681</v>
      </c>
      <c r="G259" s="1224" t="s">
        <v>3682</v>
      </c>
      <c r="H259" s="1224"/>
      <c r="I259" s="1224"/>
      <c r="J259" s="1224"/>
      <c r="K259" s="1224"/>
      <c r="L259" s="1224"/>
      <c r="M259" s="1224"/>
      <c r="N259" s="1224"/>
      <c r="O259" s="1224"/>
      <c r="P259" s="1224"/>
      <c r="Q259" s="1224"/>
      <c r="R259" s="1224"/>
      <c r="S259" s="1224"/>
      <c r="T259" s="1224"/>
      <c r="U259" s="1224"/>
      <c r="V259" s="1224"/>
      <c r="W259" s="1224"/>
      <c r="X259" s="1224"/>
      <c r="Y259" s="1224"/>
      <c r="Z259" s="1227"/>
    </row>
    <row r="260" spans="1:26" ht="124.2" x14ac:dyDescent="0.3">
      <c r="A260" s="1501" t="s">
        <v>2534</v>
      </c>
      <c r="B260" s="1226" t="s">
        <v>3683</v>
      </c>
      <c r="C260" s="1226" t="s">
        <v>3684</v>
      </c>
      <c r="D260" s="1226" t="s">
        <v>3685</v>
      </c>
      <c r="E260" s="1226" t="s">
        <v>2484</v>
      </c>
      <c r="F260" s="1226" t="s">
        <v>3650</v>
      </c>
      <c r="G260" s="1226" t="s">
        <v>3686</v>
      </c>
      <c r="H260" s="1226"/>
      <c r="I260" s="1226"/>
      <c r="J260" s="1226"/>
      <c r="K260" s="1226"/>
      <c r="L260" s="1226"/>
      <c r="M260" s="1226"/>
      <c r="N260" s="1226"/>
      <c r="O260" s="1226"/>
      <c r="P260" s="1226"/>
      <c r="Q260" s="1226"/>
      <c r="R260" s="1226"/>
      <c r="S260" s="1226"/>
      <c r="T260" s="1226"/>
      <c r="U260" s="1226"/>
      <c r="V260" s="1226"/>
      <c r="W260" s="1226"/>
      <c r="X260" s="1226"/>
      <c r="Y260" s="1226"/>
      <c r="Z260" s="1228"/>
    </row>
    <row r="261" spans="1:26" x14ac:dyDescent="0.3">
      <c r="A261" s="1501"/>
      <c r="B261" s="1224"/>
      <c r="C261" s="1224"/>
      <c r="D261" s="1224"/>
      <c r="E261" s="1224"/>
      <c r="F261" s="1224"/>
      <c r="G261" s="1224"/>
      <c r="H261" s="1224"/>
      <c r="I261" s="1224"/>
      <c r="J261" s="1224"/>
      <c r="K261" s="1224"/>
      <c r="L261" s="1224"/>
      <c r="M261" s="1224"/>
      <c r="N261" s="1224"/>
      <c r="O261" s="1224"/>
      <c r="P261" s="1224"/>
      <c r="Q261" s="1224"/>
      <c r="R261" s="1224"/>
      <c r="S261" s="1224"/>
      <c r="T261" s="1224"/>
      <c r="U261" s="1224"/>
      <c r="V261" s="1224"/>
      <c r="W261" s="1224"/>
      <c r="X261" s="1224"/>
      <c r="Y261" s="1224"/>
      <c r="Z261" s="1227"/>
    </row>
    <row r="262" spans="1:26" ht="54" x14ac:dyDescent="0.3">
      <c r="A262" s="1501" t="s">
        <v>1428</v>
      </c>
      <c r="B262" s="1226"/>
      <c r="C262" s="1226"/>
      <c r="D262" s="1226"/>
      <c r="E262" s="1226"/>
      <c r="F262" s="1226"/>
      <c r="G262" s="1226"/>
      <c r="H262" s="1226"/>
      <c r="I262" s="1226"/>
      <c r="J262" s="1226"/>
      <c r="K262" s="1226"/>
      <c r="L262" s="1226"/>
      <c r="M262" s="1226"/>
      <c r="N262" s="1226"/>
      <c r="O262" s="1226"/>
      <c r="P262" s="1226"/>
      <c r="Q262" s="1226"/>
      <c r="R262" s="1226"/>
      <c r="S262" s="1226"/>
      <c r="T262" s="1226"/>
      <c r="U262" s="1226"/>
      <c r="V262" s="1226"/>
      <c r="W262" s="1226"/>
      <c r="X262" s="1226"/>
      <c r="Y262" s="1226"/>
      <c r="Z262" s="1228"/>
    </row>
    <row r="263" spans="1:26" ht="409.6" x14ac:dyDescent="0.3">
      <c r="A263" s="1952" t="s">
        <v>3687</v>
      </c>
      <c r="B263" s="1224"/>
      <c r="C263" s="1224"/>
      <c r="D263" s="1224"/>
      <c r="E263" s="1224"/>
      <c r="F263" s="1224"/>
      <c r="G263" s="1224"/>
      <c r="H263" s="1224"/>
      <c r="I263" s="1224"/>
      <c r="J263" s="1224"/>
      <c r="K263" s="1224"/>
      <c r="L263" s="1224"/>
      <c r="M263" s="1224"/>
      <c r="N263" s="1224"/>
      <c r="O263" s="1224"/>
      <c r="P263" s="1224"/>
      <c r="Q263" s="1224"/>
      <c r="R263" s="1224"/>
      <c r="S263" s="1224"/>
      <c r="T263" s="1224"/>
      <c r="U263" s="1224"/>
      <c r="V263" s="1224"/>
      <c r="W263" s="1224"/>
      <c r="X263" s="1224"/>
      <c r="Y263" s="1224"/>
      <c r="Z263" s="1227"/>
    </row>
    <row r="264" spans="1:26" ht="356.4" x14ac:dyDescent="0.3">
      <c r="A264" s="1501" t="s">
        <v>3688</v>
      </c>
      <c r="B264" s="1226"/>
      <c r="C264" s="1226"/>
      <c r="D264" s="1226"/>
      <c r="E264" s="1226"/>
      <c r="F264" s="1226"/>
      <c r="G264" s="1226"/>
      <c r="H264" s="1226"/>
      <c r="I264" s="1226"/>
      <c r="J264" s="1226"/>
      <c r="K264" s="1226"/>
      <c r="L264" s="1226"/>
      <c r="M264" s="1226"/>
      <c r="N264" s="1226"/>
      <c r="O264" s="1226"/>
      <c r="P264" s="1226"/>
      <c r="Q264" s="1226"/>
      <c r="R264" s="1226"/>
      <c r="S264" s="1226"/>
      <c r="T264" s="1226"/>
      <c r="U264" s="1226"/>
      <c r="V264" s="1226"/>
      <c r="W264" s="1226"/>
      <c r="X264" s="1226"/>
      <c r="Y264" s="1226"/>
      <c r="Z264" s="1228"/>
    </row>
    <row r="265" spans="1:26" ht="291.60000000000002" x14ac:dyDescent="0.3">
      <c r="A265" s="1501" t="s">
        <v>4107</v>
      </c>
      <c r="B265" s="1224"/>
      <c r="C265" s="1224"/>
      <c r="D265" s="1224"/>
      <c r="E265" s="1224"/>
      <c r="F265" s="1224"/>
      <c r="G265" s="1224"/>
      <c r="H265" s="1224"/>
      <c r="I265" s="1224"/>
      <c r="J265" s="1224"/>
      <c r="K265" s="1224"/>
      <c r="L265" s="1224"/>
      <c r="M265" s="1224"/>
      <c r="N265" s="1224"/>
      <c r="O265" s="1224"/>
      <c r="P265" s="1224"/>
      <c r="Q265" s="1224"/>
      <c r="R265" s="1224"/>
      <c r="S265" s="1224"/>
      <c r="T265" s="1224"/>
      <c r="U265" s="1224"/>
      <c r="V265" s="1224"/>
      <c r="W265" s="1224"/>
      <c r="X265" s="1224"/>
      <c r="Y265" s="1224"/>
      <c r="Z265" s="1227"/>
    </row>
    <row r="266" spans="1:26" ht="151.80000000000001" x14ac:dyDescent="0.3">
      <c r="A266" s="1501">
        <v>95</v>
      </c>
      <c r="B266" s="1226">
        <v>46025</v>
      </c>
      <c r="C266" s="1226" t="s">
        <v>3689</v>
      </c>
      <c r="D266" s="1226" t="s">
        <v>3690</v>
      </c>
      <c r="E266" s="1226" t="s">
        <v>3691</v>
      </c>
      <c r="F266" s="1226" t="s">
        <v>3692</v>
      </c>
      <c r="G266" s="1226" t="s">
        <v>3693</v>
      </c>
      <c r="H266" s="1226" t="s">
        <v>3694</v>
      </c>
      <c r="I266" s="1226" t="s">
        <v>225</v>
      </c>
      <c r="J266" s="1226" t="s">
        <v>3695</v>
      </c>
      <c r="K266" s="1226" t="s">
        <v>3491</v>
      </c>
      <c r="L266" s="1226">
        <v>46025</v>
      </c>
      <c r="M266" s="1226" t="s">
        <v>3696</v>
      </c>
      <c r="N266" s="1226"/>
      <c r="O266" s="1226"/>
      <c r="P266" s="1226"/>
      <c r="Q266" s="1226"/>
      <c r="R266" s="1226"/>
      <c r="S266" s="1226"/>
      <c r="T266" s="1226"/>
      <c r="U266" s="1226"/>
      <c r="V266" s="1226"/>
      <c r="W266" s="1226"/>
      <c r="X266" s="1226"/>
      <c r="Y266" s="1226"/>
      <c r="Z266" s="1228"/>
    </row>
    <row r="267" spans="1:26" ht="124.2" x14ac:dyDescent="0.3">
      <c r="A267" s="1501">
        <v>46176</v>
      </c>
      <c r="B267" s="1224" t="s">
        <v>3697</v>
      </c>
      <c r="C267" s="1224" t="s">
        <v>3698</v>
      </c>
      <c r="D267" s="1224" t="s">
        <v>3699</v>
      </c>
      <c r="E267" s="1224"/>
      <c r="F267" s="1224"/>
      <c r="G267" s="1224"/>
      <c r="H267" s="1224"/>
      <c r="I267" s="1224"/>
      <c r="J267" s="1224"/>
      <c r="K267" s="1224"/>
      <c r="L267" s="1224"/>
      <c r="M267" s="1224"/>
      <c r="N267" s="1224"/>
      <c r="O267" s="1224"/>
      <c r="P267" s="1224"/>
      <c r="Q267" s="1224"/>
      <c r="R267" s="1224"/>
      <c r="S267" s="1224"/>
      <c r="T267" s="1224"/>
      <c r="U267" s="1224"/>
      <c r="V267" s="1224"/>
      <c r="W267" s="1224"/>
      <c r="X267" s="1224"/>
      <c r="Y267" s="1224"/>
      <c r="Z267" s="1227"/>
    </row>
    <row r="268" spans="1:26" x14ac:dyDescent="0.3">
      <c r="A268" s="1501"/>
      <c r="B268" s="1226"/>
      <c r="C268" s="1226"/>
      <c r="D268" s="1226"/>
      <c r="E268" s="1226"/>
      <c r="F268" s="1226"/>
      <c r="G268" s="1226"/>
      <c r="H268" s="1226"/>
      <c r="I268" s="1226"/>
      <c r="J268" s="1226"/>
      <c r="K268" s="1226"/>
      <c r="L268" s="1226"/>
      <c r="M268" s="1226"/>
      <c r="N268" s="1226"/>
      <c r="O268" s="1226"/>
      <c r="P268" s="1226"/>
      <c r="Q268" s="1226"/>
      <c r="R268" s="1226"/>
      <c r="S268" s="1226"/>
      <c r="T268" s="1226"/>
      <c r="U268" s="1226"/>
      <c r="V268" s="1226"/>
      <c r="W268" s="1226"/>
      <c r="X268" s="1226"/>
      <c r="Y268" s="1226"/>
      <c r="Z268" s="1228"/>
    </row>
    <row r="269" spans="1:26" ht="291.60000000000002" x14ac:dyDescent="0.3">
      <c r="A269" s="1501" t="s">
        <v>4161</v>
      </c>
      <c r="B269" s="1224"/>
      <c r="C269" s="1224"/>
      <c r="D269" s="1224"/>
      <c r="E269" s="1224"/>
      <c r="F269" s="1224"/>
      <c r="G269" s="1224"/>
      <c r="H269" s="1224"/>
      <c r="I269" s="1224"/>
      <c r="J269" s="1224"/>
      <c r="K269" s="1224"/>
      <c r="L269" s="1224"/>
      <c r="M269" s="1224"/>
      <c r="N269" s="1224"/>
      <c r="O269" s="1224"/>
      <c r="P269" s="1224"/>
      <c r="Q269" s="1224"/>
      <c r="R269" s="1224"/>
      <c r="S269" s="1224"/>
      <c r="T269" s="1224"/>
      <c r="U269" s="1224"/>
      <c r="V269" s="1224"/>
      <c r="W269" s="1224"/>
      <c r="X269" s="1224"/>
      <c r="Y269" s="1224"/>
      <c r="Z269" s="1227"/>
    </row>
    <row r="270" spans="1:26" ht="237.6" x14ac:dyDescent="0.3">
      <c r="A270" s="1952" t="s">
        <v>4162</v>
      </c>
      <c r="B270" s="1226"/>
      <c r="C270" s="1226"/>
      <c r="D270" s="1226"/>
      <c r="E270" s="1226"/>
      <c r="F270" s="1226"/>
      <c r="G270" s="1226"/>
      <c r="H270" s="1226"/>
      <c r="I270" s="1226"/>
      <c r="J270" s="1226"/>
      <c r="K270" s="1226"/>
      <c r="L270" s="1226"/>
      <c r="M270" s="1226"/>
      <c r="N270" s="1226"/>
      <c r="O270" s="1226"/>
      <c r="P270" s="1226"/>
      <c r="Q270" s="1226"/>
      <c r="R270" s="1226"/>
      <c r="S270" s="1226"/>
      <c r="T270" s="1226"/>
      <c r="U270" s="1226"/>
      <c r="V270" s="1226"/>
      <c r="W270" s="1226"/>
      <c r="X270" s="1226"/>
      <c r="Y270" s="1226"/>
      <c r="Z270" s="1228"/>
    </row>
    <row r="271" spans="1:26" ht="75.599999999999994" x14ac:dyDescent="0.3">
      <c r="A271" s="1501" t="s">
        <v>4163</v>
      </c>
      <c r="B271" s="1224"/>
      <c r="C271" s="1224"/>
      <c r="D271" s="1224"/>
      <c r="E271" s="1224"/>
      <c r="F271" s="1224"/>
      <c r="G271" s="1224"/>
      <c r="H271" s="1224"/>
      <c r="I271" s="1224"/>
      <c r="J271" s="1224"/>
      <c r="K271" s="1224"/>
      <c r="L271" s="1224"/>
      <c r="M271" s="1224"/>
      <c r="N271" s="1224"/>
      <c r="O271" s="1224"/>
      <c r="P271" s="1224"/>
      <c r="Q271" s="1224"/>
      <c r="R271" s="1224"/>
      <c r="S271" s="1224"/>
      <c r="T271" s="1224"/>
      <c r="U271" s="1224"/>
      <c r="V271" s="1224"/>
      <c r="W271" s="1224"/>
      <c r="X271" s="1224"/>
      <c r="Y271" s="1224"/>
      <c r="Z271" s="1227"/>
    </row>
    <row r="272" spans="1:26" ht="27.6" x14ac:dyDescent="0.3">
      <c r="A272" s="1501" t="s">
        <v>4164</v>
      </c>
      <c r="B272" s="1226" t="s">
        <v>4165</v>
      </c>
      <c r="C272" s="1226"/>
      <c r="D272" s="1226"/>
      <c r="E272" s="1226"/>
      <c r="F272" s="1226"/>
      <c r="G272" s="1226"/>
      <c r="H272" s="1226"/>
      <c r="I272" s="1226"/>
      <c r="J272" s="1226"/>
      <c r="K272" s="1226"/>
      <c r="L272" s="1226"/>
      <c r="M272" s="1226"/>
      <c r="N272" s="1226"/>
      <c r="O272" s="1226"/>
      <c r="P272" s="1226"/>
      <c r="Q272" s="1226"/>
      <c r="R272" s="1226"/>
      <c r="S272" s="1226"/>
      <c r="T272" s="1226"/>
      <c r="U272" s="1226"/>
      <c r="V272" s="1226"/>
      <c r="W272" s="1226"/>
      <c r="X272" s="1226"/>
      <c r="Y272" s="1226"/>
      <c r="Z272" s="1228"/>
    </row>
    <row r="273" spans="1:26" ht="21.6" x14ac:dyDescent="0.3">
      <c r="A273" s="1501" t="s">
        <v>4166</v>
      </c>
      <c r="B273" s="1224" t="s">
        <v>4167</v>
      </c>
      <c r="C273" s="1224"/>
      <c r="D273" s="1224"/>
      <c r="E273" s="1224"/>
      <c r="F273" s="1224"/>
      <c r="G273" s="1224"/>
      <c r="H273" s="1224"/>
      <c r="I273" s="1224"/>
      <c r="J273" s="1224"/>
      <c r="K273" s="1224"/>
      <c r="L273" s="1224"/>
      <c r="M273" s="1224"/>
      <c r="N273" s="1224"/>
      <c r="O273" s="1224"/>
      <c r="P273" s="1224"/>
      <c r="Q273" s="1224"/>
      <c r="R273" s="1224"/>
      <c r="S273" s="1224"/>
      <c r="T273" s="1224"/>
      <c r="U273" s="1224"/>
      <c r="V273" s="1224"/>
      <c r="W273" s="1224"/>
      <c r="X273" s="1224"/>
      <c r="Y273" s="1224"/>
      <c r="Z273" s="1227"/>
    </row>
    <row r="274" spans="1:26" ht="41.4" x14ac:dyDescent="0.3">
      <c r="A274" s="1501" t="s">
        <v>4168</v>
      </c>
      <c r="B274" s="1226" t="s">
        <v>4169</v>
      </c>
      <c r="C274" s="1226"/>
      <c r="D274" s="1226"/>
      <c r="E274" s="1226"/>
      <c r="F274" s="1226"/>
      <c r="G274" s="1226"/>
      <c r="H274" s="1226"/>
      <c r="I274" s="1226"/>
      <c r="J274" s="1226"/>
      <c r="K274" s="1226"/>
      <c r="L274" s="1226"/>
      <c r="M274" s="1226"/>
      <c r="N274" s="1226"/>
      <c r="O274" s="1226"/>
      <c r="P274" s="1226"/>
      <c r="Q274" s="1226"/>
      <c r="R274" s="1226"/>
      <c r="S274" s="1226"/>
      <c r="T274" s="1226"/>
      <c r="U274" s="1226"/>
      <c r="V274" s="1226"/>
      <c r="W274" s="1226"/>
      <c r="X274" s="1226"/>
      <c r="Y274" s="1226"/>
      <c r="Z274" s="1228"/>
    </row>
    <row r="275" spans="1:26" ht="32.4" x14ac:dyDescent="0.3">
      <c r="A275" s="1501" t="s">
        <v>4170</v>
      </c>
      <c r="B275" s="1500">
        <v>46237</v>
      </c>
      <c r="C275" s="1224"/>
      <c r="D275" s="1224"/>
      <c r="E275" s="1224"/>
      <c r="F275" s="1224"/>
      <c r="G275" s="1224"/>
      <c r="H275" s="1224"/>
      <c r="I275" s="1224"/>
      <c r="J275" s="1224"/>
      <c r="K275" s="1224"/>
      <c r="L275" s="1224"/>
      <c r="M275" s="1224"/>
      <c r="N275" s="1224"/>
      <c r="O275" s="1224"/>
      <c r="P275" s="1224"/>
      <c r="Q275" s="1224"/>
      <c r="R275" s="1224"/>
      <c r="S275" s="1224"/>
      <c r="T275" s="1224"/>
      <c r="U275" s="1224"/>
      <c r="V275" s="1224"/>
      <c r="W275" s="1224"/>
      <c r="X275" s="1224"/>
      <c r="Y275" s="1224"/>
      <c r="Z275" s="1227"/>
    </row>
    <row r="276" spans="1:26" ht="41.4" x14ac:dyDescent="0.3">
      <c r="A276" s="1501" t="s">
        <v>4171</v>
      </c>
      <c r="B276" s="1226" t="s">
        <v>4172</v>
      </c>
      <c r="C276" s="1226"/>
      <c r="D276" s="1226"/>
      <c r="E276" s="1226"/>
      <c r="F276" s="1226"/>
      <c r="G276" s="1226"/>
      <c r="H276" s="1226"/>
      <c r="I276" s="1226"/>
      <c r="J276" s="1226"/>
      <c r="K276" s="1226"/>
      <c r="L276" s="1226"/>
      <c r="M276" s="1226"/>
      <c r="N276" s="1226"/>
      <c r="O276" s="1226"/>
      <c r="P276" s="1226"/>
      <c r="Q276" s="1226"/>
      <c r="R276" s="1226"/>
      <c r="S276" s="1226"/>
      <c r="T276" s="1226"/>
      <c r="U276" s="1226"/>
      <c r="V276" s="1226"/>
      <c r="W276" s="1226"/>
      <c r="X276" s="1226"/>
      <c r="Y276" s="1226"/>
      <c r="Z276" s="1228"/>
    </row>
    <row r="277" spans="1:26" ht="75.599999999999994" x14ac:dyDescent="0.3">
      <c r="A277" s="1501" t="s">
        <v>4173</v>
      </c>
      <c r="B277" s="1224"/>
      <c r="C277" s="1224"/>
      <c r="D277" s="1224"/>
      <c r="E277" s="1224"/>
      <c r="F277" s="1224"/>
      <c r="G277" s="1224"/>
      <c r="H277" s="1224"/>
      <c r="I277" s="1224"/>
      <c r="J277" s="1224"/>
      <c r="K277" s="1224"/>
      <c r="L277" s="1224"/>
      <c r="M277" s="1224"/>
      <c r="N277" s="1224"/>
      <c r="O277" s="1224"/>
      <c r="P277" s="1224"/>
      <c r="Q277" s="1224"/>
      <c r="R277" s="1224"/>
      <c r="S277" s="1224"/>
      <c r="T277" s="1224"/>
      <c r="U277" s="1224"/>
      <c r="V277" s="1224"/>
      <c r="W277" s="1224"/>
      <c r="X277" s="1224"/>
      <c r="Y277" s="1224"/>
      <c r="Z277" s="1227"/>
    </row>
    <row r="278" spans="1:26" ht="43.2" x14ac:dyDescent="0.3">
      <c r="A278" s="1501" t="s">
        <v>4174</v>
      </c>
      <c r="B278" s="1226" t="s">
        <v>4175</v>
      </c>
      <c r="C278" s="1226"/>
      <c r="D278" s="1226"/>
      <c r="E278" s="1226"/>
      <c r="F278" s="1226"/>
      <c r="G278" s="1226"/>
      <c r="H278" s="1226"/>
      <c r="I278" s="1226"/>
      <c r="J278" s="1226"/>
      <c r="K278" s="1226"/>
      <c r="L278" s="1226"/>
      <c r="M278" s="1226"/>
      <c r="N278" s="1226"/>
      <c r="O278" s="1226"/>
      <c r="P278" s="1226"/>
      <c r="Q278" s="1226"/>
      <c r="R278" s="1226"/>
      <c r="S278" s="1226"/>
      <c r="T278" s="1226"/>
      <c r="U278" s="1226"/>
      <c r="V278" s="1226"/>
      <c r="W278" s="1226"/>
      <c r="X278" s="1226"/>
      <c r="Y278" s="1226"/>
      <c r="Z278" s="1228"/>
    </row>
    <row r="279" spans="1:26" ht="69" x14ac:dyDescent="0.3">
      <c r="A279" s="1501" t="s">
        <v>4176</v>
      </c>
      <c r="B279" s="1224" t="s">
        <v>4177</v>
      </c>
      <c r="C279" s="1224"/>
      <c r="D279" s="1224"/>
      <c r="E279" s="1224"/>
      <c r="F279" s="1224"/>
      <c r="G279" s="1224"/>
      <c r="H279" s="1224"/>
      <c r="I279" s="1224"/>
      <c r="J279" s="1224"/>
      <c r="K279" s="1224"/>
      <c r="L279" s="1224"/>
      <c r="M279" s="1224"/>
      <c r="N279" s="1224"/>
      <c r="O279" s="1224"/>
      <c r="P279" s="1224"/>
      <c r="Q279" s="1224"/>
      <c r="R279" s="1224"/>
      <c r="S279" s="1224"/>
      <c r="T279" s="1224"/>
      <c r="U279" s="1224"/>
      <c r="V279" s="1224"/>
      <c r="W279" s="1224"/>
      <c r="X279" s="1224"/>
      <c r="Y279" s="1224"/>
      <c r="Z279" s="1227"/>
    </row>
    <row r="280" spans="1:26" ht="69" x14ac:dyDescent="0.3">
      <c r="A280" s="1501" t="s">
        <v>4178</v>
      </c>
      <c r="B280" s="1226" t="s">
        <v>4179</v>
      </c>
      <c r="C280" s="1226"/>
      <c r="D280" s="1226"/>
      <c r="E280" s="1226"/>
      <c r="F280" s="1226"/>
      <c r="G280" s="1226"/>
      <c r="H280" s="1226"/>
      <c r="I280" s="1226"/>
      <c r="J280" s="1226"/>
      <c r="K280" s="1226"/>
      <c r="L280" s="1226"/>
      <c r="M280" s="1226"/>
      <c r="N280" s="1226"/>
      <c r="O280" s="1226"/>
      <c r="P280" s="1226"/>
      <c r="Q280" s="1226"/>
      <c r="R280" s="1226"/>
      <c r="S280" s="1226"/>
      <c r="T280" s="1226"/>
      <c r="U280" s="1226"/>
      <c r="V280" s="1226"/>
      <c r="W280" s="1226"/>
      <c r="X280" s="1226"/>
      <c r="Y280" s="1226"/>
      <c r="Z280" s="1228"/>
    </row>
    <row r="281" spans="1:26" ht="43.2" x14ac:dyDescent="0.3">
      <c r="A281" s="1501" t="s">
        <v>4180</v>
      </c>
      <c r="B281" s="1224" t="s">
        <v>4446</v>
      </c>
      <c r="C281" s="1224"/>
      <c r="D281" s="1224"/>
      <c r="E281" s="1224"/>
      <c r="F281" s="1224"/>
      <c r="G281" s="1224"/>
      <c r="H281" s="1224"/>
      <c r="I281" s="1224"/>
      <c r="J281" s="1224"/>
      <c r="K281" s="1224"/>
      <c r="L281" s="1224"/>
      <c r="M281" s="1224"/>
      <c r="N281" s="1224"/>
      <c r="O281" s="1224"/>
      <c r="P281" s="1224"/>
      <c r="Q281" s="1224"/>
      <c r="R281" s="1224"/>
      <c r="S281" s="1224"/>
      <c r="T281" s="1224"/>
      <c r="U281" s="1224"/>
      <c r="V281" s="1224"/>
      <c r="W281" s="1224"/>
      <c r="X281" s="1224"/>
      <c r="Y281" s="1224"/>
      <c r="Z281" s="1227"/>
    </row>
    <row r="282" spans="1:26" ht="64.8" x14ac:dyDescent="0.3">
      <c r="A282" s="1501" t="s">
        <v>4181</v>
      </c>
      <c r="B282" s="1226" t="s">
        <v>4182</v>
      </c>
      <c r="C282" s="1226" t="s">
        <v>4183</v>
      </c>
      <c r="D282" s="1226" t="s">
        <v>4184</v>
      </c>
      <c r="E282" s="1226"/>
      <c r="F282" s="1226"/>
      <c r="G282" s="1226"/>
      <c r="H282" s="1226"/>
      <c r="I282" s="1226"/>
      <c r="J282" s="1226"/>
      <c r="K282" s="1226"/>
      <c r="L282" s="1226"/>
      <c r="M282" s="1226"/>
      <c r="N282" s="1226"/>
      <c r="O282" s="1226"/>
      <c r="P282" s="1226"/>
      <c r="Q282" s="1226"/>
      <c r="R282" s="1226"/>
      <c r="S282" s="1226"/>
      <c r="T282" s="1226"/>
      <c r="U282" s="1226"/>
      <c r="V282" s="1226"/>
      <c r="W282" s="1226"/>
      <c r="X282" s="1226"/>
      <c r="Y282" s="1226"/>
      <c r="Z282" s="1228"/>
    </row>
    <row r="283" spans="1:26" ht="32.4" x14ac:dyDescent="0.3">
      <c r="A283" s="1501" t="s">
        <v>539</v>
      </c>
      <c r="B283" s="1224">
        <v>0.33019999999999999</v>
      </c>
      <c r="C283" s="1224">
        <v>1</v>
      </c>
      <c r="D283" s="1224" t="s">
        <v>4447</v>
      </c>
      <c r="E283" s="1224"/>
      <c r="F283" s="1224"/>
      <c r="G283" s="1224"/>
      <c r="H283" s="1224"/>
      <c r="I283" s="1224"/>
      <c r="J283" s="1224"/>
      <c r="K283" s="1224"/>
      <c r="L283" s="1224"/>
      <c r="M283" s="1224"/>
      <c r="N283" s="1224"/>
      <c r="O283" s="1224"/>
      <c r="P283" s="1224"/>
      <c r="Q283" s="1224"/>
      <c r="R283" s="1224"/>
      <c r="S283" s="1224"/>
      <c r="T283" s="1224"/>
      <c r="U283" s="1224"/>
      <c r="V283" s="1224"/>
      <c r="W283" s="1224"/>
      <c r="X283" s="1224"/>
      <c r="Y283" s="1224"/>
      <c r="Z283" s="1227"/>
    </row>
    <row r="284" spans="1:26" ht="32.4" x14ac:dyDescent="0.3">
      <c r="A284" s="1501" t="s">
        <v>43</v>
      </c>
      <c r="B284" s="1226">
        <v>0.17660000000000001</v>
      </c>
      <c r="C284" s="1226">
        <v>1.5</v>
      </c>
      <c r="D284" s="1226" t="s">
        <v>4448</v>
      </c>
      <c r="E284" s="1226"/>
      <c r="F284" s="1226"/>
      <c r="G284" s="1226"/>
      <c r="H284" s="1226"/>
      <c r="I284" s="1226"/>
      <c r="J284" s="1226"/>
      <c r="K284" s="1226"/>
      <c r="L284" s="1226"/>
      <c r="M284" s="1226"/>
      <c r="N284" s="1226"/>
      <c r="O284" s="1226"/>
      <c r="P284" s="1226"/>
      <c r="Q284" s="1226"/>
      <c r="R284" s="1226"/>
      <c r="S284" s="1226"/>
      <c r="T284" s="1226"/>
      <c r="U284" s="1226"/>
      <c r="V284" s="1226"/>
      <c r="W284" s="1226"/>
      <c r="X284" s="1226"/>
      <c r="Y284" s="1226"/>
      <c r="Z284" s="1228"/>
    </row>
    <row r="285" spans="1:26" ht="32.4" x14ac:dyDescent="0.3">
      <c r="A285" s="1501" t="s">
        <v>487</v>
      </c>
      <c r="B285" s="1224">
        <v>0.15160000000000001</v>
      </c>
      <c r="C285" s="1224">
        <v>1</v>
      </c>
      <c r="D285" s="1224" t="s">
        <v>4449</v>
      </c>
      <c r="E285" s="1224"/>
      <c r="F285" s="1224"/>
      <c r="G285" s="1224"/>
      <c r="H285" s="1224"/>
      <c r="I285" s="1224"/>
      <c r="J285" s="1224"/>
      <c r="K285" s="1224"/>
      <c r="L285" s="1224"/>
      <c r="M285" s="1224"/>
      <c r="N285" s="1224"/>
      <c r="O285" s="1224"/>
      <c r="P285" s="1224"/>
      <c r="Q285" s="1224"/>
      <c r="R285" s="1224"/>
      <c r="S285" s="1224"/>
      <c r="T285" s="1224"/>
      <c r="U285" s="1224"/>
      <c r="V285" s="1224"/>
      <c r="W285" s="1224"/>
      <c r="X285" s="1224"/>
      <c r="Y285" s="1224"/>
      <c r="Z285" s="1227"/>
    </row>
    <row r="286" spans="1:26" ht="32.4" x14ac:dyDescent="0.3">
      <c r="A286" s="1501" t="s">
        <v>687</v>
      </c>
      <c r="B286" s="1226">
        <v>5.1299999999999998E-2</v>
      </c>
      <c r="C286" s="1226">
        <v>1</v>
      </c>
      <c r="D286" s="1226" t="s">
        <v>4450</v>
      </c>
      <c r="E286" s="1226"/>
      <c r="F286" s="1226"/>
      <c r="G286" s="1226"/>
      <c r="H286" s="1226"/>
      <c r="I286" s="1226"/>
      <c r="J286" s="1226"/>
      <c r="K286" s="1226"/>
      <c r="L286" s="1226"/>
      <c r="M286" s="1226"/>
      <c r="N286" s="1226"/>
      <c r="O286" s="1226"/>
      <c r="P286" s="1226"/>
      <c r="Q286" s="1226"/>
      <c r="R286" s="1226"/>
      <c r="S286" s="1226"/>
      <c r="T286" s="1226"/>
      <c r="U286" s="1226"/>
      <c r="V286" s="1226"/>
      <c r="W286" s="1226"/>
      <c r="X286" s="1226"/>
      <c r="Y286" s="1226"/>
      <c r="Z286" s="1228"/>
    </row>
    <row r="287" spans="1:26" ht="32.4" x14ac:dyDescent="0.3">
      <c r="A287" s="1501" t="s">
        <v>53</v>
      </c>
      <c r="B287" s="1224">
        <v>4.8800000000000003E-2</v>
      </c>
      <c r="C287" s="1224">
        <v>1</v>
      </c>
      <c r="D287" s="1224" t="s">
        <v>4451</v>
      </c>
      <c r="E287" s="1224"/>
      <c r="F287" s="1224"/>
      <c r="G287" s="1224"/>
      <c r="H287" s="1224"/>
      <c r="I287" s="1224"/>
      <c r="J287" s="1224"/>
      <c r="K287" s="1224"/>
      <c r="L287" s="1224"/>
      <c r="M287" s="1224"/>
      <c r="N287" s="1224"/>
      <c r="O287" s="1224"/>
      <c r="P287" s="1224"/>
      <c r="Q287" s="1224"/>
      <c r="R287" s="1224"/>
      <c r="S287" s="1224"/>
      <c r="T287" s="1224"/>
      <c r="U287" s="1224"/>
      <c r="V287" s="1224"/>
      <c r="W287" s="1224"/>
      <c r="X287" s="1224"/>
      <c r="Y287" s="1224"/>
      <c r="Z287" s="1227"/>
    </row>
    <row r="288" spans="1:26" ht="32.4" x14ac:dyDescent="0.3">
      <c r="A288" s="1501" t="s">
        <v>507</v>
      </c>
      <c r="B288" s="1226">
        <v>3.85E-2</v>
      </c>
      <c r="C288" s="1226">
        <v>1.5</v>
      </c>
      <c r="D288" s="1226" t="s">
        <v>4452</v>
      </c>
      <c r="E288" s="1226"/>
      <c r="F288" s="1226"/>
      <c r="G288" s="1226"/>
      <c r="H288" s="1226"/>
      <c r="I288" s="1226"/>
      <c r="J288" s="1226"/>
      <c r="K288" s="1226"/>
      <c r="L288" s="1226"/>
      <c r="M288" s="1226"/>
      <c r="N288" s="1226"/>
      <c r="O288" s="1226"/>
      <c r="P288" s="1226"/>
      <c r="Q288" s="1226"/>
      <c r="R288" s="1226"/>
      <c r="S288" s="1226"/>
      <c r="T288" s="1226"/>
      <c r="U288" s="1226"/>
      <c r="V288" s="1226"/>
      <c r="W288" s="1226"/>
      <c r="X288" s="1226"/>
      <c r="Y288" s="1226"/>
      <c r="Z288" s="1228"/>
    </row>
    <row r="289" spans="1:26" ht="32.4" x14ac:dyDescent="0.3">
      <c r="A289" s="1501" t="s">
        <v>633</v>
      </c>
      <c r="B289" s="1224">
        <v>3.6999999999999998E-2</v>
      </c>
      <c r="C289" s="1224">
        <v>0.5</v>
      </c>
      <c r="D289" s="1224" t="s">
        <v>4453</v>
      </c>
      <c r="E289" s="1224"/>
      <c r="F289" s="1224"/>
      <c r="G289" s="1224"/>
      <c r="H289" s="1224"/>
      <c r="I289" s="1224"/>
      <c r="J289" s="1224"/>
      <c r="K289" s="1224"/>
      <c r="L289" s="1224"/>
      <c r="M289" s="1224"/>
      <c r="N289" s="1224"/>
      <c r="O289" s="1224"/>
      <c r="P289" s="1224"/>
      <c r="Q289" s="1224"/>
      <c r="R289" s="1224"/>
      <c r="S289" s="1224"/>
      <c r="T289" s="1224"/>
      <c r="U289" s="1224"/>
      <c r="V289" s="1224"/>
      <c r="W289" s="1224"/>
      <c r="X289" s="1224"/>
      <c r="Y289" s="1224"/>
      <c r="Z289" s="1227"/>
    </row>
    <row r="290" spans="1:26" ht="32.4" x14ac:dyDescent="0.3">
      <c r="A290" s="1501" t="s">
        <v>526</v>
      </c>
      <c r="B290" s="1226">
        <v>2.7099999999999999E-2</v>
      </c>
      <c r="C290" s="1226">
        <v>1</v>
      </c>
      <c r="D290" s="1226" t="s">
        <v>4454</v>
      </c>
      <c r="E290" s="1226"/>
      <c r="F290" s="1226"/>
      <c r="G290" s="1226"/>
      <c r="H290" s="1226"/>
      <c r="I290" s="1226"/>
      <c r="J290" s="1226"/>
      <c r="K290" s="1226"/>
      <c r="L290" s="1226"/>
      <c r="M290" s="1226"/>
      <c r="N290" s="1226"/>
      <c r="O290" s="1226"/>
      <c r="P290" s="1226"/>
      <c r="Q290" s="1226"/>
      <c r="R290" s="1226"/>
      <c r="S290" s="1226"/>
      <c r="T290" s="1226"/>
      <c r="U290" s="1226"/>
      <c r="V290" s="1226"/>
      <c r="W290" s="1226"/>
      <c r="X290" s="1226"/>
      <c r="Y290" s="1226"/>
      <c r="Z290" s="1228"/>
    </row>
    <row r="291" spans="1:26" ht="32.4" x14ac:dyDescent="0.3">
      <c r="A291" s="1501" t="s">
        <v>515</v>
      </c>
      <c r="B291" s="1224">
        <v>2.5499999999999998E-2</v>
      </c>
      <c r="C291" s="1224">
        <v>1.5</v>
      </c>
      <c r="D291" s="1224" t="s">
        <v>4455</v>
      </c>
      <c r="E291" s="1224"/>
      <c r="F291" s="1224"/>
      <c r="G291" s="1224"/>
      <c r="H291" s="1224"/>
      <c r="I291" s="1224"/>
      <c r="J291" s="1224"/>
      <c r="K291" s="1224"/>
      <c r="L291" s="1224"/>
      <c r="M291" s="1224"/>
      <c r="N291" s="1224"/>
      <c r="O291" s="1224"/>
      <c r="P291" s="1224"/>
      <c r="Q291" s="1224"/>
      <c r="R291" s="1224"/>
      <c r="S291" s="1224"/>
      <c r="T291" s="1224"/>
      <c r="U291" s="1224"/>
      <c r="V291" s="1224"/>
      <c r="W291" s="1224"/>
      <c r="X291" s="1224"/>
      <c r="Y291" s="1224"/>
      <c r="Z291" s="1227"/>
    </row>
    <row r="292" spans="1:26" ht="32.4" x14ac:dyDescent="0.3">
      <c r="A292" s="1501" t="s">
        <v>483</v>
      </c>
      <c r="B292" s="1226">
        <v>2.2700000000000001E-2</v>
      </c>
      <c r="C292" s="1226">
        <v>1</v>
      </c>
      <c r="D292" s="1226" t="s">
        <v>4456</v>
      </c>
      <c r="E292" s="1226"/>
      <c r="F292" s="1226"/>
      <c r="G292" s="1226"/>
      <c r="H292" s="1226"/>
      <c r="I292" s="1226"/>
      <c r="J292" s="1226"/>
      <c r="K292" s="1226"/>
      <c r="L292" s="1226"/>
      <c r="M292" s="1226"/>
      <c r="N292" s="1226"/>
      <c r="O292" s="1226"/>
      <c r="P292" s="1226"/>
      <c r="Q292" s="1226"/>
      <c r="R292" s="1226"/>
      <c r="S292" s="1226"/>
      <c r="T292" s="1226"/>
      <c r="U292" s="1226"/>
      <c r="V292" s="1226"/>
      <c r="W292" s="1226"/>
      <c r="X292" s="1226"/>
      <c r="Y292" s="1226"/>
      <c r="Z292" s="1228"/>
    </row>
    <row r="293" spans="1:26" ht="32.4" x14ac:dyDescent="0.3">
      <c r="A293" s="1501" t="s">
        <v>443</v>
      </c>
      <c r="B293" s="1224">
        <v>1.8499999999999999E-2</v>
      </c>
      <c r="C293" s="1224">
        <v>0.5</v>
      </c>
      <c r="D293" s="1224" t="s">
        <v>4457</v>
      </c>
      <c r="E293" s="1224"/>
      <c r="F293" s="1224"/>
      <c r="G293" s="1224"/>
      <c r="H293" s="1224"/>
      <c r="I293" s="1224"/>
      <c r="J293" s="1224"/>
      <c r="K293" s="1224"/>
      <c r="L293" s="1224"/>
      <c r="M293" s="1224"/>
      <c r="N293" s="1224"/>
      <c r="O293" s="1224"/>
      <c r="P293" s="1224"/>
      <c r="Q293" s="1224"/>
      <c r="R293" s="1224"/>
      <c r="S293" s="1224"/>
      <c r="T293" s="1224"/>
      <c r="U293" s="1224"/>
      <c r="V293" s="1224"/>
      <c r="W293" s="1224"/>
      <c r="X293" s="1224"/>
      <c r="Y293" s="1224"/>
      <c r="Z293" s="1227"/>
    </row>
    <row r="294" spans="1:26" ht="32.4" x14ac:dyDescent="0.3">
      <c r="A294" s="1501" t="s">
        <v>622</v>
      </c>
      <c r="B294" s="1226">
        <v>1.8200000000000001E-2</v>
      </c>
      <c r="C294" s="1226">
        <v>0.5</v>
      </c>
      <c r="D294" s="1226" t="s">
        <v>4452</v>
      </c>
      <c r="E294" s="1226"/>
      <c r="F294" s="1226"/>
      <c r="G294" s="1226"/>
      <c r="H294" s="1226"/>
      <c r="I294" s="1226"/>
      <c r="J294" s="1226"/>
      <c r="K294" s="1226"/>
      <c r="L294" s="1226"/>
      <c r="M294" s="1226"/>
      <c r="N294" s="1226"/>
      <c r="O294" s="1226"/>
      <c r="P294" s="1226"/>
      <c r="Q294" s="1226"/>
      <c r="R294" s="1226"/>
      <c r="S294" s="1226"/>
      <c r="T294" s="1226"/>
      <c r="U294" s="1226"/>
      <c r="V294" s="1226"/>
      <c r="W294" s="1226"/>
      <c r="X294" s="1226"/>
      <c r="Y294" s="1226"/>
      <c r="Z294" s="1228"/>
    </row>
    <row r="295" spans="1:26" ht="32.4" x14ac:dyDescent="0.3">
      <c r="A295" s="1501" t="s">
        <v>615</v>
      </c>
      <c r="B295" s="1224">
        <v>1.2500000000000001E-2</v>
      </c>
      <c r="C295" s="1224">
        <v>0.5</v>
      </c>
      <c r="D295" s="1224" t="s">
        <v>4458</v>
      </c>
      <c r="E295" s="1224"/>
      <c r="F295" s="1224"/>
      <c r="G295" s="1224"/>
      <c r="H295" s="1224"/>
      <c r="I295" s="1224"/>
      <c r="J295" s="1224"/>
      <c r="K295" s="1224"/>
      <c r="L295" s="1224"/>
      <c r="M295" s="1224"/>
      <c r="N295" s="1224"/>
      <c r="O295" s="1224"/>
      <c r="P295" s="1224"/>
      <c r="Q295" s="1224"/>
      <c r="R295" s="1224"/>
      <c r="S295" s="1224"/>
      <c r="T295" s="1224"/>
      <c r="U295" s="1224"/>
      <c r="V295" s="1224"/>
      <c r="W295" s="1224"/>
      <c r="X295" s="1224"/>
      <c r="Y295" s="1224"/>
      <c r="Z295" s="1227"/>
    </row>
    <row r="296" spans="1:26" ht="32.4" x14ac:dyDescent="0.3">
      <c r="A296" s="1501" t="s">
        <v>557</v>
      </c>
      <c r="B296" s="1226">
        <v>9.7999999999999997E-3</v>
      </c>
      <c r="C296" s="1226">
        <v>1</v>
      </c>
      <c r="D296" s="1226" t="s">
        <v>4453</v>
      </c>
      <c r="E296" s="1226"/>
      <c r="F296" s="1226"/>
      <c r="G296" s="1226"/>
      <c r="H296" s="1226"/>
      <c r="I296" s="1226"/>
      <c r="J296" s="1226"/>
      <c r="K296" s="1226"/>
      <c r="L296" s="1226"/>
      <c r="M296" s="1226"/>
      <c r="N296" s="1226"/>
      <c r="O296" s="1226"/>
      <c r="P296" s="1226"/>
      <c r="Q296" s="1226"/>
      <c r="R296" s="1226"/>
      <c r="S296" s="1226"/>
      <c r="T296" s="1226"/>
      <c r="U296" s="1226"/>
      <c r="V296" s="1226"/>
      <c r="W296" s="1226"/>
      <c r="X296" s="1226"/>
      <c r="Y296" s="1226"/>
      <c r="Z296" s="1228"/>
    </row>
    <row r="297" spans="1:26" ht="32.4" x14ac:dyDescent="0.3">
      <c r="A297" s="1501" t="s">
        <v>587</v>
      </c>
      <c r="B297" s="1224">
        <v>8.6E-3</v>
      </c>
      <c r="C297" s="1224">
        <v>0.5</v>
      </c>
      <c r="D297" s="1224" t="s">
        <v>4459</v>
      </c>
      <c r="E297" s="1224"/>
      <c r="F297" s="1224"/>
      <c r="G297" s="1224"/>
      <c r="H297" s="1224"/>
      <c r="I297" s="1224"/>
      <c r="J297" s="1224"/>
      <c r="K297" s="1224"/>
      <c r="L297" s="1224"/>
      <c r="M297" s="1224"/>
      <c r="N297" s="1224"/>
      <c r="O297" s="1224"/>
      <c r="P297" s="1224"/>
      <c r="Q297" s="1224"/>
      <c r="R297" s="1224"/>
      <c r="S297" s="1224"/>
      <c r="T297" s="1224"/>
      <c r="U297" s="1224"/>
      <c r="V297" s="1224"/>
      <c r="W297" s="1224"/>
      <c r="X297" s="1224"/>
      <c r="Y297" s="1224"/>
      <c r="Z297" s="1227"/>
    </row>
    <row r="298" spans="1:26" ht="32.4" x14ac:dyDescent="0.3">
      <c r="A298" s="1501" t="s">
        <v>597</v>
      </c>
      <c r="B298" s="1226">
        <v>3.3E-3</v>
      </c>
      <c r="C298" s="1226">
        <v>0.5</v>
      </c>
      <c r="D298" s="1226" t="s">
        <v>4460</v>
      </c>
      <c r="E298" s="1226"/>
      <c r="F298" s="1226"/>
      <c r="G298" s="1226"/>
      <c r="H298" s="1226"/>
      <c r="I298" s="1226"/>
      <c r="J298" s="1226"/>
      <c r="K298" s="1226"/>
      <c r="L298" s="1226"/>
      <c r="M298" s="1226"/>
      <c r="N298" s="1226"/>
      <c r="O298" s="1226"/>
      <c r="P298" s="1226"/>
      <c r="Q298" s="1226"/>
      <c r="R298" s="1226"/>
      <c r="S298" s="1226"/>
      <c r="T298" s="1226"/>
      <c r="U298" s="1226"/>
      <c r="V298" s="1226"/>
      <c r="W298" s="1226"/>
      <c r="X298" s="1226"/>
      <c r="Y298" s="1226"/>
      <c r="Z298" s="1228"/>
    </row>
    <row r="299" spans="1:26" ht="32.4" x14ac:dyDescent="0.3">
      <c r="A299" s="1501" t="s">
        <v>593</v>
      </c>
      <c r="B299" s="1224">
        <v>6.4999999999999997E-3</v>
      </c>
      <c r="C299" s="1224">
        <v>0.5</v>
      </c>
      <c r="D299" s="1224" t="s">
        <v>4453</v>
      </c>
      <c r="E299" s="1224"/>
      <c r="F299" s="1224"/>
      <c r="G299" s="1224"/>
      <c r="H299" s="1224"/>
      <c r="I299" s="1224"/>
      <c r="J299" s="1224"/>
      <c r="K299" s="1224"/>
      <c r="L299" s="1224"/>
      <c r="M299" s="1224"/>
      <c r="N299" s="1224"/>
      <c r="O299" s="1224"/>
      <c r="P299" s="1224"/>
      <c r="Q299" s="1224"/>
      <c r="R299" s="1224"/>
      <c r="S299" s="1224"/>
      <c r="T299" s="1224"/>
      <c r="U299" s="1224"/>
      <c r="V299" s="1224"/>
      <c r="W299" s="1224"/>
      <c r="X299" s="1224"/>
      <c r="Y299" s="1224"/>
      <c r="Z299" s="1227"/>
    </row>
    <row r="300" spans="1:26" ht="32.4" x14ac:dyDescent="0.3">
      <c r="A300" s="1501" t="s">
        <v>550</v>
      </c>
      <c r="B300" s="1226">
        <v>4.5999999999999999E-3</v>
      </c>
      <c r="C300" s="1226">
        <v>1</v>
      </c>
      <c r="D300" s="1226" t="s">
        <v>4461</v>
      </c>
      <c r="E300" s="1226"/>
      <c r="F300" s="1226"/>
      <c r="G300" s="1226"/>
      <c r="H300" s="1226"/>
      <c r="I300" s="1226"/>
      <c r="J300" s="1226"/>
      <c r="K300" s="1226"/>
      <c r="L300" s="1226"/>
      <c r="M300" s="1226"/>
      <c r="N300" s="1226"/>
      <c r="O300" s="1226"/>
      <c r="P300" s="1226"/>
      <c r="Q300" s="1226"/>
      <c r="R300" s="1226"/>
      <c r="S300" s="1226"/>
      <c r="T300" s="1226"/>
      <c r="U300" s="1226"/>
      <c r="V300" s="1226"/>
      <c r="W300" s="1226"/>
      <c r="X300" s="1226"/>
      <c r="Y300" s="1226"/>
      <c r="Z300" s="1228"/>
    </row>
    <row r="301" spans="1:26" ht="32.4" x14ac:dyDescent="0.3">
      <c r="A301" s="1501" t="s">
        <v>693</v>
      </c>
      <c r="B301" s="1224">
        <v>4.4000000000000003E-3</v>
      </c>
      <c r="C301" s="1224">
        <v>1</v>
      </c>
      <c r="D301" s="1224" t="s">
        <v>4458</v>
      </c>
      <c r="E301" s="1224"/>
      <c r="F301" s="1224"/>
      <c r="G301" s="1224"/>
      <c r="H301" s="1224"/>
      <c r="I301" s="1224"/>
      <c r="J301" s="1224"/>
      <c r="K301" s="1224"/>
      <c r="L301" s="1224"/>
      <c r="M301" s="1224"/>
      <c r="N301" s="1224"/>
      <c r="O301" s="1224"/>
      <c r="P301" s="1224"/>
      <c r="Q301" s="1224"/>
      <c r="R301" s="1224"/>
      <c r="S301" s="1224"/>
      <c r="T301" s="1224"/>
      <c r="U301" s="1224"/>
      <c r="V301" s="1224"/>
      <c r="W301" s="1224"/>
      <c r="X301" s="1224"/>
      <c r="Y301" s="1224"/>
      <c r="Z301" s="1227"/>
    </row>
    <row r="302" spans="1:26" ht="32.4" x14ac:dyDescent="0.3">
      <c r="A302" s="1501" t="s">
        <v>464</v>
      </c>
      <c r="B302" s="1226">
        <v>4.1999999999999997E-3</v>
      </c>
      <c r="C302" s="1226">
        <v>0.5</v>
      </c>
      <c r="D302" s="1226" t="s">
        <v>4453</v>
      </c>
      <c r="E302" s="1226"/>
      <c r="F302" s="1226"/>
      <c r="G302" s="1226"/>
      <c r="H302" s="1226"/>
      <c r="I302" s="1226"/>
      <c r="J302" s="1226"/>
      <c r="K302" s="1226"/>
      <c r="L302" s="1226"/>
      <c r="M302" s="1226"/>
      <c r="N302" s="1226"/>
      <c r="O302" s="1226"/>
      <c r="P302" s="1226"/>
      <c r="Q302" s="1226"/>
      <c r="R302" s="1226"/>
      <c r="S302" s="1226"/>
      <c r="T302" s="1226"/>
      <c r="U302" s="1226"/>
      <c r="V302" s="1226"/>
      <c r="W302" s="1226"/>
      <c r="X302" s="1226"/>
      <c r="Y302" s="1226"/>
      <c r="Z302" s="1228"/>
    </row>
    <row r="303" spans="1:26" ht="108" x14ac:dyDescent="0.3">
      <c r="A303" s="1501" t="s">
        <v>4185</v>
      </c>
      <c r="B303" s="1224"/>
      <c r="C303" s="1224"/>
      <c r="D303" s="1224"/>
      <c r="E303" s="1224"/>
      <c r="F303" s="1224"/>
      <c r="G303" s="1224"/>
      <c r="H303" s="1224"/>
      <c r="I303" s="1224"/>
      <c r="J303" s="1224"/>
      <c r="K303" s="1224"/>
      <c r="L303" s="1224"/>
      <c r="M303" s="1224"/>
      <c r="N303" s="1224"/>
      <c r="O303" s="1224"/>
      <c r="P303" s="1224"/>
      <c r="Q303" s="1224"/>
      <c r="R303" s="1224"/>
      <c r="S303" s="1224"/>
      <c r="T303" s="1224"/>
      <c r="U303" s="1224"/>
      <c r="V303" s="1224"/>
      <c r="W303" s="1224"/>
      <c r="X303" s="1224"/>
      <c r="Y303" s="1224"/>
      <c r="Z303" s="1227"/>
    </row>
    <row r="304" spans="1:26" ht="69" x14ac:dyDescent="0.3">
      <c r="A304" s="1501" t="s">
        <v>4186</v>
      </c>
      <c r="B304" s="1226" t="s">
        <v>4187</v>
      </c>
      <c r="C304" s="1226"/>
      <c r="D304" s="1226"/>
      <c r="E304" s="1226"/>
      <c r="F304" s="1226"/>
      <c r="G304" s="1226"/>
      <c r="H304" s="1226"/>
      <c r="I304" s="1226"/>
      <c r="J304" s="1226"/>
      <c r="K304" s="1226"/>
      <c r="L304" s="1226"/>
      <c r="M304" s="1226"/>
      <c r="N304" s="1226"/>
      <c r="O304" s="1226"/>
      <c r="P304" s="1226"/>
      <c r="Q304" s="1226"/>
      <c r="R304" s="1226"/>
      <c r="S304" s="1226"/>
      <c r="T304" s="1226"/>
      <c r="U304" s="1226"/>
      <c r="V304" s="1226"/>
      <c r="W304" s="1226"/>
      <c r="X304" s="1226"/>
      <c r="Y304" s="1226"/>
      <c r="Z304" s="1228"/>
    </row>
    <row r="305" spans="1:26" ht="55.2" x14ac:dyDescent="0.3">
      <c r="A305" s="1501" t="s">
        <v>4188</v>
      </c>
      <c r="B305" s="1224" t="s">
        <v>4189</v>
      </c>
      <c r="C305" s="1224"/>
      <c r="D305" s="1224"/>
      <c r="E305" s="1224"/>
      <c r="F305" s="1224"/>
      <c r="G305" s="1224"/>
      <c r="H305" s="1224"/>
      <c r="I305" s="1224"/>
      <c r="J305" s="1224"/>
      <c r="K305" s="1224"/>
      <c r="L305" s="1224"/>
      <c r="M305" s="1224"/>
      <c r="N305" s="1224"/>
      <c r="O305" s="1224"/>
      <c r="P305" s="1224"/>
      <c r="Q305" s="1224"/>
      <c r="R305" s="1224"/>
      <c r="S305" s="1224"/>
      <c r="T305" s="1224"/>
      <c r="U305" s="1224"/>
      <c r="V305" s="1224"/>
      <c r="W305" s="1224"/>
      <c r="X305" s="1224"/>
      <c r="Y305" s="1224"/>
      <c r="Z305" s="1227"/>
    </row>
    <row r="306" spans="1:26" ht="69" x14ac:dyDescent="0.3">
      <c r="A306" s="1501" t="s">
        <v>4190</v>
      </c>
      <c r="B306" s="1226" t="s">
        <v>4191</v>
      </c>
      <c r="C306" s="1226"/>
      <c r="D306" s="1226"/>
      <c r="E306" s="1226"/>
      <c r="F306" s="1226"/>
      <c r="G306" s="1226"/>
      <c r="H306" s="1226"/>
      <c r="I306" s="1226"/>
      <c r="J306" s="1226"/>
      <c r="K306" s="1226"/>
      <c r="L306" s="1226"/>
      <c r="M306" s="1226"/>
      <c r="N306" s="1226"/>
      <c r="O306" s="1226"/>
      <c r="P306" s="1226"/>
      <c r="Q306" s="1226"/>
      <c r="R306" s="1226"/>
      <c r="S306" s="1226"/>
      <c r="T306" s="1226"/>
      <c r="U306" s="1226"/>
      <c r="V306" s="1226"/>
      <c r="W306" s="1226"/>
      <c r="X306" s="1226"/>
      <c r="Y306" s="1226"/>
      <c r="Z306" s="1228"/>
    </row>
    <row r="307" spans="1:26" ht="55.2" x14ac:dyDescent="0.3">
      <c r="A307" s="1501" t="s">
        <v>4192</v>
      </c>
      <c r="B307" s="1224" t="s">
        <v>4193</v>
      </c>
      <c r="C307" s="1224"/>
      <c r="D307" s="1224"/>
      <c r="E307" s="1224"/>
      <c r="F307" s="1224"/>
      <c r="G307" s="1224"/>
      <c r="H307" s="1224"/>
      <c r="I307" s="1224"/>
      <c r="J307" s="1224"/>
      <c r="K307" s="1224"/>
      <c r="L307" s="1224"/>
      <c r="M307" s="1224"/>
      <c r="N307" s="1224"/>
      <c r="O307" s="1224"/>
      <c r="P307" s="1224"/>
      <c r="Q307" s="1224"/>
      <c r="R307" s="1224"/>
      <c r="S307" s="1224"/>
      <c r="T307" s="1224"/>
      <c r="U307" s="1224"/>
      <c r="V307" s="1224"/>
      <c r="W307" s="1224"/>
      <c r="X307" s="1224"/>
      <c r="Y307" s="1224"/>
      <c r="Z307" s="1227"/>
    </row>
    <row r="308" spans="1:26" ht="41.4" x14ac:dyDescent="0.3">
      <c r="A308" s="1501" t="s">
        <v>4194</v>
      </c>
      <c r="B308" s="1226" t="s">
        <v>4195</v>
      </c>
      <c r="C308" s="1226"/>
      <c r="D308" s="1226"/>
      <c r="E308" s="1226"/>
      <c r="F308" s="1226"/>
      <c r="G308" s="1226"/>
      <c r="H308" s="1226"/>
      <c r="I308" s="1226"/>
      <c r="J308" s="1226"/>
      <c r="K308" s="1226"/>
      <c r="L308" s="1226"/>
      <c r="M308" s="1226"/>
      <c r="N308" s="1226"/>
      <c r="O308" s="1226"/>
      <c r="P308" s="1226"/>
      <c r="Q308" s="1226"/>
      <c r="R308" s="1226"/>
      <c r="S308" s="1226"/>
      <c r="T308" s="1226"/>
      <c r="U308" s="1226"/>
      <c r="V308" s="1226"/>
      <c r="W308" s="1226"/>
      <c r="X308" s="1226"/>
      <c r="Y308" s="1226"/>
      <c r="Z308" s="1228"/>
    </row>
    <row r="309" spans="1:26" ht="69" x14ac:dyDescent="0.3">
      <c r="A309" s="1501" t="s">
        <v>4196</v>
      </c>
      <c r="B309" s="1224" t="s">
        <v>4197</v>
      </c>
      <c r="C309" s="1224"/>
      <c r="D309" s="1224"/>
      <c r="E309" s="1224"/>
      <c r="F309" s="1224"/>
      <c r="G309" s="1224"/>
      <c r="H309" s="1224"/>
      <c r="I309" s="1224"/>
      <c r="J309" s="1224"/>
      <c r="K309" s="1224"/>
      <c r="L309" s="1224"/>
      <c r="M309" s="1224"/>
      <c r="N309" s="1224"/>
      <c r="O309" s="1224"/>
      <c r="P309" s="1224"/>
      <c r="Q309" s="1224"/>
      <c r="R309" s="1224"/>
      <c r="S309" s="1224"/>
      <c r="T309" s="1224"/>
      <c r="U309" s="1224"/>
      <c r="V309" s="1224"/>
      <c r="W309" s="1224"/>
      <c r="X309" s="1224"/>
      <c r="Y309" s="1224"/>
      <c r="Z309" s="1227"/>
    </row>
    <row r="310" spans="1:26" ht="69" x14ac:dyDescent="0.3">
      <c r="A310" s="1501" t="s">
        <v>4198</v>
      </c>
      <c r="B310" s="1226" t="s">
        <v>4199</v>
      </c>
      <c r="C310" s="1226"/>
      <c r="D310" s="1226"/>
      <c r="E310" s="1226"/>
      <c r="F310" s="1226"/>
      <c r="G310" s="1226"/>
      <c r="H310" s="1226"/>
      <c r="I310" s="1226"/>
      <c r="J310" s="1226"/>
      <c r="K310" s="1226"/>
      <c r="L310" s="1226"/>
      <c r="M310" s="1226"/>
      <c r="N310" s="1226"/>
      <c r="O310" s="1226"/>
      <c r="P310" s="1226"/>
      <c r="Q310" s="1226"/>
      <c r="R310" s="1226"/>
      <c r="S310" s="1226"/>
      <c r="T310" s="1226"/>
      <c r="U310" s="1226"/>
      <c r="V310" s="1226"/>
      <c r="W310" s="1226"/>
      <c r="X310" s="1226"/>
      <c r="Y310" s="1226"/>
      <c r="Z310" s="1228"/>
    </row>
    <row r="311" spans="1:26" ht="118.8" x14ac:dyDescent="0.3">
      <c r="A311" s="1501" t="s">
        <v>4200</v>
      </c>
      <c r="B311" s="1224"/>
      <c r="C311" s="1224"/>
      <c r="D311" s="1224"/>
      <c r="E311" s="1224"/>
      <c r="F311" s="1224"/>
      <c r="G311" s="1224"/>
      <c r="H311" s="1224"/>
      <c r="I311" s="1224"/>
      <c r="J311" s="1224"/>
      <c r="K311" s="1224"/>
      <c r="L311" s="1224"/>
      <c r="M311" s="1224"/>
      <c r="N311" s="1224"/>
      <c r="O311" s="1224"/>
      <c r="P311" s="1224"/>
      <c r="Q311" s="1224"/>
      <c r="R311" s="1224"/>
      <c r="S311" s="1224"/>
      <c r="T311" s="1224"/>
      <c r="U311" s="1224"/>
      <c r="V311" s="1224"/>
      <c r="W311" s="1224"/>
      <c r="X311" s="1224"/>
      <c r="Y311" s="1224"/>
      <c r="Z311" s="1227"/>
    </row>
    <row r="312" spans="1:26" ht="41.4" x14ac:dyDescent="0.3">
      <c r="A312" s="1501" t="s">
        <v>4201</v>
      </c>
      <c r="B312" s="1226" t="s">
        <v>4202</v>
      </c>
      <c r="C312" s="1226"/>
      <c r="D312" s="1226"/>
      <c r="E312" s="1226"/>
      <c r="F312" s="1226"/>
      <c r="G312" s="1226"/>
      <c r="H312" s="1226"/>
      <c r="I312" s="1226"/>
      <c r="J312" s="1226"/>
      <c r="K312" s="1226"/>
      <c r="L312" s="1226"/>
      <c r="M312" s="1226"/>
      <c r="N312" s="1226"/>
      <c r="O312" s="1226"/>
      <c r="P312" s="1226"/>
      <c r="Q312" s="1226"/>
      <c r="R312" s="1226"/>
      <c r="S312" s="1226"/>
      <c r="T312" s="1226"/>
      <c r="U312" s="1226"/>
      <c r="V312" s="1226"/>
      <c r="W312" s="1226"/>
      <c r="X312" s="1226"/>
      <c r="Y312" s="1226"/>
      <c r="Z312" s="1228"/>
    </row>
    <row r="313" spans="1:26" ht="69" x14ac:dyDescent="0.3">
      <c r="A313" s="1501" t="s">
        <v>4203</v>
      </c>
      <c r="B313" s="1224" t="s">
        <v>4204</v>
      </c>
      <c r="C313" s="1224"/>
      <c r="D313" s="1224"/>
      <c r="E313" s="1224"/>
      <c r="F313" s="1224"/>
      <c r="G313" s="1224"/>
      <c r="H313" s="1224"/>
      <c r="I313" s="1224"/>
      <c r="J313" s="1224"/>
      <c r="K313" s="1224"/>
      <c r="L313" s="1224"/>
      <c r="M313" s="1224"/>
      <c r="N313" s="1224"/>
      <c r="O313" s="1224"/>
      <c r="P313" s="1224"/>
      <c r="Q313" s="1224"/>
      <c r="R313" s="1224"/>
      <c r="S313" s="1224"/>
      <c r="T313" s="1224"/>
      <c r="U313" s="1224"/>
      <c r="V313" s="1224"/>
      <c r="W313" s="1224"/>
      <c r="X313" s="1224"/>
      <c r="Y313" s="1224"/>
      <c r="Z313" s="1227"/>
    </row>
    <row r="314" spans="1:26" ht="55.2" x14ac:dyDescent="0.3">
      <c r="A314" s="1501" t="s">
        <v>4205</v>
      </c>
      <c r="B314" s="1226" t="s">
        <v>4206</v>
      </c>
      <c r="C314" s="1226"/>
      <c r="D314" s="1226"/>
      <c r="E314" s="1226"/>
      <c r="F314" s="1226"/>
      <c r="G314" s="1226"/>
      <c r="H314" s="1226"/>
      <c r="I314" s="1226"/>
      <c r="J314" s="1226"/>
      <c r="K314" s="1226"/>
      <c r="L314" s="1226"/>
      <c r="M314" s="1226"/>
      <c r="N314" s="1226"/>
      <c r="O314" s="1226"/>
      <c r="P314" s="1226"/>
      <c r="Q314" s="1226"/>
      <c r="R314" s="1226"/>
      <c r="S314" s="1226"/>
      <c r="T314" s="1226"/>
      <c r="U314" s="1226"/>
      <c r="V314" s="1226"/>
      <c r="W314" s="1226"/>
      <c r="X314" s="1226"/>
      <c r="Y314" s="1226"/>
      <c r="Z314" s="1228"/>
    </row>
    <row r="315" spans="1:26" ht="69" x14ac:dyDescent="0.3">
      <c r="A315" s="1501" t="s">
        <v>4207</v>
      </c>
      <c r="B315" s="1224" t="s">
        <v>4208</v>
      </c>
      <c r="C315" s="1224"/>
      <c r="D315" s="1224"/>
      <c r="E315" s="1224"/>
      <c r="F315" s="1224"/>
      <c r="G315" s="1224"/>
      <c r="H315" s="1224"/>
      <c r="I315" s="1224"/>
      <c r="J315" s="1224"/>
      <c r="K315" s="1224"/>
      <c r="L315" s="1224"/>
      <c r="M315" s="1224"/>
      <c r="N315" s="1224"/>
      <c r="O315" s="1224"/>
      <c r="P315" s="1224"/>
      <c r="Q315" s="1224"/>
      <c r="R315" s="1224"/>
      <c r="S315" s="1224"/>
      <c r="T315" s="1224"/>
      <c r="U315" s="1224"/>
      <c r="V315" s="1224"/>
      <c r="W315" s="1224"/>
      <c r="X315" s="1224"/>
      <c r="Y315" s="1224"/>
      <c r="Z315" s="1227"/>
    </row>
    <row r="316" spans="1:26" ht="55.8" thickBot="1" x14ac:dyDescent="0.35">
      <c r="A316" s="1504" t="s">
        <v>4209</v>
      </c>
      <c r="B316" s="1229" t="s">
        <v>4210</v>
      </c>
      <c r="C316" s="1229"/>
      <c r="D316" s="1229"/>
      <c r="E316" s="1229"/>
      <c r="F316" s="1229"/>
      <c r="G316" s="1229"/>
      <c r="H316" s="1229"/>
      <c r="I316" s="1229"/>
      <c r="J316" s="1229"/>
      <c r="K316" s="1229"/>
      <c r="L316" s="1229"/>
      <c r="M316" s="1229"/>
      <c r="N316" s="1229"/>
      <c r="O316" s="1229"/>
      <c r="P316" s="1229"/>
      <c r="Q316" s="1229"/>
      <c r="R316" s="1229"/>
      <c r="S316" s="1229"/>
      <c r="T316" s="1229"/>
      <c r="U316" s="1229"/>
      <c r="V316" s="1229"/>
      <c r="W316" s="1229"/>
      <c r="X316" s="1229"/>
      <c r="Y316" s="1229"/>
      <c r="Z316" s="1230"/>
    </row>
    <row r="317" spans="1:26" ht="15" thickTop="1" x14ac:dyDescent="0.3"/>
  </sheetData>
  <mergeCells count="25">
    <mergeCell ref="A1:Z1"/>
    <mergeCell ref="A3:Z3"/>
    <mergeCell ref="A4:Z4"/>
    <mergeCell ref="A5:Z5"/>
    <mergeCell ref="A6:Z6"/>
    <mergeCell ref="A14:Z14"/>
    <mergeCell ref="A23:Z23"/>
    <mergeCell ref="A30:Z30"/>
    <mergeCell ref="A31:Z31"/>
    <mergeCell ref="A38:Z38"/>
    <mergeCell ref="A48:Z48"/>
    <mergeCell ref="A50:Z50"/>
    <mergeCell ref="A52:Z52"/>
    <mergeCell ref="A66:Z66"/>
    <mergeCell ref="A68:Z68"/>
    <mergeCell ref="A69:Z69"/>
    <mergeCell ref="A70:Z70"/>
    <mergeCell ref="A72:Z72"/>
    <mergeCell ref="A73:Z73"/>
    <mergeCell ref="A80:Z80"/>
    <mergeCell ref="A74:Z74"/>
    <mergeCell ref="A76:Z76"/>
    <mergeCell ref="A77:Z77"/>
    <mergeCell ref="A78:Z78"/>
    <mergeCell ref="A79:Z7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38</vt:i4>
      </vt:variant>
    </vt:vector>
  </HeadingPairs>
  <TitlesOfParts>
    <vt:vector size="38" baseType="lpstr">
      <vt:lpstr>M-INDEX</vt:lpstr>
      <vt:lpstr>M-DASHBOARD</vt:lpstr>
      <vt:lpstr>M-TECH-GAD</vt:lpstr>
      <vt:lpstr>M-TECH-PARAMS</vt:lpstr>
      <vt:lpstr>M1-ITME</vt:lpstr>
      <vt:lpstr>M2-PDOT</vt:lpstr>
      <vt:lpstr>M2-PLAN-Pi</vt:lpstr>
      <vt:lpstr>DATA-TFR</vt:lpstr>
      <vt:lpstr>M3-MAO</vt:lpstr>
      <vt:lpstr>DATA-SSC</vt:lpstr>
      <vt:lpstr>M4-AUDIT</vt:lpstr>
      <vt:lpstr>DATA-MEC</vt:lpstr>
      <vt:lpstr>DATA-CED</vt:lpstr>
      <vt:lpstr>DATA-POA</vt:lpstr>
      <vt:lpstr>DATA-PAC</vt:lpstr>
      <vt:lpstr>M5-ICPI</vt:lpstr>
      <vt:lpstr>SUPPORT-INTERP</vt:lpstr>
      <vt:lpstr>VALID-CST</vt:lpstr>
      <vt:lpstr>M7-PROSP</vt:lpstr>
      <vt:lpstr>VALID-MVCI</vt:lpstr>
      <vt:lpstr>DATA-EJES</vt:lpstr>
      <vt:lpstr>VALID-SENS</vt:lpstr>
      <vt:lpstr>DATA-BRECHA</vt:lpstr>
      <vt:lpstr>DATA-ORG</vt:lpstr>
      <vt:lpstr>M6-FEDS</vt:lpstr>
      <vt:lpstr>SUPPORT-EVALDIR</vt:lpstr>
      <vt:lpstr>SUPPORT-SEM</vt:lpstr>
      <vt:lpstr>DATA-ITAM</vt:lpstr>
      <vt:lpstr>SUPPORT-SIL</vt:lpstr>
      <vt:lpstr>SUPPORT-ALERT</vt:lpstr>
      <vt:lpstr>VALID-VER</vt:lpstr>
      <vt:lpstr>DATA-CPCCS</vt:lpstr>
      <vt:lpstr>DATA-CNE</vt:lpstr>
      <vt:lpstr>DATA-SIGAD</vt:lpstr>
      <vt:lpstr>M-TECH-VARS</vt:lpstr>
      <vt:lpstr>DATA-MONIT</vt:lpstr>
      <vt:lpstr>DATA-RESULTADOS</vt:lpstr>
      <vt:lpstr>M-DOCS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Javier Delgado Santana</dc:creator>
  <cp:lastModifiedBy>DELL</cp:lastModifiedBy>
  <cp:lastPrinted>2026-02-24T18:51:58Z</cp:lastPrinted>
  <dcterms:created xsi:type="dcterms:W3CDTF">2026-01-23T17:41:10Z</dcterms:created>
  <dcterms:modified xsi:type="dcterms:W3CDTF">2026-03-10T04:01:40Z</dcterms:modified>
</cp:coreProperties>
</file>