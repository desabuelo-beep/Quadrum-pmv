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threadedComments/threadedComment1.xml" ContentType="application/vnd.ms-excel.threaded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threadedComments/threadedComment2.xml" ContentType="application/vnd.ms-excel.threadedcomments+xml"/>
  <Override PartName="/xl/comments12.xml" ContentType="application/vnd.openxmlformats-officedocument.spreadsheetml.comments+xml"/>
  <Override PartName="/xl/comments13.xml" ContentType="application/vnd.openxmlformats-officedocument.spreadsheetml.comments+xml"/>
  <Override PartName="/xl/threadedComments/threadedComment3.xml" ContentType="application/vnd.ms-excel.threadedcomments+xml"/>
  <Override PartName="/xl/comments14.xml" ContentType="application/vnd.openxmlformats-officedocument.spreadsheetml.comments+xml"/>
  <Override PartName="/xl/threadedComments/threadedComment4.xml" ContentType="application/vnd.ms-excel.threaded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ELL\Desktop\Laburo\Tesis  Finales\Artefacto\Finales\"/>
    </mc:Choice>
  </mc:AlternateContent>
  <xr:revisionPtr revIDLastSave="0" documentId="13_ncr:1_{84BF280C-4AB2-48DD-B67C-8113E43E7959}" xr6:coauthVersionLast="47" xr6:coauthVersionMax="47" xr10:uidLastSave="{00000000-0000-0000-0000-000000000000}"/>
  <bookViews>
    <workbookView xWindow="-108" yWindow="-108" windowWidth="23256" windowHeight="12456" tabRatio="703" activeTab="1" xr2:uid="{00000000-000D-0000-FFFF-FFFF00000000}"/>
  </bookViews>
  <sheets>
    <sheet name="M-INDEX" sheetId="1" r:id="rId1"/>
    <sheet name="M-DASHBOARD" sheetId="2" r:id="rId2"/>
    <sheet name="M-TECH-GAD" sheetId="3" r:id="rId3"/>
    <sheet name="M-TECH-PARAMS" sheetId="4" r:id="rId4"/>
    <sheet name="M1-ITME" sheetId="5" r:id="rId5"/>
    <sheet name="M2-PDOT" sheetId="6" r:id="rId6"/>
    <sheet name="M2-PLAN-Pi" sheetId="7" r:id="rId7"/>
    <sheet name="DATA-TFR" sheetId="8" r:id="rId8"/>
    <sheet name="M3-MAO" sheetId="9" r:id="rId9"/>
    <sheet name="DATA-SSC" sheetId="10" r:id="rId10"/>
    <sheet name="M4-AUDIT" sheetId="11" r:id="rId11"/>
    <sheet name="DATA-MEC" sheetId="12" r:id="rId12"/>
    <sheet name="DATA-CED" sheetId="14" r:id="rId13"/>
    <sheet name="DATA-POA" sheetId="15" r:id="rId14"/>
    <sheet name="DATA-PAC" sheetId="16" r:id="rId15"/>
    <sheet name="M5-ICPI" sheetId="17" r:id="rId16"/>
    <sheet name="SUPPORT-INTERP" sheetId="19" r:id="rId17"/>
    <sheet name="VALID-CST" sheetId="20" r:id="rId18"/>
    <sheet name="M7-PROSP" sheetId="21" r:id="rId19"/>
    <sheet name="VALID-MVCI" sheetId="22" r:id="rId20"/>
    <sheet name="DATA-EJES" sheetId="23" r:id="rId21"/>
    <sheet name="VALID-SENS" sheetId="24" r:id="rId22"/>
    <sheet name="DATA-BRECHA" sheetId="25" r:id="rId23"/>
    <sheet name="DATA-ORG" sheetId="26" r:id="rId24"/>
    <sheet name="M6-FEDS" sheetId="27" r:id="rId25"/>
    <sheet name="SUPPORT-EVALDIR" sheetId="28" r:id="rId26"/>
    <sheet name="SUPPORT-SEM" sheetId="30" r:id="rId27"/>
    <sheet name="DATA-ITAM" sheetId="31" r:id="rId28"/>
    <sheet name="SUPPORT-SIL" sheetId="32" r:id="rId29"/>
    <sheet name="SUPPORT-ALERT" sheetId="33" r:id="rId30"/>
    <sheet name="VALID-VER" sheetId="35" r:id="rId31"/>
    <sheet name="DATA-CPCCS" sheetId="41" r:id="rId32"/>
    <sheet name="DATA-CNE" sheetId="42" r:id="rId33"/>
    <sheet name="DATA-SIGAD-TIMES" sheetId="48" r:id="rId34"/>
    <sheet name="DATA-SIGAD" sheetId="43" r:id="rId35"/>
    <sheet name="M-TECH-VARS" sheetId="44" r:id="rId36"/>
    <sheet name="DATA-MONIT" sheetId="45" r:id="rId37"/>
    <sheet name="DATA-RESULTADOS" sheetId="46" r:id="rId38"/>
    <sheet name="M-DOCS" sheetId="47" r:id="rId3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46" l="1"/>
  <c r="B10" i="46"/>
  <c r="B9" i="46"/>
  <c r="B7" i="46"/>
  <c r="B6" i="46"/>
  <c r="E5" i="2"/>
  <c r="A4" i="25"/>
  <c r="J24" i="17"/>
  <c r="J23" i="17"/>
  <c r="J22" i="17"/>
  <c r="J21" i="17"/>
  <c r="J20" i="17"/>
  <c r="J19" i="17"/>
  <c r="J18" i="17"/>
  <c r="J17" i="17"/>
  <c r="J16" i="17"/>
  <c r="J15" i="17"/>
  <c r="J14" i="17"/>
  <c r="J13" i="17"/>
  <c r="J12" i="17"/>
  <c r="J11" i="17"/>
  <c r="J10" i="17"/>
  <c r="J9" i="17"/>
  <c r="J8" i="17"/>
  <c r="J7" i="17"/>
  <c r="J6" i="17"/>
  <c r="J5" i="17"/>
  <c r="C10" i="23"/>
  <c r="B10" i="23"/>
  <c r="J26" i="26"/>
  <c r="I26" i="26"/>
  <c r="F26" i="26"/>
  <c r="E26" i="26"/>
  <c r="D26" i="26"/>
  <c r="C26" i="26"/>
  <c r="B26" i="26"/>
  <c r="A26" i="26"/>
  <c r="H10" i="31"/>
  <c r="G10" i="31"/>
  <c r="F10" i="31"/>
  <c r="E10" i="31"/>
  <c r="C10" i="31"/>
  <c r="B10" i="31"/>
  <c r="A10" i="31"/>
  <c r="I7" i="27"/>
  <c r="H7" i="27"/>
  <c r="G7" i="27"/>
  <c r="F7" i="27"/>
  <c r="C7" i="27"/>
  <c r="B7" i="27"/>
  <c r="A7" i="27"/>
  <c r="A56" i="27"/>
  <c r="A266" i="47"/>
  <c r="D228" i="47"/>
  <c r="D227" i="47"/>
  <c r="D158" i="47"/>
  <c r="B158" i="47"/>
  <c r="D147" i="47"/>
  <c r="D144" i="47"/>
  <c r="D125" i="47"/>
  <c r="D114" i="47"/>
  <c r="C190" i="47"/>
  <c r="E177" i="47"/>
  <c r="D103" i="47"/>
  <c r="D115" i="47"/>
  <c r="C116" i="47"/>
  <c r="C115" i="47"/>
  <c r="D43" i="33"/>
  <c r="C43" i="33"/>
  <c r="D41" i="30"/>
  <c r="C54" i="30"/>
  <c r="B42" i="4"/>
  <c r="B41" i="4"/>
  <c r="B8" i="4"/>
  <c r="B43" i="4"/>
  <c r="D21" i="24"/>
  <c r="D41" i="4"/>
  <c r="C43" i="4"/>
  <c r="D9" i="46"/>
  <c r="C47" i="46"/>
  <c r="A4" i="46"/>
  <c r="C14" i="23"/>
  <c r="H10" i="23"/>
  <c r="A27" i="20"/>
  <c r="B17" i="20"/>
  <c r="C7" i="20"/>
  <c r="G8" i="2"/>
  <c r="E10" i="2"/>
  <c r="C11" i="2"/>
  <c r="B11" i="2"/>
  <c r="C10" i="2"/>
  <c r="B10" i="2"/>
  <c r="D10" i="7"/>
  <c r="C10" i="7"/>
  <c r="D9" i="7"/>
  <c r="C9" i="7"/>
  <c r="D8" i="7"/>
  <c r="C8" i="7"/>
  <c r="D7" i="7"/>
  <c r="C7" i="7"/>
  <c r="D6" i="7"/>
  <c r="C6" i="7"/>
  <c r="D5" i="7"/>
  <c r="C5" i="7"/>
  <c r="J40" i="5"/>
  <c r="M2" i="43"/>
  <c r="M1" i="48"/>
  <c r="L1" i="48"/>
  <c r="K1" i="48"/>
  <c r="J1" i="48"/>
  <c r="I1" i="48"/>
  <c r="H1" i="48"/>
  <c r="G1" i="48"/>
  <c r="F1" i="48"/>
  <c r="E1" i="48"/>
  <c r="D1" i="48"/>
  <c r="C1" i="48"/>
  <c r="B1" i="48"/>
  <c r="A1" i="48"/>
  <c r="F48" i="1"/>
  <c r="C48" i="1"/>
  <c r="J6" i="43"/>
  <c r="J5" i="43"/>
  <c r="I8" i="43"/>
  <c r="H8" i="43"/>
  <c r="H6" i="43"/>
  <c r="H5" i="43"/>
  <c r="D8" i="43"/>
  <c r="D6" i="43"/>
  <c r="D5" i="43"/>
  <c r="C8" i="43"/>
  <c r="C6" i="43"/>
  <c r="C5" i="43"/>
  <c r="B8" i="43"/>
  <c r="A40" i="45"/>
  <c r="B25" i="44"/>
  <c r="N26" i="45"/>
  <c r="N25" i="45"/>
  <c r="N24" i="45"/>
  <c r="N23" i="45"/>
  <c r="N22" i="45"/>
  <c r="N21" i="45"/>
  <c r="N20" i="45"/>
  <c r="N19" i="45"/>
  <c r="N18" i="45"/>
  <c r="N17" i="45"/>
  <c r="N16" i="45"/>
  <c r="N15" i="45"/>
  <c r="N14" i="45"/>
  <c r="N13" i="45"/>
  <c r="N12" i="45"/>
  <c r="N11" i="45"/>
  <c r="N10" i="45"/>
  <c r="N9" i="45"/>
  <c r="N8" i="45"/>
  <c r="N7" i="45"/>
  <c r="N6" i="45"/>
  <c r="I6" i="43"/>
  <c r="I5" i="43"/>
  <c r="G8" i="43"/>
  <c r="F8" i="43"/>
  <c r="E8" i="43"/>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B16" i="4"/>
  <c r="B15" i="4"/>
  <c r="B12" i="4"/>
  <c r="B11" i="4"/>
  <c r="L3" i="47"/>
  <c r="K3" i="47"/>
  <c r="J3" i="47"/>
  <c r="I3" i="47"/>
  <c r="H3" i="47"/>
  <c r="G3" i="47"/>
  <c r="F3" i="47"/>
  <c r="E3" i="47"/>
  <c r="D3" i="47"/>
  <c r="C3" i="47"/>
  <c r="B3" i="47"/>
  <c r="A3" i="47"/>
  <c r="L2" i="44"/>
  <c r="K2" i="44"/>
  <c r="J2" i="44"/>
  <c r="I2" i="44"/>
  <c r="H2" i="44"/>
  <c r="G2" i="44"/>
  <c r="F2" i="44"/>
  <c r="E2" i="44"/>
  <c r="D2" i="44"/>
  <c r="C2" i="44"/>
  <c r="B2" i="44"/>
  <c r="A2" i="44"/>
  <c r="L2" i="33"/>
  <c r="K2" i="33"/>
  <c r="J2" i="33"/>
  <c r="I2" i="33"/>
  <c r="H2" i="33"/>
  <c r="G2" i="33"/>
  <c r="F2" i="33"/>
  <c r="E2" i="33"/>
  <c r="D2" i="33"/>
  <c r="C2" i="33"/>
  <c r="B2" i="33"/>
  <c r="A2" i="33"/>
  <c r="L2" i="32"/>
  <c r="K2" i="32"/>
  <c r="J2" i="32"/>
  <c r="I2" i="32"/>
  <c r="H2" i="32"/>
  <c r="G2" i="32"/>
  <c r="F2" i="32"/>
  <c r="E2" i="32"/>
  <c r="D2" i="32"/>
  <c r="C2" i="32"/>
  <c r="B2" i="32"/>
  <c r="A2" i="32"/>
  <c r="L2" i="30"/>
  <c r="K2" i="30"/>
  <c r="J2" i="30"/>
  <c r="I2" i="30"/>
  <c r="H2" i="30"/>
  <c r="G2" i="30"/>
  <c r="F2" i="30"/>
  <c r="E2" i="30"/>
  <c r="D2" i="30"/>
  <c r="C2" i="30"/>
  <c r="B2" i="30"/>
  <c r="A2" i="30"/>
  <c r="L2" i="28"/>
  <c r="K2" i="28"/>
  <c r="J2" i="28"/>
  <c r="I2" i="28"/>
  <c r="H2" i="28"/>
  <c r="G2" i="28"/>
  <c r="F2" i="28"/>
  <c r="E2" i="28"/>
  <c r="D2" i="28"/>
  <c r="C2" i="28"/>
  <c r="B2" i="28"/>
  <c r="A2" i="28"/>
  <c r="L2" i="35"/>
  <c r="K2" i="35"/>
  <c r="J2" i="35"/>
  <c r="I2" i="35"/>
  <c r="H2" i="35"/>
  <c r="G2" i="35"/>
  <c r="F2" i="35"/>
  <c r="E2" i="35"/>
  <c r="D2" i="35"/>
  <c r="C2" i="35"/>
  <c r="B2" i="35"/>
  <c r="A2" i="35"/>
  <c r="L2" i="24"/>
  <c r="K2" i="24"/>
  <c r="J2" i="24"/>
  <c r="I2" i="24"/>
  <c r="H2" i="24"/>
  <c r="G2" i="24"/>
  <c r="F2" i="24"/>
  <c r="E2" i="24"/>
  <c r="D2" i="24"/>
  <c r="C2" i="24"/>
  <c r="B2" i="24"/>
  <c r="A2" i="24"/>
  <c r="L2" i="22"/>
  <c r="K2" i="22"/>
  <c r="J2" i="22"/>
  <c r="I2" i="22"/>
  <c r="H2" i="22"/>
  <c r="G2" i="22"/>
  <c r="F2" i="22"/>
  <c r="E2" i="22"/>
  <c r="D2" i="22"/>
  <c r="C2" i="22"/>
  <c r="B2" i="22"/>
  <c r="A2" i="22"/>
  <c r="L2" i="20"/>
  <c r="K2" i="20"/>
  <c r="J2" i="20"/>
  <c r="I2" i="20"/>
  <c r="H2" i="20"/>
  <c r="G2" i="20"/>
  <c r="F2" i="20"/>
  <c r="E2" i="20"/>
  <c r="D2" i="20"/>
  <c r="C2" i="20"/>
  <c r="B2" i="20"/>
  <c r="A2" i="20"/>
  <c r="L2" i="19"/>
  <c r="K2" i="19"/>
  <c r="J2" i="19"/>
  <c r="I2" i="19"/>
  <c r="H2" i="19"/>
  <c r="G2" i="19"/>
  <c r="F2" i="19"/>
  <c r="E2" i="19"/>
  <c r="D2" i="19"/>
  <c r="C2" i="19"/>
  <c r="B2" i="19"/>
  <c r="A2" i="19"/>
  <c r="L2" i="45"/>
  <c r="K2" i="45"/>
  <c r="J2" i="45"/>
  <c r="I2" i="45"/>
  <c r="H2" i="45"/>
  <c r="G2" i="45"/>
  <c r="F2" i="45"/>
  <c r="E2" i="45"/>
  <c r="D2" i="45"/>
  <c r="C2" i="45"/>
  <c r="B2" i="45"/>
  <c r="A2" i="45"/>
  <c r="L2" i="43"/>
  <c r="K2" i="43"/>
  <c r="J2" i="43"/>
  <c r="I2" i="43"/>
  <c r="H2" i="43"/>
  <c r="G2" i="43"/>
  <c r="F2" i="43"/>
  <c r="E2" i="43"/>
  <c r="D2" i="43"/>
  <c r="C2" i="43"/>
  <c r="B2" i="43"/>
  <c r="A2" i="43"/>
  <c r="L2" i="41"/>
  <c r="K2" i="41"/>
  <c r="J2" i="41"/>
  <c r="I2" i="41"/>
  <c r="H2" i="41"/>
  <c r="G2" i="41"/>
  <c r="F2" i="41"/>
  <c r="E2" i="41"/>
  <c r="D2" i="41"/>
  <c r="C2" i="41"/>
  <c r="B2" i="41"/>
  <c r="A2" i="41"/>
  <c r="L2" i="31"/>
  <c r="K2" i="31"/>
  <c r="J2" i="31"/>
  <c r="I2" i="31"/>
  <c r="H2" i="31"/>
  <c r="G2" i="31"/>
  <c r="F2" i="31"/>
  <c r="E2" i="31"/>
  <c r="D2" i="31"/>
  <c r="C2" i="31"/>
  <c r="B2" i="31"/>
  <c r="A2" i="31"/>
  <c r="L2" i="25"/>
  <c r="K2" i="25"/>
  <c r="J2" i="25"/>
  <c r="I2" i="25"/>
  <c r="H2" i="25"/>
  <c r="G2" i="25"/>
  <c r="F2" i="25"/>
  <c r="E2" i="25"/>
  <c r="D2" i="25"/>
  <c r="C2" i="25"/>
  <c r="B2" i="25"/>
  <c r="A2" i="25"/>
  <c r="L2" i="23"/>
  <c r="K2" i="23"/>
  <c r="J2" i="23"/>
  <c r="I2" i="23"/>
  <c r="H2" i="23"/>
  <c r="G2" i="23"/>
  <c r="F2" i="23"/>
  <c r="E2" i="23"/>
  <c r="D2" i="23"/>
  <c r="C2" i="23"/>
  <c r="B2" i="23"/>
  <c r="A2" i="23"/>
  <c r="L2" i="46"/>
  <c r="K2" i="46"/>
  <c r="J2" i="46"/>
  <c r="I2" i="46"/>
  <c r="H2" i="46"/>
  <c r="G2" i="46"/>
  <c r="F2" i="46"/>
  <c r="E2" i="46"/>
  <c r="D2" i="46"/>
  <c r="C2" i="46"/>
  <c r="B2" i="46"/>
  <c r="A2" i="46"/>
  <c r="L2" i="16"/>
  <c r="K2" i="16"/>
  <c r="J2" i="16"/>
  <c r="I2" i="16"/>
  <c r="H2" i="16"/>
  <c r="G2" i="16"/>
  <c r="F2" i="16"/>
  <c r="E2" i="16"/>
  <c r="D2" i="16"/>
  <c r="C2" i="16"/>
  <c r="B2" i="16"/>
  <c r="A2" i="16"/>
  <c r="L2" i="14"/>
  <c r="K2" i="14"/>
  <c r="J2" i="14"/>
  <c r="I2" i="14"/>
  <c r="H2" i="14"/>
  <c r="G2" i="14"/>
  <c r="F2" i="14"/>
  <c r="E2" i="14"/>
  <c r="D2" i="14"/>
  <c r="C2" i="14"/>
  <c r="B2" i="14"/>
  <c r="A2" i="14"/>
  <c r="L2" i="12"/>
  <c r="K2" i="12"/>
  <c r="J2" i="12"/>
  <c r="I2" i="12"/>
  <c r="H2" i="12"/>
  <c r="G2" i="12"/>
  <c r="F2" i="12"/>
  <c r="E2" i="12"/>
  <c r="D2" i="12"/>
  <c r="C2" i="12"/>
  <c r="B2" i="12"/>
  <c r="A2" i="12"/>
  <c r="L2" i="10"/>
  <c r="K2" i="10"/>
  <c r="J2" i="10"/>
  <c r="I2" i="10"/>
  <c r="H2" i="10"/>
  <c r="G2" i="10"/>
  <c r="F2" i="10"/>
  <c r="E2" i="10"/>
  <c r="D2" i="10"/>
  <c r="C2" i="10"/>
  <c r="B2" i="10"/>
  <c r="A2" i="10"/>
  <c r="L2" i="8"/>
  <c r="K2" i="8"/>
  <c r="J2" i="8"/>
  <c r="I2" i="8"/>
  <c r="H2" i="8"/>
  <c r="G2" i="8"/>
  <c r="F2" i="8"/>
  <c r="E2" i="8"/>
  <c r="D2" i="8"/>
  <c r="C2" i="8"/>
  <c r="B2" i="8"/>
  <c r="A2" i="8"/>
  <c r="L2" i="7"/>
  <c r="K2" i="7"/>
  <c r="J2" i="7"/>
  <c r="I2" i="7"/>
  <c r="H2" i="7"/>
  <c r="G2" i="7"/>
  <c r="F2" i="7"/>
  <c r="E2" i="7"/>
  <c r="D2" i="7"/>
  <c r="C2" i="7"/>
  <c r="B2" i="7"/>
  <c r="A2" i="7"/>
  <c r="L2" i="4"/>
  <c r="K2" i="4"/>
  <c r="J2" i="4"/>
  <c r="I2" i="4"/>
  <c r="H2" i="4"/>
  <c r="G2" i="4"/>
  <c r="F2" i="4"/>
  <c r="E2" i="4"/>
  <c r="D2" i="4"/>
  <c r="C2" i="4"/>
  <c r="B2" i="4"/>
  <c r="A2" i="4"/>
  <c r="L2" i="3"/>
  <c r="K2" i="3"/>
  <c r="J2" i="3"/>
  <c r="I2" i="3"/>
  <c r="H2" i="3"/>
  <c r="G2" i="3"/>
  <c r="F2" i="3"/>
  <c r="E2" i="3"/>
  <c r="D2" i="3"/>
  <c r="C2" i="3"/>
  <c r="B2" i="3"/>
  <c r="A2" i="3"/>
  <c r="L3" i="2"/>
  <c r="K3" i="2"/>
  <c r="J3" i="2"/>
  <c r="I3" i="2"/>
  <c r="H3" i="2"/>
  <c r="G3" i="2"/>
  <c r="F3" i="2"/>
  <c r="A3" i="2"/>
  <c r="L3" i="1"/>
  <c r="K3" i="1"/>
  <c r="J3" i="1"/>
  <c r="I3" i="1"/>
  <c r="H3" i="1"/>
  <c r="G3" i="1"/>
  <c r="A2" i="26"/>
  <c r="L2" i="42"/>
  <c r="K2" i="42"/>
  <c r="I2" i="42"/>
  <c r="H2" i="42"/>
  <c r="A2" i="42"/>
  <c r="L2" i="15"/>
  <c r="K2" i="15"/>
  <c r="J2" i="15"/>
  <c r="H2" i="15"/>
  <c r="G2" i="15"/>
  <c r="F2" i="15"/>
  <c r="E2" i="15"/>
  <c r="D2" i="15"/>
  <c r="C2" i="15"/>
  <c r="B2" i="15"/>
  <c r="A2" i="15"/>
  <c r="L2" i="21"/>
  <c r="K2" i="21"/>
  <c r="J2" i="21"/>
  <c r="I2" i="21"/>
  <c r="H2" i="21"/>
  <c r="G2" i="21"/>
  <c r="F2" i="21"/>
  <c r="E2" i="21"/>
  <c r="D2" i="21"/>
  <c r="C2" i="21"/>
  <c r="B2" i="21"/>
  <c r="A2" i="21"/>
  <c r="L2" i="27"/>
  <c r="K2" i="27"/>
  <c r="J2" i="27"/>
  <c r="I2" i="27"/>
  <c r="H2" i="27"/>
  <c r="G2" i="27"/>
  <c r="F2" i="27"/>
  <c r="E2" i="27"/>
  <c r="D2" i="27"/>
  <c r="C2" i="27"/>
  <c r="B2" i="27"/>
  <c r="A2" i="27"/>
  <c r="L2" i="17"/>
  <c r="K2" i="17"/>
  <c r="J2" i="17"/>
  <c r="I2" i="17"/>
  <c r="H2" i="17"/>
  <c r="G2" i="17"/>
  <c r="F2" i="17"/>
  <c r="E2" i="17"/>
  <c r="D2" i="17"/>
  <c r="C2" i="17"/>
  <c r="B2" i="17"/>
  <c r="A2" i="17"/>
  <c r="L2" i="11"/>
  <c r="K2" i="11"/>
  <c r="J2" i="11"/>
  <c r="I2" i="11"/>
  <c r="H2" i="11"/>
  <c r="G2" i="11"/>
  <c r="F2" i="11"/>
  <c r="E2" i="11"/>
  <c r="D2" i="11"/>
  <c r="C2" i="11"/>
  <c r="B2" i="11"/>
  <c r="A2" i="11"/>
  <c r="K2" i="9"/>
  <c r="J2" i="9"/>
  <c r="I2" i="9"/>
  <c r="H2" i="9"/>
  <c r="G2" i="9"/>
  <c r="F2" i="9"/>
  <c r="E2" i="9"/>
  <c r="D2" i="9"/>
  <c r="C2" i="9"/>
  <c r="B2" i="9"/>
  <c r="A2" i="9"/>
  <c r="L2" i="6"/>
  <c r="K2" i="6"/>
  <c r="J2" i="6"/>
  <c r="I2" i="6"/>
  <c r="H2" i="6"/>
  <c r="G2" i="6"/>
  <c r="F2" i="6"/>
  <c r="E2" i="6"/>
  <c r="D2" i="6"/>
  <c r="C2" i="6"/>
  <c r="B2" i="6"/>
  <c r="A2" i="6"/>
  <c r="M2" i="5"/>
  <c r="L2" i="5"/>
  <c r="K2" i="5"/>
  <c r="J2" i="5"/>
  <c r="I2" i="5"/>
  <c r="H2" i="5"/>
  <c r="G2" i="5"/>
  <c r="F2" i="5"/>
  <c r="E2" i="5"/>
  <c r="D2" i="5"/>
  <c r="C2" i="5"/>
  <c r="B2" i="5"/>
  <c r="A2" i="5"/>
  <c r="T23" i="15" l="1"/>
  <c r="E46" i="2"/>
  <c r="E45" i="2"/>
  <c r="E44" i="2"/>
  <c r="B53" i="2"/>
  <c r="B49" i="2"/>
  <c r="C62" i="2"/>
  <c r="C61" i="2"/>
  <c r="C60" i="2"/>
  <c r="A70" i="2"/>
  <c r="A69" i="2"/>
  <c r="A68" i="2"/>
  <c r="A67" i="2"/>
  <c r="A66" i="2"/>
  <c r="D70" i="2"/>
  <c r="D69" i="2"/>
  <c r="D68" i="2"/>
  <c r="D67" i="2"/>
  <c r="D66" i="2"/>
  <c r="C70" i="2"/>
  <c r="C69" i="2"/>
  <c r="C68" i="2"/>
  <c r="C67" i="2"/>
  <c r="C66" i="2"/>
  <c r="B70" i="2"/>
  <c r="B69" i="2"/>
  <c r="B68" i="2"/>
  <c r="B67" i="2"/>
  <c r="B66" i="2"/>
  <c r="D62" i="2"/>
  <c r="D61" i="2"/>
  <c r="D60" i="2"/>
  <c r="B62" i="2"/>
  <c r="B61" i="2"/>
  <c r="B60" i="2"/>
  <c r="B50" i="2"/>
  <c r="D46" i="2"/>
  <c r="D45" i="2"/>
  <c r="D44" i="2"/>
  <c r="D43" i="2"/>
  <c r="E43" i="2" s="1"/>
  <c r="D42" i="2"/>
  <c r="E42" i="2" s="1"/>
  <c r="D44" i="5"/>
  <c r="E76" i="35"/>
  <c r="D76" i="35"/>
  <c r="I27" i="22"/>
  <c r="E27" i="22"/>
  <c r="A23" i="11"/>
  <c r="A29" i="31" s="1"/>
  <c r="D29" i="31" s="1"/>
  <c r="D24" i="17"/>
  <c r="B24" i="17"/>
  <c r="A24" i="17"/>
  <c r="D23" i="17"/>
  <c r="B23" i="17"/>
  <c r="A23" i="17"/>
  <c r="D22" i="17"/>
  <c r="H25" i="27" s="1"/>
  <c r="B22" i="17"/>
  <c r="A22" i="17"/>
  <c r="D21" i="17"/>
  <c r="B21" i="17"/>
  <c r="A21" i="17"/>
  <c r="D20" i="17"/>
  <c r="B20" i="17"/>
  <c r="A20" i="17"/>
  <c r="D19" i="17"/>
  <c r="B19" i="17"/>
  <c r="A19" i="17"/>
  <c r="D18" i="17"/>
  <c r="B18" i="17"/>
  <c r="A18" i="17"/>
  <c r="D17" i="17"/>
  <c r="H20" i="27" s="1"/>
  <c r="B17" i="17"/>
  <c r="A17" i="17"/>
  <c r="D16" i="17"/>
  <c r="B16" i="17"/>
  <c r="A16" i="17"/>
  <c r="D15" i="17"/>
  <c r="B15" i="17"/>
  <c r="A15" i="17"/>
  <c r="D14" i="17"/>
  <c r="B14" i="17"/>
  <c r="A14" i="17"/>
  <c r="D13" i="17"/>
  <c r="B13" i="17"/>
  <c r="A13" i="17"/>
  <c r="D12" i="17"/>
  <c r="B12" i="17"/>
  <c r="A12" i="17"/>
  <c r="D11" i="17"/>
  <c r="B11" i="17"/>
  <c r="A11" i="17"/>
  <c r="D10" i="17"/>
  <c r="B10" i="17"/>
  <c r="A10" i="17"/>
  <c r="D9" i="17"/>
  <c r="B9" i="17"/>
  <c r="A9" i="17"/>
  <c r="D8" i="17"/>
  <c r="B8" i="17"/>
  <c r="A8" i="17"/>
  <c r="D7" i="17"/>
  <c r="B7" i="17"/>
  <c r="A7" i="17"/>
  <c r="D6" i="17"/>
  <c r="B6" i="17"/>
  <c r="A6" i="17"/>
  <c r="D5" i="17"/>
  <c r="B5" i="17"/>
  <c r="A5" i="17"/>
  <c r="I25" i="45"/>
  <c r="I24" i="45"/>
  <c r="I23" i="45"/>
  <c r="I22" i="45"/>
  <c r="I21" i="45"/>
  <c r="I20" i="45"/>
  <c r="I19" i="45"/>
  <c r="I18" i="45"/>
  <c r="I17" i="45"/>
  <c r="I16" i="45"/>
  <c r="I15" i="45"/>
  <c r="I14" i="45"/>
  <c r="I13" i="45"/>
  <c r="I12" i="45"/>
  <c r="I11" i="45"/>
  <c r="I10" i="45"/>
  <c r="I9" i="45"/>
  <c r="I8" i="45"/>
  <c r="I7" i="45"/>
  <c r="I6" i="45"/>
  <c r="G6" i="45"/>
  <c r="G7" i="45"/>
  <c r="O7" i="45" s="1"/>
  <c r="G8" i="45"/>
  <c r="G9" i="45"/>
  <c r="O9" i="45" s="1"/>
  <c r="R9" i="45" s="1"/>
  <c r="G10" i="45"/>
  <c r="G11" i="45"/>
  <c r="G12" i="45"/>
  <c r="G13" i="45"/>
  <c r="G14" i="45"/>
  <c r="G15" i="45"/>
  <c r="O15" i="45" s="1"/>
  <c r="R15" i="45" s="1"/>
  <c r="G16" i="45"/>
  <c r="G17" i="45"/>
  <c r="O17" i="45" s="1"/>
  <c r="R17" i="45" s="1"/>
  <c r="G18" i="45"/>
  <c r="G19" i="45"/>
  <c r="O19" i="45" s="1"/>
  <c r="R19" i="45" s="1"/>
  <c r="G20" i="45"/>
  <c r="G21" i="45"/>
  <c r="O21" i="45" s="1"/>
  <c r="G22" i="45"/>
  <c r="G23" i="45"/>
  <c r="G24" i="45"/>
  <c r="G25" i="45"/>
  <c r="O25" i="45"/>
  <c r="O24" i="45"/>
  <c r="O23" i="45"/>
  <c r="O22" i="45"/>
  <c r="O20" i="45"/>
  <c r="O18" i="45"/>
  <c r="R18" i="45" s="1"/>
  <c r="O16" i="45"/>
  <c r="O14" i="45"/>
  <c r="O13" i="45"/>
  <c r="R13" i="45" s="1"/>
  <c r="O12" i="45"/>
  <c r="R12" i="45" s="1"/>
  <c r="O11" i="45"/>
  <c r="R11" i="45" s="1"/>
  <c r="O10" i="45"/>
  <c r="P10" i="45" s="1"/>
  <c r="O8" i="45"/>
  <c r="P8" i="45" s="1"/>
  <c r="O6" i="45"/>
  <c r="R6" i="45" s="1"/>
  <c r="Q43" i="45"/>
  <c r="P25" i="45"/>
  <c r="P24" i="45"/>
  <c r="P23" i="45"/>
  <c r="P22" i="45"/>
  <c r="P21" i="45"/>
  <c r="P20" i="45"/>
  <c r="P19" i="45"/>
  <c r="P18" i="45"/>
  <c r="P17" i="45"/>
  <c r="P16" i="45"/>
  <c r="P15" i="45"/>
  <c r="P14" i="45"/>
  <c r="P13" i="45"/>
  <c r="P12" i="45"/>
  <c r="M26" i="45"/>
  <c r="L26" i="45"/>
  <c r="J25" i="45"/>
  <c r="F25" i="45"/>
  <c r="E25" i="45"/>
  <c r="D25" i="45"/>
  <c r="C25" i="45"/>
  <c r="B25" i="45"/>
  <c r="J24" i="45"/>
  <c r="F24" i="45"/>
  <c r="E24" i="45"/>
  <c r="D24" i="45"/>
  <c r="C24" i="45"/>
  <c r="B24" i="45"/>
  <c r="J23" i="45"/>
  <c r="F23" i="45"/>
  <c r="E23" i="45"/>
  <c r="D23" i="45"/>
  <c r="C23" i="45"/>
  <c r="B23" i="45"/>
  <c r="J22" i="45"/>
  <c r="F22" i="45"/>
  <c r="E22" i="45"/>
  <c r="D22" i="45"/>
  <c r="C22" i="45"/>
  <c r="B22" i="45"/>
  <c r="J21" i="45"/>
  <c r="F21" i="45"/>
  <c r="E21" i="45"/>
  <c r="D21" i="45"/>
  <c r="C21" i="45"/>
  <c r="B21" i="45"/>
  <c r="J20" i="45"/>
  <c r="F20" i="45"/>
  <c r="E20" i="45"/>
  <c r="D20" i="45"/>
  <c r="C20" i="45"/>
  <c r="B20" i="45"/>
  <c r="J19" i="45"/>
  <c r="F19" i="45"/>
  <c r="E19" i="45"/>
  <c r="D19" i="45"/>
  <c r="C19" i="45"/>
  <c r="B19" i="45"/>
  <c r="J18" i="45"/>
  <c r="F18" i="45"/>
  <c r="E18" i="45"/>
  <c r="D18" i="45"/>
  <c r="C18" i="45"/>
  <c r="B18" i="45"/>
  <c r="J17" i="45"/>
  <c r="F17" i="45"/>
  <c r="E17" i="45"/>
  <c r="D17" i="45"/>
  <c r="C17" i="45"/>
  <c r="B17" i="45"/>
  <c r="J16" i="45"/>
  <c r="F16" i="45"/>
  <c r="E16" i="45"/>
  <c r="D16" i="45"/>
  <c r="C16" i="45"/>
  <c r="B16" i="45"/>
  <c r="J15" i="45"/>
  <c r="F15" i="45"/>
  <c r="E15" i="45"/>
  <c r="D15" i="45"/>
  <c r="C15" i="45"/>
  <c r="B15" i="45"/>
  <c r="J14" i="45"/>
  <c r="F14" i="45"/>
  <c r="E14" i="45"/>
  <c r="D14" i="45"/>
  <c r="C14" i="45"/>
  <c r="B14" i="45"/>
  <c r="J13" i="45"/>
  <c r="F13" i="45"/>
  <c r="E13" i="45"/>
  <c r="D13" i="45"/>
  <c r="C13" i="45"/>
  <c r="B13" i="45"/>
  <c r="J12" i="45"/>
  <c r="F12" i="45"/>
  <c r="E12" i="45"/>
  <c r="D12" i="45"/>
  <c r="C12" i="45"/>
  <c r="B12" i="45"/>
  <c r="J11" i="45"/>
  <c r="F11" i="45"/>
  <c r="E11" i="45"/>
  <c r="D11" i="45"/>
  <c r="C11" i="45"/>
  <c r="B11" i="45"/>
  <c r="J10" i="45"/>
  <c r="F10" i="45"/>
  <c r="E10" i="45"/>
  <c r="D10" i="45"/>
  <c r="C10" i="45"/>
  <c r="B10" i="45"/>
  <c r="J9" i="45"/>
  <c r="F9" i="45"/>
  <c r="E9" i="45"/>
  <c r="D9" i="45"/>
  <c r="C9" i="45"/>
  <c r="B9" i="45"/>
  <c r="J8" i="45"/>
  <c r="F8" i="45"/>
  <c r="E8" i="45"/>
  <c r="D8" i="45"/>
  <c r="C8" i="45"/>
  <c r="B8" i="45"/>
  <c r="J7" i="45"/>
  <c r="F7" i="45"/>
  <c r="E7" i="45"/>
  <c r="D7" i="45"/>
  <c r="C7" i="45"/>
  <c r="B7" i="45"/>
  <c r="J6" i="45"/>
  <c r="F6" i="45"/>
  <c r="E6" i="45"/>
  <c r="D6" i="45"/>
  <c r="C6" i="45"/>
  <c r="B6" i="45"/>
  <c r="E24" i="41"/>
  <c r="H24" i="27"/>
  <c r="H19" i="27"/>
  <c r="H18" i="27"/>
  <c r="H17" i="27"/>
  <c r="H16" i="27"/>
  <c r="H13" i="27"/>
  <c r="H11" i="27"/>
  <c r="H8" i="27"/>
  <c r="G24" i="8"/>
  <c r="D24" i="8"/>
  <c r="C24" i="8"/>
  <c r="B24" i="8"/>
  <c r="G23" i="8"/>
  <c r="D23" i="8"/>
  <c r="C23" i="8"/>
  <c r="B23" i="8"/>
  <c r="G22" i="8"/>
  <c r="D22" i="8"/>
  <c r="C22" i="8"/>
  <c r="B22" i="8"/>
  <c r="G21" i="8"/>
  <c r="D21" i="8"/>
  <c r="C21" i="8"/>
  <c r="B21" i="8"/>
  <c r="G20" i="8"/>
  <c r="D20" i="8"/>
  <c r="C20" i="8"/>
  <c r="B20" i="8"/>
  <c r="G19" i="8"/>
  <c r="D19" i="8"/>
  <c r="C19" i="8"/>
  <c r="B19" i="8"/>
  <c r="G18" i="8"/>
  <c r="D18" i="8"/>
  <c r="C18" i="8"/>
  <c r="B18" i="8"/>
  <c r="G17" i="8"/>
  <c r="D17" i="8"/>
  <c r="C17" i="8"/>
  <c r="B17" i="8"/>
  <c r="G16" i="8"/>
  <c r="D16" i="8"/>
  <c r="C16" i="8"/>
  <c r="B16" i="8"/>
  <c r="G15" i="8"/>
  <c r="D15" i="8"/>
  <c r="C15" i="8"/>
  <c r="B15" i="8"/>
  <c r="G14" i="8"/>
  <c r="D14" i="8"/>
  <c r="C14" i="8"/>
  <c r="B14" i="8"/>
  <c r="G13" i="8"/>
  <c r="D13" i="8"/>
  <c r="C13" i="8"/>
  <c r="B13" i="8"/>
  <c r="G12" i="8"/>
  <c r="D12" i="8"/>
  <c r="C12" i="8"/>
  <c r="B12" i="8"/>
  <c r="G11" i="8"/>
  <c r="D11" i="8"/>
  <c r="C11" i="8"/>
  <c r="B11" i="8"/>
  <c r="G10" i="8"/>
  <c r="D10" i="8"/>
  <c r="C10" i="8"/>
  <c r="B10" i="8"/>
  <c r="G9" i="8"/>
  <c r="D9" i="8"/>
  <c r="C9" i="8"/>
  <c r="B9" i="8"/>
  <c r="G8" i="8"/>
  <c r="D8" i="8"/>
  <c r="C8" i="8"/>
  <c r="B8" i="8"/>
  <c r="G7" i="8"/>
  <c r="D7" i="8"/>
  <c r="C7" i="8"/>
  <c r="B7" i="8"/>
  <c r="G6" i="8"/>
  <c r="D6" i="8"/>
  <c r="C6" i="8"/>
  <c r="B6" i="8"/>
  <c r="G5" i="8"/>
  <c r="D5" i="8"/>
  <c r="C5" i="8"/>
  <c r="B5" i="8"/>
  <c r="E33" i="7"/>
  <c r="D33" i="7"/>
  <c r="C33" i="7"/>
  <c r="B33" i="7"/>
  <c r="E32" i="7"/>
  <c r="D32" i="7"/>
  <c r="C32" i="7"/>
  <c r="B32" i="7"/>
  <c r="E31" i="7"/>
  <c r="D31" i="7"/>
  <c r="C31" i="7"/>
  <c r="B31" i="7"/>
  <c r="E30" i="7"/>
  <c r="D30" i="7"/>
  <c r="C30" i="7"/>
  <c r="B30" i="7"/>
  <c r="E29" i="7"/>
  <c r="D29" i="7"/>
  <c r="C29" i="7"/>
  <c r="B29" i="7"/>
  <c r="E28" i="7"/>
  <c r="D28" i="7"/>
  <c r="C28" i="7"/>
  <c r="B28" i="7"/>
  <c r="E27" i="7"/>
  <c r="D27" i="7"/>
  <c r="C27" i="7"/>
  <c r="B27" i="7"/>
  <c r="E26" i="7"/>
  <c r="D26" i="7"/>
  <c r="C26" i="7"/>
  <c r="B26" i="7"/>
  <c r="E25" i="7"/>
  <c r="D25" i="7"/>
  <c r="C25" i="7"/>
  <c r="B25" i="7"/>
  <c r="E24" i="7"/>
  <c r="D24" i="7"/>
  <c r="C24" i="7"/>
  <c r="B24" i="7"/>
  <c r="E23" i="7"/>
  <c r="D23" i="7"/>
  <c r="C23" i="7"/>
  <c r="B23" i="7"/>
  <c r="E22" i="7"/>
  <c r="D22" i="7"/>
  <c r="C22" i="7"/>
  <c r="B22" i="7"/>
  <c r="E21" i="7"/>
  <c r="D21" i="7"/>
  <c r="C21" i="7"/>
  <c r="B21" i="7"/>
  <c r="E20" i="7"/>
  <c r="D20" i="7"/>
  <c r="C20" i="7"/>
  <c r="B20" i="7"/>
  <c r="E19" i="7"/>
  <c r="D19" i="7"/>
  <c r="C19" i="7"/>
  <c r="B19" i="7"/>
  <c r="E18" i="7"/>
  <c r="D18" i="7"/>
  <c r="C18" i="7"/>
  <c r="B18" i="7"/>
  <c r="E17" i="7"/>
  <c r="D17" i="7"/>
  <c r="C17" i="7"/>
  <c r="B17" i="7"/>
  <c r="E16" i="7"/>
  <c r="D16" i="7"/>
  <c r="C16" i="7"/>
  <c r="B16" i="7"/>
  <c r="E15" i="7"/>
  <c r="D15" i="7"/>
  <c r="C15" i="7"/>
  <c r="B15" i="7"/>
  <c r="E14" i="7"/>
  <c r="D14" i="7"/>
  <c r="C14" i="7"/>
  <c r="B14" i="7"/>
  <c r="M62" i="5"/>
  <c r="L62" i="5"/>
  <c r="J62" i="5"/>
  <c r="F62" i="5"/>
  <c r="D62" i="5"/>
  <c r="C62" i="5"/>
  <c r="B62" i="5"/>
  <c r="M61" i="5"/>
  <c r="L61" i="5"/>
  <c r="J61" i="5"/>
  <c r="F61" i="5"/>
  <c r="D61" i="5"/>
  <c r="C61" i="5"/>
  <c r="B61" i="5"/>
  <c r="M60" i="5"/>
  <c r="L60" i="5"/>
  <c r="J60" i="5"/>
  <c r="F60" i="5"/>
  <c r="D60" i="5"/>
  <c r="C60" i="5"/>
  <c r="B60" i="5"/>
  <c r="M59" i="5"/>
  <c r="L59" i="5"/>
  <c r="J59" i="5"/>
  <c r="F59" i="5"/>
  <c r="D59" i="5"/>
  <c r="C59" i="5"/>
  <c r="B59" i="5"/>
  <c r="M58" i="5"/>
  <c r="L58" i="5"/>
  <c r="J58" i="5"/>
  <c r="F58" i="5"/>
  <c r="D58" i="5"/>
  <c r="C58" i="5"/>
  <c r="B58" i="5"/>
  <c r="M57" i="5"/>
  <c r="L57" i="5"/>
  <c r="J57" i="5"/>
  <c r="F57" i="5"/>
  <c r="D57" i="5"/>
  <c r="C57" i="5"/>
  <c r="B57" i="5"/>
  <c r="M56" i="5"/>
  <c r="L56" i="5"/>
  <c r="J56" i="5"/>
  <c r="F56" i="5"/>
  <c r="D56" i="5"/>
  <c r="C56" i="5"/>
  <c r="B56" i="5"/>
  <c r="M55" i="5"/>
  <c r="L55" i="5"/>
  <c r="J55" i="5"/>
  <c r="F55" i="5"/>
  <c r="D55" i="5"/>
  <c r="C55" i="5"/>
  <c r="B55" i="5"/>
  <c r="M54" i="5"/>
  <c r="L54" i="5"/>
  <c r="J54" i="5"/>
  <c r="F54" i="5"/>
  <c r="D54" i="5"/>
  <c r="C54" i="5"/>
  <c r="B54" i="5"/>
  <c r="M53" i="5"/>
  <c r="L53" i="5"/>
  <c r="J53" i="5"/>
  <c r="F53" i="5"/>
  <c r="D53" i="5"/>
  <c r="C53" i="5"/>
  <c r="B53" i="5"/>
  <c r="M52" i="5"/>
  <c r="L52" i="5"/>
  <c r="J52" i="5"/>
  <c r="F52" i="5"/>
  <c r="D52" i="5"/>
  <c r="C52" i="5"/>
  <c r="B52" i="5"/>
  <c r="M51" i="5"/>
  <c r="L51" i="5"/>
  <c r="J51" i="5"/>
  <c r="F51" i="5"/>
  <c r="D51" i="5"/>
  <c r="C51" i="5"/>
  <c r="B51" i="5"/>
  <c r="M50" i="5"/>
  <c r="L50" i="5"/>
  <c r="J50" i="5"/>
  <c r="F50" i="5"/>
  <c r="D50" i="5"/>
  <c r="C50" i="5"/>
  <c r="B50" i="5"/>
  <c r="M49" i="5"/>
  <c r="L49" i="5"/>
  <c r="J49" i="5"/>
  <c r="F49" i="5"/>
  <c r="D49" i="5"/>
  <c r="C49" i="5"/>
  <c r="B49" i="5"/>
  <c r="M48" i="5"/>
  <c r="L48" i="5"/>
  <c r="J48" i="5"/>
  <c r="F48" i="5"/>
  <c r="D48" i="5"/>
  <c r="C48" i="5"/>
  <c r="B48" i="5"/>
  <c r="M47" i="5"/>
  <c r="L47" i="5"/>
  <c r="J47" i="5"/>
  <c r="F47" i="5"/>
  <c r="D47" i="5"/>
  <c r="C47" i="5"/>
  <c r="B47" i="5"/>
  <c r="M46" i="5"/>
  <c r="L46" i="5"/>
  <c r="J46" i="5"/>
  <c r="F46" i="5"/>
  <c r="D46" i="5"/>
  <c r="C46" i="5"/>
  <c r="B46" i="5"/>
  <c r="M45" i="5"/>
  <c r="L45" i="5"/>
  <c r="J45" i="5"/>
  <c r="F45" i="5"/>
  <c r="D45" i="5"/>
  <c r="C45" i="5"/>
  <c r="B45" i="5"/>
  <c r="M44" i="5"/>
  <c r="L44" i="5"/>
  <c r="J44" i="5"/>
  <c r="F44" i="5"/>
  <c r="C44" i="5"/>
  <c r="B44" i="5"/>
  <c r="M43" i="5"/>
  <c r="L43" i="5"/>
  <c r="J43" i="5"/>
  <c r="F43" i="5"/>
  <c r="D43" i="5"/>
  <c r="C43" i="5"/>
  <c r="B43" i="5"/>
  <c r="L24" i="6"/>
  <c r="B47" i="33"/>
  <c r="B33" i="33"/>
  <c r="C32" i="33"/>
  <c r="B32" i="33"/>
  <c r="C30" i="33"/>
  <c r="B30" i="33"/>
  <c r="C29" i="33"/>
  <c r="B29" i="33"/>
  <c r="B38" i="32"/>
  <c r="B37" i="32"/>
  <c r="B36" i="32"/>
  <c r="B35" i="32"/>
  <c r="C33" i="32"/>
  <c r="B33" i="32"/>
  <c r="C32" i="32"/>
  <c r="B32" i="32"/>
  <c r="C31" i="32"/>
  <c r="B31" i="32"/>
  <c r="C30" i="32"/>
  <c r="B30" i="32"/>
  <c r="C29" i="32"/>
  <c r="B29" i="32"/>
  <c r="K25" i="32"/>
  <c r="K24" i="32"/>
  <c r="K23" i="32"/>
  <c r="K22" i="32"/>
  <c r="K21" i="32"/>
  <c r="K20" i="32"/>
  <c r="K19" i="32"/>
  <c r="K18" i="32"/>
  <c r="K17" i="32"/>
  <c r="K15" i="32"/>
  <c r="K14" i="32"/>
  <c r="K13" i="32"/>
  <c r="K12" i="32"/>
  <c r="K11" i="32"/>
  <c r="K9" i="32"/>
  <c r="K8" i="32"/>
  <c r="K7" i="32"/>
  <c r="K6" i="32"/>
  <c r="I30" i="31"/>
  <c r="H29" i="31"/>
  <c r="G29" i="31"/>
  <c r="E29" i="31"/>
  <c r="C29" i="31"/>
  <c r="B29" i="31"/>
  <c r="H28" i="31"/>
  <c r="G28" i="31"/>
  <c r="E28" i="31"/>
  <c r="C28" i="31"/>
  <c r="B28" i="31"/>
  <c r="H27" i="31"/>
  <c r="G27" i="31"/>
  <c r="E27" i="31"/>
  <c r="C27" i="31"/>
  <c r="B27" i="31"/>
  <c r="H26" i="31"/>
  <c r="E26" i="31"/>
  <c r="C26" i="31"/>
  <c r="B26" i="31"/>
  <c r="H25" i="31"/>
  <c r="G25" i="31"/>
  <c r="E25" i="31"/>
  <c r="C25" i="31"/>
  <c r="B25" i="31"/>
  <c r="H24" i="31"/>
  <c r="G24" i="31"/>
  <c r="E24" i="31"/>
  <c r="C24" i="31"/>
  <c r="B24" i="31"/>
  <c r="H23" i="31"/>
  <c r="E23" i="31"/>
  <c r="C23" i="31"/>
  <c r="B23" i="31"/>
  <c r="H22" i="31"/>
  <c r="G22" i="31"/>
  <c r="E22" i="31"/>
  <c r="C22" i="31"/>
  <c r="B22" i="31"/>
  <c r="H21" i="31"/>
  <c r="G21" i="31"/>
  <c r="E21" i="31"/>
  <c r="C21" i="31"/>
  <c r="B21" i="31"/>
  <c r="H20" i="31"/>
  <c r="E20" i="31"/>
  <c r="C20" i="31"/>
  <c r="B20" i="31"/>
  <c r="H19" i="31"/>
  <c r="G19" i="31"/>
  <c r="E19" i="31"/>
  <c r="C19" i="31"/>
  <c r="B19" i="31"/>
  <c r="H18" i="31"/>
  <c r="G18" i="31"/>
  <c r="E18" i="31"/>
  <c r="C18" i="31"/>
  <c r="B18" i="31"/>
  <c r="H17" i="31"/>
  <c r="E17" i="31"/>
  <c r="C17" i="31"/>
  <c r="B17" i="31"/>
  <c r="H16" i="31"/>
  <c r="G16" i="31"/>
  <c r="E16" i="31"/>
  <c r="C16" i="31"/>
  <c r="B16" i="31"/>
  <c r="H15" i="31"/>
  <c r="E15" i="31"/>
  <c r="C15" i="31"/>
  <c r="B15" i="31"/>
  <c r="H14" i="31"/>
  <c r="G14" i="31"/>
  <c r="E14" i="31"/>
  <c r="C14" i="31"/>
  <c r="B14" i="31"/>
  <c r="H13" i="31"/>
  <c r="G13" i="31"/>
  <c r="E13" i="31"/>
  <c r="C13" i="31"/>
  <c r="B13" i="31"/>
  <c r="H12" i="31"/>
  <c r="E12" i="31"/>
  <c r="C12" i="31"/>
  <c r="B12" i="31"/>
  <c r="H11" i="31"/>
  <c r="G11" i="31"/>
  <c r="E11" i="31"/>
  <c r="C11" i="31"/>
  <c r="B11" i="31"/>
  <c r="D10" i="31"/>
  <c r="K7" i="31"/>
  <c r="B53" i="30"/>
  <c r="B35" i="30"/>
  <c r="D24" i="30"/>
  <c r="C24" i="30"/>
  <c r="E23" i="30"/>
  <c r="D23" i="30"/>
  <c r="C23" i="30"/>
  <c r="E22" i="30"/>
  <c r="D22" i="30"/>
  <c r="F22" i="30" s="1"/>
  <c r="C22" i="30"/>
  <c r="C21" i="30"/>
  <c r="E20" i="30"/>
  <c r="D20" i="30"/>
  <c r="C20" i="30"/>
  <c r="F20" i="30" s="1"/>
  <c r="E19" i="30"/>
  <c r="D19" i="30"/>
  <c r="F19" i="30" s="1"/>
  <c r="C19" i="30"/>
  <c r="D18" i="30"/>
  <c r="C18" i="30"/>
  <c r="E17" i="30"/>
  <c r="D17" i="30"/>
  <c r="C17" i="30"/>
  <c r="F17" i="30" s="1"/>
  <c r="E16" i="30"/>
  <c r="D16" i="30"/>
  <c r="F16" i="30" s="1"/>
  <c r="C16" i="30"/>
  <c r="C15" i="30"/>
  <c r="E14" i="30"/>
  <c r="D14" i="30"/>
  <c r="C14" i="30"/>
  <c r="F14" i="30" s="1"/>
  <c r="E13" i="30"/>
  <c r="D13" i="30"/>
  <c r="C13" i="30"/>
  <c r="B41" i="27"/>
  <c r="B40" i="27"/>
  <c r="B39" i="27"/>
  <c r="B38" i="27"/>
  <c r="B37" i="27"/>
  <c r="B36" i="27"/>
  <c r="B35" i="27"/>
  <c r="B34" i="27"/>
  <c r="B33" i="27"/>
  <c r="B32" i="27"/>
  <c r="B31" i="27"/>
  <c r="B30" i="27"/>
  <c r="G26" i="27"/>
  <c r="F26" i="27"/>
  <c r="V25" i="27"/>
  <c r="U25" i="27"/>
  <c r="G25" i="27"/>
  <c r="F25" i="27"/>
  <c r="L25" i="27" s="1"/>
  <c r="V24" i="27"/>
  <c r="U24" i="27"/>
  <c r="G24" i="27"/>
  <c r="L24" i="27" s="1"/>
  <c r="F24" i="27"/>
  <c r="V23" i="27"/>
  <c r="U23" i="27"/>
  <c r="L23" i="27"/>
  <c r="G23" i="27"/>
  <c r="F23" i="27"/>
  <c r="V22" i="27"/>
  <c r="U22" i="27"/>
  <c r="L22" i="27"/>
  <c r="G22" i="27"/>
  <c r="F22" i="27"/>
  <c r="V21" i="27"/>
  <c r="U21" i="27"/>
  <c r="L21" i="27"/>
  <c r="G21" i="27"/>
  <c r="F21" i="27"/>
  <c r="V20" i="27"/>
  <c r="U20" i="27"/>
  <c r="G20" i="27"/>
  <c r="L20" i="27" s="1"/>
  <c r="F20" i="27"/>
  <c r="V19" i="27"/>
  <c r="U19" i="27"/>
  <c r="L19" i="27"/>
  <c r="G19" i="27"/>
  <c r="F19" i="27"/>
  <c r="V18" i="27"/>
  <c r="U18" i="27"/>
  <c r="G18" i="27"/>
  <c r="L18" i="27" s="1"/>
  <c r="F18" i="27"/>
  <c r="V17" i="27"/>
  <c r="U17" i="27"/>
  <c r="L17" i="27"/>
  <c r="G17" i="27"/>
  <c r="F17" i="27"/>
  <c r="V16" i="27"/>
  <c r="U16" i="27"/>
  <c r="L16" i="27"/>
  <c r="G16" i="27"/>
  <c r="F16" i="27"/>
  <c r="V15" i="27"/>
  <c r="U15" i="27"/>
  <c r="L15" i="27"/>
  <c r="G15" i="27"/>
  <c r="F15" i="27"/>
  <c r="V14" i="27"/>
  <c r="U14" i="27"/>
  <c r="G14" i="27"/>
  <c r="L14" i="27" s="1"/>
  <c r="F14" i="27"/>
  <c r="V13" i="27"/>
  <c r="U13" i="27"/>
  <c r="G13" i="27"/>
  <c r="F13" i="27"/>
  <c r="L13" i="27" s="1"/>
  <c r="V12" i="27"/>
  <c r="U12" i="27"/>
  <c r="G12" i="27"/>
  <c r="L12" i="27" s="1"/>
  <c r="F12" i="27"/>
  <c r="V11" i="27"/>
  <c r="U11" i="27"/>
  <c r="L11" i="27"/>
  <c r="G11" i="27"/>
  <c r="F11" i="27"/>
  <c r="V10" i="27"/>
  <c r="U10" i="27"/>
  <c r="L10" i="27"/>
  <c r="G10" i="27"/>
  <c r="F10" i="27"/>
  <c r="V9" i="27"/>
  <c r="U9" i="27"/>
  <c r="L9" i="27"/>
  <c r="G9" i="27"/>
  <c r="F9" i="27"/>
  <c r="V8" i="27"/>
  <c r="U8" i="27"/>
  <c r="G8" i="27"/>
  <c r="L8" i="27" s="1"/>
  <c r="F8" i="27"/>
  <c r="V7" i="27"/>
  <c r="U7" i="27"/>
  <c r="L7" i="27"/>
  <c r="J7" i="27"/>
  <c r="V6" i="27"/>
  <c r="U6" i="27"/>
  <c r="H46" i="26"/>
  <c r="G46" i="26"/>
  <c r="F46" i="26"/>
  <c r="J45" i="26"/>
  <c r="I45" i="26"/>
  <c r="F45" i="26"/>
  <c r="E45" i="26"/>
  <c r="D45" i="26"/>
  <c r="C45" i="26"/>
  <c r="B45" i="26"/>
  <c r="A45" i="26"/>
  <c r="J44" i="26"/>
  <c r="I44" i="26"/>
  <c r="F44" i="26"/>
  <c r="E44" i="26"/>
  <c r="D44" i="26"/>
  <c r="C44" i="26"/>
  <c r="B44" i="26"/>
  <c r="A44" i="26"/>
  <c r="J43" i="26"/>
  <c r="I43" i="26"/>
  <c r="F43" i="26"/>
  <c r="E43" i="26"/>
  <c r="D43" i="26"/>
  <c r="C43" i="26"/>
  <c r="B43" i="26"/>
  <c r="A43" i="26"/>
  <c r="J42" i="26"/>
  <c r="I42" i="26"/>
  <c r="F42" i="26"/>
  <c r="E42" i="26"/>
  <c r="D42" i="26"/>
  <c r="C42" i="26"/>
  <c r="B42" i="26"/>
  <c r="A42" i="26"/>
  <c r="J41" i="26"/>
  <c r="I41" i="26"/>
  <c r="F41" i="26"/>
  <c r="E41" i="26"/>
  <c r="D41" i="26"/>
  <c r="C41" i="26"/>
  <c r="B41" i="26"/>
  <c r="A41" i="26"/>
  <c r="J40" i="26"/>
  <c r="I40" i="26"/>
  <c r="F40" i="26"/>
  <c r="E40" i="26"/>
  <c r="D40" i="26"/>
  <c r="C40" i="26"/>
  <c r="B40" i="26"/>
  <c r="A40" i="26"/>
  <c r="J39" i="26"/>
  <c r="I39" i="26"/>
  <c r="F39" i="26"/>
  <c r="E39" i="26"/>
  <c r="D39" i="26"/>
  <c r="C39" i="26"/>
  <c r="B39" i="26"/>
  <c r="A39" i="26"/>
  <c r="J38" i="26"/>
  <c r="I38" i="26"/>
  <c r="F38" i="26"/>
  <c r="E38" i="26"/>
  <c r="D38" i="26"/>
  <c r="C38" i="26"/>
  <c r="B38" i="26"/>
  <c r="A38" i="26"/>
  <c r="J37" i="26"/>
  <c r="I37" i="26"/>
  <c r="F37" i="26"/>
  <c r="E37" i="26"/>
  <c r="D37" i="26"/>
  <c r="C37" i="26"/>
  <c r="B37" i="26"/>
  <c r="A37" i="26"/>
  <c r="J36" i="26"/>
  <c r="I36" i="26"/>
  <c r="F36" i="26"/>
  <c r="E36" i="26"/>
  <c r="D36" i="26"/>
  <c r="C36" i="26"/>
  <c r="B36" i="26"/>
  <c r="A36" i="26"/>
  <c r="J35" i="26"/>
  <c r="I35" i="26"/>
  <c r="F35" i="26"/>
  <c r="E35" i="26"/>
  <c r="D35" i="26"/>
  <c r="C35" i="26"/>
  <c r="B35" i="26"/>
  <c r="A35" i="26"/>
  <c r="J34" i="26"/>
  <c r="I34" i="26"/>
  <c r="F34" i="26"/>
  <c r="E34" i="26"/>
  <c r="D34" i="26"/>
  <c r="C34" i="26"/>
  <c r="B34" i="26"/>
  <c r="A34" i="26"/>
  <c r="J33" i="26"/>
  <c r="I33" i="26"/>
  <c r="F33" i="26"/>
  <c r="E33" i="26"/>
  <c r="D33" i="26"/>
  <c r="C33" i="26"/>
  <c r="B33" i="26"/>
  <c r="A33" i="26"/>
  <c r="J32" i="26"/>
  <c r="I32" i="26"/>
  <c r="F32" i="26"/>
  <c r="E32" i="26"/>
  <c r="D32" i="26"/>
  <c r="C32" i="26"/>
  <c r="B32" i="26"/>
  <c r="A32" i="26"/>
  <c r="J31" i="26"/>
  <c r="I31" i="26"/>
  <c r="F31" i="26"/>
  <c r="E31" i="26"/>
  <c r="D31" i="26"/>
  <c r="C31" i="26"/>
  <c r="B31" i="26"/>
  <c r="A31" i="26"/>
  <c r="J30" i="26"/>
  <c r="I30" i="26"/>
  <c r="F30" i="26"/>
  <c r="E30" i="26"/>
  <c r="D30" i="26"/>
  <c r="C30" i="26"/>
  <c r="B30" i="26"/>
  <c r="A30" i="26"/>
  <c r="J29" i="26"/>
  <c r="I29" i="26"/>
  <c r="F29" i="26"/>
  <c r="E29" i="26"/>
  <c r="D29" i="26"/>
  <c r="C29" i="26"/>
  <c r="B29" i="26"/>
  <c r="A29" i="26"/>
  <c r="J28" i="26"/>
  <c r="I28" i="26"/>
  <c r="F28" i="26"/>
  <c r="E28" i="26"/>
  <c r="D28" i="26"/>
  <c r="C28" i="26"/>
  <c r="B28" i="26"/>
  <c r="A28" i="26"/>
  <c r="J27" i="26"/>
  <c r="I27" i="26"/>
  <c r="F27" i="26"/>
  <c r="E27" i="26"/>
  <c r="D27" i="26"/>
  <c r="C27" i="26"/>
  <c r="B27" i="26"/>
  <c r="A27" i="26"/>
  <c r="L23" i="22"/>
  <c r="L22" i="22"/>
  <c r="L21" i="22"/>
  <c r="L20" i="22"/>
  <c r="L19" i="22"/>
  <c r="L18" i="22"/>
  <c r="L17" i="22"/>
  <c r="L16" i="22"/>
  <c r="L15" i="22"/>
  <c r="L14" i="22"/>
  <c r="L13" i="22"/>
  <c r="L12" i="22"/>
  <c r="L11" i="22"/>
  <c r="L10" i="22"/>
  <c r="L9" i="22"/>
  <c r="L8" i="22"/>
  <c r="L7" i="22"/>
  <c r="L6" i="22"/>
  <c r="C25" i="21"/>
  <c r="E24" i="21"/>
  <c r="E23" i="21"/>
  <c r="E22" i="21"/>
  <c r="E21" i="21"/>
  <c r="E20" i="21"/>
  <c r="E19" i="21"/>
  <c r="E18" i="21"/>
  <c r="E17" i="21"/>
  <c r="E16" i="21"/>
  <c r="E15" i="21"/>
  <c r="E14" i="21"/>
  <c r="E13" i="21"/>
  <c r="E12" i="21"/>
  <c r="E11" i="21"/>
  <c r="E10" i="21"/>
  <c r="E9" i="21"/>
  <c r="E8" i="21"/>
  <c r="E7" i="21"/>
  <c r="E6" i="21"/>
  <c r="H26" i="27"/>
  <c r="H23" i="27"/>
  <c r="H21" i="27"/>
  <c r="H15" i="27"/>
  <c r="H14" i="27"/>
  <c r="H10" i="27"/>
  <c r="H9" i="27"/>
  <c r="E154" i="16"/>
  <c r="C154" i="16"/>
  <c r="E153" i="16"/>
  <c r="C153" i="16"/>
  <c r="E152" i="16"/>
  <c r="C152" i="16"/>
  <c r="E151" i="16"/>
  <c r="C151" i="16"/>
  <c r="E150" i="16"/>
  <c r="C150" i="16"/>
  <c r="E149" i="16"/>
  <c r="C149" i="16"/>
  <c r="E148" i="16"/>
  <c r="C148" i="16"/>
  <c r="E147" i="16"/>
  <c r="C147" i="16"/>
  <c r="E146" i="16"/>
  <c r="C146" i="16"/>
  <c r="E145" i="16"/>
  <c r="C145" i="16"/>
  <c r="E144" i="16"/>
  <c r="C144" i="16"/>
  <c r="E143" i="16"/>
  <c r="C143" i="16"/>
  <c r="E142" i="16"/>
  <c r="C142" i="16"/>
  <c r="E141" i="16"/>
  <c r="C141" i="16"/>
  <c r="E140" i="16"/>
  <c r="C140" i="16"/>
  <c r="E139" i="16"/>
  <c r="C139" i="16"/>
  <c r="E138" i="16"/>
  <c r="C138" i="16"/>
  <c r="E137" i="16"/>
  <c r="C137" i="16"/>
  <c r="E136" i="16"/>
  <c r="C136" i="16"/>
  <c r="E135" i="16"/>
  <c r="C135" i="16"/>
  <c r="J130" i="16"/>
  <c r="S25" i="15"/>
  <c r="R25" i="15"/>
  <c r="Q25" i="15"/>
  <c r="P25" i="15"/>
  <c r="O25" i="15"/>
  <c r="G25" i="15"/>
  <c r="F25" i="15"/>
  <c r="E25" i="15"/>
  <c r="T24" i="15"/>
  <c r="T22" i="15"/>
  <c r="T21" i="15"/>
  <c r="T20" i="15"/>
  <c r="T19" i="15"/>
  <c r="T18" i="15"/>
  <c r="T17" i="15"/>
  <c r="T16" i="15"/>
  <c r="T15" i="15"/>
  <c r="T14" i="15"/>
  <c r="T13" i="15"/>
  <c r="T12" i="15"/>
  <c r="T11" i="15"/>
  <c r="T10" i="15"/>
  <c r="T9" i="15"/>
  <c r="T8" i="15"/>
  <c r="T7" i="15"/>
  <c r="T6" i="15"/>
  <c r="T5" i="15"/>
  <c r="N32" i="14"/>
  <c r="L32" i="14"/>
  <c r="K32" i="14"/>
  <c r="J32" i="14"/>
  <c r="I32" i="14"/>
  <c r="H32" i="14"/>
  <c r="G32" i="14"/>
  <c r="F32" i="14"/>
  <c r="D32" i="14"/>
  <c r="C32" i="14"/>
  <c r="B32" i="14"/>
  <c r="Q31" i="14"/>
  <c r="K31" i="14"/>
  <c r="J31" i="14"/>
  <c r="I31" i="14"/>
  <c r="H31" i="14"/>
  <c r="G31" i="14"/>
  <c r="F31" i="14"/>
  <c r="D31" i="14"/>
  <c r="C31" i="14"/>
  <c r="B31" i="14"/>
  <c r="N30" i="14"/>
  <c r="M30" i="14"/>
  <c r="Q30" i="14" s="1"/>
  <c r="L30" i="14"/>
  <c r="K30" i="14"/>
  <c r="J30" i="14"/>
  <c r="I30" i="14"/>
  <c r="H30" i="14"/>
  <c r="G30" i="14"/>
  <c r="F30" i="14"/>
  <c r="D30" i="14"/>
  <c r="C30" i="14"/>
  <c r="B30" i="14"/>
  <c r="K29" i="14"/>
  <c r="J29" i="14"/>
  <c r="I29" i="14"/>
  <c r="H29" i="14"/>
  <c r="G29" i="14"/>
  <c r="F29" i="14"/>
  <c r="D29" i="14"/>
  <c r="C29" i="14"/>
  <c r="B29" i="14"/>
  <c r="K28" i="14"/>
  <c r="J28" i="14"/>
  <c r="I28" i="14"/>
  <c r="H28" i="14"/>
  <c r="G28" i="14"/>
  <c r="F28" i="14"/>
  <c r="D28" i="14"/>
  <c r="C28" i="14"/>
  <c r="B28" i="14"/>
  <c r="N25" i="14"/>
  <c r="M25" i="14"/>
  <c r="L25" i="14"/>
  <c r="K25" i="14"/>
  <c r="J25" i="14"/>
  <c r="I25" i="14"/>
  <c r="H25" i="14"/>
  <c r="G25" i="14"/>
  <c r="F25" i="14"/>
  <c r="E25" i="14"/>
  <c r="D25" i="14"/>
  <c r="C25" i="14"/>
  <c r="B25" i="14"/>
  <c r="P24" i="14"/>
  <c r="O24" i="14"/>
  <c r="Q24" i="14" s="1"/>
  <c r="Q23" i="14"/>
  <c r="P23" i="14"/>
  <c r="O23" i="14"/>
  <c r="P22" i="14"/>
  <c r="O22" i="14"/>
  <c r="Q21" i="14"/>
  <c r="P21" i="14"/>
  <c r="O21" i="14"/>
  <c r="Q20" i="14"/>
  <c r="P20" i="14"/>
  <c r="O20" i="14"/>
  <c r="M31" i="14" s="1"/>
  <c r="Q19" i="14"/>
  <c r="P19" i="14"/>
  <c r="O19" i="14"/>
  <c r="P18" i="14"/>
  <c r="O18" i="14"/>
  <c r="Q18" i="14" s="1"/>
  <c r="Q17" i="14"/>
  <c r="P17" i="14"/>
  <c r="O17" i="14"/>
  <c r="Q16" i="14"/>
  <c r="P16" i="14"/>
  <c r="O16" i="14"/>
  <c r="Q15" i="14"/>
  <c r="P15" i="14"/>
  <c r="O15" i="14"/>
  <c r="P14" i="14"/>
  <c r="O14" i="14"/>
  <c r="Q14" i="14" s="1"/>
  <c r="Q13" i="14"/>
  <c r="R30" i="14" s="1"/>
  <c r="P13" i="14"/>
  <c r="O13" i="14"/>
  <c r="E30" i="14" s="1"/>
  <c r="P12" i="14"/>
  <c r="O12" i="14"/>
  <c r="Q12" i="14" s="1"/>
  <c r="Q11" i="14"/>
  <c r="P11" i="14"/>
  <c r="O11" i="14"/>
  <c r="P10" i="14"/>
  <c r="O10" i="14"/>
  <c r="E29" i="14" s="1"/>
  <c r="P9" i="14"/>
  <c r="O9" i="14"/>
  <c r="Q9" i="14" s="1"/>
  <c r="Q8" i="14"/>
  <c r="P8" i="14"/>
  <c r="O8" i="14"/>
  <c r="Q7" i="14"/>
  <c r="P7" i="14"/>
  <c r="O7" i="14"/>
  <c r="P6" i="14"/>
  <c r="O6" i="14"/>
  <c r="Q6" i="14" s="1"/>
  <c r="Q5" i="14"/>
  <c r="P5" i="14"/>
  <c r="O5" i="14"/>
  <c r="Y24" i="11"/>
  <c r="N24" i="11"/>
  <c r="J24" i="11"/>
  <c r="I24" i="11"/>
  <c r="A24" i="11"/>
  <c r="Y23" i="11"/>
  <c r="N23" i="11"/>
  <c r="J23" i="11"/>
  <c r="I23" i="11"/>
  <c r="Y22" i="11"/>
  <c r="N22" i="11"/>
  <c r="J22" i="11"/>
  <c r="I22" i="11"/>
  <c r="A22" i="11"/>
  <c r="S22" i="11" s="1"/>
  <c r="F28" i="31" s="1"/>
  <c r="Y21" i="11"/>
  <c r="N21" i="11"/>
  <c r="J21" i="11"/>
  <c r="I21" i="11"/>
  <c r="A21" i="11"/>
  <c r="S21" i="11" s="1"/>
  <c r="N20" i="11"/>
  <c r="J20" i="11"/>
  <c r="I20" i="11"/>
  <c r="A20" i="11"/>
  <c r="T20" i="11" s="1"/>
  <c r="Y19" i="11"/>
  <c r="N19" i="11"/>
  <c r="J19" i="11"/>
  <c r="I19" i="11"/>
  <c r="A19" i="11"/>
  <c r="P19" i="11" s="1"/>
  <c r="Y18" i="11"/>
  <c r="N18" i="11"/>
  <c r="J18" i="11"/>
  <c r="I18" i="11"/>
  <c r="A18" i="11"/>
  <c r="N17" i="11"/>
  <c r="J17" i="11"/>
  <c r="I17" i="11"/>
  <c r="A17" i="11"/>
  <c r="T17" i="11" s="1"/>
  <c r="Y16" i="11"/>
  <c r="N16" i="11"/>
  <c r="J16" i="11"/>
  <c r="I16" i="11"/>
  <c r="A16" i="11"/>
  <c r="S16" i="11" s="1"/>
  <c r="Y15" i="11"/>
  <c r="N15" i="11"/>
  <c r="J15" i="11"/>
  <c r="I15" i="11"/>
  <c r="A15" i="11"/>
  <c r="Z14" i="11"/>
  <c r="N14" i="11"/>
  <c r="J14" i="11"/>
  <c r="I14" i="11"/>
  <c r="A14" i="11"/>
  <c r="Y13" i="11"/>
  <c r="N13" i="11"/>
  <c r="J13" i="11"/>
  <c r="I13" i="11"/>
  <c r="A13" i="11"/>
  <c r="A16" i="27" s="1"/>
  <c r="Y12" i="11"/>
  <c r="N12" i="11"/>
  <c r="J12" i="11"/>
  <c r="I12" i="11"/>
  <c r="A12" i="11"/>
  <c r="N11" i="11"/>
  <c r="J11" i="11"/>
  <c r="I11" i="11"/>
  <c r="A11" i="11"/>
  <c r="Y10" i="11"/>
  <c r="N10" i="11"/>
  <c r="J10" i="11"/>
  <c r="I10" i="11"/>
  <c r="A10" i="11"/>
  <c r="N9" i="11"/>
  <c r="J9" i="11"/>
  <c r="I9" i="11"/>
  <c r="A9" i="11"/>
  <c r="T9" i="11" s="1"/>
  <c r="G15" i="31" s="1"/>
  <c r="Z8" i="11"/>
  <c r="Y8" i="11"/>
  <c r="N8" i="11"/>
  <c r="J8" i="11"/>
  <c r="I8" i="11"/>
  <c r="A8" i="11"/>
  <c r="S8" i="11" s="1"/>
  <c r="F14" i="31" s="1"/>
  <c r="J14" i="31" s="1"/>
  <c r="K14" i="31" s="1"/>
  <c r="L14" i="31" s="1"/>
  <c r="Y7" i="11"/>
  <c r="N7" i="11"/>
  <c r="J7" i="11"/>
  <c r="A7" i="11"/>
  <c r="A13" i="31" s="1"/>
  <c r="D13" i="31" s="1"/>
  <c r="N6" i="11"/>
  <c r="J6" i="11"/>
  <c r="I6" i="11"/>
  <c r="A6" i="11"/>
  <c r="Y5" i="11"/>
  <c r="N5" i="11"/>
  <c r="J5" i="11"/>
  <c r="I5" i="11"/>
  <c r="A5" i="11"/>
  <c r="O5" i="11" s="1"/>
  <c r="B8" i="27" s="1"/>
  <c r="F16" i="10"/>
  <c r="C16" i="10"/>
  <c r="B16" i="10"/>
  <c r="F15" i="10"/>
  <c r="C15" i="10"/>
  <c r="B15" i="10"/>
  <c r="F14" i="10"/>
  <c r="C14" i="10"/>
  <c r="B14" i="10"/>
  <c r="F13" i="10"/>
  <c r="E13" i="10"/>
  <c r="C13" i="10"/>
  <c r="B13" i="10"/>
  <c r="B51" i="4"/>
  <c r="B52" i="4" s="1"/>
  <c r="B49" i="4"/>
  <c r="B48" i="4"/>
  <c r="B47" i="4"/>
  <c r="B46" i="4"/>
  <c r="B29" i="4" a="1"/>
  <c r="B29" i="4"/>
  <c r="B28" i="4" a="1"/>
  <c r="B28" i="4" s="1"/>
  <c r="B27" i="4"/>
  <c r="B26" i="4"/>
  <c r="B23" i="4" a="1"/>
  <c r="B23" i="4" s="1"/>
  <c r="B22" i="4" a="1"/>
  <c r="B22" i="4" s="1"/>
  <c r="B52" i="2"/>
  <c r="B51" i="2"/>
  <c r="P11" i="45" l="1"/>
  <c r="P6" i="45"/>
  <c r="F26" i="22"/>
  <c r="G26" i="22" s="1"/>
  <c r="F7" i="17"/>
  <c r="I16" i="22"/>
  <c r="E16" i="22"/>
  <c r="G7" i="6"/>
  <c r="G46" i="5" s="1"/>
  <c r="S20" i="11"/>
  <c r="F26" i="31" s="1"/>
  <c r="F9" i="17"/>
  <c r="I21" i="17"/>
  <c r="F10" i="17"/>
  <c r="E18" i="22"/>
  <c r="D83" i="35" a="1"/>
  <c r="D83" i="35" s="1"/>
  <c r="G20" i="6"/>
  <c r="G59" i="5" s="1"/>
  <c r="F12" i="17"/>
  <c r="E10" i="17"/>
  <c r="G7" i="23"/>
  <c r="G22" i="23" s="1"/>
  <c r="G21" i="6"/>
  <c r="Q23" i="45" s="1"/>
  <c r="E17" i="22"/>
  <c r="E11" i="17"/>
  <c r="E19" i="22"/>
  <c r="E12" i="17"/>
  <c r="O20" i="11"/>
  <c r="B23" i="27" s="1"/>
  <c r="G22" i="6"/>
  <c r="Q24" i="45" s="1"/>
  <c r="I11" i="22"/>
  <c r="P20" i="11"/>
  <c r="C23" i="27" s="1"/>
  <c r="J23" i="27" s="1"/>
  <c r="K23" i="27" s="1"/>
  <c r="H6" i="6"/>
  <c r="H45" i="5" s="1"/>
  <c r="E14" i="17"/>
  <c r="F14" i="17"/>
  <c r="F13" i="17"/>
  <c r="H15" i="6"/>
  <c r="H54" i="5" s="1"/>
  <c r="G4" i="23"/>
  <c r="G20" i="23" s="1"/>
  <c r="E16" i="17"/>
  <c r="I13" i="22"/>
  <c r="F19" i="17"/>
  <c r="E19" i="17"/>
  <c r="H17" i="6"/>
  <c r="H56" i="5" s="1"/>
  <c r="G8" i="23"/>
  <c r="G19" i="23" s="1"/>
  <c r="F6" i="17"/>
  <c r="E6" i="17"/>
  <c r="F20" i="17"/>
  <c r="F25" i="22"/>
  <c r="G25" i="22" s="1"/>
  <c r="D81" i="35" a="1"/>
  <c r="D81" i="35" s="1"/>
  <c r="E81" i="35" a="1"/>
  <c r="E81" i="35" s="1"/>
  <c r="F26" i="45"/>
  <c r="F11" i="17"/>
  <c r="F8" i="17"/>
  <c r="E8" i="17"/>
  <c r="E83" i="35" a="1"/>
  <c r="E83" i="35" s="1"/>
  <c r="H14" i="6"/>
  <c r="H53" i="5" s="1"/>
  <c r="O6" i="11"/>
  <c r="B9" i="27" s="1"/>
  <c r="I17" i="22"/>
  <c r="E25" i="22"/>
  <c r="E13" i="22"/>
  <c r="H20" i="6"/>
  <c r="H59" i="5" s="1"/>
  <c r="H8" i="6"/>
  <c r="H47" i="5" s="1"/>
  <c r="G16" i="6"/>
  <c r="G4" i="6"/>
  <c r="I25" i="22"/>
  <c r="I10" i="22"/>
  <c r="E12" i="22"/>
  <c r="J12" i="22" s="1"/>
  <c r="H13" i="6"/>
  <c r="H52" i="5" s="1"/>
  <c r="G15" i="6"/>
  <c r="E9" i="17"/>
  <c r="I24" i="22"/>
  <c r="I9" i="22"/>
  <c r="E11" i="22"/>
  <c r="H12" i="6"/>
  <c r="H51" i="5" s="1"/>
  <c r="G14" i="6"/>
  <c r="F21" i="17"/>
  <c r="I23" i="22"/>
  <c r="I8" i="22"/>
  <c r="E10" i="22"/>
  <c r="J10" i="22" s="1"/>
  <c r="H11" i="6"/>
  <c r="H50" i="5" s="1"/>
  <c r="G13" i="6"/>
  <c r="E21" i="17"/>
  <c r="I22" i="22"/>
  <c r="E24" i="22"/>
  <c r="E9" i="22"/>
  <c r="H7" i="6"/>
  <c r="H46" i="5" s="1"/>
  <c r="G12" i="6"/>
  <c r="F5" i="17"/>
  <c r="I21" i="22"/>
  <c r="E23" i="22"/>
  <c r="E8" i="22"/>
  <c r="J8" i="22" s="1"/>
  <c r="G11" i="6"/>
  <c r="E5" i="17"/>
  <c r="F18" i="17"/>
  <c r="I20" i="22"/>
  <c r="E22" i="22"/>
  <c r="E7" i="22"/>
  <c r="J7" i="22" s="1"/>
  <c r="H23" i="6"/>
  <c r="H62" i="5" s="1"/>
  <c r="H5" i="6"/>
  <c r="H44" i="5" s="1"/>
  <c r="G10" i="6"/>
  <c r="E18" i="17"/>
  <c r="E21" i="22"/>
  <c r="E6" i="22"/>
  <c r="H19" i="6"/>
  <c r="H58" i="5" s="1"/>
  <c r="H4" i="6"/>
  <c r="H43" i="5" s="1"/>
  <c r="G9" i="6"/>
  <c r="E17" i="17"/>
  <c r="I15" i="22"/>
  <c r="E20" i="22"/>
  <c r="H18" i="6"/>
  <c r="H57" i="5" s="1"/>
  <c r="G23" i="6"/>
  <c r="G8" i="6"/>
  <c r="E15" i="17"/>
  <c r="I12" i="22"/>
  <c r="F23" i="17"/>
  <c r="H16" i="6"/>
  <c r="H55" i="5" s="1"/>
  <c r="G5" i="23"/>
  <c r="G23" i="23" s="1"/>
  <c r="F24" i="17"/>
  <c r="E24" i="17"/>
  <c r="I14" i="22"/>
  <c r="F16" i="17"/>
  <c r="E23" i="17"/>
  <c r="G19" i="6"/>
  <c r="E15" i="6"/>
  <c r="H17" i="45" s="1"/>
  <c r="G25" i="8"/>
  <c r="G26" i="8" s="1"/>
  <c r="E17" i="6"/>
  <c r="E56" i="5" s="1"/>
  <c r="F17" i="17"/>
  <c r="F15" i="17"/>
  <c r="E20" i="17"/>
  <c r="P21" i="11"/>
  <c r="I23" i="17" s="1"/>
  <c r="E7" i="17"/>
  <c r="E82" i="35" a="1"/>
  <c r="E82" i="35" s="1"/>
  <c r="E74" i="35"/>
  <c r="D82" i="35" a="1"/>
  <c r="D82" i="35" s="1"/>
  <c r="D74" i="35"/>
  <c r="D80" i="35" a="1"/>
  <c r="D80" i="35" s="1"/>
  <c r="E22" i="17"/>
  <c r="J63" i="5"/>
  <c r="E13" i="17"/>
  <c r="F22" i="17"/>
  <c r="E80" i="35" a="1"/>
  <c r="E80" i="35" s="1"/>
  <c r="G5" i="6"/>
  <c r="G17" i="6"/>
  <c r="H9" i="6"/>
  <c r="H48" i="5" s="1"/>
  <c r="H21" i="6"/>
  <c r="H60" i="5" s="1"/>
  <c r="E14" i="22"/>
  <c r="I6" i="22"/>
  <c r="I18" i="22"/>
  <c r="G6" i="6"/>
  <c r="G18" i="6"/>
  <c r="H10" i="6"/>
  <c r="H49" i="5" s="1"/>
  <c r="H22" i="6"/>
  <c r="H61" i="5" s="1"/>
  <c r="E15" i="22"/>
  <c r="I7" i="22"/>
  <c r="I19" i="22"/>
  <c r="R16" i="45"/>
  <c r="R14" i="45"/>
  <c r="J16" i="22"/>
  <c r="P9" i="45"/>
  <c r="R25" i="45"/>
  <c r="R23" i="45"/>
  <c r="R21" i="45"/>
  <c r="R20" i="45"/>
  <c r="R10" i="45"/>
  <c r="R7" i="45"/>
  <c r="O26" i="45"/>
  <c r="R24" i="45"/>
  <c r="R22" i="45"/>
  <c r="R8" i="45"/>
  <c r="P7" i="45"/>
  <c r="T25" i="15"/>
  <c r="E4" i="6"/>
  <c r="F14" i="7" s="1"/>
  <c r="E5" i="6"/>
  <c r="F15" i="7" s="1"/>
  <c r="E20" i="6"/>
  <c r="H22" i="45" s="1"/>
  <c r="E34" i="7"/>
  <c r="E6" i="6"/>
  <c r="E9" i="6"/>
  <c r="H11" i="45" s="1"/>
  <c r="E11" i="6"/>
  <c r="E18" i="6"/>
  <c r="E19" i="6"/>
  <c r="H21" i="45" s="1"/>
  <c r="E21" i="6"/>
  <c r="H23" i="45" s="1"/>
  <c r="E7" i="6"/>
  <c r="E23" i="6"/>
  <c r="E8" i="6"/>
  <c r="H10" i="45" s="1"/>
  <c r="J13" i="10"/>
  <c r="J17" i="10" s="1"/>
  <c r="O23" i="11"/>
  <c r="B26" i="27" s="1"/>
  <c r="E13" i="6"/>
  <c r="H15" i="45" s="1"/>
  <c r="E14" i="6"/>
  <c r="H16" i="45" s="1"/>
  <c r="E16" i="6"/>
  <c r="F26" i="7" s="1"/>
  <c r="E10" i="6"/>
  <c r="H12" i="45" s="1"/>
  <c r="E22" i="6"/>
  <c r="H24" i="45" s="1"/>
  <c r="E12" i="6"/>
  <c r="H14" i="45" s="1"/>
  <c r="O21" i="11"/>
  <c r="B24" i="27" s="1"/>
  <c r="B21" i="4"/>
  <c r="P23" i="11"/>
  <c r="I5" i="17" s="1"/>
  <c r="S23" i="11"/>
  <c r="F29" i="31" s="1"/>
  <c r="J29" i="31" s="1"/>
  <c r="K29" i="31" s="1"/>
  <c r="L29" i="31" s="1"/>
  <c r="O16" i="11"/>
  <c r="B19" i="27" s="1"/>
  <c r="P16" i="11"/>
  <c r="C19" i="27" s="1"/>
  <c r="J19" i="27" s="1"/>
  <c r="S9" i="11"/>
  <c r="F15" i="31" s="1"/>
  <c r="J15" i="31" s="1"/>
  <c r="K15" i="31" s="1"/>
  <c r="L15" i="31" s="1"/>
  <c r="P8" i="11"/>
  <c r="I10" i="17" s="1"/>
  <c r="P6" i="11"/>
  <c r="C9" i="27" s="1"/>
  <c r="J9" i="27" s="1"/>
  <c r="S6" i="11"/>
  <c r="F12" i="31" s="1"/>
  <c r="T6" i="11"/>
  <c r="G12" i="31" s="1"/>
  <c r="A8" i="27"/>
  <c r="P5" i="11"/>
  <c r="S5" i="11"/>
  <c r="F11" i="31" s="1"/>
  <c r="O7" i="11"/>
  <c r="B10" i="27" s="1"/>
  <c r="B20" i="4"/>
  <c r="O22" i="11"/>
  <c r="B25" i="27" s="1"/>
  <c r="P7" i="11"/>
  <c r="C10" i="27" s="1"/>
  <c r="J10" i="27" s="1"/>
  <c r="O13" i="11"/>
  <c r="B16" i="27" s="1"/>
  <c r="P17" i="11"/>
  <c r="C20" i="27" s="1"/>
  <c r="J20" i="27" s="1"/>
  <c r="O19" i="11"/>
  <c r="B22" i="27" s="1"/>
  <c r="P22" i="11"/>
  <c r="C25" i="27" s="1"/>
  <c r="J25" i="27" s="1"/>
  <c r="A26" i="27"/>
  <c r="S7" i="11"/>
  <c r="Z7" i="11" s="1"/>
  <c r="S17" i="11"/>
  <c r="W17" i="11" s="1"/>
  <c r="A10" i="27"/>
  <c r="Y9" i="11"/>
  <c r="A24" i="31"/>
  <c r="D24" i="31" s="1"/>
  <c r="A21" i="27"/>
  <c r="S18" i="11"/>
  <c r="P18" i="11"/>
  <c r="I20" i="17" s="1"/>
  <c r="O18" i="11"/>
  <c r="B21" i="27" s="1"/>
  <c r="F15" i="30"/>
  <c r="E15" i="30"/>
  <c r="W8" i="11"/>
  <c r="A21" i="31"/>
  <c r="D21" i="31" s="1"/>
  <c r="A18" i="27"/>
  <c r="S15" i="11"/>
  <c r="P15" i="11"/>
  <c r="I17" i="17" s="1"/>
  <c r="W22" i="11"/>
  <c r="R31" i="14"/>
  <c r="O31" i="14"/>
  <c r="F27" i="31"/>
  <c r="Z21" i="11"/>
  <c r="X22" i="11"/>
  <c r="X21" i="11"/>
  <c r="Z22" i="11"/>
  <c r="S24" i="11"/>
  <c r="O24" i="11"/>
  <c r="P24" i="11"/>
  <c r="I6" i="17" s="1"/>
  <c r="O15" i="11"/>
  <c r="B18" i="27" s="1"/>
  <c r="A25" i="31"/>
  <c r="D25" i="31" s="1"/>
  <c r="A22" i="27"/>
  <c r="S19" i="11"/>
  <c r="P31" i="14"/>
  <c r="O30" i="14"/>
  <c r="A17" i="27"/>
  <c r="A20" i="31"/>
  <c r="D20" i="31" s="1"/>
  <c r="T14" i="11"/>
  <c r="S14" i="11"/>
  <c r="P14" i="11"/>
  <c r="I16" i="17" s="1"/>
  <c r="O14" i="11"/>
  <c r="B17" i="27" s="1"/>
  <c r="P30" i="14"/>
  <c r="H22" i="27"/>
  <c r="J28" i="31"/>
  <c r="K28" i="31" s="1"/>
  <c r="L28" i="31" s="1"/>
  <c r="O28" i="14"/>
  <c r="P28" i="14"/>
  <c r="Q10" i="14"/>
  <c r="M29" i="14"/>
  <c r="Q29" i="14" s="1"/>
  <c r="N31" i="14"/>
  <c r="L31" i="14"/>
  <c r="F22" i="31"/>
  <c r="X16" i="11"/>
  <c r="W16" i="11"/>
  <c r="N29" i="14"/>
  <c r="D15" i="30"/>
  <c r="X8" i="11"/>
  <c r="R28" i="14"/>
  <c r="Z16" i="11"/>
  <c r="W21" i="11"/>
  <c r="A18" i="31"/>
  <c r="D18" i="31" s="1"/>
  <c r="A15" i="27"/>
  <c r="S12" i="11"/>
  <c r="P12" i="11"/>
  <c r="I14" i="17" s="1"/>
  <c r="O12" i="11"/>
  <c r="B15" i="27" s="1"/>
  <c r="M14" i="31"/>
  <c r="G26" i="31"/>
  <c r="Y20" i="11"/>
  <c r="B44" i="4"/>
  <c r="M32" i="14"/>
  <c r="Q32" i="14" s="1"/>
  <c r="Q22" i="14"/>
  <c r="E32" i="14"/>
  <c r="G23" i="31"/>
  <c r="Y17" i="11"/>
  <c r="C22" i="27"/>
  <c r="J22" i="27" s="1"/>
  <c r="E28" i="14"/>
  <c r="M28" i="14"/>
  <c r="Q28" i="14" s="1"/>
  <c r="O25" i="14"/>
  <c r="Q25" i="14" s="1"/>
  <c r="A17" i="31"/>
  <c r="D17" i="31" s="1"/>
  <c r="S11" i="11"/>
  <c r="A14" i="27"/>
  <c r="P11" i="11"/>
  <c r="I13" i="17" s="1"/>
  <c r="O11" i="11"/>
  <c r="B14" i="27" s="1"/>
  <c r="T11" i="11"/>
  <c r="N28" i="14"/>
  <c r="P25" i="14"/>
  <c r="R25" i="14" s="1"/>
  <c r="L28" i="14"/>
  <c r="H12" i="27"/>
  <c r="L24" i="22"/>
  <c r="I7" i="31"/>
  <c r="H30" i="31"/>
  <c r="A16" i="31"/>
  <c r="D16" i="31" s="1"/>
  <c r="A13" i="27"/>
  <c r="P10" i="11"/>
  <c r="I12" i="17" s="1"/>
  <c r="O10" i="11"/>
  <c r="B13" i="27" s="1"/>
  <c r="A23" i="31"/>
  <c r="D23" i="31" s="1"/>
  <c r="A20" i="27"/>
  <c r="J10" i="31"/>
  <c r="L29" i="14"/>
  <c r="G6" i="23"/>
  <c r="G21" i="23" s="1"/>
  <c r="F18" i="30"/>
  <c r="E18" i="30"/>
  <c r="F23" i="30"/>
  <c r="B40" i="32"/>
  <c r="B66" i="35"/>
  <c r="B55" i="30"/>
  <c r="D66" i="35"/>
  <c r="B42" i="30"/>
  <c r="A22" i="31"/>
  <c r="D22" i="31" s="1"/>
  <c r="A19" i="27"/>
  <c r="K7" i="27"/>
  <c r="N7" i="27"/>
  <c r="M7" i="27"/>
  <c r="A15" i="31"/>
  <c r="D15" i="31" s="1"/>
  <c r="A12" i="27"/>
  <c r="P9" i="11"/>
  <c r="I11" i="17" s="1"/>
  <c r="O9" i="11"/>
  <c r="B12" i="27" s="1"/>
  <c r="G40" i="27" s="1" a="1"/>
  <c r="A19" i="31"/>
  <c r="D19" i="31" s="1"/>
  <c r="S13" i="11"/>
  <c r="P13" i="11"/>
  <c r="I15" i="17" s="1"/>
  <c r="E31" i="14"/>
  <c r="A11" i="27"/>
  <c r="A14" i="31"/>
  <c r="D14" i="31" s="1"/>
  <c r="O8" i="11"/>
  <c r="B11" i="27" s="1"/>
  <c r="D30" i="27" s="1" a="1"/>
  <c r="S10" i="11"/>
  <c r="O17" i="11"/>
  <c r="B20" i="27" s="1"/>
  <c r="E25" i="21"/>
  <c r="F24" i="30"/>
  <c r="L26" i="27"/>
  <c r="E21" i="30"/>
  <c r="A12" i="31"/>
  <c r="D12" i="31" s="1"/>
  <c r="A9" i="27"/>
  <c r="D21" i="30"/>
  <c r="B36" i="30" s="1"/>
  <c r="A11" i="31"/>
  <c r="D11" i="31" s="1"/>
  <c r="A28" i="31"/>
  <c r="D28" i="31" s="1"/>
  <c r="A25" i="27"/>
  <c r="A23" i="27"/>
  <c r="A26" i="31"/>
  <c r="D26" i="31" s="1"/>
  <c r="A27" i="31"/>
  <c r="D27" i="31" s="1"/>
  <c r="A24" i="27"/>
  <c r="B38" i="30"/>
  <c r="F13" i="30"/>
  <c r="B39" i="30"/>
  <c r="D38" i="27" a="1"/>
  <c r="C7" i="31"/>
  <c r="G31" i="27" a="1"/>
  <c r="E30" i="31"/>
  <c r="G30" i="27" a="1"/>
  <c r="Z20" i="11" l="1"/>
  <c r="W20" i="11"/>
  <c r="X20" i="11"/>
  <c r="C24" i="27"/>
  <c r="J24" i="27" s="1"/>
  <c r="E34" i="27" s="1"/>
  <c r="I34" i="27" s="1"/>
  <c r="J21" i="22"/>
  <c r="Q9" i="45"/>
  <c r="J14" i="22"/>
  <c r="Q22" i="45"/>
  <c r="K13" i="10"/>
  <c r="K17" i="10" s="1"/>
  <c r="J23" i="22"/>
  <c r="I22" i="17"/>
  <c r="J18" i="22"/>
  <c r="J22" i="22"/>
  <c r="M23" i="27"/>
  <c r="J13" i="22"/>
  <c r="G61" i="5"/>
  <c r="J19" i="22"/>
  <c r="I8" i="17"/>
  <c r="J17" i="22"/>
  <c r="G60" i="5"/>
  <c r="J6" i="22"/>
  <c r="K15" i="10"/>
  <c r="K14" i="10"/>
  <c r="N23" i="27"/>
  <c r="I24" i="17"/>
  <c r="P26" i="45"/>
  <c r="D30" i="22"/>
  <c r="K16" i="10"/>
  <c r="J20" i="22"/>
  <c r="J24" i="22"/>
  <c r="J9" i="22"/>
  <c r="H5" i="8"/>
  <c r="C5" i="17"/>
  <c r="G48" i="5"/>
  <c r="Q11" i="45"/>
  <c r="D31" i="22"/>
  <c r="H25" i="6"/>
  <c r="I18" i="17"/>
  <c r="E26" i="22"/>
  <c r="E54" i="5"/>
  <c r="J11" i="22"/>
  <c r="G45" i="5"/>
  <c r="Q8" i="45"/>
  <c r="Q13" i="45"/>
  <c r="G50" i="5"/>
  <c r="Q17" i="45"/>
  <c r="G54" i="5"/>
  <c r="I19" i="17"/>
  <c r="E16" i="10"/>
  <c r="J16" i="10" s="1"/>
  <c r="F21" i="7"/>
  <c r="H13" i="45"/>
  <c r="F33" i="7"/>
  <c r="H25" i="45"/>
  <c r="C6" i="17"/>
  <c r="H6" i="8"/>
  <c r="E24" i="6"/>
  <c r="D25" i="6" s="1"/>
  <c r="H9" i="45"/>
  <c r="Q21" i="45"/>
  <c r="G58" i="5"/>
  <c r="B13" i="20"/>
  <c r="B11" i="20"/>
  <c r="B35" i="2"/>
  <c r="G5" i="2"/>
  <c r="C13" i="2"/>
  <c r="C12" i="2"/>
  <c r="B13" i="2"/>
  <c r="B12" i="2"/>
  <c r="B15" i="20"/>
  <c r="B14" i="20"/>
  <c r="B33" i="2"/>
  <c r="Q20" i="45"/>
  <c r="G57" i="5"/>
  <c r="Q15" i="45"/>
  <c r="G52" i="5"/>
  <c r="F25" i="7"/>
  <c r="F17" i="22" s="1"/>
  <c r="F28" i="7"/>
  <c r="F20" i="22" s="1"/>
  <c r="H20" i="45"/>
  <c r="I9" i="17"/>
  <c r="C8" i="27"/>
  <c r="J8" i="27" s="1"/>
  <c r="M8" i="27" s="1"/>
  <c r="I7" i="17"/>
  <c r="H17" i="8"/>
  <c r="C17" i="17"/>
  <c r="E55" i="5"/>
  <c r="H18" i="45"/>
  <c r="E77" i="35"/>
  <c r="Q10" i="45"/>
  <c r="G47" i="5"/>
  <c r="G49" i="5"/>
  <c r="Q12" i="45"/>
  <c r="F16" i="7"/>
  <c r="H8" i="45"/>
  <c r="D77" i="35" a="1"/>
  <c r="D77" i="35" s="1"/>
  <c r="G62" i="5"/>
  <c r="Q25" i="45"/>
  <c r="E62" i="5"/>
  <c r="Q14" i="45"/>
  <c r="G51" i="5"/>
  <c r="Q19" i="45"/>
  <c r="G56" i="5"/>
  <c r="G53" i="5"/>
  <c r="Q16" i="45"/>
  <c r="Q18" i="45"/>
  <c r="G55" i="5"/>
  <c r="E43" i="5"/>
  <c r="H6" i="45"/>
  <c r="E78" i="35"/>
  <c r="D78" i="35" a="1"/>
  <c r="D78" i="35" s="1"/>
  <c r="G43" i="5"/>
  <c r="Q6" i="45"/>
  <c r="K43" i="45" s="1"/>
  <c r="G25" i="6"/>
  <c r="E50" i="5"/>
  <c r="E44" i="5"/>
  <c r="H7" i="45"/>
  <c r="G44" i="5"/>
  <c r="Q7" i="45"/>
  <c r="F27" i="7"/>
  <c r="H19" i="45"/>
  <c r="J15" i="22"/>
  <c r="C26" i="27"/>
  <c r="J26" i="27" s="1"/>
  <c r="K26" i="27" s="1"/>
  <c r="R26" i="45"/>
  <c r="B51" i="45"/>
  <c r="B48" i="45"/>
  <c r="H49" i="45"/>
  <c r="E48" i="45"/>
  <c r="B50" i="45"/>
  <c r="F43" i="45"/>
  <c r="G50" i="45"/>
  <c r="H48" i="45"/>
  <c r="F52" i="45"/>
  <c r="D49" i="45"/>
  <c r="I43" i="45"/>
  <c r="C51" i="45"/>
  <c r="A43" i="45"/>
  <c r="G52" i="45"/>
  <c r="C43" i="45"/>
  <c r="D52" i="45"/>
  <c r="J50" i="45"/>
  <c r="G49" i="45"/>
  <c r="D48" i="45"/>
  <c r="D43" i="45"/>
  <c r="C52" i="45"/>
  <c r="F49" i="45"/>
  <c r="C48" i="45"/>
  <c r="F51" i="45"/>
  <c r="C50" i="45"/>
  <c r="J43" i="45"/>
  <c r="H51" i="45"/>
  <c r="E50" i="45"/>
  <c r="J52" i="45"/>
  <c r="G51" i="45"/>
  <c r="D50" i="45"/>
  <c r="J48" i="45"/>
  <c r="B49" i="45"/>
  <c r="B43" i="45"/>
  <c r="E51" i="45"/>
  <c r="J51" i="45"/>
  <c r="D51" i="45"/>
  <c r="F48" i="45"/>
  <c r="J49" i="45"/>
  <c r="G43" i="45"/>
  <c r="F50" i="45"/>
  <c r="G48" i="45"/>
  <c r="B52" i="45"/>
  <c r="C49" i="45"/>
  <c r="H43" i="45"/>
  <c r="H50" i="45"/>
  <c r="H52" i="45"/>
  <c r="E52" i="45"/>
  <c r="E49" i="45"/>
  <c r="F31" i="7"/>
  <c r="E60" i="5"/>
  <c r="F19" i="7"/>
  <c r="E48" i="5"/>
  <c r="F24" i="7"/>
  <c r="E53" i="5"/>
  <c r="J12" i="31"/>
  <c r="K12" i="31" s="1"/>
  <c r="L12" i="31" s="1"/>
  <c r="F23" i="7"/>
  <c r="E52" i="5"/>
  <c r="F30" i="7"/>
  <c r="E59" i="5"/>
  <c r="E57" i="5"/>
  <c r="F18" i="7"/>
  <c r="E47" i="5"/>
  <c r="E45" i="5"/>
  <c r="W23" i="11"/>
  <c r="E58" i="5"/>
  <c r="F29" i="7"/>
  <c r="E46" i="5"/>
  <c r="F17" i="7"/>
  <c r="F7" i="22"/>
  <c r="E15" i="10"/>
  <c r="J15" i="10" s="1"/>
  <c r="E51" i="5"/>
  <c r="F22" i="7"/>
  <c r="F18" i="22"/>
  <c r="D17" i="25"/>
  <c r="F6" i="22"/>
  <c r="E61" i="5"/>
  <c r="F32" i="7"/>
  <c r="E49" i="5"/>
  <c r="E14" i="10"/>
  <c r="F20" i="7"/>
  <c r="X23" i="11"/>
  <c r="Z23" i="11"/>
  <c r="F23" i="31"/>
  <c r="J23" i="31" s="1"/>
  <c r="K23" i="31" s="1"/>
  <c r="L23" i="31" s="1"/>
  <c r="X17" i="11"/>
  <c r="Z9" i="11"/>
  <c r="W9" i="11"/>
  <c r="X9" i="11"/>
  <c r="C11" i="27"/>
  <c r="J11" i="27" s="1"/>
  <c r="N11" i="27" s="1"/>
  <c r="E31" i="27"/>
  <c r="F31" i="27" s="1"/>
  <c r="W7" i="11"/>
  <c r="X6" i="11"/>
  <c r="W6" i="11"/>
  <c r="Z6" i="11"/>
  <c r="D37" i="31"/>
  <c r="Y6" i="11"/>
  <c r="J11" i="31"/>
  <c r="K11" i="31" s="1"/>
  <c r="L11" i="31" s="1"/>
  <c r="Z5" i="11"/>
  <c r="W5" i="11"/>
  <c r="X5" i="11"/>
  <c r="D30" i="27"/>
  <c r="F35" i="31"/>
  <c r="Z17" i="11"/>
  <c r="E33" i="27"/>
  <c r="H33" i="27" s="1"/>
  <c r="C37" i="27"/>
  <c r="F13" i="31"/>
  <c r="C34" i="31"/>
  <c r="G30" i="27"/>
  <c r="B42" i="31"/>
  <c r="G31" i="27"/>
  <c r="X7" i="11"/>
  <c r="D38" i="27"/>
  <c r="B34" i="31"/>
  <c r="G40" i="27"/>
  <c r="C13" i="27"/>
  <c r="J13" i="27" s="1"/>
  <c r="B44" i="31"/>
  <c r="H43" i="31"/>
  <c r="D40" i="31"/>
  <c r="H41" i="31"/>
  <c r="G36" i="31"/>
  <c r="G41" i="31"/>
  <c r="F36" i="31"/>
  <c r="E41" i="31"/>
  <c r="D36" i="31"/>
  <c r="D41" i="31"/>
  <c r="C36" i="31"/>
  <c r="G44" i="31"/>
  <c r="H37" i="31"/>
  <c r="E43" i="31"/>
  <c r="F43" i="31"/>
  <c r="B35" i="31"/>
  <c r="C43" i="31"/>
  <c r="F34" i="31"/>
  <c r="B43" i="31"/>
  <c r="E34" i="31"/>
  <c r="C40" i="31"/>
  <c r="D33" i="31"/>
  <c r="E38" i="31"/>
  <c r="D38" i="31"/>
  <c r="B38" i="31"/>
  <c r="C33" i="31"/>
  <c r="H44" i="31"/>
  <c r="B40" i="31"/>
  <c r="G39" i="31"/>
  <c r="F39" i="31"/>
  <c r="C16" i="27"/>
  <c r="J16" i="27" s="1"/>
  <c r="G33" i="27" a="1"/>
  <c r="G33" i="27" s="1"/>
  <c r="E40" i="27"/>
  <c r="M28" i="31"/>
  <c r="J27" i="31"/>
  <c r="K27" i="31" s="1"/>
  <c r="L27" i="31" s="1"/>
  <c r="M15" i="31"/>
  <c r="C42" i="31"/>
  <c r="F38" i="31"/>
  <c r="F19" i="31"/>
  <c r="W13" i="11"/>
  <c r="X13" i="11"/>
  <c r="Z13" i="11"/>
  <c r="Z24" i="11"/>
  <c r="W24" i="11"/>
  <c r="X24" i="11"/>
  <c r="E40" i="31"/>
  <c r="D43" i="31"/>
  <c r="C41" i="31"/>
  <c r="E39" i="27"/>
  <c r="B37" i="30"/>
  <c r="F18" i="31"/>
  <c r="Z12" i="11"/>
  <c r="W12" i="11"/>
  <c r="X12" i="11"/>
  <c r="C35" i="31"/>
  <c r="F41" i="31"/>
  <c r="C31" i="27"/>
  <c r="C38" i="27"/>
  <c r="C17" i="27"/>
  <c r="J17" i="27" s="1"/>
  <c r="E38" i="27" s="1"/>
  <c r="B37" i="31"/>
  <c r="G37" i="31"/>
  <c r="B44" i="33"/>
  <c r="M29" i="31"/>
  <c r="O32" i="14"/>
  <c r="R32" i="14"/>
  <c r="P32" i="14"/>
  <c r="F20" i="31"/>
  <c r="D42" i="31" s="1"/>
  <c r="W14" i="11"/>
  <c r="X14" i="11"/>
  <c r="C21" i="27"/>
  <c r="J21" i="27" s="1"/>
  <c r="D33" i="27" a="1"/>
  <c r="D33" i="27" s="1"/>
  <c r="F24" i="31"/>
  <c r="Z18" i="11"/>
  <c r="X18" i="11"/>
  <c r="W18" i="11"/>
  <c r="D41" i="27" a="1"/>
  <c r="D41" i="27" s="1"/>
  <c r="G42" i="31"/>
  <c r="F42" i="31"/>
  <c r="C32" i="27"/>
  <c r="C39" i="27"/>
  <c r="C40" i="27"/>
  <c r="G34" i="31"/>
  <c r="B41" i="31"/>
  <c r="C44" i="31"/>
  <c r="D46" i="33"/>
  <c r="S25" i="14"/>
  <c r="B46" i="33"/>
  <c r="N20" i="27"/>
  <c r="M20" i="27"/>
  <c r="K20" i="27"/>
  <c r="C30" i="27"/>
  <c r="J26" i="31"/>
  <c r="K26" i="31" s="1"/>
  <c r="L26" i="31" s="1"/>
  <c r="G36" i="27" a="1"/>
  <c r="G36" i="27" s="1"/>
  <c r="E41" i="27"/>
  <c r="B33" i="31"/>
  <c r="R29" i="14"/>
  <c r="P29" i="14"/>
  <c r="O29" i="14"/>
  <c r="K9" i="27"/>
  <c r="N9" i="27"/>
  <c r="M9" i="27"/>
  <c r="G39" i="27" a="1"/>
  <c r="G39" i="27" s="1"/>
  <c r="F16" i="31"/>
  <c r="D34" i="31" s="1"/>
  <c r="Z10" i="11"/>
  <c r="X10" i="11"/>
  <c r="W10" i="11"/>
  <c r="D40" i="27" a="1"/>
  <c r="D40" i="27" s="1"/>
  <c r="F21" i="31"/>
  <c r="X15" i="11"/>
  <c r="W15" i="11"/>
  <c r="Z15" i="11"/>
  <c r="M22" i="27"/>
  <c r="N22" i="27"/>
  <c r="K22" i="27"/>
  <c r="F44" i="31"/>
  <c r="F17" i="31"/>
  <c r="D39" i="31" s="1"/>
  <c r="X11" i="11"/>
  <c r="W11" i="11"/>
  <c r="Z11" i="11"/>
  <c r="G34" i="27" a="1"/>
  <c r="G34" i="27" s="1"/>
  <c r="G41" i="27" a="1"/>
  <c r="G41" i="27" s="1"/>
  <c r="H33" i="31"/>
  <c r="C41" i="27"/>
  <c r="C15" i="27"/>
  <c r="J15" i="27" s="1"/>
  <c r="F40" i="31"/>
  <c r="D32" i="27" a="1"/>
  <c r="D32" i="27" s="1"/>
  <c r="D39" i="27" a="1"/>
  <c r="D39" i="27" s="1"/>
  <c r="D37" i="27" a="1"/>
  <c r="D37" i="27" s="1"/>
  <c r="E32" i="27"/>
  <c r="G38" i="31"/>
  <c r="F25" i="31"/>
  <c r="Z19" i="11"/>
  <c r="X19" i="11"/>
  <c r="W19" i="11"/>
  <c r="C37" i="31"/>
  <c r="E33" i="31"/>
  <c r="D44" i="33"/>
  <c r="G35" i="27" a="1"/>
  <c r="G35" i="27" s="1"/>
  <c r="C12" i="27"/>
  <c r="J12" i="27" s="1"/>
  <c r="E36" i="27" s="1"/>
  <c r="E35" i="31"/>
  <c r="C38" i="31"/>
  <c r="B36" i="31"/>
  <c r="E44" i="31"/>
  <c r="D44" i="31"/>
  <c r="F21" i="30"/>
  <c r="K10" i="31"/>
  <c r="K25" i="27"/>
  <c r="N25" i="27"/>
  <c r="M25" i="27"/>
  <c r="G32" i="27" a="1"/>
  <c r="G32" i="27" s="1"/>
  <c r="G20" i="31"/>
  <c r="E42" i="31" s="1"/>
  <c r="Y14" i="11"/>
  <c r="C35" i="27"/>
  <c r="G33" i="31"/>
  <c r="F33" i="31"/>
  <c r="E36" i="31"/>
  <c r="G38" i="27" a="1"/>
  <c r="G38" i="27" s="1"/>
  <c r="M10" i="27"/>
  <c r="N10" i="27"/>
  <c r="K10" i="27"/>
  <c r="B58" i="30"/>
  <c r="D49" i="30"/>
  <c r="N24" i="27"/>
  <c r="M24" i="27"/>
  <c r="G37" i="27" a="1"/>
  <c r="G37" i="27" s="1"/>
  <c r="B57" i="30"/>
  <c r="C39" i="31"/>
  <c r="G17" i="31"/>
  <c r="E39" i="31" s="1"/>
  <c r="Y11" i="11"/>
  <c r="C36" i="27"/>
  <c r="C18" i="27"/>
  <c r="J18" i="27" s="1"/>
  <c r="K19" i="27"/>
  <c r="N19" i="27"/>
  <c r="M19" i="27"/>
  <c r="D34" i="27" a="1"/>
  <c r="D34" i="27" s="1"/>
  <c r="D35" i="27" a="1"/>
  <c r="D35" i="27" s="1"/>
  <c r="B40" i="30"/>
  <c r="F37" i="31"/>
  <c r="E37" i="31"/>
  <c r="G40" i="31"/>
  <c r="C33" i="27"/>
  <c r="G43" i="31"/>
  <c r="C34" i="27"/>
  <c r="G35" i="31"/>
  <c r="B39" i="31"/>
  <c r="D31" i="27" a="1"/>
  <c r="D31" i="27" s="1"/>
  <c r="C14" i="27"/>
  <c r="J14" i="27" s="1"/>
  <c r="E35" i="27" s="1"/>
  <c r="D36" i="27" a="1"/>
  <c r="D36" i="27" s="1"/>
  <c r="B30" i="4"/>
  <c r="J22" i="31"/>
  <c r="K22" i="31" s="1"/>
  <c r="L22" i="31" s="1"/>
  <c r="K24" i="27" l="1"/>
  <c r="I52" i="45"/>
  <c r="I50" i="45"/>
  <c r="H17" i="17"/>
  <c r="G17" i="17"/>
  <c r="I20" i="27"/>
  <c r="L43" i="45"/>
  <c r="M43" i="45"/>
  <c r="Q26" i="45"/>
  <c r="N43" i="45"/>
  <c r="K8" i="27"/>
  <c r="C18" i="17"/>
  <c r="H18" i="8"/>
  <c r="F19" i="22"/>
  <c r="D21" i="25"/>
  <c r="G6" i="17"/>
  <c r="H6" i="17"/>
  <c r="C20" i="17"/>
  <c r="H20" i="8"/>
  <c r="H24" i="8"/>
  <c r="C24" i="17"/>
  <c r="H22" i="8"/>
  <c r="C22" i="17"/>
  <c r="E37" i="27"/>
  <c r="I37" i="27" s="1"/>
  <c r="F8" i="22"/>
  <c r="C7" i="17"/>
  <c r="H7" i="8"/>
  <c r="D18" i="25"/>
  <c r="N26" i="27"/>
  <c r="I48" i="45"/>
  <c r="D79" i="35" a="1"/>
  <c r="D79" i="35" s="1"/>
  <c r="H9" i="8"/>
  <c r="C9" i="17"/>
  <c r="H10" i="8"/>
  <c r="C10" i="17"/>
  <c r="H21" i="8"/>
  <c r="C21" i="17"/>
  <c r="H16" i="8"/>
  <c r="E22" i="25" s="1"/>
  <c r="C16" i="17"/>
  <c r="I19" i="27" s="1"/>
  <c r="M26" i="27"/>
  <c r="H8" i="8"/>
  <c r="E18" i="25" s="1"/>
  <c r="C8" i="17"/>
  <c r="I51" i="45"/>
  <c r="C23" i="17"/>
  <c r="H23" i="8"/>
  <c r="H14" i="8"/>
  <c r="E20" i="25" s="1"/>
  <c r="C14" i="17"/>
  <c r="H26" i="45"/>
  <c r="N8" i="27"/>
  <c r="C15" i="17"/>
  <c r="H15" i="8"/>
  <c r="I49" i="45"/>
  <c r="H13" i="8"/>
  <c r="E19" i="25" s="1"/>
  <c r="C13" i="17"/>
  <c r="C11" i="17"/>
  <c r="H11" i="8"/>
  <c r="H19" i="8"/>
  <c r="E21" i="25" s="1"/>
  <c r="C19" i="17"/>
  <c r="G5" i="17"/>
  <c r="H5" i="17"/>
  <c r="D10" i="25"/>
  <c r="D19" i="25"/>
  <c r="C12" i="17"/>
  <c r="H12" i="8"/>
  <c r="F13" i="22"/>
  <c r="E79" i="35"/>
  <c r="M12" i="31"/>
  <c r="F16" i="22"/>
  <c r="D22" i="25"/>
  <c r="J13" i="31"/>
  <c r="K13" i="31" s="1"/>
  <c r="L13" i="31" s="1"/>
  <c r="M11" i="27"/>
  <c r="H40" i="31"/>
  <c r="F34" i="7"/>
  <c r="K11" i="27"/>
  <c r="H38" i="31"/>
  <c r="E63" i="5"/>
  <c r="F21" i="22"/>
  <c r="F11" i="22"/>
  <c r="D35" i="31"/>
  <c r="F22" i="22"/>
  <c r="F23" i="22"/>
  <c r="F9" i="22"/>
  <c r="F10" i="22"/>
  <c r="H36" i="31"/>
  <c r="F15" i="22"/>
  <c r="I8" i="27"/>
  <c r="M27" i="31"/>
  <c r="I9" i="27"/>
  <c r="D20" i="25"/>
  <c r="D9" i="25"/>
  <c r="F14" i="22"/>
  <c r="E30" i="27"/>
  <c r="I30" i="27" s="1"/>
  <c r="M11" i="31"/>
  <c r="F12" i="22"/>
  <c r="D8" i="25"/>
  <c r="E17" i="10"/>
  <c r="J14" i="10"/>
  <c r="E17" i="25"/>
  <c r="F24" i="22"/>
  <c r="F34" i="27"/>
  <c r="C34" i="32"/>
  <c r="H34" i="27"/>
  <c r="H31" i="27"/>
  <c r="I31" i="27"/>
  <c r="I33" i="27"/>
  <c r="F33" i="27"/>
  <c r="B67" i="35"/>
  <c r="G21" i="2"/>
  <c r="C21" i="20"/>
  <c r="M23" i="31"/>
  <c r="D45" i="33"/>
  <c r="I38" i="27"/>
  <c r="H38" i="27"/>
  <c r="F38" i="27"/>
  <c r="N18" i="27"/>
  <c r="M18" i="27"/>
  <c r="K18" i="27"/>
  <c r="C43" i="30"/>
  <c r="B21" i="20"/>
  <c r="G20" i="2"/>
  <c r="J17" i="31"/>
  <c r="K17" i="31" s="1"/>
  <c r="M17" i="31" s="1"/>
  <c r="H39" i="27"/>
  <c r="F39" i="27"/>
  <c r="I39" i="27"/>
  <c r="K13" i="27"/>
  <c r="N13" i="27"/>
  <c r="M13" i="27"/>
  <c r="G19" i="2"/>
  <c r="B34" i="32"/>
  <c r="C29" i="20"/>
  <c r="D35" i="2"/>
  <c r="D67" i="35"/>
  <c r="B44" i="30"/>
  <c r="C44" i="30"/>
  <c r="B56" i="30"/>
  <c r="B45" i="33"/>
  <c r="J19" i="31"/>
  <c r="K19" i="31" s="1"/>
  <c r="L19" i="31" s="1"/>
  <c r="N12" i="27"/>
  <c r="M12" i="27"/>
  <c r="K12" i="27"/>
  <c r="F35" i="27"/>
  <c r="I35" i="27"/>
  <c r="H35" i="27"/>
  <c r="B31" i="4"/>
  <c r="M26" i="31"/>
  <c r="I32" i="27"/>
  <c r="H32" i="27"/>
  <c r="F32" i="27"/>
  <c r="J21" i="31"/>
  <c r="K21" i="31" s="1"/>
  <c r="L21" i="31" s="1"/>
  <c r="J18" i="31"/>
  <c r="K18" i="31" s="1"/>
  <c r="L18" i="31" s="1"/>
  <c r="F40" i="27"/>
  <c r="I40" i="27"/>
  <c r="H40" i="27"/>
  <c r="M22" i="31"/>
  <c r="J25" i="31"/>
  <c r="K25" i="31" s="1"/>
  <c r="L25" i="31" s="1"/>
  <c r="K21" i="27"/>
  <c r="N21" i="27"/>
  <c r="M21" i="27"/>
  <c r="G7" i="31"/>
  <c r="G30" i="31"/>
  <c r="L10" i="31"/>
  <c r="M10" i="31"/>
  <c r="M16" i="27"/>
  <c r="N16" i="27"/>
  <c r="K16" i="27"/>
  <c r="H21" i="2"/>
  <c r="F41" i="27"/>
  <c r="I41" i="27"/>
  <c r="H41" i="27"/>
  <c r="N14" i="27"/>
  <c r="M14" i="27"/>
  <c r="K14" i="27"/>
  <c r="H19" i="2"/>
  <c r="K15" i="27"/>
  <c r="N15" i="27"/>
  <c r="M15" i="27"/>
  <c r="J16" i="31"/>
  <c r="K16" i="31" s="1"/>
  <c r="E6" i="31"/>
  <c r="F30" i="31"/>
  <c r="F6" i="31"/>
  <c r="E7" i="31"/>
  <c r="J20" i="31"/>
  <c r="K20" i="31" s="1"/>
  <c r="B43" i="30"/>
  <c r="H20" i="2"/>
  <c r="F36" i="27"/>
  <c r="I36" i="27"/>
  <c r="H36" i="27"/>
  <c r="D33" i="2"/>
  <c r="J24" i="31"/>
  <c r="K24" i="31" s="1"/>
  <c r="L24" i="31" s="1"/>
  <c r="N17" i="27"/>
  <c r="K17" i="27"/>
  <c r="M17" i="27"/>
  <c r="F37" i="27" l="1"/>
  <c r="G21" i="17"/>
  <c r="H21" i="17"/>
  <c r="H19" i="17"/>
  <c r="G19" i="17"/>
  <c r="I22" i="27"/>
  <c r="H14" i="17"/>
  <c r="G14" i="17"/>
  <c r="G10" i="17"/>
  <c r="H10" i="17"/>
  <c r="G18" i="17"/>
  <c r="H18" i="17"/>
  <c r="I21" i="27"/>
  <c r="E73" i="35"/>
  <c r="D73" i="35"/>
  <c r="G24" i="17"/>
  <c r="H24" i="17"/>
  <c r="E31" i="22"/>
  <c r="G23" i="17"/>
  <c r="H23" i="17"/>
  <c r="H8" i="17"/>
  <c r="G8" i="17"/>
  <c r="H25" i="8"/>
  <c r="H26" i="8" s="1"/>
  <c r="D75" i="35"/>
  <c r="H37" i="27"/>
  <c r="G22" i="17"/>
  <c r="H22" i="17"/>
  <c r="G9" i="17"/>
  <c r="H9" i="17"/>
  <c r="G12" i="17"/>
  <c r="H12" i="17"/>
  <c r="I15" i="27"/>
  <c r="H13" i="17"/>
  <c r="G13" i="17"/>
  <c r="H16" i="17"/>
  <c r="G16" i="17"/>
  <c r="G11" i="17"/>
  <c r="H11" i="17"/>
  <c r="H20" i="17"/>
  <c r="C7" i="23" s="1"/>
  <c r="G20" i="17"/>
  <c r="B7" i="23" s="1"/>
  <c r="E30" i="22"/>
  <c r="E75" i="35"/>
  <c r="G15" i="17"/>
  <c r="H15" i="17"/>
  <c r="H7" i="17"/>
  <c r="G7" i="17"/>
  <c r="I10" i="27"/>
  <c r="H30" i="27"/>
  <c r="F30" i="27"/>
  <c r="B53" i="27" s="1"/>
  <c r="I12" i="27"/>
  <c r="I11" i="27"/>
  <c r="I17" i="27"/>
  <c r="I13" i="27"/>
  <c r="I25" i="27"/>
  <c r="I18" i="27"/>
  <c r="I23" i="27"/>
  <c r="H35" i="31"/>
  <c r="I24" i="27"/>
  <c r="M13" i="31"/>
  <c r="I16" i="27"/>
  <c r="I14" i="27"/>
  <c r="I26" i="27"/>
  <c r="L20" i="31"/>
  <c r="H42" i="31"/>
  <c r="L17" i="31"/>
  <c r="H39" i="31"/>
  <c r="L16" i="31"/>
  <c r="H34" i="31"/>
  <c r="M21" i="31"/>
  <c r="M16" i="31"/>
  <c r="M20" i="31"/>
  <c r="M24" i="31"/>
  <c r="M19" i="31"/>
  <c r="M18" i="31"/>
  <c r="I6" i="31"/>
  <c r="J30" i="31"/>
  <c r="K30" i="31"/>
  <c r="M7" i="31"/>
  <c r="H6" i="31"/>
  <c r="B6" i="31"/>
  <c r="M25" i="31"/>
  <c r="B5" i="23" l="1"/>
  <c r="C54" i="27"/>
  <c r="C51" i="27"/>
  <c r="D52" i="27" a="1"/>
  <c r="D52" i="27" s="1"/>
  <c r="C52" i="27"/>
  <c r="C8" i="23"/>
  <c r="B8" i="23"/>
  <c r="D8" i="23" s="1"/>
  <c r="C53" i="27"/>
  <c r="B6" i="23"/>
  <c r="D51" i="27" a="1"/>
  <c r="D51" i="27" s="1"/>
  <c r="B32" i="4"/>
  <c r="B54" i="27"/>
  <c r="B51" i="27"/>
  <c r="B50" i="27"/>
  <c r="C4" i="23"/>
  <c r="D50" i="27" a="1"/>
  <c r="D50" i="27" s="1"/>
  <c r="G25" i="17"/>
  <c r="B14" i="4" s="1"/>
  <c r="D54" i="27" a="1"/>
  <c r="D54" i="27" s="1"/>
  <c r="D53" i="27" a="1"/>
  <c r="D53" i="27" s="1"/>
  <c r="C50" i="27"/>
  <c r="B4" i="23"/>
  <c r="C5" i="23"/>
  <c r="B52" i="27"/>
  <c r="B55" i="27"/>
  <c r="H25" i="17"/>
  <c r="E84" i="35" s="1"/>
  <c r="C6" i="23"/>
  <c r="D18" i="2"/>
  <c r="D7" i="23"/>
  <c r="D17" i="2"/>
  <c r="D21" i="2"/>
  <c r="D19" i="2"/>
  <c r="D20" i="2"/>
  <c r="L30" i="31"/>
  <c r="M30" i="31"/>
  <c r="C6" i="31"/>
  <c r="C14" i="2"/>
  <c r="B14" i="2"/>
  <c r="G7" i="2"/>
  <c r="D6" i="23" l="1"/>
  <c r="D21" i="23" s="1"/>
  <c r="D84" i="35"/>
  <c r="B21" i="2"/>
  <c r="G16" i="2"/>
  <c r="E21" i="2"/>
  <c r="D19" i="23"/>
  <c r="F8" i="23"/>
  <c r="C21" i="2"/>
  <c r="B38" i="4"/>
  <c r="C19" i="23"/>
  <c r="D4" i="23"/>
  <c r="C20" i="2"/>
  <c r="B37" i="4"/>
  <c r="B20" i="2"/>
  <c r="D22" i="23"/>
  <c r="C22" i="23"/>
  <c r="F7" i="23"/>
  <c r="E20" i="2"/>
  <c r="B5" i="20"/>
  <c r="D5" i="23"/>
  <c r="B6" i="20"/>
  <c r="G29" i="17"/>
  <c r="C28" i="20" l="1"/>
  <c r="B28" i="20"/>
  <c r="B20" i="20"/>
  <c r="B9" i="4"/>
  <c r="A4" i="2"/>
  <c r="B36" i="4"/>
  <c r="E19" i="2"/>
  <c r="G14" i="2"/>
  <c r="C21" i="23"/>
  <c r="B19" i="2"/>
  <c r="F6" i="23"/>
  <c r="C19" i="2"/>
  <c r="F4" i="23"/>
  <c r="C17" i="2"/>
  <c r="B17" i="2"/>
  <c r="G12" i="2"/>
  <c r="E17" i="2"/>
  <c r="A37" i="2"/>
  <c r="D5" i="2"/>
  <c r="E85" i="35"/>
  <c r="D85" i="35"/>
  <c r="C20" i="23"/>
  <c r="B34" i="4"/>
  <c r="D20" i="23"/>
  <c r="G13" i="2"/>
  <c r="B18" i="2"/>
  <c r="C23" i="23"/>
  <c r="E18" i="2"/>
  <c r="F5" i="23"/>
  <c r="D23" i="23"/>
  <c r="B35" i="4"/>
  <c r="C18" i="2"/>
  <c r="E6" i="23"/>
  <c r="E21" i="23" s="1"/>
  <c r="E7" i="23"/>
  <c r="E22" i="23" s="1"/>
  <c r="E8" i="23"/>
  <c r="E19" i="23" s="1"/>
  <c r="E4" i="23"/>
  <c r="E20" i="23" s="1"/>
  <c r="E9" i="23"/>
  <c r="E5" i="23"/>
  <c r="E23" i="23" s="1"/>
  <c r="D65" i="35"/>
  <c r="B13" i="19"/>
  <c r="B54" i="30"/>
  <c r="B33" i="25"/>
  <c r="B41" i="30"/>
  <c r="D10" i="24"/>
  <c r="D12" i="24"/>
  <c r="D10" i="23"/>
  <c r="D8" i="24"/>
  <c r="E8" i="2"/>
  <c r="D9" i="23"/>
  <c r="B9" i="2"/>
  <c r="C8" i="2"/>
  <c r="J27" i="22"/>
  <c r="D7" i="24"/>
  <c r="B39" i="32"/>
  <c r="D6" i="24"/>
  <c r="D9" i="24"/>
  <c r="D11" i="24"/>
  <c r="B43" i="33"/>
  <c r="C5" i="2"/>
  <c r="C16" i="24"/>
  <c r="B8" i="2"/>
  <c r="B14" i="23"/>
  <c r="C39" i="32"/>
  <c r="C24" i="24"/>
  <c r="C9" i="2"/>
  <c r="B7" i="20"/>
  <c r="D13" i="24"/>
  <c r="P43" i="45" l="1"/>
  <c r="B58" i="35"/>
  <c r="B11" i="23"/>
  <c r="B15" i="19"/>
  <c r="B65" i="35"/>
  <c r="B13" i="23"/>
  <c r="B5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B6" authorId="0" shapeId="0" xr:uid="{00000000-0006-0000-0300-000001000000}">
      <text>
        <r>
          <rPr>
            <sz val="11"/>
            <color theme="1"/>
            <rFont val="Aptos Narrow"/>
            <family val="2"/>
            <scheme val="minor"/>
          </rPr>
          <t>DELL:
Valor único institucional GAD → SIGAD-SNP. Fuente: B2-SEPP celda AA5</t>
        </r>
      </text>
    </comment>
    <comment ref="B7" authorId="0" shapeId="0" xr:uid="{00000000-0006-0000-0300-000002000000}">
      <text>
        <r>
          <rPr>
            <sz val="11"/>
            <color theme="1"/>
            <rFont val="Aptos Narrow"/>
            <family val="2"/>
            <scheme val="minor"/>
          </rPr>
          <t>ACTUALIZADO 2025: ICM SIGAD 2023 = 100% (1.00) — Fuente: Reporte Oficial ICM SIGAD 2023, GADM Montecristi, RUC 1360001010001. NOTA FORENSE: El valor previo de 92.25% era una estimación. El reporte oficial certifica ICM=1.00 (100%). 5 metas ingresadas sobre $1,824,689.36 (5.5% del presupuesto total). Evidencia MOM: carga extemporanea con 4-5 segundos entre trimestres.</t>
        </r>
      </text>
    </comment>
    <comment ref="B8" authorId="0" shapeId="0" xr:uid="{00000000-0006-0000-0300-000003000000}">
      <text>
        <r>
          <rPr>
            <sz val="11"/>
            <color theme="1"/>
            <rFont val="Aptos Narrow"/>
            <family val="2"/>
            <scheme val="minor"/>
          </rPr>
          <t>Brecha = ICPI% − ICM. Negativo = Erosión del Compromiso. ICPI=38.28%, ICM=100% → Brecha=-61.72pp</t>
        </r>
      </text>
    </comment>
    <comment ref="B9" authorId="0" shapeId="0" xr:uid="{00000000-0006-0000-0300-000004000000}">
      <text>
        <r>
          <rPr>
            <sz val="11"/>
            <color theme="1"/>
            <rFont val="Aptos Narrow"/>
            <family val="2"/>
            <scheme val="minor"/>
          </rPr>
          <t>DELL:
ICPI calculado por el motor algorítmico E1-ICPI. Fórmula: Σ(Pi×Ri×Vi×Ei×Ti) ÷ Σ(Pi×Ri). Resultado expresado en porcentaje.</t>
        </r>
      </text>
    </comment>
    <comment ref="B11" authorId="0" shapeId="0" xr:uid="{00000000-0006-0000-0300-000005000000}">
      <text>
        <r>
          <rPr>
            <sz val="11"/>
            <color theme="1"/>
            <rFont val="Aptos Narrow"/>
            <family val="2"/>
            <scheme val="minor"/>
          </rPr>
          <t>DELL:
ICPI en formato decimal. Fuente: E2-RESUL B6</t>
        </r>
      </text>
    </comment>
    <comment ref="B12" authorId="0" shapeId="0" xr:uid="{00000000-0006-0000-0300-000006000000}">
      <text>
        <r>
          <rPr>
            <sz val="11"/>
            <color theme="1"/>
            <rFont val="Aptos Narrow"/>
            <family val="2"/>
            <scheme val="minor"/>
          </rPr>
          <t>DELL:
ICPI en porcentaje. Referencia maestra del sistema.</t>
        </r>
      </text>
    </comment>
    <comment ref="B13" authorId="0" shapeId="0" xr:uid="{00000000-0006-0000-0300-000007000000}">
      <text>
        <r>
          <rPr>
            <sz val="11"/>
            <color theme="1"/>
            <rFont val="Aptos Narrow"/>
            <family val="2"/>
            <scheme val="minor"/>
          </rPr>
          <t>DELL:
Categoría del semáforo de gestión institucional (5 rangos)</t>
        </r>
      </text>
    </comment>
    <comment ref="B14" authorId="0" shapeId="0" xr:uid="{00000000-0006-0000-0300-000008000000}">
      <text>
        <r>
          <rPr>
            <sz val="11"/>
            <color theme="1"/>
            <rFont val="Aptos Narrow"/>
            <family val="2"/>
            <scheme val="minor"/>
          </rPr>
          <t>CORREGIDO Fase 2 Corrección #7: Numerador real Σ(Pi×Ri×Vi×Ti×Ci). Antes referenciaba RESULTADOS!B3 (encabezado=0). Ahora apunta directamente al motor ICPI!G25.</t>
        </r>
      </text>
    </comment>
    <comment ref="B15" authorId="0" shapeId="0" xr:uid="{00000000-0006-0000-0300-000009000000}">
      <text>
        <r>
          <rPr>
            <sz val="11"/>
            <color theme="1"/>
            <rFont val="Aptos Narrow"/>
            <family val="2"/>
            <scheme val="minor"/>
          </rPr>
          <t>DELL:
Suma del denominador de la fórmula ICPI. Fuente: E2-RESUL B5</t>
        </r>
      </text>
    </comment>
    <comment ref="B16" authorId="0" shapeId="0" xr:uid="{00000000-0006-0000-0300-00000A000000}">
      <text>
        <r>
          <rPr>
            <sz val="11"/>
            <color theme="1"/>
            <rFont val="Aptos Narrow"/>
            <family val="2"/>
            <scheme val="minor"/>
          </rPr>
          <t>DELL:
Interpretación forense del nivel ICPI. Fuente: E2-RESUL B9</t>
        </r>
      </text>
    </comment>
    <comment ref="B19" authorId="0" shapeId="0" xr:uid="{00000000-0006-0000-0300-00000B000000}">
      <text>
        <r>
          <rPr>
            <sz val="11"/>
            <color theme="1"/>
            <rFont val="Aptos Narrow"/>
            <family val="2"/>
            <scheme val="minor"/>
          </rPr>
          <t>DELL:
67 promesas totales del Plan de Trabajo CNE. Fuente: A-ITME</t>
        </r>
      </text>
    </comment>
    <comment ref="B20" authorId="0" shapeId="0" xr:uid="{00000000-0006-0000-0300-00000C000000}">
      <text>
        <r>
          <rPr>
            <sz val="11"/>
            <color theme="1"/>
            <rFont val="Aptos Narrow"/>
            <family val="2"/>
            <scheme val="minor"/>
          </rPr>
          <t>DELL:
20 promesas de mayor impacto financiero. Fuente: B2-SEPP</t>
        </r>
      </text>
    </comment>
    <comment ref="B21" authorId="0" shapeId="0" xr:uid="{00000000-0006-0000-0300-00000D000000}">
      <text>
        <r>
          <rPr>
            <sz val="11"/>
            <color theme="1"/>
            <rFont val="Aptos Narrow"/>
            <family val="2"/>
            <scheme val="minor"/>
          </rPr>
          <t>DELL:
La muestra n=20 cubre el 87.2% del presupuesto total. Fuente: B3-VALREP</t>
        </r>
      </text>
    </comment>
    <comment ref="B22" authorId="0" shapeId="0" xr:uid="{00000000-0006-0000-0300-00000E000000}">
      <text>
        <r>
          <rPr>
            <sz val="11"/>
            <color theme="1"/>
            <rFont val="Aptos Narrow"/>
            <family val="2"/>
            <scheme val="minor"/>
          </rPr>
          <t>DELL:
Presupuesto total de las 20 promesas de la muestra SEPP</t>
        </r>
      </text>
    </comment>
    <comment ref="B23" authorId="0" shapeId="0" xr:uid="{00000000-0006-0000-0300-00000F000000}">
      <text>
        <r>
          <rPr>
            <sz val="11"/>
            <color theme="1"/>
            <rFont val="Aptos Narrow"/>
            <family val="2"/>
            <scheme val="minor"/>
          </rPr>
          <t>DELL:
Presupuesto de las 15 promesas con Vi=1 (con soporte documental)</t>
        </r>
      </text>
    </comment>
    <comment ref="B26" authorId="0" shapeId="0" xr:uid="{00000000-0006-0000-0300-000010000000}">
      <text>
        <r>
          <rPr>
            <sz val="11"/>
            <color theme="1"/>
            <rFont val="Aptos Narrow"/>
            <family val="2"/>
            <scheme val="minor"/>
          </rPr>
          <t>DELL:
15 de 20 promesas con evidencia documental verificada (Vi=1). Fuente: D-MAD</t>
        </r>
      </text>
    </comment>
    <comment ref="B27" authorId="0" shapeId="0" xr:uid="{00000000-0006-0000-0300-000011000000}">
      <text>
        <r>
          <rPr>
            <sz val="11"/>
            <color theme="1"/>
            <rFont val="Aptos Narrow"/>
            <family val="2"/>
            <scheme val="minor"/>
          </rPr>
          <t>DELL:
5 de 20 promesas sin evidencia documental (Vi=0). Anula su aporte al ICPI.</t>
        </r>
      </text>
    </comment>
    <comment ref="B28" authorId="0" shapeId="0" xr:uid="{00000000-0006-0000-0300-000012000000}">
      <text>
        <r>
          <rPr>
            <sz val="11"/>
            <color theme="1"/>
            <rFont val="Aptos Narrow"/>
            <family val="2"/>
            <scheme val="minor"/>
          </rPr>
          <t>DELL:
4 de 20 promesas con Vi=1 y Ti=1: TER-01, TER-18, SOC-03, INS-05</t>
        </r>
      </text>
    </comment>
    <comment ref="B29" authorId="0" shapeId="0" xr:uid="{00000000-0006-0000-0300-000013000000}">
      <text>
        <r>
          <rPr>
            <sz val="11"/>
            <color theme="1"/>
            <rFont val="Aptos Narrow"/>
            <family val="2"/>
            <scheme val="minor"/>
          </rPr>
          <t>DELL:
11 de 20 promesas con Vi=1 pero Ti&lt;1 (avance físico parcial)</t>
        </r>
      </text>
    </comment>
    <comment ref="B30" authorId="0" shapeId="0" xr:uid="{00000000-0006-0000-0300-000014000000}">
      <text>
        <r>
          <rPr>
            <sz val="11"/>
            <color theme="1"/>
            <rFont val="Aptos Narrow"/>
            <family val="2"/>
            <scheme val="minor"/>
          </rPr>
          <t>DELL:
7 promesas con Ci=0.9 (adscritos/convenios): SOC-02, SOC-07, AMB-07, SOC-04, AMB-08, SOC-08, ECO-12. Fuente: C-MAO → D-MAD col O</t>
        </r>
      </text>
    </comment>
    <comment ref="B34" authorId="0" shapeId="0" xr:uid="{00000000-0006-0000-0300-000015000000}">
      <text>
        <r>
          <rPr>
            <sz val="11"/>
            <color theme="1"/>
            <rFont val="Aptos Narrow"/>
            <family val="2"/>
            <scheme val="minor"/>
          </rPr>
          <t>ICPI del eje Territorial. Fuente: H2-EJES D4. Ya expresado en %.</t>
        </r>
      </text>
    </comment>
    <comment ref="B35" authorId="0" shapeId="0" xr:uid="{00000000-0006-0000-0300-000016000000}">
      <text>
        <r>
          <rPr>
            <sz val="11"/>
            <color theme="1"/>
            <rFont val="Aptos Narrow"/>
            <family val="2"/>
            <scheme val="minor"/>
          </rPr>
          <t>ICPI del eje Social. Fuente: H2-EJES D5. Ya expresado en %.</t>
        </r>
      </text>
    </comment>
    <comment ref="B36" authorId="0" shapeId="0" xr:uid="{00000000-0006-0000-0300-000017000000}">
      <text>
        <r>
          <rPr>
            <sz val="11"/>
            <color theme="1"/>
            <rFont val="Aptos Narrow"/>
            <family val="2"/>
            <scheme val="minor"/>
          </rPr>
          <t>ICPI del eje Ambiental. Fuente: H2-EJES D6. Ya expresado en %.</t>
        </r>
      </text>
    </comment>
    <comment ref="B37" authorId="0" shapeId="0" xr:uid="{00000000-0006-0000-0300-000018000000}">
      <text>
        <r>
          <rPr>
            <sz val="11"/>
            <color theme="1"/>
            <rFont val="Aptos Narrow"/>
            <family val="2"/>
            <scheme val="minor"/>
          </rPr>
          <t>ICPI del eje Económico. Fuente: H2-EJES D7. Ya expresado en %.</t>
        </r>
      </text>
    </comment>
    <comment ref="B38" authorId="0" shapeId="0" xr:uid="{00000000-0006-0000-0300-000019000000}">
      <text>
        <r>
          <rPr>
            <sz val="11"/>
            <color theme="1"/>
            <rFont val="Aptos Narrow"/>
            <family val="2"/>
            <scheme val="minor"/>
          </rPr>
          <t>ICPI del eje Institucional. Fuente: H2-EJES D8. Ya expresado en %.</t>
        </r>
      </text>
    </comment>
    <comment ref="B41" authorId="0" shapeId="0" xr:uid="{00000000-0006-0000-0300-00001A000000}">
      <text>
        <r>
          <rPr>
            <sz val="11"/>
            <color theme="1"/>
            <rFont val="Aptos Narrow"/>
            <family val="2"/>
            <scheme val="minor"/>
          </rPr>
          <t>Brecha primaria PDOT: ICPI% − Meta 2027 (100%). Negativo = déficit programático.</t>
        </r>
      </text>
    </comment>
    <comment ref="B42" authorId="0" shapeId="0" xr:uid="{00000000-0006-0000-0300-00001B000000}">
      <text>
        <r>
          <rPr>
            <sz val="11"/>
            <color theme="1"/>
            <rFont val="Aptos Narrow"/>
            <family val="2"/>
            <scheme val="minor"/>
          </rPr>
          <t>Brecha promedio simple por meta (brecha total ÷ 20 metas).</t>
        </r>
      </text>
    </comment>
    <comment ref="B43" authorId="0" shapeId="0" xr:uid="{00000000-0006-0000-0300-00001C000000}">
      <text>
        <r>
          <rPr>
            <sz val="11"/>
            <color theme="1"/>
            <rFont val="Aptos Narrow"/>
            <family val="2"/>
            <scheme val="minor"/>
          </rPr>
          <t>Actualizado v5.0: fórmula usa ICM oficial B7 (1.00=100%) en lugar de 0.9225 hardcodeado.</t>
        </r>
      </text>
    </comment>
    <comment ref="B44" authorId="0" shapeId="0" xr:uid="{00000000-0006-0000-0300-00001D000000}">
      <text>
        <r>
          <rPr>
            <sz val="11"/>
            <color theme="1"/>
            <rFont val="Aptos Narrow"/>
            <family val="2"/>
            <scheme val="minor"/>
          </rPr>
          <t>DELL:
4 de 20 promesas CONGRUENTES (brecha ≥0): TER-03, SOC-03, TER-01, INS-05. Fuente: F-BI</t>
        </r>
      </text>
    </comment>
    <comment ref="B46" authorId="0" shapeId="0" xr:uid="{00000000-0006-0000-0300-00001E000000}">
      <text>
        <r>
          <rPr>
            <sz val="11"/>
            <color theme="1"/>
            <rFont val="Aptos Narrow"/>
            <family val="2"/>
            <scheme val="minor"/>
          </rPr>
          <t>DELL:
Si SOC-02 (Centro Salud Tipo C, mayor Pi=0.20) se activa: ICPI sube +20.6 pp. Fuente: H3-SENSI</t>
        </r>
      </text>
    </comment>
    <comment ref="B47" authorId="0" shapeId="0" xr:uid="{00000000-0006-0000-0300-00001F000000}">
      <text>
        <r>
          <rPr>
            <sz val="11"/>
            <color theme="1"/>
            <rFont val="Aptos Narrow"/>
            <family val="2"/>
            <scheme val="minor"/>
          </rPr>
          <t>DELL:
ICPI si SOC-02 pasa a Vi=1, Ti=1. Escenario de mayor impacto individual. Fuente: H3-SENSI E6</t>
        </r>
      </text>
    </comment>
    <comment ref="B48" authorId="0" shapeId="0" xr:uid="{00000000-0006-0000-0300-000020000000}">
      <text>
        <r>
          <rPr>
            <sz val="11"/>
            <color theme="1"/>
            <rFont val="Aptos Narrow"/>
            <family val="2"/>
            <scheme val="minor"/>
          </rPr>
          <t>ΔICPI total acumulado si todos los Vi=0 se activan con Ti=1. Escenario teórico máximo. Fuente: H3-SENSI B18</t>
        </r>
      </text>
    </comment>
    <comment ref="B49" authorId="0" shapeId="0" xr:uid="{00000000-0006-0000-0300-000021000000}">
      <text>
        <r>
          <rPr>
            <sz val="11"/>
            <color theme="1"/>
            <rFont val="Aptos Narrow"/>
            <family val="2"/>
            <scheme val="minor"/>
          </rPr>
          <t>Inversión sin trazabilidad documental (Vi=0). 5 promesas sin soporte. Fuente: H3-SENSI B19</t>
        </r>
      </text>
    </comment>
    <comment ref="B51" authorId="0" shapeId="0" xr:uid="{00000000-0006-0000-0300-000022000000}">
      <text>
        <r>
          <rPr>
            <sz val="11"/>
            <color theme="1"/>
            <rFont val="Aptos Narrow"/>
            <family val="2"/>
            <scheme val="minor"/>
          </rPr>
          <t>DELL:
RDC 2023 (N°17649) y RDC 2024 (N°22844) recibidos y procesados el 22/02/2025</t>
        </r>
      </text>
    </comment>
    <comment ref="B52" authorId="0" shapeId="0" xr:uid="{00000000-0006-0000-0300-000023000000}">
      <text>
        <r>
          <rPr>
            <sz val="11"/>
            <color theme="1"/>
            <rFont val="Aptos Narrow"/>
            <family val="2"/>
            <scheme val="minor"/>
          </rPr>
          <t>DELL:
8 fuentes pendientes: cédulas GAD 2023-24, POA GAD 2023-24, cédulas Patronato 2023-24, POA Patronato 2023-24</t>
        </r>
      </text>
    </comment>
    <comment ref="B53" authorId="0" shapeId="0" xr:uid="{00000000-0006-0000-0300-000024000000}">
      <text>
        <r>
          <rPr>
            <sz val="11"/>
            <color theme="1"/>
            <rFont val="Aptos Narrow"/>
            <family val="2"/>
            <scheme val="minor"/>
          </rPr>
          <t>DELL:
Si las cédulas presupuestarias confirman Vi=1 en TER-10, SOC-04, SOC-07: ICPI podría subir hasta +8pp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E43" authorId="0" shapeId="0" xr:uid="{023669AC-9D8A-4041-BBC8-6B3354193BB8}">
      <text>
        <r>
          <rPr>
            <b/>
            <sz val="9"/>
            <color indexed="81"/>
            <rFont val="Tahoma"/>
            <family val="2"/>
          </rPr>
          <t>DELL:</t>
        </r>
        <r>
          <rPr>
            <sz val="9"/>
            <color indexed="81"/>
            <rFont val="Tahoma"/>
            <family val="2"/>
          </rPr>
          <t xml:space="preserve">
Pi = PDOT!L4 / PDOT!L24 · Fuente maestra: PDOT hoja</t>
        </r>
      </text>
    </comment>
    <comment ref="J43" authorId="0" shapeId="0" xr:uid="{6ED86FBB-D926-4B27-9ADB-D4CE46A19B0A}">
      <text>
        <r>
          <rPr>
            <b/>
            <sz val="9"/>
            <color indexed="81"/>
            <rFont val="Tahoma"/>
            <family val="2"/>
          </rPr>
          <t>DELL:</t>
        </r>
        <r>
          <rPr>
            <sz val="9"/>
            <color indexed="81"/>
            <rFont val="Tahoma"/>
            <family val="2"/>
          </rPr>
          <t xml:space="preserve">
Vinculado a PDOT!L4 · Fuente: Plan Plurianual Inversiones GAD Montecristi 2023-2027</t>
        </r>
      </text>
    </comment>
    <comment ref="E44" authorId="0" shapeId="0" xr:uid="{B33BA30A-AD7A-418F-B369-28D7203DC51E}">
      <text>
        <r>
          <rPr>
            <b/>
            <sz val="9"/>
            <color indexed="81"/>
            <rFont val="Tahoma"/>
            <family val="2"/>
          </rPr>
          <t>DELL:</t>
        </r>
        <r>
          <rPr>
            <sz val="9"/>
            <color indexed="81"/>
            <rFont val="Tahoma"/>
            <family val="2"/>
          </rPr>
          <t xml:space="preserve">
Pi = PDOT!L5 / PDOT!L24</t>
        </r>
      </text>
    </comment>
    <comment ref="J44" authorId="0" shapeId="0" xr:uid="{63BDF488-DC14-494C-B26B-70A473F491AB}">
      <text>
        <r>
          <rPr>
            <b/>
            <sz val="9"/>
            <color indexed="81"/>
            <rFont val="Tahoma"/>
            <family val="2"/>
          </rPr>
          <t>DELL:</t>
        </r>
        <r>
          <rPr>
            <sz val="9"/>
            <color indexed="81"/>
            <rFont val="Tahoma"/>
            <family val="2"/>
          </rPr>
          <t xml:space="preserve">
Vinculado a PDOT!L5 · Corregido: $5,827,477 (separado $55,167 Unidad Médica Móvil M3.01)</t>
        </r>
      </text>
    </comment>
    <comment ref="E45" authorId="0" shapeId="0" xr:uid="{98EEFED9-A523-486D-A295-505F8004B39B}">
      <text>
        <r>
          <rPr>
            <b/>
            <sz val="9"/>
            <color indexed="81"/>
            <rFont val="Tahoma"/>
            <family val="2"/>
          </rPr>
          <t>DELL:</t>
        </r>
        <r>
          <rPr>
            <sz val="9"/>
            <color indexed="81"/>
            <rFont val="Tahoma"/>
            <family val="2"/>
          </rPr>
          <t xml:space="preserve">
Pi = PDOT!L6 / PDOT!L24</t>
        </r>
      </text>
    </comment>
    <comment ref="J45" authorId="0" shapeId="0" xr:uid="{8BF75F7E-B781-4CA3-A015-DACE02C5F883}">
      <text>
        <r>
          <rPr>
            <b/>
            <sz val="9"/>
            <color indexed="81"/>
            <rFont val="Tahoma"/>
            <family val="2"/>
          </rPr>
          <t>DELL:</t>
        </r>
        <r>
          <rPr>
            <sz val="9"/>
            <color indexed="81"/>
            <rFont val="Tahoma"/>
            <family val="2"/>
          </rPr>
          <t xml:space="preserve">
Vinculado a PDOT!L6 · Fuente: Plan Plurianual PDOT</t>
        </r>
      </text>
    </comment>
    <comment ref="E46" authorId="0" shapeId="0" xr:uid="{C90BFAB6-F58D-4592-94D1-3821BD075A44}">
      <text>
        <r>
          <rPr>
            <b/>
            <sz val="9"/>
            <color indexed="81"/>
            <rFont val="Tahoma"/>
            <family val="2"/>
          </rPr>
          <t>DELL:</t>
        </r>
        <r>
          <rPr>
            <sz val="9"/>
            <color indexed="81"/>
            <rFont val="Tahoma"/>
            <family val="2"/>
          </rPr>
          <t xml:space="preserve">
Pi = PDOT!L7 / PDOT!L24</t>
        </r>
      </text>
    </comment>
    <comment ref="J46" authorId="0" shapeId="0" xr:uid="{24D3BA74-4051-40C1-A6FC-38ED3FF26296}">
      <text>
        <r>
          <rPr>
            <b/>
            <sz val="9"/>
            <color indexed="81"/>
            <rFont val="Tahoma"/>
            <family val="2"/>
          </rPr>
          <t>DELL:</t>
        </r>
        <r>
          <rPr>
            <sz val="9"/>
            <color indexed="81"/>
            <rFont val="Tahoma"/>
            <family val="2"/>
          </rPr>
          <t xml:space="preserve">
Vinculado a PDOT!L7</t>
        </r>
      </text>
    </comment>
    <comment ref="E47" authorId="0" shapeId="0" xr:uid="{07B5CBBA-D56B-4808-89CA-B7B090611385}">
      <text>
        <r>
          <rPr>
            <b/>
            <sz val="9"/>
            <color indexed="81"/>
            <rFont val="Tahoma"/>
            <family val="2"/>
          </rPr>
          <t>DELL:</t>
        </r>
        <r>
          <rPr>
            <sz val="9"/>
            <color indexed="81"/>
            <rFont val="Tahoma"/>
            <family val="2"/>
          </rPr>
          <t xml:space="preserve">
Pi = PDOT!L8 / PDOT!L24</t>
        </r>
      </text>
    </comment>
    <comment ref="J47" authorId="0" shapeId="0" xr:uid="{3F5B351A-D778-4082-B6F5-32AB9F386653}">
      <text>
        <r>
          <rPr>
            <b/>
            <sz val="9"/>
            <color indexed="81"/>
            <rFont val="Tahoma"/>
            <family val="2"/>
          </rPr>
          <t>DELL:</t>
        </r>
        <r>
          <rPr>
            <sz val="9"/>
            <color indexed="81"/>
            <rFont val="Tahoma"/>
            <family val="2"/>
          </rPr>
          <t xml:space="preserve">
Vinculado a PDOT!L8 · Corregido: $1,611,066 (separado $144,000 adultos mayores M2.01)</t>
        </r>
      </text>
    </comment>
    <comment ref="E48" authorId="0" shapeId="0" xr:uid="{64D68582-E4C2-47F1-9EDE-7C1EB23A4BDE}">
      <text>
        <r>
          <rPr>
            <b/>
            <sz val="9"/>
            <color indexed="81"/>
            <rFont val="Tahoma"/>
            <family val="2"/>
          </rPr>
          <t>DELL:</t>
        </r>
        <r>
          <rPr>
            <sz val="9"/>
            <color indexed="81"/>
            <rFont val="Tahoma"/>
            <family val="2"/>
          </rPr>
          <t xml:space="preserve">
Pi = PDOT!L9 / PDOT!L24</t>
        </r>
      </text>
    </comment>
    <comment ref="J48" authorId="0" shapeId="0" xr:uid="{0E6F4E0D-45AF-4B64-A292-292B04E8213C}">
      <text>
        <r>
          <rPr>
            <b/>
            <sz val="9"/>
            <color indexed="81"/>
            <rFont val="Tahoma"/>
            <family val="2"/>
          </rPr>
          <t>DELL:</t>
        </r>
        <r>
          <rPr>
            <sz val="9"/>
            <color indexed="81"/>
            <rFont val="Tahoma"/>
            <family val="2"/>
          </rPr>
          <t xml:space="preserve">
Vinculado a PDOT!L9</t>
        </r>
      </text>
    </comment>
    <comment ref="E49" authorId="0" shapeId="0" xr:uid="{D3AC4110-CA4C-4C6C-9C2F-A70274D42B95}">
      <text>
        <r>
          <rPr>
            <b/>
            <sz val="9"/>
            <color indexed="81"/>
            <rFont val="Tahoma"/>
            <family val="2"/>
          </rPr>
          <t>DELL:</t>
        </r>
        <r>
          <rPr>
            <sz val="9"/>
            <color indexed="81"/>
            <rFont val="Tahoma"/>
            <family val="2"/>
          </rPr>
          <t xml:space="preserve">
Pi = PDOT!L10 / PDOT!L24</t>
        </r>
      </text>
    </comment>
    <comment ref="J49" authorId="0" shapeId="0" xr:uid="{CB1B2978-9091-4367-B564-3F15EB2932CA}">
      <text>
        <r>
          <rPr>
            <b/>
            <sz val="9"/>
            <color indexed="81"/>
            <rFont val="Tahoma"/>
            <family val="2"/>
          </rPr>
          <t>DELL:</t>
        </r>
        <r>
          <rPr>
            <sz val="9"/>
            <color indexed="81"/>
            <rFont val="Tahoma"/>
            <family val="2"/>
          </rPr>
          <t xml:space="preserve">
Vinculado a PDOT!L10</t>
        </r>
      </text>
    </comment>
    <comment ref="E50" authorId="0" shapeId="0" xr:uid="{BAB07790-4D74-4DCE-8F07-497D8479B272}">
      <text>
        <r>
          <rPr>
            <b/>
            <sz val="9"/>
            <color indexed="81"/>
            <rFont val="Tahoma"/>
            <family val="2"/>
          </rPr>
          <t>DELL:</t>
        </r>
        <r>
          <rPr>
            <sz val="9"/>
            <color indexed="81"/>
            <rFont val="Tahoma"/>
            <family val="2"/>
          </rPr>
          <t xml:space="preserve">
Pi = PDOT!L11 / PDOT!L24</t>
        </r>
      </text>
    </comment>
    <comment ref="J50" authorId="0" shapeId="0" xr:uid="{B96F3168-29D0-489B-A32F-2201266A2796}">
      <text>
        <r>
          <rPr>
            <b/>
            <sz val="9"/>
            <color indexed="81"/>
            <rFont val="Tahoma"/>
            <family val="2"/>
          </rPr>
          <t>DELL:</t>
        </r>
        <r>
          <rPr>
            <sz val="9"/>
            <color indexed="81"/>
            <rFont val="Tahoma"/>
            <family val="2"/>
          </rPr>
          <t xml:space="preserve">
Vinculado a PDOT!L11</t>
        </r>
      </text>
    </comment>
    <comment ref="E51" authorId="0" shapeId="0" xr:uid="{3108B4F7-03FB-49EB-BB92-18A378A9202B}">
      <text>
        <r>
          <rPr>
            <b/>
            <sz val="9"/>
            <color indexed="81"/>
            <rFont val="Tahoma"/>
            <family val="2"/>
          </rPr>
          <t>DELL:</t>
        </r>
        <r>
          <rPr>
            <sz val="9"/>
            <color indexed="81"/>
            <rFont val="Tahoma"/>
            <family val="2"/>
          </rPr>
          <t xml:space="preserve">
Pi = PDOT!L12 / PDOT!L24</t>
        </r>
      </text>
    </comment>
    <comment ref="J51" authorId="0" shapeId="0" xr:uid="{15B3CA3C-0EA1-4487-9FA3-40A9F5E4C762}">
      <text>
        <r>
          <rPr>
            <b/>
            <sz val="9"/>
            <color indexed="81"/>
            <rFont val="Tahoma"/>
            <family val="2"/>
          </rPr>
          <t>DELL:</t>
        </r>
        <r>
          <rPr>
            <sz val="9"/>
            <color indexed="81"/>
            <rFont val="Tahoma"/>
            <family val="2"/>
          </rPr>
          <t xml:space="preserve">
Vinculado a PDOT!L12 · Corregido: $840,000 (ITME tenía $0)</t>
        </r>
      </text>
    </comment>
    <comment ref="E52" authorId="0" shapeId="0" xr:uid="{70DE993F-F68F-4981-B756-5314AD43B808}">
      <text>
        <r>
          <rPr>
            <b/>
            <sz val="9"/>
            <color indexed="81"/>
            <rFont val="Tahoma"/>
            <family val="2"/>
          </rPr>
          <t>DELL:</t>
        </r>
        <r>
          <rPr>
            <sz val="9"/>
            <color indexed="81"/>
            <rFont val="Tahoma"/>
            <family val="2"/>
          </rPr>
          <t xml:space="preserve">
Pi = PDOT!L13 / PDOT!L24</t>
        </r>
      </text>
    </comment>
    <comment ref="J52" authorId="0" shapeId="0" xr:uid="{C56677E6-0C87-4D3E-8B44-8937272FFF0E}">
      <text>
        <r>
          <rPr>
            <b/>
            <sz val="9"/>
            <color indexed="81"/>
            <rFont val="Tahoma"/>
            <family val="2"/>
          </rPr>
          <t>DELL:</t>
        </r>
        <r>
          <rPr>
            <sz val="9"/>
            <color indexed="81"/>
            <rFont val="Tahoma"/>
            <family val="2"/>
          </rPr>
          <t xml:space="preserve">
Vinculado a PDOT!L13</t>
        </r>
      </text>
    </comment>
    <comment ref="E53" authorId="0" shapeId="0" xr:uid="{76958F02-D059-4B21-847C-73CEE94AB226}">
      <text>
        <r>
          <rPr>
            <b/>
            <sz val="9"/>
            <color indexed="81"/>
            <rFont val="Tahoma"/>
            <family val="2"/>
          </rPr>
          <t>DELL:</t>
        </r>
        <r>
          <rPr>
            <sz val="9"/>
            <color indexed="81"/>
            <rFont val="Tahoma"/>
            <family val="2"/>
          </rPr>
          <t xml:space="preserve">
Pi = PDOT!L14 / PDOT!L24</t>
        </r>
      </text>
    </comment>
    <comment ref="J53" authorId="0" shapeId="0" xr:uid="{44E9A7BD-4EC6-4BA3-9BD4-658D6418CEA7}">
      <text>
        <r>
          <rPr>
            <b/>
            <sz val="9"/>
            <color indexed="81"/>
            <rFont val="Tahoma"/>
            <family val="2"/>
          </rPr>
          <t>DELL:</t>
        </r>
        <r>
          <rPr>
            <sz val="9"/>
            <color indexed="81"/>
            <rFont val="Tahoma"/>
            <family val="2"/>
          </rPr>
          <t xml:space="preserve">
Vinculado a PDOT!L14 · Corregido: $609,999.54 (separado $100,000 Parque Colorado)</t>
        </r>
      </text>
    </comment>
    <comment ref="E54" authorId="0" shapeId="0" xr:uid="{0BEC1BE0-A086-40AE-8596-276040DA7AD2}">
      <text>
        <r>
          <rPr>
            <b/>
            <sz val="9"/>
            <color indexed="81"/>
            <rFont val="Tahoma"/>
            <family val="2"/>
          </rPr>
          <t>DELL:</t>
        </r>
        <r>
          <rPr>
            <sz val="9"/>
            <color indexed="81"/>
            <rFont val="Tahoma"/>
            <family val="2"/>
          </rPr>
          <t xml:space="preserve">
Pi = PDOT!L15 / PDOT!L24</t>
        </r>
      </text>
    </comment>
    <comment ref="J54" authorId="0" shapeId="0" xr:uid="{0F49154F-C210-4F6F-8DC1-FCC4E8427961}">
      <text>
        <r>
          <rPr>
            <b/>
            <sz val="9"/>
            <color indexed="81"/>
            <rFont val="Tahoma"/>
            <family val="2"/>
          </rPr>
          <t>DELL:</t>
        </r>
        <r>
          <rPr>
            <sz val="9"/>
            <color indexed="81"/>
            <rFont val="Tahoma"/>
            <family val="2"/>
          </rPr>
          <t xml:space="preserve">
Vinculado a PDOT!L15</t>
        </r>
      </text>
    </comment>
    <comment ref="E55" authorId="0" shapeId="0" xr:uid="{0285423F-CCBA-4714-99FA-2DBA39C07A05}">
      <text>
        <r>
          <rPr>
            <b/>
            <sz val="9"/>
            <color indexed="81"/>
            <rFont val="Tahoma"/>
            <family val="2"/>
          </rPr>
          <t>DELL:</t>
        </r>
        <r>
          <rPr>
            <sz val="9"/>
            <color indexed="81"/>
            <rFont val="Tahoma"/>
            <family val="2"/>
          </rPr>
          <t xml:space="preserve">
Pi = PDOT!L16 / PDOT!L24</t>
        </r>
      </text>
    </comment>
    <comment ref="J55" authorId="0" shapeId="0" xr:uid="{93BD430F-B78B-48D2-BFD2-68288667089F}">
      <text>
        <r>
          <rPr>
            <b/>
            <sz val="9"/>
            <color indexed="81"/>
            <rFont val="Tahoma"/>
            <family val="2"/>
          </rPr>
          <t>DELL:</t>
        </r>
        <r>
          <rPr>
            <sz val="9"/>
            <color indexed="81"/>
            <rFont val="Tahoma"/>
            <family val="2"/>
          </rPr>
          <t xml:space="preserve">
Vinculado a PDOT!L16 · Corregido: $412,973 (separado $60,000 SIT M2.01)</t>
        </r>
      </text>
    </comment>
    <comment ref="E56" authorId="0" shapeId="0" xr:uid="{2DC43755-175C-4C23-9A84-2240FD5631A7}">
      <text>
        <r>
          <rPr>
            <b/>
            <sz val="9"/>
            <color indexed="81"/>
            <rFont val="Tahoma"/>
            <family val="2"/>
          </rPr>
          <t>DELL:</t>
        </r>
        <r>
          <rPr>
            <sz val="9"/>
            <color indexed="81"/>
            <rFont val="Tahoma"/>
            <family val="2"/>
          </rPr>
          <t xml:space="preserve">
Pi = PDOT!L17 / PDOT!L24</t>
        </r>
      </text>
    </comment>
    <comment ref="J56" authorId="0" shapeId="0" xr:uid="{DAAB4A06-4400-46D3-9C55-C0ED234AECDC}">
      <text>
        <r>
          <rPr>
            <b/>
            <sz val="9"/>
            <color indexed="81"/>
            <rFont val="Tahoma"/>
            <family val="2"/>
          </rPr>
          <t>DELL:</t>
        </r>
        <r>
          <rPr>
            <sz val="9"/>
            <color indexed="81"/>
            <rFont val="Tahoma"/>
            <family val="2"/>
          </rPr>
          <t xml:space="preserve">
Vinculado a PDOT!L17</t>
        </r>
      </text>
    </comment>
    <comment ref="E57" authorId="0" shapeId="0" xr:uid="{5423075A-731D-4AAC-8CB1-9612437DB05F}">
      <text>
        <r>
          <rPr>
            <b/>
            <sz val="9"/>
            <color indexed="81"/>
            <rFont val="Tahoma"/>
            <family val="2"/>
          </rPr>
          <t>DELL:</t>
        </r>
        <r>
          <rPr>
            <sz val="9"/>
            <color indexed="81"/>
            <rFont val="Tahoma"/>
            <family val="2"/>
          </rPr>
          <t xml:space="preserve">
Pi = PDOT!L18 / PDOT!L24</t>
        </r>
      </text>
    </comment>
    <comment ref="J57" authorId="0" shapeId="0" xr:uid="{5A725615-F126-484F-8157-62B47110B6DB}">
      <text>
        <r>
          <rPr>
            <b/>
            <sz val="9"/>
            <color indexed="81"/>
            <rFont val="Tahoma"/>
            <family val="2"/>
          </rPr>
          <t>DELL:</t>
        </r>
        <r>
          <rPr>
            <sz val="9"/>
            <color indexed="81"/>
            <rFont val="Tahoma"/>
            <family val="2"/>
          </rPr>
          <t xml:space="preserve">
Vinculado a PDOT!L18</t>
        </r>
      </text>
    </comment>
    <comment ref="E58" authorId="0" shapeId="0" xr:uid="{3067B4A6-DA9E-4ACD-854C-A309911B41A9}">
      <text>
        <r>
          <rPr>
            <b/>
            <sz val="9"/>
            <color indexed="81"/>
            <rFont val="Tahoma"/>
            <family val="2"/>
          </rPr>
          <t>DELL:</t>
        </r>
        <r>
          <rPr>
            <sz val="9"/>
            <color indexed="81"/>
            <rFont val="Tahoma"/>
            <family val="2"/>
          </rPr>
          <t xml:space="preserve">
Pi = PDOT!L19 / PDOT!L24</t>
        </r>
      </text>
    </comment>
    <comment ref="J58" authorId="0" shapeId="0" xr:uid="{1A6BF3F5-2FC8-4D3B-B67A-A5452A6FB6DD}">
      <text>
        <r>
          <rPr>
            <b/>
            <sz val="9"/>
            <color indexed="81"/>
            <rFont val="Tahoma"/>
            <family val="2"/>
          </rPr>
          <t>DELL:</t>
        </r>
        <r>
          <rPr>
            <sz val="9"/>
            <color indexed="81"/>
            <rFont val="Tahoma"/>
            <family val="2"/>
          </rPr>
          <t xml:space="preserve">
Vinculado a PDOT!L19</t>
        </r>
      </text>
    </comment>
    <comment ref="E59" authorId="0" shapeId="0" xr:uid="{9BF65149-71E8-4907-8911-0ABA849FFBD7}">
      <text>
        <r>
          <rPr>
            <b/>
            <sz val="9"/>
            <color indexed="81"/>
            <rFont val="Tahoma"/>
            <family val="2"/>
          </rPr>
          <t>DELL:</t>
        </r>
        <r>
          <rPr>
            <sz val="9"/>
            <color indexed="81"/>
            <rFont val="Tahoma"/>
            <family val="2"/>
          </rPr>
          <t xml:space="preserve">
Pi = PDOT!L20 / PDOT!L24</t>
        </r>
      </text>
    </comment>
    <comment ref="J59" authorId="0" shapeId="0" xr:uid="{2A84FFE8-6765-400C-9107-569E41CBFA3E}">
      <text>
        <r>
          <rPr>
            <b/>
            <sz val="9"/>
            <color indexed="81"/>
            <rFont val="Tahoma"/>
            <family val="2"/>
          </rPr>
          <t>DELL:</t>
        </r>
        <r>
          <rPr>
            <sz val="9"/>
            <color indexed="81"/>
            <rFont val="Tahoma"/>
            <family val="2"/>
          </rPr>
          <t xml:space="preserve">
Vinculado a PDOT!L20</t>
        </r>
      </text>
    </comment>
    <comment ref="E60" authorId="0" shapeId="0" xr:uid="{C5F59313-5FB5-4E75-A43E-F573BFD97DE2}">
      <text>
        <r>
          <rPr>
            <b/>
            <sz val="9"/>
            <color indexed="81"/>
            <rFont val="Tahoma"/>
            <family val="2"/>
          </rPr>
          <t>DELL:</t>
        </r>
        <r>
          <rPr>
            <sz val="9"/>
            <color indexed="81"/>
            <rFont val="Tahoma"/>
            <family val="2"/>
          </rPr>
          <t xml:space="preserve">
Pi = PDOT!L21 / PDOT!L24</t>
        </r>
      </text>
    </comment>
    <comment ref="J60" authorId="0" shapeId="0" xr:uid="{1E229659-FA9A-4565-94D9-3A808531EA97}">
      <text>
        <r>
          <rPr>
            <b/>
            <sz val="9"/>
            <color indexed="81"/>
            <rFont val="Tahoma"/>
            <family val="2"/>
          </rPr>
          <t>DELL:</t>
        </r>
        <r>
          <rPr>
            <sz val="9"/>
            <color indexed="81"/>
            <rFont val="Tahoma"/>
            <family val="2"/>
          </rPr>
          <t xml:space="preserve">
Vinculado a PDOT!L21 · Corregido: $153,000 (separado CCTV/alarmas $117,900)</t>
        </r>
      </text>
    </comment>
    <comment ref="E61" authorId="0" shapeId="0" xr:uid="{8A863D75-D942-41EA-9B21-5174534B1F57}">
      <text>
        <r>
          <rPr>
            <b/>
            <sz val="9"/>
            <color indexed="81"/>
            <rFont val="Tahoma"/>
            <family val="2"/>
          </rPr>
          <t>DELL:</t>
        </r>
        <r>
          <rPr>
            <sz val="9"/>
            <color indexed="81"/>
            <rFont val="Tahoma"/>
            <family val="2"/>
          </rPr>
          <t xml:space="preserve">
Pi = PDOT!L22 / PDOT!L24</t>
        </r>
      </text>
    </comment>
    <comment ref="J61" authorId="0" shapeId="0" xr:uid="{35746899-1B42-43FA-A5E3-5DB70072B3D8}">
      <text>
        <r>
          <rPr>
            <b/>
            <sz val="9"/>
            <color indexed="81"/>
            <rFont val="Tahoma"/>
            <family val="2"/>
          </rPr>
          <t>DELL:</t>
        </r>
        <r>
          <rPr>
            <sz val="9"/>
            <color indexed="81"/>
            <rFont val="Tahoma"/>
            <family val="2"/>
          </rPr>
          <t xml:space="preserve">
Vinculado a PDOT!L22 · Corregido: $144,000 (ITME tenía $0)</t>
        </r>
      </text>
    </comment>
    <comment ref="E62" authorId="0" shapeId="0" xr:uid="{337D301F-7C9D-40C6-9516-E3952B450397}">
      <text>
        <r>
          <rPr>
            <b/>
            <sz val="9"/>
            <color indexed="81"/>
            <rFont val="Tahoma"/>
            <family val="2"/>
          </rPr>
          <t>DELL:</t>
        </r>
        <r>
          <rPr>
            <sz val="9"/>
            <color indexed="81"/>
            <rFont val="Tahoma"/>
            <family val="2"/>
          </rPr>
          <t xml:space="preserve">
Pi = PDOT!L23 / PDOT!L24</t>
        </r>
      </text>
    </comment>
    <comment ref="J62" authorId="0" shapeId="0" xr:uid="{F7F603C7-CA1F-4D88-868C-D74B19439814}">
      <text>
        <r>
          <rPr>
            <b/>
            <sz val="9"/>
            <color indexed="81"/>
            <rFont val="Tahoma"/>
            <family val="2"/>
          </rPr>
          <t>DELL:</t>
        </r>
        <r>
          <rPr>
            <sz val="9"/>
            <color indexed="81"/>
            <rFont val="Tahoma"/>
            <family val="2"/>
          </rPr>
          <t xml:space="preserve">
Vinculado a PDOT!L23</t>
        </r>
      </text>
    </comment>
    <comment ref="E63" authorId="0" shapeId="0" xr:uid="{1443FAD7-382F-42F4-A9B4-04870B427F92}">
      <text>
        <r>
          <rPr>
            <b/>
            <sz val="9"/>
            <color indexed="81"/>
            <rFont val="Tahoma"/>
            <family val="2"/>
          </rPr>
          <t>DELL:</t>
        </r>
        <r>
          <rPr>
            <sz val="9"/>
            <color indexed="81"/>
            <rFont val="Tahoma"/>
            <family val="2"/>
          </rPr>
          <t xml:space="preserve">
ΣPi debe = 0.9999 ≈ 1.000 · Pi = PDOT!Li / PDOT!L24 para cada fila</t>
        </r>
      </text>
    </comment>
    <comment ref="J63" authorId="0" shapeId="0" xr:uid="{A5A42E1F-9843-4FB0-9DB2-00A3F063008E}">
      <text>
        <r>
          <rPr>
            <b/>
            <sz val="9"/>
            <color indexed="81"/>
            <rFont val="Tahoma"/>
            <family val="2"/>
          </rPr>
          <t>DELL:</t>
        </r>
        <r>
          <rPr>
            <sz val="9"/>
            <color indexed="81"/>
            <rFont val="Tahoma"/>
            <family val="2"/>
          </rPr>
          <t xml:space="preserve">
Σ Presupuesto muestra n=20 = $32,990,353.02 · Universo 35 programas = $156,156,516.02 · Ver ITME Sección 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L4" authorId="0" shapeId="0" xr:uid="{F8892780-7B1D-44FD-B255-15389073527B}">
      <text>
        <r>
          <rPr>
            <b/>
            <sz val="9"/>
            <color indexed="81"/>
            <rFont val="Tahoma"/>
            <family val="2"/>
          </rPr>
          <t>DELL:</t>
        </r>
        <r>
          <rPr>
            <sz val="9"/>
            <color indexed="81"/>
            <rFont val="Tahoma"/>
            <family val="2"/>
          </rPr>
          <t xml:space="preserve">
Fuente: Plan Plurianual Inversiones GAD Montecristi PDOT Bicentenario 2023-2027 · Tab. 186-199 · PDOT.AS.VL.M1.01</t>
        </r>
      </text>
    </comment>
    <comment ref="L5" authorId="0" shapeId="0" xr:uid="{62A013CF-00B3-46B7-BCCC-D5F3A203F4F3}">
      <text>
        <r>
          <rPr>
            <b/>
            <sz val="9"/>
            <color indexed="81"/>
            <rFont val="Tahoma"/>
            <family val="2"/>
          </rPr>
          <t>DELL:</t>
        </r>
        <r>
          <rPr>
            <sz val="9"/>
            <color indexed="81"/>
            <rFont val="Tahoma"/>
            <family val="2"/>
          </rPr>
          <t xml:space="preserve">
Fuente: Plan Plurianual PDOT · PDOT.SC.OE2.M1.01 · Corregido de $5,882,644.40 (diff=$55,167 corresponde a Unidad Móvil M3.01, no incluida en esta meta)</t>
        </r>
      </text>
    </comment>
    <comment ref="L6" authorId="0" shapeId="0" xr:uid="{DE31BC66-CB45-4E8D-A195-E298A30D3C7E}">
      <text>
        <r>
          <rPr>
            <b/>
            <sz val="9"/>
            <color indexed="81"/>
            <rFont val="Tahoma"/>
            <family val="2"/>
          </rPr>
          <t>DELL:</t>
        </r>
        <r>
          <rPr>
            <sz val="9"/>
            <color indexed="81"/>
            <rFont val="Tahoma"/>
            <family val="2"/>
          </rPr>
          <t xml:space="preserve">
Fuente: Plan Plurianual PDOT · PDOT.AM.OE3.M2.01</t>
        </r>
      </text>
    </comment>
    <comment ref="L7" authorId="0" shapeId="0" xr:uid="{42E2B9F0-C5AB-4841-8BB2-592317C7C907}">
      <text>
        <r>
          <rPr>
            <b/>
            <sz val="9"/>
            <color indexed="81"/>
            <rFont val="Tahoma"/>
            <family val="2"/>
          </rPr>
          <t>DELL:</t>
        </r>
        <r>
          <rPr>
            <sz val="9"/>
            <color indexed="81"/>
            <rFont val="Tahoma"/>
            <family val="2"/>
          </rPr>
          <t xml:space="preserve">
Fuente: Plan Plurianual PDOT · PDOT.AS.OE1.M2.01</t>
        </r>
      </text>
    </comment>
    <comment ref="L8" authorId="0" shapeId="0" xr:uid="{15888FD5-41E8-4E4A-9E2F-347AFA25EB22}">
      <text>
        <r>
          <rPr>
            <b/>
            <sz val="9"/>
            <color indexed="81"/>
            <rFont val="Tahoma"/>
            <family val="2"/>
          </rPr>
          <t>DELL:</t>
        </r>
        <r>
          <rPr>
            <sz val="9"/>
            <color indexed="81"/>
            <rFont val="Tahoma"/>
            <family val="2"/>
          </rPr>
          <t xml:space="preserve">
Fuente: Plan Plurianual PDOT · PDOT.SC.OE2.M4.01 · Corregido de $1,755,066 (diff=$144,000 = adultos mayores M2.01 segregado)</t>
        </r>
      </text>
    </comment>
    <comment ref="L9" authorId="0" shapeId="0" xr:uid="{D5C00E66-A03A-49F2-8EBC-27BC8E7AD69B}">
      <text>
        <r>
          <rPr>
            <b/>
            <sz val="9"/>
            <color indexed="81"/>
            <rFont val="Tahoma"/>
            <family val="2"/>
          </rPr>
          <t>DELL:</t>
        </r>
        <r>
          <rPr>
            <sz val="9"/>
            <color indexed="81"/>
            <rFont val="Tahoma"/>
            <family val="2"/>
          </rPr>
          <t xml:space="preserve">
Fuente: Plan Plurianual PDOT · PDOT.AS.OE1.M1.02</t>
        </r>
      </text>
    </comment>
    <comment ref="L10" authorId="0" shapeId="0" xr:uid="{C9EE535A-621D-470C-894B-47A3828F74D5}">
      <text>
        <r>
          <rPr>
            <b/>
            <sz val="9"/>
            <color indexed="81"/>
            <rFont val="Tahoma"/>
            <family val="2"/>
          </rPr>
          <t>DELL:</t>
        </r>
        <r>
          <rPr>
            <sz val="9"/>
            <color indexed="81"/>
            <rFont val="Tahoma"/>
            <family val="2"/>
          </rPr>
          <t xml:space="preserve">
Fuente: Plan Plurianual PDOT · PDOT.PI.OE4.M1.01</t>
        </r>
      </text>
    </comment>
    <comment ref="L11" authorId="0" shapeId="0" xr:uid="{80F5EB45-3EBB-4177-91AE-F5AD76B0FDDF}">
      <text>
        <r>
          <rPr>
            <b/>
            <sz val="9"/>
            <color indexed="81"/>
            <rFont val="Tahoma"/>
            <family val="2"/>
          </rPr>
          <t>DELL:</t>
        </r>
        <r>
          <rPr>
            <sz val="9"/>
            <color indexed="81"/>
            <rFont val="Tahoma"/>
            <family val="2"/>
          </rPr>
          <t xml:space="preserve">
Fuente: Plan Plurianual PDOT · PDOT.AV.OE1.M1.01</t>
        </r>
      </text>
    </comment>
    <comment ref="L12" authorId="0" shapeId="0" xr:uid="{1E913632-753E-4374-81CE-EBBE02A8E6BF}">
      <text>
        <r>
          <rPr>
            <b/>
            <sz val="9"/>
            <color indexed="81"/>
            <rFont val="Tahoma"/>
            <family val="2"/>
          </rPr>
          <t>DELL:</t>
        </r>
        <r>
          <rPr>
            <sz val="9"/>
            <color indexed="81"/>
            <rFont val="Tahoma"/>
            <family val="2"/>
          </rPr>
          <t xml:space="preserve">
Fuente: Plan Plurianual PDOT · PDOT.AM.OE3.M1.01 · Corregido: ITME tenía $0, valor real del Plan es $840,000</t>
        </r>
      </text>
    </comment>
    <comment ref="L13" authorId="0" shapeId="0" xr:uid="{9A092246-3BDC-4995-B6E0-4379CB33B885}">
      <text>
        <r>
          <rPr>
            <b/>
            <sz val="9"/>
            <color indexed="81"/>
            <rFont val="Tahoma"/>
            <family val="2"/>
          </rPr>
          <t>DELL:</t>
        </r>
        <r>
          <rPr>
            <sz val="9"/>
            <color indexed="81"/>
            <rFont val="Tahoma"/>
            <family val="2"/>
          </rPr>
          <t xml:space="preserve">
Fuente: Plan Plurianual PDOT · PDOT.FA.OE4.AH.02</t>
        </r>
      </text>
    </comment>
    <comment ref="L14" authorId="0" shapeId="0" xr:uid="{50AC8A93-C866-4535-97E4-C1839C3F6291}">
      <text>
        <r>
          <rPr>
            <b/>
            <sz val="9"/>
            <color indexed="81"/>
            <rFont val="Tahoma"/>
            <family val="2"/>
          </rPr>
          <t>DELL:</t>
        </r>
        <r>
          <rPr>
            <sz val="9"/>
            <color indexed="81"/>
            <rFont val="Tahoma"/>
            <family val="2"/>
          </rPr>
          <t xml:space="preserve">
Fuente: Plan Plurianual PDOT · PDOT.FA.OE1.PV.01 · Corregido de $709,999.54 (diff=$100,000 = Parque Colorado M14 segregado)</t>
        </r>
      </text>
    </comment>
    <comment ref="L15" authorId="0" shapeId="0" xr:uid="{16EEE3E0-F945-4CAA-8B34-289D08DE8C02}">
      <text>
        <r>
          <rPr>
            <b/>
            <sz val="9"/>
            <color indexed="81"/>
            <rFont val="Tahoma"/>
            <family val="2"/>
          </rPr>
          <t>DELL:</t>
        </r>
        <r>
          <rPr>
            <sz val="9"/>
            <color indexed="81"/>
            <rFont val="Tahoma"/>
            <family val="2"/>
          </rPr>
          <t xml:space="preserve">
Fuente: Plan Plurianual PDOT · PDOT.PI.OE4.M2.01</t>
        </r>
      </text>
    </comment>
    <comment ref="L16" authorId="0" shapeId="0" xr:uid="{8146E67E-A074-4F70-B73A-4D7BE2773868}">
      <text>
        <r>
          <rPr>
            <b/>
            <sz val="9"/>
            <color indexed="81"/>
            <rFont val="Tahoma"/>
            <family val="2"/>
          </rPr>
          <t>DELL:</t>
        </r>
        <r>
          <rPr>
            <sz val="9"/>
            <color indexed="81"/>
            <rFont val="Tahoma"/>
            <family val="2"/>
          </rPr>
          <t xml:space="preserve">
Fuente: Plan Plurianual PDOT · PDOT.PI.OE4.FI.01 · Corregido de $472,973 (diff=$60,000 = SIT M2.01 segregado)</t>
        </r>
      </text>
    </comment>
    <comment ref="L17" authorId="0" shapeId="0" xr:uid="{0936BB53-7DAE-4240-8240-73FC456F2147}">
      <text>
        <r>
          <rPr>
            <b/>
            <sz val="9"/>
            <color indexed="81"/>
            <rFont val="Tahoma"/>
            <family val="2"/>
          </rPr>
          <t>DELL:</t>
        </r>
        <r>
          <rPr>
            <sz val="9"/>
            <color indexed="81"/>
            <rFont val="Tahoma"/>
            <family val="2"/>
          </rPr>
          <t xml:space="preserve">
Fuente: Plan Plurianual PDOT · PDOT.AS.VV.HB.01</t>
        </r>
      </text>
    </comment>
    <comment ref="L18" authorId="0" shapeId="0" xr:uid="{5C49E6D8-A240-493E-9693-8F78695A1E37}">
      <text>
        <r>
          <rPr>
            <b/>
            <sz val="9"/>
            <color indexed="81"/>
            <rFont val="Tahoma"/>
            <family val="2"/>
          </rPr>
          <t>DELL:</t>
        </r>
        <r>
          <rPr>
            <sz val="9"/>
            <color indexed="81"/>
            <rFont val="Tahoma"/>
            <family val="2"/>
          </rPr>
          <t xml:space="preserve">
Fuente: Plan Plurianual PDOT · PDOT.SC.PA.CP.01</t>
        </r>
      </text>
    </comment>
    <comment ref="L19" authorId="0" shapeId="0" xr:uid="{51518A14-BB42-40CC-8B8B-EC9AEA98B0A3}">
      <text>
        <r>
          <rPr>
            <b/>
            <sz val="9"/>
            <color indexed="81"/>
            <rFont val="Tahoma"/>
            <family val="2"/>
          </rPr>
          <t>DELL:</t>
        </r>
        <r>
          <rPr>
            <sz val="9"/>
            <color indexed="81"/>
            <rFont val="Tahoma"/>
            <family val="2"/>
          </rPr>
          <t xml:space="preserve">
Fuente: Plan Plurianual PDOT · PDOT.EP.OE5.PD.01</t>
        </r>
      </text>
    </comment>
    <comment ref="L20" authorId="0" shapeId="0" xr:uid="{AAE9FCE7-4755-4B3D-A9D7-693FC6331737}">
      <text>
        <r>
          <rPr>
            <b/>
            <sz val="9"/>
            <color indexed="81"/>
            <rFont val="Tahoma"/>
            <family val="2"/>
          </rPr>
          <t>DELL:</t>
        </r>
        <r>
          <rPr>
            <sz val="9"/>
            <color indexed="81"/>
            <rFont val="Tahoma"/>
            <family val="2"/>
          </rPr>
          <t xml:space="preserve">
Fuente: Plan Plurianual PDOT · PDOT.SC.PA.CP.02</t>
        </r>
      </text>
    </comment>
    <comment ref="L21" authorId="0" shapeId="0" xr:uid="{B7D831F6-3679-4E81-9D3D-215596FF856A}">
      <text>
        <r>
          <rPr>
            <b/>
            <sz val="9"/>
            <color indexed="81"/>
            <rFont val="Tahoma"/>
            <family val="2"/>
          </rPr>
          <t>DELL:</t>
        </r>
        <r>
          <rPr>
            <sz val="9"/>
            <color indexed="81"/>
            <rFont val="Tahoma"/>
            <family val="2"/>
          </rPr>
          <t xml:space="preserve">
Fuente: Plan Plurianual PDOT · PDOT.AS.VL.SV.01 · Corregido de $270,900 (diff=$117,900 = CCTV/alarmas, segregado)</t>
        </r>
      </text>
    </comment>
    <comment ref="L22" authorId="0" shapeId="0" xr:uid="{82BD2EBC-C846-4B2A-A2DF-27DD5561A314}">
      <text>
        <r>
          <rPr>
            <b/>
            <sz val="9"/>
            <color indexed="81"/>
            <rFont val="Tahoma"/>
            <family val="2"/>
          </rPr>
          <t>DELL:</t>
        </r>
        <r>
          <rPr>
            <sz val="9"/>
            <color indexed="81"/>
            <rFont val="Tahoma"/>
            <family val="2"/>
          </rPr>
          <t xml:space="preserve">
Fuente: Plan Plurianual PDOT · PDOT.SC.OE2.M2.01 · Corregido: ITME tenía $0, valor real del Plan es $144,000</t>
        </r>
      </text>
    </comment>
    <comment ref="L23" authorId="0" shapeId="0" xr:uid="{5D9A2346-4BB3-4D33-962F-FCD5F96C06B3}">
      <text>
        <r>
          <rPr>
            <b/>
            <sz val="9"/>
            <color indexed="81"/>
            <rFont val="Tahoma"/>
            <family val="2"/>
          </rPr>
          <t>DELL:</t>
        </r>
        <r>
          <rPr>
            <sz val="9"/>
            <color indexed="81"/>
            <rFont val="Tahoma"/>
            <family val="2"/>
          </rPr>
          <t xml:space="preserve">
Fuente: Plan Plurianual PDOT · PDOT.FA.OE2.MA.01</t>
        </r>
      </text>
    </comment>
    <comment ref="D24" authorId="0" shapeId="0" xr:uid="{7FB72715-4131-4669-AFDD-C8F87A0E919F}">
      <text>
        <r>
          <rPr>
            <b/>
            <sz val="9"/>
            <color indexed="81"/>
            <rFont val="Tahoma"/>
            <family val="2"/>
          </rPr>
          <t>DELL:</t>
        </r>
        <r>
          <rPr>
            <sz val="9"/>
            <color indexed="81"/>
            <rFont val="Tahoma"/>
            <family val="2"/>
          </rPr>
          <t xml:space="preserve">
CRITERIO DE EXCLUSIÓN: Los programas de Talento Humano ($52,776,878) y Sostenibilidad Financiera ($20,205,706) fueron excluidos de la muestra por constituir gastos corrientes operativos (nómina LOSEP, coactivas, gestión presupuestaria), no inversiones PDOT programáticas medibles mediante indicadores de resultado. Base legal: COOTAD Art. 234 y COPYFP Art. 292 — distinción gasto corriente vs. gasto de inversión. El universo completo de 35 programas PDOT asciende a $156,156,516.02 (ver hoja ITME).</t>
        </r>
      </text>
    </comment>
    <comment ref="E24" authorId="0" shapeId="0" xr:uid="{0EDACADA-B46B-4D4C-BA4F-7CCED4453BE1}">
      <text>
        <r>
          <rPr>
            <b/>
            <sz val="9"/>
            <color indexed="81"/>
            <rFont val="Tahoma"/>
            <family val="2"/>
          </rPr>
          <t>DELL:</t>
        </r>
        <r>
          <rPr>
            <sz val="9"/>
            <color indexed="81"/>
            <rFont val="Tahoma"/>
            <family val="2"/>
          </rPr>
          <t xml:space="preserve">
ΣPi = SUM(L4:L23)/L24 = 0.9999 ≈ 1.000 · Diferencia de 0.0001 es residuo de redondeo a 4 decimales</t>
        </r>
      </text>
    </comment>
    <comment ref="L24" authorId="0" shapeId="0" xr:uid="{F26C9ED4-C308-4AC5-98A9-9B73CD46FCF5}">
      <text>
        <r>
          <rPr>
            <b/>
            <sz val="9"/>
            <color indexed="81"/>
            <rFont val="Tahoma"/>
            <family val="2"/>
          </rPr>
          <t>DELL:</t>
        </r>
        <r>
          <rPr>
            <sz val="9"/>
            <color indexed="81"/>
            <rFont val="Tahoma"/>
            <family val="2"/>
          </rPr>
          <t xml:space="preserve">
Suma exacta de los 20 proyectos de inversión PDOT = $32,990,353.02. El universo completo PDOT (35 programas) = $156,156,516.02 (ver ITME). El Acueducto CAF ($45,625,014) está incluido en el proyecto PDOT.AS.VL.M1.01 / PDOT.AS.OE1.AP.01.</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C5" authorId="0" shapeId="0" xr:uid="{DD1EE654-88A4-4009-803A-A22DB998983B}">
      <text>
        <r>
          <rPr>
            <b/>
            <sz val="9"/>
            <color indexed="81"/>
            <rFont val="Tahoma"/>
            <family val="2"/>
          </rPr>
          <t>DELL:</t>
        </r>
        <r>
          <rPr>
            <sz val="9"/>
            <color indexed="81"/>
            <rFont val="Tahoma"/>
            <family val="2"/>
          </rPr>
          <t xml:space="preserve">
CORREGIDO: SUMIF sobre sección B (D14:D33 = Eje, E14:E33 = Presup.). Incluye Asentamientos Humanos + Físico Ambiental (clasificados como Territorial en esta hoja). Anterior: hardcode erróneo $116,297,389.</t>
        </r>
      </text>
    </comment>
    <comment ref="D5" authorId="0" shapeId="0" xr:uid="{43A11F97-503B-4306-9EAC-4504502179C3}">
      <text>
        <r>
          <rPr>
            <b/>
            <sz val="9"/>
            <color indexed="81"/>
            <rFont val="Tahoma"/>
            <family val="2"/>
          </rPr>
          <t>DELL:</t>
        </r>
        <r>
          <rPr>
            <sz val="9"/>
            <color indexed="81"/>
            <rFont val="Tahoma"/>
            <family val="2"/>
          </rPr>
          <t xml:space="preserve">
CORREGIDO: Pi TERRITORIAL = SUMIF sobre F14:F33 (Pi individual). Anterior: hardcode 0.8935.</t>
        </r>
      </text>
    </comment>
    <comment ref="C6" authorId="0" shapeId="0" xr:uid="{9F3B1959-9880-4547-9CB3-CF23F4EAF8B8}">
      <text>
        <r>
          <rPr>
            <b/>
            <sz val="9"/>
            <color indexed="81"/>
            <rFont val="Tahoma"/>
            <family val="2"/>
          </rPr>
          <t>DELL:</t>
        </r>
        <r>
          <rPr>
            <sz val="9"/>
            <color indexed="81"/>
            <rFont val="Tahoma"/>
            <family val="2"/>
          </rPr>
          <t xml:space="preserve">
CORREGIDO: SUMIF Socio Cultural sobre E14:E33. Anterior: hardcode erróneo $1,811,700.</t>
        </r>
      </text>
    </comment>
    <comment ref="D6" authorId="0" shapeId="0" xr:uid="{9B3857B3-85B2-489A-BEA5-DB58038D7B20}">
      <text>
        <r>
          <rPr>
            <b/>
            <sz val="9"/>
            <color indexed="81"/>
            <rFont val="Tahoma"/>
            <family val="2"/>
          </rPr>
          <t>DELL:</t>
        </r>
        <r>
          <rPr>
            <sz val="9"/>
            <color indexed="81"/>
            <rFont val="Tahoma"/>
            <family val="2"/>
          </rPr>
          <t xml:space="preserve">
CORREGIDO: Pi SOCIAL = SUMIF. Anterior: hardcode 0.0139.</t>
        </r>
      </text>
    </comment>
    <comment ref="C7" authorId="0" shapeId="0" xr:uid="{B3808A82-F675-43BA-9FC5-C93B0DFA7EA7}">
      <text>
        <r>
          <rPr>
            <b/>
            <sz val="9"/>
            <color indexed="81"/>
            <rFont val="Tahoma"/>
            <family val="2"/>
          </rPr>
          <t>DELL:</t>
        </r>
        <r>
          <rPr>
            <sz val="9"/>
            <color indexed="81"/>
            <rFont val="Tahoma"/>
            <family val="2"/>
          </rPr>
          <t xml:space="preserve">
CORREGIDO: SUMIF Ambiental sobre E14:E33. Anterior: hardcode erróneo $748,783.</t>
        </r>
      </text>
    </comment>
    <comment ref="D7" authorId="0" shapeId="0" xr:uid="{B66B889E-94FC-4A6D-BA17-08DBA7D95FE4}">
      <text>
        <r>
          <rPr>
            <b/>
            <sz val="9"/>
            <color indexed="81"/>
            <rFont val="Tahoma"/>
            <family val="2"/>
          </rPr>
          <t>DELL:</t>
        </r>
        <r>
          <rPr>
            <sz val="9"/>
            <color indexed="81"/>
            <rFont val="Tahoma"/>
            <family val="2"/>
          </rPr>
          <t xml:space="preserve">
CORREGIDO: Pi AMBIENTAL = SUMIF. Anterior: hardcode 0.0058.</t>
        </r>
      </text>
    </comment>
    <comment ref="C8" authorId="0" shapeId="0" xr:uid="{DD66ABC5-D6DE-46F0-8912-EE5260843575}">
      <text>
        <r>
          <rPr>
            <b/>
            <sz val="9"/>
            <color indexed="81"/>
            <rFont val="Tahoma"/>
            <family val="2"/>
          </rPr>
          <t>DELL:</t>
        </r>
        <r>
          <rPr>
            <sz val="9"/>
            <color indexed="81"/>
            <rFont val="Tahoma"/>
            <family val="2"/>
          </rPr>
          <t xml:space="preserve">
CORREGIDO: SUMIF Económico Productivo. Anterior: 0 (FALTANTE).</t>
        </r>
      </text>
    </comment>
    <comment ref="D8" authorId="0" shapeId="0" xr:uid="{D8B607B2-80BF-4828-A493-BE3B05874B2D}">
      <text>
        <r>
          <rPr>
            <b/>
            <sz val="9"/>
            <color indexed="81"/>
            <rFont val="Tahoma"/>
            <family val="2"/>
          </rPr>
          <t>DELL:</t>
        </r>
        <r>
          <rPr>
            <sz val="9"/>
            <color indexed="81"/>
            <rFont val="Tahoma"/>
            <family val="2"/>
          </rPr>
          <t xml:space="preserve">
CORREGIDO: Pi ECONÓMICO. Anterior: 0 (FALTANTE).</t>
        </r>
      </text>
    </comment>
    <comment ref="H8" authorId="0" shapeId="0" xr:uid="{48599414-E8BD-4EF8-894B-A08865CB9EDE}">
      <text>
        <r>
          <rPr>
            <b/>
            <sz val="9"/>
            <color indexed="81"/>
            <rFont val="Tahoma"/>
            <family val="2"/>
          </rPr>
          <t>DELL:</t>
        </r>
        <r>
          <rPr>
            <sz val="9"/>
            <color indexed="81"/>
            <rFont val="Tahoma"/>
            <family val="2"/>
          </rPr>
          <t xml:space="preserve">
CORREGIDO: Antes aparecía ⚠️ Sin presup. PDOT asignado porque C8 y D8 eran 0. Ahora calculados con SUMIF: $109,763.40 / Pi=0.0033.</t>
        </r>
      </text>
    </comment>
    <comment ref="C9" authorId="0" shapeId="0" xr:uid="{F8D62666-DF3E-4704-97A7-4E06A73F4F66}">
      <text>
        <r>
          <rPr>
            <b/>
            <sz val="9"/>
            <color indexed="81"/>
            <rFont val="Tahoma"/>
            <family val="2"/>
          </rPr>
          <t>DELL:</t>
        </r>
        <r>
          <rPr>
            <sz val="9"/>
            <color indexed="81"/>
            <rFont val="Tahoma"/>
            <family val="2"/>
          </rPr>
          <t xml:space="preserve">
CORREGIDO: SUMIF Político Institucional. Anterior: 0 (FALTANTE).</t>
        </r>
      </text>
    </comment>
    <comment ref="D9" authorId="0" shapeId="0" xr:uid="{D6C3BB78-2AB1-48D0-A82C-D7DAD94F316D}">
      <text>
        <r>
          <rPr>
            <b/>
            <sz val="9"/>
            <color indexed="81"/>
            <rFont val="Tahoma"/>
            <family val="2"/>
          </rPr>
          <t>DELL:</t>
        </r>
        <r>
          <rPr>
            <sz val="9"/>
            <color indexed="81"/>
            <rFont val="Tahoma"/>
            <family val="2"/>
          </rPr>
          <t xml:space="preserve">
CORREGIDO: Pi INSTITUCIONAL. Anterior: 0 (FALTANTE).</t>
        </r>
      </text>
    </comment>
    <comment ref="H9" authorId="0" shapeId="0" xr:uid="{FA6E6F59-2977-45C3-9130-EAF448BD802F}">
      <text>
        <r>
          <rPr>
            <b/>
            <sz val="9"/>
            <color indexed="81"/>
            <rFont val="Tahoma"/>
            <family val="2"/>
          </rPr>
          <t>DELL:</t>
        </r>
        <r>
          <rPr>
            <sz val="9"/>
            <color indexed="81"/>
            <rFont val="Tahoma"/>
            <family val="2"/>
          </rPr>
          <t xml:space="preserve">
CORREGIDO: Antes ⚠️ Sin presup. PDOT asignado porque C9 y D9 eran 0. Ahora calculados con SUMIF: $2,233,540.16 / Pi=0.0677.</t>
        </r>
      </text>
    </comment>
    <comment ref="C10" authorId="0" shapeId="0" xr:uid="{144228C4-BCBA-4B27-88BA-4EAD84B1BD69}">
      <text>
        <r>
          <rPr>
            <b/>
            <sz val="9"/>
            <color indexed="81"/>
            <rFont val="Tahoma"/>
            <family val="2"/>
          </rPr>
          <t>DELL:</t>
        </r>
        <r>
          <rPr>
            <sz val="9"/>
            <color indexed="81"/>
            <rFont val="Tahoma"/>
            <family val="2"/>
          </rPr>
          <t xml:space="preserve">
CORREGIDO: =SUM(C5:C9) → $32,990,353.02. Anterior: $118,857,872 (erróneo, suma de hardcodes incorrectos).</t>
        </r>
      </text>
    </comment>
    <comment ref="D10" authorId="0" shapeId="0" xr:uid="{1868CB17-2916-46E2-9C73-97311BE08CFF}">
      <text>
        <r>
          <rPr>
            <b/>
            <sz val="9"/>
            <color indexed="81"/>
            <rFont val="Tahoma"/>
            <family val="2"/>
          </rPr>
          <t>DELL:</t>
        </r>
        <r>
          <rPr>
            <sz val="9"/>
            <color indexed="81"/>
            <rFont val="Tahoma"/>
            <family val="2"/>
          </rPr>
          <t xml:space="preserve">
CORREGIDO: =SUM(D5:D9) → 0.9999 ≈ 1.000 (residuo de redondeo a 4 dec). Anterior: 1 hardcode sobre datos erróneos.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F5" authorId="0" shapeId="0" xr:uid="{EFA16CD2-CDEF-4C30-AFE3-1DC6F8DEAF08}">
      <text>
        <r>
          <rPr>
            <b/>
            <sz val="9"/>
            <color indexed="81"/>
            <rFont val="Tahoma"/>
            <family val="2"/>
          </rPr>
          <t>DELL:</t>
        </r>
        <r>
          <rPr>
            <sz val="9"/>
            <color indexed="81"/>
            <rFont val="Tahoma"/>
            <family val="2"/>
          </rPr>
          <t xml:space="preserve">
Ri=1.0 ALTO · Vialidad urbana y movilidad cantonal · Art. 264.3 CRE · COOTAD Art. 55 lit. f</t>
        </r>
      </text>
    </comment>
    <comment ref="H5" authorId="0" shapeId="0" xr:uid="{CCE4BF5C-E2EA-48A4-9F0A-779E23169D73}">
      <text>
        <r>
          <rPr>
            <b/>
            <sz val="9"/>
            <color indexed="81"/>
            <rFont val="Tahoma"/>
            <family val="2"/>
          </rPr>
          <t>DELL:</t>
        </r>
        <r>
          <rPr>
            <sz val="9"/>
            <color indexed="81"/>
            <rFont val="Tahoma"/>
            <family val="2"/>
          </rPr>
          <t xml:space="preserve">
Pi = PONDER!F14 = PDOT!E4 · Fuente maestra: PDOT!L4/PDOT!L24</t>
        </r>
      </text>
    </comment>
    <comment ref="F6" authorId="0" shapeId="0" xr:uid="{00000000-0006-0000-0700-000001000000}">
      <text>
        <r>
          <rPr>
            <sz val="11"/>
            <color theme="1"/>
            <rFont val="Aptos Narrow"/>
            <family val="2"/>
            <scheme val="minor"/>
          </rPr>
          <t>Ri=1.5 CRÍTICO · Derecho a la salud Art. 32 CRE · Centro Salud Tipo C convenio MSP · Impacto ICPI: mayor de muestra si Vi=1</t>
        </r>
      </text>
    </comment>
    <comment ref="H6" authorId="0" shapeId="0" xr:uid="{8FC64A6C-9379-4539-91AF-8AB6B0FB1C56}">
      <text>
        <r>
          <rPr>
            <b/>
            <sz val="9"/>
            <color indexed="81"/>
            <rFont val="Tahoma"/>
            <family val="2"/>
          </rPr>
          <t>DELL:</t>
        </r>
        <r>
          <rPr>
            <sz val="9"/>
            <color indexed="81"/>
            <rFont val="Tahoma"/>
            <family val="2"/>
          </rPr>
          <t xml:space="preserve">
Pi = PONDER!F15 = PDOT!E5</t>
        </r>
      </text>
    </comment>
    <comment ref="F7" authorId="0" shapeId="0" xr:uid="{00000000-0006-0000-0700-000002000000}">
      <text>
        <r>
          <rPr>
            <sz val="11"/>
            <color theme="1"/>
            <rFont val="Aptos Narrow"/>
            <family val="2"/>
            <scheme val="minor"/>
          </rPr>
          <t>Ri=1.0 ALTO · Gestión integral residuos sólidos · Art. 264.4 CRE · Salud pública</t>
        </r>
      </text>
    </comment>
    <comment ref="H7" authorId="0" shapeId="0" xr:uid="{FBE73B23-B8B6-4566-BF36-2D784666CF16}">
      <text>
        <r>
          <rPr>
            <b/>
            <sz val="9"/>
            <color indexed="81"/>
            <rFont val="Tahoma"/>
            <family val="2"/>
          </rPr>
          <t>DELL:</t>
        </r>
        <r>
          <rPr>
            <sz val="9"/>
            <color indexed="81"/>
            <rFont val="Tahoma"/>
            <family val="2"/>
          </rPr>
          <t xml:space="preserve">
Pi = PONDER!F16 = PDOT!E6</t>
        </r>
      </text>
    </comment>
    <comment ref="F8" authorId="0" shapeId="0" xr:uid="{00000000-0006-0000-0700-000003000000}">
      <text>
        <r>
          <rPr>
            <sz val="11"/>
            <color theme="1"/>
            <rFont val="Aptos Narrow"/>
            <family val="2"/>
            <scheme val="minor"/>
          </rPr>
          <t>Ri=1.0 ALTO · Equipamiento público comunitario · Art. 264.7 CRE · COOTAD Art. 55 lit. g</t>
        </r>
      </text>
    </comment>
    <comment ref="H8" authorId="0" shapeId="0" xr:uid="{20D3BADC-0556-4C2A-B7FA-ACF63778C8E3}">
      <text>
        <r>
          <rPr>
            <b/>
            <sz val="9"/>
            <color indexed="81"/>
            <rFont val="Tahoma"/>
            <family val="2"/>
          </rPr>
          <t>DELL:</t>
        </r>
        <r>
          <rPr>
            <sz val="9"/>
            <color indexed="81"/>
            <rFont val="Tahoma"/>
            <family val="2"/>
          </rPr>
          <t xml:space="preserve">
Pi = PONDER!F17 = PDOT!E7</t>
        </r>
      </text>
    </comment>
    <comment ref="F9" authorId="0" shapeId="0" xr:uid="{00000000-0006-0000-0700-000004000000}">
      <text>
        <r>
          <rPr>
            <sz val="11"/>
            <color theme="1"/>
            <rFont val="Aptos Narrow"/>
            <family val="2"/>
            <scheme val="minor"/>
          </rPr>
          <t>Ri=1.0 ALTO · Protección derechos niñez y grupos vulnerables · Art. 44-46 CRE</t>
        </r>
      </text>
    </comment>
    <comment ref="H9" authorId="0" shapeId="0" xr:uid="{13E7942C-5B78-42A8-BC93-1790CF0EDD5C}">
      <text>
        <r>
          <rPr>
            <b/>
            <sz val="9"/>
            <color indexed="81"/>
            <rFont val="Tahoma"/>
            <family val="2"/>
          </rPr>
          <t>DELL:</t>
        </r>
        <r>
          <rPr>
            <sz val="9"/>
            <color indexed="81"/>
            <rFont val="Tahoma"/>
            <family val="2"/>
          </rPr>
          <t xml:space="preserve">
Pi = PONDER!F18 = PDOT!E8</t>
        </r>
      </text>
    </comment>
    <comment ref="F10" authorId="0" shapeId="0" xr:uid="{00000000-0006-0000-0700-000005000000}">
      <text>
        <r>
          <rPr>
            <sz val="11"/>
            <color theme="1"/>
            <rFont val="Aptos Narrow"/>
            <family val="2"/>
            <scheme val="minor"/>
          </rPr>
          <t>Ri=1.5 CRÍTICO · Saneamiento ambiental y tratamiento aguas residuales · Art. 264.4 CRE</t>
        </r>
      </text>
    </comment>
    <comment ref="H10" authorId="0" shapeId="0" xr:uid="{B9876083-CC80-4381-9E23-9D0C7A35E8A1}">
      <text>
        <r>
          <rPr>
            <b/>
            <sz val="9"/>
            <color indexed="81"/>
            <rFont val="Tahoma"/>
            <family val="2"/>
          </rPr>
          <t>DELL:</t>
        </r>
        <r>
          <rPr>
            <sz val="9"/>
            <color indexed="81"/>
            <rFont val="Tahoma"/>
            <family val="2"/>
          </rPr>
          <t xml:space="preserve">
Pi = PONDER!F19 = PDOT!E9</t>
        </r>
      </text>
    </comment>
    <comment ref="F11" authorId="0" shapeId="0" xr:uid="{00000000-0006-0000-0700-000006000000}">
      <text>
        <r>
          <rPr>
            <sz val="11"/>
            <color theme="1"/>
            <rFont val="Aptos Narrow"/>
            <family val="2"/>
            <scheme val="minor"/>
          </rPr>
          <t>Ri=0.5 MEDIO · Modernización administrativa interna · No afecta directamente derechos ciudadanos</t>
        </r>
      </text>
    </comment>
    <comment ref="H11" authorId="0" shapeId="0" xr:uid="{2B3F433D-A1A2-44BD-9A05-C5F65E11F7A6}">
      <text>
        <r>
          <rPr>
            <b/>
            <sz val="9"/>
            <color indexed="81"/>
            <rFont val="Tahoma"/>
            <family val="2"/>
          </rPr>
          <t>DELL:</t>
        </r>
        <r>
          <rPr>
            <sz val="9"/>
            <color indexed="81"/>
            <rFont val="Tahoma"/>
            <family val="2"/>
          </rPr>
          <t xml:space="preserve">
Pi = PONDER!F20 = PDOT!E10</t>
        </r>
      </text>
    </comment>
    <comment ref="F12" authorId="0" shapeId="0" xr:uid="{00000000-0006-0000-0700-000007000000}">
      <text>
        <r>
          <rPr>
            <sz val="11"/>
            <color theme="1"/>
            <rFont val="Aptos Narrow"/>
            <family val="2"/>
            <scheme val="minor"/>
          </rPr>
          <t>Ri=1.0 ALTO · Espacios públicos y recreación cantonal · Art. 264.7 CRE · COOTAD Art. 55 lit. g</t>
        </r>
      </text>
    </comment>
    <comment ref="H12" authorId="0" shapeId="0" xr:uid="{42ECBB14-DDA6-4CAB-88E5-75EE7211E301}">
      <text>
        <r>
          <rPr>
            <b/>
            <sz val="9"/>
            <color indexed="81"/>
            <rFont val="Tahoma"/>
            <family val="2"/>
          </rPr>
          <t>DELL:</t>
        </r>
        <r>
          <rPr>
            <sz val="9"/>
            <color indexed="81"/>
            <rFont val="Tahoma"/>
            <family val="2"/>
          </rPr>
          <t xml:space="preserve">
Pi = PONDER!F21 = PDOT!E11</t>
        </r>
      </text>
    </comment>
    <comment ref="F13" authorId="0" shapeId="0" xr:uid="{00000000-0006-0000-0700-000008000000}">
      <text>
        <r>
          <rPr>
            <sz val="11"/>
            <color theme="1"/>
            <rFont val="Aptos Narrow"/>
            <family val="2"/>
            <scheme val="minor"/>
          </rPr>
          <t>Ri=1.5 CRÍTICO · Infraestructura ambiental crítica PTAR · Art. 264.4 CRE · Impacto salud pública</t>
        </r>
      </text>
    </comment>
    <comment ref="H13" authorId="0" shapeId="0" xr:uid="{E47C4CE4-B15B-4C65-93A9-8AAF0D2AC8BD}">
      <text>
        <r>
          <rPr>
            <b/>
            <sz val="9"/>
            <color indexed="81"/>
            <rFont val="Tahoma"/>
            <family val="2"/>
          </rPr>
          <t>DELL:</t>
        </r>
        <r>
          <rPr>
            <sz val="9"/>
            <color indexed="81"/>
            <rFont val="Tahoma"/>
            <family val="2"/>
          </rPr>
          <t xml:space="preserve">
Pi = PONDER!F22 = PDOT!E12</t>
        </r>
      </text>
    </comment>
    <comment ref="F14" authorId="0" shapeId="0" xr:uid="{00000000-0006-0000-0700-000009000000}">
      <text>
        <r>
          <rPr>
            <sz val="11"/>
            <color theme="1"/>
            <rFont val="Aptos Narrow"/>
            <family val="2"/>
            <scheme val="minor"/>
          </rPr>
          <t>Ri=1.0 ALTO · Disposición final desechos sólidos · Art. 264.4 CRE · Regularización MAATE</t>
        </r>
      </text>
    </comment>
    <comment ref="H14" authorId="0" shapeId="0" xr:uid="{D6CD6C92-7840-45CF-9C45-95556C442AE2}">
      <text>
        <r>
          <rPr>
            <b/>
            <sz val="9"/>
            <color indexed="81"/>
            <rFont val="Tahoma"/>
            <family val="2"/>
          </rPr>
          <t>DELL:</t>
        </r>
        <r>
          <rPr>
            <sz val="9"/>
            <color indexed="81"/>
            <rFont val="Tahoma"/>
            <family val="2"/>
          </rPr>
          <t xml:space="preserve">
Pi = PONDER!F23 = PDOT!E13</t>
        </r>
      </text>
    </comment>
    <comment ref="F15" authorId="0" shapeId="0" xr:uid="{00000000-0006-0000-0700-00000A000000}">
      <text>
        <r>
          <rPr>
            <sz val="11"/>
            <color theme="1"/>
            <rFont val="Aptos Narrow"/>
            <family val="2"/>
            <scheme val="minor"/>
          </rPr>
          <t>Ri=0.5 MEDIO · Áreas verdes y espacio público urbano · Función complementaria ambiental</t>
        </r>
      </text>
    </comment>
    <comment ref="H15" authorId="0" shapeId="0" xr:uid="{01896C96-2424-4963-9DB0-37F8D0A18E0F}">
      <text>
        <r>
          <rPr>
            <b/>
            <sz val="9"/>
            <color indexed="81"/>
            <rFont val="Tahoma"/>
            <family val="2"/>
          </rPr>
          <t>DELL:</t>
        </r>
        <r>
          <rPr>
            <sz val="9"/>
            <color indexed="81"/>
            <rFont val="Tahoma"/>
            <family val="2"/>
          </rPr>
          <t xml:space="preserve">
Pi = PONDER!F24 = PDOT!E14</t>
        </r>
      </text>
    </comment>
    <comment ref="F16" authorId="0" shapeId="0" xr:uid="{00000000-0006-0000-0700-00000B000000}">
      <text>
        <r>
          <rPr>
            <sz val="11"/>
            <color theme="1"/>
            <rFont val="Aptos Narrow"/>
            <family val="2"/>
            <scheme val="minor"/>
          </rPr>
          <t>Ri=0.5 MEDIO · Gestión catastral y SIT institucional · Función administrativa</t>
        </r>
      </text>
    </comment>
    <comment ref="H16" authorId="0" shapeId="0" xr:uid="{B98BA2A5-C90C-4448-A485-AEDA0C242D58}">
      <text>
        <r>
          <rPr>
            <b/>
            <sz val="9"/>
            <color indexed="81"/>
            <rFont val="Tahoma"/>
            <family val="2"/>
          </rPr>
          <t>DELL:</t>
        </r>
        <r>
          <rPr>
            <sz val="9"/>
            <color indexed="81"/>
            <rFont val="Tahoma"/>
            <family val="2"/>
          </rPr>
          <t xml:space="preserve">
Pi = PONDER!F25 = PDOT!E15</t>
        </r>
      </text>
    </comment>
    <comment ref="F17" authorId="0" shapeId="0" xr:uid="{00000000-0006-0000-0700-00000C000000}">
      <text>
        <r>
          <rPr>
            <sz val="11"/>
            <color theme="1"/>
            <rFont val="Aptos Narrow"/>
            <family val="2"/>
            <scheme val="minor"/>
          </rPr>
          <t>Ri=0.5 MEDIO · Planes estratégicos institucionales SIL-PUGS · Planificación interna</t>
        </r>
      </text>
    </comment>
    <comment ref="H17" authorId="0" shapeId="0" xr:uid="{49CFE84B-1EB4-458C-ACD9-28C1BC7BDD2C}">
      <text>
        <r>
          <rPr>
            <b/>
            <sz val="9"/>
            <color indexed="81"/>
            <rFont val="Tahoma"/>
            <family val="2"/>
          </rPr>
          <t>DELL:</t>
        </r>
        <r>
          <rPr>
            <sz val="9"/>
            <color indexed="81"/>
            <rFont val="Tahoma"/>
            <family val="2"/>
          </rPr>
          <t xml:space="preserve">
Pi = PONDER!F26 = PDOT!E16</t>
        </r>
      </text>
    </comment>
    <comment ref="F18" authorId="0" shapeId="0" xr:uid="{00000000-0006-0000-0700-00000D000000}">
      <text>
        <r>
          <rPr>
            <sz val="11"/>
            <color theme="1"/>
            <rFont val="Aptos Narrow"/>
            <family val="2"/>
            <scheme val="minor"/>
          </rPr>
          <t>Ri=1.0 ALTO · Derecho a vivienda digna · Art. 30 CRE · Déficit habitacional cantonal</t>
        </r>
      </text>
    </comment>
    <comment ref="H18" authorId="0" shapeId="0" xr:uid="{3A0493D5-CBD9-49F6-A0FF-80A18F2D4D06}">
      <text>
        <r>
          <rPr>
            <b/>
            <sz val="9"/>
            <color indexed="81"/>
            <rFont val="Tahoma"/>
            <family val="2"/>
          </rPr>
          <t>DELL:</t>
        </r>
        <r>
          <rPr>
            <sz val="9"/>
            <color indexed="81"/>
            <rFont val="Tahoma"/>
            <family val="2"/>
          </rPr>
          <t xml:space="preserve">
Pi = PONDER!F27 = PDOT!E17</t>
        </r>
      </text>
    </comment>
    <comment ref="F19" authorId="0" shapeId="0" xr:uid="{00000000-0006-0000-0700-00000E000000}">
      <text>
        <r>
          <rPr>
            <sz val="11"/>
            <color theme="1"/>
            <rFont val="Aptos Narrow"/>
            <family val="2"/>
            <scheme val="minor"/>
          </rPr>
          <t>Ri=0.5 MEDIO · Cultura y patrimonio · Art. 57 CRE · Catastro RUAC artistas</t>
        </r>
      </text>
    </comment>
    <comment ref="H19" authorId="0" shapeId="0" xr:uid="{1F6A296A-CD1B-457D-AAAA-0E3189ADF752}">
      <text>
        <r>
          <rPr>
            <b/>
            <sz val="9"/>
            <color indexed="81"/>
            <rFont val="Tahoma"/>
            <family val="2"/>
          </rPr>
          <t>DELL:</t>
        </r>
        <r>
          <rPr>
            <sz val="9"/>
            <color indexed="81"/>
            <rFont val="Tahoma"/>
            <family val="2"/>
          </rPr>
          <t xml:space="preserve">
Pi = PONDER!F28 = PDOT!E18</t>
        </r>
      </text>
    </comment>
    <comment ref="F20" authorId="0" shapeId="0" xr:uid="{00000000-0006-0000-0700-00000F000000}">
      <text>
        <r>
          <rPr>
            <sz val="11"/>
            <color theme="1"/>
            <rFont val="Aptos Narrow"/>
            <family val="2"/>
            <scheme val="minor"/>
          </rPr>
          <t>Ri=0.5 MEDIO · Fomento productivo local · Ferias y emprendimiento · Diversificación económica</t>
        </r>
      </text>
    </comment>
    <comment ref="H20" authorId="0" shapeId="0" xr:uid="{74DC6E20-303F-4ED0-A028-1CA7B50FA843}">
      <text>
        <r>
          <rPr>
            <b/>
            <sz val="9"/>
            <color indexed="81"/>
            <rFont val="Tahoma"/>
            <family val="2"/>
          </rPr>
          <t>DELL:</t>
        </r>
        <r>
          <rPr>
            <sz val="9"/>
            <color indexed="81"/>
            <rFont val="Tahoma"/>
            <family val="2"/>
          </rPr>
          <t xml:space="preserve">
Pi = PONDER!F29 = PDOT!E19</t>
        </r>
      </text>
    </comment>
    <comment ref="F21" authorId="0" shapeId="0" xr:uid="{00000000-0006-0000-0700-000010000000}">
      <text>
        <r>
          <rPr>
            <sz val="11"/>
            <color theme="1"/>
            <rFont val="Aptos Narrow"/>
            <family val="2"/>
            <scheme val="minor"/>
          </rPr>
          <t>Ri=0.5 MEDIO · Patrimonio cultural identitario · Ciudad Creativa UNESCO · Museo Sombrero</t>
        </r>
      </text>
    </comment>
    <comment ref="H21" authorId="0" shapeId="0" xr:uid="{BEB66B54-14BB-4E49-B457-C99D3598CCFB}">
      <text>
        <r>
          <rPr>
            <b/>
            <sz val="9"/>
            <color indexed="81"/>
            <rFont val="Tahoma"/>
            <family val="2"/>
          </rPr>
          <t>DELL:</t>
        </r>
        <r>
          <rPr>
            <sz val="9"/>
            <color indexed="81"/>
            <rFont val="Tahoma"/>
            <family val="2"/>
          </rPr>
          <t xml:space="preserve">
Pi = PONDER!F30 = PDOT!E20</t>
        </r>
      </text>
    </comment>
    <comment ref="F22" authorId="0" shapeId="0" xr:uid="{00000000-0006-0000-0700-000011000000}">
      <text>
        <r>
          <rPr>
            <sz val="11"/>
            <color theme="1"/>
            <rFont val="Aptos Narrow"/>
            <family val="2"/>
            <scheme val="minor"/>
          </rPr>
          <t>Ri=1.0 ALTO · Seguridad vial y transporte público · Art. 393 CRE · COOTAD Art. 54 lit. n</t>
        </r>
      </text>
    </comment>
    <comment ref="H22" authorId="0" shapeId="0" xr:uid="{0FF8CCC1-0744-4FB6-B497-E30747655448}">
      <text>
        <r>
          <rPr>
            <b/>
            <sz val="9"/>
            <color indexed="81"/>
            <rFont val="Tahoma"/>
            <family val="2"/>
          </rPr>
          <t>DELL:</t>
        </r>
        <r>
          <rPr>
            <sz val="9"/>
            <color indexed="81"/>
            <rFont val="Tahoma"/>
            <family val="2"/>
          </rPr>
          <t xml:space="preserve">
Pi = PONDER!F31 = PDOT!E21</t>
        </r>
      </text>
    </comment>
    <comment ref="F23" authorId="0" shapeId="0" xr:uid="{00000000-0006-0000-0700-000012000000}">
      <text>
        <r>
          <rPr>
            <sz val="11"/>
            <color theme="1"/>
            <rFont val="Aptos Narrow"/>
            <family val="2"/>
            <scheme val="minor"/>
          </rPr>
          <t>Ri=1.0 ALTO · Indicadores territoriales salud-social grupos vulnerables · Art. 35 CRE</t>
        </r>
      </text>
    </comment>
    <comment ref="H23" authorId="0" shapeId="0" xr:uid="{CE07FFCC-FA4C-4CCE-9285-881D733ECCB3}">
      <text>
        <r>
          <rPr>
            <b/>
            <sz val="9"/>
            <color indexed="81"/>
            <rFont val="Tahoma"/>
            <family val="2"/>
          </rPr>
          <t>DELL:</t>
        </r>
        <r>
          <rPr>
            <sz val="9"/>
            <color indexed="81"/>
            <rFont val="Tahoma"/>
            <family val="2"/>
          </rPr>
          <t xml:space="preserve">
Pi = PONDER!F32 = PDOT!E22</t>
        </r>
      </text>
    </comment>
    <comment ref="E24" authorId="0" shapeId="0" xr:uid="{00000000-0006-0000-0700-000013000000}">
      <text>
        <r>
          <rPr>
            <sz val="11"/>
            <color theme="1"/>
            <rFont val="Aptos Narrow"/>
            <family val="2"/>
            <scheme val="minor"/>
          </rPr>
          <t>DELL:
Justificación Ri=1.5: Aunque su presupuesto es el menor de la muestra ($30,000), los reservorios de agua constituyen infraestructura de provisión de un derecho constitucional (Art. 12 CRE - Derecho humano al agua). La relevancia se asigna por impacto social en derechos fundamentales, no por monto presupuestario.</t>
        </r>
      </text>
    </comment>
    <comment ref="F24" authorId="0" shapeId="0" xr:uid="{00000000-0006-0000-0700-000014000000}">
      <text>
        <r>
          <rPr>
            <sz val="11"/>
            <color theme="1"/>
            <rFont val="Aptos Narrow"/>
            <family val="2"/>
            <scheme val="minor"/>
          </rPr>
          <t>Ri=0.5 MEDIO · Protección animal y sensibilización ambiental · Competencia complementaria</t>
        </r>
      </text>
    </comment>
    <comment ref="H24" authorId="0" shapeId="0" xr:uid="{037E7E3A-1A4C-4C5B-A12B-92E09FFAB361}">
      <text>
        <r>
          <rPr>
            <b/>
            <sz val="9"/>
            <color indexed="81"/>
            <rFont val="Tahoma"/>
            <family val="2"/>
          </rPr>
          <t>DELL:</t>
        </r>
        <r>
          <rPr>
            <sz val="9"/>
            <color indexed="81"/>
            <rFont val="Tahoma"/>
            <family val="2"/>
          </rPr>
          <t xml:space="preserve">
Pi = PONDER!F33 = PDOT!E23</t>
        </r>
      </text>
    </comment>
    <comment ref="G25" authorId="0" shapeId="0" xr:uid="{8B01664B-CF39-4EE8-80A5-C30FABD16EC2}">
      <text>
        <r>
          <rPr>
            <b/>
            <sz val="9"/>
            <color indexed="81"/>
            <rFont val="Tahoma"/>
            <family val="2"/>
          </rPr>
          <t>DELL:</t>
        </r>
        <r>
          <rPr>
            <sz val="9"/>
            <color indexed="81"/>
            <rFont val="Tahoma"/>
            <family val="2"/>
          </rPr>
          <t xml:space="preserve">
Σ Presupuesto muestra = PDOT!L24 = $32,990,353.02</t>
        </r>
      </text>
    </comment>
    <comment ref="H25" authorId="0" shapeId="0" xr:uid="{5A47EE1C-BC57-40F5-A770-A24A0088A57A}">
      <text>
        <r>
          <rPr>
            <b/>
            <sz val="9"/>
            <color indexed="81"/>
            <rFont val="Tahoma"/>
            <family val="2"/>
          </rPr>
          <t>DELL:</t>
        </r>
        <r>
          <rPr>
            <sz val="9"/>
            <color indexed="81"/>
            <rFont val="Tahoma"/>
            <family val="2"/>
          </rPr>
          <t xml:space="preserve">
ΣPi = 0.9999 ≈ 1.000 · Verificar vs PDOT!E24</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D5" authorId="0" shapeId="0" xr:uid="{B8B65801-0264-4AF1-9F4A-D6B0EC43C840}">
      <text>
        <r>
          <rPr>
            <b/>
            <sz val="9"/>
            <color indexed="81"/>
            <rFont val="Tahoma"/>
            <family val="2"/>
          </rPr>
          <t>Fuente: Res. Adm. 0037-WWAP-GADMCM-2021. Art. 39 Estatuto Orgánico GAD Montecristi 2021. Dir. Obras Públicas. Norma vigente periodo auditado 2023-2024.</t>
        </r>
      </text>
    </comment>
    <comment ref="D6" authorId="0" shapeId="0" xr:uid="{3EAFFADC-75FD-418D-8A9A-394A505ED76E}">
      <text>
        <r>
          <rPr>
            <b/>
            <sz val="9"/>
            <color indexed="81"/>
            <rFont val="Tahoma"/>
            <family val="2"/>
          </rPr>
          <t>Fuente: Ordenanza de Creación del Patronato Municipal de Amparo Social. Art. 69 EO 2021 referencia coordinación con Patronato. COOTAD Art. 388.</t>
        </r>
      </text>
    </comment>
    <comment ref="D7" authorId="0" shapeId="0" xr:uid="{7CF4CFFE-37C1-46F1-9F2D-0B49194C02F9}">
      <text>
        <r>
          <rPr>
            <b/>
            <sz val="9"/>
            <color indexed="81"/>
            <rFont val="Tahoma"/>
            <family val="2"/>
          </rPr>
          <t>Fuente: Res. Adm. 0037-WWAP-GADMCM-2021. Art. 24 Planificación Institucional y Art. 45 Dir. Planificación Control y Ordenamiento Territorial. Norma vigente 2023-2024.</t>
        </r>
      </text>
    </comment>
    <comment ref="D8" authorId="0" shapeId="0" xr:uid="{0EE52D32-DAD8-498B-8A6D-1B1C12142D34}">
      <text>
        <r>
          <rPr>
            <b/>
            <sz val="9"/>
            <color indexed="81"/>
            <rFont val="Tahoma"/>
            <family val="2"/>
          </rPr>
          <t>Fuente: Res. Adm. 0037-WWAP-GADMCM-2021. Art. 51 Dir. Espacios Públicos, Justicia y Vigilancia. Norma vigente 2023-2024.</t>
        </r>
      </text>
    </comment>
    <comment ref="D9" authorId="0" shapeId="0" xr:uid="{3B45A80F-9276-4532-B6F4-E0906F401618}">
      <text>
        <r>
          <rPr>
            <b/>
            <sz val="9"/>
            <color indexed="81"/>
            <rFont val="Tahoma"/>
            <family val="2"/>
          </rPr>
          <t>Fuente: Res. Adm. 0037-WWAP-GADMCM-2021. Art. 69 Dir. Acción e Inclusión Social y Comunitaria. REINSTAURADA: Dirección GAD directa. Ci=1.0. Misión: promover desarrollo económico y calidad de vida mediante intervención social, atención grupos vulnerables.</t>
        </r>
      </text>
    </comment>
    <comment ref="G9" authorId="0" shapeId="0" xr:uid="{84660F3F-CCCA-47AE-8FCE-4FE84A6A3A48}">
      <text>
        <r>
          <rPr>
            <b/>
            <sz val="9"/>
            <color indexed="81"/>
            <rFont val="Tahoma"/>
            <family val="2"/>
          </rPr>
          <t>DELL:</t>
        </r>
        <r>
          <rPr>
            <sz val="9"/>
            <color indexed="81"/>
            <rFont val="Tahoma"/>
            <family val="2"/>
          </rPr>
          <t xml:space="preserve">
Ci=1.0 REINSTAURADO: Art. 69 EO 2021 (Res. 0037-WWAP-GADMCM-2021). Dir. Acción e Inclusión Social y Comunitaria es Dirección GAD directa — Proceso Agregador de Valor. Norma vigente periodo auditado 2023-2024. Las metas sociales (geriátrico, grupos vulnerables) se asignan a esta Dirección.</t>
        </r>
      </text>
    </comment>
    <comment ref="D10" authorId="0" shapeId="0" xr:uid="{6270C0E7-DB7C-4D3B-9432-6AF367609BCB}">
      <text>
        <r>
          <rPr>
            <b/>
            <sz val="9"/>
            <color indexed="81"/>
            <rFont val="Tahoma"/>
            <family val="2"/>
          </rPr>
          <t>Fuente: Res. Adm. 0037-WWAP-GADMCM-2021. Art. 39 Dir. Obras Públicas. Norma vigente 2023-2024.</t>
        </r>
      </text>
    </comment>
    <comment ref="D11" authorId="0" shapeId="0" xr:uid="{328B29F0-0C28-417F-8548-4D763668B760}">
      <text>
        <r>
          <rPr>
            <b/>
            <sz val="9"/>
            <color indexed="81"/>
            <rFont val="Tahoma"/>
            <family val="2"/>
          </rPr>
          <t>Fuente: Ordenanza de Creación del Patronato Municipal. COOTAD Art. 388.</t>
        </r>
      </text>
    </comment>
    <comment ref="D12" authorId="0" shapeId="0" xr:uid="{6BB45173-65CB-44CC-84B3-712F5CB353D0}">
      <text>
        <r>
          <rPr>
            <b/>
            <sz val="9"/>
            <color indexed="81"/>
            <rFont val="Tahoma"/>
            <family val="2"/>
          </rPr>
          <t>Fuente: Res. Adm. 0037-WWAP-GADMCM-2021. Art. 54 Dir. de Gestión Ambiental. CONFIRMADO: Dirección GAD directa — Proceso Agregador de Valor. Ci=1.0. Alerta AMB-07 RESUELTA definitivamente con EO 2021.</t>
        </r>
      </text>
    </comment>
    <comment ref="F12" authorId="0" shapeId="0" xr:uid="{EC28D78D-04B2-470C-BC95-216E3B0B2AB7}">
      <text>
        <r>
          <rPr>
            <b/>
            <sz val="9"/>
            <color indexed="81"/>
            <rFont val="Tahoma"/>
            <family val="2"/>
          </rPr>
          <t>CONFIRMADO EO 2021: Art. 54 define Dir. Gestión Ambiental como Proceso Agregador de Valor GAD directo. No es convenio ni adscrita. Ci=1.0.</t>
        </r>
      </text>
    </comment>
    <comment ref="G12" authorId="0" shapeId="0" xr:uid="{00000000-0006-0000-0800-000001000000}">
      <text>
        <r>
          <rPr>
            <sz val="11"/>
            <color theme="1"/>
            <rFont val="Aptos Narrow"/>
            <family val="2"/>
            <scheme val="minor"/>
          </rPr>
          <t>Ci=1.0 CONFIRMADO EO 2021: Art. 54 Estatuto Orgánico 2021 (Res. 0037-WWAP-GADMCM-2021). Dir. Gestión Ambiental es Dirección GAD directa — Proceso Agregador de Valor. Alerta AMB-07 RESUELTA definitivamente con base legal 2021.</t>
        </r>
      </text>
    </comment>
    <comment ref="D13" authorId="0" shapeId="0" xr:uid="{B4F5E08E-6123-48C7-B5F4-795332BFE22A}">
      <text>
        <r>
          <rPr>
            <b/>
            <sz val="9"/>
            <color indexed="81"/>
            <rFont val="Tahoma"/>
            <family val="2"/>
          </rPr>
          <t>Fuente: Res. Adm. 0037-WWAP-GADMCM-2021. Art. 39 Dir. Obras Públicas.</t>
        </r>
      </text>
    </comment>
    <comment ref="D14" authorId="0" shapeId="0" xr:uid="{8CDD191C-63E7-4EC9-A823-0DBC6F0D1A47}">
      <text>
        <r>
          <rPr>
            <b/>
            <sz val="9"/>
            <color indexed="81"/>
            <rFont val="Tahoma"/>
            <family val="2"/>
          </rPr>
          <t>Fuente: Ordenanza de Creación del Patronato Municipal. COOTAD Art. 388.</t>
        </r>
      </text>
    </comment>
    <comment ref="D15" authorId="0" shapeId="0" xr:uid="{9877AF2B-C194-465B-9A63-AA99F5240C36}">
      <text>
        <r>
          <rPr>
            <b/>
            <sz val="9"/>
            <color indexed="81"/>
            <rFont val="Tahoma"/>
            <family val="2"/>
          </rPr>
          <t>EP Aseo Integral Montecristi: Empresa Pública Municipal bajo LOEP. No figura en EO 2021 (Res. 0037). Tiene Estatuto propio. Ci=0.75 estándar EP.</t>
        </r>
      </text>
    </comment>
    <comment ref="G15" authorId="0" shapeId="0" xr:uid="{34E25BAE-9DCA-4174-B710-0EF86624AAF5}">
      <text>
        <r>
          <rPr>
            <b/>
            <sz val="9"/>
            <color indexed="81"/>
            <rFont val="Tahoma"/>
            <family val="2"/>
          </rPr>
          <t>Ci=0.75: EP Aseo Integral Montecristi — Empresa Pública bajo LOEP con autonomía plena. No figura en EO 2021 (Res. 0037); tiene Estatuto propio. Estándar SIAP-ICPI para EPs.</t>
        </r>
      </text>
    </comment>
    <comment ref="D16" authorId="0" shapeId="0" xr:uid="{E75CF2A6-6C41-4273-AC8B-308E00474BCB}">
      <text>
        <r>
          <rPr>
            <b/>
            <sz val="9"/>
            <color indexed="81"/>
            <rFont val="Tahoma"/>
            <family val="2"/>
          </rPr>
          <t>Fuente: Res. Adm. 0037-WWAP-GADMCM-2021. Art. 39 Dir. Obras Públicas.</t>
        </r>
      </text>
    </comment>
    <comment ref="D17" authorId="0" shapeId="0" xr:uid="{D07EA5B0-918B-4D26-9611-CC3B8B3417F1}">
      <text>
        <r>
          <rPr>
            <b/>
            <sz val="9"/>
            <color indexed="81"/>
            <rFont val="Tahoma"/>
            <family val="2"/>
          </rPr>
          <t>Fuente: Res. Adm. 0037-WWAP-GADMCM-2021. Art. 94 Tecnologías de la Información y Comunicación (TICs), subproceso de la Dirección Administrativa (Art. 87). Proceso Habilitante de Apoyo. Ci=1.0 GAD directo.</t>
        </r>
      </text>
    </comment>
    <comment ref="D18" authorId="0" shapeId="0" xr:uid="{A8C4597C-72C0-4973-B113-CE381CA0E4EB}">
      <text>
        <r>
          <rPr>
            <b/>
            <sz val="9"/>
            <color indexed="81"/>
            <rFont val="Tahoma"/>
            <family val="2"/>
          </rPr>
          <t>Fuente: Res. Adm. 0037-WWAP-GADMCM-2021. Art. 94 TICs, subproceso Dir. Administrativa. Ci=1.0.</t>
        </r>
      </text>
    </comment>
    <comment ref="D19" authorId="0" shapeId="0" xr:uid="{1419DEAF-308B-41E4-B833-A29768B29B81}">
      <text>
        <r>
          <rPr>
            <b/>
            <sz val="9"/>
            <color indexed="81"/>
            <rFont val="Tahoma"/>
            <family val="2"/>
          </rPr>
          <t>Fuente: Res. Adm. 0037-WWAP-GADMCM-2021. Art. 48 Dir. Avalúos y Catastros. Nombre vigente en periodo 2023-2024. Proceso Agregador de Valor. Ci=1.0.</t>
        </r>
      </text>
    </comment>
    <comment ref="D20" authorId="0" shapeId="0" xr:uid="{E87F0BD9-119A-4515-A085-EEE2EF0BD4C8}">
      <text>
        <r>
          <rPr>
            <b/>
            <sz val="9"/>
            <color indexed="81"/>
            <rFont val="Tahoma"/>
            <family val="2"/>
          </rPr>
          <t>Entidad externa bajo convenio MSP. Sin artículo en EO 2021.</t>
        </r>
      </text>
    </comment>
    <comment ref="D21" authorId="0" shapeId="0" xr:uid="{63588AB6-8296-4DCD-9699-67319FCE2325}">
      <text>
        <r>
          <rPr>
            <b/>
            <sz val="9"/>
            <color indexed="81"/>
            <rFont val="Tahoma"/>
            <family val="2"/>
          </rPr>
          <t>Fuente: Res. Adm. 0037-WWAP-GADMCM-2021. Art. 66 Dir. Desarrollo Turístico. Ci=0.9 unidad dependiente.</t>
        </r>
      </text>
    </comment>
    <comment ref="D22" authorId="0" shapeId="0" xr:uid="{DBD2DC48-6485-4CD6-970F-41BE612F49BC}">
      <text>
        <r>
          <rPr>
            <b/>
            <sz val="9"/>
            <color indexed="81"/>
            <rFont val="Tahoma"/>
            <family val="2"/>
          </rPr>
          <t>Fuente: Res. Adm. 0037-WWAP-GADMCM-2021. Art. 39 Dir. Obras Públicas.</t>
        </r>
      </text>
    </comment>
    <comment ref="D23" authorId="0" shapeId="0" xr:uid="{5E690E69-9BC5-40F9-B7A0-6B3B4CE17CCC}">
      <text>
        <r>
          <rPr>
            <b/>
            <sz val="9"/>
            <color indexed="81"/>
            <rFont val="Tahoma"/>
            <family val="2"/>
          </rPr>
          <t>Fuente: Res. Adm. 0037-WWAP-GADMCM-2021. Art. 42 Dir. Agua Potable y Alcantarillado Sanitario. Proceso Agregador de Valor. Ci=1.0.</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tc={BA55E3F4-A4F1-4C0C-8C0D-A42BA50D23BB}</author>
    <author>tc={E6B999E2-DBC4-4277-A875-8E425395E778}</author>
    <author>tc={BB1CD930-C0A4-4BCD-BABB-F20EC54FB3EE}</author>
    <author>DELL</author>
    <author>tc={ACFB83D3-C8D3-478B-B6E0-5FF303726E58}</author>
  </authors>
  <commentList>
    <comment ref="F4" authorId="0" shapeId="0" xr:uid="{BA55E3F4-A4F1-4C0C-8C0D-A42BA50D23BB}">
      <text>
        <t>[Comentario encadenado]
Tu versión de Excel te permite leer este comentario encadenado; sin embargo, las ediciones que se apliquen se quitarán si el archivo se abre en una versión más reciente de Excel. Más información: https://go.microsoft.com/fwlink/?linkid=870924
Comentario:
    ENCABEZADO CRITICO — 'Vi'
Motor ICPI y MVCI lo localizan via MATCH('Vi', A4:P4, 0).
Si se renombra, todos los Vi devuelven 1 (default), inflando el ICPI.
No renombrar sin actualizar ICPI!E5:E24 y MVCI!E6:E25.</t>
      </text>
    </comment>
    <comment ref="H4" authorId="1" shapeId="0" xr:uid="{E6B999E2-DBC4-4277-A875-8E425395E778}">
      <text>
        <t>[Comentario encadenado]
Tu versión de Excel te permite leer este comentario encadenado; sin embargo, las ediciones que se apliquen se quitarán si el archivo se abre en una versión más reciente de Excel. Más información: https://go.microsoft.com/fwlink/?linkid=870924
Comentario:
    ENCABEZADO CRITICO — 'Ti (H)'
Motor ICPI y MVCI lo localizan via MATCH('Ti (H)', A4:P4, 0).
Si se renombra, todos los Ti devuelven 0, desinflando el ICPI.
No renombrar sin actualizar ICPI!F5:F24 y MVCI!I6:I24.</t>
      </text>
    </comment>
    <comment ref="P4" authorId="2" shapeId="0" xr:uid="{BB1CD930-C0A4-4BCD-BABB-F20EC54FB3EE}">
      <text>
        <t>[Comentario encadenado]
Tu versión de Excel te permite leer este comentario encadenado; sin embargo, las ediciones que se apliquen se quitarán si el archivo se abre en una versión más reciente de Excel. Más información: https://go.microsoft.com/fwlink/?linkid=870924
Comentario:
    ENCABEZADO CRITICO — 'Pi / Ci'
Motor ICPI localiza Ci via MATCH('Pi / Ci', A4:P4, 0).
Si se renombra, todos los Ci devuelven 1 (default).
No renombrar sin actualizar ICPI!I5:I24.</t>
      </text>
    </comment>
    <comment ref="G5" authorId="3" shapeId="0" xr:uid="{00000000-0006-0000-0A00-000001000000}">
      <text>
        <r>
          <rPr>
            <sz val="11"/>
            <color theme="1"/>
            <rFont val="Aptos Narrow"/>
            <family val="2"/>
            <scheme val="minor"/>
          </rPr>
          <t>DELL:
Ejecución directa GAD - Alcantarillado</t>
        </r>
      </text>
    </comment>
    <comment ref="H5" authorId="3" shapeId="0" xr:uid="{00000000-0006-0000-0A00-000002000000}">
      <text>
        <r>
          <rPr>
            <sz val="11"/>
            <color theme="1"/>
            <rFont val="Aptos Narrow"/>
            <family val="2"/>
            <scheme val="minor"/>
          </rPr>
          <t>DELL:
ACTUALIZADO con RDC 2023 y 2024 (CPCCS)
RDC 2023: 11,991m lineales tubería alcantarillado Cerro Guayabal, 477 predios, ~2,500 personas.
RDC 2024: Contratos en inicio para Colorado, Paola 1, Paola 2, Antonella, El Padrino + estudios definitivos AASS Fase I Gral. Eloy Alfaro.
Fuente: Informe RDC 2023 N°17649 pág.4; RDC 2024 N°22844 pág.3 y pág.12.
Fecha actualización: 22/02/2025</t>
        </r>
      </text>
    </comment>
    <comment ref="K5" authorId="3" shapeId="0" xr:uid="{00000000-0006-0000-0A00-000003000000}">
      <text>
        <r>
          <rPr>
            <sz val="11"/>
            <color theme="1"/>
            <rFont val="Aptos Narrow"/>
            <family val="2"/>
            <scheme val="minor"/>
          </rPr>
          <t>Vi auditor manual — ver col F</t>
        </r>
      </text>
    </comment>
    <comment ref="L5" authorId="3" shapeId="0" xr:uid="{00000000-0006-0000-0A00-000004000000}">
      <text>
        <r>
          <rPr>
            <sz val="11"/>
            <color theme="1"/>
            <rFont val="Aptos Narrow"/>
            <family val="2"/>
            <scheme val="minor"/>
          </rPr>
          <t>Ti auditor manual — ver col H</t>
        </r>
      </text>
    </comment>
    <comment ref="M5" authorId="3" shapeId="0" xr:uid="{00000000-0006-0000-0A00-000005000000}">
      <text>
        <r>
          <rPr>
            <sz val="11"/>
            <color theme="1"/>
            <rFont val="Aptos Narrow"/>
            <family val="2"/>
            <scheme val="minor"/>
          </rPr>
          <t>DELL:
Fuentes activas para esta promesa. Muestra qué secciones de B2-SEPP tienen datos numéricos confirmados (devengado &gt; 0).</t>
        </r>
      </text>
    </comment>
    <comment ref="N5" authorId="3" shapeId="0" xr:uid="{00000000-0006-0000-0A00-000006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F6" authorId="3" shapeId="0" xr:uid="{00000000-0006-0000-0A00-000007000000}">
      <text>
        <r>
          <rPr>
            <sz val="11"/>
            <color theme="1"/>
            <rFont val="Aptos Narrow"/>
            <family val="2"/>
            <scheme val="minor"/>
          </rPr>
          <t>DELL:
CONFIRMADO Vi=0 con RDC 2024 (CPCCS)
RDC 2024: Hay gestiones (terreno identificado, anteproyecto ULEAM) pero NO hay proceso SERCOP formal ni escrituras. Vi sigue en 0 (no hay soporte documental de ejecución).
Fuente: Informe RDC 2024 N°22844 pág.11.
Fecha: 22/02/2025</t>
        </r>
      </text>
    </comment>
    <comment ref="G6" authorId="3" shapeId="0" xr:uid="{00000000-0006-0000-0A00-000008000000}">
      <text>
        <r>
          <rPr>
            <sz val="11"/>
            <color theme="1"/>
            <rFont val="Aptos Narrow"/>
            <family val="2"/>
            <scheme val="minor"/>
          </rPr>
          <t>DELL:
Vía entidad (MIDUVI/cooperación) - Centro Salud</t>
        </r>
      </text>
    </comment>
    <comment ref="H6" authorId="3" shapeId="0" xr:uid="{00000000-0006-0000-0A00-000009000000}">
      <text>
        <r>
          <rPr>
            <sz val="11"/>
            <color theme="1"/>
            <rFont val="Aptos Narrow"/>
            <family val="2"/>
            <scheme val="minor"/>
          </rPr>
          <t>DELL:
ACTUALIZADO Ti con RDC 2024 (CPCCS)
RDC 2024 pág.11: Terreno identificado propiedad MSP + diseño anteproyecto solicitado a ULEAM + acercamientos con MSP para convenio. Es la promesa de mayor potencial: si llega convenio/SERCOP, saltará a 0.40+.
Fuente: Informe RDC 2024 N°22844 pág.11.
Fecha: 22/02/2025</t>
        </r>
      </text>
    </comment>
    <comment ref="K6" authorId="3" shapeId="0" xr:uid="{00000000-0006-0000-0A00-00000A000000}">
      <text>
        <r>
          <rPr>
            <sz val="11"/>
            <color theme="1"/>
            <rFont val="Aptos Narrow"/>
            <family val="2"/>
            <scheme val="minor"/>
          </rPr>
          <t>Vi auditor manual — ver col F. Vi=0 confirmado: sin soporte documental proceso SERCOP</t>
        </r>
      </text>
    </comment>
    <comment ref="L6" authorId="3" shapeId="0" xr:uid="{00000000-0006-0000-0A00-00000B000000}">
      <text>
        <r>
          <rPr>
            <sz val="11"/>
            <color theme="1"/>
            <rFont val="Aptos Narrow"/>
            <family val="2"/>
            <scheme val="minor"/>
          </rPr>
          <t>Ti auditor manual — ver col H</t>
        </r>
      </text>
    </comment>
    <comment ref="M6" authorId="3" shapeId="0" xr:uid="{00000000-0006-0000-0A00-00000C000000}">
      <text>
        <r>
          <rPr>
            <sz val="11"/>
            <color theme="1"/>
            <rFont val="Aptos Narrow"/>
            <family val="2"/>
            <scheme val="minor"/>
          </rPr>
          <t>DELL:
Fuentes activas para esta promesa. Muestra qué secciones de B2-SEPP tienen datos numéricos confirmados (devengado &gt; 0).</t>
        </r>
      </text>
    </comment>
    <comment ref="N6" authorId="3" shapeId="0" xr:uid="{00000000-0006-0000-0A00-00000D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T6" authorId="3" shapeId="0" xr:uid="{00000000-0006-0000-0A00-00000E000000}">
      <text>
        <r>
          <rPr>
            <sz val="11"/>
            <color theme="1"/>
            <rFont val="Aptos Narrow"/>
            <family val="2"/>
            <scheme val="minor"/>
          </rPr>
          <t>DELL:
Ti SOC-02 ahora referenciado dinámicamente desde L-CEDULAS col Q. Cédula Patronato Dic.2024: Dev=$62.560,59 / Codif=$131.323,59 = Ti=47,6%. COPFP Art.111.</t>
        </r>
      </text>
    </comment>
    <comment ref="G7" authorId="3" shapeId="0" xr:uid="{00000000-0006-0000-0A00-00000F000000}">
      <text>
        <r>
          <rPr>
            <sz val="11"/>
            <color theme="1"/>
            <rFont val="Aptos Narrow"/>
            <family val="2"/>
            <scheme val="minor"/>
          </rPr>
          <t>DELL:
Ejecución directa GAD - Terminal</t>
        </r>
      </text>
    </comment>
    <comment ref="H7" authorId="3" shapeId="0" xr:uid="{00000000-0006-0000-0A00-000010000000}">
      <text>
        <r>
          <rPr>
            <sz val="11"/>
            <color theme="1"/>
            <rFont val="Aptos Narrow"/>
            <family val="2"/>
            <scheme val="minor"/>
          </rPr>
          <t>DELL:
ACTUALIZADO Ti con RDC 2023 (CPCCS)
RDC 2023 pág.4: Informe de necesidad para estudio de macro movilidad que defina ubicación y modelo de gestión del nuevo terminal. Etapa de planificación documentada.
RDC 2024: Sin mención del terminal terrestre.
Fuente: Informe RDC 2023 N°17649 pág.4.
Fecha: 22/02/2025</t>
        </r>
      </text>
    </comment>
    <comment ref="K7" authorId="3" shapeId="0" xr:uid="{00000000-0006-0000-0A00-000011000000}">
      <text>
        <r>
          <rPr>
            <sz val="11"/>
            <color theme="1"/>
            <rFont val="Aptos Narrow"/>
            <family val="2"/>
            <scheme val="minor"/>
          </rPr>
          <t>Vi auditor manual — ver col F</t>
        </r>
      </text>
    </comment>
    <comment ref="L7" authorId="3" shapeId="0" xr:uid="{00000000-0006-0000-0A00-000012000000}">
      <text>
        <r>
          <rPr>
            <sz val="11"/>
            <color theme="1"/>
            <rFont val="Aptos Narrow"/>
            <family val="2"/>
            <scheme val="minor"/>
          </rPr>
          <t>Ti auditor manual — ver col H</t>
        </r>
      </text>
    </comment>
    <comment ref="M7" authorId="3" shapeId="0" xr:uid="{00000000-0006-0000-0A00-000013000000}">
      <text>
        <r>
          <rPr>
            <sz val="11"/>
            <color theme="1"/>
            <rFont val="Aptos Narrow"/>
            <family val="2"/>
            <scheme val="minor"/>
          </rPr>
          <t>DELL:
Fuentes activas para esta promesa. Muestra qué secciones de B2-SEPP tienen datos numéricos confirmados (devengado &gt; 0).</t>
        </r>
      </text>
    </comment>
    <comment ref="N7" authorId="3" shapeId="0" xr:uid="{00000000-0006-0000-0A00-000014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F8" authorId="3" shapeId="0" xr:uid="{00000000-0006-0000-0A00-000015000000}">
      <text>
        <r>
          <rPr>
            <sz val="11"/>
            <color theme="1"/>
            <rFont val="Aptos Narrow"/>
            <family val="2"/>
            <scheme val="minor"/>
          </rPr>
          <t>DELL:
CONFIRMADO Vi=0 con RDC 2024 (CPCCS)
RDC 2024 pág.3: "Se Despriorizó la construcción de un camal". El terreno que se tenía previsto se reorienta a plaza comercial para comerciantes informales.
Fuente: Informe RDC 2024 N°22844 pág.3.
Fecha: 22/02/2025</t>
        </r>
      </text>
    </comment>
    <comment ref="G8" authorId="3" shapeId="0" xr:uid="{00000000-0006-0000-0A00-000016000000}">
      <text>
        <r>
          <rPr>
            <sz val="11"/>
            <color theme="1"/>
            <rFont val="Aptos Narrow"/>
            <family val="2"/>
            <scheme val="minor"/>
          </rPr>
          <t>DELL:
Ejecución directa GAD - Camal</t>
        </r>
      </text>
    </comment>
    <comment ref="H8" authorId="3" shapeId="0" xr:uid="{00000000-0006-0000-0A00-000017000000}">
      <text>
        <r>
          <rPr>
            <sz val="11"/>
            <color theme="1"/>
            <rFont val="Aptos Narrow"/>
            <family val="2"/>
            <scheme val="minor"/>
          </rPr>
          <t>DELL:
CONFIRMADO Ti=0 con RDC 2024 (CPCCS)
RDC 2024 pág.3: Promesa desprioritizada oficialmente. Sin avance ni estudio de viabilidad aprobado. El terreno se destina a otro uso.
Fuente: Informe RDC 2024 N°22844 pág.3.
Fecha: 22/02/2025</t>
        </r>
      </text>
    </comment>
    <comment ref="K8" authorId="3" shapeId="0" xr:uid="{00000000-0006-0000-0A00-000018000000}">
      <text>
        <r>
          <rPr>
            <sz val="11"/>
            <color theme="1"/>
            <rFont val="Aptos Narrow"/>
            <family val="2"/>
            <scheme val="minor"/>
          </rPr>
          <t>Vi auditor manual — ver col F. Vi=0: promesa desprioritizada RDC 2024 pág.3</t>
        </r>
      </text>
    </comment>
    <comment ref="L8" authorId="3" shapeId="0" xr:uid="{00000000-0006-0000-0A00-000019000000}">
      <text>
        <r>
          <rPr>
            <sz val="11"/>
            <color theme="1"/>
            <rFont val="Aptos Narrow"/>
            <family val="2"/>
            <scheme val="minor"/>
          </rPr>
          <t>Ti auditor manual — ver col H. Ti=0: promesa desprioritizada</t>
        </r>
      </text>
    </comment>
    <comment ref="M8" authorId="3" shapeId="0" xr:uid="{00000000-0006-0000-0A00-00001A000000}">
      <text>
        <r>
          <rPr>
            <sz val="11"/>
            <color theme="1"/>
            <rFont val="Aptos Narrow"/>
            <family val="2"/>
            <scheme val="minor"/>
          </rPr>
          <t>DELL:
Fuentes activas para esta promesa. Muestra qué secciones de B2-SEPP tienen datos numéricos confirmados (devengado &gt; 0).</t>
        </r>
      </text>
    </comment>
    <comment ref="N8" authorId="3" shapeId="0" xr:uid="{00000000-0006-0000-0A00-00001B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G9" authorId="3" shapeId="0" xr:uid="{00000000-0006-0000-0A00-00001C000000}">
      <text>
        <r>
          <rPr>
            <sz val="11"/>
            <color theme="1"/>
            <rFont val="Aptos Narrow"/>
            <family val="2"/>
            <scheme val="minor"/>
          </rPr>
          <t>DELL:
Ejecución directa GAD - Geriátrico</t>
        </r>
      </text>
    </comment>
    <comment ref="K9" authorId="3" shapeId="0" xr:uid="{00000000-0006-0000-0A00-00001D000000}">
      <text>
        <r>
          <rPr>
            <sz val="11"/>
            <color theme="1"/>
            <rFont val="Aptos Narrow"/>
            <family val="2"/>
            <scheme val="minor"/>
          </rPr>
          <t>Vi auditor manual — ver col F</t>
        </r>
      </text>
    </comment>
    <comment ref="L9" authorId="3" shapeId="0" xr:uid="{00000000-0006-0000-0A00-00001E000000}">
      <text>
        <r>
          <rPr>
            <sz val="11"/>
            <color theme="1"/>
            <rFont val="Aptos Narrow"/>
            <family val="2"/>
            <scheme val="minor"/>
          </rPr>
          <t>Ti auditor manual — ver col H</t>
        </r>
      </text>
    </comment>
    <comment ref="M9" authorId="3" shapeId="0" xr:uid="{00000000-0006-0000-0A00-00001F000000}">
      <text>
        <r>
          <rPr>
            <sz val="11"/>
            <color theme="1"/>
            <rFont val="Aptos Narrow"/>
            <family val="2"/>
            <scheme val="minor"/>
          </rPr>
          <t>DELL:
Fuentes activas para esta promesa. Muestra qué secciones de B2-SEPP tienen datos numéricos confirmados (devengado &gt; 0).</t>
        </r>
      </text>
    </comment>
    <comment ref="N9" authorId="3" shapeId="0" xr:uid="{00000000-0006-0000-0A00-000020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T9" authorId="3" shapeId="0" xr:uid="{00000000-0006-0000-0A00-000021000000}">
      <text>
        <r>
          <rPr>
            <sz val="11"/>
            <color theme="1"/>
            <rFont val="Aptos Narrow"/>
            <family val="2"/>
            <scheme val="minor"/>
          </rPr>
          <t>DELL:
Ti SOC-03 dinámico desde L-CEDULAS. Cédula Patronato: Dev=$16.035,70 / Codif=$47.675,16 = Ti=33,6%.</t>
        </r>
      </text>
    </comment>
    <comment ref="G10" authorId="3" shapeId="0" xr:uid="{00000000-0006-0000-0A00-000022000000}">
      <text>
        <r>
          <rPr>
            <sz val="11"/>
            <color theme="1"/>
            <rFont val="Aptos Narrow"/>
            <family val="2"/>
            <scheme val="minor"/>
          </rPr>
          <t>DELL:
Ejecución directa GAD - Bacheo</t>
        </r>
      </text>
    </comment>
    <comment ref="K10" authorId="3" shapeId="0" xr:uid="{00000000-0006-0000-0A00-000023000000}">
      <text>
        <r>
          <rPr>
            <sz val="11"/>
            <color theme="1"/>
            <rFont val="Aptos Narrow"/>
            <family val="2"/>
            <scheme val="minor"/>
          </rPr>
          <t>Vi auditor manual — ver col F</t>
        </r>
      </text>
    </comment>
    <comment ref="L10" authorId="3" shapeId="0" xr:uid="{00000000-0006-0000-0A00-000024000000}">
      <text>
        <r>
          <rPr>
            <sz val="11"/>
            <color theme="1"/>
            <rFont val="Aptos Narrow"/>
            <family val="2"/>
            <scheme val="minor"/>
          </rPr>
          <t>Ti auditor manual — ver col H</t>
        </r>
      </text>
    </comment>
    <comment ref="M10" authorId="3" shapeId="0" xr:uid="{00000000-0006-0000-0A00-000025000000}">
      <text>
        <r>
          <rPr>
            <sz val="11"/>
            <color theme="1"/>
            <rFont val="Aptos Narrow"/>
            <family val="2"/>
            <scheme val="minor"/>
          </rPr>
          <t>DELL:
Fuentes activas para esta promesa. Muestra qué secciones de B2-SEPP tienen datos numéricos confirmados (devengado &gt; 0).</t>
        </r>
      </text>
    </comment>
    <comment ref="N10" authorId="3" shapeId="0" xr:uid="{00000000-0006-0000-0A00-000026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F11" authorId="3" shapeId="0" xr:uid="{00000000-0006-0000-0A00-000027000000}">
      <text>
        <r>
          <rPr>
            <sz val="11"/>
            <color theme="1"/>
            <rFont val="Aptos Narrow"/>
            <family val="2"/>
            <scheme val="minor"/>
          </rPr>
          <t>DELL:
Vi=0: La unidad médica móvil existe físicamente en inventario municipal, pero la Orden de Compra original y las placas vehiculares no fueron localizadas en el archivo institucional. La variable Vi mide existencia de cadena de custodia documental, no existencia física del bien. Principio de precaución aplicado.</t>
        </r>
      </text>
    </comment>
    <comment ref="G11" authorId="3" shapeId="0" xr:uid="{00000000-0006-0000-0A00-000028000000}">
      <text>
        <r>
          <rPr>
            <sz val="11"/>
            <color theme="1"/>
            <rFont val="Aptos Narrow"/>
            <family val="2"/>
            <scheme val="minor"/>
          </rPr>
          <t>DELL:
Vía entidad (MSP) - Unidad Médica Móvil</t>
        </r>
      </text>
    </comment>
    <comment ref="H11" authorId="3" shapeId="0" xr:uid="{00000000-0006-0000-0A00-000029000000}">
      <text>
        <r>
          <rPr>
            <sz val="11"/>
            <color theme="1"/>
            <rFont val="Aptos Narrow"/>
            <family val="2"/>
            <scheme val="minor"/>
          </rPr>
          <t>DELL:
ACTUALIZADO Ti con RDC 2023 y 2024 (CPCCS)
RDC 2023 pág.6: Unidad de Servicios Médicos Comunitarios (USMC) - atención puerta a puerta a 2,142 personas + 912 exámenes laboratorio 2023.
RDC 2024 pág.11: 3,743 usuarios atendidos en brigadas médicas (USMC) enero-diciembre 2024. Servicio activo y creciente.
Vi sigue 0 (no hay Orden de Compra del vehículo), pero Ti=0.5 refleja servicio operativo documentado.
Fuente: RDC 2023 N°17649 pág.6; RDC 2024 N°22844 pág.11.
Fecha: 22/02/2025</t>
        </r>
      </text>
    </comment>
    <comment ref="K11" authorId="3" shapeId="0" xr:uid="{00000000-0006-0000-0A00-00002A000000}">
      <text>
        <r>
          <rPr>
            <sz val="11"/>
            <color theme="1"/>
            <rFont val="Aptos Narrow"/>
            <family val="2"/>
            <scheme val="minor"/>
          </rPr>
          <t>Vi auditor manual — ver col F. Vi=0: sin Orden de Compra localizada</t>
        </r>
      </text>
    </comment>
    <comment ref="L11" authorId="3" shapeId="0" xr:uid="{00000000-0006-0000-0A00-00002B000000}">
      <text>
        <r>
          <rPr>
            <sz val="11"/>
            <color theme="1"/>
            <rFont val="Aptos Narrow"/>
            <family val="2"/>
            <scheme val="minor"/>
          </rPr>
          <t>Ti auditor manual — ver col H</t>
        </r>
      </text>
    </comment>
    <comment ref="M11" authorId="3" shapeId="0" xr:uid="{00000000-0006-0000-0A00-00002C000000}">
      <text>
        <r>
          <rPr>
            <sz val="11"/>
            <color theme="1"/>
            <rFont val="Aptos Narrow"/>
            <family val="2"/>
            <scheme val="minor"/>
          </rPr>
          <t>DELL:
Fuentes activas para esta promesa. Muestra qué secciones de B2-SEPP tienen datos numéricos confirmados (devengado &gt; 0).</t>
        </r>
      </text>
    </comment>
    <comment ref="N11" authorId="3" shapeId="0" xr:uid="{00000000-0006-0000-0A00-00002D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T11" authorId="3" shapeId="0" xr:uid="{00000000-0006-0000-0A00-00002E000000}">
      <text>
        <r>
          <rPr>
            <sz val="11"/>
            <color theme="1"/>
            <rFont val="Aptos Narrow"/>
            <family val="2"/>
            <scheme val="minor"/>
          </rPr>
          <t>DELL:
Ti SOC-07 dinámico desde L-CEDULAS. Cédula Patronato: Dev=$24.836,44 / Codif=$80.000 = Ti=31,0%.</t>
        </r>
      </text>
    </comment>
    <comment ref="G12" authorId="3" shapeId="0" xr:uid="{00000000-0006-0000-0A00-00002F000000}">
      <text>
        <r>
          <rPr>
            <sz val="11"/>
            <color theme="1"/>
            <rFont val="Aptos Narrow"/>
            <family val="2"/>
            <scheme val="minor"/>
          </rPr>
          <t>DELL:
Vía entidad (MAE/Ambiental) - Planta Oxidación</t>
        </r>
      </text>
    </comment>
    <comment ref="H12" authorId="3" shapeId="0" xr:uid="{00000000-0006-0000-0A00-000030000000}">
      <text>
        <r>
          <rPr>
            <sz val="11"/>
            <color theme="1"/>
            <rFont val="Aptos Narrow"/>
            <family val="2"/>
            <scheme val="minor"/>
          </rPr>
          <t>DELL:
ACTUALIZADO Ti con RDC 2023 y 2024 (CPCCS)
RDC 2023 pág.7: PROYECTO DE PTAR GENERAL ELOY ALFARO - postulación al BDE línea PROGAPSA para financiamiento. Gestión de adquisición del terreno en Parroquia Gral. Eloy Alfaro.
RDC 2024 pág.12: Proyectos con estudios definitivos: CONSTRUCCIÓN DE CERRAMIENTO Y CASETA DE VIGILANCIA PARA LAS PTAR DEL CANTÓN MONTECRISTI. El financiamiento del acueducto listo; avance estructural en la PTAR.
Fuente: RDC 2023 N°17649 pág.7; RDC 2024 N°22844 pág.12.
Fecha: 22/02/2025</t>
        </r>
      </text>
    </comment>
    <comment ref="K12" authorId="3" shapeId="0" xr:uid="{00000000-0006-0000-0A00-000031000000}">
      <text>
        <r>
          <rPr>
            <sz val="11"/>
            <color theme="1"/>
            <rFont val="Aptos Narrow"/>
            <family val="2"/>
            <scheme val="minor"/>
          </rPr>
          <t>Vi auditor manual — ver col F</t>
        </r>
      </text>
    </comment>
    <comment ref="L12" authorId="3" shapeId="0" xr:uid="{00000000-0006-0000-0A00-000032000000}">
      <text>
        <r>
          <rPr>
            <sz val="11"/>
            <color theme="1"/>
            <rFont val="Aptos Narrow"/>
            <family val="2"/>
            <scheme val="minor"/>
          </rPr>
          <t>Ti auditor manual — ver col H</t>
        </r>
      </text>
    </comment>
    <comment ref="M12" authorId="3" shapeId="0" xr:uid="{00000000-0006-0000-0A00-000033000000}">
      <text>
        <r>
          <rPr>
            <sz val="11"/>
            <color theme="1"/>
            <rFont val="Aptos Narrow"/>
            <family val="2"/>
            <scheme val="minor"/>
          </rPr>
          <t>DELL:
Fuentes activas para esta promesa. Muestra qué secciones de B2-SEPP tienen datos numéricos confirmados (devengado &gt; 0).</t>
        </r>
      </text>
    </comment>
    <comment ref="N12" authorId="3" shapeId="0" xr:uid="{00000000-0006-0000-0A00-000034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G13" authorId="3" shapeId="0" xr:uid="{00000000-0006-0000-0A00-000035000000}">
      <text>
        <r>
          <rPr>
            <sz val="11"/>
            <color theme="1"/>
            <rFont val="Aptos Narrow"/>
            <family val="2"/>
            <scheme val="minor"/>
          </rPr>
          <t>DELL:
Ejecución directa GAD - Parques</t>
        </r>
      </text>
    </comment>
    <comment ref="K13" authorId="3" shapeId="0" xr:uid="{00000000-0006-0000-0A00-000036000000}">
      <text>
        <r>
          <rPr>
            <sz val="11"/>
            <color theme="1"/>
            <rFont val="Aptos Narrow"/>
            <family val="2"/>
            <scheme val="minor"/>
          </rPr>
          <t>Vi auditor manual — ver col F</t>
        </r>
      </text>
    </comment>
    <comment ref="L13" authorId="3" shapeId="0" xr:uid="{00000000-0006-0000-0A00-000037000000}">
      <text>
        <r>
          <rPr>
            <sz val="11"/>
            <color theme="1"/>
            <rFont val="Aptos Narrow"/>
            <family val="2"/>
            <scheme val="minor"/>
          </rPr>
          <t>Ti auditor manual — ver col H</t>
        </r>
      </text>
    </comment>
    <comment ref="M13" authorId="3" shapeId="0" xr:uid="{00000000-0006-0000-0A00-000038000000}">
      <text>
        <r>
          <rPr>
            <sz val="11"/>
            <color theme="1"/>
            <rFont val="Aptos Narrow"/>
            <family val="2"/>
            <scheme val="minor"/>
          </rPr>
          <t>DELL:
Fuentes activas para esta promesa. Muestra qué secciones de B2-SEPP tienen datos numéricos confirmados (devengado &gt; 0).</t>
        </r>
      </text>
    </comment>
    <comment ref="N13" authorId="3" shapeId="0" xr:uid="{00000000-0006-0000-0A00-000039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G14" authorId="3" shapeId="0" xr:uid="{00000000-0006-0000-0A00-00003A000000}">
      <text>
        <r>
          <rPr>
            <sz val="11"/>
            <color theme="1"/>
            <rFont val="Aptos Narrow"/>
            <family val="2"/>
            <scheme val="minor"/>
          </rPr>
          <t>DELL:
Vía entidad (convenio) - Guarderías</t>
        </r>
      </text>
    </comment>
    <comment ref="K14" authorId="3" shapeId="0" xr:uid="{00000000-0006-0000-0A00-00003B000000}">
      <text>
        <r>
          <rPr>
            <sz val="11"/>
            <color theme="1"/>
            <rFont val="Aptos Narrow"/>
            <family val="2"/>
            <scheme val="minor"/>
          </rPr>
          <t>Vi auditor manual — ver col F. Vi=0: sin convenio MIES formalizado</t>
        </r>
      </text>
    </comment>
    <comment ref="L14" authorId="3" shapeId="0" xr:uid="{00000000-0006-0000-0A00-00003C000000}">
      <text>
        <r>
          <rPr>
            <sz val="11"/>
            <color theme="1"/>
            <rFont val="Aptos Narrow"/>
            <family val="2"/>
            <scheme val="minor"/>
          </rPr>
          <t>Ti auditor manual — ver col H</t>
        </r>
      </text>
    </comment>
    <comment ref="M14" authorId="3" shapeId="0" xr:uid="{00000000-0006-0000-0A00-00003D000000}">
      <text>
        <r>
          <rPr>
            <sz val="11"/>
            <color theme="1"/>
            <rFont val="Aptos Narrow"/>
            <family val="2"/>
            <scheme val="minor"/>
          </rPr>
          <t>DELL:
Fuentes activas para esta promesa. Muestra qué secciones de B2-SEPP tienen datos numéricos confirmados (devengado &gt; 0).</t>
        </r>
      </text>
    </comment>
    <comment ref="N14" authorId="3" shapeId="0" xr:uid="{00000000-0006-0000-0A00-00003E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T14" authorId="3" shapeId="0" xr:uid="{00000000-0006-0000-0A00-00003F000000}">
      <text>
        <r>
          <rPr>
            <sz val="11"/>
            <color theme="1"/>
            <rFont val="Aptos Narrow"/>
            <family val="2"/>
            <scheme val="minor"/>
          </rPr>
          <t>DELL:
Ti SOC-04 dinámico desde L-CEDULAS. Cédula Patronato: Dev=$0 / Codif=$10.000 = Ti=0%. Sin ejecución.</t>
        </r>
      </text>
    </comment>
    <comment ref="V14" authorId="3" shapeId="0" xr:uid="{DD202D52-94CA-4170-B3FB-0CCF83259B0A}">
      <text>
        <r>
          <rPr>
            <b/>
            <sz val="9"/>
            <color indexed="81"/>
            <rFont val="Tahoma"/>
            <family val="2"/>
          </rPr>
          <t>DELL:</t>
        </r>
        <r>
          <rPr>
            <sz val="9"/>
            <color indexed="81"/>
            <rFont val="Tahoma"/>
            <family val="2"/>
          </rPr>
          <t xml:space="preserve">
CORRECCIÓN AUDITOR FORENSE: RDC 2023 T20 confirma Sistema Catastral Integral ejecutado — 60,384 predios urbanos + 8,862 rurales + 13,950 actualizaciones. Devengado 100% ($169,100). CPCCS ✓ corregido de 0 a 1. Fuente: RDC 2023 N°17649 T20.</t>
        </r>
      </text>
    </comment>
    <comment ref="G15" authorId="3" shapeId="0" xr:uid="{00000000-0006-0000-0A00-000040000000}">
      <text>
        <r>
          <rPr>
            <sz val="11"/>
            <color theme="1"/>
            <rFont val="Aptos Narrow"/>
            <family val="2"/>
            <scheme val="minor"/>
          </rPr>
          <t>DELL:
Vía entidad (Ambiental) - Planta Desechos</t>
        </r>
      </text>
    </comment>
    <comment ref="H15" authorId="3" shapeId="0" xr:uid="{00000000-0006-0000-0A00-000041000000}">
      <text>
        <r>
          <rPr>
            <sz val="11"/>
            <color theme="1"/>
            <rFont val="Aptos Narrow"/>
            <family val="2"/>
            <scheme val="minor"/>
          </rPr>
          <t>DELL:
ACTUALIZADO Ti con RDC 2023 y 2024 (CPCCS)
RDC 2023 pág.4: Cobertura de recolección ampliada a comunidades y parroquia Aníbal San Andrés; mayor frecuencia de viajes al vertedero. Consta que se gestiona adquisición del terreno para nueva PTAR.
RDC 2024: Cuarta Reforma Ordenanza Tasa de Recolección de Basura sancionada; mejoras servicio costera (Empresa Aseo Integral Montecristi).
Ti mejora por ampliación cobertura y normativa, pero relleno nuevo pendiente.
Fuente: RDC 2023 N°17649 pág.4; RDC 2024 N°22844 pág.14.
Fecha: 22/02/2025</t>
        </r>
      </text>
    </comment>
    <comment ref="K15" authorId="3" shapeId="0" xr:uid="{00000000-0006-0000-0A00-000042000000}">
      <text>
        <r>
          <rPr>
            <sz val="11"/>
            <color theme="1"/>
            <rFont val="Aptos Narrow"/>
            <family val="2"/>
            <scheme val="minor"/>
          </rPr>
          <t>Vi auditor manual — ver col F</t>
        </r>
      </text>
    </comment>
    <comment ref="L15" authorId="3" shapeId="0" xr:uid="{00000000-0006-0000-0A00-000043000000}">
      <text>
        <r>
          <rPr>
            <sz val="11"/>
            <color theme="1"/>
            <rFont val="Aptos Narrow"/>
            <family val="2"/>
            <scheme val="minor"/>
          </rPr>
          <t>Ti auditor manual — ver col H</t>
        </r>
      </text>
    </comment>
    <comment ref="M15" authorId="3" shapeId="0" xr:uid="{00000000-0006-0000-0A00-000044000000}">
      <text>
        <r>
          <rPr>
            <sz val="11"/>
            <color theme="1"/>
            <rFont val="Aptos Narrow"/>
            <family val="2"/>
            <scheme val="minor"/>
          </rPr>
          <t>DELL:
Fuentes activas para esta promesa. Muestra qué secciones de B2-SEPP tienen datos numéricos confirmados (devengado &gt; 0).</t>
        </r>
      </text>
    </comment>
    <comment ref="N15" authorId="3" shapeId="0" xr:uid="{00000000-0006-0000-0A00-000045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G16" authorId="3" shapeId="0" xr:uid="{00000000-0006-0000-0A00-000046000000}">
      <text>
        <r>
          <rPr>
            <sz val="11"/>
            <color theme="1"/>
            <rFont val="Aptos Narrow"/>
            <family val="2"/>
            <scheme val="minor"/>
          </rPr>
          <t>DELL:
Ejecución directa GAD - Equipo Caminero</t>
        </r>
      </text>
    </comment>
    <comment ref="K16" authorId="3" shapeId="0" xr:uid="{00000000-0006-0000-0A00-000047000000}">
      <text>
        <r>
          <rPr>
            <sz val="11"/>
            <color theme="1"/>
            <rFont val="Aptos Narrow"/>
            <family val="2"/>
            <scheme val="minor"/>
          </rPr>
          <t>Vi auditor manual — ver col F</t>
        </r>
      </text>
    </comment>
    <comment ref="L16" authorId="3" shapeId="0" xr:uid="{00000000-0006-0000-0A00-000048000000}">
      <text>
        <r>
          <rPr>
            <sz val="11"/>
            <color theme="1"/>
            <rFont val="Aptos Narrow"/>
            <family val="2"/>
            <scheme val="minor"/>
          </rPr>
          <t>Ti auditor manual — ver col H</t>
        </r>
      </text>
    </comment>
    <comment ref="M16" authorId="3" shapeId="0" xr:uid="{00000000-0006-0000-0A00-000049000000}">
      <text>
        <r>
          <rPr>
            <sz val="11"/>
            <color theme="1"/>
            <rFont val="Aptos Narrow"/>
            <family val="2"/>
            <scheme val="minor"/>
          </rPr>
          <t>DELL:
Fuentes activas para esta promesa. Muestra qué secciones de B2-SEPP tienen datos numéricos confirmados (devengado &gt; 0).</t>
        </r>
      </text>
    </comment>
    <comment ref="N16" authorId="3" shapeId="0" xr:uid="{00000000-0006-0000-0A00-00004A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F17" authorId="3" shapeId="0" xr:uid="{00000000-0006-0000-0A00-00004B000000}">
      <text>
        <r>
          <rPr>
            <sz val="11"/>
            <color theme="1"/>
            <rFont val="Aptos Narrow"/>
            <family val="2"/>
            <scheme val="minor"/>
          </rPr>
          <t>DELL:
Vi=0: Las cámaras de vigilancia se encuentran instaladas y operativas físicamente, pero la factura de adquisición y el informe técnico de la Dirección de TICs no fueron localizados en el repositorio institucional. Vi mide trazabilidad documental, no existencia física. Principio de precaución aplicado.</t>
        </r>
      </text>
    </comment>
    <comment ref="G17" authorId="3" shapeId="0" xr:uid="{00000000-0006-0000-0A00-00004C000000}">
      <text>
        <r>
          <rPr>
            <sz val="11"/>
            <color theme="1"/>
            <rFont val="Aptos Narrow"/>
            <family val="2"/>
            <scheme val="minor"/>
          </rPr>
          <t>DELL:
Ejecución directa GAD - Monitoreo/Cámaras</t>
        </r>
      </text>
    </comment>
    <comment ref="H17" authorId="3" shapeId="0" xr:uid="{00000000-0006-0000-0A00-00004D000000}">
      <text>
        <r>
          <rPr>
            <sz val="11"/>
            <color theme="1"/>
            <rFont val="Aptos Narrow"/>
            <family val="2"/>
            <scheme val="minor"/>
          </rPr>
          <t>DELL:
ACTUALIZADO Ti=0.2 con RDC 2024 (CPCCS)
RDC 2024 pág.3: Instalación de 15 puntos de alarmas comunitarias en diferentes sectores del cantón Montecristi durante el periodo 2024. + Estudio de suelo para construcción cuartel bomberos Leonidas Proaño.
NOTA: Las alarmas comunitarias son distintas a la central de monitoreo con cámaras, pero representan avance documentado en seguridad ciudadana.
Vi sigue en 0 (no hay factura SERCOP de sistema cámaras localizada).
Fuente: RDC 2024 N°22844 pág.3.
Fecha: 22/02/2025</t>
        </r>
      </text>
    </comment>
    <comment ref="K17" authorId="3" shapeId="0" xr:uid="{00000000-0006-0000-0A00-00004E000000}">
      <text>
        <r>
          <rPr>
            <sz val="11"/>
            <color theme="1"/>
            <rFont val="Aptos Narrow"/>
            <family val="2"/>
            <scheme val="minor"/>
          </rPr>
          <t>Vi auditor manual — ver col F. Vi=0: sin factura SERCOP sistema CCTV</t>
        </r>
      </text>
    </comment>
    <comment ref="L17" authorId="3" shapeId="0" xr:uid="{00000000-0006-0000-0A00-00004F000000}">
      <text>
        <r>
          <rPr>
            <sz val="11"/>
            <color theme="1"/>
            <rFont val="Aptos Narrow"/>
            <family val="2"/>
            <scheme val="minor"/>
          </rPr>
          <t>Ti auditor manual — ver col H</t>
        </r>
      </text>
    </comment>
    <comment ref="M17" authorId="3" shapeId="0" xr:uid="{00000000-0006-0000-0A00-000050000000}">
      <text>
        <r>
          <rPr>
            <sz val="11"/>
            <color theme="1"/>
            <rFont val="Aptos Narrow"/>
            <family val="2"/>
            <scheme val="minor"/>
          </rPr>
          <t>DELL:
Fuentes activas para esta promesa. Muestra qué secciones de B2-SEPP tienen datos numéricos confirmados (devengado &gt; 0).</t>
        </r>
      </text>
    </comment>
    <comment ref="N17" authorId="3" shapeId="0" xr:uid="{00000000-0006-0000-0A00-000051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T17" authorId="3" shapeId="0" xr:uid="{00000000-0006-0000-0A00-000052000000}">
      <text>
        <r>
          <rPr>
            <sz val="11"/>
            <color theme="1"/>
            <rFont val="Aptos Narrow"/>
            <family val="2"/>
            <scheme val="minor"/>
          </rPr>
          <t>DELL:
Ti SOC-15 dinámico desde L-CEDULAS. Cédula Patronato: Dev=$9.003 / Codif=$117.900 = Ti=7,6%.</t>
        </r>
      </text>
    </comment>
    <comment ref="G18" authorId="3" shapeId="0" xr:uid="{00000000-0006-0000-0A00-000053000000}">
      <text>
        <r>
          <rPr>
            <sz val="11"/>
            <color theme="1"/>
            <rFont val="Aptos Narrow"/>
            <family val="2"/>
            <scheme val="minor"/>
          </rPr>
          <t>DELL:
Ejecución directa GAD - Digitalización</t>
        </r>
      </text>
    </comment>
    <comment ref="K18" authorId="3" shapeId="0" xr:uid="{00000000-0006-0000-0A00-000054000000}">
      <text>
        <r>
          <rPr>
            <sz val="11"/>
            <color theme="1"/>
            <rFont val="Aptos Narrow"/>
            <family val="2"/>
            <scheme val="minor"/>
          </rPr>
          <t>Vi auditor manual — ver col F</t>
        </r>
      </text>
    </comment>
    <comment ref="L18" authorId="3" shapeId="0" xr:uid="{00000000-0006-0000-0A00-000055000000}">
      <text>
        <r>
          <rPr>
            <sz val="11"/>
            <color theme="1"/>
            <rFont val="Aptos Narrow"/>
            <family val="2"/>
            <scheme val="minor"/>
          </rPr>
          <t>Ti auditor manual — ver col H</t>
        </r>
      </text>
    </comment>
    <comment ref="M18" authorId="3" shapeId="0" xr:uid="{00000000-0006-0000-0A00-000056000000}">
      <text>
        <r>
          <rPr>
            <sz val="11"/>
            <color theme="1"/>
            <rFont val="Aptos Narrow"/>
            <family val="2"/>
            <scheme val="minor"/>
          </rPr>
          <t>DELL:
Fuentes activas para esta promesa. Muestra qué secciones de B2-SEPP tienen datos numéricos confirmados (devengado &gt; 0).</t>
        </r>
      </text>
    </comment>
    <comment ref="N18" authorId="3" shapeId="0" xr:uid="{00000000-0006-0000-0A00-000057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G19" authorId="3" shapeId="0" xr:uid="{00000000-0006-0000-0A00-000058000000}">
      <text>
        <r>
          <rPr>
            <sz val="11"/>
            <color theme="1"/>
            <rFont val="Aptos Narrow"/>
            <family val="2"/>
            <scheme val="minor"/>
          </rPr>
          <t>DELL:
Ejecución directa GAD - Catastro</t>
        </r>
      </text>
    </comment>
    <comment ref="K19" authorId="3" shapeId="0" xr:uid="{00000000-0006-0000-0A00-000059000000}">
      <text>
        <r>
          <rPr>
            <sz val="11"/>
            <color theme="1"/>
            <rFont val="Aptos Narrow"/>
            <family val="2"/>
            <scheme val="minor"/>
          </rPr>
          <t>Vi auditor manual — ver col F</t>
        </r>
      </text>
    </comment>
    <comment ref="L19" authorId="3" shapeId="0" xr:uid="{00000000-0006-0000-0A00-00005A000000}">
      <text>
        <r>
          <rPr>
            <sz val="11"/>
            <color theme="1"/>
            <rFont val="Aptos Narrow"/>
            <family val="2"/>
            <scheme val="minor"/>
          </rPr>
          <t>Ti auditor manual — ver col H</t>
        </r>
      </text>
    </comment>
    <comment ref="M19" authorId="3" shapeId="0" xr:uid="{00000000-0006-0000-0A00-00005B000000}">
      <text>
        <r>
          <rPr>
            <sz val="11"/>
            <color theme="1"/>
            <rFont val="Aptos Narrow"/>
            <family val="2"/>
            <scheme val="minor"/>
          </rPr>
          <t>DELL:
Fuentes activas para esta promesa. Muestra qué secciones de B2-SEPP tienen datos numéricos confirmados (devengado &gt; 0).</t>
        </r>
      </text>
    </comment>
    <comment ref="N19" authorId="3" shapeId="0" xr:uid="{00000000-0006-0000-0A00-00005C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F20" authorId="3" shapeId="0" xr:uid="{00000000-0006-0000-0A00-00005D000000}">
      <text>
        <r>
          <rPr>
            <sz val="11"/>
            <color theme="1"/>
            <rFont val="Aptos Narrow"/>
            <family val="2"/>
            <scheme val="minor"/>
          </rPr>
          <t>ACTUALIZADO Vi=1 con RDC 2023 y 2024 (CPCCS)
RDC 2023 pág.1: Campaña vitaminización, desparasitación, atención patológica 240 beneficiarios + esterilizaciones 70 beneficiarios + Borrador Ordenanza Protección Fauna Urbana.
RDC 2024 pág.3: 172 castraciones (108 perros + 64 gatos), 1,439 atenciones veterin., Ordenanza emitida CERTIFICACIÓN Nº017-2024-CM-GAADMCM.
Ordenanza en revisión de requisitos. Vi=1 por existencia de cadena documental oficial (Acta/Certificación).
Fuente: RDC 2023 N°17649 pág.1; RDC 2024 N°22844 pág.3.
Fecha: 22/02/2025</t>
        </r>
      </text>
    </comment>
    <comment ref="G20" authorId="3" shapeId="0" xr:uid="{00000000-0006-0000-0A00-00005E000000}">
      <text>
        <r>
          <rPr>
            <sz val="11"/>
            <color theme="1"/>
            <rFont val="Aptos Narrow"/>
            <family val="2"/>
            <scheme val="minor"/>
          </rPr>
          <t>DELL:
Vía entidad (MSP/Sanitario) - Fauna Urbana</t>
        </r>
      </text>
    </comment>
    <comment ref="H20" authorId="3" shapeId="0" xr:uid="{00000000-0006-0000-0A00-00005F000000}">
      <text>
        <r>
          <rPr>
            <sz val="11"/>
            <color theme="1"/>
            <rFont val="Aptos Narrow"/>
            <family val="2"/>
            <scheme val="minor"/>
          </rPr>
          <t>DELL:
ACTUALIZADO Ti=0.35 con RDC 2024 (CPCCS)
Operación documentada (campañas activas, ordenanza), pero albergue físico en etapa de revisión de requisitos según la certificación Nº017-2024. Centro de recuperación convenio fundación local en progreso.
Fuente: RDC 2024 N°22844 pág.3.
Fecha: 22/02/2025</t>
        </r>
      </text>
    </comment>
    <comment ref="K20" authorId="3" shapeId="0" xr:uid="{00000000-0006-0000-0A00-000060000000}">
      <text>
        <r>
          <rPr>
            <sz val="11"/>
            <color theme="1"/>
            <rFont val="Aptos Narrow"/>
            <family val="2"/>
            <scheme val="minor"/>
          </rPr>
          <t>Vi auditor manual — ver col F. Vi=1: Ordenanza Nº017-2024-CM-GAADMCM</t>
        </r>
      </text>
    </comment>
    <comment ref="L20" authorId="3" shapeId="0" xr:uid="{00000000-0006-0000-0A00-000061000000}">
      <text>
        <r>
          <rPr>
            <sz val="11"/>
            <color theme="1"/>
            <rFont val="Aptos Narrow"/>
            <family val="2"/>
            <scheme val="minor"/>
          </rPr>
          <t>Ti auditor manual — ver col H</t>
        </r>
      </text>
    </comment>
    <comment ref="M20" authorId="3" shapeId="0" xr:uid="{00000000-0006-0000-0A00-000062000000}">
      <text>
        <r>
          <rPr>
            <sz val="11"/>
            <color theme="1"/>
            <rFont val="Aptos Narrow"/>
            <family val="2"/>
            <scheme val="minor"/>
          </rPr>
          <t>DELL:
Fuentes activas para esta promesa. Muestra qué secciones de B2-SEPP tienen datos numéricos confirmados (devengado &gt; 0).</t>
        </r>
      </text>
    </comment>
    <comment ref="N20" authorId="3" shapeId="0" xr:uid="{00000000-0006-0000-0A00-000063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T20" authorId="3" shapeId="0" xr:uid="{00000000-0006-0000-0A00-000064000000}">
      <text>
        <r>
          <rPr>
            <sz val="11"/>
            <color theme="1"/>
            <rFont val="Aptos Narrow"/>
            <family val="2"/>
            <scheme val="minor"/>
          </rPr>
          <t>DELL:
Ti SOC-08 dinámico desde L-CEDULAS. Cédula Patronato: Dev=$24.407,11 / Codif=$44.796 = Ti=54,5%.</t>
        </r>
      </text>
    </comment>
    <comment ref="F21" authorId="3" shapeId="0" xr:uid="{00000000-0006-0000-0A00-000065000000}">
      <text>
        <r>
          <rPr>
            <sz val="11"/>
            <color theme="1"/>
            <rFont val="Aptos Narrow"/>
            <family val="2"/>
            <scheme val="minor"/>
          </rPr>
          <t>DELL:
ACTUALIZADO Vi=1 con RDC 2023 y 2024 (CPCCS)
RDC 2023 pág.7: PROYECTO MANGLAR VIVO SAN JOSÉ - postulación a Premio Verde BDE para financiamiento.
RDC 2024 pág.9: Emisión de certificado ambiental para 'Manglar Vivo Montecristi, protegiendo nuestro tesoro ecológico en la Playa San José'.
RDC 2024 pág.12: Estudios definitivos: CONSTRUCCIÓN DE PROYECTO ECOTURÍSTICO 'MANGLAR VIVO' EN LA PLAYA SAN JOSÉ - 25/MARZO/2024.
Fuente: RDC 2023 N°17649 pág.7; RDC 2024 N°22844 págs.6,9,12.
Fecha: 22/02/2025</t>
        </r>
      </text>
    </comment>
    <comment ref="G21" authorId="3" shapeId="0" xr:uid="{00000000-0006-0000-0A00-000066000000}">
      <text>
        <r>
          <rPr>
            <sz val="11"/>
            <color theme="1"/>
            <rFont val="Aptos Narrow"/>
            <family val="2"/>
            <scheme val="minor"/>
          </rPr>
          <t>DELL:
Vía entidad (Turismo) - Playa San José</t>
        </r>
      </text>
    </comment>
    <comment ref="H21" authorId="3" shapeId="0" xr:uid="{00000000-0006-0000-0A00-000067000000}">
      <text>
        <r>
          <rPr>
            <sz val="11"/>
            <color theme="1"/>
            <rFont val="Aptos Narrow"/>
            <family val="2"/>
            <scheme val="minor"/>
          </rPr>
          <t>DELL:
ACTUALIZADO Ti=0.30 con RDC 2024 (CPCCS)
Estudios definitivos aprobados (25/03/2024), certificado ambiental emitido, mingas de limpieza activas. Sin embargo, la construcción del ecoturismo no ha iniciado (financiamiento pendiente). Avance real en etapa de estudios y gestión ambiental.
Fuente: RDC 2024 N°22844 págs.6,9,12.
Fecha: 22/02/2025</t>
        </r>
      </text>
    </comment>
    <comment ref="K21" authorId="3" shapeId="0" xr:uid="{00000000-0006-0000-0A00-000068000000}">
      <text>
        <r>
          <rPr>
            <sz val="11"/>
            <color theme="1"/>
            <rFont val="Aptos Narrow"/>
            <family val="2"/>
            <scheme val="minor"/>
          </rPr>
          <t>Vi auditor manual — ver col F. Vi=1: Cert. ambiental RDC 2024 pág.9</t>
        </r>
      </text>
    </comment>
    <comment ref="L21" authorId="3" shapeId="0" xr:uid="{00000000-0006-0000-0A00-000069000000}">
      <text>
        <r>
          <rPr>
            <sz val="11"/>
            <color theme="1"/>
            <rFont val="Aptos Narrow"/>
            <family val="2"/>
            <scheme val="minor"/>
          </rPr>
          <t>Ti auditor manual — ver col H</t>
        </r>
      </text>
    </comment>
    <comment ref="M21" authorId="3" shapeId="0" xr:uid="{00000000-0006-0000-0A00-00006A000000}">
      <text>
        <r>
          <rPr>
            <sz val="11"/>
            <color theme="1"/>
            <rFont val="Aptos Narrow"/>
            <family val="2"/>
            <scheme val="minor"/>
          </rPr>
          <t>DELL:
Fuentes activas para esta promesa. Muestra qué secciones de B2-SEPP tienen datos numéricos confirmados (devengado &gt; 0).</t>
        </r>
      </text>
    </comment>
    <comment ref="N21" authorId="3" shapeId="0" xr:uid="{00000000-0006-0000-0A00-00006B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G22" authorId="3" shapeId="0" xr:uid="{00000000-0006-0000-0A00-00006C000000}">
      <text>
        <r>
          <rPr>
            <sz val="11"/>
            <color theme="1"/>
            <rFont val="Aptos Narrow"/>
            <family val="2"/>
            <scheme val="minor"/>
          </rPr>
          <t>DELL:
Ejecución directa GAD - Señalética</t>
        </r>
      </text>
    </comment>
    <comment ref="H22" authorId="3" shapeId="0" xr:uid="{DB6567C6-E277-4645-81DA-44C467A496BE}">
      <text>
        <r>
          <rPr>
            <b/>
            <sz val="9"/>
            <color indexed="81"/>
            <rFont val="Tahoma"/>
          </rPr>
          <t>DELL:</t>
        </r>
        <r>
          <rPr>
            <sz val="9"/>
            <color indexed="81"/>
            <rFont val="Tahoma"/>
          </rPr>
          <t xml:space="preserve">
AJUSTE AUDITADO: Ti cambiado de 1.0 → 0.35
Meta #20 · Fauna Urbana · Campaña de sensibilización reciclaje
Cód: PDOT.FA.OE2.MA.01
Efecto: ICPI 38.40% → 38.28% (sincronización objetivo)
Fecha: sesión actual · SIAP-ICPI §3.5</t>
        </r>
      </text>
    </comment>
    <comment ref="K22" authorId="3" shapeId="0" xr:uid="{00000000-0006-0000-0A00-00006D000000}">
      <text>
        <r>
          <rPr>
            <sz val="11"/>
            <color theme="1"/>
            <rFont val="Aptos Narrow"/>
            <family val="2"/>
            <scheme val="minor"/>
          </rPr>
          <t>Vi auditor manual — ver col F</t>
        </r>
      </text>
    </comment>
    <comment ref="L22" authorId="3" shapeId="0" xr:uid="{00000000-0006-0000-0A00-00006E000000}">
      <text>
        <r>
          <rPr>
            <sz val="11"/>
            <color theme="1"/>
            <rFont val="Aptos Narrow"/>
            <family val="2"/>
            <scheme val="minor"/>
          </rPr>
          <t>Ti auditor manual — ver col H</t>
        </r>
      </text>
    </comment>
    <comment ref="M22" authorId="3" shapeId="0" xr:uid="{00000000-0006-0000-0A00-00006F000000}">
      <text>
        <r>
          <rPr>
            <sz val="11"/>
            <color theme="1"/>
            <rFont val="Aptos Narrow"/>
            <family val="2"/>
            <scheme val="minor"/>
          </rPr>
          <t>DELL:
Fuentes activas para esta promesa. Muestra qué secciones de B2-SEPP tienen datos numéricos confirmados (devengado &gt; 0).</t>
        </r>
      </text>
    </comment>
    <comment ref="N22" authorId="3" shapeId="0" xr:uid="{00000000-0006-0000-0A00-000070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A23" authorId="4" shapeId="0" xr:uid="{ACFB83D3-C8D3-478B-B6E0-5FF303726E58}">
      <text>
        <t>[Comentario encadenado]
Tu versión de Excel te permite leer este comentario encadenado; sin embargo, las ediciones que se apliquen se quitarán si el archivo se abre en una versión más reciente de Excel. Más información: https://go.microsoft.com/fwlink/?linkid=870924
Comentario:
    CELDA CRITICA — Codigo meta PDOT.AS.VL.M1.01
Formula: =PDOT!B4
HISTORIAL: Contuvo =PDOT!B24 haciendo invisible la meta de mayor
peso (Pi=33%) al motor ICPI. Corregida en Fase 1.
No editar manualmente. Regenerar como =PDOT!B4 si se pierde.</t>
      </text>
    </comment>
    <comment ref="F23" authorId="3" shapeId="0" xr:uid="{00000000-0006-0000-0A00-000071000000}">
      <text>
        <r>
          <rPr>
            <sz val="11"/>
            <color theme="1"/>
            <rFont val="Aptos Narrow"/>
            <family val="2"/>
            <scheme val="minor"/>
          </rPr>
          <t>DELL:
ACTUALIZADO Vi=1 con RDC 2024 (CPCCS)
RDC 2024 pág.7: Proyecto acueducto para captación agua cruda: financiamiento LISTO, se trabaja en aval soberano para llamar a licitación internacional. Estudios definitivos: REDISEÑO 15/OCT/2024.
Convenios firmados: GAD Rocafuerte (30/09/2024), GAD Portoviejo (21/10/2024), GAD Jaramijó (07/11/2024) para el proyecto.
Tanques de reserva instalados (Sequita y Pepa de Uso, 5 tanques 20,000L c/u).
Fuente: RDC 2024 N°22844 págs.7,12,13.
Fecha: 22/02/2025</t>
        </r>
      </text>
    </comment>
    <comment ref="G23" authorId="3" shapeId="0" xr:uid="{00000000-0006-0000-0A00-000072000000}">
      <text>
        <r>
          <rPr>
            <sz val="11"/>
            <color theme="1"/>
            <rFont val="Aptos Narrow"/>
            <family val="2"/>
            <scheme val="minor"/>
          </rPr>
          <t>DELL:
Ejecución directa GAD - Reservorios</t>
        </r>
      </text>
    </comment>
    <comment ref="H23" authorId="3" shapeId="0" xr:uid="{00000000-0006-0000-0A00-000073000000}">
      <text>
        <r>
          <rPr>
            <sz val="11"/>
            <color theme="1"/>
            <rFont val="Aptos Narrow"/>
            <family val="2"/>
            <scheme val="minor"/>
          </rPr>
          <t>DELL:
ACTUALIZADO Ti=0.25 con RDC 2024 (CPCCS)
Financiamiento listo + convenios interinstitucionales firmados + estudios definitivos (rediseño oct.2024), pero la licitación internacional aún no convocada (aval soberano pendiente). Fase precontractual avanzada.
Fuente: RDC 2024 N°22844 pág.7 y pág.12.
Fecha: 22/02/2025</t>
        </r>
      </text>
    </comment>
    <comment ref="K23" authorId="3" shapeId="0" xr:uid="{00000000-0006-0000-0A00-000074000000}">
      <text>
        <r>
          <rPr>
            <sz val="11"/>
            <color theme="1"/>
            <rFont val="Aptos Narrow"/>
            <family val="2"/>
            <scheme val="minor"/>
          </rPr>
          <t>Vi auditor manual — ver col F. Vi=1: Convenios firmados + estudios RDC 2024 pág.7</t>
        </r>
      </text>
    </comment>
    <comment ref="L23" authorId="3" shapeId="0" xr:uid="{00000000-0006-0000-0A00-000075000000}">
      <text>
        <r>
          <rPr>
            <sz val="11"/>
            <color theme="1"/>
            <rFont val="Aptos Narrow"/>
            <family val="2"/>
            <scheme val="minor"/>
          </rPr>
          <t>Ti auditor manual — ver col H</t>
        </r>
      </text>
    </comment>
    <comment ref="M23" authorId="3" shapeId="0" xr:uid="{00000000-0006-0000-0A00-000076000000}">
      <text>
        <r>
          <rPr>
            <sz val="11"/>
            <color theme="1"/>
            <rFont val="Aptos Narrow"/>
            <family val="2"/>
            <scheme val="minor"/>
          </rPr>
          <t>DELL:
Fuentes activas para esta promesa. Muestra qué secciones de B2-SEPP tienen datos numéricos confirmados (devengado &gt; 0).</t>
        </r>
      </text>
    </comment>
    <comment ref="N23" authorId="3" shapeId="0" xr:uid="{00000000-0006-0000-0A00-000077000000}">
      <text>
        <r>
          <rPr>
            <sz val="11"/>
            <color theme="1"/>
            <rFont val="Aptos Narrow"/>
            <family val="2"/>
            <scheme val="minor"/>
          </rPr>
          <t>DELL:
ALERTA DE CONSISTENCIA:
✅ = Vi auditor = Vi propuesto Y Ti difiere &lt; 5pp → Consistente
⚠️ = Vi o Ti del auditor difieren del automático → Revisar y documentar
⏳ = Cédulas pendientes, no se puede comparar</t>
        </r>
      </text>
    </comment>
    <comment ref="F24" authorId="3" shapeId="0" xr:uid="{00000000-0006-0000-0A00-000078000000}">
      <text>
        <r>
          <rPr>
            <sz val="11"/>
            <color theme="1"/>
            <rFont val="Aptos Narrow"/>
            <family val="2"/>
            <scheme val="minor"/>
          </rPr>
          <t>DELL:
Vi=1: Gestión Acueducto CAF $45.6M confirmada. Contratos PAC 2023 ($877K) + PAC 2024 ($1.56M) ejecutados. Redes distribución cantón activas.
Fuente: PAC 2023-2024 SERCOP; ITME M1.01; PONDER Pi=0.1117
Meta más grande del PDOT — Acueducto CAF 30.000m³/día</t>
        </r>
      </text>
    </comment>
    <comment ref="G24" authorId="3" shapeId="0" xr:uid="{00000000-0006-0000-0A00-000079000000}">
      <text>
        <r>
          <rPr>
            <sz val="11"/>
            <color theme="1"/>
            <rFont val="Aptos Narrow"/>
            <family val="2"/>
            <scheme val="minor"/>
          </rPr>
          <t>DELL:
Ri=1: Ejecución directa GAD — Agua Potable / Acueducto CAF</t>
        </r>
      </text>
    </comment>
    <comment ref="H24" authorId="3" shapeId="0" xr:uid="{00000000-0006-0000-0A00-00007A000000}">
      <text>
        <r>
          <rPr>
            <sz val="11"/>
            <color theme="1"/>
            <rFont val="Aptos Narrow"/>
            <family val="2"/>
            <scheme val="minor"/>
          </rPr>
          <t>DELL:
Ti=0.65: Avance ponderado 2023-2024.
Redes locales PAC 2023: $877K ejecutado (manchas rurales + repotenciación Los Mangos).
Redes PAC 2024: $1.56M en construcción (sectores periurbanos, Los Mangos, rurales).
Acueducto CAF $45.6M: financiamiento listo, convenios Rocafuerte/Portoviejo/Jaramijó firmados, aval soberano pendiente para licitación internacional.
Fuente: PAC 2023-2024 SERCOP; CEDULAS pendiente eSIGEF.
Fecha actualización: ver sesión actual</t>
        </r>
      </text>
    </comment>
    <comment ref="K24" authorId="3" shapeId="0" xr:uid="{00000000-0006-0000-0A00-00007B000000}">
      <text>
        <r>
          <rPr>
            <sz val="11"/>
            <color theme="1"/>
            <rFont val="Aptos Narrow"/>
            <family val="2"/>
            <scheme val="minor"/>
          </rPr>
          <t>DELL:
Vi auditor manual — ver col F</t>
        </r>
      </text>
    </comment>
    <comment ref="L24" authorId="3" shapeId="0" xr:uid="{00000000-0006-0000-0A00-00007C000000}">
      <text>
        <r>
          <rPr>
            <sz val="11"/>
            <color theme="1"/>
            <rFont val="Aptos Narrow"/>
            <family val="2"/>
            <scheme val="minor"/>
          </rPr>
          <t>DELL:
Ti auditor manual — ver col H. Ti=0.65 ponderado PAC 2023+2024 / Acueducto CAF en precontractual</t>
        </r>
      </text>
    </comment>
    <comment ref="M24" authorId="3" shapeId="0" xr:uid="{00000000-0006-0000-0A00-00007D000000}">
      <text>
        <r>
          <rPr>
            <sz val="11"/>
            <color theme="1"/>
            <rFont val="Aptos Narrow"/>
            <family val="2"/>
            <scheme val="minor"/>
          </rPr>
          <t>DELL:
Fuentes: PAC 2023 SERCOP (5 ítems $877K); PAC 2024 SERCOP (10 ítems $1.56M); ITME M1.01 Pi=0.1117; CEDULAS pendiente eSIGEF</t>
        </r>
      </text>
    </comment>
    <comment ref="N24" authorId="3" shapeId="0" xr:uid="{00000000-0006-0000-0A00-00007E000000}">
      <text>
        <r>
          <rPr>
            <sz val="11"/>
            <color theme="1"/>
            <rFont val="Aptos Narrow"/>
            <family val="2"/>
            <scheme val="minor"/>
          </rPr>
          <t>DELL:
ALERTA DE CONSISTENCIA:
✅ = Vi auditor = Vi propuesto Y Ti difiere &lt; 5pp → Consistente
⚠️ = Vi o Ti del auditor difieren del automático → Revisar y documentar</t>
        </r>
      </text>
    </comment>
    <comment ref="T24" authorId="3" shapeId="0" xr:uid="{00000000-0006-0000-0A00-00007F000000}">
      <text>
        <r>
          <rPr>
            <sz val="11"/>
            <color theme="1"/>
            <rFont val="Aptos Narrow"/>
            <family val="2"/>
            <scheme val="minor"/>
          </rPr>
          <t>DELL:
Ti CÉDULA = 0 — pendiente carga eSIGEF. Cobertura Agua Potable TER-14: ingresar devengado/codificado en CEDULAS F6:G6 cuando se obtenga del portal eSIGEF.</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F4" authorId="0" shapeId="0" xr:uid="{00000000-0006-0000-0D00-000001000000}">
      <text>
        <r>
          <rPr>
            <sz val="11"/>
            <color theme="1"/>
            <rFont val="Aptos Narrow"/>
            <family val="2"/>
            <scheme val="minor"/>
          </rPr>
          <t>DELL:
Presupuesto codificado vigente al cierre fiscal 2023. Fuente: eSIGEF → Reportes → Cédula Presupuestaria → Año 2023. COPFP Art.118.</t>
        </r>
      </text>
    </comment>
    <comment ref="G4" authorId="0" shapeId="0" xr:uid="{00000000-0006-0000-0D00-000002000000}">
      <text>
        <r>
          <rPr>
            <sz val="11"/>
            <color theme="1"/>
            <rFont val="Aptos Narrow"/>
            <family val="2"/>
            <scheme val="minor"/>
          </rPr>
          <t>DELL:
Devengado al cierre fiscal 2023 por meta PDOT. Fuente: eSIGEF cédula devengado año 2023. COPFP Art.111.</t>
        </r>
      </text>
    </comment>
    <comment ref="H4" authorId="0" shapeId="0" xr:uid="{00000000-0006-0000-0D00-000003000000}">
      <text>
        <r>
          <rPr>
            <sz val="11"/>
            <color theme="1"/>
            <rFont val="Aptos Narrow"/>
            <family val="2"/>
            <scheme val="minor"/>
          </rPr>
          <t>DELL:
Pagado (SPI ejecutado) al cierre 2023. Fuente: eSIGEF cédula pagado año 2023. COPFP Art.113.</t>
        </r>
      </text>
    </comment>
    <comment ref="I4" authorId="0" shapeId="0" xr:uid="{00000000-0006-0000-0D00-000004000000}">
      <text>
        <r>
          <rPr>
            <sz val="11"/>
            <color theme="1"/>
            <rFont val="Aptos Narrow"/>
            <family val="2"/>
            <scheme val="minor"/>
          </rPr>
          <t>DELL:
Presupuesto codificado vigente al cierre fiscal 2024. Fuente: eSIGEF → Reportes → Cédula Presupuestaria → Año 2024. COPFP Art.118.</t>
        </r>
      </text>
    </comment>
    <comment ref="J4" authorId="0" shapeId="0" xr:uid="{00000000-0006-0000-0D00-000005000000}">
      <text>
        <r>
          <rPr>
            <sz val="11"/>
            <color theme="1"/>
            <rFont val="Aptos Narrow"/>
            <family val="2"/>
            <scheme val="minor"/>
          </rPr>
          <t>DELL:
Devengado al cierre fiscal 2024 por meta PDOT. Fuente: eSIGEF cédula devengado año 2024. COPFP Art.111.</t>
        </r>
      </text>
    </comment>
    <comment ref="K4" authorId="0" shapeId="0" xr:uid="{00000000-0006-0000-0D00-000006000000}">
      <text>
        <r>
          <rPr>
            <sz val="11"/>
            <color theme="1"/>
            <rFont val="Aptos Narrow"/>
            <family val="2"/>
            <scheme val="minor"/>
          </rPr>
          <t>DELL:
Pagado (SPI ejecutado) al cierre 2024. Fuente: eSIGEF cédula pagado año 2024. COPFP Art.113.</t>
        </r>
      </text>
    </comment>
    <comment ref="O4" authorId="0" shapeId="0" xr:uid="{00000000-0006-0000-0D00-000007000000}">
      <text>
        <r>
          <rPr>
            <sz val="11"/>
            <color theme="1"/>
            <rFont val="Aptos Narrow"/>
            <family val="2"/>
            <scheme val="minor"/>
          </rPr>
          <t>DELL:
Devengado acumulado = suma cédulas 2023 + 2024. Si hay datos por año en cols G+J se calcula automáticamente. Si no hay desglose por año, ingresar directamente. COPFP Art.111.</t>
        </r>
      </text>
    </comment>
    <comment ref="P4" authorId="0" shapeId="0" xr:uid="{00000000-0006-0000-0D00-000008000000}">
      <text>
        <r>
          <rPr>
            <sz val="11"/>
            <color theme="1"/>
            <rFont val="Aptos Narrow"/>
            <family val="2"/>
            <scheme val="minor"/>
          </rPr>
          <t>DELL:
Pagado acumulado = suma cédulas 2023 + 2024 (SPI ejecutado). COPFP Art.113.</t>
        </r>
      </text>
    </comment>
    <comment ref="Q4" authorId="0" shapeId="0" xr:uid="{00000000-0006-0000-0D00-000009000000}">
      <text>
        <r>
          <rPr>
            <sz val="11"/>
            <color theme="1"/>
            <rFont val="Aptos Narrow"/>
            <family val="2"/>
            <scheme val="minor"/>
          </rPr>
          <t>DELL:
Ti = Devengado acumulado / Codificado vigente. Fórmula dinámica. Alimenta D-MAD col T (S4). COPFP Art.111 + SIAP-ICPI §3.5.</t>
        </r>
      </text>
    </comment>
    <comment ref="D5" authorId="0" shapeId="0" xr:uid="{00000000-0006-0000-0D00-00000A000000}">
      <text>
        <r>
          <rPr>
            <sz val="11"/>
            <color theme="1"/>
            <rFont val="Aptos Narrow"/>
            <family val="2"/>
            <scheme val="minor"/>
          </rPr>
          <t>DELL:
CUP PENDIENTE verificación en SIGPIP MFE (sigpip.finanzas.gob.ec).
Meta: Cobertura Agua Potable — TER-14.
Buscar proyecto: 'Construcción Acueducto Montecristi / Sistema Agua Potable CAF'.
Formato real CUP: PP-AAAA-NNNNNN (ej. AP-2023-000123).
Reemplazar con CUP oficial cuando se obtenga de Dir. Financiera GAD o portal SIGPIP.</t>
        </r>
      </text>
    </comment>
    <comment ref="E5" authorId="0" shapeId="0" xr:uid="{00000000-0006-0000-0D00-00000B000000}">
      <text>
        <r>
          <rPr>
            <sz val="11"/>
            <color theme="1"/>
            <rFont val="Aptos Narrow"/>
            <family val="2"/>
            <scheme val="minor"/>
          </rPr>
          <t>DELL:
Clasificador MFE: 7.5.01 = Obras de Infraestructura. Acueducto CAF: obra hidráulica mayor. Fuente: Clasificador Presupuestario Ingresos y Gastos del Sector Público, MFE 2023.</t>
        </r>
      </text>
    </comment>
    <comment ref="F5" authorId="0" shapeId="0" xr:uid="{00000000-0006-0000-0D00-00000C000000}">
      <text>
        <r>
          <rPr>
            <sz val="11"/>
            <color theme="1"/>
            <rFont val="Aptos Narrow"/>
            <family val="2"/>
            <scheme val="minor"/>
          </rPr>
          <t>DELL:
INGRESAR: Codificado vigente 2023 — TER-14 Cobertura Agua Potable. Fuente: eSIGEF Cédula 2023.</t>
        </r>
      </text>
    </comment>
    <comment ref="G5" authorId="0" shapeId="0" xr:uid="{00000000-0006-0000-0D00-00000D000000}">
      <text>
        <r>
          <rPr>
            <sz val="11"/>
            <color theme="1"/>
            <rFont val="Aptos Narrow"/>
            <family val="2"/>
            <scheme val="minor"/>
          </rPr>
          <t>DELL:
INGRESAR: Devengado 2023 — TER-14 Cobertura Agua Potable. Fuente: eSIGEF Cédula 2023.</t>
        </r>
      </text>
    </comment>
    <comment ref="H5" authorId="0" shapeId="0" xr:uid="{00000000-0006-0000-0D00-00000E000000}">
      <text>
        <r>
          <rPr>
            <sz val="11"/>
            <color theme="1"/>
            <rFont val="Aptos Narrow"/>
            <family val="2"/>
            <scheme val="minor"/>
          </rPr>
          <t>DELL:
INGRESAR: Pagado 2023 — TER-14. Fuente: eSIGEF.</t>
        </r>
      </text>
    </comment>
    <comment ref="I5" authorId="0" shapeId="0" xr:uid="{00000000-0006-0000-0D00-00000F000000}">
      <text>
        <r>
          <rPr>
            <sz val="11"/>
            <color theme="1"/>
            <rFont val="Aptos Narrow"/>
            <family val="2"/>
            <scheme val="minor"/>
          </rPr>
          <t>DELL:
INGRESAR: Codificado vigente 2024 — TER-14 Cobertura Agua Potable. Fuente: eSIGEF Cédula 2024.</t>
        </r>
      </text>
    </comment>
    <comment ref="J5" authorId="0" shapeId="0" xr:uid="{00000000-0006-0000-0D00-000010000000}">
      <text>
        <r>
          <rPr>
            <sz val="11"/>
            <color theme="1"/>
            <rFont val="Aptos Narrow"/>
            <family val="2"/>
            <scheme val="minor"/>
          </rPr>
          <t>DELL:
INGRESAR: Devengado 2024 — TER-14 Cobertura Agua Potable. Fuente: eSIGEF Cédula 2024.</t>
        </r>
      </text>
    </comment>
    <comment ref="K5" authorId="0" shapeId="0" xr:uid="{00000000-0006-0000-0D00-000011000000}">
      <text>
        <r>
          <rPr>
            <sz val="11"/>
            <color theme="1"/>
            <rFont val="Aptos Narrow"/>
            <family val="2"/>
            <scheme val="minor"/>
          </rPr>
          <t>DELL:
INGRESAR: Pagado 2024 — TER-14. Fuente: eSIGEF.</t>
        </r>
      </text>
    </comment>
    <comment ref="O5" authorId="0" shapeId="0" xr:uid="{00000000-0006-0000-0D00-000012000000}">
      <text>
        <r>
          <rPr>
            <sz val="11"/>
            <color theme="1"/>
            <rFont val="Aptos Narrow"/>
            <family val="2"/>
            <scheme val="minor"/>
          </rPr>
          <t>DELL:
TER-14: Dev.Acum = G6(Dev.2023)+J6(Dev.2024). Si vacios usa valor estimado previo 38.781.262. Actualizar G6 y J6 con cédulas eSIGEF reales.</t>
        </r>
      </text>
    </comment>
    <comment ref="P5" authorId="0" shapeId="0" xr:uid="{00000000-0006-0000-0D00-000013000000}">
      <text>
        <r>
          <rPr>
            <sz val="11"/>
            <color theme="1"/>
            <rFont val="Aptos Narrow"/>
            <family val="2"/>
            <scheme val="minor"/>
          </rPr>
          <t>DELL:
TER-14: Pagado Acum = H6(Pag.2023)+K6(Pag.2024). Valor anterior: 36.842.199.</t>
        </r>
      </text>
    </comment>
    <comment ref="Q5" authorId="0" shapeId="0" xr:uid="{00000000-0006-0000-0D00-000014000000}">
      <text>
        <r>
          <rPr>
            <sz val="11"/>
            <color theme="1"/>
            <rFont val="Aptos Narrow"/>
            <family val="2"/>
            <scheme val="minor"/>
          </rPr>
          <t>DELL:
Ti TER-14 = Devengado acumulado / Codificado vigente. Propaga a D-MAD col T.</t>
        </r>
      </text>
    </comment>
    <comment ref="D6" authorId="0" shapeId="0" xr:uid="{00000000-0006-0000-0D00-000015000000}">
      <text>
        <r>
          <rPr>
            <sz val="11"/>
            <color theme="1"/>
            <rFont val="Aptos Narrow"/>
            <family val="2"/>
            <scheme val="minor"/>
          </rPr>
          <t>DELL:
CUP PENDIENTE verificación en SIGPIP MFE.
Meta: Alcantarillado Sanitario — TER-03.
Buscar proyecto: 'Alcantarillado Sanitario Montecristi / BDE-PROGAPSA'.
Reemplazar con CUP oficial desde Dir. Financiera GAD o SIGPIP.</t>
        </r>
      </text>
    </comment>
    <comment ref="E6" authorId="0" shapeId="0" xr:uid="{00000000-0006-0000-0D00-000016000000}">
      <text>
        <r>
          <rPr>
            <sz val="11"/>
            <color theme="1"/>
            <rFont val="Aptos Narrow"/>
            <family val="2"/>
            <scheme val="minor"/>
          </rPr>
          <t>DELL:
Clasificador MFE: 7.5.01 = Obras de Infraestructura. Alcantarillado sanitario: obra hidráulica. Fuente: Clasificador Presupuestario MFE 2023.</t>
        </r>
      </text>
    </comment>
    <comment ref="F6" authorId="0" shapeId="0" xr:uid="{00000000-0006-0000-0D00-000017000000}">
      <text>
        <r>
          <rPr>
            <sz val="11"/>
            <color theme="1"/>
            <rFont val="Aptos Narrow"/>
            <family val="2"/>
            <scheme val="minor"/>
          </rPr>
          <t>DELL:
INGRESAR: Codificado 2023 — TER-03 Alcantarillado</t>
        </r>
      </text>
    </comment>
    <comment ref="G6" authorId="0" shapeId="0" xr:uid="{00000000-0006-0000-0D00-000018000000}">
      <text>
        <r>
          <rPr>
            <sz val="11"/>
            <color theme="1"/>
            <rFont val="Aptos Narrow"/>
            <family val="2"/>
            <scheme val="minor"/>
          </rPr>
          <t>DELL:
INGRESAR: Devengado 2023 — TER-03 Alcantarillado</t>
        </r>
      </text>
    </comment>
    <comment ref="H6" authorId="0" shapeId="0" xr:uid="{00000000-0006-0000-0D00-000019000000}">
      <text>
        <r>
          <rPr>
            <sz val="11"/>
            <color theme="1"/>
            <rFont val="Aptos Narrow"/>
            <family val="2"/>
            <scheme val="minor"/>
          </rPr>
          <t>DELL:
INGRESAR: Pagado 2023 — TER-03</t>
        </r>
      </text>
    </comment>
    <comment ref="I6" authorId="0" shapeId="0" xr:uid="{00000000-0006-0000-0D00-00001A000000}">
      <text>
        <r>
          <rPr>
            <sz val="11"/>
            <color theme="1"/>
            <rFont val="Aptos Narrow"/>
            <family val="2"/>
            <scheme val="minor"/>
          </rPr>
          <t>DELL:
INGRESAR: Codificado 2024 — TER-03 Alcantarillado</t>
        </r>
      </text>
    </comment>
    <comment ref="J6" authorId="0" shapeId="0" xr:uid="{00000000-0006-0000-0D00-00001B000000}">
      <text>
        <r>
          <rPr>
            <sz val="11"/>
            <color theme="1"/>
            <rFont val="Aptos Narrow"/>
            <family val="2"/>
            <scheme val="minor"/>
          </rPr>
          <t>DELL:
INGRESAR: Devengado 2024 — TER-03 Alcantarillado</t>
        </r>
      </text>
    </comment>
    <comment ref="K6" authorId="0" shapeId="0" xr:uid="{00000000-0006-0000-0D00-00001C000000}">
      <text>
        <r>
          <rPr>
            <sz val="11"/>
            <color theme="1"/>
            <rFont val="Aptos Narrow"/>
            <family val="2"/>
            <scheme val="minor"/>
          </rPr>
          <t>DELL:
INGRESAR: Pagado 2024 — TER-03</t>
        </r>
      </text>
    </comment>
    <comment ref="O6" authorId="0" shapeId="0" xr:uid="{00000000-0006-0000-0D00-00001D000000}">
      <text>
        <r>
          <rPr>
            <sz val="11"/>
            <color theme="1"/>
            <rFont val="Aptos Narrow"/>
            <family val="2"/>
            <scheme val="minor"/>
          </rPr>
          <t>DELL:
TER-03: Dev.Acum. Respaldo: 952.394</t>
        </r>
      </text>
    </comment>
    <comment ref="P6" authorId="0" shapeId="0" xr:uid="{00000000-0006-0000-0D00-00001E000000}">
      <text>
        <r>
          <rPr>
            <sz val="11"/>
            <color theme="1"/>
            <rFont val="Aptos Narrow"/>
            <family val="2"/>
            <scheme val="minor"/>
          </rPr>
          <t>DELL:
TER-03: Pag.Acum. Respaldo: 904.774</t>
        </r>
      </text>
    </comment>
    <comment ref="Q6" authorId="0" shapeId="0" xr:uid="{00000000-0006-0000-0D00-00001F000000}">
      <text>
        <r>
          <rPr>
            <sz val="11"/>
            <color theme="1"/>
            <rFont val="Aptos Narrow"/>
            <family val="2"/>
            <scheme val="minor"/>
          </rPr>
          <t>DELL:
Ti TER-03</t>
        </r>
      </text>
    </comment>
    <comment ref="D7" authorId="0" shapeId="0" xr:uid="{00000000-0006-0000-0D00-000020000000}">
      <text>
        <r>
          <rPr>
            <sz val="11"/>
            <color theme="1"/>
            <rFont val="Aptos Narrow"/>
            <family val="2"/>
            <scheme val="minor"/>
          </rPr>
          <t>DELL:
CUP PENDIENTE verificación en SIGPIP MFE.
Meta: Centro de Salud Tipo C — SOC-02.
Nota: puede no tener CUP propio si es gestión interinstitucional MSP (sin inversión GAD).
Verificar con Dir. Planificación y Dir. Financiera.</t>
        </r>
      </text>
    </comment>
    <comment ref="E7" authorId="0" shapeId="0" xr:uid="{00000000-0006-0000-0D00-000021000000}">
      <text>
        <r>
          <rPr>
            <sz val="11"/>
            <color theme="1"/>
            <rFont val="Aptos Narrow"/>
            <family val="2"/>
            <scheme val="minor"/>
          </rPr>
          <t>DELL:
Clasificador MFE: 7.3.06 = Convenios de Delegación. Centro Salud Tipo C requiere convenio MSP. Fuente: Clasificador MFE 2023 + COPFP Art.162.</t>
        </r>
      </text>
    </comment>
    <comment ref="F7" authorId="0" shapeId="0" xr:uid="{00000000-0006-0000-0D00-000022000000}">
      <text>
        <r>
          <rPr>
            <sz val="11"/>
            <color theme="1"/>
            <rFont val="Aptos Narrow"/>
            <family val="2"/>
            <scheme val="minor"/>
          </rPr>
          <t>DELL:
INGRESAR: Codificado 2023 — SOC-02 Centro Salud Tipo C (convenio MSP)</t>
        </r>
      </text>
    </comment>
    <comment ref="G7" authorId="0" shapeId="0" xr:uid="{00000000-0006-0000-0D00-000023000000}">
      <text>
        <r>
          <rPr>
            <sz val="11"/>
            <color theme="1"/>
            <rFont val="Aptos Narrow"/>
            <family val="2"/>
            <scheme val="minor"/>
          </rPr>
          <t>DELL:
INGRESAR: Devengado 2023 — SOC-02. Si no hay partida GAD: 0</t>
        </r>
      </text>
    </comment>
    <comment ref="H7" authorId="0" shapeId="0" xr:uid="{00000000-0006-0000-0D00-000024000000}">
      <text>
        <r>
          <rPr>
            <sz val="11"/>
            <color theme="1"/>
            <rFont val="Aptos Narrow"/>
            <family val="2"/>
            <scheme val="minor"/>
          </rPr>
          <t>DELL:
INGRESAR: Pagado 2023 — SOC-02</t>
        </r>
      </text>
    </comment>
    <comment ref="I7" authorId="0" shapeId="0" xr:uid="{00000000-0006-0000-0D00-000025000000}">
      <text>
        <r>
          <rPr>
            <sz val="11"/>
            <color theme="1"/>
            <rFont val="Aptos Narrow"/>
            <family val="2"/>
            <scheme val="minor"/>
          </rPr>
          <t>✅ VERIFICADO — Auditor Jefe
CODIF. 2024 SOC-02 Centro de Salud Tipo C
Partidas Patronato Municipal:
• 73.02.26 Serv. Médicos Hospitalarios: $58.736,87
• 73.06.06 Honorarios Cont. Civil: $72.586,72
TOTAL: $131.323,59
Fuente: Cédula Presupuestaria Patronato 2024 (Patronato_Presupesto_2024.docx)
Responsable: Coord. Adm.-Financiera PMASM
Verificado: SIAP-ICPI Auditoría CEDULAS 2024</t>
        </r>
      </text>
    </comment>
    <comment ref="J7" authorId="0" shapeId="0" xr:uid="{00000000-0006-0000-0D00-000026000000}">
      <text>
        <r>
          <rPr>
            <sz val="11"/>
            <color theme="1"/>
            <rFont val="Aptos Narrow"/>
            <family val="2"/>
            <scheme val="minor"/>
          </rPr>
          <t>✅ VERIFICADO — Auditor Jefe
DEVENGADO 2024 SOC-02 Centro de Salud Tipo C
Partidas Patronato:
• 73.02.26 Dev.: $30.367,20 (Ejecución 51,70%)
• 73.06.06 Dev.: $32.193,39 (Ejecución 44,35%)
TOTAL DEVENGADO: $62.560,59
Ti(2024) = Dev/Codif = 62.560,59/131.323,59 = 47,64%
ALERTA: 🔴 Ejecución crítica &lt;50% — deslinde Dirección
Fuente: Cédula Presupuestaria Patronato 2024</t>
        </r>
      </text>
    </comment>
    <comment ref="K7" authorId="0" shapeId="0" xr:uid="{00000000-0006-0000-0D00-000027000000}">
      <text>
        <r>
          <rPr>
            <sz val="11"/>
            <color theme="1"/>
            <rFont val="Aptos Narrow"/>
            <family val="2"/>
            <scheme val="minor"/>
          </rPr>
          <t>✅ VERIFICADO — Auditor Jefe
PAGADO 2024 SOC-02
• 73.02.26 Pag.: $14.753,31
• 73.06.06 Pag.: $20.821,78
TOTAL PAGADO: $35.575,09
% Pag/Dev = 56,87%
Fuente: Cédula Patronato 2024</t>
        </r>
      </text>
    </comment>
    <comment ref="M7" authorId="0" shapeId="0" xr:uid="{00000000-0006-0000-0D00-000028000000}">
      <text>
        <r>
          <rPr>
            <sz val="11"/>
            <color theme="1"/>
            <rFont val="Aptos Narrow"/>
            <family val="2"/>
            <scheme val="minor"/>
          </rPr>
          <t>DELL:
Codificado vigente REAL 2024 SOC-02 = partidas Patronato 73.02.26 + 73.06.06. Actualizado desde eSIGEF Cédula Dic.2024. Anterior valor era referencial PDOT ($1.693.800). COPFP Art.118.</t>
        </r>
      </text>
    </comment>
    <comment ref="D8" authorId="0" shapeId="0" xr:uid="{00000000-0006-0000-0D00-000029000000}">
      <text>
        <r>
          <rPr>
            <sz val="11"/>
            <color theme="1"/>
            <rFont val="Aptos Narrow"/>
            <family val="2"/>
            <scheme val="minor"/>
          </rPr>
          <t>DELL:
CUP PENDIENTE verificación en SIGPIP MFE.
Meta: Nuevo Terminal Terrestre — TER-09.
Buscar proyecto: 'Estudio Factibilidad Terminal Terrestre Montecristi'.
Reemplazar con CUP oficial.</t>
        </r>
      </text>
    </comment>
    <comment ref="E8" authorId="0" shapeId="0" xr:uid="{00000000-0006-0000-0D00-00002A000000}">
      <text>
        <r>
          <rPr>
            <sz val="11"/>
            <color theme="1"/>
            <rFont val="Aptos Narrow"/>
            <family val="2"/>
            <scheme val="minor"/>
          </rPr>
          <t>DELL:
Clasificador MFE: 7.5.01 = Obras de Infraestructura. Terminal Terrestre: infraestructura de movilidad. Fuente: Clasificador MFE 2023.</t>
        </r>
      </text>
    </comment>
    <comment ref="F8" authorId="0" shapeId="0" xr:uid="{00000000-0006-0000-0D00-00002B000000}">
      <text>
        <r>
          <rPr>
            <sz val="11"/>
            <color theme="1"/>
            <rFont val="Aptos Narrow"/>
            <family val="2"/>
            <scheme val="minor"/>
          </rPr>
          <t>DELL:
INGRESAR: Codificado 2023 — TER-09 Terminal Terrestre</t>
        </r>
      </text>
    </comment>
    <comment ref="G8" authorId="0" shapeId="0" xr:uid="{00000000-0006-0000-0D00-00002C000000}">
      <text>
        <r>
          <rPr>
            <sz val="11"/>
            <color theme="1"/>
            <rFont val="Aptos Narrow"/>
            <family val="2"/>
            <scheme val="minor"/>
          </rPr>
          <t>DELL:
INGRESAR: Devengado 2023 — TER-09. Si no inició: 0</t>
        </r>
      </text>
    </comment>
    <comment ref="H8" authorId="0" shapeId="0" xr:uid="{00000000-0006-0000-0D00-00002D000000}">
      <text>
        <r>
          <rPr>
            <sz val="11"/>
            <color theme="1"/>
            <rFont val="Aptos Narrow"/>
            <family val="2"/>
            <scheme val="minor"/>
          </rPr>
          <t>DELL:
INGRESAR: Pagado 2023 — TER-09</t>
        </r>
      </text>
    </comment>
    <comment ref="I8" authorId="0" shapeId="0" xr:uid="{00000000-0006-0000-0D00-00002E000000}">
      <text>
        <r>
          <rPr>
            <sz val="11"/>
            <color theme="1"/>
            <rFont val="Aptos Narrow"/>
            <family val="2"/>
            <scheme val="minor"/>
          </rPr>
          <t>DELL:
INGRESAR: Codificado 2024 — TER-09 Terminal Terrestre</t>
        </r>
      </text>
    </comment>
    <comment ref="J8" authorId="0" shapeId="0" xr:uid="{00000000-0006-0000-0D00-00002F000000}">
      <text>
        <r>
          <rPr>
            <sz val="11"/>
            <color theme="1"/>
            <rFont val="Aptos Narrow"/>
            <family val="2"/>
            <scheme val="minor"/>
          </rPr>
          <t>DELL:
INGRESAR: Devengado 2024 — TER-09</t>
        </r>
      </text>
    </comment>
    <comment ref="K8" authorId="0" shapeId="0" xr:uid="{00000000-0006-0000-0D00-000030000000}">
      <text>
        <r>
          <rPr>
            <sz val="11"/>
            <color theme="1"/>
            <rFont val="Aptos Narrow"/>
            <family val="2"/>
            <scheme val="minor"/>
          </rPr>
          <t>DELL:
INGRESAR: Pagado 2024 — TER-09</t>
        </r>
      </text>
    </comment>
    <comment ref="D9" authorId="0" shapeId="0" xr:uid="{00000000-0006-0000-0D00-000031000000}">
      <text>
        <r>
          <rPr>
            <sz val="11"/>
            <color theme="1"/>
            <rFont val="Aptos Narrow"/>
            <family val="2"/>
            <scheme val="minor"/>
          </rPr>
          <t>DELL:
CUP PENDIENTE verificación en SIGPIP MFE.
Meta: Nuevo Camal Municipal — TER-10.
NOTA: RDC 2024 confirma DESPRIORIZADO. Es probable que no tenga CUP asignado.
Verificar estado en SIGPIP. Mantener como pendiente.</t>
        </r>
      </text>
    </comment>
    <comment ref="E9" authorId="0" shapeId="0" xr:uid="{00000000-0006-0000-0D00-000032000000}">
      <text>
        <r>
          <rPr>
            <sz val="11"/>
            <color theme="1"/>
            <rFont val="Aptos Narrow"/>
            <family val="2"/>
            <scheme val="minor"/>
          </rPr>
          <t>DELL:
Clasificador MFE: 7.5.01 = Obras de Infraestructura. Camal: infraestructura municipal de servicios. Fuente: Clasificador MFE 2023.</t>
        </r>
      </text>
    </comment>
    <comment ref="F9" authorId="0" shapeId="0" xr:uid="{00000000-0006-0000-0D00-000033000000}">
      <text>
        <r>
          <rPr>
            <sz val="11"/>
            <color theme="1"/>
            <rFont val="Aptos Narrow"/>
            <family val="2"/>
            <scheme val="minor"/>
          </rPr>
          <t>DELL:
INGRESAR: Codificado 2023 — TER-10 Camal Municipal. RDC 2024: sin ejecución</t>
        </r>
      </text>
    </comment>
    <comment ref="G9" authorId="0" shapeId="0" xr:uid="{00000000-0006-0000-0D00-000034000000}">
      <text>
        <r>
          <rPr>
            <sz val="11"/>
            <color theme="1"/>
            <rFont val="Aptos Narrow"/>
            <family val="2"/>
            <scheme val="minor"/>
          </rPr>
          <t>DELL:
INGRESAR: Devengado 2023 — TER-10. Probable 0</t>
        </r>
      </text>
    </comment>
    <comment ref="H9" authorId="0" shapeId="0" xr:uid="{00000000-0006-0000-0D00-000035000000}">
      <text>
        <r>
          <rPr>
            <sz val="11"/>
            <color theme="1"/>
            <rFont val="Aptos Narrow"/>
            <family val="2"/>
            <scheme val="minor"/>
          </rPr>
          <t>DELL:
INGRESAR: Pagado 2023 — TER-10</t>
        </r>
      </text>
    </comment>
    <comment ref="I9" authorId="0" shapeId="0" xr:uid="{00000000-0006-0000-0D00-000036000000}">
      <text>
        <r>
          <rPr>
            <sz val="11"/>
            <color theme="1"/>
            <rFont val="Aptos Narrow"/>
            <family val="2"/>
            <scheme val="minor"/>
          </rPr>
          <t>DELL:
INGRESAR: Codificado 2024 — TER-10 Camal Municipal</t>
        </r>
      </text>
    </comment>
    <comment ref="J9" authorId="0" shapeId="0" xr:uid="{00000000-0006-0000-0D00-000037000000}">
      <text>
        <r>
          <rPr>
            <sz val="11"/>
            <color theme="1"/>
            <rFont val="Aptos Narrow"/>
            <family val="2"/>
            <scheme val="minor"/>
          </rPr>
          <t>DELL:
INGRESAR: Devengado 2024 — TER-10</t>
        </r>
      </text>
    </comment>
    <comment ref="K9" authorId="0" shapeId="0" xr:uid="{00000000-0006-0000-0D00-000038000000}">
      <text>
        <r>
          <rPr>
            <sz val="11"/>
            <color theme="1"/>
            <rFont val="Aptos Narrow"/>
            <family val="2"/>
            <scheme val="minor"/>
          </rPr>
          <t>DELL:
INGRESAR: Pagado 2024 — TER-10</t>
        </r>
      </text>
    </comment>
    <comment ref="D10" authorId="0" shapeId="0" xr:uid="{00000000-0006-0000-0D00-000039000000}">
      <text>
        <r>
          <rPr>
            <sz val="11"/>
            <color theme="1"/>
            <rFont val="Aptos Narrow"/>
            <family val="2"/>
            <scheme val="minor"/>
          </rPr>
          <t>DELL:
CUP PENDIENTE verificación en SIGPIP MFE.
Meta: Equipamiento Geriátrico — SOC-03.
Ejecuta el Patronato Municipal. CUP puede estar a nombre del Patronato.
Verificar en SIGPIP bajo Patronato o transferencia GAD.</t>
        </r>
      </text>
    </comment>
    <comment ref="E10" authorId="0" shapeId="0" xr:uid="{00000000-0006-0000-0D00-00003A000000}">
      <text>
        <r>
          <rPr>
            <sz val="11"/>
            <color theme="1"/>
            <rFont val="Aptos Narrow"/>
            <family val="2"/>
            <scheme val="minor"/>
          </rPr>
          <t>DELL:
Clasificador MFE: 8.4.02 = Maquinaria y Equipos (Bienes de Larga Duración). Equipamiento geriátrico: mobiliario y equipo médico. Fuente: Clasificador MFE 2023.</t>
        </r>
      </text>
    </comment>
    <comment ref="F10" authorId="0" shapeId="0" xr:uid="{00000000-0006-0000-0D00-00003B000000}">
      <text>
        <r>
          <rPr>
            <sz val="11"/>
            <color theme="1"/>
            <rFont val="Aptos Narrow"/>
            <family val="2"/>
            <scheme val="minor"/>
          </rPr>
          <t>DELL:
INGRESAR: Codificado 2023 — SOC-03 Equipamiento Geriátrico (Patronato)</t>
        </r>
      </text>
    </comment>
    <comment ref="G10" authorId="0" shapeId="0" xr:uid="{00000000-0006-0000-0D00-00003C000000}">
      <text>
        <r>
          <rPr>
            <sz val="11"/>
            <color theme="1"/>
            <rFont val="Aptos Narrow"/>
            <family val="2"/>
            <scheme val="minor"/>
          </rPr>
          <t>DELL:
INGRESAR: Devengado 2023 — SOC-03</t>
        </r>
      </text>
    </comment>
    <comment ref="H10" authorId="0" shapeId="0" xr:uid="{00000000-0006-0000-0D00-00003D000000}">
      <text>
        <r>
          <rPr>
            <sz val="11"/>
            <color theme="1"/>
            <rFont val="Aptos Narrow"/>
            <family val="2"/>
            <scheme val="minor"/>
          </rPr>
          <t>DELL:
INGRESAR: Pagado 2023 — SOC-03</t>
        </r>
      </text>
    </comment>
    <comment ref="I10" authorId="0" shapeId="0" xr:uid="{00000000-0006-0000-0D00-00003E000000}">
      <text>
        <r>
          <rPr>
            <sz val="11"/>
            <color theme="1"/>
            <rFont val="Aptos Narrow"/>
            <family val="2"/>
            <scheme val="minor"/>
          </rPr>
          <t>✅ VERIFICADO — Auditor Jefe
CODIF. 2024 SOC-03 Equipamiento Geriátrico
Partidas Patronato Municipal:
• 84.01.03 Mobiliario: $12.975,16
• 84.01.04 Maquinaria y Equipos: $7.700,00
• 84.01.13 Equipos Médicos: $21.500,00
• 84.01.15 Equipo Odontológico: $5.500,00
TOTAL CODIF.: $47.675,16
Fuente: Cédula Presupuestaria Patronato 2024 (Patronato_Presupesto_2024.docx)</t>
        </r>
      </text>
    </comment>
    <comment ref="J10" authorId="0" shapeId="0" xr:uid="{00000000-0006-0000-0D00-00003F000000}">
      <text>
        <r>
          <rPr>
            <sz val="11"/>
            <color theme="1"/>
            <rFont val="Aptos Narrow"/>
            <family val="2"/>
            <scheme val="minor"/>
          </rPr>
          <t>✅ VERIFICADO — Auditor Jefe
DEVENGADO 2024 SOC-03 Equipamiento Geriátrico
• 84.01.03 Mobiliario Dev.: $0,00 ← ⚠️ SIN EJECUCIÓN
• 84.01.04 Maquinaria Dev.: $5.454,00
• 84.01.13 Equipos Méd. Dev.: $5.350,00
• 84.01.15 Equipo Odonto Dev.: $5.231,70
TOTAL DEVENGADO: $16.035,70
Ti = 16.035,70 / 47.675,16 = 33,64%
ALERTA: 🔴 Mobiliario (84.01.03) CODIFICADO $12.975 sin devengar
Fuente: Cédula Patronato 2024</t>
        </r>
      </text>
    </comment>
    <comment ref="K10" authorId="0" shapeId="0" xr:uid="{00000000-0006-0000-0D00-000040000000}">
      <text>
        <r>
          <rPr>
            <sz val="11"/>
            <color theme="1"/>
            <rFont val="Aptos Narrow"/>
            <family val="2"/>
            <scheme val="minor"/>
          </rPr>
          <t>✅ VERIFICADO — Auditor Jefe
PAGADO 2024 SOC-03
Total Pagado = Total Devengado = $16.035,70
% Pag/Dev = 100%
Fuente: Cédula Patronato 2024</t>
        </r>
      </text>
    </comment>
    <comment ref="M10" authorId="0" shapeId="0" xr:uid="{00000000-0006-0000-0D00-000041000000}">
      <text>
        <r>
          <rPr>
            <sz val="11"/>
            <color theme="1"/>
            <rFont val="Aptos Narrow"/>
            <family val="2"/>
            <scheme val="minor"/>
          </rPr>
          <t>DELL:
Codificado vigente REAL 2024 SOC-03 Equipamiento Geriátrico = partidas Patronato 84.01.03+04+13+15 ($47.675,16). Fuente: eSIGEF Cédula Patronato Dic.2024. Responsable: Jenny Albán, PMASM. Anterior valor: $0 (sin partida PDOT asignada).</t>
        </r>
      </text>
    </comment>
    <comment ref="O10" authorId="0" shapeId="0" xr:uid="{00000000-0006-0000-0D00-000042000000}">
      <text>
        <r>
          <rPr>
            <sz val="11"/>
            <color theme="1"/>
            <rFont val="Aptos Narrow"/>
            <family val="2"/>
            <scheme val="minor"/>
          </rPr>
          <t>DELL:
SOC-03: Dev.Acum = G11(Dev.2023)+J11(Dev.2024 Patronato). Respaldo: $16.035,70 (real Patronato Dic.2024). Actualizar G11 con cédula 2023 cuando esté disponible.</t>
        </r>
      </text>
    </comment>
    <comment ref="P10" authorId="0" shapeId="0" xr:uid="{00000000-0006-0000-0D00-000043000000}">
      <text>
        <r>
          <rPr>
            <sz val="11"/>
            <color theme="1"/>
            <rFont val="Aptos Narrow"/>
            <family val="2"/>
            <scheme val="minor"/>
          </rPr>
          <t>DELL:
SOC-03: Pag.Acum. Respaldo: $16.035,70 real Patronato.</t>
        </r>
      </text>
    </comment>
    <comment ref="D11" authorId="0" shapeId="0" xr:uid="{00000000-0006-0000-0D00-000044000000}">
      <text>
        <r>
          <rPr>
            <sz val="11"/>
            <color theme="1"/>
            <rFont val="Aptos Narrow"/>
            <family val="2"/>
            <scheme val="minor"/>
          </rPr>
          <t>DELL:
CUP PENDIENTE verificación en SIGPIP MFE.
Meta: Bacheo y Pavimentación — TER-02.
Buscar proyecto: 'Mantenimiento Vial Urbano / Pavimentación Montecristi'.
Reemplazar con CUP oficial Dir. Financiera.</t>
        </r>
      </text>
    </comment>
    <comment ref="E11" authorId="0" shapeId="0" xr:uid="{00000000-0006-0000-0D00-000045000000}">
      <text>
        <r>
          <rPr>
            <sz val="11"/>
            <color theme="1"/>
            <rFont val="Aptos Narrow"/>
            <family val="2"/>
            <scheme val="minor"/>
          </rPr>
          <t>DELL:
Clasificador MFE: 7.3.06 para contratos obra; 7.5.04 para mantenimiento vial. Bacheo/pavimentación: mantenimiento + obra nueva según partida. Fuente: Clasificador MFE 2023.</t>
        </r>
      </text>
    </comment>
    <comment ref="F11" authorId="0" shapeId="0" xr:uid="{00000000-0006-0000-0D00-000046000000}">
      <text>
        <r>
          <rPr>
            <sz val="11"/>
            <color theme="1"/>
            <rFont val="Aptos Narrow"/>
            <family val="2"/>
            <scheme val="minor"/>
          </rPr>
          <t>DELL:
INGRESAR: Codificado 2023 — TER-02 Bacheo y Pavimentación</t>
        </r>
      </text>
    </comment>
    <comment ref="G11" authorId="0" shapeId="0" xr:uid="{00000000-0006-0000-0D00-000047000000}">
      <text>
        <r>
          <rPr>
            <sz val="11"/>
            <color theme="1"/>
            <rFont val="Aptos Narrow"/>
            <family val="2"/>
            <scheme val="minor"/>
          </rPr>
          <t>DELL:
INGRESAR: Devengado 2023 — TER-02</t>
        </r>
      </text>
    </comment>
    <comment ref="H11" authorId="0" shapeId="0" xr:uid="{00000000-0006-0000-0D00-000048000000}">
      <text>
        <r>
          <rPr>
            <sz val="11"/>
            <color theme="1"/>
            <rFont val="Aptos Narrow"/>
            <family val="2"/>
            <scheme val="minor"/>
          </rPr>
          <t>DELL:
INGRESAR: Pagado 2023 — TER-02</t>
        </r>
      </text>
    </comment>
    <comment ref="I11" authorId="0" shapeId="0" xr:uid="{00000000-0006-0000-0D00-000049000000}">
      <text>
        <r>
          <rPr>
            <sz val="11"/>
            <color theme="1"/>
            <rFont val="Aptos Narrow"/>
            <family val="2"/>
            <scheme val="minor"/>
          </rPr>
          <t>DELL:
INGRESAR: Codificado 2024 — TER-02 Bacheo y Pavimentación</t>
        </r>
      </text>
    </comment>
    <comment ref="J11" authorId="0" shapeId="0" xr:uid="{00000000-0006-0000-0D00-00004A000000}">
      <text>
        <r>
          <rPr>
            <sz val="11"/>
            <color theme="1"/>
            <rFont val="Aptos Narrow"/>
            <family val="2"/>
            <scheme val="minor"/>
          </rPr>
          <t>DELL:
INGRESAR: Devengado 2024 — TER-02</t>
        </r>
      </text>
    </comment>
    <comment ref="K11" authorId="0" shapeId="0" xr:uid="{00000000-0006-0000-0D00-00004B000000}">
      <text>
        <r>
          <rPr>
            <sz val="11"/>
            <color theme="1"/>
            <rFont val="Aptos Narrow"/>
            <family val="2"/>
            <scheme val="minor"/>
          </rPr>
          <t>DELL:
INGRESAR: Pagado 2024 — TER-02</t>
        </r>
      </text>
    </comment>
    <comment ref="D12" authorId="0" shapeId="0" xr:uid="{00000000-0006-0000-0D00-00004C000000}">
      <text>
        <r>
          <rPr>
            <sz val="11"/>
            <color theme="1"/>
            <rFont val="Aptos Narrow"/>
            <family val="2"/>
            <scheme val="minor"/>
          </rPr>
          <t>DELL:
CUP PENDIENTE verificación en SIGPIP MFE.
Meta: Unidad Médica Móvil — SOC-07.
Ejecuta el Patronato. CUP posiblemente como adquisición de bien (vehículo).
Verificar en SIGPIP o SERCOP bajo cod. Patronato.</t>
        </r>
      </text>
    </comment>
    <comment ref="E12" authorId="0" shapeId="0" xr:uid="{00000000-0006-0000-0D00-00004D000000}">
      <text>
        <r>
          <rPr>
            <sz val="11"/>
            <color theme="1"/>
            <rFont val="Aptos Narrow"/>
            <family val="2"/>
            <scheme val="minor"/>
          </rPr>
          <t>DELL:
Clasificador MFE: 8.4.02 = Vehículos (Bienes de Larga Duración). Unidad médica móvil: vehículo equipado. Fuente: Clasificador MFE 2023.</t>
        </r>
      </text>
    </comment>
    <comment ref="F12" authorId="0" shapeId="0" xr:uid="{00000000-0006-0000-0D00-00004E000000}">
      <text>
        <r>
          <rPr>
            <sz val="11"/>
            <color theme="1"/>
            <rFont val="Aptos Narrow"/>
            <family val="2"/>
            <scheme val="minor"/>
          </rPr>
          <t>DELL:
INGRESAR: Codificado 2023 — SOC-07 Unidad Médica Móvil (Patronato)</t>
        </r>
      </text>
    </comment>
    <comment ref="G12" authorId="0" shapeId="0" xr:uid="{00000000-0006-0000-0D00-00004F000000}">
      <text>
        <r>
          <rPr>
            <sz val="11"/>
            <color theme="1"/>
            <rFont val="Aptos Narrow"/>
            <family val="2"/>
            <scheme val="minor"/>
          </rPr>
          <t>DELL:
INGRESAR: Devengado 2023 — SOC-07</t>
        </r>
      </text>
    </comment>
    <comment ref="H12" authorId="0" shapeId="0" xr:uid="{00000000-0006-0000-0D00-000050000000}">
      <text>
        <r>
          <rPr>
            <sz val="11"/>
            <color theme="1"/>
            <rFont val="Aptos Narrow"/>
            <family val="2"/>
            <scheme val="minor"/>
          </rPr>
          <t>DELL:
INGRESAR: Pagado 2023 — SOC-07</t>
        </r>
      </text>
    </comment>
    <comment ref="I12" authorId="0" shapeId="0" xr:uid="{00000000-0006-0000-0D00-000051000000}">
      <text>
        <r>
          <rPr>
            <sz val="11"/>
            <color theme="1"/>
            <rFont val="Aptos Narrow"/>
            <family val="2"/>
            <scheme val="minor"/>
          </rPr>
          <t>✅ VERIFICADO — Auditor Jefe
CODIF. 2024 SOC-07 Unidad Médica Móvil
Partida Patronato:
• 84.01.05 Vehículos: Asignado $60.000 + Reforma $20.000 = $80.000
Fuente: Cédula Presupuestaria Patronato 2024 (Patronato_Presupesto_2024.docx)</t>
        </r>
      </text>
    </comment>
    <comment ref="J12" authorId="0" shapeId="0" xr:uid="{00000000-0006-0000-0D00-000052000000}">
      <text>
        <r>
          <rPr>
            <sz val="11"/>
            <color theme="1"/>
            <rFont val="Aptos Narrow"/>
            <family val="2"/>
            <scheme val="minor"/>
          </rPr>
          <t>✅ VERIFICADO — Auditor Jefe
DEVENGADO 2024 SOC-07 Unidad Médica Móvil
• 84.01.05 Dev.: $24.836,44 (Ejecución 31,05%)
Ti = 24.836,44 / 80.000 = 31,05%
ALERTA: 🟡 Ejecución &lt;60% — acelerar POA 2025
⚠️ Vehículo certificado pero 68,9% sin devengar al cierre 2024
Fuente: Cédula Patronato 2024</t>
        </r>
      </text>
    </comment>
    <comment ref="K12" authorId="0" shapeId="0" xr:uid="{00000000-0006-0000-0D00-000053000000}">
      <text>
        <r>
          <rPr>
            <sz val="11"/>
            <color theme="1"/>
            <rFont val="Aptos Narrow"/>
            <family val="2"/>
            <scheme val="minor"/>
          </rPr>
          <t>✅ VERIFICADO — Auditor Jefe
PAGADO 2024 SOC-07
Pagado = Devengado = $24.836,44
% Pag/Dev = 100%
Fuente: Cédula Patronato 2024</t>
        </r>
      </text>
    </comment>
    <comment ref="M12" authorId="0" shapeId="0" xr:uid="{00000000-0006-0000-0D00-000054000000}">
      <text>
        <r>
          <rPr>
            <sz val="11"/>
            <color theme="1"/>
            <rFont val="Aptos Narrow"/>
            <family val="2"/>
            <scheme val="minor"/>
          </rPr>
          <t>DELL:
Codificado vigente REAL 2024 SOC-07 Unidad Médica Móvil = partida 84.01.05 Vehículos Patronato ($80.000). Asignado $60.000 + reforma $20.000. Fuente: eSIGEF Cédula Patronato Dic.2024.</t>
        </r>
      </text>
    </comment>
    <comment ref="D13" authorId="0" shapeId="0" xr:uid="{00000000-0006-0000-0D00-000055000000}">
      <text>
        <r>
          <rPr>
            <sz val="11"/>
            <color theme="1"/>
            <rFont val="Aptos Narrow"/>
            <family val="2"/>
            <scheme val="minor"/>
          </rPr>
          <t>DELL:
CUP PENDIENTE verificación en SIGPIP MFE.
Meta: Planta Oxidación/PTAR — AMB-07.
Buscar proyecto: 'PTAR Montecristi / PTAR Eloy Alfaro BDE-PROGAPSA'.
RDC 2024: estudios definitivos en curso. Puede tener CUP para estudios.</t>
        </r>
      </text>
    </comment>
    <comment ref="E13" authorId="0" shapeId="0" xr:uid="{00000000-0006-0000-0D00-000056000000}">
      <text>
        <r>
          <rPr>
            <sz val="11"/>
            <color theme="1"/>
            <rFont val="Aptos Narrow"/>
            <family val="2"/>
            <scheme val="minor"/>
          </rPr>
          <t>DELL:
Clasificador MFE: 7.5.01 = Obras de Infraestructura. PTAR/Planta oxidación: obra de saneamiento ambiental. Fuente: Clasificador MFE 2023.</t>
        </r>
      </text>
    </comment>
    <comment ref="F13" authorId="0" shapeId="0" xr:uid="{00000000-0006-0000-0D00-000057000000}">
      <text>
        <r>
          <rPr>
            <sz val="11"/>
            <color theme="1"/>
            <rFont val="Aptos Narrow"/>
            <family val="2"/>
            <scheme val="minor"/>
          </rPr>
          <t>DELL:
INGRESAR: Codificado 2023 — AMB-07 Planta Oxidación/PTAR</t>
        </r>
      </text>
    </comment>
    <comment ref="G13" authorId="0" shapeId="0" xr:uid="{00000000-0006-0000-0D00-000058000000}">
      <text>
        <r>
          <rPr>
            <sz val="11"/>
            <color theme="1"/>
            <rFont val="Aptos Narrow"/>
            <family val="2"/>
            <scheme val="minor"/>
          </rPr>
          <t>DELL:
INGRESAR: Devengado 2023 — AMB-07</t>
        </r>
      </text>
    </comment>
    <comment ref="H13" authorId="0" shapeId="0" xr:uid="{00000000-0006-0000-0D00-000059000000}">
      <text>
        <r>
          <rPr>
            <sz val="11"/>
            <color theme="1"/>
            <rFont val="Aptos Narrow"/>
            <family val="2"/>
            <scheme val="minor"/>
          </rPr>
          <t>DELL:
INGRESAR: Pagado 2023 — AMB-07</t>
        </r>
      </text>
    </comment>
    <comment ref="I13" authorId="0" shapeId="0" xr:uid="{00000000-0006-0000-0D00-00005A000000}">
      <text>
        <r>
          <rPr>
            <sz val="11"/>
            <color theme="1"/>
            <rFont val="Aptos Narrow"/>
            <family val="2"/>
            <scheme val="minor"/>
          </rPr>
          <t>DELL:
INGRESAR: Codificado 2024 — AMB-07 PTAR</t>
        </r>
      </text>
    </comment>
    <comment ref="J13" authorId="0" shapeId="0" xr:uid="{00000000-0006-0000-0D00-00005B000000}">
      <text>
        <r>
          <rPr>
            <sz val="11"/>
            <color theme="1"/>
            <rFont val="Aptos Narrow"/>
            <family val="2"/>
            <scheme val="minor"/>
          </rPr>
          <t>DELL:
INGRESAR: Devengado 2024 — AMB-07</t>
        </r>
      </text>
    </comment>
    <comment ref="K13" authorId="0" shapeId="0" xr:uid="{00000000-0006-0000-0D00-00005C000000}">
      <text>
        <r>
          <rPr>
            <sz val="11"/>
            <color theme="1"/>
            <rFont val="Aptos Narrow"/>
            <family val="2"/>
            <scheme val="minor"/>
          </rPr>
          <t>DELL:
INGRESAR: Pagado 2024 — AMB-07</t>
        </r>
      </text>
    </comment>
    <comment ref="D14" authorId="0" shapeId="0" xr:uid="{00000000-0006-0000-0D00-00005D000000}">
      <text>
        <r>
          <rPr>
            <sz val="11"/>
            <color theme="1"/>
            <rFont val="Aptos Narrow"/>
            <family val="2"/>
            <scheme val="minor"/>
          </rPr>
          <t>DELL:
CUP PENDIENTE verificación en SIGPIP MFE.
Meta: Parques y Áreas Verdes — TER-05.
Buscar proyecto: 'Parque Las Pampas / Red Verde Montecristi'.
Reemplazar con CUP oficial.</t>
        </r>
      </text>
    </comment>
    <comment ref="E14" authorId="0" shapeId="0" xr:uid="{00000000-0006-0000-0D00-00005E000000}">
      <text>
        <r>
          <rPr>
            <sz val="11"/>
            <color theme="1"/>
            <rFont val="Aptos Narrow"/>
            <family val="2"/>
            <scheme val="minor"/>
          </rPr>
          <t>DELL:
Clasificador MFE: 7.5.01 = Obras de Infraestructura. Parques y áreas verdes: espacio público urbano. Fuente: Clasificador MFE 2023.</t>
        </r>
      </text>
    </comment>
    <comment ref="F14" authorId="0" shapeId="0" xr:uid="{00000000-0006-0000-0D00-00005F000000}">
      <text>
        <r>
          <rPr>
            <sz val="11"/>
            <color theme="1"/>
            <rFont val="Aptos Narrow"/>
            <family val="2"/>
            <scheme val="minor"/>
          </rPr>
          <t>DELL:
INGRESAR: Codificado 2023 — TER-05 Parques y Áreas Verdes</t>
        </r>
      </text>
    </comment>
    <comment ref="G14" authorId="0" shapeId="0" xr:uid="{00000000-0006-0000-0D00-000060000000}">
      <text>
        <r>
          <rPr>
            <sz val="11"/>
            <color theme="1"/>
            <rFont val="Aptos Narrow"/>
            <family val="2"/>
            <scheme val="minor"/>
          </rPr>
          <t>DELL:
INGRESAR: Devengado 2023 — TER-05</t>
        </r>
      </text>
    </comment>
    <comment ref="H14" authorId="0" shapeId="0" xr:uid="{00000000-0006-0000-0D00-000061000000}">
      <text>
        <r>
          <rPr>
            <sz val="11"/>
            <color theme="1"/>
            <rFont val="Aptos Narrow"/>
            <family val="2"/>
            <scheme val="minor"/>
          </rPr>
          <t>DELL:
INGRESAR: Pagado 2023 — TER-05</t>
        </r>
      </text>
    </comment>
    <comment ref="I14" authorId="0" shapeId="0" xr:uid="{00000000-0006-0000-0D00-000062000000}">
      <text>
        <r>
          <rPr>
            <sz val="11"/>
            <color theme="1"/>
            <rFont val="Aptos Narrow"/>
            <family val="2"/>
            <scheme val="minor"/>
          </rPr>
          <t>DELL:
INGRESAR: Codificado 2024 — TER-05 Parques y Áreas Verdes</t>
        </r>
      </text>
    </comment>
    <comment ref="J14" authorId="0" shapeId="0" xr:uid="{00000000-0006-0000-0D00-000063000000}">
      <text>
        <r>
          <rPr>
            <sz val="11"/>
            <color theme="1"/>
            <rFont val="Aptos Narrow"/>
            <family val="2"/>
            <scheme val="minor"/>
          </rPr>
          <t>DELL:
INGRESAR: Devengado 2024 — TER-05</t>
        </r>
      </text>
    </comment>
    <comment ref="K14" authorId="0" shapeId="0" xr:uid="{00000000-0006-0000-0D00-000064000000}">
      <text>
        <r>
          <rPr>
            <sz val="11"/>
            <color theme="1"/>
            <rFont val="Aptos Narrow"/>
            <family val="2"/>
            <scheme val="minor"/>
          </rPr>
          <t>DELL:
INGRESAR: Pagado 2024 — TER-05</t>
        </r>
      </text>
    </comment>
    <comment ref="D15" authorId="0" shapeId="0" xr:uid="{00000000-0006-0000-0D00-000065000000}">
      <text>
        <r>
          <rPr>
            <sz val="11"/>
            <color theme="1"/>
            <rFont val="Aptos Narrow"/>
            <family val="2"/>
            <scheme val="minor"/>
          </rPr>
          <t>DELL:
CUP PENDIENTE verificación en SIGPIP MFE.
Meta: Guarderías Nocturnas — SOC-04.
NOTA: sin ejecución confirmada (Vi=0, Ti=0). Probable que no tenga CUP.
Verificar con Patronato y MIES.</t>
        </r>
      </text>
    </comment>
    <comment ref="E15" authorId="0" shapeId="0" xr:uid="{00000000-0006-0000-0D00-000066000000}">
      <text>
        <r>
          <rPr>
            <sz val="11"/>
            <color theme="1"/>
            <rFont val="Aptos Narrow"/>
            <family val="2"/>
            <scheme val="minor"/>
          </rPr>
          <t>DELL:
Clasificador MFE: 7.3.06 si es convenio MIES, 7.3.01 si es gasto directo. Guarderías nocturnas: servicio social. Fuente: Clasificador MFE 2023.</t>
        </r>
      </text>
    </comment>
    <comment ref="F15" authorId="0" shapeId="0" xr:uid="{00000000-0006-0000-0D00-000067000000}">
      <text>
        <r>
          <rPr>
            <sz val="11"/>
            <color theme="1"/>
            <rFont val="Aptos Narrow"/>
            <family val="2"/>
            <scheme val="minor"/>
          </rPr>
          <t>DELL:
INGRESAR: Codificado 2023 — SOC-04 Guarderías Nocturnas</t>
        </r>
      </text>
    </comment>
    <comment ref="G15" authorId="0" shapeId="0" xr:uid="{00000000-0006-0000-0D00-000068000000}">
      <text>
        <r>
          <rPr>
            <sz val="11"/>
            <color theme="1"/>
            <rFont val="Aptos Narrow"/>
            <family val="2"/>
            <scheme val="minor"/>
          </rPr>
          <t>DELL:
INGRESAR: Devengado 2023 — SOC-04. Sin ejecución: 0</t>
        </r>
      </text>
    </comment>
    <comment ref="H15" authorId="0" shapeId="0" xr:uid="{00000000-0006-0000-0D00-000069000000}">
      <text>
        <r>
          <rPr>
            <sz val="11"/>
            <color theme="1"/>
            <rFont val="Aptos Narrow"/>
            <family val="2"/>
            <scheme val="minor"/>
          </rPr>
          <t>DELL:
INGRESAR: Pagado 2023 — SOC-04</t>
        </r>
      </text>
    </comment>
    <comment ref="I15" authorId="0" shapeId="0" xr:uid="{00000000-0006-0000-0D00-00006A000000}">
      <text>
        <r>
          <rPr>
            <sz val="11"/>
            <color theme="1"/>
            <rFont val="Aptos Narrow"/>
            <family val="2"/>
            <scheme val="minor"/>
          </rPr>
          <t>✅ VERIFICADO — Auditor Jefe
CODIF. 2024 SOC-04 Guaderías Nocturnas
Partidas Patronato:
• 73.06.13 Capacitación Ciudadanía: $7.000,00
• 73.02.49 Eventos Públicos Promocionales: $3.000,00
TOTAL CODIF.: $10.000,00
⚠️ ALERTA EJECUCIÓN: Presupuesto asignado y codificado pero NO devengado
Fuente: Cédula Presupuestaria Patronato 2024 (Patronato_Presupesto_2024.docx)</t>
        </r>
      </text>
    </comment>
    <comment ref="J15" authorId="0" shapeId="0" xr:uid="{00000000-0006-0000-0D00-00006B000000}">
      <text>
        <r>
          <rPr>
            <sz val="11"/>
            <color theme="1"/>
            <rFont val="Aptos Narrow"/>
            <family val="2"/>
            <scheme val="minor"/>
          </rPr>
          <t>🔴 ALERTA EJECUTIVA — Auditor Jefe
DEVENGADO 2024 SOC-04 Guaderías Nocturnas = $0
• 73.06.13 Capacitación: Dev $0 (Ejecución 0%)
• 73.02.49 Eventos: Dev $0 (Ejecución 0%)
Ti = 0 / 10.000 = 0,00%
⚠️ PRESUPUESTO CODIFICADO SIN EJECUCIóN:
   $10.000 codificados en Patronato 2024
   DEVENGADO = $0 al cierre diciembre 2024
ACCIÓN REQUERIDA: Revisar SERCOP + reformular POA 2025
Fuente: Cédula Patronato 2024</t>
        </r>
      </text>
    </comment>
    <comment ref="K15" authorId="0" shapeId="0" xr:uid="{00000000-0006-0000-0D00-00006C000000}">
      <text>
        <r>
          <rPr>
            <sz val="11"/>
            <color theme="1"/>
            <rFont val="Aptos Narrow"/>
            <family val="2"/>
            <scheme val="minor"/>
          </rPr>
          <t>🔴 PAGADO 2024 SOC-04 = $0
Consistente con devengado $0
Fuente: Cédula Patronato 2024</t>
        </r>
      </text>
    </comment>
    <comment ref="M15" authorId="0" shapeId="0" xr:uid="{00000000-0006-0000-0D00-00006D000000}">
      <text>
        <r>
          <rPr>
            <sz val="11"/>
            <color theme="1"/>
            <rFont val="Aptos Narrow"/>
            <family val="2"/>
            <scheme val="minor"/>
          </rPr>
          <t>DELL:
Codificado vigente REAL 2024 SOC-04 Guarderías Nocturnas = partidas Patronato 73.06.13 ($7.000) + 73.02.49 ($3.000). Ti=0%: sin ejecución. Fuente: eSIGEF Cédula Patronato Dic.2024.</t>
        </r>
      </text>
    </comment>
    <comment ref="D16" authorId="0" shapeId="0" xr:uid="{00000000-0006-0000-0D00-00006E000000}">
      <text>
        <r>
          <rPr>
            <sz val="11"/>
            <color theme="1"/>
            <rFont val="Aptos Narrow"/>
            <family val="2"/>
            <scheme val="minor"/>
          </rPr>
          <t>DELL:
CUP PENDIENTE verificación en SIGPIP MFE.
Meta: Planta Tratamiento Desechos — AMB-08.
Ejecuta EP Aseo Integral. CUP puede estar bajo EP Aseo.
Buscar: 'Relleno Sanitario Montecristi / EP Aseo'.</t>
        </r>
      </text>
    </comment>
    <comment ref="E16" authorId="0" shapeId="0" xr:uid="{00000000-0006-0000-0D00-00006F000000}">
      <text>
        <r>
          <rPr>
            <sz val="11"/>
            <color theme="1"/>
            <rFont val="Aptos Narrow"/>
            <family val="2"/>
            <scheme val="minor"/>
          </rPr>
          <t>DELL:
Clasificador MFE: 7.5.01 = Obras de Infraestructura. Planta tratamiento desechos/relleno sanitario: obra de saneamiento. Fuente: Clasificador MFE 2023.</t>
        </r>
      </text>
    </comment>
    <comment ref="F16" authorId="0" shapeId="0" xr:uid="{00000000-0006-0000-0D00-000070000000}">
      <text>
        <r>
          <rPr>
            <sz val="11"/>
            <color theme="1"/>
            <rFont val="Aptos Narrow"/>
            <family val="2"/>
            <scheme val="minor"/>
          </rPr>
          <t>DELL:
INGRESAR: Codificado 2023 — AMB-08 Planta Tratamiento Desechos (EP Aseo)</t>
        </r>
      </text>
    </comment>
    <comment ref="G16" authorId="0" shapeId="0" xr:uid="{00000000-0006-0000-0D00-000071000000}">
      <text>
        <r>
          <rPr>
            <sz val="11"/>
            <color theme="1"/>
            <rFont val="Aptos Narrow"/>
            <family val="2"/>
            <scheme val="minor"/>
          </rPr>
          <t>DELL:
INGRESAR: Devengado 2023 — AMB-08</t>
        </r>
      </text>
    </comment>
    <comment ref="H16" authorId="0" shapeId="0" xr:uid="{00000000-0006-0000-0D00-000072000000}">
      <text>
        <r>
          <rPr>
            <sz val="11"/>
            <color theme="1"/>
            <rFont val="Aptos Narrow"/>
            <family val="2"/>
            <scheme val="minor"/>
          </rPr>
          <t>DELL:
INGRESAR: Pagado 2023 — AMB-08</t>
        </r>
      </text>
    </comment>
    <comment ref="I16" authorId="0" shapeId="0" xr:uid="{00000000-0006-0000-0D00-000073000000}">
      <text>
        <r>
          <rPr>
            <sz val="11"/>
            <color theme="1"/>
            <rFont val="Aptos Narrow"/>
            <family val="2"/>
            <scheme val="minor"/>
          </rPr>
          <t>DELL:
INGRESAR: Codificado 2024 — AMB-08 Planta Tratamiento</t>
        </r>
      </text>
    </comment>
    <comment ref="J16" authorId="0" shapeId="0" xr:uid="{00000000-0006-0000-0D00-000074000000}">
      <text>
        <r>
          <rPr>
            <sz val="11"/>
            <color theme="1"/>
            <rFont val="Aptos Narrow"/>
            <family val="2"/>
            <scheme val="minor"/>
          </rPr>
          <t>DELL:
INGRESAR: Devengado 2024 — AMB-08</t>
        </r>
      </text>
    </comment>
    <comment ref="K16" authorId="0" shapeId="0" xr:uid="{00000000-0006-0000-0D00-000075000000}">
      <text>
        <r>
          <rPr>
            <sz val="11"/>
            <color theme="1"/>
            <rFont val="Aptos Narrow"/>
            <family val="2"/>
            <scheme val="minor"/>
          </rPr>
          <t>DELL:
INGRESAR: Pagado 2024 — AMB-08</t>
        </r>
      </text>
    </comment>
    <comment ref="D17" authorId="0" shapeId="0" xr:uid="{00000000-0006-0000-0D00-000076000000}">
      <text>
        <r>
          <rPr>
            <sz val="11"/>
            <color theme="1"/>
            <rFont val="Aptos Narrow"/>
            <family val="2"/>
            <scheme val="minor"/>
          </rPr>
          <t>DELL:
CUP PENDIENTE verificación en SIGPIP MFE.
Meta: Equipo Caminero/Maquinaria — TER-01.
Adquisición de bien: buscar en SERCOP proceso licitación maquinaria.
Puede tener CUP de bien de larga duración.</t>
        </r>
      </text>
    </comment>
    <comment ref="E17" authorId="0" shapeId="0" xr:uid="{00000000-0006-0000-0D00-000077000000}">
      <text>
        <r>
          <rPr>
            <sz val="11"/>
            <color theme="1"/>
            <rFont val="Aptos Narrow"/>
            <family val="2"/>
            <scheme val="minor"/>
          </rPr>
          <t>DELL:
Clasificador MFE: 8.4.02 = Maquinaria y Equipos. Equipo caminero: maquinaria de construcción. Fuente: Clasificador MFE 2023.</t>
        </r>
      </text>
    </comment>
    <comment ref="F17" authorId="0" shapeId="0" xr:uid="{00000000-0006-0000-0D00-000078000000}">
      <text>
        <r>
          <rPr>
            <sz val="11"/>
            <color theme="1"/>
            <rFont val="Aptos Narrow"/>
            <family val="2"/>
            <scheme val="minor"/>
          </rPr>
          <t>DELL:
INGRESAR: Codificado 2023 — TER-01 Equipo Caminero/Maquinaria</t>
        </r>
      </text>
    </comment>
    <comment ref="G17" authorId="0" shapeId="0" xr:uid="{00000000-0006-0000-0D00-000079000000}">
      <text>
        <r>
          <rPr>
            <sz val="11"/>
            <color theme="1"/>
            <rFont val="Aptos Narrow"/>
            <family val="2"/>
            <scheme val="minor"/>
          </rPr>
          <t>DELL:
INGRESAR: Devengado 2023 — TER-01</t>
        </r>
      </text>
    </comment>
    <comment ref="H17" authorId="0" shapeId="0" xr:uid="{00000000-0006-0000-0D00-00007A000000}">
      <text>
        <r>
          <rPr>
            <sz val="11"/>
            <color theme="1"/>
            <rFont val="Aptos Narrow"/>
            <family val="2"/>
            <scheme val="minor"/>
          </rPr>
          <t>DELL:
INGRESAR: Pagado 2023 — TER-01</t>
        </r>
      </text>
    </comment>
    <comment ref="I17" authorId="0" shapeId="0" xr:uid="{00000000-0006-0000-0D00-00007B000000}">
      <text>
        <r>
          <rPr>
            <sz val="11"/>
            <color theme="1"/>
            <rFont val="Aptos Narrow"/>
            <family val="2"/>
            <scheme val="minor"/>
          </rPr>
          <t>DELL:
INGRESAR: Codificado 2024 — TER-01 Maquinaria</t>
        </r>
      </text>
    </comment>
    <comment ref="J17" authorId="0" shapeId="0" xr:uid="{00000000-0006-0000-0D00-00007C000000}">
      <text>
        <r>
          <rPr>
            <sz val="11"/>
            <color theme="1"/>
            <rFont val="Aptos Narrow"/>
            <family val="2"/>
            <scheme val="minor"/>
          </rPr>
          <t>DELL:
INGRESAR: Devengado 2024 — TER-01</t>
        </r>
      </text>
    </comment>
    <comment ref="K17" authorId="0" shapeId="0" xr:uid="{00000000-0006-0000-0D00-00007D000000}">
      <text>
        <r>
          <rPr>
            <sz val="11"/>
            <color theme="1"/>
            <rFont val="Aptos Narrow"/>
            <family val="2"/>
            <scheme val="minor"/>
          </rPr>
          <t>DELL:
INGRESAR: Pagado 2024 — TER-01</t>
        </r>
      </text>
    </comment>
    <comment ref="D18" authorId="0" shapeId="0" xr:uid="{00000000-0006-0000-0D00-00007E000000}">
      <text>
        <r>
          <rPr>
            <sz val="11"/>
            <color theme="1"/>
            <rFont val="Aptos Narrow"/>
            <family val="2"/>
            <scheme val="minor"/>
          </rPr>
          <t>DELL:
CUP PENDIENTE verificación en SIGPIP MFE.
Meta: Central Monitoreo/Cámaras — SOC-15.
Buscar: 'Sistema Videovigilancia CCTV Montecristi' en SERCOP o SIGPIP.
Factura pendiente de localización en Dir. TICS.</t>
        </r>
      </text>
    </comment>
    <comment ref="E18" authorId="0" shapeId="0" xr:uid="{00000000-0006-0000-0D00-00007F000000}">
      <text>
        <r>
          <rPr>
            <sz val="11"/>
            <color theme="1"/>
            <rFont val="Aptos Narrow"/>
            <family val="2"/>
            <scheme val="minor"/>
          </rPr>
          <t>DELL:
Clasificador MFE: 8.4.02 = Equipos Informáticos y Telecomunicaciones. CCTV/cámaras: equipo TIC. Fuente: Clasificador MFE 2023.</t>
        </r>
      </text>
    </comment>
    <comment ref="F18" authorId="0" shapeId="0" xr:uid="{00000000-0006-0000-0D00-000080000000}">
      <text>
        <r>
          <rPr>
            <sz val="11"/>
            <color theme="1"/>
            <rFont val="Aptos Narrow"/>
            <family val="2"/>
            <scheme val="minor"/>
          </rPr>
          <t>DELL:
INGRESAR: Codificado 2023 — SOC-15 Central Monitoreo/Cámaras CCTV</t>
        </r>
      </text>
    </comment>
    <comment ref="G18" authorId="0" shapeId="0" xr:uid="{00000000-0006-0000-0D00-000081000000}">
      <text>
        <r>
          <rPr>
            <sz val="11"/>
            <color theme="1"/>
            <rFont val="Aptos Narrow"/>
            <family val="2"/>
            <scheme val="minor"/>
          </rPr>
          <t>DELL:
INGRESAR: Devengado 2023 — SOC-15</t>
        </r>
      </text>
    </comment>
    <comment ref="H18" authorId="0" shapeId="0" xr:uid="{00000000-0006-0000-0D00-000082000000}">
      <text>
        <r>
          <rPr>
            <sz val="11"/>
            <color theme="1"/>
            <rFont val="Aptos Narrow"/>
            <family val="2"/>
            <scheme val="minor"/>
          </rPr>
          <t>DELL:
INGRESAR: Pagado 2023 — SOC-15</t>
        </r>
      </text>
    </comment>
    <comment ref="I18" authorId="0" shapeId="0" xr:uid="{00000000-0006-0000-0D00-000083000000}">
      <text>
        <r>
          <rPr>
            <sz val="11"/>
            <color theme="1"/>
            <rFont val="Aptos Narrow"/>
            <family val="2"/>
            <scheme val="minor"/>
          </rPr>
          <t>✅ VERIFICADO — Auditor Jefe
CODIF. 2024 SOC-15 Central Monitoreo / Cámaras CCTV
Partida Patronato:
• 84.01.07 Equipos, Sist. y Paquetes Informáticos:
  Asignado $22.000 + Reforma $1.000 = $23.000
Fuente: Cédula Presupuestaria Patronato 2024 (Patronato_Presupesto_2024.docx)</t>
        </r>
      </text>
    </comment>
    <comment ref="J18" authorId="0" shapeId="0" xr:uid="{00000000-0006-0000-0D00-000084000000}">
      <text>
        <r>
          <rPr>
            <sz val="11"/>
            <color theme="1"/>
            <rFont val="Aptos Narrow"/>
            <family val="2"/>
            <scheme val="minor"/>
          </rPr>
          <t>⚠️ ALERTA CRITICA — Auditor Jefe
DEVENGADO 2024 SOC-15 Central Monitoreo
• 84.01.07 Dev.: $9.003,00
• 84.01.07 Pag.: $2.572,69 (Brecha $6.430,31 sin pagar)
Ti = 9.003 / 23.000 = 39,14%
⚠️ Ejecución baja: 39,14% del presupuesto codificado
⚠️ Brecha Dev-Pag: $6.430,31 pendiente SPI al cierre 2024
⚠️ Verificar registro SERCOP: Vi=0 en D-MAD (inconsistencia)
ACCIÓN: Deslinde Dirección TICS + verificar proceso licitación
Fuente: Cédula Patronato 2024</t>
        </r>
      </text>
    </comment>
    <comment ref="K18" authorId="0" shapeId="0" xr:uid="{00000000-0006-0000-0D00-000085000000}">
      <text>
        <r>
          <rPr>
            <sz val="11"/>
            <color theme="1"/>
            <rFont val="Aptos Narrow"/>
            <family val="2"/>
            <scheme val="minor"/>
          </rPr>
          <t>⚠️ PAGADO 2024 SOC-15 = $2.572,69
Brecha Dev-Pag: $9.003 - $2.572,69 = $6.430,31 pendiente SPI
Fuente: Cédula Patronato 2024</t>
        </r>
      </text>
    </comment>
    <comment ref="D19" authorId="0" shapeId="0" xr:uid="{00000000-0006-0000-0D00-000086000000}">
      <text>
        <r>
          <rPr>
            <sz val="11"/>
            <color theme="1"/>
            <rFont val="Aptos Narrow"/>
            <family val="2"/>
            <scheme val="minor"/>
          </rPr>
          <t>DELL:
CUP PENDIENTE verificación en SIGPIP MFE.
Meta: Digitalización Trámites — INS-03.
Buscar: 'Plataforma Digital GAD Montecristi / Sistema ERP'.
Dir. TICS tiene informes SIGAD. Verificar CUP en Dir. Financiera.</t>
        </r>
      </text>
    </comment>
    <comment ref="E19" authorId="0" shapeId="0" xr:uid="{00000000-0006-0000-0D00-000087000000}">
      <text>
        <r>
          <rPr>
            <sz val="11"/>
            <color theme="1"/>
            <rFont val="Aptos Narrow"/>
            <family val="2"/>
            <scheme val="minor"/>
          </rPr>
          <t>DELL:
Clasificador MFE: 7.3.04 para servicios de digitalización/consultoría TI; 8.4.02 para equipos. Digitalización trámites GAD. Fuente: Clasificador MFE 2023.</t>
        </r>
      </text>
    </comment>
    <comment ref="F19" authorId="0" shapeId="0" xr:uid="{00000000-0006-0000-0D00-000088000000}">
      <text>
        <r>
          <rPr>
            <sz val="11"/>
            <color theme="1"/>
            <rFont val="Aptos Narrow"/>
            <family val="2"/>
            <scheme val="minor"/>
          </rPr>
          <t>DELL:
INGRESAR: Codificado 2023 — INS-03 Digitalización Trámites</t>
        </r>
      </text>
    </comment>
    <comment ref="G19" authorId="0" shapeId="0" xr:uid="{00000000-0006-0000-0D00-000089000000}">
      <text>
        <r>
          <rPr>
            <sz val="11"/>
            <color theme="1"/>
            <rFont val="Aptos Narrow"/>
            <family val="2"/>
            <scheme val="minor"/>
          </rPr>
          <t>DELL:
INGRESAR: Devengado 2023 — INS-03</t>
        </r>
      </text>
    </comment>
    <comment ref="H19" authorId="0" shapeId="0" xr:uid="{00000000-0006-0000-0D00-00008A000000}">
      <text>
        <r>
          <rPr>
            <sz val="11"/>
            <color theme="1"/>
            <rFont val="Aptos Narrow"/>
            <family val="2"/>
            <scheme val="minor"/>
          </rPr>
          <t>DELL:
INGRESAR: Pagado 2023 — INS-03</t>
        </r>
      </text>
    </comment>
    <comment ref="I19" authorId="0" shapeId="0" xr:uid="{00000000-0006-0000-0D00-00008B000000}">
      <text>
        <r>
          <rPr>
            <sz val="11"/>
            <color theme="1"/>
            <rFont val="Aptos Narrow"/>
            <family val="2"/>
            <scheme val="minor"/>
          </rPr>
          <t>DELL:
INGRESAR: Codificado 2024 — INS-03 Digitalización</t>
        </r>
      </text>
    </comment>
    <comment ref="J19" authorId="0" shapeId="0" xr:uid="{00000000-0006-0000-0D00-00008C000000}">
      <text>
        <r>
          <rPr>
            <sz val="11"/>
            <color theme="1"/>
            <rFont val="Aptos Narrow"/>
            <family val="2"/>
            <scheme val="minor"/>
          </rPr>
          <t>DELL:
INGRESAR: Devengado 2024 — INS-03</t>
        </r>
      </text>
    </comment>
    <comment ref="K19" authorId="0" shapeId="0" xr:uid="{00000000-0006-0000-0D00-00008D000000}">
      <text>
        <r>
          <rPr>
            <sz val="11"/>
            <color theme="1"/>
            <rFont val="Aptos Narrow"/>
            <family val="2"/>
            <scheme val="minor"/>
          </rPr>
          <t>DELL:
INGRESAR: Pagado 2024 — INS-03</t>
        </r>
      </text>
    </comment>
    <comment ref="L19" authorId="0" shapeId="0" xr:uid="{00000000-0006-0000-0D00-00008E000000}">
      <text>
        <r>
          <rPr>
            <sz val="11"/>
            <color theme="1"/>
            <rFont val="Aptos Narrow"/>
            <family val="2"/>
            <scheme val="minor"/>
          </rPr>
          <t>DELL:
Presupuesto referencial estimado INS-03. Fuente: M-POA col E PAC Ejecutado. Presupuesto inicial no asignado como inversión separada — ejecutado a través de partidas TICs genéricas. Reemplazar con cédula real de Dir. Financiera.</t>
        </r>
      </text>
    </comment>
    <comment ref="M19" authorId="0" shapeId="0" xr:uid="{00000000-0006-0000-0D00-00008F000000}">
      <text>
        <r>
          <rPr>
            <sz val="11"/>
            <color theme="1"/>
            <rFont val="Aptos Narrow"/>
            <family val="2"/>
            <scheme val="minor"/>
          </rPr>
          <t>DELL:
Codificado vigente referencial INS-03 = mismo que inicial (sin reformas registradas).</t>
        </r>
      </text>
    </comment>
    <comment ref="O19" authorId="0" shapeId="0" xr:uid="{00000000-0006-0000-0D00-000090000000}">
      <text>
        <r>
          <rPr>
            <sz val="11"/>
            <color theme="1"/>
            <rFont val="Aptos Narrow"/>
            <family val="2"/>
            <scheme val="minor"/>
          </rPr>
          <t>DELL:
Devengado estimado INS-03 = Ti(0.70) x Codificado(636284). Valor referencial hasta recibir cédula real de eSIGEF.</t>
        </r>
      </text>
    </comment>
    <comment ref="P19" authorId="0" shapeId="0" xr:uid="{00000000-0006-0000-0D00-000091000000}">
      <text>
        <r>
          <rPr>
            <sz val="11"/>
            <color theme="1"/>
            <rFont val="Aptos Narrow"/>
            <family val="2"/>
            <scheme val="minor"/>
          </rPr>
          <t>DELL:
Pagado estimado INS-03 = Devengado x 0.95 (ratio pagado estándar). Valor referencial.</t>
        </r>
      </text>
    </comment>
    <comment ref="D20" authorId="0" shapeId="0" xr:uid="{00000000-0006-0000-0D00-000092000000}">
      <text>
        <r>
          <rPr>
            <sz val="11"/>
            <color theme="1"/>
            <rFont val="Aptos Narrow"/>
            <family val="2"/>
            <scheme val="minor"/>
          </rPr>
          <t>DELL:
CUP PENDIENTE verificación en SIGPIP MFE.
Meta: Actualización Catastro — INS-05.
Buscar: 'Actualización Sistema Catastral / LIDAR Montecristi'.
Dir. Avalúos puede proveer el código de contrato.</t>
        </r>
      </text>
    </comment>
    <comment ref="E20" authorId="0" shapeId="0" xr:uid="{00000000-0006-0000-0D00-000093000000}">
      <text>
        <r>
          <rPr>
            <sz val="11"/>
            <color theme="1"/>
            <rFont val="Aptos Narrow"/>
            <family val="2"/>
            <scheme val="minor"/>
          </rPr>
          <t>DELL:
Clasificador MFE: 8.7.01 = Activos Intangibles (software, licencias). Catastro: actualización sistema SIG. Fuente: Clasificador MFE 2023.</t>
        </r>
      </text>
    </comment>
    <comment ref="F20" authorId="0" shapeId="0" xr:uid="{00000000-0006-0000-0D00-000094000000}">
      <text>
        <r>
          <rPr>
            <sz val="11"/>
            <color theme="1"/>
            <rFont val="Aptos Narrow"/>
            <family val="2"/>
            <scheme val="minor"/>
          </rPr>
          <t>DELL:
INGRESAR: Codificado 2023 — INS-05 Actualización Catastro</t>
        </r>
      </text>
    </comment>
    <comment ref="G20" authorId="0" shapeId="0" xr:uid="{00000000-0006-0000-0D00-000095000000}">
      <text>
        <r>
          <rPr>
            <sz val="11"/>
            <color theme="1"/>
            <rFont val="Aptos Narrow"/>
            <family val="2"/>
            <scheme val="minor"/>
          </rPr>
          <t>DELL:
INGRESAR: Devengado 2023 — INS-05</t>
        </r>
      </text>
    </comment>
    <comment ref="H20" authorId="0" shapeId="0" xr:uid="{00000000-0006-0000-0D00-000096000000}">
      <text>
        <r>
          <rPr>
            <sz val="11"/>
            <color theme="1"/>
            <rFont val="Aptos Narrow"/>
            <family val="2"/>
            <scheme val="minor"/>
          </rPr>
          <t>DELL:
INGRESAR: Pagado 2023 — INS-05</t>
        </r>
      </text>
    </comment>
    <comment ref="I20" authorId="0" shapeId="0" xr:uid="{00000000-0006-0000-0D00-000097000000}">
      <text>
        <r>
          <rPr>
            <sz val="11"/>
            <color theme="1"/>
            <rFont val="Aptos Narrow"/>
            <family val="2"/>
            <scheme val="minor"/>
          </rPr>
          <t>DELL:
INGRESAR: Codificado 2024 — INS-05 Catastro</t>
        </r>
      </text>
    </comment>
    <comment ref="J20" authorId="0" shapeId="0" xr:uid="{00000000-0006-0000-0D00-000098000000}">
      <text>
        <r>
          <rPr>
            <sz val="11"/>
            <color theme="1"/>
            <rFont val="Aptos Narrow"/>
            <family val="2"/>
            <scheme val="minor"/>
          </rPr>
          <t>DELL:
INGRESAR: Devengado 2024 — INS-05</t>
        </r>
      </text>
    </comment>
    <comment ref="K20" authorId="0" shapeId="0" xr:uid="{00000000-0006-0000-0D00-000099000000}">
      <text>
        <r>
          <rPr>
            <sz val="11"/>
            <color theme="1"/>
            <rFont val="Aptos Narrow"/>
            <family val="2"/>
            <scheme val="minor"/>
          </rPr>
          <t>DELL:
INGRESAR: Pagado 2024 — INS-05</t>
        </r>
      </text>
    </comment>
    <comment ref="L20" authorId="0" shapeId="0" xr:uid="{00000000-0006-0000-0D00-00009A000000}">
      <text>
        <r>
          <rPr>
            <sz val="11"/>
            <color theme="1"/>
            <rFont val="Aptos Narrow"/>
            <family val="2"/>
            <scheme val="minor"/>
          </rPr>
          <t>DELL:
Presupuesto referencial estimado INS-05. Fuente: M-POA col E PAC Ejecutado. Actualizado a través de partidas catastro genéricas. Reemplazar con cédula real.</t>
        </r>
      </text>
    </comment>
    <comment ref="M20" authorId="0" shapeId="0" xr:uid="{00000000-0006-0000-0D00-00009B000000}">
      <text>
        <r>
          <rPr>
            <sz val="11"/>
            <color theme="1"/>
            <rFont val="Aptos Narrow"/>
            <family val="2"/>
            <scheme val="minor"/>
          </rPr>
          <t>DELL:
Codificado vigente referencial INS-05 = mismo que inicial.</t>
        </r>
      </text>
    </comment>
    <comment ref="O20" authorId="0" shapeId="0" xr:uid="{00000000-0006-0000-0D00-00009C000000}">
      <text>
        <r>
          <rPr>
            <sz val="11"/>
            <color theme="1"/>
            <rFont val="Aptos Narrow"/>
            <family val="2"/>
            <scheme val="minor"/>
          </rPr>
          <t>DELL:
Devengado estimado INS-05 = Ti(1.0) x Codificado(169100) = 100% ejecutado. Valor referencial hasta recibir cédula real.</t>
        </r>
      </text>
    </comment>
    <comment ref="P20" authorId="0" shapeId="0" xr:uid="{00000000-0006-0000-0D00-00009D000000}">
      <text>
        <r>
          <rPr>
            <sz val="11"/>
            <color theme="1"/>
            <rFont val="Aptos Narrow"/>
            <family val="2"/>
            <scheme val="minor"/>
          </rPr>
          <t>DELL:
Pagado estimado INS-05 = Devengado x 0.95. Valor referencial.</t>
        </r>
      </text>
    </comment>
    <comment ref="D21" authorId="0" shapeId="0" xr:uid="{00000000-0006-0000-0D00-00009E000000}">
      <text>
        <r>
          <rPr>
            <sz val="11"/>
            <color theme="1"/>
            <rFont val="Aptos Narrow"/>
            <family val="2"/>
            <scheme val="minor"/>
          </rPr>
          <t>DELL:
CUP PENDIENTE verificación en SIGPIP MFE.
Meta: Albergue Fauna Urbana — SOC-08.
Ejecuta Patronato/Participación Ciudadana. Puede no tener CUP propio.
Verificar bajo Ordenanza N°017-2024-CM-GAADMCM.</t>
        </r>
      </text>
    </comment>
    <comment ref="E21" authorId="0" shapeId="0" xr:uid="{00000000-0006-0000-0D00-00009F000000}">
      <text>
        <r>
          <rPr>
            <sz val="11"/>
            <color theme="1"/>
            <rFont val="Aptos Narrow"/>
            <family val="2"/>
            <scheme val="minor"/>
          </rPr>
          <t>DELL:
Clasificador MFE: 7.3.02 = Servicios Generales. Albergue fauna urbana: servicio municipal de control animal. Fuente: Clasificador MFE 2023.</t>
        </r>
      </text>
    </comment>
    <comment ref="F21" authorId="0" shapeId="0" xr:uid="{00000000-0006-0000-0D00-0000A0000000}">
      <text>
        <r>
          <rPr>
            <sz val="11"/>
            <color theme="1"/>
            <rFont val="Aptos Narrow"/>
            <family val="2"/>
            <scheme val="minor"/>
          </rPr>
          <t>DELL:
INGRESAR: Codificado 2023 — SOC-08 Albergue Fauna Urbana (Patronato)</t>
        </r>
      </text>
    </comment>
    <comment ref="G21" authorId="0" shapeId="0" xr:uid="{00000000-0006-0000-0D00-0000A1000000}">
      <text>
        <r>
          <rPr>
            <sz val="11"/>
            <color theme="1"/>
            <rFont val="Aptos Narrow"/>
            <family val="2"/>
            <scheme val="minor"/>
          </rPr>
          <t>DELL:
INGRESAR: Devengado 2023 — SOC-08</t>
        </r>
      </text>
    </comment>
    <comment ref="H21" authorId="0" shapeId="0" xr:uid="{00000000-0006-0000-0D00-0000A2000000}">
      <text>
        <r>
          <rPr>
            <sz val="11"/>
            <color theme="1"/>
            <rFont val="Aptos Narrow"/>
            <family val="2"/>
            <scheme val="minor"/>
          </rPr>
          <t>DELL:
INGRESAR: Pagado 2023 — SOC-08</t>
        </r>
      </text>
    </comment>
    <comment ref="I21" authorId="0" shapeId="0" xr:uid="{00000000-0006-0000-0D00-0000A3000000}">
      <text>
        <r>
          <rPr>
            <sz val="11"/>
            <color theme="1"/>
            <rFont val="Aptos Narrow"/>
            <family val="2"/>
            <scheme val="minor"/>
          </rPr>
          <t>✅ VERIFICADO — Auditor Jefe
CODIF. 2024 SOC-08 Albergue Fauna Urbana
Partidas Patronato:
• 77.01.02 Tasas/Permisos/Licencias: $21.900,00
• 73.02.05 Espectáculos Culturales/Sociales: $22.896,00
TOTAL CODIF.: $44.796,00
Ordenanza de referencia: N°017-2024-CM-GAADMCM
Fuente: Cédula Presupuestaria Patronato 2024 (Patronato_Presupesto_2024.docx)</t>
        </r>
      </text>
    </comment>
    <comment ref="J21" authorId="0" shapeId="0" xr:uid="{00000000-0006-0000-0D00-0000A4000000}">
      <text>
        <r>
          <rPr>
            <sz val="11"/>
            <color theme="1"/>
            <rFont val="Aptos Narrow"/>
            <family val="2"/>
            <scheme val="minor"/>
          </rPr>
          <t>✅ VERIFICADO — Auditor Jefe
DEVENGADO 2024 SOC-08 Albergue Fauna Urbana
• 77.01.02 Dev.: $7.582,61 (Ejecución 34,62%)
• 73.02.05 Dev.: $16.824,50 (Ejecución 73,48%)
TOTAL DEVENGADO: $24.407,11
Ti = 24.407,11 / 44.796,00 = 54,49%
ALERTA: 🟡 Ejecución &lt;60% — acelerar POA 2025
Fuente: Cédula Patronato 2024</t>
        </r>
      </text>
    </comment>
    <comment ref="K21" authorId="0" shapeId="0" xr:uid="{00000000-0006-0000-0D00-0000A5000000}">
      <text>
        <r>
          <rPr>
            <sz val="11"/>
            <color theme="1"/>
            <rFont val="Aptos Narrow"/>
            <family val="2"/>
            <scheme val="minor"/>
          </rPr>
          <t>✅ VERIFICADO — Auditor Jefe
PAGADO 2024 SOC-08
• 77.01.02 Pag.: $7.582,61
• 73.02.05 Pag.: $9.538,00
TOTAL PAGADO: $17.120,61
% Pag/Dev = 70,15%
Fuente: Cédula Patronato 2024</t>
        </r>
      </text>
    </comment>
    <comment ref="M21" authorId="0" shapeId="0" xr:uid="{00000000-0006-0000-0D00-0000A6000000}">
      <text>
        <r>
          <rPr>
            <sz val="11"/>
            <color theme="1"/>
            <rFont val="Aptos Narrow"/>
            <family val="2"/>
            <scheme val="minor"/>
          </rPr>
          <t>DELL:
Codificado vigente REAL 2024 SOC-08 Albergue Fauna Urbana = partidas Patronato 77.01.02 ($21.900) + 73.02.05 ($22.896). Fuente: eSIGEF Cédula Patronato Dic.2024.</t>
        </r>
      </text>
    </comment>
    <comment ref="D22" authorId="0" shapeId="0" xr:uid="{00000000-0006-0000-0D00-0000A7000000}">
      <text>
        <r>
          <rPr>
            <sz val="11"/>
            <color theme="1"/>
            <rFont val="Aptos Narrow"/>
            <family val="2"/>
            <scheme val="minor"/>
          </rPr>
          <t>DELL:
CUP PENDIENTE verificación en SIGPIP MFE.
Meta: Proyecto Playa San José — ECO-12.
Buscar: 'Proyecto Ecoturístico Manglar Vivo Montecristi' en SIGPIP.
RDC 2024: certificado ambiental + estudios definitivos (25/03/2024).</t>
        </r>
      </text>
    </comment>
    <comment ref="E22" authorId="0" shapeId="0" xr:uid="{00000000-0006-0000-0D00-0000A8000000}">
      <text>
        <r>
          <rPr>
            <sz val="11"/>
            <color theme="1"/>
            <rFont val="Aptos Narrow"/>
            <family val="2"/>
            <scheme val="minor"/>
          </rPr>
          <t>DELL:
Clasificador MFE: 7.5.01 = Obras de Infraestructura. Proyecto Manglar Vivo/Playa San José: obra ecoturística. Fuente: Clasificador MFE 2023.</t>
        </r>
      </text>
    </comment>
    <comment ref="F22" authorId="0" shapeId="0" xr:uid="{00000000-0006-0000-0D00-0000A9000000}">
      <text>
        <r>
          <rPr>
            <sz val="11"/>
            <color theme="1"/>
            <rFont val="Aptos Narrow"/>
            <family val="2"/>
            <scheme val="minor"/>
          </rPr>
          <t>DELL:
INGRESAR: Codificado 2023 — ECO-12 Proyecto Playa San José/Manglar Vivo</t>
        </r>
      </text>
    </comment>
    <comment ref="G22" authorId="0" shapeId="0" xr:uid="{00000000-0006-0000-0D00-0000AA000000}">
      <text>
        <r>
          <rPr>
            <sz val="11"/>
            <color theme="1"/>
            <rFont val="Aptos Narrow"/>
            <family val="2"/>
            <scheme val="minor"/>
          </rPr>
          <t>DELL:
INGRESAR: Devengado 2023 — ECO-12</t>
        </r>
      </text>
    </comment>
    <comment ref="H22" authorId="0" shapeId="0" xr:uid="{00000000-0006-0000-0D00-0000AB000000}">
      <text>
        <r>
          <rPr>
            <sz val="11"/>
            <color theme="1"/>
            <rFont val="Aptos Narrow"/>
            <family val="2"/>
            <scheme val="minor"/>
          </rPr>
          <t>DELL:
INGRESAR: Pagado 2023 — ECO-12</t>
        </r>
      </text>
    </comment>
    <comment ref="I22" authorId="0" shapeId="0" xr:uid="{00000000-0006-0000-0D00-0000AC000000}">
      <text>
        <r>
          <rPr>
            <sz val="11"/>
            <color theme="1"/>
            <rFont val="Aptos Narrow"/>
            <family val="2"/>
            <scheme val="minor"/>
          </rPr>
          <t>DELL:
INGRESAR: Codificado 2024 — ECO-12 Manglar Vivo</t>
        </r>
      </text>
    </comment>
    <comment ref="J22" authorId="0" shapeId="0" xr:uid="{00000000-0006-0000-0D00-0000AD000000}">
      <text>
        <r>
          <rPr>
            <sz val="11"/>
            <color theme="1"/>
            <rFont val="Aptos Narrow"/>
            <family val="2"/>
            <scheme val="minor"/>
          </rPr>
          <t>DELL:
INGRESAR: Devengado 2024 — ECO-12</t>
        </r>
      </text>
    </comment>
    <comment ref="K22" authorId="0" shapeId="0" xr:uid="{00000000-0006-0000-0D00-0000AE000000}">
      <text>
        <r>
          <rPr>
            <sz val="11"/>
            <color theme="1"/>
            <rFont val="Aptos Narrow"/>
            <family val="2"/>
            <scheme val="minor"/>
          </rPr>
          <t>DELL:
INGRESAR: Pagado 2024 — ECO-12</t>
        </r>
      </text>
    </comment>
    <comment ref="D23" authorId="0" shapeId="0" xr:uid="{00000000-0006-0000-0D00-0000AF000000}">
      <text>
        <r>
          <rPr>
            <sz val="11"/>
            <color theme="1"/>
            <rFont val="Aptos Narrow"/>
            <family val="2"/>
            <scheme val="minor"/>
          </rPr>
          <t>DELL:
CUP PENDIENTE verificación en SIGPIP MFE.
Meta: Embellecimiento y Señalética — TER-18.
Buscar: 'Señalización Vial Montecristi / Embellecimiento Urbano'.
Dir. Obras Públicas puede proveer el CUP.</t>
        </r>
      </text>
    </comment>
    <comment ref="E23" authorId="0" shapeId="0" xr:uid="{00000000-0006-0000-0D00-0000B0000000}">
      <text>
        <r>
          <rPr>
            <sz val="11"/>
            <color theme="1"/>
            <rFont val="Aptos Narrow"/>
            <family val="2"/>
            <scheme val="minor"/>
          </rPr>
          <t>DELL:
Clasificador MFE: 7.3.02 = Servicios Generales para señalética y embellecimiento. Fuente: Clasificador MFE 2023.</t>
        </r>
      </text>
    </comment>
    <comment ref="F23" authorId="0" shapeId="0" xr:uid="{00000000-0006-0000-0D00-0000B1000000}">
      <text>
        <r>
          <rPr>
            <sz val="11"/>
            <color theme="1"/>
            <rFont val="Aptos Narrow"/>
            <family val="2"/>
            <scheme val="minor"/>
          </rPr>
          <t>DELL:
INGRESAR: Codificado 2023 — TER-18 Embellecimiento y Señalética Urbana</t>
        </r>
      </text>
    </comment>
    <comment ref="G23" authorId="0" shapeId="0" xr:uid="{00000000-0006-0000-0D00-0000B2000000}">
      <text>
        <r>
          <rPr>
            <sz val="11"/>
            <color theme="1"/>
            <rFont val="Aptos Narrow"/>
            <family val="2"/>
            <scheme val="minor"/>
          </rPr>
          <t>DELL:
INGRESAR: Devengado 2023 — TER-18</t>
        </r>
      </text>
    </comment>
    <comment ref="H23" authorId="0" shapeId="0" xr:uid="{00000000-0006-0000-0D00-0000B3000000}">
      <text>
        <r>
          <rPr>
            <sz val="11"/>
            <color theme="1"/>
            <rFont val="Aptos Narrow"/>
            <family val="2"/>
            <scheme val="minor"/>
          </rPr>
          <t>DELL:
INGRESAR: Pagado 2023 — TER-18</t>
        </r>
      </text>
    </comment>
    <comment ref="I23" authorId="0" shapeId="0" xr:uid="{00000000-0006-0000-0D00-0000B4000000}">
      <text>
        <r>
          <rPr>
            <sz val="11"/>
            <color theme="1"/>
            <rFont val="Aptos Narrow"/>
            <family val="2"/>
            <scheme val="minor"/>
          </rPr>
          <t>DELL:
INGRESAR: Codificado 2024 — TER-18 Señalética</t>
        </r>
      </text>
    </comment>
    <comment ref="J23" authorId="0" shapeId="0" xr:uid="{00000000-0006-0000-0D00-0000B5000000}">
      <text>
        <r>
          <rPr>
            <sz val="11"/>
            <color theme="1"/>
            <rFont val="Aptos Narrow"/>
            <family val="2"/>
            <scheme val="minor"/>
          </rPr>
          <t>DELL:
INGRESAR: Devengado 2024 — TER-18</t>
        </r>
      </text>
    </comment>
    <comment ref="K23" authorId="0" shapeId="0" xr:uid="{00000000-0006-0000-0D00-0000B6000000}">
      <text>
        <r>
          <rPr>
            <sz val="11"/>
            <color theme="1"/>
            <rFont val="Aptos Narrow"/>
            <family val="2"/>
            <scheme val="minor"/>
          </rPr>
          <t>DELL:
INGRESAR: Pagado 2024 — TER-18</t>
        </r>
      </text>
    </comment>
    <comment ref="D24" authorId="0" shapeId="0" xr:uid="{00000000-0006-0000-0D00-0000B7000000}">
      <text>
        <r>
          <rPr>
            <sz val="11"/>
            <color theme="1"/>
            <rFont val="Aptos Narrow"/>
            <family val="2"/>
            <scheme val="minor"/>
          </rPr>
          <t>DELL:
CUP PENDIENTE verificación en SIGPIP MFE.
Meta: Reservorios de Agua — TER-15.
Buscar: 'Reservorios Agua Rural Montecristi / Acueducto CAF'.
RDC 2024: estudios definitivos listos + 3 convenios firmados.</t>
        </r>
      </text>
    </comment>
    <comment ref="E24" authorId="0" shapeId="0" xr:uid="{00000000-0006-0000-0D00-0000B8000000}">
      <text>
        <r>
          <rPr>
            <sz val="11"/>
            <color theme="1"/>
            <rFont val="Aptos Narrow"/>
            <family val="2"/>
            <scheme val="minor"/>
          </rPr>
          <t>DELL:
Clasificador MFE: 7.5.01 = Obras de Infraestructura. Reservorios de agua rural. Fuente: Clasificador MFE 2023.</t>
        </r>
      </text>
    </comment>
    <comment ref="F24" authorId="0" shapeId="0" xr:uid="{00000000-0006-0000-0D00-0000B9000000}">
      <text>
        <r>
          <rPr>
            <sz val="11"/>
            <color theme="1"/>
            <rFont val="Aptos Narrow"/>
            <family val="2"/>
            <scheme val="minor"/>
          </rPr>
          <t>DELL:
INGRESAR: Codificado 2023 — TER-15 Reservorios de Agua Rural</t>
        </r>
      </text>
    </comment>
    <comment ref="G24" authorId="0" shapeId="0" xr:uid="{00000000-0006-0000-0D00-0000BA000000}">
      <text>
        <r>
          <rPr>
            <sz val="11"/>
            <color theme="1"/>
            <rFont val="Aptos Narrow"/>
            <family val="2"/>
            <scheme val="minor"/>
          </rPr>
          <t>DELL:
INGRESAR: Devengado 2023 — TER-15</t>
        </r>
      </text>
    </comment>
    <comment ref="H24" authorId="0" shapeId="0" xr:uid="{00000000-0006-0000-0D00-0000BB000000}">
      <text>
        <r>
          <rPr>
            <sz val="11"/>
            <color theme="1"/>
            <rFont val="Aptos Narrow"/>
            <family val="2"/>
            <scheme val="minor"/>
          </rPr>
          <t>DELL:
INGRESAR: Pagado 2023 — TER-15</t>
        </r>
      </text>
    </comment>
    <comment ref="I24" authorId="0" shapeId="0" xr:uid="{00000000-0006-0000-0D00-0000BC000000}">
      <text>
        <r>
          <rPr>
            <sz val="11"/>
            <color theme="1"/>
            <rFont val="Aptos Narrow"/>
            <family val="2"/>
            <scheme val="minor"/>
          </rPr>
          <t>DELL:
INGRESAR: Codificado 2024 — TER-15 Reservorios</t>
        </r>
      </text>
    </comment>
    <comment ref="J24" authorId="0" shapeId="0" xr:uid="{00000000-0006-0000-0D00-0000BD000000}">
      <text>
        <r>
          <rPr>
            <sz val="11"/>
            <color theme="1"/>
            <rFont val="Aptos Narrow"/>
            <family val="2"/>
            <scheme val="minor"/>
          </rPr>
          <t>DELL:
INGRESAR: Devengado 2024 — TER-15</t>
        </r>
      </text>
    </comment>
    <comment ref="K24" authorId="0" shapeId="0" xr:uid="{00000000-0006-0000-0D00-0000BE000000}">
      <text>
        <r>
          <rPr>
            <sz val="11"/>
            <color theme="1"/>
            <rFont val="Aptos Narrow"/>
            <family val="2"/>
            <scheme val="minor"/>
          </rPr>
          <t>DELL:
INGRESAR: Pagado 2024 — TER-15</t>
        </r>
      </text>
    </comment>
    <comment ref="F25" authorId="0" shapeId="0" xr:uid="{00000000-0006-0000-0D00-0000BF000000}">
      <text>
        <r>
          <rPr>
            <sz val="11"/>
            <color theme="1"/>
            <rFont val="Aptos Narrow"/>
            <family val="2"/>
            <scheme val="minor"/>
          </rPr>
          <t>DELL:
Suma codificado 2023 de las 20 metas</t>
        </r>
      </text>
    </comment>
    <comment ref="G25" authorId="0" shapeId="0" xr:uid="{00000000-0006-0000-0D00-0000C0000000}">
      <text>
        <r>
          <rPr>
            <sz val="11"/>
            <color theme="1"/>
            <rFont val="Aptos Narrow"/>
            <family val="2"/>
            <scheme val="minor"/>
          </rPr>
          <t>DELL:
Suma devengado 2023 de las 20 metas</t>
        </r>
      </text>
    </comment>
    <comment ref="H25" authorId="0" shapeId="0" xr:uid="{00000000-0006-0000-0D00-0000C1000000}">
      <text>
        <r>
          <rPr>
            <sz val="11"/>
            <color theme="1"/>
            <rFont val="Aptos Narrow"/>
            <family val="2"/>
            <scheme val="minor"/>
          </rPr>
          <t>DELL:
Suma pagado 2023 de las 20 metas</t>
        </r>
      </text>
    </comment>
    <comment ref="I25" authorId="0" shapeId="0" xr:uid="{00000000-0006-0000-0D00-0000C2000000}">
      <text>
        <r>
          <rPr>
            <sz val="11"/>
            <color theme="1"/>
            <rFont val="Aptos Narrow"/>
            <family val="2"/>
            <scheme val="minor"/>
          </rPr>
          <t>DELL:
Suma codificado 2024 de las 20 metas</t>
        </r>
      </text>
    </comment>
    <comment ref="J25" authorId="0" shapeId="0" xr:uid="{00000000-0006-0000-0D00-0000C3000000}">
      <text>
        <r>
          <rPr>
            <sz val="11"/>
            <color theme="1"/>
            <rFont val="Aptos Narrow"/>
            <family val="2"/>
            <scheme val="minor"/>
          </rPr>
          <t>DELL:
Suma devengado 2024 de las 20 metas</t>
        </r>
      </text>
    </comment>
    <comment ref="K25" authorId="0" shapeId="0" xr:uid="{00000000-0006-0000-0D00-0000C4000000}">
      <text>
        <r>
          <rPr>
            <sz val="11"/>
            <color theme="1"/>
            <rFont val="Aptos Narrow"/>
            <family val="2"/>
            <scheme val="minor"/>
          </rPr>
          <t>DELL:
Suma pagado 2024 de las 20 metas</t>
        </r>
      </text>
    </comment>
    <comment ref="L25" authorId="0" shapeId="0" xr:uid="{00000000-0006-0000-0D00-0000C5000000}">
      <text>
        <r>
          <rPr>
            <sz val="11"/>
            <color theme="1"/>
            <rFont val="Aptos Narrow"/>
            <family val="2"/>
            <scheme val="minor"/>
          </rPr>
          <t>DELL:
Total Presupuesto Inicial PDOT n=20 metas</t>
        </r>
      </text>
    </comment>
    <comment ref="M25" authorId="0" shapeId="0" xr:uid="{00000000-0006-0000-0D00-0000C6000000}">
      <text>
        <r>
          <rPr>
            <sz val="11"/>
            <color theme="1"/>
            <rFont val="Aptos Narrow"/>
            <family val="2"/>
            <scheme val="minor"/>
          </rPr>
          <t>DELL:
Total Codificado Vigente n=20 metas</t>
        </r>
      </text>
    </comment>
    <comment ref="N25" authorId="0" shapeId="0" xr:uid="{00000000-0006-0000-0D00-0000C7000000}">
      <text>
        <r>
          <rPr>
            <sz val="11"/>
            <color theme="1"/>
            <rFont val="Aptos Narrow"/>
            <family val="2"/>
            <scheme val="minor"/>
          </rPr>
          <t>DELL:
Total Reformas presupuestarias n=20 metas</t>
        </r>
      </text>
    </comment>
    <comment ref="O25" authorId="0" shapeId="0" xr:uid="{00000000-0006-0000-0D00-0000C8000000}">
      <text>
        <r>
          <rPr>
            <sz val="11"/>
            <color theme="1"/>
            <rFont val="Aptos Narrow"/>
            <family val="2"/>
            <scheme val="minor"/>
          </rPr>
          <t>DELL:
Devengado acumulado total n=20 metas</t>
        </r>
      </text>
    </comment>
    <comment ref="P25" authorId="0" shapeId="0" xr:uid="{00000000-0006-0000-0D00-0000C9000000}">
      <text>
        <r>
          <rPr>
            <sz val="11"/>
            <color theme="1"/>
            <rFont val="Aptos Narrow"/>
            <family val="2"/>
            <scheme val="minor"/>
          </rPr>
          <t>DELL:
Pagado acumulado total n=20 metas</t>
        </r>
      </text>
    </comment>
    <comment ref="Q25" authorId="0" shapeId="0" xr:uid="{00000000-0006-0000-0D00-0000CA000000}">
      <text>
        <r>
          <rPr>
            <sz val="11"/>
            <color theme="1"/>
            <rFont val="Aptos Narrow"/>
            <family val="2"/>
            <scheme val="minor"/>
          </rPr>
          <t>Ti global = Devengado Acum total / Codificado Vigente total. Base: COPFP Art.111. Propagado a ICPI via D-MAD.</t>
        </r>
      </text>
    </comment>
    <comment ref="R25" authorId="0" shapeId="0" xr:uid="{00000000-0006-0000-0D00-0000CB000000}">
      <text>
        <r>
          <rPr>
            <sz val="11"/>
            <color theme="1"/>
            <rFont val="Aptos Narrow"/>
            <family val="2"/>
            <scheme val="minor"/>
          </rPr>
          <t>DELL:
% Pagado global = Pagado acumulado total / Devengado acumulado total n=20 metas</t>
        </r>
      </text>
    </comment>
    <comment ref="S25" authorId="0" shapeId="0" xr:uid="{00000000-0006-0000-0D00-0000CC000000}">
      <text>
        <r>
          <rPr>
            <sz val="11"/>
            <color theme="1"/>
            <rFont val="Aptos Narrow"/>
            <family val="2"/>
            <scheme val="minor"/>
          </rPr>
          <t>DELL:
Etiqueta Ti global acumulado 2023+2024. Referencia Q26.</t>
        </r>
      </text>
    </comment>
    <comment ref="F27" authorId="0" shapeId="0" xr:uid="{00000000-0006-0000-0D00-0000CD000000}">
      <text>
        <r>
          <rPr>
            <sz val="11"/>
            <color theme="1"/>
            <rFont val="Aptos Narrow"/>
            <family val="2"/>
            <scheme val="minor"/>
          </rPr>
          <t>DELL:
Devengado 2023 por eje (Secc. A cols G)</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A3" authorId="0" shapeId="0" xr:uid="{00000000-0006-0000-0E00-000001000000}">
      <text>
        <r>
          <rPr>
            <sz val="11"/>
            <color theme="1"/>
            <rFont val="Aptos Narrow"/>
            <family val="2"/>
            <scheme val="minor"/>
          </rPr>
          <t>Estimación POA 2027 cierre PDOT — actualizar cuando sea aprobado</t>
        </r>
      </text>
    </comment>
    <comment ref="O5" authorId="0" shapeId="0" xr:uid="{00000000-0006-0000-0E00-000002000000}">
      <text>
        <r>
          <rPr>
            <sz val="11"/>
            <color theme="1"/>
            <rFont val="Aptos Narrow"/>
            <family val="2"/>
            <scheme val="minor"/>
          </rPr>
          <t>FUENTE: POA 2023 REFORMADO GAD Municipal Montecristi
CRUCE FORENSE INTEGRAL — Cantón completo
PARTIDAS VINCULADAS:
• Construcción Colectores Hormigón Armado redes terciarias: $109,000.00
• Suministros Tuberías, Tapas, Accesorios alcantarillado: $107,638.39
• Crédito BDE Fiscalización Sistema Alcantarillado La Pila: $140,000.00
• Crédito BDE Agua Potable y Alcantarillado Sitio Colón: $63,720.69
• Contraparte Municipal Alcantarillado La Pila: $80,000.00
• Crédito BDE Construcción Sistema Alcantarillado La Pila: $2,080,802.20
• Red primaria alcantarillado sectores Poa/Roca/Eloy Alfaro: $109,000.00
• Crédito BDE Agua Potable y Alcantarillado Sitio Colón II: $1,342,532.62
Dir. Agua Potable y Alcantarillado Sanitario
FASE 2 SIAP-ICPI · Ingesta POA 2023</t>
        </r>
      </text>
    </comment>
    <comment ref="P5" authorId="0" shapeId="0" xr:uid="{00000000-0006-0000-0E00-000003000000}">
      <text>
        <r>
          <rPr>
            <sz val="11"/>
            <color theme="1"/>
            <rFont val="Aptos Narrow"/>
            <family val="2"/>
            <scheme val="minor"/>
          </rPr>
          <t>POA 2024 INGESTA FORENSE · PDOT.AS.OE1.M1.02
FUENTE: POA 2024 GAD Municipal Montecristi
PARTIDAS VINCULADAS:
• Act.3-5: Hidrosuccionador (mant/repuestos/lubric): $17,000
• Act.102: Suministros Tuberías/Tapas alcantarillado: $120,000
• Act.109: Contrato Complementario Alcantarillado Cerro Guayabal: $200,000
TOTAL GAD 2024: $337,000
Ingresado por homología de objeto de gasto.
FASE 2 SIAP-ICPI · Ingesta POA 2024</t>
        </r>
      </text>
    </comment>
    <comment ref="Q5" authorId="0" shapeId="0" xr:uid="{00000000-0006-0000-0E00-000004000000}">
      <text>
        <r>
          <rPr>
            <sz val="11"/>
            <color theme="1"/>
            <rFont val="Aptos Narrow"/>
            <family val="2"/>
            <scheme val="minor"/>
          </rPr>
          <t>DELL:
Ingresar monto POA 2025 aprobado cuando esté disponible</t>
        </r>
      </text>
    </comment>
    <comment ref="O6" authorId="0" shapeId="0" xr:uid="{00000000-0006-0000-0E00-000005000000}">
      <text>
        <r>
          <rPr>
            <sz val="11"/>
            <color theme="1"/>
            <rFont val="Aptos Narrow"/>
            <family val="2"/>
            <scheme val="minor"/>
          </rPr>
          <t>FUENTE: POA 2023 REFORMADO GAD Municipal Montecristi
CRUCE FORENSE INTEGRAL — Cantón completo
PARTIDA VINCULADA:
• Equipamiento del Centro de Salud Municipal: $5,000.00
Dir. Acción e Inclusión Social y Comunitaria
NOTA: No existe partida específica para Centro Salud Tipo C MSP — solo equipamiento menor. Meta depende de gestión interinstitucional MSP.
FASE 2 SIAP-ICPI · Ingesta POA 2023</t>
        </r>
      </text>
    </comment>
    <comment ref="P6" authorId="0" shapeId="0" xr:uid="{7070CC99-4064-49B0-9D6B-143B2D6F75AB}">
      <text>
        <r>
          <rPr>
            <b/>
            <sz val="9"/>
            <color indexed="81"/>
            <rFont val="Tahoma"/>
            <family val="2"/>
          </rPr>
          <t>DELL:</t>
        </r>
        <r>
          <rPr>
            <sz val="9"/>
            <color indexed="81"/>
            <rFont val="Tahoma"/>
            <family val="2"/>
          </rPr>
          <t xml:space="preserve">
POA 2024 INGESTA FORENSE · PDOT.SC.OE2.M1.01
FUENTE: POA 2024 GAD Municipal Montecristi
RESULTADO: SIN PARTIDA ASIGNADA
No existe asignación presupuestaria para Centro de Salud Tipo C en POA 2024.
Meta depende de gestión interinstitucional MSP — sin partida GAD.
🔴 OPACIDAD PROGRAMÁTICA: Meta sin financiamiento 2do año consecutivo.
FASE 2 SIAP-ICPI · Ingesta POA 2024</t>
        </r>
      </text>
    </comment>
    <comment ref="O7" authorId="0" shapeId="0" xr:uid="{00000000-0006-0000-0E00-000006000000}">
      <text>
        <r>
          <rPr>
            <sz val="11"/>
            <color theme="1"/>
            <rFont val="Aptos Narrow"/>
            <family val="2"/>
            <scheme val="minor"/>
          </rPr>
          <t>FUENTE: POA 2023 REFORMADO GAD Municipal Montecristi
CRUCE FORENSE INTEGRAL — Cantón completo
RESULTADO: SIN PARTIDA ASIGNADA
Ninguna partida de Terminal Terrestre identificada en el POA 2023 Reformado.
Meta no activada en ejercicio fiscal 2023.
FASE 2 SIAP-ICPI · Ingesta POA 2023</t>
        </r>
      </text>
    </comment>
    <comment ref="P7" authorId="0" shapeId="0" xr:uid="{313C993C-B25E-479A-B761-D83C1FA47C9D}">
      <text>
        <r>
          <rPr>
            <b/>
            <sz val="9"/>
            <color indexed="81"/>
            <rFont val="Tahoma"/>
            <family val="2"/>
          </rPr>
          <t>DELL:</t>
        </r>
        <r>
          <rPr>
            <sz val="9"/>
            <color indexed="81"/>
            <rFont val="Tahoma"/>
            <family val="2"/>
          </rPr>
          <t xml:space="preserve">
POA 2024 INGESTA FORENSE · PDOT.AS.OE1.M2.01
FUENTE: POA 2024 GAD Municipal Montecristi
PARTIDAS VINCULADAS:
• Act.51: Consultoría Construcción de Centro Comercial: $50,000
  (Coordinación Gral. Proyectos Estratégicos e Inversión)
Ingresado por homología de objeto de gasto — equipamiento comercial/administrativo vinculable a Terminal Terrestre/equipamiento público.
FASE 2 SIAP-ICPI · Ingesta POA 2024</t>
        </r>
      </text>
    </comment>
    <comment ref="O8" authorId="0" shapeId="0" xr:uid="{00000000-0006-0000-0E00-000007000000}">
      <text>
        <r>
          <rPr>
            <sz val="11"/>
            <color theme="1"/>
            <rFont val="Aptos Narrow"/>
            <family val="2"/>
            <scheme val="minor"/>
          </rPr>
          <t>FUENTE: POA 2023 REFORMADO GAD Municipal Montecristi
CRUCE FORENSE INTEGRAL — Cantón completo
RESULTADO: SIN PARTIDA ASIGNADA
Ninguna partida de Camal Municipal identificada en el POA 2023 Reformado.
Meta no activada en ejercicio fiscal 2023.
FASE 2 SIAP-ICPI · Ingesta POA 2023</t>
        </r>
      </text>
    </comment>
    <comment ref="P8" authorId="0" shapeId="0" xr:uid="{E08E41CB-2B37-4045-8386-B069FB560044}">
      <text>
        <r>
          <rPr>
            <b/>
            <sz val="9"/>
            <color indexed="81"/>
            <rFont val="Tahoma"/>
            <family val="2"/>
          </rPr>
          <t>DELL:</t>
        </r>
        <r>
          <rPr>
            <sz val="9"/>
            <color indexed="81"/>
            <rFont val="Tahoma"/>
            <family val="2"/>
          </rPr>
          <t xml:space="preserve">
POA 2024 INGESTA FORENSE · PDOT.AS.OE1.M2.02
FUENTE: POA 2024 GAD Municipal Montecristi
RESULTADO: SIN PARTIDA ASIGNADA
No existe asignación para Camal Municipal en POA 2024.
Meta no activada en ejercicio fiscal 2024.
🔴 ABANDONO PROGRAMÁTICO: 2do año consecutivo sin asignación.
FASE 2 SIAP-ICPI · Ingesta POA 2024</t>
        </r>
      </text>
    </comment>
    <comment ref="O9" authorId="0" shapeId="0" xr:uid="{00000000-0006-0000-0E00-000008000000}">
      <text>
        <r>
          <rPr>
            <sz val="11"/>
            <color theme="1"/>
            <rFont val="Aptos Narrow"/>
            <family val="2"/>
            <scheme val="minor"/>
          </rPr>
          <t>FUENTE CONSOLIDADA: GAD + PATRONATO MUNICIPAL (PMAS)
CRUCE FORENSE INTEGRAL — Cantón Montecristi
[GAD] POA 2023 Reformado: $0.00
  → SIN PARTIDA diferenciada para Equipamiento Geriátrico (GAD central)
[PMAS] POA 2023 Patronato Municipal de Amparo Social: $1,673.18
  PARTIDAS VINCULADAS — Convenio Adulto Mayor:
  • Eventos sociales y culturales Convenio Adulto Mayor: $583.50
  • Material didáctico proyecto Adulto Mayor: $1,013.64
  • Mantenimiento centro Convenio Adulto Mayor: $76.04
  Dir. Acción Social / PMAS
FASE 3 SIAP-ICPI · Ingesta POA 2023 Patronato Montecristi</t>
        </r>
      </text>
    </comment>
    <comment ref="P9" authorId="0" shapeId="0" xr:uid="{07C8F96E-8065-47C1-9322-F5D3A1B555E9}">
      <text>
        <r>
          <rPr>
            <b/>
            <sz val="9"/>
            <color indexed="81"/>
            <rFont val="Tahoma"/>
            <family val="2"/>
          </rPr>
          <t>POA 2024 INGESTA FORENSE CONSOLIDADA · PDOT.SC.OE2.M2.01
FUENTE: POA 2024 GAD + PATRONATO MUNICIPAL (PMAS)
[GAD] Dir. Desarrollo Acción e Inclusión Social / Concejo Protección Derechos:
• Act.86: Capacitaciones protección derechos: $12,000
• Act.87: Eventos fortalecimiento reducción indicadores: $10,000
• Act.88: Alimentación beneficiarios programas: $1,500
Subtotal GAD: $23,500
[PMAS] Convenio Adulto Mayor (ya ingresado Patronato):
• Alimentación, eventos, materiales, mantenimiento: $67,236.75
TOTAL CONSOLIDADO 2024: $90,736.75
Ingresado por homología de objeto de gasto.
FASE 2 SIAP-ICPI · Ingesta POA 2024</t>
        </r>
      </text>
    </comment>
    <comment ref="O10" authorId="0" shapeId="0" xr:uid="{00000000-0006-0000-0E00-000009000000}">
      <text>
        <r>
          <rPr>
            <sz val="11"/>
            <color theme="1"/>
            <rFont val="Aptos Narrow"/>
            <family val="2"/>
            <scheme val="minor"/>
          </rPr>
          <t>FUENTE: POA 2023 REFORMADO GAD Municipal Montecristi
CRUCE FORENSE INTEGRAL — Cantón completo (urbano + parroquias rurales)
PARTIDAS VINCULADAS:
• Pavimentación/Repavimentación/mejoramiento carpeta asfáltica y bacheo vías: $689,503.02
• Reconstrucción Anillo Vial Tierra Santa y Santa Isabel: $242,500.00
• Mejoramiento Tipo MTO Calles Sectores Urbanos del Cantón: $371,234.24
• Construcción Aceras-Bordillos/Adoquinamiento/Repavimentación/Pavimentación: $629,000.00
Dir. Obras Públicas
FASE 2 SIAP-ICPI · Ingesta POA 2023</t>
        </r>
      </text>
    </comment>
    <comment ref="P10" authorId="0" shapeId="0" xr:uid="{F408E13D-75D6-4D36-B2BC-E8DFF88B7C7E}">
      <text>
        <r>
          <rPr>
            <b/>
            <sz val="9"/>
            <color indexed="81"/>
            <rFont val="Tahoma"/>
            <family val="2"/>
          </rPr>
          <t>DELL:</t>
        </r>
        <r>
          <rPr>
            <sz val="9"/>
            <color indexed="81"/>
            <rFont val="Tahoma"/>
            <family val="2"/>
          </rPr>
          <t xml:space="preserve">
POA 2024 INGESTA FORENSE · PDOT.AS.VL.M1.01
FUENTE: POA 2024 GAD Municipal Montecristi
PARTIDAS VINCULADAS (Dir. Obras Públicas):
• Act.147: Mantenimiento de Terrazas: $50,000
• Act.148: Construcción Cerramiento, Parqueo, Protección quebrada: $50,000
• Act.161: Adecuación 3er y 4to piso Municipio: $85,000
• Act.50: Estudios Geotécnicos proyectos estratégicos: $4,000
• Obras viales urbanas generales Dir.Obras: $96,000
TOTAL GAD 2024: $285,000
NOTA: Sin partida explícita de bacheo/pavimentación en 2024. Ingresado por homología de objeto de gasto.
FASE 2 SIAP-ICPI · Ingesta POA 2024</t>
        </r>
      </text>
    </comment>
    <comment ref="O11" authorId="0" shapeId="0" xr:uid="{00000000-0006-0000-0E00-00000A000000}">
      <text>
        <r>
          <rPr>
            <sz val="11"/>
            <color theme="1"/>
            <rFont val="Aptos Narrow"/>
            <family val="2"/>
            <scheme val="minor"/>
          </rPr>
          <t>FUENTE CONSOLIDADA: GAD + PATRONATO MUNICIPAL (PMAS)
CRUCE FORENSE INTEGRAL — Cantón Montecristi
[GAD] POA 2023 Reformado: $3,340.00
  → Adquisición de Accesorios e Insumos Químicos y Orgánicos
[PMAS] POA 2023 Patronato Municipal de Amparo Social: $379,149.32
  PARTIDAS VINCULADAS — Atención Médica CMD / CDBV / UMSC:
  • Medicamentos para pacientes (principal): $120,000.00
  • Insumos Hemoдиálisis: $47,000.00
  • Insumos médicos generales: $78,257.45
  • Servicios médicos hospitalarios y laboratorio: $25,000.00
  • Equipos médicos proyectos: $6,461.30
  • Equipos terapia física CDBV: $9,374.78
  • Equipos odontológicos UMSC: $5,663.00
  • Ayudas técnicas e insumos médicos: $7,000.00
  • Cirujano vascular pacientes CMD: $5,000.00
  • Materiales aseo proyectos: $6,300.00
  • Servicios recarga oxígeno/extintores: $600.00
  • + 12 partidas operativas vinculadas
  Dir. Acción Social / PMAS — Proyectos CMD, CDBV, UMSC
FASE 3 SIAP-ICPI · Ingesta POA 2023 Patronato Montecristi</t>
        </r>
      </text>
    </comment>
    <comment ref="P11" authorId="0" shapeId="0" xr:uid="{A99C973F-DFAA-4CC4-9EAC-A3590099579A}">
      <text>
        <r>
          <rPr>
            <b/>
            <sz val="9"/>
            <color indexed="81"/>
            <rFont val="Tahoma"/>
            <family val="2"/>
          </rPr>
          <t>POA 2024 INGESTA FORENSE CONSOLIDADA · PDOT.SC.OE2.M3.01
FUENTE: POA 2024 GAD + PATRONATO MUNICIPAL (PMAS)
[GAD] Dir. Desarrollo Social:
• Act.176: Instrumental Médico Quirúrgico Clubes de Salud: $10,000
Subtotal GAD: $10,000
[PMAS] Atención Médica CMD/CDBV/UMSC (ya ingresado Patronato):
• Insumos Hemodiálisis, laboratorio, equipos médicos, etc.: $336,673.39
TOTAL CONSOLIDADO 2024: $346,673.39
Ingresado por homología de objeto de gasto.
FASE 2 SIAP-ICPI · Ingesta POA 2024</t>
        </r>
      </text>
    </comment>
    <comment ref="O12" authorId="0" shapeId="0" xr:uid="{00000000-0006-0000-0E00-00000B000000}">
      <text>
        <r>
          <rPr>
            <sz val="11"/>
            <color theme="1"/>
            <rFont val="Aptos Narrow"/>
            <family val="2"/>
            <scheme val="minor"/>
          </rPr>
          <t>FUENTE: POA 2023 REFORMADO GAD Municipal Montecristi
CRUCE FORENSE INTEGRAL — Cantón completo
PARTIDA VINCULADA:
• Mantenimiento, operación y tratamientos de las Plantas de Tratamiento de Aguas Residuales: $35,920.00
Dir. Gestión Ambiental
NOTA: Es operación/mantenimiento de PTAR existentes (Bajo Pechiche, Bajo Palma, Bajo Afuera, Reactor Colorado). No incluye obra nueva PTAR.
FASE 2 SIAP-ICPI · Ingesta POA 2023</t>
        </r>
      </text>
    </comment>
    <comment ref="P12" authorId="0" shapeId="0" xr:uid="{C1E39D7B-59ED-4174-A6B5-28BB4C700A73}">
      <text>
        <r>
          <rPr>
            <b/>
            <sz val="9"/>
            <color indexed="81"/>
            <rFont val="Tahoma"/>
            <family val="2"/>
          </rPr>
          <t>DELL:</t>
        </r>
        <r>
          <rPr>
            <sz val="9"/>
            <color indexed="81"/>
            <rFont val="Tahoma"/>
            <family val="2"/>
          </rPr>
          <t xml:space="preserve">
POA 2024 INGESTA FORENSE · PDOT.AM.OE3.M1.01
FUENTE: POA 2024 GAD Municipal Montecristi
PARTIDAS VINCULADAS:
• Act.119: Adquisición kit de respuesta humanitaria (Dir. Planificación/Gestión Riesgos): $52,000
NOTA: Sin partida de obra nueva PTAR en 2024. La gestión de riesgos es componente vinculado a infraestructura de mitigación ambiental.
Ingresado por homología de objeto de gasto.
FASE 2 SIAP-ICPI · Ingesta POA 2024</t>
        </r>
      </text>
    </comment>
    <comment ref="O13" authorId="0" shapeId="0" xr:uid="{00000000-0006-0000-0E00-00000C000000}">
      <text>
        <r>
          <rPr>
            <sz val="11"/>
            <color theme="1"/>
            <rFont val="Aptos Narrow"/>
            <family val="2"/>
            <scheme val="minor"/>
          </rPr>
          <t>FUENTE: POA 2023 REFORMADO GAD Municipal Montecristi
CRUCE FORENSE INTEGRAL — Cantón completo (urbano + rural)
PARTIDAS VINCULADAS:
• Adquisición y plantación árboles forestales varios sectores: $6,000.00
• Mejoramiento espacios de encuentro en comunidades: $10,000.00
• Mantenimiento y Recuperación Espacios Públicos Urbanos y Rurales: $188,765.76
• Adquisición moto guarañas, motosierra, carretillas (x2): $6,000.00
• Fertilizantes/fungicidas/herbicidas espacios verdes: $7,000.00
• Prevenir y mitigar daños en espacios públicos: $40,000.00
Dir. Gestión Ambiental / Espacios Públicos / Obras Públicas
FASE 2 SIAP-ICPI · Ingesta POA 2023</t>
        </r>
      </text>
    </comment>
    <comment ref="P13" authorId="0" shapeId="0" xr:uid="{FD824F68-CAB0-41F2-BDE0-5AFED05AFD82}">
      <text>
        <r>
          <rPr>
            <b/>
            <sz val="9"/>
            <color indexed="81"/>
            <rFont val="Tahoma"/>
            <family val="2"/>
          </rPr>
          <t>DELL:</t>
        </r>
        <r>
          <rPr>
            <sz val="9"/>
            <color indexed="81"/>
            <rFont val="Tahoma"/>
            <family val="2"/>
          </rPr>
          <t xml:space="preserve">
POA 2024 INGESTA FORENSE · PDOT.AV.OE1.M1.01
FUENTE: POA 2024 GAD Municipal Montecristi
PARTIDAS VINCULADAS (Dir. Espacios Públicos + Dir. Ambiental):
• Act.133: Moto guarañas y herramientas: $6,000
• Act.135: Fertilizantes/fungicidas/herbicidas: $7,000
• Act.136: Mant. motoguadañas/bombas: $2,000
• Act.137a: Materiales operatividad EP: $10,000
• Act.137b: Insumos construcción EP: $10,000
• Act.138: Herramientas y equipos menores: $20,000
• Act.140: Prevenir/mitigar daños espacios públicos: $60,000
• Act.141: Mejoramiento infraestructura cementerios: $57,000
• Act.142: Islas de juegos parques: $70,000
• Act.143: Transformadores/fuentes parques: $6,500
• Act.160: Construcción Parque Las Pampas: $37,960
• Act.114-115: Educación ambiental + plantas árboles: $10,000
• Act.118: Informes ambientales: $5,000
• Materiales urbanización embellecimiento adicionales: $69,000
TOTAL GAD 2024: $370,460
FASE 2 SIAP-ICPI · Ingesta POA 2024</t>
        </r>
      </text>
    </comment>
    <comment ref="O14" authorId="0" shapeId="0" xr:uid="{00000000-0006-0000-0E00-00000D000000}">
      <text>
        <r>
          <rPr>
            <sz val="11"/>
            <color theme="1"/>
            <rFont val="Aptos Narrow"/>
            <family val="2"/>
            <scheme val="minor"/>
          </rPr>
          <t>FUENTE CONSOLIDADA: GAD + PATRONATO MUNICIPAL (PMAS)
CRUCE FORENSE INTEGRAL — Cantón Montecristi
[GAD] POA 2023 Reformado: $10,000.00
  → Talleres zona libre de embarazo en adolescentes
[PMAS] POA 2023 Patronato Municipal de Amparo Social: $61,074.68
  PARTIDAS VINCULADAS — Convenio CDI (MIES):
  • Alimentación Convenio CDI: $40,000.32
  • Materiales de aseo CDI: $4,953.52
  • Mantenimiento centro CDI: $4,268.24
  • Arriendo local Convenio CDI: $1,735.80
  • Energía eléctrica CDI: $1,189.12
  • Material didáctico CDI: $1,713.60
  • Material fungible CDI: $2,296.64
  • Materiales de oficina CDI: $735.36
  • Servicio de agua CDI: $1,232.64
  • Telecomunicación CDI: $568.64
  • Limpieza CDI: $380.80
  • + Partidas de niñez vinculadas
  PMAS — Convenio Centro de Desarrollo Infantil (MIES)
FASE 3 SIAP-ICPI · Ingesta POA 2023 Patronato Montecristi</t>
        </r>
      </text>
    </comment>
    <comment ref="P14" authorId="0" shapeId="0" xr:uid="{DAC0AF18-B25F-48FB-AC06-A2AE28DEA30F}">
      <text>
        <r>
          <rPr>
            <b/>
            <sz val="9"/>
            <color indexed="81"/>
            <rFont val="Tahoma"/>
            <family val="2"/>
          </rPr>
          <t>POA 2024 INGESTA FORENSE CONSOLIDADA · PDOT.SC.OE2.M4.01
FUENTE: POA 2024 GAD + PATRONATO MUNICIPAL (PMAS)
[GAD] Dir. Desarrollo Acción e Inclusión Social:
• Act.163: Becas certificaciones artesanales: $3,000
• Act.165: Materiales tejido paja toquilla: $3,000
• Act.166: Electrodomésticos cursos ciudadanía: $5,000
• Act.167: Alimentos materia prima talleres: $8,000
• Act.169: Becas cursos acreditación: $18,000
• Act.170: Alimentos y bebidas programas: $6,500
• Act.171: Materiales didácticos especializados: $1,000
• Act.172: Entrega souvenirs: $3,000
• Act.179: Materiales limpieza: $1,000
• Act.181: Readecuación infocentros: $10,000
• Act.182: Levantamiento información social: $7,000
Subtotal GAD: $65,500
[PMAS] Convenio CDI/MIES (ya ingresado Patronato): $328,972.52
TOTAL CONSOLIDADO 2024: $394,472.52
Ingresado por homología de objeto de gasto.
FASE 2 SIAP-ICPI · Ingesta POA 2024</t>
        </r>
      </text>
    </comment>
    <comment ref="O15" authorId="0" shapeId="0" xr:uid="{00000000-0006-0000-0E00-00000E000000}">
      <text>
        <r>
          <rPr>
            <sz val="11"/>
            <color theme="1"/>
            <rFont val="Aptos Narrow"/>
            <family val="2"/>
            <scheme val="minor"/>
          </rPr>
          <t>FUENTE: POA 2023 REFORMADO GAD Municipal Montecristi
CRUCE FORENSE INTEGRAL — Cantón completo
RESULTADO: SIN PARTIDA ASIGNADA
Ninguna partida de relleno sanitario, desechos sólidos o planta de tratamiento de desechos identificada en el POA 2023 Reformado.
La Empresa Municipal de Aseo no registra partida propia en el documento.
FASE 2 SIAP-ICPI · Ingesta POA 2023</t>
        </r>
      </text>
    </comment>
    <comment ref="P15" authorId="0" shapeId="0" xr:uid="{A9CE2E6E-92A5-454F-9784-4C822F192729}">
      <text>
        <r>
          <rPr>
            <b/>
            <sz val="9"/>
            <color indexed="81"/>
            <rFont val="Tahoma"/>
            <family val="2"/>
          </rPr>
          <t>DELL:</t>
        </r>
        <r>
          <rPr>
            <sz val="9"/>
            <color indexed="81"/>
            <rFont val="Tahoma"/>
            <family val="2"/>
          </rPr>
          <t xml:space="preserve">
POA 2024 INGESTA FORENSE · PDOT.AM.OE3.M2.01
FUENTE: POA 2024 GAD Municipal Montecristi
RESULTADO: SIN PARTIDA ASIGNADA
Empresa Municipal de Aseo sin asignación identificada en POA 2024.
No se encontró partida de relleno sanitario, planta de desechos o gestión de residuos sólidos.
🔴 CRÍTICO: Meta estratégica ambiental sin financiamiento 2024.
FASE 2 SIAP-ICPI · Ingesta POA 2024</t>
        </r>
      </text>
    </comment>
    <comment ref="O16" authorId="0" shapeId="0" xr:uid="{00000000-0006-0000-0E00-00000F000000}">
      <text>
        <r>
          <rPr>
            <sz val="11"/>
            <color theme="1"/>
            <rFont val="Aptos Narrow"/>
            <family val="2"/>
            <scheme val="minor"/>
          </rPr>
          <t>FUENTE: POA 2023 REFORMADO GAD Municipal Montecristi
CRUCE FORENSE INTEGRAL — Cantón completo
PARTIDA VINCULADA:
• Arrendamiento de Equipo Caminero para el cantón Montecristi a través de Feria Incluyente: $250,000.00
Dir. Obras Públicas
NOTA: Solo se vincula la partida directa de equipo caminero. El mantenimiento general de flota vehicular es gasto corriente no vinculable a esta meta PDOT.
FASE 2 SIAP-ICPI · Ingesta POA 2023</t>
        </r>
      </text>
    </comment>
    <comment ref="P16" authorId="0" shapeId="0" xr:uid="{7E3881B5-2CFA-4C28-9C8F-A063796426AE}">
      <text>
        <r>
          <rPr>
            <b/>
            <sz val="9"/>
            <color indexed="81"/>
            <rFont val="Tahoma"/>
            <family val="2"/>
          </rPr>
          <t>DELL:</t>
        </r>
        <r>
          <rPr>
            <sz val="9"/>
            <color indexed="81"/>
            <rFont val="Tahoma"/>
            <family val="2"/>
          </rPr>
          <t xml:space="preserve">
POA 2024 INGESTA FORENSE · PDOT.AS.VL.M1.02
FUENTE: POA 2024 GAD Municipal Montecristi
PARTIDAS VINCULADAS (Dir. Administrativa — Flota Maquinaria):
• Act.6: Mant. maquinarias y equipos municipales: $100,000
• Act.7: Repuestos maquinarias y equipos: $80,000
• Act.8: Lubricantes maquinarias: $30,000
• Act.14: Matriculación maquinarias y equipos: $10,000
• Act.15: Rastreo maquinaria e hidrosuccionador: $20,000
• Act.16: Llantas maquinarias y equipos: $50,000
• Act.18: Herramientas mantenimiento: $7,000
• Act.19: Lubricantes vehículos/maquinarias: $10,000
TOTAL GAD 2024: $307,000
NOTA: Hidrosuccionador $17,000 reclasificado a PDOT.AS.OE1.M1.02 (Alcantarillado).
Ingresado por homología de objeto de gasto.
FASE 2 SIAP-ICPI · Ingesta POA 2024</t>
        </r>
      </text>
    </comment>
    <comment ref="O17" authorId="0" shapeId="0" xr:uid="{00000000-0006-0000-0E00-000010000000}">
      <text>
        <r>
          <rPr>
            <sz val="11"/>
            <color theme="1"/>
            <rFont val="Aptos Narrow"/>
            <family val="2"/>
            <scheme val="minor"/>
          </rPr>
          <t>FUENTE: POA 2023 REFORMADO GAD Municipal Montecristi
CRUCE FORENSE INTEGRAL — Cantón completo
PARTIDAS VINCULADAS:
• Adquisición/instalación/repotenciación cámaras de seguridad: $33,600.00
• Adquisición alarmas comunitarias cantón Montecristi: $30,000.00
• Transformadores control automático para fuentes y parques: $6,500.00
• Equipamiento personal de seguridad espacios públicos: $15,000.00
Dir. Espacios Públicos Justicia y Vigilancia
FASE 2 SIAP-ICPI · Ingesta POA 2023</t>
        </r>
      </text>
    </comment>
    <comment ref="P17" authorId="0" shapeId="0" xr:uid="{67AB3581-0189-4E0D-A251-CD4FEF2C5347}">
      <text>
        <r>
          <rPr>
            <b/>
            <sz val="9"/>
            <color indexed="81"/>
            <rFont val="Tahoma"/>
            <family val="2"/>
          </rPr>
          <t>DELL:</t>
        </r>
        <r>
          <rPr>
            <sz val="9"/>
            <color indexed="81"/>
            <rFont val="Tahoma"/>
            <family val="2"/>
          </rPr>
          <t xml:space="preserve">
POA 2024 INGESTA FORENSE · PDOT.SC.PI.M5.01
FUENTE: POA 2024 GAD Municipal Montecristi
PARTIDAS VINCULADAS:
• Act.71: Adquisición nuevos semáforos (Dir.Tránsito): $70,000
• Act.72: Repotenciar sistema semafórico (Dir.Tránsito): $32,000
• Act.73: Insumos mant. sistema semafórico: $10,000
• Act.144: Equipamiento personal seguridad EP: $15,000
• Act.145: Adquisición/instalación cámaras seguridad: $34,000
TOTAL GAD 2024: $161,000
Ingresado por homología de objeto de gasto — CCTV + semáforos = Central Monitoreo.
FASE 2 SIAP-ICPI · Ingesta POA 2024</t>
        </r>
      </text>
    </comment>
    <comment ref="O18" authorId="0" shapeId="0" xr:uid="{00000000-0006-0000-0E00-000011000000}">
      <text>
        <r>
          <rPr>
            <sz val="11"/>
            <color theme="1"/>
            <rFont val="Aptos Narrow"/>
            <family val="2"/>
            <scheme val="minor"/>
          </rPr>
          <t>FUENTE: POA 2023 REFORMADO GAD Municipal Montecristi
CRUCE FORENSE INTEGRAL — Cantón completo
PARTIDAS VINCULADAS:
• Plan de digitalización (Dir. Registro Propiedad y Mercantil): $50,000.00
• Implementar gestor documental institucional: $10,000.00
• Implementación de transformación digital: $34,822.34
• Renovación y optimización Parque Tecnológico: $166,000.00
• Servicio de Hosting y Sitio Web: $500.00
• Mejoramiento e Interconectividad puntos externos Red Local Municipal: $40,000.00
• Equipos, sistemas y paquetes informáticos: $5,900.00
Dir. Administrativa / Dir. Registro Propiedad y Mercantil
FASE 2 SIAP-ICPI · Ingesta POA 2023</t>
        </r>
      </text>
    </comment>
    <comment ref="P18" authorId="0" shapeId="0" xr:uid="{61D276AC-5C52-4C4E-8285-9B7CA15B7885}">
      <text>
        <r>
          <rPr>
            <b/>
            <sz val="9"/>
            <color indexed="81"/>
            <rFont val="Tahoma"/>
            <family val="2"/>
          </rPr>
          <t>DELL:</t>
        </r>
        <r>
          <rPr>
            <sz val="9"/>
            <color indexed="81"/>
            <rFont val="Tahoma"/>
            <family val="2"/>
          </rPr>
          <t xml:space="preserve">
POA 2024 INGESTA FORENSE · PDOT.PI.OE4.M1.01
FUENTE: POA 2024 GAD Municipal Montecristi
PARTIDAS VINCULADAS:
• Act.36: Instalación de Fibras Ópticas (Dir.Admin): $10,000
• Act.78: Arrendamiento y licencias paquetes informáticos (Dir.Tránsito): $24,000
• Act.92: Mantenimiento instalaciones Registro Propiedad y Mercantil: $45,552.70
TOTAL GAD 2024: $79,552.70
NOTA: Inversión TIC institucional con partidas distribuidas. Sin plataforma ciudadana en línea explícita en 2024.
Ingresado por homología de objeto de gasto.
FASE 2 SIAP-ICPI · Ingesta POA 2024</t>
        </r>
      </text>
    </comment>
    <comment ref="O19" authorId="0" shapeId="0" xr:uid="{00000000-0006-0000-0E00-000012000000}">
      <text>
        <r>
          <rPr>
            <sz val="11"/>
            <color theme="1"/>
            <rFont val="Aptos Narrow"/>
            <family val="2"/>
            <scheme val="minor"/>
          </rPr>
          <t>FUENTE: POA 2023 REFORMADO GAD Municipal Montecristi
CRUCE FORENSE INTEGRAL — Cantón completo
PARTIDAS VINCULADAS:
• Equipamiento técnico cartografía catastral (equip. 1): $65,000.00
• Equipamiento técnico cartografía catastral (equip. 2): $7,400.00
• Adquisición tablets mapeo móvil actualización catastral: $1,600.00
• Adquisición mojones red geodésica cantonal (20 puntos): $200.00
• Proyecto fortalecimiento técnico sistema catastral integrado: $21,920.00
Dir. Avalúos y Catastros
FASE 2 SIAP-ICPI · Ingesta POA 2023</t>
        </r>
      </text>
    </comment>
    <comment ref="P19" authorId="0" shapeId="0" xr:uid="{04314B8B-EEFF-44A6-BB9F-0ADD7DB708E4}">
      <text>
        <r>
          <rPr>
            <b/>
            <sz val="9"/>
            <color indexed="81"/>
            <rFont val="Tahoma"/>
            <family val="2"/>
          </rPr>
          <t>DELL:</t>
        </r>
        <r>
          <rPr>
            <sz val="9"/>
            <color indexed="81"/>
            <rFont val="Tahoma"/>
            <family val="2"/>
          </rPr>
          <t xml:space="preserve">
POA 2024 INGESTA FORENSE · PDOT.PI.OE4.M2.01
FUENTE: POA 2024 GAD Municipal Montecristi
PARTIDAS VINCULADAS:
• Act.130: Proyecto fortalecimiento técnico Sistema Catastral Integrado (Dir.Avalúos y Catastros): $77,800
• Act.132: Contraparte actualización catastral suelo rural — convenio (Dir.Avalúos): $21,600
• Act.120: Adquisición estación total/equip.geodesia (Dir.Planificación): $10,000
TOTAL GAD 2024: $109,400
FASE 2 SIAP-ICPI · Ingesta POA 2024</t>
        </r>
      </text>
    </comment>
    <comment ref="O20" authorId="0" shapeId="0" xr:uid="{00000000-0006-0000-0E00-000013000000}">
      <text>
        <r>
          <rPr>
            <sz val="11"/>
            <color theme="1"/>
            <rFont val="Aptos Narrow"/>
            <family val="2"/>
            <scheme val="minor"/>
          </rPr>
          <t>FUENTE: POA 2023 REFORMADO GAD Municipal Montecristi
CRUCE FORENSE INTEGRAL — Cantón completo
PARTIDA VINCULADA:
• Contraparte Municipal PREMIO VERDE - Fiscalización del Proyecto de Rehabilitación del Manglar: $20,000.00
Dir. Obras Públicas
NOTA: La partida de $45,160 (Construcción I Etapa proyecto ecoturístico Playa San José) se asigna a la META PDOT.EP.OE5.M1.01 (Proyecto Playa San José), que comparte el mismo programa pero es una meta distinta.
FASE 2 SIAP-ICPI · Ingesta POA 2023</t>
        </r>
      </text>
    </comment>
    <comment ref="P20" authorId="0" shapeId="0" xr:uid="{80D03006-E11A-4A8D-8750-BEA04D606EE7}">
      <text>
        <r>
          <rPr>
            <b/>
            <sz val="9"/>
            <color indexed="81"/>
            <rFont val="Tahoma"/>
            <family val="2"/>
          </rPr>
          <t>DELL:</t>
        </r>
        <r>
          <rPr>
            <sz val="9"/>
            <color indexed="81"/>
            <rFont val="Tahoma"/>
            <family val="2"/>
          </rPr>
          <t xml:space="preserve">
POA 2024 INGESTA FORENSE · PDOT.AM.SC.M3.01
FUENTE: POA 2024 GAD Municipal Montecristi
PARTIDAS VINCULADAS (Dir. Gestión Ambiental):
• Act.113: Esterilización y desparasitación perros/gatos: $5,000
• Act.114: Charlas educación ambiental instituciones educativas: $5,000
• Act.115: Adquisición plantas siembra árboles: $5,000
TOTAL GAD 2024: $15,000
Ingresado por homología de objeto de gasto — componentes fauna/ambiental vinculados a Albergue Fauna Urbana.
FASE 2 SIAP-ICPI · Ingesta POA 2024</t>
        </r>
      </text>
    </comment>
    <comment ref="O21" authorId="0" shapeId="0" xr:uid="{00000000-0006-0000-0E00-000014000000}">
      <text>
        <r>
          <rPr>
            <sz val="11"/>
            <color theme="1"/>
            <rFont val="Aptos Narrow"/>
            <family val="2"/>
            <scheme val="minor"/>
          </rPr>
          <t>FUENTE: POA 2023 REFORMADO GAD Municipal Montecristi
CRUCE FORENSE INTEGRAL — Cantón completo
PARTIDAS VINCULADAS:
• Construcción I Etapa proyecto ecoturístico Playa San José: $45,160.00
• Participación en ferias de turismo cantonal y/o nacional: $10,000.00
• Desarrollo del mapa para posicionamiento turístico del cantón: $9,000.00
• Estudio de prefactibilidad proyecto ecoturístico Las Gilces: $6,000.00
• Estudio edificaciones con características patrimoniales: $4,000.00
• Eventos de promoción turística, gastronómica y artesanal: $4,000.00
Dir. Desarrollo Turístico
FASE 2 SIAP-ICPI · Ingesta POA 2023</t>
        </r>
      </text>
    </comment>
    <comment ref="P21" authorId="0" shapeId="0" xr:uid="{2DCA1720-5159-4B03-A027-54771020660D}">
      <text>
        <r>
          <rPr>
            <b/>
            <sz val="9"/>
            <color indexed="81"/>
            <rFont val="Tahoma"/>
            <family val="2"/>
          </rPr>
          <t>DELL:</t>
        </r>
        <r>
          <rPr>
            <sz val="9"/>
            <color indexed="81"/>
            <rFont val="Tahoma"/>
            <family val="2"/>
          </rPr>
          <t xml:space="preserve">
POA 2024 INGESTA FORENSE · PDOT.EP.OE5.M1.01
FUENTE: POA 2024 GAD Municipal Montecristi
PARTIDAS VINCULADAS:
[Dir. Cultura, Patrimonio y Desarrollo Deportivo]:
• Act.80: Ferias exposición artes comunidad: $12,000
• Act.81: Desfiles, pregones, eventos culturales: $16,000
• Act.82: Espectáculos públicos nivel nacional: $77,000
• Act.83: Talleres en artes (música, danza, teatro): $24,000
• Act.85: Mantenimiento casa patrimonial: $8,000
Subtotal Cultura: $137,000
[Dir. Desarrollo Turístico]:
• Act.122: Eventos promoción turística gastronómica: $30,000
• Act.123: Souvenirs turísticos: $10,000
• Act.125: Publicaciones turismo: $1,500
• Act.126: Carnaval/Playa San José: $15,000
Subtotal Turismo: $56,500
TOTAL CONSOLIDADO 2024: $193,500
Ingresado por homología de objeto de gasto — Cultura+Turismo+Patrimonio = Playa San José / Manglar Vivo.
FASE 2 SIAP-ICPI · Ingesta POA 2024</t>
        </r>
      </text>
    </comment>
    <comment ref="O22" authorId="0" shapeId="0" xr:uid="{00000000-0006-0000-0E00-000015000000}">
      <text>
        <r>
          <rPr>
            <sz val="11"/>
            <color theme="1"/>
            <rFont val="Aptos Narrow"/>
            <family val="2"/>
            <scheme val="minor"/>
          </rPr>
          <t>FUENTE: POA 2023 REFORMADO GAD Municipal Montecristi
CRUCE FORENSE INTEGRAL — Cantón completo (urbano + parroquias rurales)
PARTIDAS VINCULADAS:
• Instalación y repotenciación de sistemas semafóricos del cantón: $110,000.00
• Mantenimiento de semáforos del cantón Montecristi: $40,000.00
• Nuevas Señaléticas horizontales: $20,000.00
• Nuevas señaléticas verticales: $10,000.00
• Mantenimiento e Iluminación de Redes Eléctricas y Alumbrado Público: $240,888.07
Dir. Tránsito y Transporte Terrestre / Obras Públicas
FASE 2 SIAP-ICPI · Ingesta POA 2023</t>
        </r>
      </text>
    </comment>
    <comment ref="P22" authorId="0" shapeId="0" xr:uid="{AD89E7BE-AE40-4553-8BBF-0C17FAE5C3B9}">
      <text>
        <r>
          <rPr>
            <b/>
            <sz val="9"/>
            <color indexed="81"/>
            <rFont val="Tahoma"/>
            <family val="2"/>
          </rPr>
          <t>DELL:</t>
        </r>
        <r>
          <rPr>
            <sz val="9"/>
            <color indexed="81"/>
            <rFont val="Tahoma"/>
            <family val="2"/>
          </rPr>
          <t xml:space="preserve">
POA 2024 INGESTA FORENSE · PDOT.AS.VL.M2.01
FUENTE: POA 2024 GAD Municipal Montecristi
PARTIDAS VINCULADAS (Dir. Tránsito y Transporte Terrestre):
• Act.67: Señalización horizontal seguridad vial: $20,000
• Act.68: Señalización vertical: $25,000
• Act.69: Reductores de velocidad calles cantón: $10,000
• Act.70: Dispositivos seguridad vial (conos/vallas): $2,000
• Act.75: Materiales didácticos educación vial: $7,600
• Act.76: Activaciones BTL difusión educación vial: $5,000
• Act.77: Eventos públicos educación vial: $2,000
TOTAL GAD 2024: $71,600
NOTA: Sin alumbrado público explícito en 2024 (vs $240K POA 2023).
FASE 2 SIAP-ICPI · Ingesta POA 2024</t>
        </r>
      </text>
    </comment>
    <comment ref="O24" authorId="0" shapeId="0" xr:uid="{00000000-0006-0000-0E00-000016000000}">
      <text>
        <r>
          <rPr>
            <sz val="11"/>
            <color theme="1"/>
            <rFont val="Aptos Narrow"/>
            <family val="2"/>
            <scheme val="minor"/>
          </rPr>
          <t>FUENTE: POA 2023 REFORMADO GAD Municipal Montecristi
CRUCE FORENSE INTEGRAL — Cantón completo (urbano + parroquias rurales)
PARTIDAS VINCULADAS:
• Agua Potable (operación general): $100,000.00
• Arrendamiento Tanqueros dotación agua potable al cantón: $179,134.86
• Mantenimiento y Repotenciación PTAP Los Mangos: $70,736.82
• Mantenimiento y Repotenciación PTAP Los Mangos (complemento): $16,621.65
• Operación y Mantenimiento Potabilización Aguas: $50,000.00
• Suministros tuberías redes agua potable: $113,800.00
• Construcción estación de bombeo y reservorio agua cruda: $5,000.00
• Crédito BDE Fiscalización AP Parroquia La Pila: $50,000.00
• Crédito BDE Construcción Sistema AP Parroquia La Pila: $175,028.69
• Contraparte Municipal AP Los Limos: $24,000.00
• Agua Potable INTAL: $1,028,286.86
• Construcción Tanque Reservorio Sector Pepa de Huso/La Sequial: $31,000.00
Dir. Agua Potable y Alcantarillado Sanitario / Obras Públicas
FASE 2 SIAP-ICPI · Ingesta POA 2023</t>
        </r>
      </text>
    </comment>
    <comment ref="P24" authorId="0" shapeId="0" xr:uid="{0F07874E-8192-4C89-92D2-2E3045314A0F}">
      <text>
        <r>
          <rPr>
            <b/>
            <sz val="9"/>
            <color indexed="81"/>
            <rFont val="Tahoma"/>
            <family val="2"/>
          </rPr>
          <t>DELL:</t>
        </r>
        <r>
          <rPr>
            <sz val="9"/>
            <color indexed="81"/>
            <rFont val="Tahoma"/>
            <family val="2"/>
          </rPr>
          <t xml:space="preserve">
POA 2024 INGESTA FORENSE · PDOT.AS.OE1.M1.03
FUENTE: POA 2024 GAD Municipal Montecristi
PARTIDAS VINCULADAS (Dir. Agua Potable y Alcantarillado Sanitario):
• Act.55: Deuda de agua potable (saldos BDE/INTAL): $651,399.24
• Act.101: Suministros tuberías PVC AP (50% split): $50,000
• Act.104: Suministros tuberías PEAD/HD sistema AP: $50,000
• Act.106: Construcción estación bombeo y reservorio (contraparte): $1,000
TOTAL GAD 2024: $752,399.24
NOTA: El grueso del monto corresponde a pago de deuda agua potable INTAL/BDE.
FASE 2 SIAP-ICPI · Ingesta POA 2024</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D135" authorId="0" shapeId="0" xr:uid="{6F238E76-61C0-48EA-A22D-6C69E5BE3774}">
      <text>
        <r>
          <rPr>
            <b/>
            <sz val="9"/>
            <color indexed="81"/>
            <rFont val="Tahoma"/>
            <family val="2"/>
          </rPr>
          <t>DELL:</t>
        </r>
        <r>
          <rPr>
            <sz val="9"/>
            <color indexed="81"/>
            <rFont val="Tahoma"/>
            <family val="2"/>
          </rPr>
          <t xml:space="preserve">
FUENTE: PAC 2023 OFICIAL GAD Municipal Montecristi
CRUCE FORENSE INTEGRAL — Cantón completo
PARTIDAS VINCULADAS (8 ítems):
• #3 Equipos herramientas área operativa Agua Potable y Alcantarillado: $14,476.33
• #11 Mantenimiento/Repotenciación PTAP Los Mangos: $213,000.00
• #12 Suministros tuberías redes agua potable: $220,000.00
• #13 Operación y Mantenimiento Potabilización Aguas: $50,000.00
• #14 Mejoramiento Agua Sector Pepa de Huso: $30,992.25
• #37 Equipos medición caudal/presión/detección fugas AP: $110,053.08
• #78 Alquiler vehículos tanqueros dotación AP: $172,800.00
• #82 Adaptación tanquero en camión: $27,900.00
Total oficial PAC 2023: $12,652,519.69
FASE 2 SIAP-ICPI · Ingesta PAC 2023</t>
        </r>
      </text>
    </comment>
    <comment ref="F135" authorId="0" shapeId="0" xr:uid="{A5915185-D0B2-4E00-8BDC-FD9A7B353D99}">
      <text>
        <r>
          <rPr>
            <b/>
            <sz val="9"/>
            <color indexed="81"/>
            <rFont val="Tahoma"/>
            <family val="2"/>
          </rPr>
          <t>DELL:</t>
        </r>
        <r>
          <rPr>
            <sz val="9"/>
            <color indexed="81"/>
            <rFont val="Tahoma"/>
            <family val="2"/>
          </rPr>
          <t xml:space="preserve">
CRUCE FORENSE PAC 2024 DOCX OFICIAL
Fuente: GAD_Montecristi_PAC_2024.docx · Total DOCX: $8,712,580.52
ÍTEMS VINCULADOS (9):
• #10 Equipos lab químico agua potable/residuales (840104): $25,000
• #19 Equipos operativos sistemas agua canton (840104): $16,000
• #45 Estación bombeo reservorio agua cruda (750101): $1,000
• #59 Materiales mejora presión AP (730811.003): $80,000
• #64 Suministros tuberías PVC PEAD HD agua potable (730811): $50,000
• #99 Alquiler tanqueros distribución AP canton (730505): $200,000
• #128 Insumos control parámetros fisico-quimicos afluentes (530819): $15,000
• #129 Químicos plantas tratamiento agua potable (530819): $9,855
• #153 Mant/repotenciación PTAP Los Mangos/Cerro Guayabal (530404): $55,000
Auditor: SIAP-ICPI · Fase Ingesta 2024</t>
        </r>
      </text>
    </comment>
    <comment ref="D136" authorId="0" shapeId="0" xr:uid="{1E4F1A2F-4112-41BB-B55F-FB2697F5CB8B}">
      <text>
        <r>
          <rPr>
            <b/>
            <sz val="9"/>
            <color indexed="81"/>
            <rFont val="Tahoma"/>
            <family val="2"/>
          </rPr>
          <t>DELL:</t>
        </r>
        <r>
          <rPr>
            <sz val="9"/>
            <color indexed="81"/>
            <rFont val="Tahoma"/>
            <family val="2"/>
          </rPr>
          <t xml:space="preserve">
FUENTE: PAC 2023 OFICIAL GAD Municipal Montecristi
CRUCE FORENSE INTEGRAL — Cantón completo
PARTIDAS VINCULADAS (7 ítems):
• #27 Adquisición tuberías hormigón/PVC para alcantarillado: $50,000.00
• #30 Crédito BDE Construcción AP y Alcantarillado Sitio Colón: $1,406,253.32
• #31 Crédito BDE Línea Derivación AP y Alcantarillado: $2,024,026.00
• #32 Construcción Alcantarillado Cdla. Paola 1 y Paola 2: $249,859.46
• #45 Suministro tuberías/tapas hierro/hormigón redes alcantarillado: $199,243.49
• #72 Crédito BDE Fiscalización Línea Derivación: $140,000.00
• #73 Crédito BDE Fiscalización AP+Alcantarillado Sitio Colón: $63,720.69
FASE 2 SIAP-ICPI · Ingesta PAC 2023</t>
        </r>
      </text>
    </comment>
    <comment ref="F136" authorId="0" shapeId="0" xr:uid="{FE08B08A-BCA6-4E26-A230-8FBCBEF36306}">
      <text>
        <r>
          <rPr>
            <b/>
            <sz val="9"/>
            <color indexed="81"/>
            <rFont val="Tahoma"/>
            <family val="2"/>
          </rPr>
          <t>DELL:</t>
        </r>
        <r>
          <rPr>
            <sz val="9"/>
            <color indexed="81"/>
            <rFont val="Tahoma"/>
            <family val="2"/>
          </rPr>
          <t xml:space="preserve">
CRUCE FORENSE PAC 2024 DOCX OFICIAL
Fuente: GAD_Montecristi_PAC_2024.docx · Total DOCX: $8,712,580.52
ÍTEMS VINCULADOS (5):
• #30 Mantenimiento sistema alcantarillado sanitario canton (750501): $69,000
• #43 Tuberías hormigón PVC ampliaciones alcantarillado (750103): $50,000
• #44 Construcción alcantarillado Paola 1 Paola 2 El Padrino (750103): $249,859.46
• #63 Suministro tuberías PVC hormigón alcantarillado (730811): $66,000
• #67 Suministros tuberías cemento acero redes alcantarillado/AP (730811): $95,000
Auditor: SIAP-ICPI · Fase Ingesta 2024</t>
        </r>
      </text>
    </comment>
    <comment ref="D137" authorId="0" shapeId="0" xr:uid="{27DCE5BC-ADAA-4BF2-B0F8-751EA6A92237}">
      <text>
        <r>
          <rPr>
            <b/>
            <sz val="9"/>
            <color indexed="81"/>
            <rFont val="Tahoma"/>
            <family val="2"/>
          </rPr>
          <t>DELL:</t>
        </r>
        <r>
          <rPr>
            <sz val="9"/>
            <color indexed="81"/>
            <rFont val="Tahoma"/>
            <family val="2"/>
          </rPr>
          <t xml:space="preserve">
FUENTE: PAC 2023 OFICIAL GAD Municipal Montecristi
CRUCE FORENSE INTEGRAL — Cantón completo
PARTIDAS VINCULADAS (2 ítems):
• #29 Estación de Bombeo Booster agua cruda: $41,000.00
• #70 Estudios Definitivos Tanques de Reserva y Sistema Agua: $21,000.00
FASE 2 SIAP-ICPI · Ingesta PAC 2023</t>
        </r>
      </text>
    </comment>
    <comment ref="F137" authorId="0" shapeId="0" xr:uid="{92B2A8B1-5563-4CBF-BE70-421A54B0BF70}">
      <text>
        <r>
          <rPr>
            <b/>
            <sz val="9"/>
            <color indexed="81"/>
            <rFont val="Tahoma"/>
            <family val="2"/>
          </rPr>
          <t>DELL:</t>
        </r>
        <r>
          <rPr>
            <sz val="9"/>
            <color indexed="81"/>
            <rFont val="Tahoma"/>
            <family val="2"/>
          </rPr>
          <t xml:space="preserve">
CRUCE FORENSE PAC 2024 DOCX OFICIAL
Fuente: GAD_Montecristi_PAC_2024.docx · Total DOCX: $8,712,580.52
RESULTADO: SIN PROCESO DE CONTRATACIÓN EN PAC 2024
Ninguna partida explícita de reservorios/tanques de almacenamiento identificada en el PAC 2024 oficial.
El ítem #45 (estación bombeo/reservorio agua cruda, $1,000) corresponde a Agua Potable (M1.01).
Auditor: SIAP-ICPI · Fase Ingesta 2024</t>
        </r>
      </text>
    </comment>
    <comment ref="D138" authorId="0" shapeId="0" xr:uid="{240C64D9-805D-442E-A7DA-23A677790293}">
      <text>
        <r>
          <rPr>
            <b/>
            <sz val="9"/>
            <color indexed="81"/>
            <rFont val="Tahoma"/>
            <family val="2"/>
          </rPr>
          <t>DELL:</t>
        </r>
        <r>
          <rPr>
            <sz val="9"/>
            <color indexed="81"/>
            <rFont val="Tahoma"/>
            <family val="2"/>
          </rPr>
          <t xml:space="preserve">
FUENTE: PAC 2023 OFICIAL GAD Municipal Montecristi
CRUCE FORENSE INTEGRAL — Cantón completo
RESULTADO: SIN PROCESO DE CONTRATACIÓN EN PAC 2023
Ninguna partida de Terminal Terrestre identificada en el PAC 2023.
(El ítem pre-existente #36 'ESTUDIO DEFINITIVO TERMINAL TERRESTRE' no aparece en el documento PAC 2023 oficial. Correspondería a otro período o a un proceso diferente.)
FASE 2 SIAP-ICPI · Ingesta PAC 2023</t>
        </r>
      </text>
    </comment>
    <comment ref="F138" authorId="0" shapeId="0" xr:uid="{AED1D26D-208F-44FD-9C6C-CD9AD96AB39D}">
      <text>
        <r>
          <rPr>
            <b/>
            <sz val="9"/>
            <color indexed="81"/>
            <rFont val="Tahoma"/>
            <family val="2"/>
          </rPr>
          <t>DELL:</t>
        </r>
        <r>
          <rPr>
            <sz val="9"/>
            <color indexed="81"/>
            <rFont val="Tahoma"/>
            <family val="2"/>
          </rPr>
          <t xml:space="preserve">
CRUCE FORENSE PAC 2024 DOCX OFICIAL
Fuente: GAD_Montecristi_PAC_2024.docx · Total DOCX: $8,712,580.52
RESULTADO: SIN PROCESO DE CONTRATACIÓN EN PAC 2024
Ninguna partida de Terminal Terrestre identificada en el PAC 2024 oficial.
Auditor: SIAP-ICPI · Fase Ingesta 2024</t>
        </r>
      </text>
    </comment>
    <comment ref="D139" authorId="0" shapeId="0" xr:uid="{46ED7AA8-964A-4D05-8B9C-E6AB84EE1783}">
      <text>
        <r>
          <rPr>
            <b/>
            <sz val="9"/>
            <color indexed="81"/>
            <rFont val="Tahoma"/>
            <family val="2"/>
          </rPr>
          <t>DELL:</t>
        </r>
        <r>
          <rPr>
            <sz val="9"/>
            <color indexed="81"/>
            <rFont val="Tahoma"/>
            <family val="2"/>
          </rPr>
          <t xml:space="preserve">
FUENTE: PAC 2023 OFICIAL GAD Municipal Montecristi
CRUCE FORENSE INTEGRAL — Cantón completo
RESULTADO: SIN PROCESO DE CONTRATACIÓN EN PAC 2023
Ninguna partida de Camal Municipal identificada en el PAC 2023 oficial.
FASE 2 SIAP-ICPI · Ingesta PAC 2023</t>
        </r>
      </text>
    </comment>
    <comment ref="F139" authorId="0" shapeId="0" xr:uid="{63BB12E6-55F4-4A1F-882C-519585626DC1}">
      <text>
        <r>
          <rPr>
            <b/>
            <sz val="9"/>
            <color indexed="81"/>
            <rFont val="Tahoma"/>
            <family val="2"/>
          </rPr>
          <t>DELL:</t>
        </r>
        <r>
          <rPr>
            <sz val="9"/>
            <color indexed="81"/>
            <rFont val="Tahoma"/>
            <family val="2"/>
          </rPr>
          <t xml:space="preserve">
CRUCE FORENSE PAC 2024 DOCX OFICIAL
Fuente: GAD_Montecristi_PAC_2024.docx · Total DOCX: $8,712,580.52
RESULTADO: SIN PROCESO DE CONTRATACIÓN EN PAC 2024
Ninguna partida de Camal Municipal identificada en el PAC 2024 oficial.
Auditor: SIAP-ICPI · Fase Ingesta 2024</t>
        </r>
      </text>
    </comment>
    <comment ref="D140" authorId="0" shapeId="0" xr:uid="{0D4DFE33-285E-4483-9B45-A3B7D55ADC0E}">
      <text>
        <r>
          <rPr>
            <b/>
            <sz val="9"/>
            <color indexed="81"/>
            <rFont val="Tahoma"/>
            <family val="2"/>
          </rPr>
          <t>DELL:</t>
        </r>
        <r>
          <rPr>
            <sz val="9"/>
            <color indexed="81"/>
            <rFont val="Tahoma"/>
            <family val="2"/>
          </rPr>
          <t xml:space="preserve">
FUENTE: PAC 2023 OFICIAL GAD Municipal Montecristi
CRUCE FORENSE INTEGRAL — Cantón completo
RESULTADO: SIN PROCESO DE CONTRATACIÓN EN PAC 2023
Ninguna partida específica para Centro Salud Tipo C identificada en el PAC 2023 oficial.
FASE 2 SIAP-ICPI · Ingesta PAC 2023</t>
        </r>
      </text>
    </comment>
    <comment ref="F140" authorId="0" shapeId="0" xr:uid="{40361B83-0709-4486-A65F-AAE8FD21BBA4}">
      <text>
        <r>
          <rPr>
            <b/>
            <sz val="9"/>
            <color indexed="81"/>
            <rFont val="Tahoma"/>
            <family val="2"/>
          </rPr>
          <t>DELL:</t>
        </r>
        <r>
          <rPr>
            <sz val="9"/>
            <color indexed="81"/>
            <rFont val="Tahoma"/>
            <family val="2"/>
          </rPr>
          <t xml:space="preserve">
CRUCE FORENSE PAC 2024 DOCX OFICIAL
Fuente: GAD_Montecristi_PAC_2024.docx · Total DOCX: $8,712,580.52
RESULTADO: SIN PROCESO DE CONTRATACIÓN EN PAC 2024
Ninguna partida de Centro de Salud Tipo C identificada en el PAC 2024 oficial.
Auditor: SIAP-ICPI · Fase Ingesta 2024</t>
        </r>
      </text>
    </comment>
    <comment ref="D141" authorId="0" shapeId="0" xr:uid="{EFF357B3-F1EB-4BBB-9F48-0BCBD03E7853}">
      <text>
        <r>
          <rPr>
            <b/>
            <sz val="9"/>
            <color indexed="81"/>
            <rFont val="Tahoma"/>
            <family val="2"/>
          </rPr>
          <t>FUENTE CONSOLIDADA: GAD + PATRONATO MUNICIPAL (PMAS)
PAC 2023 — Cruce Forense Integral — Cantón Montecristi
[GAD] PAC 2023 Oficial: $0.00
  → SIN proceso de contratación para Equipamiento Geriátrico en PAC 2023 GAD central
[PMAS] PAC 2023 Patronato Municipal de Amparo Social: $1,673.18
  Total asignado PMAS 2023: $554,410.20
  PARTIDAS VINCULADAS — Convenio Adulto Mayor:
  • Material didáctico Proyecto Adulto Mayor: $1,013.64
  • Mantenimiento centro Convenio Adulto Mayor: $76.04
  • Eventos sociales y culturales Adulto Mayor: $583.50
  Partidas: 7.3.08.12 / 7.3.08.11 / 7.3.02.05
  Procedimiento: Infíma Cuantía / Catálogo Electrónico
  Fuente SERCOP: Consulta PAC PMAS 2023
FASE 3 SIAP-ICPI · Ingesta PAC 2023 Patronato Montecristi</t>
        </r>
      </text>
    </comment>
    <comment ref="F141" authorId="0" shapeId="0" xr:uid="{DF08E4D2-1E3F-4629-AF2D-D87EBB24A5AF}">
      <text>
        <r>
          <rPr>
            <b/>
            <sz val="9"/>
            <color indexed="81"/>
            <rFont val="Tahoma"/>
            <family val="2"/>
          </rPr>
          <t>FUENTE CONSOLIDADA: GAD + PATRONATO MUNICIPAL (PMAS)
PAC 2024 — Cruce Forense Integral — Cantón Montecristi
[GAD] PAC 2024 Oficial: $10,000.00
  → Ítem #68 Instrumental médico quirúrgico clubes de salud (vinculación indirecta)
[PMAS] PAC 2024 Patronato Municipal de Amparo Social: $14,426.56
  Total asignado PMAS 2024: $1,104,580.85
  PARTIDAS VINCULADAS — Convenio Adulto Mayor:
  • Eventos sociales y culturales Adulto Mayor: $7,344.00
  • Servicio Adulto Mayor (atención y cuidados): $7,082.56
  Partidas: 7.3.02.05 / 7.3.06.13
  Procedimiento: Catálogo Electrónico / Ferias Inclusivas
  Fuente SERCOP: Consulta PAC PMAS 2024
FASE 3 SIAP-ICPI · Ingesta PAC 2024 Patronato Montecristi</t>
        </r>
      </text>
    </comment>
    <comment ref="D142" authorId="0" shapeId="0" xr:uid="{AF77E6B3-C82E-4B87-A571-4BB82661FBBE}">
      <text>
        <r>
          <rPr>
            <b/>
            <sz val="9"/>
            <color indexed="81"/>
            <rFont val="Tahoma"/>
            <family val="2"/>
          </rPr>
          <t>FUENTE CONSOLIDADA: GAD + PATRONATO MUNICIPAL (PMAS)
PAC 2023 — Cruce Forense Integral — Cantón Montecristi
[GAD] PAC 2023 Oficial: $20,000.00
  → Ítem #52 Medicinas Brigadas Médicas Clínica Móvil
[PMAS] PAC 2023 Patronato Municipal de Amparo Social: $328,541.36
  Total asignado PMAS 2023: $554,410.20
  PARTIDAS VINCULADAS — CMD / CDBV / UMSC:
  • Medicamentos generales CDBV/CMD/USMC 2023: $120,000.00
  • Insumos principales Hemodiálisis: $78,257.45
  • Equipos terapia física CMD/CDBV (x2): $9,374.78 + $6,461.30
  • Equipos informáticos CMD CDBV: $10,300.20
  • Aires acondicionados CMD CDBV: $10,000.00
  • Transporte desechos biopeligrosos: $6,964.00
  • Equipos e insumos informáticos: $8,346.00
  • Paquetes informáticos CDBV CMD: $4,193.00
  • Equipos odontológicos UMSC: $5,663.00
  • Ayudas técnicas insumos médicos: $7,000.00
  • Materiales aseo proyectos: $6,300.00
  • Estudios Microbiología CMD: $1,050.00
  • + 15 partidas operativas vinculadas
  Partidas: 7.3.08.xx / 8.4.01.xx / 7.7.01.xx
  Procedimiento: Subasta Inversa / Infíma Cuantía / Catálogo
  Fuente SERCOP: Consulta PAC PMAS 2023
FASE 3 SIAP-ICPI · Ingesta PAC 2023 Patronato Montecristi</t>
        </r>
      </text>
    </comment>
    <comment ref="F142" authorId="0" shapeId="0" xr:uid="{2E1728A8-2629-49D7-91C4-CA73D02CA750}">
      <text>
        <r>
          <rPr>
            <b/>
            <sz val="9"/>
            <color indexed="81"/>
            <rFont val="Tahoma"/>
            <family val="2"/>
          </rPr>
          <t>FUENTE CONSOLIDADA: GAD + PATRONATO MUNICIPAL (PMAS)
PAC 2024 — Cruce Forense Integral — Cantón Montecristi
[GAD] PAC 2024 Oficial: $15,000.00
  → Ítem #3 Licenciamiento vehículos sanitarios
[PMAS] PAC 2024 Patronato Municipal de Amparo Social: $386,000.00
  Total asignado PMAS 2024: $1,104,580.85
  PARTIDAS VINCULADAS — CMD / CDBV / UMSC:
  • Insumos principales Hemodiálisis: $150,000.00
  • Insumos médicos generales CMD CDBV: $100,000.00
  • Servicio laboratorio clínico Clínica Municipal Diálisis: $36,000.00
  • Equipos informáticos área administrativa y proyectos: $22,000.00
  • Adquisición (equipos médicos CMD CDBV): $50,000.00
  • Equipos médicos CMD CDBV (1): $16,000.00
  • Mantenimiento Clínicas Móviles: $10,000.00
  • Llantas vehículos CMD CDBV: $2,000.00
  Partidas: 7.3.08.xx / 8.4.01.xx
  Procedimiento: Subasta Inversa Electrónica / Catálogo
  Fuente SERCOP: Consulta PAC PMAS 2024
FASE 3 SIAP-ICPI · Ingesta PAC 2024 Patronato Montecristi</t>
        </r>
      </text>
    </comment>
    <comment ref="D143" authorId="0" shapeId="0" xr:uid="{DE62F61F-1844-498B-9861-4097DC5F92CE}">
      <text>
        <r>
          <rPr>
            <b/>
            <sz val="9"/>
            <color indexed="81"/>
            <rFont val="Tahoma"/>
            <family val="2"/>
          </rPr>
          <t>FUENTE CONSOLIDADA: GAD + PATRONATO MUNICIPAL (PMAS)
PAC 2023 — Cruce Forense Integral — Cantón Montecristi
[GAD] PAC 2023 Oficial: $82,600.00
  → 9 ítems (capacitaciones, talleres, emprendedores, niñez)
[PMAS] PAC 2023 Patronato Municipal de Amparo Social: $224,195.66
  Total oficial PMAS 2023: $554,410.20 (SERCOP)
  • Fase 3a — Convenio CDI (MIES): $53,406.84
    - Alimentación CDI: $40,000.32
    - Materiales aseo CDI: $4,953.52
    - Mantenimiento centro CDI: $4,268.24
    - Material didáctico CDI: $1,713.60
    - Arriendo CDI: $1,735.80
    - Material de oficina CDI: $735.36
  • Fase 3b — Gastos operativos PMAS social transversal: $170,788.82
    (Remanente del total oficial PMAS no distribuido en M2.01/M3.01)
    Incluye: convenios Adulto Mayor, Alas de Libertad, shows culturales,
    vestuario, combustible, insumos generales, informática PMAS,
    desechos biopeligrosos, seguros, mantenimiento infraestructura
  Partidas: múltiples (7.3.xx / 8.4.01.xx / 5.3.xx / 5.7.02.01)
  Fuente: SERCOP compraspublicas.gob.ec — PAC PMAS Montecristi 2023
  VALOR ESTÁTICO SELLADO — FASE 3 COMPLETA — SIAP-ICPI — Auditor Forense</t>
        </r>
      </text>
    </comment>
    <comment ref="F143" authorId="0" shapeId="0" xr:uid="{C000D520-94D9-45E6-9B5D-037137FA7429}">
      <text>
        <r>
          <rPr>
            <b/>
            <sz val="9"/>
            <color indexed="81"/>
            <rFont val="Tahoma"/>
            <family val="2"/>
          </rPr>
          <t>FUENTE CONSOLIDADA: GAD + PATRONATO MUNICIPAL (PMAS)
PAC 2024 — Cruce Forense Integral — Cantón Montecristi
[GAD] PAC 2024 Oficial: $63,900.00
  → 5 ítems (becas, capacitaciones artesanales, cursos)
[PMAS] PAC 2024 Patronato Municipal de Amparo Social: $704,154.29
  Total oficial PMAS 2024: $1,104,580.85 (SERCOP)
  • Fase 3a — Convenio CDI / CDI + programas: $299,791.52
    - Alimentación CDI: $251,580.96
    - Arriendo CDI: $9,280.00
    - Materiales aseo CDI: $12,000.00
    - Material de oficina CDI: $1,607.36
    - Equipamiento CDI: $8,808.80
    - Limpieza CDI: $4,569.60
    - Refrigerio talleres: $5,140.80
    - Alimentación CDI compl.: $6,804.00
    - Recreación infantil: $2,000.00
    - Telecomunicación CDI: $7,082.56 (7.3.01.05)
  • Fase 3b — Gastos operativos PMAS social transversal: $404,362.77
    (Remanente del total oficial PMAS no distribuido en M2.01/M3.01)
    Incluye: Alas de Libertad, Adulto Mayor, vestuario, combustible,
    seguros, mantenimiento infraestructura $25,000, material fungible CDI
    $9,407.68, insumos aseo $1,607.36, informática, eventos culturales
  Partidas: múltiples (7.3.xx / 8.4.01.xx / 5.3.xx / 5.7.02.01)
  Fuente: SERCOP compraspublicas.gob.ec — PAC PMAS Montecristi 2024
  VALOR ESTÁTICO SELLADO — FASE 3 COMPLETA — SIAP-ICPI — Auditor Forense</t>
        </r>
      </text>
    </comment>
    <comment ref="D144" authorId="0" shapeId="0" xr:uid="{D6D21F29-ED5C-4E96-81B3-573271926751}">
      <text>
        <r>
          <rPr>
            <b/>
            <sz val="9"/>
            <color indexed="81"/>
            <rFont val="Tahoma"/>
            <family val="2"/>
          </rPr>
          <t>DELL:</t>
        </r>
        <r>
          <rPr>
            <sz val="9"/>
            <color indexed="81"/>
            <rFont val="Tahoma"/>
            <family val="2"/>
          </rPr>
          <t xml:space="preserve">
FUENTE: PAC 2023 OFICIAL GAD Municipal Montecristi
CRUCE FORENSE INTEGRAL — Cantón completo
PARTIDAS VINCULADAS (3 ítems):
• #28 Construcción Colector Principal descarga aguas residuales sector El Prado: $109,000.00
• #105 Operación y Tratamiento Plantas Aguas Residuales: $35,866.00
• #121 Plan Control, Monitoreo y Mantenimiento Sistemas Agua/Saneamiento: $20,000.00
FASE 2 SIAP-ICPI · Ingesta PAC 2023</t>
        </r>
      </text>
    </comment>
    <comment ref="F144" authorId="0" shapeId="0" xr:uid="{0C7B3640-BAE9-4FEF-822A-1959DFDCDFBF}">
      <text>
        <r>
          <rPr>
            <b/>
            <sz val="9"/>
            <color indexed="81"/>
            <rFont val="Tahoma"/>
            <family val="2"/>
          </rPr>
          <t>DELL:</t>
        </r>
        <r>
          <rPr>
            <sz val="9"/>
            <color indexed="81"/>
            <rFont val="Tahoma"/>
            <family val="2"/>
          </rPr>
          <t xml:space="preserve">
CRUCE FORENSE PAC 2024 DOCX OFICIAL
Fuente: GAD_Montecristi_PAC_2024.docx · Total DOCX: $8,712,580.52
ÍTEMS VINCULADOS (2):
• #111 Rehabilitación/repotenciación estaciones bombeo aguas residuales canton (730404): $90,000
• #130 Productos plantas tratamiento aguas residuales (530819/354400011): $35,000
Auditor: SIAP-ICPI · Fase Ingesta 2024</t>
        </r>
      </text>
    </comment>
    <comment ref="D145" authorId="0" shapeId="0" xr:uid="{D5BD104B-4DF5-458B-9CA1-F860E68749AE}">
      <text>
        <r>
          <rPr>
            <b/>
            <sz val="9"/>
            <color indexed="81"/>
            <rFont val="Tahoma"/>
            <family val="2"/>
          </rPr>
          <t>DELL:</t>
        </r>
        <r>
          <rPr>
            <sz val="9"/>
            <color indexed="81"/>
            <rFont val="Tahoma"/>
            <family val="2"/>
          </rPr>
          <t xml:space="preserve">
FUENTE: PAC 2023 OFICIAL GAD Municipal Montecristi
CRUCE FORENSE INTEGRAL — Cantón completo
RESULTADO: SIN PROCESO DE CONTRATACIÓN EN PAC 2023
Ninguna partida de relleno sanitario, desechos sólidos o planta de tratamiento de desechos identificada en el PAC 2023 oficial.
FASE 2 SIAP-ICPI · Ingesta PAC 2023</t>
        </r>
      </text>
    </comment>
    <comment ref="F145" authorId="0" shapeId="0" xr:uid="{8A68DDCC-91A1-4B87-8325-B8B89C4BDB66}">
      <text>
        <r>
          <rPr>
            <b/>
            <sz val="9"/>
            <color indexed="81"/>
            <rFont val="Tahoma"/>
            <family val="2"/>
          </rPr>
          <t>DELL:</t>
        </r>
        <r>
          <rPr>
            <sz val="9"/>
            <color indexed="81"/>
            <rFont val="Tahoma"/>
            <family val="2"/>
          </rPr>
          <t xml:space="preserve">
CRUCE FORENSE PAC 2024 DOCX OFICIAL
Fuente: GAD_Montecristi_PAC_2024.docx · Total DOCX: $8,712,580.52
ÍTEMS VINCULADOS (2):
• #18 Equipos monitoreos ambientales concesiones mineras artesanal canton (840104/482650321): $26,500
• #70 Charlas educación ambiental instituciones educativas (730804/929000111): $5,000
Auditor: SIAP-ICPI · Fase Ingesta 2024</t>
        </r>
      </text>
    </comment>
    <comment ref="D146" authorId="0" shapeId="0" xr:uid="{82A19143-21BD-4BDF-A174-5B6BCB4226F2}">
      <text>
        <r>
          <rPr>
            <b/>
            <sz val="9"/>
            <color indexed="81"/>
            <rFont val="Tahoma"/>
            <family val="2"/>
          </rPr>
          <t>DELL:</t>
        </r>
        <r>
          <rPr>
            <sz val="9"/>
            <color indexed="81"/>
            <rFont val="Tahoma"/>
            <family val="2"/>
          </rPr>
          <t xml:space="preserve">
FUENTE: PAC 2023 OFICIAL GAD Municipal Montecristi
CRUCE FORENSE INTEGRAL — Cantón completo
PARTIDA VINCULADA (1 ítem):
• #33 Plantas — Albergue Fauna Silvestre Cantón: $2,000.00
Partida 73.15.15.000 — Servicio
FASE 2 SIAP-ICPI · Ingesta PAC 2023</t>
        </r>
      </text>
    </comment>
    <comment ref="F146" authorId="0" shapeId="0" xr:uid="{E144BA98-30C6-450D-8384-717474DE07F1}">
      <text>
        <r>
          <rPr>
            <b/>
            <sz val="9"/>
            <color indexed="81"/>
            <rFont val="Tahoma"/>
            <family val="2"/>
          </rPr>
          <t>DELL:</t>
        </r>
        <r>
          <rPr>
            <sz val="9"/>
            <color indexed="81"/>
            <rFont val="Tahoma"/>
            <family val="2"/>
          </rPr>
          <t xml:space="preserve">
CRUCE FORENSE PAC 2024 DOCX OFICIAL
Fuente: GAD_Montecristi_PAC_2024.docx · Total DOCX: $8,712,580.52
RESULTADO: SIN PROCESO DE CONTRATACIÓN EN PAC 2024
Ninguna partida explícita de albergue/refugio de fauna silvestre en el PAC 2024 oficial.
Auditor: SIAP-ICPI · Fase Ingesta 2024</t>
        </r>
      </text>
    </comment>
    <comment ref="D147" authorId="0" shapeId="0" xr:uid="{029A9896-01DF-4D0B-9FF7-DA064E85DBAF}">
      <text>
        <r>
          <rPr>
            <b/>
            <sz val="9"/>
            <color indexed="81"/>
            <rFont val="Tahoma"/>
            <family val="2"/>
          </rPr>
          <t>DELL:</t>
        </r>
        <r>
          <rPr>
            <sz val="9"/>
            <color indexed="81"/>
            <rFont val="Tahoma"/>
            <family val="2"/>
          </rPr>
          <t xml:space="preserve">
FUENTE: PAC 2023 OFICIAL GAD Municipal Montecristi
CRUCE FORENSE INTEGRAL — Cantón completo (urbano + parroquias rurales)
PARTIDAS VINCULADAS (9 ítems):
• #15 Mejoramiento Tipo MTO Calles Sectores Urbanos: $80,000.00
• #16 Adquisición Materiales MTOP Base y Sub-Base vial: $379,657.49
• #18 Construcción Aceras-Bordillos-Adoquinamiento-Repavimentación: $929,000.00
• #19 Construcción Aceras y Bordillos varios sectores: $70,000.00
• #20 Bacheo Vías Principales del Cantón: $80,000.00
• #21 Rehabilitación bituminosa Cdlas. Santa Isabel/Tierra Santa/El Prado: $127,060.00
• #22 Reconstrucción Anillo Vial Tierra Santa y Santa Isabel: $242,500.00
• #23 Pavimentación/Repavimentación/Mejoramiento Carpeta Asfáltica: $800,000.00
• #77 Alquiler maquinarias limpieza/desmonte actividades viales: $249,859.00
NOTA: Excluido ítem #86 (duplicado de #21)
FASE 2 SIAP-ICPI · Ingesta PAC 2023</t>
        </r>
      </text>
    </comment>
    <comment ref="F147" authorId="0" shapeId="0" xr:uid="{1686874A-19C1-4E62-8FCA-F8C60BA9F78D}">
      <text>
        <r>
          <rPr>
            <b/>
            <sz val="9"/>
            <color indexed="81"/>
            <rFont val="Tahoma"/>
            <family val="2"/>
          </rPr>
          <t>DELL:</t>
        </r>
        <r>
          <rPr>
            <sz val="9"/>
            <color indexed="81"/>
            <rFont val="Tahoma"/>
            <family val="2"/>
          </rPr>
          <t xml:space="preserve">
CRUCE FORENSE PAC 2024 DOCX OFICIAL
Fuente: GAD_Montecristi_PAC_2024.docx · Total DOCX: $8,712,580.52
ÍTEMS VINCULADOS (7) — Obras viales, pavimentación, base/sub-base:
• #27 Bacheo pavimentación recapeo asfaltica sectores urbanos/rurales (750501): $600,000
• #28 Mejoramiento materiales petreo base sub-base vías canton (750501): $400,000
• #32 Colocación tuberías aguas lluvias escollera hormigón armado (750114): $100,000
• #33 Pavimentación bacheo asfaltico aceras bordillos zona urbana/rural (750105): $500,000
• #34 Construcción aceras y bordillos canton Montecristi (750105): $50,000
• #39 Mejoramiento materiales petreo base sub-base vías (750104): $57,000
• #164 Servicio transporte material pétreo (2024.750105): $100,000
Auditor: SIAP-ICPI · Fase Ingesta 2024</t>
        </r>
      </text>
    </comment>
    <comment ref="D148" authorId="0" shapeId="0" xr:uid="{5D301C11-A5B3-480A-9815-941EE00A9AD1}">
      <text>
        <r>
          <rPr>
            <b/>
            <sz val="9"/>
            <color indexed="81"/>
            <rFont val="Tahoma"/>
            <family val="2"/>
          </rPr>
          <t>DELL:</t>
        </r>
        <r>
          <rPr>
            <sz val="9"/>
            <color indexed="81"/>
            <rFont val="Tahoma"/>
            <family val="2"/>
          </rPr>
          <t xml:space="preserve">
FUENTE: PAC 2023 OFICIAL GAD Municipal Montecristi
CRUCE FORENSE INTEGRAL — Cantón completo
PARTIDA VINCULADA (1 ítem):
• #43 Repuestos y accesorios maquinaria pesada / equipo caminero: $80,000.00
NOTA: Solo se vincula la partida directa de repuestos de maquinaria vial. El ítem #54 (Retroexcavadora) tiene valor 0 en el PAC 2023 (partida presupuestada pero sin monto asignado).
FASE 2 SIAP-ICPI · Ingesta PAC 2023</t>
        </r>
      </text>
    </comment>
    <comment ref="F148" authorId="0" shapeId="0" xr:uid="{23D2FD39-C7C4-483A-9C5D-81CE56CA5793}">
      <text>
        <r>
          <rPr>
            <b/>
            <sz val="9"/>
            <color indexed="81"/>
            <rFont val="Tahoma"/>
            <family val="2"/>
          </rPr>
          <t>DELL:</t>
        </r>
        <r>
          <rPr>
            <sz val="9"/>
            <color indexed="81"/>
            <rFont val="Tahoma"/>
            <family val="2"/>
          </rPr>
          <t xml:space="preserve">
CRUCE FORENSE PAC 2024 DOCX OFICIAL
Fuente: GAD_Montecristi_PAC_2024.docx · Total DOCX: $8,712,580.52
ÍTEMS VINCULADOS (2):
• #9 Adquisición camionetas 4x4 para propiedad municipal (840105/491130025): $138,000
• #14 Adquisición maquinaria pesada equipo caminero GAD Montecristi (840104/444210111): $600,000
Auditor: SIAP-ICPI · Fase Ingesta 2024</t>
        </r>
      </text>
    </comment>
    <comment ref="D149" authorId="0" shapeId="0" xr:uid="{84C93C64-F8EB-4B95-B62E-436F0BA0E706}">
      <text>
        <r>
          <rPr>
            <b/>
            <sz val="9"/>
            <color indexed="81"/>
            <rFont val="Tahoma"/>
            <family val="2"/>
          </rPr>
          <t>DELL:</t>
        </r>
        <r>
          <rPr>
            <sz val="9"/>
            <color indexed="81"/>
            <rFont val="Tahoma"/>
            <family val="2"/>
          </rPr>
          <t xml:space="preserve">
FUENTE: PAC 2023 OFICIAL GAD Municipal Montecristi
CRUCE FORENSE INTEGRAL — Cantón completo
PARTIDAS VINCULADAS (7 ítems):
• #9 Mantenimiento eléctrico Terrazas Paseo Lúdico y Escalinata: $108,741.21
• #10 Mantenimiento Iluminación Redes Eléctricas y Alumbrado Público: $378,584.89
• #46 Nuevas Señaléticas: $10,000.00
• #47 Mantenimiento de Señaléticas: $10,000.00
• #49 Mantenimiento de Semáforos: $60,000.00
• #50 Instalación Semáforos nuevos en diferentes Sectores del Cantón: $125,000.00
• #108 Insumos/Materiales construcción/electricidad/plomería: $1,000.00
FASE 2 SIAP-ICPI · Ingesta PAC 2023</t>
        </r>
      </text>
    </comment>
    <comment ref="F149" authorId="0" shapeId="0" xr:uid="{1A76F3E0-2965-4311-8C51-9BE35DD87BC6}">
      <text>
        <r>
          <rPr>
            <b/>
            <sz val="9"/>
            <color indexed="81"/>
            <rFont val="Tahoma"/>
            <family val="2"/>
          </rPr>
          <t>DELL:</t>
        </r>
        <r>
          <rPr>
            <sz val="9"/>
            <color indexed="81"/>
            <rFont val="Tahoma"/>
            <family val="2"/>
          </rPr>
          <t xml:space="preserve">
CRUCE FORENSE PAC 2024 DOCX OFICIAL
Fuente: GAD_Montecristi_PAC_2024.docx · Total DOCX: $8,712,580.52
ÍTEMS VINCULADOS (8) — Iluminación, señalética y semáforos:
• #25 Mant/mejoras iluminación redes eléctricas alumbrado público (750504): $15,000
• #26 Mant eléctrico terrazas paseo lúdico y escalinata (750504): $108,741.21
• #51 Adquisición nuevos semáforos (731404/429990214): $70,000
• #58 Actividades BTL difusión educación vial masiva (730812): $5,000
• #60 Dispositivo seguridad vial conos vallas (730811): $2,000
• #61 Insumos materiales señalización vial (730811): $2,000
• #65 Señalización vial vertical y horizontal canton (730811/979900815): $63,000
• #109 Repotenciar instalaciones sistema semafórico (730404/979900811): $56,000
Auditor: SIAP-ICPI · Fase Ingesta 2024</t>
        </r>
      </text>
    </comment>
    <comment ref="D150" authorId="0" shapeId="0" xr:uid="{6F996DB3-70B9-4A99-A6DB-77BBA8161542}">
      <text>
        <r>
          <rPr>
            <b/>
            <sz val="9"/>
            <color indexed="81"/>
            <rFont val="Tahoma"/>
            <family val="2"/>
          </rPr>
          <t>DELL:</t>
        </r>
        <r>
          <rPr>
            <sz val="9"/>
            <color indexed="81"/>
            <rFont val="Tahoma"/>
            <family val="2"/>
          </rPr>
          <t xml:space="preserve">
FUENTE: PAC 2023 OFICIAL GAD Municipal Montecristi
CRUCE FORENSE INTEGRAL — Cantón completo (urbano + rural)
PARTIDA VINCULADA (1 ítem):
• #26 Mantenimiento y Recuperación Espacios Públicos Urbanos y Rurales: $288,243.69
NOTA: Ítems #25 (Cerramiento Cementerio) y #128 (Arrendamiento edificios) excluidos por no corresponder a áreas verdes/parques.
FASE 2 SIAP-ICPI · Ingesta PAC 2023</t>
        </r>
      </text>
    </comment>
    <comment ref="F150" authorId="0" shapeId="0" xr:uid="{7C85EE89-D45D-454F-B672-65F9A07B903A}">
      <text>
        <r>
          <rPr>
            <b/>
            <sz val="9"/>
            <color indexed="81"/>
            <rFont val="Tahoma"/>
            <family val="2"/>
          </rPr>
          <t>DELL:</t>
        </r>
        <r>
          <rPr>
            <sz val="9"/>
            <color indexed="81"/>
            <rFont val="Tahoma"/>
            <family val="2"/>
          </rPr>
          <t xml:space="preserve">
CRUCE FORENSE PAC 2024 DOCX OFICIAL
Fuente: GAD_Montecristi_PAC_2024.docx · Total DOCX: $8,712,580.52
ÍTEMS VINCULADOS (6):
• #13 Moto guadañas/herramientas mantenimiento parques (840104/442310113): $14,000
• #29 Construcción cubierta metálica cancha parque Cabaña Aníbal San Andrés (750501): $80,000
• #37 Reconstrucción parque Las Pampas canton Montecristi (750104): $86,500
• #38 Mantenimiento de terrazas (750104): $50,000
• #40 Mantenimiento infraestructura parques/canchas/cementerios/mercados (750104): $172,000
• #49 Materiales/herramientas operatividad espacios públicos (731406): $40,000
Auditor: SIAP-ICPI · Fase Ingesta 2024</t>
        </r>
      </text>
    </comment>
    <comment ref="D151" authorId="0" shapeId="0" xr:uid="{ECDE4EB9-9641-4603-BE82-84C2B4AE41BC}">
      <text>
        <r>
          <rPr>
            <b/>
            <sz val="9"/>
            <color indexed="81"/>
            <rFont val="Tahoma"/>
            <family val="2"/>
          </rPr>
          <t>DELL:</t>
        </r>
        <r>
          <rPr>
            <sz val="9"/>
            <color indexed="81"/>
            <rFont val="Tahoma"/>
            <family val="2"/>
          </rPr>
          <t xml:space="preserve">
FUENTE: PAC 2023 OFICIAL GAD Municipal Montecristi
CRUCE FORENSE INTEGRAL — Cantón completo
PARTIDA VINCULADA (1 ítem):
• #60 Implementación de un Sistema CCTV en la ANT Municipal: $6,000.00
Partida 73.07.01.001 — Servicio
FASE 2 SIAP-ICPI · Ingesta PAC 2023</t>
        </r>
      </text>
    </comment>
    <comment ref="F151" authorId="0" shapeId="0" xr:uid="{1D584CFF-3C6D-4A14-B092-BB1BE8A91FA8}">
      <text>
        <r>
          <rPr>
            <b/>
            <sz val="9"/>
            <color indexed="81"/>
            <rFont val="Tahoma"/>
            <family val="2"/>
          </rPr>
          <t>DELL:</t>
        </r>
        <r>
          <rPr>
            <sz val="9"/>
            <color indexed="81"/>
            <rFont val="Tahoma"/>
            <family val="2"/>
          </rPr>
          <t xml:space="preserve">
CRUCE FORENSE PAC 2024 DOCX OFICIAL
Fuente: GAD_Montecristi_PAC_2024.docx · Total DOCX: $8,712,580.52
ÍTEM VINCULADO (1):
• #42 Servicio instalación cámaras videovigilancia y alarmas comunitarias sectores canton (750104/473130017): $47,612.41
Auditor: SIAP-ICPI · Fase Ingesta 2024</t>
        </r>
      </text>
    </comment>
    <comment ref="D152" authorId="0" shapeId="0" xr:uid="{48E6D3AC-6B5A-4A09-87A4-2A3208E6BF92}">
      <text>
        <r>
          <rPr>
            <b/>
            <sz val="9"/>
            <color indexed="81"/>
            <rFont val="Tahoma"/>
            <family val="2"/>
          </rPr>
          <t>DELL:</t>
        </r>
        <r>
          <rPr>
            <sz val="9"/>
            <color indexed="81"/>
            <rFont val="Tahoma"/>
            <family val="2"/>
          </rPr>
          <t xml:space="preserve">
FUENTE: PAC 2023 OFICIAL GAD Municipal Montecristi
CRUCE FORENSE INTEGRAL — Cantón completo
PARTIDAS VINCULADAS (8 ítems):
• #2 Equipos, sistemas y paquetes informáticos GAD: $5,900.00
• #34 Implementación Sistema ERP gestión servicios: $150,000.00
• #35 Equipos, Sistemas y Paquetes Informáticos (Rastreo Satelital): $12,000.00
• #36 Equipos, Sistemas y Paquetes Informáticos: $26,000.00
• #79 Mejoramiento e Interconectividad puntos externos Red Local Municipal: $40,000.00
• #98 Digitalización de Información y Datos Públicos: $57,400.00
• #116 Migración a Google Workspace: $70,000.00
• #133 Estudio actualización estaciones base celular: $10,000.00
FASE 2 SIAP-ICPI · Ingesta PAC 2023</t>
        </r>
      </text>
    </comment>
    <comment ref="F152" authorId="0" shapeId="0" xr:uid="{E2698914-C8DC-4772-B2E5-0A5D2186D86F}">
      <text>
        <r>
          <rPr>
            <b/>
            <sz val="9"/>
            <color indexed="81"/>
            <rFont val="Tahoma"/>
            <family val="2"/>
          </rPr>
          <t>DELL:</t>
        </r>
        <r>
          <rPr>
            <sz val="9"/>
            <color indexed="81"/>
            <rFont val="Tahoma"/>
            <family val="2"/>
          </rPr>
          <t xml:space="preserve">
CRUCE FORENSE PAC 2024 DOCX OFICIAL
Fuente: GAD_Montecristi_PAC_2024.docx · Total DOCX: $8,712,580.52
ÍTEMS VINCULADOS (8) — Sistemas informáticos y digitalización:
• #5 Equipos informáticos direcciones y jefaturas GAD (840107/4522000116): $19,645.40
• #6 Equipos accesorios transmisión comunicación GAD (840107/472110113): $10,000
• #7 Equipamiento informático áreas departamentales (840107/452300041): $30,345.60
• #97 Implementación sistemas ERP Financiero/Registro Propiedad (730601/831420011): $252,000
• #142 Soporte mantenimiento ERP Olympo GAD (530702/831600111): $12,900
• #143 Entorno cloud migración servicios informáticos GAD (530702/841600311): $40,000
• #144 Licencia sistema Lexis actualizaciones legales (530701): $1,200
• #162 Internet backup puntos WiFi GAD Montecristi (530105/842200012): $24,384
Auditor: SIAP-ICPI · Fase Ingesta 2024</t>
        </r>
      </text>
    </comment>
    <comment ref="D153" authorId="0" shapeId="0" xr:uid="{84E36673-E986-4B22-891D-C5F680FBDE19}">
      <text>
        <r>
          <rPr>
            <b/>
            <sz val="9"/>
            <color indexed="81"/>
            <rFont val="Tahoma"/>
            <family val="2"/>
          </rPr>
          <t>DELL:</t>
        </r>
        <r>
          <rPr>
            <sz val="9"/>
            <color indexed="81"/>
            <rFont val="Tahoma"/>
            <family val="2"/>
          </rPr>
          <t xml:space="preserve">
FUENTE: PAC 2023 OFICIAL GAD Municipal Montecristi
CRUCE FORENSE INTEGRAL — Cantón completo
PARTIDAS VINCULADAS (2 ítems):
• #4 Adquisición Drone Profesional y Kit GNSS de Alta Precisión: $61,900.00
• #6 Maquinarias y Equipos (Dron catastro): $3,500.00
FASE 2 SIAP-ICPI · Ingesta PAC 2023</t>
        </r>
      </text>
    </comment>
    <comment ref="F153" authorId="0" shapeId="0" xr:uid="{38443C2A-BB96-4009-9469-141F266F4B77}">
      <text>
        <r>
          <rPr>
            <b/>
            <sz val="9"/>
            <color indexed="81"/>
            <rFont val="Tahoma"/>
            <family val="2"/>
          </rPr>
          <t>DELL:</t>
        </r>
        <r>
          <rPr>
            <sz val="9"/>
            <color indexed="81"/>
            <rFont val="Tahoma"/>
            <family val="2"/>
          </rPr>
          <t xml:space="preserve">
CRUCE FORENSE PAC 2024 DOCX OFICIAL
Fuente: GAD_Montecristi_PAC_2024.docx · Total DOCX: $8,712,580.52
ÍTEMS VINCULADOS (4) — Catastro y topografía:
• #15 Adquisición receptor GPS transportable (840104/482200011): $10,000
• #16 Accesorios y equipo topográfico de precisión (840104/482810111): $25,371
• #17 Kit drone comercial topografía e inspecciones catastrales (840104/482200014): $6,829
• #92 Captura información georreferenciada LIDAR fachadas cabecera cantonal (730601.003): $65,000
Auditor: SIAP-ICPI · Fase Ingesta 2024</t>
        </r>
      </text>
    </comment>
    <comment ref="D154" authorId="0" shapeId="0" xr:uid="{0A243D8A-C4D9-4D05-8B6C-9916FCBA77A2}">
      <text>
        <r>
          <rPr>
            <b/>
            <sz val="9"/>
            <color indexed="81"/>
            <rFont val="Tahoma"/>
            <family val="2"/>
          </rPr>
          <t>DELL:</t>
        </r>
        <r>
          <rPr>
            <sz val="9"/>
            <color indexed="81"/>
            <rFont val="Tahoma"/>
            <family val="2"/>
          </rPr>
          <t xml:space="preserve">
FUENTE: PAC 2023 OFICIAL GAD Municipal Montecristi
CRUCE FORENSE INTEGRAL — Cantón completo
PARTIDA VINCULADA (1 ítem):
• #17 Construcción de Muro de Escollera para protección de acceso a la Playa San José: $35,101.31
Partida 750.107.002.002 — Obra
FASE 2 SIAP-ICPI · Ingesta PAC 2023</t>
        </r>
      </text>
    </comment>
    <comment ref="F154" authorId="0" shapeId="0" xr:uid="{A78770D6-BDB8-4984-BA1B-77D4B6DD8235}">
      <text>
        <r>
          <rPr>
            <b/>
            <sz val="9"/>
            <color indexed="81"/>
            <rFont val="Tahoma"/>
            <family val="2"/>
          </rPr>
          <t>DELL:</t>
        </r>
        <r>
          <rPr>
            <sz val="9"/>
            <color indexed="81"/>
            <rFont val="Tahoma"/>
            <family val="2"/>
          </rPr>
          <t xml:space="preserve">
CRUCE FORENSE PAC 2024 DOCX OFICIAL
Fuente: GAD_Montecristi_PAC_2024.docx · Total DOCX: $8,712,580.52
RESULTADO: SIN PROCESO DE CONTRATACIÓN DIRECTA EN PAC 2024
Ninguna partida explícita de obra en Playa San José identificada en el PAC 2024 oficial.
NOTA: Los ítems 120 ($78,400) y 121 ($85,000) corresponden a eventos turísticos culturales generales (partida 730249), NO a obra de infraestructura costera.
Auditor: SIAP-ICPI · Fase Ingesta 2024</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tc={86098437-C4F7-418E-BA06-91DC1589F0D5}</author>
    <author>tc={D23ACA4F-06BB-47C0-8C91-B92CA906D742}</author>
    <author>tc={59986E91-D1AD-4D99-BA5D-6A5CCE04D9CB}</author>
    <author>tc={808840C7-17C9-4FC5-B899-0C72DC88F1BD}</author>
    <author>tc={D9344873-6140-40A1-A950-9F862F09D0D2}</author>
    <author>tc={1E151C8E-BFDD-4857-9A70-85FBE0EAA733}</author>
    <author>tc={53E5C088-EB5D-4149-AA3B-2478B7143AE5}</author>
    <author>tc={771499E5-269C-4CE3-AA3B-B902912954C8}</author>
    <author>tc={E7242D72-23B0-4511-BB4F-59D6B38F4D55}</author>
  </authors>
  <commentList>
    <comment ref="C4" authorId="0" shapeId="0" xr:uid="{86098437-C4F7-418E-BA06-91DC1589F0D5}">
      <text>
        <t>[Comentario encadenado]
Tu versión de Excel te permite leer este comentario encadenado; sin embargo, las ediciones que se apliquen se quitarán si el archivo se abre en una versión más reciente de Excel. Más información: https://go.microsoft.com/fwlink/?linkid=870924
Comentario:
    REFERENCIA POSICIONAL — Pi (Peso Presupuestario)
Fuente: PONDER!F14:F33, mismo orden que PDOT!B4:B23.
ADVERTENCIA: Si se inserta fila en PONDER entre F13 y F14, TODOS los Pi
se desplazan sin generar error. Verificar PONDER!B14 = PDOT!B4 antes de modificar.</t>
      </text>
    </comment>
    <comment ref="D4" authorId="1" shapeId="0" xr:uid="{D23ACA4F-06BB-47C0-8C91-B92CA906D742}">
      <text>
        <t>[Comentario encadenado]
Tu versión de Excel te permite leer este comentario encadenado; sin embargo, las ediciones que se apliquen se quitarán si el archivo se abre en una versión más reciente de Excel. Más información: https://go.microsoft.com/fwlink/?linkid=870924
Comentario:
    REFERENCIA POSICIONAL — Ri (Factor de Riesgo)
Fuente: TFR!F5:F24, mismo orden que PDOT!B4:B23.
ADVERTENCIA: Sin VLOOKUP por codigo. Si TFR se reordena, Ri cambia sin aviso.
Verificar TFR!B5 = PDOT!B4 antes de modificar TFR.</t>
      </text>
    </comment>
    <comment ref="E4" authorId="2" shapeId="0" xr:uid="{59986E91-D1AD-4D99-BA5D-6A5CCE04D9CB}">
      <text>
        <t>[Comentario encadenado]
Tu versión de Excel te permite leer este comentario encadenado; sin embargo, las ediciones que se apliquen se quitarán si el archivo se abre en una versión más reciente de Excel. Más información: https://go.microsoft.com/fwlink/?linkid=870924
Comentario:
    FUENTE DINAMICA — Vi (Verificacion Documental)
Formula: VLOOKUP(Cod.PDOT, MAD!A5:P24, MATCH('Vi',MAD!A4:P4,0), 0)
Indice resuelto por encabezado, NO numero fijo. Default si cod no existe: 1.
Riesgo residual: si MAD!F4 cambia de nombre, MATCH falla silenciosamente.</t>
      </text>
    </comment>
    <comment ref="F4" authorId="3" shapeId="0" xr:uid="{808840C7-17C9-4FC5-B899-0C72DC88F1BD}">
      <text>
        <t>[Comentario encadenado]
Tu versión de Excel te permite leer este comentario encadenado; sin embargo, las ediciones que se apliquen se quitarán si el archivo se abre en una versión más reciente de Excel. Más información: https://go.microsoft.com/fwlink/?linkid=870924
Comentario:
    FUENTE DINAMICA — Ti (Oportunidad Temporal)
Formula: VLOOKUP(Cod.PDOT, MAD!A5:P24, MATCH('Ti (H)',MAD!A4:P4,0), 0)
Default si cod no existe: 0. Encabezado exacto requerido: 'Ti (H)' en MAD!H4.</t>
      </text>
    </comment>
    <comment ref="I4" authorId="4" shapeId="0" xr:uid="{D9344873-6140-40A1-A950-9F862F09D0D2}">
      <text>
        <t>[Comentario encadenado]
Tu versión de Excel te permite leer este comentario encadenado; sin embargo, las ediciones que se apliquen se quitarán si el archivo se abre en una versión más reciente de Excel. Más información: https://go.microsoft.com/fwlink/?linkid=870924
Comentario:
    FUENTE DINAMICA — Ci (Control Institucional)
Formula: VLOOKUP(Cod.PDOT, MAD!A5:P24, MATCH('Pi / Ci',MAD!A4:P4,0), 0)
Default si cod no existe: 1. Encabezado exacto: 'Pi / Ci' en MAD!P4.</t>
      </text>
    </comment>
    <comment ref="A5" authorId="5" shapeId="0" xr:uid="{1E151C8E-BFDD-4857-9A70-85FBE0EAA733}">
      <text>
        <t>[Comentario encadenado]
Tu versión de Excel te permite leer este comentario encadenado; sin embargo, las ediciones que se apliquen se quitarán si el archivo se abre en una versión más reciente de Excel. Más información: https://go.microsoft.com/fwlink/?linkid=870924
Comentario:
    CELDA CRITICA — Primera meta, mayor peso Pi=33%
Formula correcta: =PDOT!B4
HISTORIAL: Contuvo =PDOT!B24 ('TOTAL MUESTRA') causando perdida silenciosa
de PDOT.AS.VL.M1.01 en el ICPI. Corregida en Fase 1.
No editar manualmente. Si se pierde: regenerar como =PDOT!B4.</t>
      </text>
    </comment>
    <comment ref="G25" authorId="6" shapeId="0" xr:uid="{53E5C088-EB5D-4149-AA3B-2478B7143AE5}">
      <text>
        <t>[Comentario encadenado]
Tu versión de Excel te permite leer este comentario encadenado; sin embargo, las ediciones que se apliquen se quitarán si el archivo se abre en una versión más reciente de Excel. Más información: https://go.microsoft.com/fwlink/?linkid=870924
Comentario:
    NUMERADOR ICPI = Suma(Pi x Ri x Ti x Ci), n=20 metas, rango G5:G24.
Valor referencia Fase 2: 0.4427.
Si cambia sin cambio en MAD, verificar que rango sea exactamente G5:G24.</t>
      </text>
    </comment>
    <comment ref="H25" authorId="7" shapeId="0" xr:uid="{771499E5-269C-4CE3-AA3B-B902912954C8}">
      <text>
        <t>[Comentario encadenado]
Tu versión de Excel te permite leer este comentario encadenado; sin embargo, las ediciones que se apliquen se quitarán si el archivo se abre en una versión más reciente de Excel. Más información: https://go.microsoft.com/fwlink/?linkid=870924
Comentario:
    DENOMINADOR ICPI = Suma(Pi x Ri), n=20 metas, rango H5:H24.
Valor referencia: 1.0659. Cambia solo si Pi (PONDER) o Ri (TFR) se actualizan.
Suma Pi = 1.0 (verificar en PONDER).</t>
      </text>
    </comment>
    <comment ref="G29" authorId="8" shapeId="0" xr:uid="{E7242D72-23B0-4511-BB4F-59D6B38F4D55}">
      <text>
        <t>[Comentario encadenado]
Tu versión de Excel te permite leer este comentario encadenado; sin embargo, las ediciones que se apliquen se quitarán si el archivo se abre en una versión más reciente de Excel. Más información: https://go.microsoft.com/fwlink/?linkid=870924
Comentario:
    ICPI FINAL = (G25/H25) x 100
Algoritmo canonico: ICPI = Suma(Pi x Ri x Vi x Ti x Ci) / Suma(Pi x Ri) x 100
Resultado validado Fase 2: 41.53%
FUENTES POR VARIABLE:
  Pi = PONDER!F14:F33 (peso presupuestario)
  Ri = TFR!F5:F24 (factor de riesgo)
  Vi = MAD col 'Vi' (verificacion documental)
  Ti = MAD col 'Ti (H)' (oportunidad temporal)
  Ci = MAD col 'Pi / Ci' (control institucional)
NO modificar esta formula. Es el nucleo del algoritmo SIAP-ICPI.</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B5" authorId="0" shapeId="0" xr:uid="{00000000-0006-0000-1300-000001000000}">
      <text>
        <r>
          <rPr>
            <sz val="11"/>
            <color theme="1"/>
            <rFont val="Aptos Narrow"/>
            <family val="2"/>
            <scheme val="minor"/>
          </rPr>
          <t>DELL:
ACTUALIZADO v4.0: fórmula dinámica — antes hardcoded 0.6211 (Pi CNE). Ahora lee E1-ICPI!G24 en tiempo real con Pi PDOT.</t>
        </r>
      </text>
    </comment>
    <comment ref="B6" authorId="0" shapeId="0" xr:uid="{00000000-0006-0000-1300-000002000000}">
      <text>
        <r>
          <rPr>
            <sz val="11"/>
            <color theme="1"/>
            <rFont val="Aptos Narrow"/>
            <family val="2"/>
            <scheme val="minor"/>
          </rPr>
          <t>DELL:
ACTUALIZADO v4.0: fórmula dinámica — antes hardcoded 1.3209. Ahora lee E1-ICPI!H24.</t>
        </r>
      </text>
    </comment>
    <comment ref="B17" authorId="0" shapeId="0" xr:uid="{00000000-0006-0000-1300-000003000000}">
      <text>
        <r>
          <rPr>
            <sz val="11"/>
            <color theme="1"/>
            <rFont val="Aptos Narrow"/>
            <family val="2"/>
            <scheme val="minor"/>
          </rPr>
          <t>Actualizado v5.0: fórmula dinámica desde M5-ICPI. Antes hardcoded '0,4427 / 1,0659 = 41,53%'</t>
        </r>
      </text>
    </comment>
    <comment ref="B20" authorId="0" shapeId="0" xr:uid="{00000000-0006-0000-1300-000004000000}">
      <text>
        <r>
          <rPr>
            <sz val="11"/>
            <color theme="1"/>
            <rFont val="Aptos Narrow"/>
            <family val="2"/>
            <scheme val="minor"/>
          </rPr>
          <t>DELL:
Actualizado v4.0 — antes hardcoded '47,02%'. Ahora dinámico desde E2-RESUL.</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tc={DA1CC246-670E-44C7-9A2C-4E67507A7645}</author>
    <author>tc={760DC41A-09E9-4532-A10D-4DA0737DE8AE}</author>
  </authors>
  <commentList>
    <comment ref="E5" authorId="0" shapeId="0" xr:uid="{DA1CC246-670E-44C7-9A2C-4E67507A7645}">
      <text>
        <t>[Comentario encadenado]
Tu versión de Excel te permite leer este comentario encadenado; sin embargo, las ediciones que se apliquen se quitarán si el archivo se abre en una versión más reciente de Excel. Más información: https://go.microsoft.com/fwlink/?linkid=870924
Comentario:
    FUENTE DINAMICA — Vi por VLOOKUP (blindado Fase 3)
Formula: VLOOKUP(B?, MAD!A5:H24, MATCH('Vi',MAD!A4:H4,0), 0)
Reemplaza referencias posicionales MAD!F5:F24 (riesgo critico eliminado).
Metas fuera de muestra n=20 devuelven vacio (IFERROR) — correcto.</t>
      </text>
    </comment>
    <comment ref="I5" authorId="1" shapeId="0" xr:uid="{760DC41A-09E9-4532-A10D-4DA0737DE8AE}">
      <text>
        <t>[Comentario encadenado]
Tu versión de Excel te permite leer este comentario encadenado; sin embargo, las ediciones que se apliquen se quitarán si el archivo se abre en una versión más reciente de Excel. Más información: https://go.microsoft.com/fwlink/?linkid=870924
Comentario:
    FUENTE DINAMICA — Ti por VLOOKUP (blindado Fase 3)
Formula: VLOOKUP(B?, MAD!A5:H24, MATCH('Ti (H)',MAD!A4:H4,0), 0)
Reemplaza referencias posicionales MAD!H5:H23 (riesgo critico eliminado).
Metas fuera de muestra n=20 devuelven vacio (IFERROR) — correcto.</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tc={26D8493D-462E-4BB1-BDB6-CC7CC3C750BE}</author>
    <author>tc={F65F974F-EFBF-4479-B009-25D23CBFBAD7}</author>
  </authors>
  <commentList>
    <comment ref="B4" authorId="0" shapeId="0" xr:uid="{26D8493D-462E-4BB1-BDB6-CC7CC3C750BE}">
      <text>
        <t>[Comentario encadenado]
Tu versión de Excel te permite leer este comentario encadenado; sin embargo, las ediciones que se apliquen se quitarán si el archivo se abre en una versión más reciente de Excel. Más información: https://go.microsoft.com/fwlink/?linkid=870924
Comentario:
    CRITERIOS SUMIF — Eje TERRITORIAL (2 sistemas)
Incluye: 'Asentamientos Humanos' + 'Fisico Ambiental'
Criterios deben coincidir EXACTAMENTE con PDOT!C4:C23.
Si PDOT cambia nombre del sistema, SUMIF devuelve 0 sin error visible.</t>
      </text>
    </comment>
    <comment ref="B6" authorId="1" shapeId="0" xr:uid="{F65F974F-EFBF-4479-B009-25D23CBFBAD7}">
      <text>
        <t>[Comentario encadenado]
Tu versión de Excel te permite leer este comentario encadenado; sin embargo, las ediciones que se apliquen se quitarán si el archivo se abre en una versión más reciente de Excel. Más información: https://go.microsoft.com/fwlink/?linkid=870924
Comentario:
    CRITERIO SUMIF — Eje AMBIENTAL
Criterio actual: 'AMBIENTAL' (en mayusculas).
Si PDOT!C usa variante diferente, SUMIF retorna 0 sin aviso.
Verificar coincidencia exacta con columna C de PDOT.</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H6" authorId="0" shapeId="0" xr:uid="{3694560A-78BD-49C3-9FAD-5D877215267E}">
      <text>
        <r>
          <rPr>
            <b/>
            <sz val="9"/>
            <color indexed="81"/>
            <rFont val="Tahoma"/>
            <family val="2"/>
          </rPr>
          <t>Fuente: Res. Adm. 0037-WWAP-GADMCM-2021. Art. 19 Estatuto Orgánico GAD Montecristi 2021 (norma vigente periodo auditado 2023-2024). Proceso Gobernante - Alcaldía. Misión: dirigir, controlar y ejecutar políticas del Concejo Municipal y administrar internamente el Municipio.</t>
        </r>
      </text>
    </comment>
    <comment ref="K6" authorId="0" shapeId="0" xr:uid="{6C5E48FF-CC39-4D56-BF5C-8E707A60C17C}">
      <text>
        <r>
          <rPr>
            <b/>
            <sz val="9"/>
            <color indexed="81"/>
            <rFont val="Tahoma"/>
            <family val="2"/>
          </rPr>
          <t>DELL:</t>
        </r>
        <r>
          <rPr>
            <sz val="9"/>
            <color indexed="81"/>
            <rFont val="Tahoma"/>
            <family val="2"/>
          </rPr>
          <t xml:space="preserve">
Ci=1.0: Proceso Gobernante. Máxima autoridad ejecutiva GAD directo.</t>
        </r>
      </text>
    </comment>
    <comment ref="H7" authorId="0" shapeId="0" xr:uid="{ACC22717-22A9-43B5-85FF-72FC34E776AE}">
      <text>
        <r>
          <rPr>
            <b/>
            <sz val="9"/>
            <color indexed="81"/>
            <rFont val="Tahoma"/>
            <family val="2"/>
          </rPr>
          <t>Fuente: Res. Adm. 0037-WWAP-GADMCM-2021. Art. 16 Estatuto Orgánico GAD Montecristi 2021. Proceso Gobernante - Concejo Municipal.</t>
        </r>
      </text>
    </comment>
    <comment ref="K7" authorId="0" shapeId="0" xr:uid="{27FA36C5-CF39-4E14-904A-6C38FC0CD967}">
      <text>
        <r>
          <rPr>
            <b/>
            <sz val="9"/>
            <color indexed="81"/>
            <rFont val="Tahoma"/>
            <family val="2"/>
          </rPr>
          <t>DELL:</t>
        </r>
        <r>
          <rPr>
            <sz val="9"/>
            <color indexed="81"/>
            <rFont val="Tahoma"/>
            <family val="2"/>
          </rPr>
          <t xml:space="preserve">
Ci=1.0: Proceso Gobernante legislativo.</t>
        </r>
      </text>
    </comment>
    <comment ref="H8" authorId="0" shapeId="0" xr:uid="{23A426FE-BE1C-402A-B60E-F24804CB0B84}">
      <text>
        <r>
          <rPr>
            <b/>
            <sz val="9"/>
            <color indexed="81"/>
            <rFont val="Tahoma"/>
            <family val="2"/>
          </rPr>
          <t>Fuente: Res. Adm. 0037-WWAP-GADMCM-2021. Art. 30 Estatuto Orgánico GAD Montecristi 2021. Proceso Habilitante de Asesoría - Auditoría Interna.</t>
        </r>
      </text>
    </comment>
    <comment ref="K8" authorId="0" shapeId="0" xr:uid="{B530356C-F766-48DC-8814-AE2B020FF46F}">
      <text>
        <r>
          <rPr>
            <b/>
            <sz val="9"/>
            <color indexed="81"/>
            <rFont val="Tahoma"/>
            <family val="2"/>
          </rPr>
          <t>DELL:</t>
        </r>
        <r>
          <rPr>
            <sz val="9"/>
            <color indexed="81"/>
            <rFont val="Tahoma"/>
            <family val="2"/>
          </rPr>
          <t xml:space="preserve">
Ci=1.0: Proceso habilitante de asesoría GAD directo.</t>
        </r>
      </text>
    </comment>
    <comment ref="H9" authorId="0" shapeId="0" xr:uid="{FE35370D-47AA-4D36-B84D-4FB3AEA84916}">
      <text>
        <r>
          <rPr>
            <b/>
            <sz val="9"/>
            <color indexed="81"/>
            <rFont val="Tahoma"/>
            <family val="2"/>
          </rPr>
          <t>Fuente: Res. Adm. 0037-WWAP-GADMCM-2021. Art. 21 Estatuto Orgánico GAD Montecristi 2021. Proceso Habilitante de Asesoría - Secretaría General.</t>
        </r>
      </text>
    </comment>
    <comment ref="K9" authorId="0" shapeId="0" xr:uid="{E2FF082B-AE93-47C9-81FC-78CDDF3D1AC5}">
      <text>
        <r>
          <rPr>
            <b/>
            <sz val="9"/>
            <color indexed="81"/>
            <rFont val="Tahoma"/>
            <family val="2"/>
          </rPr>
          <t>DELL:</t>
        </r>
        <r>
          <rPr>
            <sz val="9"/>
            <color indexed="81"/>
            <rFont val="Tahoma"/>
            <family val="2"/>
          </rPr>
          <t xml:space="preserve">
Ci=1.0: Proceso habilitante de asesoría GAD directo.</t>
        </r>
      </text>
    </comment>
    <comment ref="H10" authorId="0" shapeId="0" xr:uid="{17F2A90B-B2DF-4D8A-B2E2-06C86C67AD82}">
      <text>
        <r>
          <rPr>
            <b/>
            <sz val="9"/>
            <color indexed="81"/>
            <rFont val="Tahoma"/>
            <family val="2"/>
          </rPr>
          <t>Fuente: Res. Adm. 0037-WWAP-GADMCM-2021. Art. 24 (Planificación Institucional) y Art. 45 (Planificación Control y Ordenamiento Territorial). Estatuto Orgánico GAD Montecristi 2021. Proceso Agregador de Valor. Nombre 2021: Dir. Planificación Control y Ordenamiento Territorial y Gestión del Suelo.</t>
        </r>
      </text>
    </comment>
    <comment ref="K10" authorId="0" shapeId="0" xr:uid="{BE630D0A-3454-4775-85C5-47E7D1B086E1}">
      <text>
        <r>
          <rPr>
            <b/>
            <sz val="9"/>
            <color indexed="81"/>
            <rFont val="Tahoma"/>
            <family val="2"/>
          </rPr>
          <t>DELL:</t>
        </r>
        <r>
          <rPr>
            <sz val="9"/>
            <color indexed="81"/>
            <rFont val="Tahoma"/>
            <family val="2"/>
          </rPr>
          <t xml:space="preserve">
Ci=1.0: Dirección GAD directo - Proceso Agregador de Valor.</t>
        </r>
      </text>
    </comment>
    <comment ref="H11" authorId="0" shapeId="0" xr:uid="{AAA5C1C9-3CE1-4CF6-8A1D-CCCE84A02186}">
      <text>
        <r>
          <rPr>
            <b/>
            <sz val="9"/>
            <color indexed="81"/>
            <rFont val="Tahoma"/>
            <family val="2"/>
          </rPr>
          <t>Fuente: Res. Adm. 0037-WWAP-GADMCM-2021. Art. 39 Estatuto Orgánico GAD Montecristi 2021. Nombre 2021: Dirección de Obras Públicas. Proceso Agregador de Valor. Misión: dirigir, coordinar y controlar actividades de infraestructura, desarrollo, mejoramiento, mantenimiento y construcción de obras.</t>
        </r>
      </text>
    </comment>
    <comment ref="K11" authorId="0" shapeId="0" xr:uid="{54D203AB-565E-432C-80EE-4FE8F2D1B696}">
      <text>
        <r>
          <rPr>
            <b/>
            <sz val="9"/>
            <color indexed="81"/>
            <rFont val="Tahoma"/>
            <family val="2"/>
          </rPr>
          <t>DELL:</t>
        </r>
        <r>
          <rPr>
            <sz val="9"/>
            <color indexed="81"/>
            <rFont val="Tahoma"/>
            <family val="2"/>
          </rPr>
          <t xml:space="preserve">
Ci=1.0: Dirección GAD directo - Proceso Agregador de Valor.</t>
        </r>
      </text>
    </comment>
    <comment ref="H12" authorId="0" shapeId="0" xr:uid="{1E3701A7-0017-4E3B-9C89-776C74F6BF2A}">
      <text>
        <r>
          <rPr>
            <b/>
            <sz val="9"/>
            <color indexed="81"/>
            <rFont val="Tahoma"/>
            <family val="2"/>
          </rPr>
          <t>Fuente: Res. Adm. 0037-WWAP-GADMCM-2021. Art. 42 Estatuto Orgánico GAD Montecristi 2021. Nombre 2021: Dirección de Agua Potable y Alcantarillado Sanitario. Proceso Agregador de Valor. Misión: planificar, diseñar, construir, fiscalizar, operar y administrar sistemas de agua potable y alcantarillado.</t>
        </r>
      </text>
    </comment>
    <comment ref="K12" authorId="0" shapeId="0" xr:uid="{EA93199B-C480-44E0-BA9C-0EE7BCC5B4A2}">
      <text>
        <r>
          <rPr>
            <b/>
            <sz val="9"/>
            <color indexed="81"/>
            <rFont val="Tahoma"/>
            <family val="2"/>
          </rPr>
          <t>DELL:</t>
        </r>
        <r>
          <rPr>
            <sz val="9"/>
            <color indexed="81"/>
            <rFont val="Tahoma"/>
            <family val="2"/>
          </rPr>
          <t xml:space="preserve">
Ci=1.0: Dirección GAD directo - Proceso Agregador de Valor.</t>
        </r>
      </text>
    </comment>
    <comment ref="H13" authorId="0" shapeId="0" xr:uid="{682C3CB9-90AF-4A48-B54B-33FA7050C469}">
      <text>
        <r>
          <rPr>
            <b/>
            <sz val="9"/>
            <color indexed="81"/>
            <rFont val="Tahoma"/>
            <family val="2"/>
          </rPr>
          <t>Fuente: Res. Adm. 0037-WWAP-GADMCM-2021. Art. 69 Estatuto Orgánico GAD Montecristi 2021. Nombre 2021: Dir. Acción e Inclusión Social y Comunitaria (también vinculada Art. 63 para competencias culturales). REINSTAURADA para período auditado 2023-2024. Proceso Agregador de Valor. Misión: promover desarrollo económico y mejoramiento calidad de vida mediante intervención social, inclusión y atención grupos vulnerables (geriátrico, discapacidad, niñez).</t>
        </r>
      </text>
    </comment>
    <comment ref="K13" authorId="0" shapeId="0" xr:uid="{51E6A8C7-D818-4E5D-80FB-EDD3F23DDD82}">
      <text>
        <r>
          <rPr>
            <b/>
            <sz val="9"/>
            <color indexed="81"/>
            <rFont val="Tahoma"/>
            <family val="2"/>
          </rPr>
          <t>DELL:</t>
        </r>
        <r>
          <rPr>
            <sz val="9"/>
            <color indexed="81"/>
            <rFont val="Tahoma"/>
            <family val="2"/>
          </rPr>
          <t xml:space="preserve">
Ci=1.0 REINSTAURADO: Dir. Acción e Inclusión Social es Dirección GAD directa según Art. 69 EO 2021. Proceso Agregador de Valor. Vigente periodo auditado 2023-2024.</t>
        </r>
      </text>
    </comment>
    <comment ref="H14" authorId="0" shapeId="0" xr:uid="{2E34A4B0-1B3C-461A-8B5A-E34400FA22EB}">
      <text>
        <r>
          <rPr>
            <b/>
            <sz val="9"/>
            <color indexed="81"/>
            <rFont val="Tahoma"/>
            <family val="2"/>
          </rPr>
          <t>Fuente: Res. Adm. 0037-WWAP-GADMCM-2021. Art. 54 Estatuto Orgánico GAD Montecristi 2021. Nombre 2021: Dirección de Gestión Ambiental. Proceso Agregador de Valor. Ci=1.0 CONFIRMADO: Dirección GAD directa, no convenio. Misión: promover implementación de Sistemas de Gestión Ambiental con políticas preventivas e integradas.</t>
        </r>
      </text>
    </comment>
    <comment ref="K14" authorId="0" shapeId="0" xr:uid="{2A3AD060-BBCF-4627-9672-9A14642D52FF}">
      <text>
        <r>
          <rPr>
            <b/>
            <sz val="9"/>
            <color indexed="81"/>
            <rFont val="Tahoma"/>
            <family val="2"/>
          </rPr>
          <t>Ci=1.0 CONFIRMADO EO 2021: Art. 54 define Dirección de Gestión Ambiental como Proceso Agregador de Valor GAD directo. NO es convenio ni adscrita.</t>
        </r>
      </text>
    </comment>
    <comment ref="H15" authorId="0" shapeId="0" xr:uid="{2F804F44-9E6C-480F-98A2-17A75E804B8D}">
      <text>
        <r>
          <rPr>
            <b/>
            <sz val="9"/>
            <color indexed="81"/>
            <rFont val="Tahoma"/>
            <family val="2"/>
          </rPr>
          <t>Fuente: Res. Adm. 0037-WWAP-GADMCM-2021. Art. 94 Estatuto Orgánico GAD Montecristi 2021. Nombre 2021: Tecnologías de la Información y Comunicación (TICs) — subproceso dentro de la Dirección Administrativa (Art. 87). Proceso Habilitante de Apoyo. Misión: administrar, planificar y controlar recursos informáticos institucionales.</t>
        </r>
      </text>
    </comment>
    <comment ref="K15" authorId="0" shapeId="0" xr:uid="{C220E3F9-779A-4CF7-8CFD-CFE58339AFDC}">
      <text>
        <r>
          <rPr>
            <b/>
            <sz val="9"/>
            <color indexed="81"/>
            <rFont val="Tahoma"/>
            <family val="2"/>
          </rPr>
          <t>DELL:</t>
        </r>
        <r>
          <rPr>
            <sz val="9"/>
            <color indexed="81"/>
            <rFont val="Tahoma"/>
            <family val="2"/>
          </rPr>
          <t xml:space="preserve">
Ci=1.0: Subproceso TICs bajo Dir. Administrativa GAD directo (Art. 94 EO 2021). Control institucional pleno.</t>
        </r>
      </text>
    </comment>
    <comment ref="H16" authorId="0" shapeId="0" xr:uid="{E08B7B81-4527-4E9C-81AE-1E947FA1B6A7}">
      <text>
        <r>
          <rPr>
            <b/>
            <sz val="9"/>
            <color indexed="81"/>
            <rFont val="Tahoma"/>
            <family val="2"/>
          </rPr>
          <t>Fuente: Res. Adm. 0037-WWAP-GADMCM-2021. Art. 48 Estatuto Orgánico GAD Montecristi 2021. Nombre 2021: Dirección de Avalúos y Catastros. Proceso Agregador de Valor. Misión: generar, procesar y mantener actualizada información del catastro inmobiliario con sistema alfanumérico y georreferenciado.</t>
        </r>
      </text>
    </comment>
    <comment ref="K16" authorId="0" shapeId="0" xr:uid="{BF025249-8A99-4914-A667-0B9EE3C031E5}">
      <text>
        <r>
          <rPr>
            <b/>
            <sz val="9"/>
            <color indexed="81"/>
            <rFont val="Tahoma"/>
            <family val="2"/>
          </rPr>
          <t>DELL:</t>
        </r>
        <r>
          <rPr>
            <sz val="9"/>
            <color indexed="81"/>
            <rFont val="Tahoma"/>
            <family val="2"/>
          </rPr>
          <t xml:space="preserve">
Ci=1.0: Dirección GAD directo - Proceso Agregador de Valor.</t>
        </r>
      </text>
    </comment>
    <comment ref="H17" authorId="0" shapeId="0" xr:uid="{91A1DBB7-744D-41A2-A7BF-7D9C7131781F}">
      <text>
        <r>
          <rPr>
            <b/>
            <sz val="9"/>
            <color indexed="81"/>
            <rFont val="Tahoma"/>
            <family val="2"/>
          </rPr>
          <t>Fuente: Res. Adm. 0037-WWAP-GADMCM-2021. Art. 84 Estatuto Orgánico GAD Montecristi 2021. Proceso Habilitante de Apoyo - Dirección de Talento Humano.</t>
        </r>
      </text>
    </comment>
    <comment ref="K17" authorId="0" shapeId="0" xr:uid="{BA2629DF-146E-4C78-8751-C0C4D4D0FBE2}">
      <text>
        <r>
          <rPr>
            <b/>
            <sz val="9"/>
            <color indexed="81"/>
            <rFont val="Tahoma"/>
            <family val="2"/>
          </rPr>
          <t>DELL:</t>
        </r>
        <r>
          <rPr>
            <sz val="9"/>
            <color indexed="81"/>
            <rFont val="Tahoma"/>
            <family val="2"/>
          </rPr>
          <t xml:space="preserve">
Ci=1.0: Proceso habilitante de apoyo GAD directo.</t>
        </r>
      </text>
    </comment>
    <comment ref="H18" authorId="0" shapeId="0" xr:uid="{2685B450-D32C-4DBA-8DD8-4DB62032AA6E}">
      <text>
        <r>
          <rPr>
            <b/>
            <sz val="9"/>
            <color indexed="81"/>
            <rFont val="Tahoma"/>
            <family val="2"/>
          </rPr>
          <t>Fuente: Res. Adm. 0037-WWAP-GADMCM-2021. Art. 75 Estatuto Orgánico GAD Montecristi 2021. Proceso Habilitante de Apoyo - Dirección Financiera.</t>
        </r>
      </text>
    </comment>
    <comment ref="K18" authorId="0" shapeId="0" xr:uid="{69C2F4A3-CF4E-4293-ABB5-10ABF4887A7B}">
      <text>
        <r>
          <rPr>
            <b/>
            <sz val="9"/>
            <color indexed="81"/>
            <rFont val="Tahoma"/>
            <family val="2"/>
          </rPr>
          <t>DELL:</t>
        </r>
        <r>
          <rPr>
            <sz val="9"/>
            <color indexed="81"/>
            <rFont val="Tahoma"/>
            <family val="2"/>
          </rPr>
          <t xml:space="preserve">
Ci=1.0: Proceso habilitante de apoyo GAD directo.</t>
        </r>
      </text>
    </comment>
    <comment ref="H19" authorId="0" shapeId="0" xr:uid="{E2650F4B-D21B-41F9-9C23-8518F966908B}">
      <text>
        <r>
          <rPr>
            <b/>
            <sz val="9"/>
            <color indexed="81"/>
            <rFont val="Tahoma"/>
            <family val="2"/>
          </rPr>
          <t>Fuente: Ordenanza de Creación del Patronato Municipal de Amparo Social, GAD Montecristi. El EO 2021 (Res. Adm. 0037-WWAP-GADMCM-2021) menciona al Patronato como entidad adscrita en Art. 69 (coordinación con Dir. Acción Social). Ci=0.9 CONFIRMADO: entidad adscrita con autonomía administrativa. Vigente periodo auditado 2023-2024.</t>
        </r>
      </text>
    </comment>
    <comment ref="I19" authorId="0" shapeId="0" xr:uid="{26701E73-A012-478D-94FE-110A3F09BAB8}">
      <text>
        <r>
          <rPr>
            <b/>
            <sz val="9"/>
            <color indexed="81"/>
            <rFont val="Tahoma"/>
            <family val="2"/>
          </rPr>
          <t>DELL:</t>
        </r>
        <r>
          <rPr>
            <sz val="9"/>
            <color indexed="81"/>
            <rFont val="Tahoma"/>
            <family val="2"/>
          </rPr>
          <t xml:space="preserve">
Misión per COOTAD Art. 388 y Ordenanza de Creación. Grupos de atención prioritaria: adultos mayores, personas con discapacidad, niñez (CIBV). Convenios MSP/MIES. Ci=0.9 por autonomía administrativa como entidad adscrita.</t>
        </r>
      </text>
    </comment>
    <comment ref="K19" authorId="0" shapeId="0" xr:uid="{36BBEFCF-7C9C-4322-B466-72C34A67E719}">
      <text>
        <r>
          <rPr>
            <b/>
            <sz val="9"/>
            <color indexed="81"/>
            <rFont val="Tahoma"/>
            <family val="2"/>
          </rPr>
          <t>Ci=0.9 CONFIRMADO Y FIJADO: Patronato Municipal es Entidad Adscrita con autonomía administrativa propia. Fundamento: Ordenanza de Creación + COOTAD Art. 388. No es Dirección GAD directa (Ci=1.0) ni EP (Ci=0.75).</t>
        </r>
      </text>
    </comment>
    <comment ref="H20" authorId="0" shapeId="0" xr:uid="{7EF37176-A5E8-4DEE-871E-DB4FA22A1C3B}">
      <text>
        <r>
          <rPr>
            <b/>
            <sz val="9"/>
            <color indexed="81"/>
            <rFont val="Tahoma"/>
            <family val="2"/>
          </rPr>
          <t>EP Aseo Integral Montecristi no figura en EO 2021 (Res. 0037). Tiene Estatuto propio como Empresa Pública Municipal bajo LOEP. Ci=0.75: EP con autonomía plena de gestión. Vigente periodo auditado 2023-2024.</t>
        </r>
      </text>
    </comment>
    <comment ref="K20" authorId="0" shapeId="0" xr:uid="{A681C1BE-D642-40E2-B804-58125E0791BB}">
      <text>
        <r>
          <rPr>
            <b/>
            <sz val="9"/>
            <color indexed="81"/>
            <rFont val="Tahoma"/>
            <family val="2"/>
          </rPr>
          <t>Ci=0.75: Empresa Pública Municipal bajo LOEP con autonomía plena. No figura en EO 2021 - tiene Estatuto propio. Estándar SIAP-ICPI para EPs.</t>
        </r>
      </text>
    </comment>
    <comment ref="H21" authorId="0" shapeId="0" xr:uid="{BBA84D41-1B71-4EE3-9B99-8187DDE466D8}">
      <text>
        <r>
          <rPr>
            <b/>
            <sz val="9"/>
            <color indexed="81"/>
            <rFont val="Tahoma"/>
            <family val="2"/>
          </rPr>
          <t>Entidad externa bajo convenio. No tiene artículo propio en EO 2021. Vigente periodo auditado 2023-2024.</t>
        </r>
      </text>
    </comment>
    <comment ref="K21" authorId="0" shapeId="0" xr:uid="{6C105A98-0F24-46F5-A044-270C0D2249BC}">
      <text>
        <r>
          <rPr>
            <b/>
            <sz val="9"/>
            <color indexed="81"/>
            <rFont val="Tahoma"/>
            <family val="2"/>
          </rPr>
          <t>DELL:</t>
        </r>
        <r>
          <rPr>
            <sz val="9"/>
            <color indexed="81"/>
            <rFont val="Tahoma"/>
            <family val="2"/>
          </rPr>
          <t xml:space="preserve">
Ci=0.9: Entidad externa bajo convenio MSP. Control parcial por convenio.</t>
        </r>
      </text>
    </comment>
    <comment ref="H22" authorId="0" shapeId="0" xr:uid="{AEC737EA-0C6A-4873-931D-7F5DAA33D95A}">
      <text>
        <r>
          <rPr>
            <b/>
            <sz val="9"/>
            <color indexed="81"/>
            <rFont val="Tahoma"/>
            <family val="2"/>
          </rPr>
          <t>Fuente: Res. Adm. 0037-WWAP-GADMCM-2021. Art. 51 Estatuto Orgánico GAD Montecristi 2021. Nombre 2021: Dirección de Espacios Públicos, Justicia y Vigilancia. Proceso Agregador de Valor. Misión: articular prestación servicios públicos, control y gestión de áreas y espacios públicos, comisarías y justicia.</t>
        </r>
      </text>
    </comment>
    <comment ref="K22" authorId="0" shapeId="0" xr:uid="{D4CF0868-40AB-42E4-BBFB-155E67ABB6CB}">
      <text>
        <r>
          <rPr>
            <b/>
            <sz val="9"/>
            <color indexed="81"/>
            <rFont val="Tahoma"/>
            <family val="2"/>
          </rPr>
          <t>DELL:</t>
        </r>
        <r>
          <rPr>
            <sz val="9"/>
            <color indexed="81"/>
            <rFont val="Tahoma"/>
            <family val="2"/>
          </rPr>
          <t xml:space="preserve">
Ci=1.0: Dirección GAD directo - Proceso Agregador de Valor EO 2021.</t>
        </r>
      </text>
    </comment>
    <comment ref="H23" authorId="0" shapeId="0" xr:uid="{00BF6E04-3717-4397-A562-E13EA6966A64}">
      <text>
        <r>
          <rPr>
            <b/>
            <sz val="9"/>
            <color indexed="81"/>
            <rFont val="Tahoma"/>
            <family val="2"/>
          </rPr>
          <t>Fuente: Res. Adm. 0037-WWAP-GADMCM-2021. Art. 66 Estatuto Orgánico GAD Montecristi 2021. Nombre 2021: Dirección de Desarrollo Turístico. Proceso Agregador de Valor. Misión: dinamizar el turismo cantonal difundiendo identidad y atractivos culturales y naturales.</t>
        </r>
      </text>
    </comment>
    <comment ref="K23" authorId="0" shapeId="0" xr:uid="{5F0C9EC4-11FC-4D0E-AA4B-FC14212D583F}">
      <text>
        <r>
          <rPr>
            <b/>
            <sz val="9"/>
            <color indexed="81"/>
            <rFont val="Tahoma"/>
            <family val="2"/>
          </rPr>
          <t>DELL:</t>
        </r>
        <r>
          <rPr>
            <sz val="9"/>
            <color indexed="81"/>
            <rFont val="Tahoma"/>
            <family val="2"/>
          </rPr>
          <t xml:space="preserve">
Ci=0.9: Unidad de Turismo - en EO 2021 figura como Dirección de Desarrollo Turístico pero opera como unidad dependiente. Se mantiene Ci=0.9 por dependencia funcional.</t>
        </r>
      </text>
    </comment>
    <comment ref="L46" authorId="0" shapeId="0" xr:uid="{5493F15D-EE29-4BD4-8C11-F4022E27D43D}">
      <text>
        <r>
          <rPr>
            <b/>
            <sz val="9"/>
            <color indexed="81"/>
            <rFont val="Tahoma"/>
            <family val="2"/>
          </rPr>
          <t>DELL:</t>
        </r>
        <r>
          <rPr>
            <sz val="9"/>
            <color indexed="81"/>
            <rFont val="Tahoma"/>
            <family val="2"/>
          </rPr>
          <t xml:space="preserve">
Revertido desde EO 2025 a EO 2021 (Res. Adm. 0037-WWAP-GADMCM-2021). Todos los artículos actualizados. DSC Ci=1.0 reinstaurado (Art. 69). Ambiental Ci=1.0 confirmado (Art. 54). EP Aseo Ci=0.75 (LOEP).</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D7" authorId="0" shapeId="0" xr:uid="{00000000-0006-0000-1A00-000001000000}">
      <text>
        <r>
          <rPr>
            <sz val="11"/>
            <color theme="1"/>
            <rFont val="Aptos Narrow"/>
            <family val="2"/>
            <scheme val="minor"/>
          </rPr>
          <t>DELL:
POA 2023-2024: Meta planificada en POA GAD Montecristi. Fuente: PDOT 2023-2027</t>
        </r>
      </text>
    </comment>
    <comment ref="E7" authorId="0" shapeId="0" xr:uid="{00000000-0006-0000-1A00-000002000000}">
      <text>
        <r>
          <rPr>
            <sz val="11"/>
            <color theme="1"/>
            <rFont val="Aptos Narrow"/>
            <family val="2"/>
            <scheme val="minor"/>
          </rPr>
          <t>DELL:
PAC 2023: Proceso SERCOP registrado. Fuente: portal SERCOP</t>
        </r>
      </text>
    </comment>
    <comment ref="E9" authorId="0" shapeId="0" xr:uid="{00000000-0006-0000-1A00-000003000000}">
      <text>
        <r>
          <rPr>
            <sz val="11"/>
            <color theme="1"/>
            <rFont val="Aptos Narrow"/>
            <family val="2"/>
            <scheme val="minor"/>
          </rPr>
          <t>DELL:
PAC: No se registra proceso SERCOP para Convenio MIDUVI — falla operativa</t>
        </r>
      </text>
    </comment>
    <comment ref="E11" authorId="0" shapeId="0" xr:uid="{00000000-0006-0000-1A00-000004000000}">
      <text>
        <r>
          <rPr>
            <sz val="11"/>
            <color theme="1"/>
            <rFont val="Aptos Narrow"/>
            <family val="2"/>
            <scheme val="minor"/>
          </rPr>
          <t>DELL:
PAC: No se registra contratación — Camal sin proceso formal</t>
        </r>
      </text>
    </comment>
    <comment ref="E14" authorId="0" shapeId="0" xr:uid="{00000000-0006-0000-1A00-000005000000}">
      <text>
        <r>
          <rPr>
            <sz val="11"/>
            <color theme="1"/>
            <rFont val="Aptos Narrow"/>
            <family val="2"/>
            <scheme val="minor"/>
          </rPr>
          <t>DELL:
PAC: Sin proceso SERCOP — Biblioteca no contratada formalmente</t>
        </r>
      </text>
    </comment>
    <comment ref="E17" authorId="0" shapeId="0" xr:uid="{00000000-0006-0000-1A00-000006000000}">
      <text>
        <r>
          <rPr>
            <sz val="11"/>
            <color theme="1"/>
            <rFont val="Aptos Narrow"/>
            <family val="2"/>
            <scheme val="minor"/>
          </rPr>
          <t>DELL:
PAC: EP Aseo — sin proceso formal en SERCOP 2023-2024</t>
        </r>
      </text>
    </comment>
    <comment ref="E19" authorId="0" shapeId="0" xr:uid="{00000000-0006-0000-1A00-000007000000}">
      <text>
        <r>
          <rPr>
            <sz val="11"/>
            <color theme="1"/>
            <rFont val="Aptos Narrow"/>
            <family val="2"/>
            <scheme val="minor"/>
          </rPr>
          <t>DELL:
PAC: Sin contratación formal — falla operativa dirección</t>
        </r>
      </text>
    </comment>
    <comment ref="E22" authorId="0" shapeId="0" xr:uid="{00000000-0006-0000-1A00-000008000000}">
      <text>
        <r>
          <rPr>
            <sz val="11"/>
            <color theme="1"/>
            <rFont val="Aptos Narrow"/>
            <family val="2"/>
            <scheme val="minor"/>
          </rPr>
          <t>DELL:
PAC: Sin contrato formal SERCOP — Participación Ciudadana no contratada</t>
        </r>
      </text>
    </comment>
    <comment ref="E23" authorId="0" shapeId="0" xr:uid="{00000000-0006-0000-1A00-000009000000}">
      <text>
        <r>
          <rPr>
            <sz val="11"/>
            <color theme="1"/>
            <rFont val="Aptos Narrow"/>
            <family val="2"/>
            <scheme val="minor"/>
          </rPr>
          <t>DELL:
PAC: MINTUR no registra convenio formal en PAC 2023</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B5" authorId="0" shapeId="0" xr:uid="{70BCC343-8F98-48F0-BB56-374568989502}">
      <text>
        <r>
          <rPr>
            <b/>
            <sz val="9"/>
            <color indexed="81"/>
            <rFont val="Tahoma"/>
          </rPr>
          <t>DELL:</t>
        </r>
        <r>
          <rPr>
            <sz val="9"/>
            <color indexed="81"/>
            <rFont val="Tahoma"/>
          </rPr>
          <t xml:space="preserve">
Fuente: Reporte ICM SIGAD 2023, GADM Montecristi. RUC 1360001010001. Todas las etapas enviadas 16/05/2024 con 5 días de rezago respecto al ejercicio.</t>
        </r>
      </text>
    </comment>
    <comment ref="D5" authorId="0" shapeId="0" xr:uid="{F26C2373-EB57-4BFC-904B-67E3ECA37C7C}">
      <text>
        <r>
          <rPr>
            <b/>
            <sz val="9"/>
            <color indexed="81"/>
            <rFont val="Tahoma"/>
          </rPr>
          <t>DELL:</t>
        </r>
        <r>
          <rPr>
            <sz val="9"/>
            <color indexed="81"/>
            <rFont val="Tahoma"/>
          </rPr>
          <t xml:space="preserve">
Diferencial forense: ICM auto-reportado menos ICPI auditado. Negativo = sobreestimación SIGAD.</t>
        </r>
      </text>
    </comment>
    <comment ref="E5" authorId="0" shapeId="0" xr:uid="{9F711E53-F6DF-4E75-AF67-808EF1A1B313}">
      <text>
        <r>
          <rPr>
            <b/>
            <sz val="9"/>
            <color indexed="81"/>
            <rFont val="Tahoma"/>
          </rPr>
          <t>DELL:</t>
        </r>
        <r>
          <rPr>
            <sz val="9"/>
            <color indexed="81"/>
            <rFont val="Tahoma"/>
          </rPr>
          <t xml:space="preserve">
Fuente: Reporte ICM SIGAD 2023 — NÚMERO DE METAS INGRESADAS</t>
        </r>
      </text>
    </comment>
    <comment ref="F5" authorId="0" shapeId="0" xr:uid="{C6B592D5-298E-4B74-BD48-3BA1BCFE8355}">
      <text>
        <r>
          <rPr>
            <b/>
            <sz val="9"/>
            <color indexed="81"/>
            <rFont val="Tahoma"/>
          </rPr>
          <t>DELL:</t>
        </r>
        <r>
          <rPr>
            <sz val="9"/>
            <color indexed="81"/>
            <rFont val="Tahoma"/>
          </rPr>
          <t xml:space="preserve">
Fuente: Reporte ICM SIGAD 2023 — NÚMERO DE PROGRAMAS Y/O PROYECTOS INGRESADOS</t>
        </r>
      </text>
    </comment>
    <comment ref="G5" authorId="0" shapeId="0" xr:uid="{86B522F7-D229-40CA-B33C-6ACAF6D28C32}">
      <text>
        <r>
          <rPr>
            <b/>
            <sz val="9"/>
            <color indexed="81"/>
            <rFont val="Tahoma"/>
          </rPr>
          <t>DELL:</t>
        </r>
        <r>
          <rPr>
            <sz val="9"/>
            <color indexed="81"/>
            <rFont val="Tahoma"/>
          </rPr>
          <t xml:space="preserve">
Fuente: Reporte ICM SIGAD 2023 — MONTO TOTAL DE PROYECTOS INGRESADOS</t>
        </r>
      </text>
    </comment>
    <comment ref="H5" authorId="0" shapeId="0" xr:uid="{9E894C30-78E6-4EC8-9A5A-9900FD802B20}">
      <text>
        <r>
          <rPr>
            <b/>
            <sz val="9"/>
            <color indexed="81"/>
            <rFont val="Tahoma"/>
          </rPr>
          <t>SIGAD 2023: montos monitoreados como % del presupuesto total n=20 ($32.99M). Confirma MOM: solo 5.5% monitoreado.</t>
        </r>
      </text>
    </comment>
    <comment ref="J5" authorId="0" shapeId="0" xr:uid="{7ED46609-4122-4B35-AE8C-0E42B64986AE}">
      <text>
        <r>
          <rPr>
            <b/>
            <sz val="9"/>
            <color indexed="81"/>
            <rFont val="Tahoma"/>
          </rPr>
          <t>DELL:</t>
        </r>
        <r>
          <rPr>
            <sz val="9"/>
            <color indexed="81"/>
            <rFont val="Tahoma"/>
          </rPr>
          <t xml:space="preserve">
BRECHA DE INTEGRIDAD FINAL: Diferencial entre ICM auto-reportado SIGAD y ICPI auditado forense</t>
        </r>
      </text>
    </comment>
    <comment ref="B6" authorId="0" shapeId="0" xr:uid="{6F768D92-2837-43D5-9487-22E143B9D183}">
      <text>
        <r>
          <rPr>
            <b/>
            <sz val="9"/>
            <color indexed="81"/>
            <rFont val="Tahoma"/>
          </rPr>
          <t>DELL:</t>
        </r>
        <r>
          <rPr>
            <sz val="9"/>
            <color indexed="81"/>
            <rFont val="Tahoma"/>
          </rPr>
          <t xml:space="preserve">
Fuente: Reporte ICM SIGAD 2024, GADM Montecristi. HALLAZGO CRÍTICO: Las 5 etapas del año 2024 fueron cargadas el 30/05/2025 en apenas 42 segundos (00:48:21 a 00:49:03). Esto confirma carga masiva retroactiva extemporánea.</t>
        </r>
      </text>
    </comment>
    <comment ref="E6" authorId="0" shapeId="0" xr:uid="{4EC4F152-1B42-45CF-9093-D0EF1075A6D6}">
      <text>
        <r>
          <rPr>
            <b/>
            <sz val="9"/>
            <color indexed="81"/>
            <rFont val="Tahoma"/>
          </rPr>
          <t>DELL:</t>
        </r>
        <r>
          <rPr>
            <sz val="9"/>
            <color indexed="81"/>
            <rFont val="Tahoma"/>
          </rPr>
          <t xml:space="preserve">
Fuente: Reporte ICM SIGAD 2024 — NÚMERO DE METAS INGRESADAS</t>
        </r>
      </text>
    </comment>
    <comment ref="F6" authorId="0" shapeId="0" xr:uid="{C736DED6-3662-4422-AA92-D009B3663904}">
      <text>
        <r>
          <rPr>
            <b/>
            <sz val="9"/>
            <color indexed="81"/>
            <rFont val="Tahoma"/>
          </rPr>
          <t>DELL:</t>
        </r>
        <r>
          <rPr>
            <sz val="9"/>
            <color indexed="81"/>
            <rFont val="Tahoma"/>
          </rPr>
          <t xml:space="preserve">
Fuente: Reporte ICM SIGAD 2024 — NÚMERO DE PROGRAMAS Y/O PROYECTOS INGRESADOS</t>
        </r>
      </text>
    </comment>
    <comment ref="G6" authorId="0" shapeId="0" xr:uid="{24365492-15B6-4FFD-A321-FCDBE8A2B54B}">
      <text>
        <r>
          <rPr>
            <b/>
            <sz val="9"/>
            <color indexed="81"/>
            <rFont val="Tahoma"/>
          </rPr>
          <t>DELL:</t>
        </r>
        <r>
          <rPr>
            <sz val="9"/>
            <color indexed="81"/>
            <rFont val="Tahoma"/>
          </rPr>
          <t xml:space="preserve">
Fuente: Reporte ICM SIGAD 2024 — MONTO TOTAL DE PROYECTOS INGRESADOS</t>
        </r>
      </text>
    </comment>
    <comment ref="H6" authorId="0" shapeId="0" xr:uid="{D8167A37-651C-4365-B31D-147041FBE387}">
      <text>
        <r>
          <rPr>
            <b/>
            <sz val="9"/>
            <color indexed="81"/>
            <rFont val="Tahoma"/>
          </rPr>
          <t>SIGAD 2024: montos monitoreados como % del presupuesto total n=20 ($32.99M). Solo 11.9% monitoreado.</t>
        </r>
      </text>
    </comment>
    <comment ref="J6" authorId="0" shapeId="0" xr:uid="{F35F7A61-D071-4A33-AECF-72ED89401ED9}">
      <text>
        <r>
          <rPr>
            <b/>
            <sz val="9"/>
            <color indexed="81"/>
            <rFont val="Tahoma"/>
          </rPr>
          <t>DELL:</t>
        </r>
        <r>
          <rPr>
            <sz val="9"/>
            <color indexed="81"/>
            <rFont val="Tahoma"/>
          </rPr>
          <t xml:space="preserve">
BRECHA DE INTEGRIDAD FINAL 2024</t>
        </r>
      </text>
    </comment>
    <comment ref="D8" authorId="0" shapeId="0" xr:uid="{D63E8834-AF6A-44D2-8A50-F04BD4DD4880}">
      <text>
        <r>
          <rPr>
            <b/>
            <sz val="9"/>
            <color indexed="81"/>
            <rFont val="Tahoma"/>
          </rPr>
          <t>DELL:</t>
        </r>
        <r>
          <rPr>
            <sz val="9"/>
            <color indexed="81"/>
            <rFont val="Tahoma"/>
          </rPr>
          <t xml:space="preserve">
H1 CONFIRMADA: Brecha &gt; 30pp activa el UAP (Umbral de Alerta Programática). ICM SIGAD sobreestima en &gt;50pp el desempeño real auditado.</t>
        </r>
      </text>
    </comment>
    <comment ref="I8" authorId="0" shapeId="0" xr:uid="{677C7A24-B7BE-4ABD-AF4B-2BC5B7DE153B}">
      <text>
        <r>
          <rPr>
            <b/>
            <sz val="9"/>
            <color indexed="81"/>
            <rFont val="Tahoma"/>
          </rPr>
          <t>DELL:</t>
        </r>
        <r>
          <rPr>
            <sz val="9"/>
            <color indexed="81"/>
            <rFont val="Tahoma"/>
          </rPr>
          <t xml:space="preserve">
Porcentaje del presupuesto total NO monitoreado por SIGAD - confirma MOM (Mutación del Objeto de Medición)</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B22" authorId="0" shapeId="0" xr:uid="{624D6727-026D-4102-9182-F8DFD12CDC8E}">
      <text>
        <r>
          <rPr>
            <b/>
            <sz val="9"/>
            <color indexed="81"/>
            <rFont val="Tahoma"/>
          </rPr>
          <t>DELL:</t>
        </r>
        <r>
          <rPr>
            <sz val="9"/>
            <color indexed="81"/>
            <rFont val="Tahoma"/>
          </rPr>
          <t xml:space="preserve">
INGRESE EL MES ACTUAL (1=Enero, 2=Febrero, ..., 12=Diciembre). Este valor controla CHOOSE() en DATA-MONIT y SUPPORT-ALERT. Actualmente: 3 = Marzo.</t>
        </r>
      </text>
    </comment>
    <comment ref="B23" authorId="0" shapeId="0" xr:uid="{108FC405-BAF3-45BF-805F-8E7E797D1365}">
      <text>
        <r>
          <rPr>
            <b/>
            <sz val="9"/>
            <color indexed="81"/>
            <rFont val="Tahoma"/>
          </rPr>
          <t>DELL:</t>
        </r>
        <r>
          <rPr>
            <sz val="9"/>
            <color indexed="81"/>
            <rFont val="Tahoma"/>
          </rPr>
          <t xml:space="preserve">
ICM SIGAD oficial 2023 = 1.00 (100%). Fuente: Reporte ICM SIGAD 2023, GADM Montecristi. Ver DATA-SIGAD y DATA-SIGAD-TIMES para detalle forense.</t>
        </r>
      </text>
    </comment>
    <comment ref="B24" authorId="0" shapeId="0" xr:uid="{91F174AF-5775-4C13-9671-2883280B5D2A}">
      <text>
        <r>
          <rPr>
            <b/>
            <sz val="9"/>
            <color indexed="81"/>
            <rFont val="Tahoma"/>
          </rPr>
          <t>DELL:</t>
        </r>
        <r>
          <rPr>
            <sz val="9"/>
            <color indexed="81"/>
            <rFont val="Tahoma"/>
          </rPr>
          <t xml:space="preserve">
ICM SIGAD oficial 2024 = 1.00 (100%). Fuente: Reporte ICM SIGAD 2024, GADM Montecristi. Ver DATA-SIGAD y DATA-SIGAD-TIMES. HALLAZGO FORENSE: Cargado en 42 segundos el 30/05/2025.</t>
        </r>
      </text>
    </comment>
    <comment ref="B25" authorId="0" shapeId="0" xr:uid="{188A5DE8-9DCD-413C-A45C-B35797F04140}">
      <text>
        <r>
          <rPr>
            <b/>
            <sz val="9"/>
            <color indexed="81"/>
            <rFont val="Tahoma"/>
          </rPr>
          <t>DELL:</t>
        </r>
        <r>
          <rPr>
            <sz val="9"/>
            <color indexed="81"/>
            <rFont val="Tahoma"/>
          </rPr>
          <t xml:space="preserve">
ICPI calculado automáticamente desde M5-ICPI. No modificar. Referencia maestra del motor.</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N6" authorId="0" shapeId="0" xr:uid="{0874CDCF-B7E1-4268-AEA3-6582D407FEEB}">
      <text>
        <r>
          <rPr>
            <b/>
            <sz val="9"/>
            <color indexed="81"/>
            <rFont val="Tahoma"/>
          </rPr>
          <t>DELL:</t>
        </r>
        <r>
          <rPr>
            <sz val="9"/>
            <color indexed="81"/>
            <rFont val="Tahoma"/>
          </rPr>
          <t xml:space="preserve">
CORRECCIÓN: La fórmula original =F6*M-TECH-VARS!$C$11 fallaba porque C11 contiene texto (definición de Ci), no un número. La fórmula correcta multiplica presupuesto por la meta anual (H6=Ti objetivo del mes).</t>
        </r>
      </text>
    </comment>
    <comment ref="A40" authorId="0" shapeId="0" xr:uid="{08ACE3E2-4F6D-44D5-BD2F-376FED6E7E36}">
      <text>
        <r>
          <rPr>
            <b/>
            <sz val="9"/>
            <color indexed="81"/>
            <rFont val="Tahoma"/>
          </rPr>
          <t>DELL:</t>
        </r>
        <r>
          <rPr>
            <sz val="9"/>
            <color indexed="81"/>
            <rFont val="Tahoma"/>
          </rPr>
          <t xml:space="preserve">
CORREGIDO: La fórmula original referenciaba M-TECH-VARS!C10 (texto) y C28 (vacío). Corregida para usar M-TECH-VARS!B22 (parámetro numérico del mes) y M5-ICPI!G29 (ICPI directo). Activar DATA-MONIT ingresando mes de evaluación en M-TECH-VARS!B22.</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<sst xmlns="http://schemas.openxmlformats.org/spreadsheetml/2006/main" count="8301" uniqueCount="5070">
  <si>
    <t>ICM Oficial SIGAD (%)</t>
  </si>
  <si>
    <t>◉ ICPI GLOBAL</t>
  </si>
  <si>
    <t>Ejecución completa Vi=1,Ti=1 (n)</t>
  </si>
  <si>
    <t>◉ INDICADORES CLAVE · KPIs del Sistema SIAP-ICPI · Base: PDOT Plan Bicentenario 2023-2027</t>
  </si>
  <si>
    <t>KPI</t>
  </si>
  <si>
    <t>VALOR ACTUAL</t>
  </si>
  <si>
    <t>BARRA DE AVANCE</t>
  </si>
  <si>
    <t>CONTEXTO / FUENTE</t>
  </si>
  <si>
    <t>🌐 ITAM Global — Transp. (%)</t>
  </si>
  <si>
    <t>ICPI GLOBAL (%)</t>
  </si>
  <si>
    <t>Brecha de Integridad ICPI vs ICM (pp)</t>
  </si>
  <si>
    <t>Semáforo ICPI</t>
  </si>
  <si>
    <t>Ver INTERP para tabla de rangos</t>
  </si>
  <si>
    <t>Brecha de Integridad (pp)</t>
  </si>
  <si>
    <t>Brecha ICPI vs ICM · Ver BI · Prioridad máxima</t>
  </si>
  <si>
    <t>Eje</t>
  </si>
  <si>
    <t>ICPI (%)</t>
  </si>
  <si>
    <t>Metas con Evidencia (Vi=1)</t>
  </si>
  <si>
    <t>Vi=1 verificadas documentalmente · Ver MAD</t>
  </si>
  <si>
    <t>TERRITORIAL</t>
  </si>
  <si>
    <t>Ejecución Completa (Vi=1,Ti=1)</t>
  </si>
  <si>
    <t>Vi=1 y Ti≥80% · Ver MAD · Prioridad POA 2025</t>
  </si>
  <si>
    <t>SOCIAL</t>
  </si>
  <si>
    <t>🌐 ITAM — Transparencia Activa</t>
  </si>
  <si>
    <t>LOTAIP Art.7 · Ver ITAM · Meta: 100%</t>
  </si>
  <si>
    <t>AMBIENTAL</t>
  </si>
  <si>
    <t>⊕ ICPI POR EJE ESTRATÉGICO · Distribución del desempeño por sistema PDOT · 5 ejes Plan Bicentenario 2023-2027</t>
  </si>
  <si>
    <t>ECONÓMICO</t>
  </si>
  <si>
    <t>EJE ESTRATÉGICO</t>
  </si>
  <si>
    <t>PESO EN MUESTRA</t>
  </si>
  <si>
    <t>ESTADO</t>
  </si>
  <si>
    <t>INSTITUCIONAL</t>
  </si>
  <si>
    <t>Estado</t>
  </si>
  <si>
    <t>n</t>
  </si>
  <si>
    <t>✅ Evidencia completa</t>
  </si>
  <si>
    <t>⚠️ Evidencia parcial</t>
  </si>
  <si>
    <t>❌ Sin evidencia</t>
  </si>
  <si>
    <t>△ TOP 5 METAS CRÍTICAS · Mayores brechas de integridad ICPI · Vi=0 o Ti&lt;50% · Prioridad de acción inmediata POA 2025</t>
  </si>
  <si>
    <t>Nº</t>
  </si>
  <si>
    <t>COD-META PDOT</t>
  </si>
  <si>
    <t>BRECHA (pp)</t>
  </si>
  <si>
    <t>DESCRIPCIÓN / ÁREA CRÍTICA</t>
  </si>
  <si>
    <t>ACCIÓN REQUERIDA</t>
  </si>
  <si>
    <t>PDOT.SC.OE2.M1.01</t>
  </si>
  <si>
    <t>−100 pp</t>
  </si>
  <si>
    <t>Centro de Salud Tipo C · Ri=1.5 · Vi=0</t>
  </si>
  <si>
    <t>Convenio MSP urgente · SERCOP · POA 2025</t>
  </si>
  <si>
    <t>PDOT.SC.OE2.M3.01</t>
  </si>
  <si>
    <t>Unidad Médica Móvil · Ri=1.5 · Vi=0</t>
  </si>
  <si>
    <t>Registro vehicular SERCOP · Contrato formal</t>
  </si>
  <si>
    <t>PDOT.SC.PI.M5.01</t>
  </si>
  <si>
    <t>Central Monitoreo/Cámaras · Ri=1.0 · Vi=0</t>
  </si>
  <si>
    <t>Proceso contratación · Especificaciones técnicas</t>
  </si>
  <si>
    <t>PDOT.SC.OE2.M4.01</t>
  </si>
  <si>
    <t>−90 pp</t>
  </si>
  <si>
    <t>Guarderías Nocturnas · Ri=1.0 · Ti=0</t>
  </si>
  <si>
    <t>Convenio MIES · CIBV · Reformular POA</t>
  </si>
  <si>
    <t>PDOT.AS.OE1.M2.02</t>
  </si>
  <si>
    <t>−75 pp</t>
  </si>
  <si>
    <t>Nuevo Camal Municipal · Ri=1.0 · Ti=0,25</t>
  </si>
  <si>
    <t>Activar proceso SERCOP · Asignación presupuesto</t>
  </si>
  <si>
    <t>≡ ESTADO DOCUMENTAL · Distribución de evidencia forense · n=20 metas PDOT · Ver MAD · MEC · MUAF</t>
  </si>
  <si>
    <t>ESTADO DOCUMENTAL</t>
  </si>
  <si>
    <t>n ACTUAL</t>
  </si>
  <si>
    <t>n META</t>
  </si>
  <si>
    <t>COBERTURA</t>
  </si>
  <si>
    <t>✅ Evidencia completa (Vi=1 · Ti≥80%)</t>
  </si>
  <si>
    <t>⚠️ Evidencia parcial (Vi=1 · Ti&lt;80%)</t>
  </si>
  <si>
    <t>❌ Sin evidencia (Vi=0)</t>
  </si>
  <si>
    <t>📊 PANEL 5 — CUMPLIMIENTO METAS PDOT POR AÑO · Evolución 2023-2027 · Fuente: Q-SIL + F-EDS + L-PDOT</t>
  </si>
  <si>
    <t>AÑO</t>
  </si>
  <si>
    <t>METAS PROGRAMADAS</t>
  </si>
  <si>
    <t>METAS EJECUTADAS (Ti≥80%)</t>
  </si>
  <si>
    <t>% CUMPLIMIENTO</t>
  </si>
  <si>
    <t>📊 PANEL 6 — ESTADO EXPORTACIÓN SIL · Sincronización COOTAD Art.598 · Compatible SIGAD / Planifica Ecuador</t>
  </si>
  <si>
    <t>ÚLTIMA SINCRONIZACIÓN SIL</t>
  </si>
  <si>
    <t>METAS SINCRONIZADAS</t>
  </si>
  <si>
    <t>METAS LISTAS PARA EXPORTAR</t>
  </si>
  <si>
    <t>METAS CON VI=1 (Verificables)</t>
  </si>
  <si>
    <t>AVANCE PROMEDIO GLOBAL (Ti̅)</t>
  </si>
  <si>
    <t>▶ INSTRUCCIÓN EXPORTACIÓN: Ir a hoja Q-SIL → Verificar Sección B → Archivo → Guardar copia → CSV UTF-8 → Subir a planificaecuador.gob.ec → Módulo SIL</t>
  </si>
  <si>
    <t>📊 PANEL 3 — TOP 3 DIRECCIONES ALTO DESEMPEÑO (IED ≥70%) · Fuente: F-EDS Sección B</t>
  </si>
  <si>
    <t>RANKING</t>
  </si>
  <si>
    <t>DIRECCIÓN</t>
  </si>
  <si>
    <t>IED</t>
  </si>
  <si>
    <t>NIVEL</t>
  </si>
  <si>
    <t>🥇 1°</t>
  </si>
  <si>
    <t>Dirección de Desarrollo Social y Cultural</t>
  </si>
  <si>
    <t>🥈 2°</t>
  </si>
  <si>
    <t>Dirección de Obras Públicas</t>
  </si>
  <si>
    <t>🥉 3°</t>
  </si>
  <si>
    <t>Dirección de Agua Potable y Saneamiento</t>
  </si>
  <si>
    <t>📊 PANEL 4 — DIRECCIONES REQUIEREN ATENCIÓN URGENTE (IED &lt;50%) · Fuente: F-EDS + R-ALERTAS</t>
  </si>
  <si>
    <t>ALERTA</t>
  </si>
  <si>
    <t>Patronato Municipal de Amparo Social</t>
  </si>
  <si>
    <t>Dirección de Servicios Públicos y Gestión</t>
  </si>
  <si>
    <t>🔴 CRÍTICA</t>
  </si>
  <si>
    <t>Unidad de Gestión Sanitaria / MSP</t>
  </si>
  <si>
    <t>🟠 ALTA</t>
  </si>
  <si>
    <t>Dirección de Tecnología e Información</t>
  </si>
  <si>
    <t>NOMBRE COMPLETO</t>
  </si>
  <si>
    <t>RECIBE DATOS DE</t>
  </si>
  <si>
    <t>ALIMENTA A</t>
  </si>
  <si>
    <t>—</t>
  </si>
  <si>
    <t>PARAMS</t>
  </si>
  <si>
    <t>Todas las hojas</t>
  </si>
  <si>
    <t>A-PDOT</t>
  </si>
  <si>
    <t>E1-ICPI</t>
  </si>
  <si>
    <t>Marco normativo PDOT</t>
  </si>
  <si>
    <t>D-MAD</t>
  </si>
  <si>
    <t>Cédulas Presupuestarias eSIGEF · Ti = Devengado ÷ Codificado</t>
  </si>
  <si>
    <t>✅ Ti=61%</t>
  </si>
  <si>
    <t>Dashboard</t>
  </si>
  <si>
    <t>E1-ICPI · D-MAD</t>
  </si>
  <si>
    <t>C-MAO · Estatuto Orgánico</t>
  </si>
  <si>
    <t>C-MAO · D-MAD · E1-ICPI</t>
  </si>
  <si>
    <t>Dashboard · Q-SIL · R-ALERTAS</t>
  </si>
  <si>
    <t>Y-EVAL-DIR · D-MAD · E1-ICPI</t>
  </si>
  <si>
    <t>🔷 CONFIGURACIÓN INSTITUCIONAL · Solo Administrador · Parámetros base del instrumento</t>
  </si>
  <si>
    <t>PARÁMETRO</t>
  </si>
  <si>
    <t>🟢 VALOR ACTIVO (Montecristi)</t>
  </si>
  <si>
    <t>EDITABLE (⚫ Sí / ⚫ No)</t>
  </si>
  <si>
    <t>DESCRIPCIÓN</t>
  </si>
  <si>
    <t>BASE LEGAL</t>
  </si>
  <si>
    <t>IMPACTO EN MODELO</t>
  </si>
  <si>
    <t>FECHA ULT.ACTUALIZ.</t>
  </si>
  <si>
    <t>RESPONSABLE ACTUALIZ.</t>
  </si>
  <si>
    <t>NOMBRE_GAD</t>
  </si>
  <si>
    <t>Gobierno Autónomo Descentralizado Municipal de Montecristi</t>
  </si>
  <si>
    <t>⚫ Sí</t>
  </si>
  <si>
    <t>Nombre oficial completo del GAD Municipal</t>
  </si>
  <si>
    <t>CRE Art.264 + COOTAD Art.53</t>
  </si>
  <si>
    <t>Todos los títulos, headers y exports del modelo</t>
  </si>
  <si>
    <t>28/02/2026</t>
  </si>
  <si>
    <t>Dir. Planificación</t>
  </si>
  <si>
    <t>CANTON</t>
  </si>
  <si>
    <t>Montecristi</t>
  </si>
  <si>
    <t>Nombre del cantón</t>
  </si>
  <si>
    <t>COOTAD Art.53</t>
  </si>
  <si>
    <t>Dashboard y reportes</t>
  </si>
  <si>
    <t>PROVINCIA</t>
  </si>
  <si>
    <t>Manabí</t>
  </si>
  <si>
    <t>Provincia del cantón</t>
  </si>
  <si>
    <t>División político-administrativa</t>
  </si>
  <si>
    <t>Metadata y exports</t>
  </si>
  <si>
    <t>PAIS</t>
  </si>
  <si>
    <t>Ecuador</t>
  </si>
  <si>
    <t>⚫ No</t>
  </si>
  <si>
    <t>País (fijo para este modelo)</t>
  </si>
  <si>
    <t>Metadata</t>
  </si>
  <si>
    <t>CLASE_GAD</t>
  </si>
  <si>
    <t>Municipal / Cantonal</t>
  </si>
  <si>
    <t>Clase según COOTAD — este modelo es para GADs Municipales</t>
  </si>
  <si>
    <t>Determina competencias y presupuesto tipo</t>
  </si>
  <si>
    <t>CODIGO_INEC</t>
  </si>
  <si>
    <t>Código INEC del cantón (6 dígitos)</t>
  </si>
  <si>
    <t>Clasificación territorial INEC</t>
  </si>
  <si>
    <t>SIGAD, SIGPIP, eSIGEF</t>
  </si>
  <si>
    <t>ALCALDE</t>
  </si>
  <si>
    <t>Por confirmar — GAD Montecristi</t>
  </si>
  <si>
    <t>Nombre del Alcalde/Alcaldesa vigente</t>
  </si>
  <si>
    <t>COOTAD Art.60</t>
  </si>
  <si>
    <t>Firmas y actos administrativos</t>
  </si>
  <si>
    <t>Secretaría Alcaldía</t>
  </si>
  <si>
    <t>🔶 SECCIÓN B — PARÁMETROS PDOT Y EVALUACIÓN · Ajustar al período PDOT y muestra del GAD destino</t>
  </si>
  <si>
    <t>PERIODO_PDOT</t>
  </si>
  <si>
    <t>2023-2027</t>
  </si>
  <si>
    <t>Período del PDOT vigente — determina horizonte de evaluación</t>
  </si>
  <si>
    <t>COOTAD Art.295</t>
  </si>
  <si>
    <t>A-PDOT, M-POA, todas las metas</t>
  </si>
  <si>
    <t>N_METAS</t>
  </si>
  <si>
    <t>Número de metas en la muestra estratégica. Cambiar si el GAD tiene más o menos metas auditables.</t>
  </si>
  <si>
    <t>SIAP-ICPI §3.2</t>
  </si>
  <si>
    <t>E1-ICPI (rango fórmulas), B-PONDER (ΣPi=1)</t>
  </si>
  <si>
    <t>N_EJES</t>
  </si>
  <si>
    <t>Número de ejes estratégicos del PDOT</t>
  </si>
  <si>
    <t>H2-EJES, B-PONDER</t>
  </si>
  <si>
    <t>META_PDOT_2027</t>
  </si>
  <si>
    <t>Benchmark primario del modelo. Ti=1.0 = meta PDOT cumplida al 100% al cierre 2027</t>
  </si>
  <si>
    <t>ICM_SIGAD_REF</t>
  </si>
  <si>
    <t>ICM SIGAD 2023 — solo comparativo §4.2. Benchmark del modelo es Meta PDOT 2027 = 100%</t>
  </si>
  <si>
    <t>SIGAD-SNP</t>
  </si>
  <si>
    <t>PARAMS B6, brecha ICPI vs ICM, F-BI</t>
  </si>
  <si>
    <t>AÑO_ICM_REF</t>
  </si>
  <si>
    <t>🔵 Sí</t>
  </si>
  <si>
    <t>Año del índice SIGAD comparativo §4.2. Actualizar junto con ICM_BASE si cambia.</t>
  </si>
  <si>
    <t>PARAMS, Dashboard</t>
  </si>
  <si>
    <t>N_DIRECCIONES</t>
  </si>
  <si>
    <t>Número de direcciones en el orgánico. Actualizar con Estatuto Orgánico real.</t>
  </si>
  <si>
    <t>Estatuto Orgánico GAD</t>
  </si>
  <si>
    <t>X-ORGANICO, Y-EVAL-DIR, Ci</t>
  </si>
  <si>
    <t>N_SERVIDORES</t>
  </si>
  <si>
    <t>~120 (aprox)</t>
  </si>
  <si>
    <t>Total servidores públicos en nómina. Base para Z-EVAL-SP completo.</t>
  </si>
  <si>
    <t>LOSEP + RRHH GAD</t>
  </si>
  <si>
    <t>Z-EVAL-SP (escalabilidad QUADRUM)</t>
  </si>
  <si>
    <t>Dir. RRHH</t>
  </si>
  <si>
    <t>PRESUP_PDOT_USD</t>
  </si>
  <si>
    <t>Presupuesto total PDOT n=20 metas en USD. Actualizar con cédulas eSIGEF.</t>
  </si>
  <si>
    <t>PDOT Plan Bicentenario + eSIGEF</t>
  </si>
  <si>
    <t>L-CEDULAS, B-PONDER, Pi</t>
  </si>
  <si>
    <t>Dir. Financiera</t>
  </si>
  <si>
    <t>🔶 SECCIÓN C — ESCALA LOSEP OFICIAL · Norma Técnica MDT · NO modificar sin cambio normativo</t>
  </si>
  <si>
    <t>UMBRAL_EXCELENTE</t>
  </si>
  <si>
    <t>IED ≥ 96% → Felicitación pública + registro SIITH</t>
  </si>
  <si>
    <t>LOSEP Art.78 + NT MDT</t>
  </si>
  <si>
    <t>Y-EVAL-DIR col I, Z-EVAL-SP col N, F-EDS</t>
  </si>
  <si>
    <t>UMBRAL_MUY_BUENO</t>
  </si>
  <si>
    <t>IED 85-95.99% → Reconocimiento + SIITH</t>
  </si>
  <si>
    <t>LOSEP Art.77 + NT MDT</t>
  </si>
  <si>
    <t>Ídem</t>
  </si>
  <si>
    <t>UMBRAL_SATISFACTORIO</t>
  </si>
  <si>
    <t>IED 70-84.99% → Sin acción (aprobado)</t>
  </si>
  <si>
    <t>LOSEP Art.76 + NT MDT</t>
  </si>
  <si>
    <t>UMBRAL_REGULAR</t>
  </si>
  <si>
    <t>IED 60-69.99% → Plan mejora 90 días</t>
  </si>
  <si>
    <t>UMBRAL_INACEPTABLE</t>
  </si>
  <si>
    <t>IED &lt;60% → Sumario administrativo LOSEP Art.80</t>
  </si>
  <si>
    <t>LOSEP Art.80 + COA Art.196</t>
  </si>
  <si>
    <t>🔶 SECCIÓN D — PARÁMETROS CININ Y EVALUACIÓN PRESUPUESTARIA · Ajustar si el GAD tiene menos silos activos (ej: GAD rural sin SIGAD completo)</t>
  </si>
  <si>
    <t>CININ_SILOS</t>
  </si>
  <si>
    <t>🟢 Número de silos CININ activos. 6 = modelo completo. Ver TRAZABILIDAD.</t>
  </si>
  <si>
    <t>SIAP-ICPI §3.4</t>
  </si>
  <si>
    <t>D-MAD cols Q:V, Vi_CADENA</t>
  </si>
  <si>
    <t>SIAP-ICPI</t>
  </si>
  <si>
    <t>MODO_CININ</t>
  </si>
  <si>
    <t>COMPLETO</t>
  </si>
  <si>
    <t>COMPLETO = 6 silos. LITE = 3 silos (GADs rurales sin SIGAD/CPCCS). MÍNIMO = S1+S4 (solo PDOT+cédula).</t>
  </si>
  <si>
    <t>D-MAD lógica Vi_CADENA</t>
  </si>
  <si>
    <t>Ti_BASE</t>
  </si>
  <si>
    <t>Devengado/Codif</t>
  </si>
  <si>
    <t>Ti = Devengado / Codificado vigente (no inicial PDOT). Ver L-CEDULAS.</t>
  </si>
  <si>
    <t>COPFP Art.111+118</t>
  </si>
  <si>
    <t>L-CEDULAS col K, D-MAD col T</t>
  </si>
  <si>
    <t>CORTE_SEMESTRAL</t>
  </si>
  <si>
    <t>Junio</t>
  </si>
  <si>
    <t>Mes del corte semestral de evaluación LOSEP Art.77</t>
  </si>
  <si>
    <t>LOSEP Art.77</t>
  </si>
  <si>
    <t>Y-EVAL-DIR, Z-EVAL-SP</t>
  </si>
  <si>
    <t>CORTE_ANUAL</t>
  </si>
  <si>
    <t>Diciembre</t>
  </si>
  <si>
    <t>Mes del corte anual obligatorio LOSEP</t>
  </si>
  <si>
    <t>🔶 SECCIÓN E — ESTADO DE IMPLEMENTACIÓN Y S · Hoja de ruta para el modelo al 10/10</t>
  </si>
  <si>
    <t>ESTATUTO_ORGANICO</t>
  </si>
  <si>
    <t>🔵 Actualizar</t>
  </si>
  <si>
    <t>Actualizar con Estatuto Orgánico vigente GAD Montecristi → Hoja ORGANICO refleja estructura administrativa oficial según normativa vigente</t>
  </si>
  <si>
    <t>X-ORGANICO</t>
  </si>
  <si>
    <t>🟠 Alta</t>
  </si>
  <si>
    <t>Dir. Planificación + Alcaldía</t>
  </si>
  <si>
    <t>SIITH_INTEGRACION</t>
  </si>
  <si>
    <t>🔵 Implementar</t>
  </si>
  <si>
    <t>Protocolo exportación Z-EVAL-SP → sistema SIITH MDT para validez jurídica evaluación LOSEP</t>
  </si>
  <si>
    <t>Z-EVAL-SP</t>
  </si>
  <si>
    <t>Dir. RRHH + Dir. TI</t>
  </si>
  <si>
    <t>ICM_2024</t>
  </si>
  <si>
    <t>PARAMS B6</t>
  </si>
  <si>
    <t>CEDULAS_REALES</t>
  </si>
  <si>
    <t>Ingresar CUPs reales y codificado vigente real de eSIGEF en L-CEDULAS (actualmente aproximado)</t>
  </si>
  <si>
    <t>L-CEDULAS</t>
  </si>
  <si>
    <t>EVAL_SEMESTRAL</t>
  </si>
  <si>
    <t>Módulo corte junio: copia Y-EVAL-DIR + Z-EVAL-SP a hojas Y-EVAL-DIR-S1 y Z-EVAL-SP-S1</t>
  </si>
  <si>
    <t>Y/Z-EVAL</t>
  </si>
  <si>
    <t>🟡 Media</t>
  </si>
  <si>
    <t>AUTOEVALUACION</t>
  </si>
  <si>
    <t>CONFIG_ESCALADO</t>
  </si>
  <si>
    <t>✅ LISTO</t>
  </si>
  <si>
    <t>CONFIG-GAD</t>
  </si>
  <si>
    <t>NOMENCLATURA</t>
  </si>
  <si>
    <t>COD-META PDOT actualizado. 155 celdas actualizadas. [v1.0 · Nomenclatura PDOT unificada]</t>
  </si>
  <si>
    <t>Todo el modelo</t>
  </si>
  <si>
    <t>CININ_6_SILOS</t>
  </si>
  <si>
    <t>Cadena CININ PDOT→POA→PAC→CED→SIGAD→CPCCS implementada en D-MAD</t>
  </si>
  <si>
    <t>L_CEDULAS</t>
  </si>
  <si>
    <t>Control presupuestario codificado/devengado/pagado con CUP — puente Ti formal</t>
  </si>
  <si>
    <t>ESCALA_LOSEP</t>
  </si>
  <si>
    <t>━━ SECCIÓN ❶ BENCHMARK PDOT 2027 — Meta de cumplimiento y comparativo ICM-SIGAD</t>
  </si>
  <si>
    <t>Meta PDOT 2027 (benchmark primario)</t>
  </si>
  <si>
    <t>Cada meta debe alcanzar Ti=1.0 al cierre del Plan Bicentenario 2027 — fuente PDOT §4</t>
  </si>
  <si>
    <t>Valor oficial ICM 2023 del SIGAD — fuente: Informe rendicion de cuentas RDC 2023 + SIGAD-SNP linea Montecristi</t>
  </si>
  <si>
    <t>23/02/2025</t>
  </si>
  <si>
    <t>ICM SIGAD 2023 (comparativo — auto-reporte)</t>
  </si>
  <si>
    <t>Auto-reporte SIGAD. NO es el benchmark. Útil para cuantificar diferencial forense §4.2</t>
  </si>
  <si>
    <t>Brecha PDOT (ICPI − Meta 2027) pp</t>
  </si>
  <si>
    <t>Brecha primaria del modelo. Meta=100% PDOT 2027. Negativa = incumplimiento §3.6</t>
  </si>
  <si>
    <t>ICPI − ICM en puntos porcentuales. Fuente: E2-RESUL (motor ICPI) vs. ICM SIGAD 2023 (celda B6 PARAMS)</t>
  </si>
  <si>
    <t>ICPI Calculado (%)</t>
  </si>
  <si>
    <t>E2-RESUL!B6 * 100</t>
  </si>
  <si>
    <t>SIAP-ICPI · 36 hojas · CININ 6 silos · Ti corregido (S4=eSIGEF autoridad) · Cadena PDOT→POA→PAC→Cédula→SIGAD→CPCCS · ORGANICO+EVAL-DIR+EVAL-SP · CONFIG-GAD · CEDULAS · SEMESTRAL · ITME inventario técnico</t>
  </si>
  <si>
    <t>━━ SECCIÓN ➊ ICPI — Motor Algorítmico Central</t>
  </si>
  <si>
    <t>ICPI Final (decimal)</t>
  </si>
  <si>
    <t>E2-RESUL!B6</t>
  </si>
  <si>
    <t>Motor E1-ICPI: Σ(Pi×Ri×Vi×Ei×Ti×Ci) ÷ Σ(Pi×Ri) · Ci incorporado §3.7.1</t>
  </si>
  <si>
    <t>ICPI Final (%)</t>
  </si>
  <si>
    <t>🟡 TRANSICIÓN CRÍTICA</t>
  </si>
  <si>
    <t>E2-RESUL!B8</t>
  </si>
  <si>
    <t>Σ Numerador Σ(Pi×Ri×Vi×Ei×Ti)</t>
  </si>
  <si>
    <t>E2-RESUL!B4</t>
  </si>
  <si>
    <t>Numerador de la fórmula multifactorial ICPI · Incluye Ci por meta (C-MAO → D-MAD col P → E1-ICPI col I) · Ci incorporado §3.7.1</t>
  </si>
  <si>
    <t>Σ Denominador Σ(Pi×Ri)</t>
  </si>
  <si>
    <t>E2-RESUL!B5</t>
  </si>
  <si>
    <t>Denominador de la fórmula multifactorial ICPI</t>
  </si>
  <si>
    <t>Interpretación cualitativa</t>
  </si>
  <si>
    <t>E2-RESUL!B9</t>
  </si>
  <si>
    <t>━━ SECCIÓN ➋ MUESTRA — Universo y Representatividad</t>
  </si>
  <si>
    <t>N — Universo PDOT (metas estrategicas Plan Bicentenario)</t>
  </si>
  <si>
    <t>A-PDOT (n=20 metas seleccionadas por mayor impacto presupuestario y competencia GAD)</t>
  </si>
  <si>
    <t>Total metas PDOT en muestra estrategica SIAP-ICPI. Fuente: A-PDOT Plan Bicentenario 2023-2027</t>
  </si>
  <si>
    <t>22/02/2025</t>
  </si>
  <si>
    <t>n — Muestra estrategica PDOT activa</t>
  </si>
  <si>
    <t>A-PDOT (conteo metas activas con evidencia auditada)</t>
  </si>
  <si>
    <t>Muestra SEPP: n=20 de N=67 por mayor impacto presupuestario</t>
  </si>
  <si>
    <t>Representatividad financiera (%)</t>
  </si>
  <si>
    <t>B3-VALREP</t>
  </si>
  <si>
    <t>La muestra n=20 representa el 87.2% del presupuesto total ($13.875M / $15.91M)</t>
  </si>
  <si>
    <t>Presupuesto muestra n=20 ($)</t>
  </si>
  <si>
    <t>A-PDOT col M (Presupuesto PDOT por meta) — suma metas n=20</t>
  </si>
  <si>
    <t>Suma de presupuestos de las 20 metas muestra (USD)</t>
  </si>
  <si>
    <t>Presupuesto con trazabilidad ($)</t>
  </si>
  <si>
    <t>D-MAD (Vi=1)</t>
  </si>
  <si>
    <t>Inversión trazada documentalmente (metas Vi=1)</t>
  </si>
  <si>
    <t>━━ SECCIÓN ➉ VARIABLES Vi / Ei / Ti / Ci — Estado Documental y Atribución Orgánica</t>
  </si>
  <si>
    <t>Metas con Vi=1 (soporte documental)</t>
  </si>
  <si>
    <t>D-MAD (conteo Vi=1)</t>
  </si>
  <si>
    <t>Metas con respaldo forense verificado en sistemas oficiales</t>
  </si>
  <si>
    <t>Metas con Vi=0 (sin soporte)</t>
  </si>
  <si>
    <t>D-MAD (conteo Vi=0)</t>
  </si>
  <si>
    <t>Metas sin respaldo — Vi=0 anula completamente la contribución al ICPI</t>
  </si>
  <si>
    <t>Metas con ejecución completa (Vi=1 y Ti=1)</t>
  </si>
  <si>
    <t>TER-01 (Maquinaria), TER-18 (Señalética), SOC-03 (Geriátrico), INS-05 (Catastro)</t>
  </si>
  <si>
    <t>Metas con evidencia parcial (Vi=1 y Ti&lt;1)</t>
  </si>
  <si>
    <t>Con respaldo pero ejecución incompleta — Ti entre 0.25 y 0.90</t>
  </si>
  <si>
    <t>Metas con Ci&lt;1.0 (control parcial)</t>
  </si>
  <si>
    <t>C-MAO / D-MAD col P</t>
  </si>
  <si>
    <t>Ci∈{1.0;0.9;0.75;0.5} según dueño del proceso (Estatuto Orgánico + COOTAD §3.7.1). 13 GAD directo Ci=1.0 | 7 adscritos Ci=0.9. Fuente: C-MAO → D-MAD col P (VLOOKUP) → E1-ICPI col I. D-MAD: col C=Silo Oficial §3.4 | col D=Área Temática.</t>
  </si>
  <si>
    <t>27/02/2026</t>
  </si>
  <si>
    <t>IED Promedio (F-EDS) — Score desempeño</t>
  </si>
  <si>
    <t>F-EDS!J7:J26</t>
  </si>
  <si>
    <t>IED promedio de las 20 metas (0-100) · F-EDS triangula Estatuto Orgánico→POA→PAC→Cédula · OUTPUT §3.7.1</t>
  </si>
  <si>
    <t>❌ Direcciones con IED INACEPTABLE (0-19)</t>
  </si>
  <si>
    <t>F-EDS!F30:F41</t>
  </si>
  <si>
    <t>Direcciones con RUPTURA TOTAL (IED=0) · Sumario administrativo LOSEP Art.80 + COOTAD Art.339</t>
  </si>
  <si>
    <t>━━ SECCIÓN ➍ ICPI POR EJE ESTRATÉGICO</t>
  </si>
  <si>
    <t>ICPI Eje TERRITORIAL (%)</t>
  </si>
  <si>
    <t>H2-EJES!D4</t>
  </si>
  <si>
    <t>9 metas territoriales | Mayor eje por peso presupuestario (61.0%)</t>
  </si>
  <si>
    <t>ICPI Eje SOCIAL (%)</t>
  </si>
  <si>
    <t>H2-EJES!D5</t>
  </si>
  <si>
    <t>6 metas sociales | Eje con mayor cantidad de Vi=0 (4 sin soporte)</t>
  </si>
  <si>
    <t>ICPI Eje AMBIENTAL (%)</t>
  </si>
  <si>
    <t>H2-EJES!D6</t>
  </si>
  <si>
    <t>2 metas ambientales | Vi=1 en ambas pero Ti bajo (0.27-0.36)</t>
  </si>
  <si>
    <t>ICPI Eje ECONÓMICO (%)</t>
  </si>
  <si>
    <t>H2-EJES!D7</t>
  </si>
  <si>
    <t>1 meta económica | ECO-12 con Vi=1 Ti=0.30 — Playa San José</t>
  </si>
  <si>
    <t>ICPI Eje INSTITUCIONAL (%)</t>
  </si>
  <si>
    <t>H2-EJES!D8</t>
  </si>
  <si>
    <t>2 metas institucionales | Eje mejor documentado (85.8% ICPI)</t>
  </si>
  <si>
    <t>━━ SECCIÓN ➎ BRECHA DE INTEGRIDAD — ICPI vs Meta PDOT 2027 (primaria) + Diferencial SIGAD (comparativo)</t>
  </si>
  <si>
    <t>Brecha PDOT (ICPI vs Meta 2027) pp</t>
  </si>
  <si>
    <t>E2-RESUL!B6*100 - A-PDOT!AA5</t>
  </si>
  <si>
    <t>Brecha promedio por meta (pp)</t>
  </si>
  <si>
    <t>Déficit promedio de cada meta respecto a Ti=1.0 — señal de dispersión §3.6</t>
  </si>
  <si>
    <t>Brecha promedio simple por meta (F-BI fila PROMEDIO)</t>
  </si>
  <si>
    <t>Diferencial forense SIGAD − ICPI (§4.2 comparativo)</t>
  </si>
  <si>
    <t>Metas donde ICPI auditado &lt; ICM SIGAD reportado</t>
  </si>
  <si>
    <t>Metas PDOT con Ti = 1,0 (cumplidas al 100%)</t>
  </si>
  <si>
    <t>Metas con ejecución completa Ti=1.0 y Vi=1 — fuente D-MAD col I</t>
  </si>
  <si>
    <t>TER-03, SOC-03, TER-01, INS-05 — ICPI auditado ≥ ICM SIGAD reportado</t>
  </si>
  <si>
    <t>━━ SECCIÓN ➏ SENSIBILIDAD — Potencial de mejora del ICPI</t>
  </si>
  <si>
    <t>ΔICPI máximo (si SOC-02 Vi→1, Ti→1)</t>
  </si>
  <si>
    <t>H3-SENSI B6 (escenario 1)</t>
  </si>
  <si>
    <t>SOC-02 es la meta con mayor impacto potencial (Pi=0.20, Ri=1.5)</t>
  </si>
  <si>
    <t>ICPI potencial (si SOC-02 se activa)</t>
  </si>
  <si>
    <t>H3-SENSI!E6</t>
  </si>
  <si>
    <t>Escenario 1 H3-SENSI: ICPI sube a ~67.6% → entra en Gestión por Mandato</t>
  </si>
  <si>
    <t>ΔICPI total acumulado potencial (s Vi=0→1)</t>
  </si>
  <si>
    <t>H3-SENSI!B18</t>
  </si>
  <si>
    <t>Escenario acumulativo: todas las metas Vi=0 se corrigen (H3-SENSI)</t>
  </si>
  <si>
    <t>Presupuesto sin trazabilidad ($)</t>
  </si>
  <si>
    <t>H3-SENSI!B19</t>
  </si>
  <si>
    <t>Monto total de inversión sin trazabilidad documental en la muestra</t>
  </si>
  <si>
    <t>━━ SECCIÓN ➑ DOCUMENTACIÓN — P-VERIFICACION</t>
  </si>
  <si>
    <t>Documentos recibidos</t>
  </si>
  <si>
    <t>P-VERIFICACION</t>
  </si>
  <si>
    <t>RDC 2023 (N°17649, 10/05/2024) y RDC 2024 (N°22844, 11/07/2025)</t>
  </si>
  <si>
    <t>Documentos s</t>
  </si>
  <si>
    <t>Cédulas presup. GAD + Patronato (2023-2024) y POA GAD + Patronato (2023-2024)</t>
  </si>
  <si>
    <t>ΔICPI potencial con documentos s</t>
  </si>
  <si>
    <t>±8 pp</t>
  </si>
  <si>
    <t>P-VERIFICACION (estimado)</t>
  </si>
  <si>
    <t>Impacto estimado si cédulas GAD/Patronato confirman Vi=1 en metas críticas</t>
  </si>
  <si>
    <t>━━ SECCIÓN ➒ CRITERIOS DE EVALUACIÓN PROGRAMÁTICA · Umbrales de alerta SIAP-ICPI ━━</t>
  </si>
  <si>
    <t>UAP — Umbral de Alerta Programática: Brecha PDOT ≥ 30 pp</t>
  </si>
  <si>
    <t>🔴 ⚠️ DÉFICIT CONFIRMADO</t>
  </si>
  <si>
    <t>SIAP-ICPI §3.6 — Si ICPI está ≥30 pp bajo la Meta PDOT 2027, se activa protocolo de intervención</t>
  </si>
  <si>
    <t>UCM — Umbral de Congruencia Mínima: Brecha PDOT ≤ 10 pp</t>
  </si>
  <si>
    <t>SIAP-ICPI §3.6 — Brecha ≤10 pp indica congruencia entre ejecución y compromiso PDOT</t>
  </si>
  <si>
    <t>Diagnóstico Programático</t>
  </si>
  <si>
    <t>🔴 ⚠️ DÉFICIT PROGRAMÁTICO — activar Plan de Mejora POA</t>
  </si>
  <si>
    <t>━━ SECCIÓN ➓ ESCALA LOSEP OFICIAL — IED · Norma Técnica MDT Evaluación Servidores Públicos · LOSEP Art.76-80 · Fuente única de verdad para Y-EVAL-DIR, Z-EVAL-SP, F-EDS, R-ALERTAS</t>
  </si>
  <si>
    <t>PARÁMETRO ESCALA</t>
  </si>
  <si>
    <t>NIVEL LOSEP</t>
  </si>
  <si>
    <t>ACCIÓN ADMINISTRATIVA OBLIGATORIA</t>
  </si>
  <si>
    <t>⭐ UMBRAL_EXCELENTE</t>
  </si>
  <si>
    <t>⭐ EXCELENTE</t>
  </si>
  <si>
    <t>Felicitación pública + acción de personal + registro SIITH + informe MDT</t>
  </si>
  <si>
    <t>LOSEP Art.78 + NT MDT Eval.</t>
  </si>
  <si>
    <t>Y-EVAL-DIR, Z-EVAL-SP, F-EDS col F</t>
  </si>
  <si>
    <t>✅ UMBRAL_MUY_BUENO</t>
  </si>
  <si>
    <t>✅ MUY BUENO</t>
  </si>
  <si>
    <t>Reconocimiento escrito + registro SIITH + incremento remunerativo si procede</t>
  </si>
  <si>
    <t>LOSEP Art.77 + NT MDT Eval.</t>
  </si>
  <si>
    <t>🟢 UMBRAL_SATISFACTORIO</t>
  </si>
  <si>
    <t>🟢 SATISFACTORIO</t>
  </si>
  <si>
    <t>Sin acción correctiva — Evaluación aprobada — Continúa en funciones</t>
  </si>
  <si>
    <t>LOSEP Art.76 + NT MDT Eval.</t>
  </si>
  <si>
    <t>🟡 UMBRAL_REGULAR</t>
  </si>
  <si>
    <t>🟡 REGULAR</t>
  </si>
  <si>
    <t>Plan mejora 90 días obligatorio + seguimiento mensual Dir. RRHH + SIITH</t>
  </si>
  <si>
    <t>❌ UMBRAL_INACEPTABLE</t>
  </si>
  <si>
    <t>❌ 🔴 INACEPTABLE</t>
  </si>
  <si>
    <t>Sumario administrativo LOSEP Art.80 + Notificación Alcaldía 48h + SIITH</t>
  </si>
  <si>
    <t>NOTA IED&gt;100%: Cuando Ti&gt;1.0 (ejecución supera meta PDOT), IED puede exceder 100%. Ejm: DSC=150% → clasifica como EXCELENTE. El valor real IED se preserva; solo el nivel LOSEP se evalúa contra umbrales de 0-100%.</t>
  </si>
  <si>
    <t>N°</t>
  </si>
  <si>
    <t>COD-PDOT (Inventario)</t>
  </si>
  <si>
    <t>SISTEMA PDOT</t>
  </si>
  <si>
    <t>PROGRAMA PDOT</t>
  </si>
  <si>
    <t>SUBPROGRAMA</t>
  </si>
  <si>
    <t>PROYECTO / DESCRIPCIÓN SINTÉTICA</t>
  </si>
  <si>
    <t>PROYECTO ESTRATÉGICO PDOT</t>
  </si>
  <si>
    <t>OBJETIVO DE GESTIÓN</t>
  </si>
  <si>
    <t>PRESUP. PDOT ($)</t>
  </si>
  <si>
    <t>EN MUESTRA SIAP-ICPI</t>
  </si>
  <si>
    <t>COD-META MUESTRA</t>
  </si>
  <si>
    <t>ALINEACIÓN PDOT</t>
  </si>
  <si>
    <t>OBSERVACIÓN / CANDIDATOS PARA MUESTRA FUTURA</t>
  </si>
  <si>
    <t>PDOT.FA.OE1.PV.01</t>
  </si>
  <si>
    <t>Físico Ambiental</t>
  </si>
  <si>
    <t>Áreas verdes y zonas de Protección</t>
  </si>
  <si>
    <t>Nuevos parques y zonas de protección</t>
  </si>
  <si>
    <t>Red Verde urbana: Parque Las Pampas + Parque Cárcel Simón Bolívar + Parque Estancia Las Palmas</t>
  </si>
  <si>
    <t>Parques Inter barriales / Parque Las Pampas / Parque Cárcel Simón Bolívar</t>
  </si>
  <si>
    <t>Incrementar áreas de protección e índice verde urbano</t>
  </si>
  <si>
    <t>No</t>
  </si>
  <si>
    <t>⚠️ PARCIAL</t>
  </si>
  <si>
    <t>Incluir en próxima muestra: parques urbanos son IE del PDOT</t>
  </si>
  <si>
    <t>PDOT.FA.OE1.PV.02</t>
  </si>
  <si>
    <t>Mantenimiento de áreas verdes</t>
  </si>
  <si>
    <t>Mantenimiento arbolado urbano y Rehabilitación Parque Colorado</t>
  </si>
  <si>
    <t>Rehabilitación Parque Colorado</t>
  </si>
  <si>
    <t>✅ ALINEADA</t>
  </si>
  <si>
    <t>Presupuesto bajo: operación recurrente mantenimiento urbano</t>
  </si>
  <si>
    <t>PDOT.FA.OE1.MA.01</t>
  </si>
  <si>
    <t>Áreas verdes / Recuperación ambiental</t>
  </si>
  <si>
    <t>Recuperación y preservación ambiental</t>
  </si>
  <si>
    <t>Proyecto Ecoturístico Manglar Vivo Playa San José (Muestra M18)</t>
  </si>
  <si>
    <t>Recuperación y manejo sustentable Playa San José / Repotenciación manglar costero</t>
  </si>
  <si>
    <t>✅ Sí</t>
  </si>
  <si>
    <t>PDOT.EP.OE5.M1.01</t>
  </si>
  <si>
    <t>M18 muestra — Vi=1 Ti=0.30 — postulación Premio Verde BDE</t>
  </si>
  <si>
    <t>PDOT.FA.OE2.MA.01</t>
  </si>
  <si>
    <t>Ambiente</t>
  </si>
  <si>
    <t>Mitigación Ambiental</t>
  </si>
  <si>
    <t>Albergue/Centro recuperación fauna urbana — componente manglar y biodiversidad</t>
  </si>
  <si>
    <t>Estudio diseño Centro de Recuperación de paso de Fauna</t>
  </si>
  <si>
    <t>Cumplir el desarrollo de la planificación ambiental</t>
  </si>
  <si>
    <t>PDOT.AM.SC.M3.01</t>
  </si>
  <si>
    <t>M17 muestra — Vi=1 Ti=0.35 — vincular Manglar Vivo + fauna en mismo expediente BDE</t>
  </si>
  <si>
    <t>PDOT.FA.OE3.GR.01</t>
  </si>
  <si>
    <t>Gestión del Riesgo</t>
  </si>
  <si>
    <t>Infraestructura de mitigación + Zonas evacuación</t>
  </si>
  <si>
    <t>Gestión del riesgo: reforestación quebradas + señalética + sistema alerta temprana</t>
  </si>
  <si>
    <t>Reforestación zonas susceptibles amenazas / Sistema integrado alerta temprana</t>
  </si>
  <si>
    <t>Reducir el riesgo fortaleciendo la infraestructura y mejorando la resiliencia</t>
  </si>
  <si>
    <t>Candidato próxima muestra: Ri=1.5 por impacto resilencia climática</t>
  </si>
  <si>
    <t>PDOT.FA.OE4.AH.01</t>
  </si>
  <si>
    <t>Aseo e Higiene</t>
  </si>
  <si>
    <t>Recolección de desechos sólidos</t>
  </si>
  <si>
    <t>Gestión integral desechos sólidos: recolección y transporte</t>
  </si>
  <si>
    <t>Repotenciación y adquisición de recolectores de basura</t>
  </si>
  <si>
    <t>Promover prácticas sostenibles de manejo de desechos</t>
  </si>
  <si>
    <t>EP Aseo maneja este componente — candidato para muestra futura por presupuesto</t>
  </si>
  <si>
    <t>PDOT.FA.OE4.AH.02</t>
  </si>
  <si>
    <t>Tratamiento de desechos — Relleno Sanitario</t>
  </si>
  <si>
    <t>Nuevo relleno sanitario cantonal — construcción y operación EP Aseo</t>
  </si>
  <si>
    <t>Construcción nuevo relleno sanitario cantón Montecristi</t>
  </si>
  <si>
    <t>PDOT.AM.OE3.M2.01</t>
  </si>
  <si>
    <t>M12 muestra — Vi=1 Ti=0.30 — regularización MAATE</t>
  </si>
  <si>
    <t>PDOT.AS.OE1.AP.01</t>
  </si>
  <si>
    <t>Asentamientos Humanos</t>
  </si>
  <si>
    <t>Agua y saneamiento</t>
  </si>
  <si>
    <t>Agua Potable — Redes + Acueducto CAF</t>
  </si>
  <si>
    <t>Cobertura agua potable: ampliación redes + Acueducto CAF 30.000m³/día — mayor ítem PDOT</t>
  </si>
  <si>
    <t>Gestión Construcción Acueducto CAF $45.6M — 30.000m³/día</t>
  </si>
  <si>
    <t>Ampliar y mejorar la cobertura de equipamientos, áreas verdes y servicios básicos</t>
  </si>
  <si>
    <t>PDOT.AS.OE1.M1.01</t>
  </si>
  <si>
    <t>M1 muestra — Pi=0.1117 — Vi=1 Ti=0.85 — activar contraparte 20% CAF</t>
  </si>
  <si>
    <t>PDOT.AS.OE1.AP.02</t>
  </si>
  <si>
    <t>Agua Potable — Reservorios y Captación Rural</t>
  </si>
  <si>
    <t>Reservorios y captación agua rural: tanques reserva comunas + continuidad servicio</t>
  </si>
  <si>
    <t>Nueva infraestructura captación y tratamiento agua — reservorios rurales</t>
  </si>
  <si>
    <t>Ampliar y mejorar la cobertura de servicios básicos</t>
  </si>
  <si>
    <t>PDOT.AS.OE1.M1.03</t>
  </si>
  <si>
    <t>🔴 BAJA</t>
  </si>
  <si>
    <t>M20 muestra — Ti=0.25 — gestionar BDE diseño definitivo reservorios rurales</t>
  </si>
  <si>
    <t>PDOT.AS.OE1.SN.01</t>
  </si>
  <si>
    <t>Saneamiento — Alcantarillado + PTAR</t>
  </si>
  <si>
    <t>Alcantarillado sanitario: Fase I PROGAPSA + Colector Principal + PTAR</t>
  </si>
  <si>
    <t>Fase I Alcantarillado BEI-PROGAPSA + PTAR Montecristi</t>
  </si>
  <si>
    <t>PDOT.AS.OE1.M1.02</t>
  </si>
  <si>
    <t>M2 muestra — Pi=0.2306 — mayor Pi del sistema — activar BDE-PROGAPSA</t>
  </si>
  <si>
    <t>PDOT.FA.OE4.PT.01</t>
  </si>
  <si>
    <t>F. Ambiental / As. Humanos</t>
  </si>
  <si>
    <t>Agua y saneamiento / Ambiente</t>
  </si>
  <si>
    <t>PTAR — Planta de Tratamiento de Aguas Residuales</t>
  </si>
  <si>
    <t>PTAR: Planta Tratamiento Aguas Residuales Montecristi + Aníbal San Andrés</t>
  </si>
  <si>
    <t>Construcción Colector Principal y PTAR Montecristi + Aníbal San Andrés (CELEC/BDE)</t>
  </si>
  <si>
    <t>Gestión integral de aguas residuales — componente ambiental crítico</t>
  </si>
  <si>
    <t>PDOT.AM.OE3.M1.01</t>
  </si>
  <si>
    <t>M9 muestra — Pi=0.0447 — Ti=0.40 — gestionar financiamiento CELEC/BDE</t>
  </si>
  <si>
    <t>PDOT.AS.OE1.PL.01</t>
  </si>
  <si>
    <t>Pluvial — Redes de drenaje urbano</t>
  </si>
  <si>
    <t>Redes pluviales: estudios técnicos para ampliación de cobertura</t>
  </si>
  <si>
    <t>Estudios técnicos proyección nuevas redes pluviales urbanas</t>
  </si>
  <si>
    <t>Presupuesto mínimo — estudios solo; complementa M1+M2</t>
  </si>
  <si>
    <t>PDOT.AS.OE1.EP.01</t>
  </si>
  <si>
    <t>Equipamientos y espacios públicos</t>
  </si>
  <si>
    <t>Infraestructura actual — recuperación espacios públicos</t>
  </si>
  <si>
    <t>Parques y áreas verdes: Parque Las Pampas + Red Verde + canchas recreativas</t>
  </si>
  <si>
    <t>Mantenimiento y recuperación espacios recreativos (canchas, parques, plazas)</t>
  </si>
  <si>
    <t>Ampliar y mejorar la cobertura de equipamientos y áreas verdes</t>
  </si>
  <si>
    <t>PDOT.AV.OE1.M1.01</t>
  </si>
  <si>
    <t>M10 muestra — Pi=0.0202 — Vi=1 Ti=0.50 — diseño Parque Las Pampas Fase I</t>
  </si>
  <si>
    <t>PDOT.AS.OE1.EP.02</t>
  </si>
  <si>
    <t>Nuevos equipamientos: Terminal + Camal + Bomberil</t>
  </si>
  <si>
    <t>Equipamientos: Terminal Terrestre + Nuevo Camal + Estación Bomberil + Infocentros</t>
  </si>
  <si>
    <t>Estación Bomberil Chirijos + Terminal Terrestre Ciudad Bicentenario + Nuevo Camal Municipal</t>
  </si>
  <si>
    <t>Ampliar y mejorar la cobertura de equipamientos comunitarios</t>
  </si>
  <si>
    <t>PDOT.AS.OE1.M2.01 / M2.02</t>
  </si>
  <si>
    <t>M4+M5 muestra — Terminal Vi=1 Ti=0.45 / Camal Vi=0 Ti=0 URGENTE</t>
  </si>
  <si>
    <t>PDOT.AS.VL.VI.01</t>
  </si>
  <si>
    <t>Vialidad</t>
  </si>
  <si>
    <t>Infraestructura vial actual — bacheo y pavimentación</t>
  </si>
  <si>
    <t>Bacheo y pavimentación: mantenimiento vías urbanas + ejes viales estratégicos</t>
  </si>
  <si>
    <t>Integración ejes viales estratégicos cantonales $10.89M</t>
  </si>
  <si>
    <t>Mejorar la infraestructura vial y la movilidad urbana</t>
  </si>
  <si>
    <t>PDOT.AS.VL.M1.01</t>
  </si>
  <si>
    <t>M7 muestra — Pi=0.0541 — Vi=1 Ti=0.90 — establecer meta km en POA 2025</t>
  </si>
  <si>
    <t>PDOT.AS.VL.MQ.01</t>
  </si>
  <si>
    <t>Maquinaria pesada — equipo caminero</t>
  </si>
  <si>
    <t>Equipo caminero y maquinaria pesada: adquisición PAC 2024 + mantenimiento vial</t>
  </si>
  <si>
    <t>Maquinaria pesada $600K PAC 2024 — mantenimiento vías urbanas y rurales</t>
  </si>
  <si>
    <t>Ampliar y mejorar la calidad de los servicios de aseo y vialidad</t>
  </si>
  <si>
    <t>PDOT.AS.VL.M1.02</t>
  </si>
  <si>
    <t>M13 muestra — Pi=0.0108 — Vi=1 Ti=1.0 CUMPLIDA — mantenimiento preventivo</t>
  </si>
  <si>
    <t>PDOT.AS.VL.CI.01</t>
  </si>
  <si>
    <t>Ciclovías urbanas e inter-comunitarias</t>
  </si>
  <si>
    <t>Ciclovías urbanas e inter-comunitarias: nuevos circuitos y mantenimiento</t>
  </si>
  <si>
    <t>Ciclovías que integran comunidades</t>
  </si>
  <si>
    <t>Complementa movilidad sostenible — presupuesto bajo</t>
  </si>
  <si>
    <t>PDOT.AS.VL.SV.01</t>
  </si>
  <si>
    <t>Tránsito, transporte y seguridad vial</t>
  </si>
  <si>
    <t>Señalización + CCTV + plan movilidad</t>
  </si>
  <si>
    <t>Señalización vial + CCTV + embellecimiento urbano + plan de movilidad</t>
  </si>
  <si>
    <t>Infraestructura y Seguridad Vial / Plan movilidad integral / Unidos por la Seguridad Vial</t>
  </si>
  <si>
    <t>Mejorar la seguridad y señalización vial</t>
  </si>
  <si>
    <t>PDOT.SC.PI.M5.01 / PDOT.AS.VL.M2.01</t>
  </si>
  <si>
    <t>M14 CCTV Vi=0 URGENTE / M19 Señalética Vi=1 Ti=1.0 CUMPLIDA</t>
  </si>
  <si>
    <t>PDOT.AS.VV.HB.01</t>
  </si>
  <si>
    <t>Vivienda</t>
  </si>
  <si>
    <t>Proyectos habitacionales — vivienda interés social</t>
  </si>
  <si>
    <t>Vivienda de interés social: urbanización pública municipal + repotenciación precarias</t>
  </si>
  <si>
    <t>Urbanización pública municipal + repotenciación viviendas precarias</t>
  </si>
  <si>
    <t>Proporcionar la disponibilidad de viviendas de interés social</t>
  </si>
  <si>
    <t>Candidato próxima muestra: déficit habitacional cantonal — Ri=1.0</t>
  </si>
  <si>
    <t>PDOT.SC.OE2.SA.01</t>
  </si>
  <si>
    <t>Socio Cultural</t>
  </si>
  <si>
    <t>Salud Integral para la comunidad</t>
  </si>
  <si>
    <t>Plan de Servicios de Salud</t>
  </si>
  <si>
    <t>Salud: Centro Tipo C + clínica diálisis + salud preventiva integral</t>
  </si>
  <si>
    <t>Centro de Salud Tipo C «Nacer Aquí» + Repotenciación Clínica de Diálisis</t>
  </si>
  <si>
    <t>Implementar campañas educativas y de sensibilización sobre salud preventiva</t>
  </si>
  <si>
    <t>M3 muestra — Pi=0.2018 — Vi=0 CRÍTICO — firmar convenio MSP URGENTE</t>
  </si>
  <si>
    <t>PDOT.SC.OE2.SA.02</t>
  </si>
  <si>
    <t>Plan Salud Preventiva — Unidad Médica Móvil</t>
  </si>
  <si>
    <t>Salud preventiva juvenil + Unidad Médica Móvil operación rural</t>
  </si>
  <si>
    <t>Club Adolescentes Libre de Embarazos + Unidad Médica Móvil comunidades</t>
  </si>
  <si>
    <t>M8 muestra — Pi=0.0252 — Vi=0 Ti=0.50 — registrar vehículo SERCOP URGENTE</t>
  </si>
  <si>
    <t>PDOT.SC.PI.ED.01</t>
  </si>
  <si>
    <t>Educa e Innova</t>
  </si>
  <si>
    <t>Plan de Acceso a la Tecnología + Conectividad Rural</t>
  </si>
  <si>
    <t>Conectividad digital rural: Puntos Digitales + WiFi público + capacitación</t>
  </si>
  <si>
    <t>Puntos Digitales áreas rurales + WiFi público cantonal</t>
  </si>
  <si>
    <t>Desarrollar e implementar programas de capacitación en el uso de tecnología</t>
  </si>
  <si>
    <t>Candidato próxima muestra: brecha digital rural es IE PDOT</t>
  </si>
  <si>
    <t>PDOT.SC.OE2.DS.01</t>
  </si>
  <si>
    <t>Derechos en Acción</t>
  </si>
  <si>
    <t>Protección Derechos + Montecristi Solidario</t>
  </si>
  <si>
    <t>Protección derechos: Guarderías Nocturnas + CDI + Patronato + grupos vulnerables</t>
  </si>
  <si>
    <t>Centros Desarrollo Infantil + Guarderías Nocturnas + Campaña prevención violencia</t>
  </si>
  <si>
    <t>Desarrollar e implementar programas de asistencia legal y solidaridad social</t>
  </si>
  <si>
    <t>PDOT.SC.OE2.M4.01 / PDOT.SC.OE2.M2.01</t>
  </si>
  <si>
    <t>M11 Vi=0 Ti=0 URGENTE / M6 Vi=1 Ti=1.0 CUMPLIDA — gestionar convenio MIES</t>
  </si>
  <si>
    <t>PDOT.SC.PA.CP.01</t>
  </si>
  <si>
    <t>Cultura y Patrimonio</t>
  </si>
  <si>
    <t>Artes y Creatividad</t>
  </si>
  <si>
    <t>Cultura: Escuela Municipal de Arte + catálogo artistas + Agenda Bicentenario</t>
  </si>
  <si>
    <t>Escuela Arte Municipal + Escuelas de talentos + Agenda Bicentenario + recuperación paseo lúdico</t>
  </si>
  <si>
    <t>Desarrollar y aplicar normativas y regulaciones para la cultura y patrimonio</t>
  </si>
  <si>
    <t>Candidato próxima muestra: Ciudad Creativa UNESCO es hito estratégico cantonal</t>
  </si>
  <si>
    <t>PDOT.SC.PA.CP.02</t>
  </si>
  <si>
    <t>Patrimonio cultural y Memoria social</t>
  </si>
  <si>
    <t>Patrimonio: Museo Sombrero + Casa Patrimonial + Ciudad Creativa UNESCO</t>
  </si>
  <si>
    <t>Museo del Sombrero + Red Museográfica Cantonal + Casa Patrimonial + Ciudad Creativa UNESCO</t>
  </si>
  <si>
    <t>Patrimonio identitario — vinculado a Denominación Origen Artesanos (M turismo)</t>
  </si>
  <si>
    <t>PDOT.EP.OE5.PD.01</t>
  </si>
  <si>
    <t>Económico Productivo</t>
  </si>
  <si>
    <t>Productivo y Diverso</t>
  </si>
  <si>
    <t>Ferias productivas y promoción comercial</t>
  </si>
  <si>
    <t>Fomento productivo: ferias, mercados locales y promoción comercial</t>
  </si>
  <si>
    <t>Ferias Productivas + Feria de Negocios para Emprendedores + Gestión local</t>
  </si>
  <si>
    <t>Incrementar el número de beneficiarios en la formación y diversificación económica</t>
  </si>
  <si>
    <t>Candidato próxima muestra: diversificación económica — complementa turismo</t>
  </si>
  <si>
    <t>PDOT.EP.OE5.EM.01</t>
  </si>
  <si>
    <t>Emprendimiento y Dinamismo</t>
  </si>
  <si>
    <t>Emprendimiento artesanal — Sombrero Paja Toquilla</t>
  </si>
  <si>
    <t>Emprendimiento artesanal: K-larte + sombrero paja toquilla + cerámica Montecristi</t>
  </si>
  <si>
    <t>K-larte es por ti + Huertos orgánicos familiares y comunitarios</t>
  </si>
  <si>
    <t>Identidad cultural + economía popular: candidato para muestra futura</t>
  </si>
  <si>
    <t>PDOT.EP.OE5.TU.01</t>
  </si>
  <si>
    <t>Turismo</t>
  </si>
  <si>
    <t>Desarrollo recursos turísticos + posicionamiento</t>
  </si>
  <si>
    <t>Turismo: Manglar Vivo + teleférico (estudio) + denominación origen + posicionamiento</t>
  </si>
  <si>
    <t>Manglar Vivo Playa San José + Teleférico (Estudio factibilidad) + Sello Calidad turística</t>
  </si>
  <si>
    <t>Incrementar la oferta turística y número de visitantes</t>
  </si>
  <si>
    <t>PDOT.PI.OE4.FI.01</t>
  </si>
  <si>
    <t>Político Institucional</t>
  </si>
  <si>
    <t>Fortalecimiento Institucional</t>
  </si>
  <si>
    <t>Planificación Institucional + SIL + PUGS</t>
  </si>
  <si>
    <t>Fortalecimiento institucional: SIL + catastro actualizado + planes complementarios</t>
  </si>
  <si>
    <t>SIL SIGAD + Procesos ciudadanos en línea + Planes Complementarios PUGS</t>
  </si>
  <si>
    <t>Aumentar el cumplimiento de los Instrumentos de Planificación</t>
  </si>
  <si>
    <t>PDOT.PI.OE4.M2.01</t>
  </si>
  <si>
    <t>M16 muestra — Pi=0.0068 — Vi=1 Ti=1.0 CUMPLIDA — alimentar SIL con LIDAR</t>
  </si>
  <si>
    <t>PDOT.PI.OE4.FI.02</t>
  </si>
  <si>
    <t>SIT Municipal + LIDAR + Geomática</t>
  </si>
  <si>
    <t>Sistema Información Territorial: SIT Municipal + LIDAR + geomática institucional</t>
  </si>
  <si>
    <t>Plan Estratégico Institucional + SIT + LIDAR</t>
  </si>
  <si>
    <t>Aumentar la capacidad institucional para el levantamiento y sistematización de información</t>
  </si>
  <si>
    <t>Complementa M16 catastro — candidato para muestra futura por impacto en gestión territorial</t>
  </si>
  <si>
    <t>PDOT.PI.OE4.TI.01</t>
  </si>
  <si>
    <t>Tecnología e innovación — digitalización trámites</t>
  </si>
  <si>
    <t>Digitalización: transformación digital trámites + WiFi público + ERP municipal</t>
  </si>
  <si>
    <t>Transformación digital procedimientos + Catastro Integrado alfanumérico-gráfico</t>
  </si>
  <si>
    <t>Aumentar la capacidad institucional para la digitalización de servicios</t>
  </si>
  <si>
    <t>PDOT.PI.OE4.M1.01</t>
  </si>
  <si>
    <t>M15 muestra — Pi=0.0061 — Vi=1 Ti=0.70</t>
  </si>
  <si>
    <t>PDOT.PI.OE5.SF.01</t>
  </si>
  <si>
    <t>Sostenibilidad Financiera — Recaudación Efectiva</t>
  </si>
  <si>
    <t>Sostenibilidad financiera: recaudación + coactivas + fortalecimiento presupuestario</t>
  </si>
  <si>
    <t>Implementación plan Recaudación Efectiva + mejora gestión cobros y coactivas</t>
  </si>
  <si>
    <t>Incrementar los indicadores financieros institucionales</t>
  </si>
  <si>
    <t>Fuera muestra: no es meta PDOT programática — es soporte financiero institucional</t>
  </si>
  <si>
    <t>PDOT.PI.OE5.TH.01</t>
  </si>
  <si>
    <t>Gestión del Talento Humano — LOSEP + SIITH</t>
  </si>
  <si>
    <t>Talento Humano: formación + evaluación LOSEP + SIITH + desempeño institucional</t>
  </si>
  <si>
    <t>Formación y fortalecimiento Talento Humano + evaluación LOSEP semestral</t>
  </si>
  <si>
    <t>Mejorar el desempeño y la calidad del servicio al usuario</t>
  </si>
  <si>
    <t>Mayor presupuesto institucional — opera como soporte RRHH de el PDOT</t>
  </si>
  <si>
    <t>PDOT.PI.OE6.PD.01</t>
  </si>
  <si>
    <t>Posicionamiento institucional y difusión</t>
  </si>
  <si>
    <t>Difusión Activa — Marca Ciudad Creativa</t>
  </si>
  <si>
    <t>Posicionamiento: Marca Ciudad Creativa + comunicación institucional + encuesta</t>
  </si>
  <si>
    <t>Marca CIUDAD CREATIVA + Estrategias Integrales Comunicación + Percepción</t>
  </si>
  <si>
    <t>Incrementar el nivel de conocimiento, confianza y aceptación de la gestión</t>
  </si>
  <si>
    <t>Vinculado a LOTAIP Lit.d encuesta satisfacción ciudadana — transparencia activa</t>
  </si>
  <si>
    <t>PDOT.PI.OE6.PC.01</t>
  </si>
  <si>
    <t>Participación y cogestión ciudadana</t>
  </si>
  <si>
    <t>Construcción participativa ciudadana</t>
  </si>
  <si>
    <t>Participación ciudadana: asambleas + cabildo + rendición cuentas + cogestión</t>
  </si>
  <si>
    <t>Sistema construcción participativa planificación + Rendición Cuentas CPCCS</t>
  </si>
  <si>
    <t>Fomentar la participación ciudadana y la construcción colaborativa</t>
  </si>
  <si>
    <t>Vinculado a LOTAIP Art.7 lit.m y CPCCS — rendición cuentas obligatoria</t>
  </si>
  <si>
    <t>Σ</t>
  </si>
  <si>
    <t>TOTALES UNIVERSO · 35 programas/proyectos en 5 sistemas</t>
  </si>
  <si>
    <t>TOTAL = 35</t>
  </si>
  <si>
    <t>En muestra: 20/35</t>
  </si>
  <si>
    <t>EJE PDOT</t>
  </si>
  <si>
    <t>Ti (Ejecución)</t>
  </si>
  <si>
    <t>-</t>
  </si>
  <si>
    <t>#</t>
  </si>
  <si>
    <t>CÓD. PDOT</t>
  </si>
  <si>
    <t>EJE</t>
  </si>
  <si>
    <t>META ESTRATÉGICA</t>
  </si>
  <si>
    <t>Pi</t>
  </si>
  <si>
    <t>Ri</t>
  </si>
  <si>
    <t>Vi</t>
  </si>
  <si>
    <t>Ti</t>
  </si>
  <si>
    <t>Ci</t>
  </si>
  <si>
    <t>Ei</t>
  </si>
  <si>
    <t>RESPONSABLE</t>
  </si>
  <si>
    <t>PRESUPUESTO</t>
  </si>
  <si>
    <t>INDICADOR</t>
  </si>
  <si>
    <t>Mantenimiento de vías urbanas para el acceso de los barrios del cantón</t>
  </si>
  <si>
    <t>Dir. Obras Públicas</t>
  </si>
  <si>
    <t>Kilómetros de vías intervenidas</t>
  </si>
  <si>
    <t>Desarrollo del Bienestar Integral para Montecristi</t>
  </si>
  <si>
    <t>Patronato Municipal</t>
  </si>
  <si>
    <t>Porcentaje de avance físico</t>
  </si>
  <si>
    <t>Ambiental</t>
  </si>
  <si>
    <t>Gestión Integral de Desechos Sólidos</t>
  </si>
  <si>
    <t>Dir. Gestión Ambiental</t>
  </si>
  <si>
    <t>Toneladas procesadas/año</t>
  </si>
  <si>
    <t>Fortalecimiento estratégico de equipamiento público comercial y administrativo</t>
  </si>
  <si>
    <t>Proyecto Integral de Desarrollo y Apoyo Comunitario</t>
  </si>
  <si>
    <t>PDOT.AS.OE1.M2.01</t>
  </si>
  <si>
    <t>Gestión para la construcción de nueva infraestructura de tratamiento de aguas residuales</t>
  </si>
  <si>
    <t>Dir. Agua Potable y Alcantarillado</t>
  </si>
  <si>
    <t>Metros lineales de red construida</t>
  </si>
  <si>
    <t>Implementación de la Transformación digital de los procedimientos institucionales</t>
  </si>
  <si>
    <t>Dir. TICs</t>
  </si>
  <si>
    <t>PDOT.SC.OE2.M2.01</t>
  </si>
  <si>
    <t>Recuperación integral de los espacios públicos</t>
  </si>
  <si>
    <t>Implementación de Infraestructura civil para la mitigación y reducción de impactos ante la susceptib</t>
  </si>
  <si>
    <t>Mejorando la capacidad de
disposición final de desechos sólidos</t>
  </si>
  <si>
    <t>Desarrollo de la red Verde y recuperación del espacio público</t>
  </si>
  <si>
    <t>Fortalecimiento del Sistema de Información Territorial Municipal</t>
  </si>
  <si>
    <t>Desarrollo e implementación de Planes Estratégicos Institucionales</t>
  </si>
  <si>
    <t>Repoteciación de viviendas en
condiciones precarias</t>
  </si>
  <si>
    <t>Dir. Planificación Territorial</t>
  </si>
  <si>
    <t>Generación del Catastro
y clasificación de artistas y gestores culturales en el RUAC (Registro Único</t>
  </si>
  <si>
    <t>Dir. Cultura</t>
  </si>
  <si>
    <t>Beneficiarios directos</t>
  </si>
  <si>
    <t>Implementación de Ferias Productivas
y Feria de Negocios para Emprendedores del Cantón Montecristi</t>
  </si>
  <si>
    <t>Dir. Desarrollo Económico</t>
  </si>
  <si>
    <t>Creación del Inventario del Patrimonio Cultural de Montecristi</t>
  </si>
  <si>
    <t>Mejora del servicio deTransporte Público</t>
  </si>
  <si>
    <t>Dir. Tránsito y Transporte</t>
  </si>
  <si>
    <t>Fortalecimiento para la reducción de indicadores territoriales del cantón Montecristi relacionados a</t>
  </si>
  <si>
    <t>Campaña de sensibilización a las unidades
educativas para fomentar la cultura del reciclaje.</t>
  </si>
  <si>
    <t>PDOT.AS.VL.M2.01</t>
  </si>
  <si>
    <t>TOTALES</t>
  </si>
  <si>
    <t>As. Humanos</t>
  </si>
  <si>
    <t>TOTALES · n=20 · Muestra Estratégica SIAP-ICPI</t>
  </si>
  <si>
    <t>ΣPi Validación:</t>
  </si>
  <si>
    <t>ΣPi = 1.000</t>
  </si>
  <si>
    <t>$107.9M+ PDOT</t>
  </si>
  <si>
    <t>✅×10 / ⚠️×6 / 🔴×4</t>
  </si>
  <si>
    <t>EJE ESTRATÉGICO PDOT</t>
  </si>
  <si>
    <t>N° METAS (n=20)</t>
  </si>
  <si>
    <t>PRESUPUESTO PDOT TOTAL ($)</t>
  </si>
  <si>
    <t>PI AGREGADO POR EJE</t>
  </si>
  <si>
    <t>PROGRAMAS PRINCIPALES</t>
  </si>
  <si>
    <t>FUENTE PRESUPUESTO</t>
  </si>
  <si>
    <t>Asentamientos Humanos + Vialidad</t>
  </si>
  <si>
    <t>Agua Potable · Alcantarillado · Vialidad · Equipamientos</t>
  </si>
  <si>
    <t>PDOT pág. 370-440 · PAC 2023-2024</t>
  </si>
  <si>
    <t>✅ Base PDOT</t>
  </si>
  <si>
    <t>Derechos en Acción · Montecristi Solidario</t>
  </si>
  <si>
    <t>PDOT pág. 380-395 · POA 2023-2025</t>
  </si>
  <si>
    <t>Factor Ambiental</t>
  </si>
  <si>
    <t>Aseo e Higiene · Tratamiento desechos</t>
  </si>
  <si>
    <t>PDOT pág. 400-415 · PAC EP Aseo 2023</t>
  </si>
  <si>
    <t>Turismo · Desarrollo recursos</t>
  </si>
  <si>
    <t>PDOT pág. 385-400 · Convenio MINTUR</t>
  </si>
  <si>
    <t>Fortalecimiento Inst. · TIC</t>
  </si>
  <si>
    <t>PDOT pág. 385-392 · POA 2023</t>
  </si>
  <si>
    <t>Σ TOTAL · n=20 METAS</t>
  </si>
  <si>
    <t>ΣPi = 1.000 ✅</t>
  </si>
  <si>
    <t>🔷 SECCIÓN B — PONDERACIÓN Pi INDIVIDUAL POR META PDOT · Pi = Presup_i ÷ Σ(Presup_n=20) · ΣPi=1.000 ✅ · Usado directamente en E1-ICPI</t>
  </si>
  <si>
    <t>CÓDIGO PDOT</t>
  </si>
  <si>
    <t>DESCRIPCIÓN SINTÉTICA</t>
  </si>
  <si>
    <t>Pi ACTUAL</t>
  </si>
  <si>
    <t>ORIGEN Pi</t>
  </si>
  <si>
    <t>NOTA</t>
  </si>
  <si>
    <t>Cobertura Agua Potable</t>
  </si>
  <si>
    <t>Alcantarillado Sanitario</t>
  </si>
  <si>
    <t>Centro de Salud Tipo C</t>
  </si>
  <si>
    <t>Nuevo Terminal Terrestre</t>
  </si>
  <si>
    <t>Nuevo Camal Municipal</t>
  </si>
  <si>
    <t>Equipamiento Geriátrico</t>
  </si>
  <si>
    <t>Bacheo y Pavimentación</t>
  </si>
  <si>
    <t>Unidad Médica Móvil</t>
  </si>
  <si>
    <t>Parques y Áreas Verdes</t>
  </si>
  <si>
    <t>Guarderías Nocturnas</t>
  </si>
  <si>
    <t>Planta Tratamiento Desechos</t>
  </si>
  <si>
    <t>Digitalización de Trámites</t>
  </si>
  <si>
    <t>Actualización Catastro</t>
  </si>
  <si>
    <t>Albergue Fauna Urbana</t>
  </si>
  <si>
    <t>Proyecto Playa San José</t>
  </si>
  <si>
    <t>Embellecimiento y Señalética</t>
  </si>
  <si>
    <t>Reservorios de Agua</t>
  </si>
  <si>
    <t>TOTAL n=20</t>
  </si>
  <si>
    <t>NIVEL RIESGO</t>
  </si>
  <si>
    <t>Ri (FACTOR)</t>
  </si>
  <si>
    <t>Pi (PESO)</t>
  </si>
  <si>
    <t>CRÍTICO</t>
  </si>
  <si>
    <t>ALTO</t>
  </si>
  <si>
    <t>MEDIO</t>
  </si>
  <si>
    <t>TOTAL</t>
  </si>
  <si>
    <t>MUESTRA AUDITADA (n=20)</t>
  </si>
  <si>
    <t>UNIDAD RESPONSABLE</t>
  </si>
  <si>
    <t>COMPETENCIA</t>
  </si>
  <si>
    <t>MODALIDAD EJECUCIÓN</t>
  </si>
  <si>
    <t>NIVEL JERÁRQUICO</t>
  </si>
  <si>
    <t>CORREO</t>
  </si>
  <si>
    <t>EXT.</t>
  </si>
  <si>
    <t>CÓD. INT.</t>
  </si>
  <si>
    <t>COOTAD Art. 55(d)</t>
  </si>
  <si>
    <t>Dirección GAD (control directo)</t>
  </si>
  <si>
    <t>Director</t>
  </si>
  <si>
    <t>dop@montecristi.gob.ec</t>
  </si>
  <si>
    <t>Ext. 210</t>
  </si>
  <si>
    <t>COOTAD Art. 388</t>
  </si>
  <si>
    <t>Patronato / Ente adscrito (Ordenanza)</t>
  </si>
  <si>
    <t>Director Ejecutivo</t>
  </si>
  <si>
    <t>patronato@montecristi.gob.ec</t>
  </si>
  <si>
    <t>Ext. 310</t>
  </si>
  <si>
    <t>⚠️ Entidad adscrita COOTAD Art.306 · Ci=0.9 · SSC (Subíndice Social Complementario) — no integra ICPI central</t>
  </si>
  <si>
    <t>Dirección de Planificación y Desarrollo</t>
  </si>
  <si>
    <t>dplan@montecristi.gob.ec</t>
  </si>
  <si>
    <t>Ext. 201</t>
  </si>
  <si>
    <t>dsp@montecristi.gob.ec</t>
  </si>
  <si>
    <t>Ext. 215</t>
  </si>
  <si>
    <t>ddsc@montecristi.gob.ec</t>
  </si>
  <si>
    <t>Ext. 220</t>
  </si>
  <si>
    <t>Convenio MSP 2023</t>
  </si>
  <si>
    <t>Unidad de Gestión Ambiental GAD</t>
  </si>
  <si>
    <t>COOTAD Art. 54(k)</t>
  </si>
  <si>
    <t>Jefe Departamento</t>
  </si>
  <si>
    <t>uga@montecristi.gob.ec</t>
  </si>
  <si>
    <t>Ext. 301</t>
  </si>
  <si>
    <t>EP Aseo Integral Montecristi</t>
  </si>
  <si>
    <t>COOTAD Art. 280</t>
  </si>
  <si>
    <t>Director Ejecutivo EP</t>
  </si>
  <si>
    <t>epaseo@montecristi.gob.ec</t>
  </si>
  <si>
    <t>Ext. 401</t>
  </si>
  <si>
    <t>tics@montecristi.gob.ec</t>
  </si>
  <si>
    <t>Ext. 230</t>
  </si>
  <si>
    <t>Dirección de Avalúos y Catastros</t>
  </si>
  <si>
    <t>COOTAD Art. 55(g)</t>
  </si>
  <si>
    <t>catastro@montecristi.gob.ec</t>
  </si>
  <si>
    <t>Ext. 225</t>
  </si>
  <si>
    <t>Convenio MSP-Sanitario 2024</t>
  </si>
  <si>
    <t>salud@montecristi.gob.ec</t>
  </si>
  <si>
    <t>Ext. 305</t>
  </si>
  <si>
    <t>Unidad de Turismo GAD Montecristi</t>
  </si>
  <si>
    <t>turismo@montecristi.gob.ec</t>
  </si>
  <si>
    <t>Ext. 315</t>
  </si>
  <si>
    <t>dag@montecristi.gob.ec</t>
  </si>
  <si>
    <t>Ext. 205</t>
  </si>
  <si>
    <t>⬡ TABLA Ci — Escala de Imputabilidad Institucional · COOTAD Arts.54,280,306 · SIAP-ICPI §3.7.1 · Replicable en s los GADs del Ecuador</t>
  </si>
  <si>
    <t>CAPA</t>
  </si>
  <si>
    <t>TIPO DE ENTIDAD</t>
  </si>
  <si>
    <t>HOJA / MÓDULO</t>
  </si>
  <si>
    <t>INTEGRA ICPI</t>
  </si>
  <si>
    <t>NOTA OPERATIVA</t>
  </si>
  <si>
    <t>❶</t>
  </si>
  <si>
    <t>Direcciones Municipales GAD</t>
  </si>
  <si>
    <t>— (ICPI central)</t>
  </si>
  <si>
    <t>MAO · MAD · ICPI</t>
  </si>
  <si>
    <t>COOTAD Art.54</t>
  </si>
  <si>
    <t>✅ SÍ</t>
  </si>
  <si>
    <t>13 direcciones GAD — control pleno — ICPI</t>
  </si>
  <si>
    <t>❷</t>
  </si>
  <si>
    <t>Entidades Adscritas (Patronato)</t>
  </si>
  <si>
    <t>ISSC — Social Complementario</t>
  </si>
  <si>
    <t>SSC Sección A</t>
  </si>
  <si>
    <t>COOTAD Art.306</t>
  </si>
  <si>
    <t>🔶 NO — SSC</t>
  </si>
  <si>
    <t>Autonomía parcial — análisis descriptivo — ACTIVO</t>
  </si>
  <si>
    <t>❸</t>
  </si>
  <si>
    <t>Empresas Públicas Municipales</t>
  </si>
  <si>
    <t>ISPE — Servicios Públicos EP</t>
  </si>
  <si>
    <t>SSC Sección B</t>
  </si>
  <si>
    <t>COOTAD Art.280</t>
  </si>
  <si>
    <t>🔶 NO — ISPE</t>
  </si>
  <si>
    <t>EP Aseo · EP Agua — módulo futuro</t>
  </si>
  <si>
    <t>❹</t>
  </si>
  <si>
    <t>Convenios Interinstitucionales</t>
  </si>
  <si>
    <t>ISCI — Cogestión Interinst.</t>
  </si>
  <si>
    <t>SSC Sección C</t>
  </si>
  <si>
    <t>COOTAD Art.126</t>
  </si>
  <si>
    <t>🔶 NO — ISCI</t>
  </si>
  <si>
    <t>MSP·MIDUVI·MINTUR·MIES — módulo futuro</t>
  </si>
  <si>
    <t>❺</t>
  </si>
  <si>
    <t>Concesiones / Delegación Privada</t>
  </si>
  <si>
    <t>— (fuera de alcance)</t>
  </si>
  <si>
    <t>COOTAD Art.281</t>
  </si>
  <si>
    <t>❌ EXCLUIDO</t>
  </si>
  <si>
    <t>No imputable al GAD — fuera del instrumento SIAP</t>
  </si>
  <si>
    <t>🔷 SECCIÓN A — ISSC · Subíndice Social Complementario · Patronato Municipal de Amparo Social · n=4 metas sociales · Ci=0.9 · ✅ PILOTO ACTIVO</t>
  </si>
  <si>
    <t>COD-META (PDOT)</t>
  </si>
  <si>
    <t>DESCRIPCIÓN SINTÉTICA META</t>
  </si>
  <si>
    <t>Vi (Evidencia 0/1)</t>
  </si>
  <si>
    <t>Ci (Control)</t>
  </si>
  <si>
    <t>Pi×Ri×Vi×Ti×Ci (Contrib.)</t>
  </si>
  <si>
    <t>ISSC_i (% contrib.)</t>
  </si>
  <si>
    <t>ESTADO / ACCIÓN RECOMENDADA</t>
  </si>
  <si>
    <t>Centro de Salud Tipo C «Nacer Aquí»</t>
  </si>
  <si>
    <t>🔴 URGENTE — Firmar convenio MSP + cronograma SERCOP. Elevar Vi=1 como prioridad máxima GAD.</t>
  </si>
  <si>
    <t>Equipamiento Geriátrico · Montecristi Solidario</t>
  </si>
  <si>
    <t>✅ CUMPLIDA — Incluir partida operación recurrente POA 2025. Vincular indicador PDOT.</t>
  </si>
  <si>
    <t>Unidad Médica Móvil — Salud Preventiva</t>
  </si>
  <si>
    <t>⚠️ URGENTE — Registrar vehículo SERCOP. Generar contrato formal → elevar Vi=1.</t>
  </si>
  <si>
    <t>Guarderías Nocturnas / CIBV Clubes Niños</t>
  </si>
  <si>
    <t>🔴 URGENTE — Convenio MIES para CIBV. Reformular como programa protección infantil POA 2025.</t>
  </si>
  <si>
    <t>ISSC TOTAL · Subíndice Social Complementario Patronato Municipal</t>
  </si>
  <si>
    <t>INTERPRETACIÓN ISSC · El ISSC mide cuánto aporta el Patronato si tuviera control pleno (Ci=1.0 hipotético). El valor Ci=0.9 ya reduce su contribución en el ICPI central. ISSC sirve como indicador de coherencia social: cuánto de la dimensión asistencial del mandato PDOT se ejecuta vía Patronato. Si ISSC es alto pero ICPI_social es bajo → el GAD delega política social sin ejecutar directamente → señal de alerta §3.4-SSC. Vi=0 en metas prioritarias = riesgo de incumplimiento PDOT.</t>
  </si>
  <si>
    <t>🔶 SECCIÓN B — ISPE · Subíndice Servicios Públicos EP · EP Aseo Integral Montecristi · Ci=0.75 · COOTAD Art.280 · MÓDULO EN DESARROLLO — Activar cuando EP esté formalmente constituida</t>
  </si>
  <si>
    <t>EP Aseo Integral Montecristi (COOTAD Art.280) · Ci=0.75 · Metas bajo EP: Relleno Sanitario (PDOT.AM.OE3.M2.01), Recolección Desechos (PDOT.FA.OE4.AH.01) · ISPE_i = Pi×Ri×Vi×Ti×0.75 ÷ Σ(Pi×Ri) · Activar cuando EP tenga estatuto aprobado y directorio GAD activo · Si GAD tiene EP Agua → agregar aquí con misma lógica Ci=0.75</t>
  </si>
  <si>
    <t>🔵 SECCIÓN C — ISCI · Subíndice Cogestión Interinstitucional · Convenios MSP / MIDUVI / MINTUR / MIES · Ci=0.5 · COOTAD Art.126 · MÓDULO EN DESARROLLO — Activar cuando convenios tengan presupuesto verificable SERCOP</t>
  </si>
  <si>
    <t>Convenios activos: MSP (Salud Tipo C), MIDUVI (Vivienda Social), MINTUR (Manglar Vivo), MIES (CIBV) · Ci=0.5 (GAD no controla directamente) · ISCI_i = Pi×Ri×Vi×Ti×0.5 ÷ Σ(Pi×Ri) · Diferencia entre ICPI con Ci=0.5 vs hipótetico Ci=1.0 = peso institucional perdido por delegación externa · Activar con convenios firmados y verificables</t>
  </si>
  <si>
    <t>⬡ SECCIÓN MELÓGICA SSC · Decisiones de Diseño · Escalabilidad SIAP-ICPI · Arquitectura Modular para GADs del Ecuador</t>
  </si>
  <si>
    <t>ASPECTO</t>
  </si>
  <si>
    <t>DETALLE TÉCNICO / DECISIÓN DE DISEÑO</t>
  </si>
  <si>
    <t>REFERENCIA NORMATIVA</t>
  </si>
  <si>
    <t>VERSIÓN</t>
  </si>
  <si>
    <t>Separación ICPI / SSC</t>
  </si>
  <si>
    <t>El ICPI central mide SOLO metas bajo control directo GAD. El SSC es análisis descriptivo adicional — no modifica el ICPI. Garantiza integridad melógica y comparabilidad entre GADs con distinta estructura institucional.</t>
  </si>
  <si>
    <t>SIAP-ICPI §3.4-SSC COOTAD Art.228</t>
  </si>
  <si>
    <t>✅ ACTIVO</t>
  </si>
  <si>
    <t>Fórmula ICPI inalterada</t>
  </si>
  <si>
    <t>ICPI = Σ(Pi·Ri·Vi·Ei·Ti·Ci) ÷ Σ(Pi·Ri) — Ci=0.9 para metas del Patronato ya reduce su contribución al numerador. El SSC muestra la contribución hipotética si Ci=1.0. La diferencia = penalización por delegación institucional.</t>
  </si>
  <si>
    <t>SIAP-ICPI §3.7 MAO fila 3 nota</t>
  </si>
  <si>
    <t>Escalabilidad EP (ISPE)</t>
  </si>
  <si>
    <t>Escalabilidad Convenios (ISCI)</t>
  </si>
  <si>
    <t>Replicabilidad en otros GADs</t>
  </si>
  <si>
    <t>La escala Ci y la arquitectura SSC/ISPE/ISCI son genéricas. Cualquier GAD puede adoptar el instrumento con su propia estructura institucional. Solo cambian los valores de n (metas) y la composición de entidades adscritas y EP. La fórmula ICPI es universal.</t>
  </si>
  <si>
    <t>COOTAD Art.228 CRE Art.264</t>
  </si>
  <si>
    <t>EN DISEÑO</t>
  </si>
  <si>
    <t>◈ SSC · Subíndice Social Complementario · Patronato Ci=0.9 ✅ · EP Ci=0.75 · Convenios Ci=0.5 · SIAP-ICPI GAD Montecristi © 2025</t>
  </si>
  <si>
    <t>TIPOLOGÍA DOC.</t>
  </si>
  <si>
    <t>DEPARTAMENTO</t>
  </si>
  <si>
    <t>EVIDENCIA</t>
  </si>
  <si>
    <t>Ti (H)</t>
  </si>
  <si>
    <t>Vi×Ri×Ti</t>
  </si>
  <si>
    <t>ESTADO DOC.</t>
  </si>
  <si>
    <t>Vi AUD.</t>
  </si>
  <si>
    <t>Ti AUD.</t>
  </si>
  <si>
    <t>REF. DOC.</t>
  </si>
  <si>
    <t>CONSISTENCIA</t>
  </si>
  <si>
    <t>Pi / Ci</t>
  </si>
  <si>
    <t>PDOT ✓</t>
  </si>
  <si>
    <t>POA ✓</t>
  </si>
  <si>
    <t>PAC ✓</t>
  </si>
  <si>
    <t>Ti CÉDULA</t>
  </si>
  <si>
    <t>SIGAD ✓</t>
  </si>
  <si>
    <t>CPCCS ✓</t>
  </si>
  <si>
    <t>Ci CININ</t>
  </si>
  <si>
    <t>Ti CININ</t>
  </si>
  <si>
    <t>ESTADO CININ</t>
  </si>
  <si>
    <t>OBS.</t>
  </si>
  <si>
    <t>Silo de Ejecución · SERCOP / Cédulas</t>
  </si>
  <si>
    <t>Obras Públicas / Alcantar.</t>
  </si>
  <si>
    <t>Contrato / Planillas</t>
  </si>
  <si>
    <t>RDC 2023+2024</t>
  </si>
  <si>
    <t>Silo de Planificación · GAD LOTAIP</t>
  </si>
  <si>
    <t>Salud / Planificación</t>
  </si>
  <si>
    <t>Escrituras / Registro</t>
  </si>
  <si>
    <t>RDC 2024 p.11</t>
  </si>
  <si>
    <t>Proyectos Estratégicos</t>
  </si>
  <si>
    <t>Proceso SERCOP</t>
  </si>
  <si>
    <t>RDC 2023 p.4</t>
  </si>
  <si>
    <t>Servicios Públicos</t>
  </si>
  <si>
    <t>Informe Viabilidad</t>
  </si>
  <si>
    <t>RDC 2024 p.3</t>
  </si>
  <si>
    <t>Desarrollo Social</t>
  </si>
  <si>
    <t>Facturas Equipamiento</t>
  </si>
  <si>
    <t>SERCOP/Facturas</t>
  </si>
  <si>
    <t>Obras Públicas / Vialidad</t>
  </si>
  <si>
    <t>Cédula Presupuestaria</t>
  </si>
  <si>
    <t>Céd.Pres.GAD</t>
  </si>
  <si>
    <t>Salud</t>
  </si>
  <si>
    <t>Orden Compra / Placas</t>
  </si>
  <si>
    <t>Gestión Ambiental</t>
  </si>
  <si>
    <t>Licencia / Contrato</t>
  </si>
  <si>
    <t>Parques y Jardines</t>
  </si>
  <si>
    <t>Registro / Acta Inicio</t>
  </si>
  <si>
    <t>Registro/Acta</t>
  </si>
  <si>
    <t>Convenio / Personal</t>
  </si>
  <si>
    <t>LOTAIP/Convenio</t>
  </si>
  <si>
    <t>Silo de Control de Metas · SIGAD</t>
  </si>
  <si>
    <t>Higiene y Salubridad</t>
  </si>
  <si>
    <t>Certificación Operativa</t>
  </si>
  <si>
    <t>Compras Públicas</t>
  </si>
  <si>
    <t>Acta Recepción Maq.</t>
  </si>
  <si>
    <t>Acta Recep.PAC2024</t>
  </si>
  <si>
    <t>Seguridad / TICS</t>
  </si>
  <si>
    <t>Factura / Reporte TICS</t>
  </si>
  <si>
    <t>Tecnologías (TICS)</t>
  </si>
  <si>
    <t>Certificación Software</t>
  </si>
  <si>
    <t>SIGAD/Informes</t>
  </si>
  <si>
    <t>Avalúos y Catastros</t>
  </si>
  <si>
    <t>Informe Actualización</t>
  </si>
  <si>
    <t>Silo de Contraloría Social · CPCCS</t>
  </si>
  <si>
    <t>Participación Ciudadana</t>
  </si>
  <si>
    <t>Informe Silo Social</t>
  </si>
  <si>
    <t>RDC 2024 N°22844 p.3</t>
  </si>
  <si>
    <t>Plan Manejo / Gasto</t>
  </si>
  <si>
    <t>RDC 2024 p.9+12</t>
  </si>
  <si>
    <t>Embellecimiento / Señalética</t>
  </si>
  <si>
    <t>Orden Trabajo / Factura</t>
  </si>
  <si>
    <t>Ord.Trabajo/Factura</t>
  </si>
  <si>
    <t>Obras Públicas</t>
  </si>
  <si>
    <t>Informe Fiscalización</t>
  </si>
  <si>
    <t>RDC 2024 p.7+12</t>
  </si>
  <si>
    <t>Contrato / Planillas / Acueducto CAF</t>
  </si>
  <si>
    <t>PAC 2023+2024</t>
  </si>
  <si>
    <t>TIPOLOGÍA EVIDENCIA</t>
  </si>
  <si>
    <t>DOCUMENTO REQUERIDO</t>
  </si>
  <si>
    <t>PERÍODO / REFERENCIA</t>
  </si>
  <si>
    <t>Vi (1/0)</t>
  </si>
  <si>
    <t>Proyecto sin financiamiento</t>
  </si>
  <si>
    <t>Cédula Presupuestaria de Gastos</t>
  </si>
  <si>
    <t>Período 2024 - Item 75.01</t>
  </si>
  <si>
    <t>Proceso en etapa preparatoria</t>
  </si>
  <si>
    <t>Plan Anual de Contratación (PAC)</t>
  </si>
  <si>
    <t>Partida No. 2024.GAD.108</t>
  </si>
  <si>
    <t>Licitación desierta</t>
  </si>
  <si>
    <t>Portal COMPRASPÚBLICAS</t>
  </si>
  <si>
    <t>LICO-GADM-002-2024</t>
  </si>
  <si>
    <t>Sin estudios de pre-factibilidad</t>
  </si>
  <si>
    <t>Plan de Desarrollo y OT (PDOT)</t>
  </si>
  <si>
    <t>Matriz de Metas 2024</t>
  </si>
  <si>
    <t>Compra de insumos completa</t>
  </si>
  <si>
    <t>Factura de Adquisición Electrónica</t>
  </si>
  <si>
    <t>001-002-000000123</t>
  </si>
  <si>
    <t>Mantenimiento vial ejecutado</t>
  </si>
  <si>
    <t>Acta de Entrega-Recepción Parcial</t>
  </si>
  <si>
    <t>GADM-MANT-2024-012</t>
  </si>
  <si>
    <t>Unidad adquirida y en inventario, sin acta formal de entrega-recepción localizada en archivo institucional (Vi=0 por ausencia de cadena de custodia documental)</t>
  </si>
  <si>
    <t>Registro de Bienes Muebles</t>
  </si>
  <si>
    <t>Inventario Activo No. 5580</t>
  </si>
  <si>
    <t>Sin licencia ambiental</t>
  </si>
  <si>
    <t>Catastro SUIA - MAE</t>
  </si>
  <si>
    <t>Consulta Pública Manabí</t>
  </si>
  <si>
    <t>Obra civil al 60%</t>
  </si>
  <si>
    <t>Planilla de Avance No. 3</t>
  </si>
  <si>
    <t>CONTRATO-OB-2024-05</t>
  </si>
  <si>
    <t>Proyecto iniciado por convenio</t>
  </si>
  <si>
    <t>Resolución de Alcaldía</t>
  </si>
  <si>
    <t>GADM-RES-2024-089</t>
  </si>
  <si>
    <t>No consta en presupuesto</t>
  </si>
  <si>
    <t>Reforma Presupuestaria II</t>
  </si>
  <si>
    <t>Acta de Concejo 2024-05</t>
  </si>
  <si>
    <t>Entrega de maquinaria nueva</t>
  </si>
  <si>
    <t>Acta de Ingreso a Bodega</t>
  </si>
  <si>
    <t>GADM-BOD-2024-001</t>
  </si>
  <si>
    <t>Equipos instalados físicamente, sin factura ni informe técnico localizable en el silo TICS (Vi=0 por ausencia de soporte documental verificable)</t>
  </si>
  <si>
    <t>Informe Técnico Dirección TICs</t>
  </si>
  <si>
    <t>GADM-TIC-2024-022</t>
  </si>
  <si>
    <t>Sin desarrollo de software</t>
  </si>
  <si>
    <t>Portal de Transparencia LOTAIP</t>
  </si>
  <si>
    <t>Literal s) Puntos s</t>
  </si>
  <si>
    <t>Sistema actualizado</t>
  </si>
  <si>
    <t>Certificado Dir. de Avalúos</t>
  </si>
  <si>
    <t>GADM-AVC-2024-301</t>
  </si>
  <si>
    <t>Infraestructura en funcionamiento, sin registro sanitario ni permisos localizables en repositorio oficial (Vi=0 por principio de precaución documental)</t>
  </si>
  <si>
    <t>Registro Sanitario / Permisos</t>
  </si>
  <si>
    <t>MSP-DZ4-2024-009</t>
  </si>
  <si>
    <t>Sin partida asignada</t>
  </si>
  <si>
    <t>Plan Operativo Anual (POA)</t>
  </si>
  <si>
    <t>Eje Económico - Meta 12</t>
  </si>
  <si>
    <t>Solo diseño conceptual</t>
  </si>
  <si>
    <t>Memoria Técnica Descriptiva</t>
  </si>
  <si>
    <t>ARCH-DIR-PLAN-2024</t>
  </si>
  <si>
    <t>Obra no priorizada</t>
  </si>
  <si>
    <t>Informe de Rendición de Cuentas</t>
  </si>
  <si>
    <t>Fase 2 - Formulario CPCCS</t>
  </si>
  <si>
    <t>Acueducto CAF $45.6M + redes distribución — mayor ítem PDOT (Pi=0.1117)</t>
  </si>
  <si>
    <t>PAC 2023+2024 SERCOP; Convenios Rocafuerte/Portoviejo/Jaramijó; Estudios RDC 2024</t>
  </si>
  <si>
    <t>PAC oficial SERCOP + Informes RDC 2023 N°17649 + RDC 2024 N°22844 págs.7,12,13</t>
  </si>
  <si>
    <t>Vi=1: Contratos y planillas PAC verificados; Ti=0.65 Cédula eSIGEF</t>
  </si>
  <si>
    <t>CUP (Código Único Proyecto MFE)</t>
  </si>
  <si>
    <t>CLASE GASTO (Clasificador)</t>
  </si>
  <si>
    <t>CODIF. 2023 (eSIGEF $)</t>
  </si>
  <si>
    <t>DEVENGADO 2023 (eSIGEF $)</t>
  </si>
  <si>
    <t>PAGADO 2023 (eSIGEF $)</t>
  </si>
  <si>
    <t>CODIF. 2024 (eSIGEF $)</t>
  </si>
  <si>
    <t>DEVENGADO 2024 (eSIGEF $)</t>
  </si>
  <si>
    <t>PAGADO 2024 (eSIGEF $)</t>
  </si>
  <si>
    <t>PRESUP. INICIAL PDOT ($)</t>
  </si>
  <si>
    <t>PRESUP. CODIF. VIGENTE ($)</t>
  </si>
  <si>
    <t>REFORMA PRESUP. ($)</t>
  </si>
  <si>
    <t>DEVENGADO ACUM. ($) (2023+2024)</t>
  </si>
  <si>
    <t>PAGADO ACUM. ($) (2023+2024)</t>
  </si>
  <si>
    <t>Ti CALC. (Dev.Acum/ Codif.Vig.) = S4 D-MAD</t>
  </si>
  <si>
    <t>% PAGADO (Pag/Dev)</t>
  </si>
  <si>
    <t>FUENTE FINANCIAMIENTO (Clasif. MFE)</t>
  </si>
  <si>
    <t>ALERTA / ACCIÓN REQUERIDA</t>
  </si>
  <si>
    <t>SIGPIP</t>
  </si>
  <si>
    <t>7.5.01 · Obras de Infraestructura</t>
  </si>
  <si>
    <t>(28) Transferencias Gob. Central + (19) Crédito BDE/CAF</t>
  </si>
  <si>
    <t>✅ Ejecución alta ≥85% — mantener ritmo</t>
  </si>
  <si>
    <t>🟢 En progreso — monitoreo mensual</t>
  </si>
  <si>
    <t>7.3.06 · Convenios de Delegación</t>
  </si>
  <si>
    <t>(28) Transferencias Gob. Central + (28.06) Fondo Social</t>
  </si>
  <si>
    <t>🔴 Ejecución crítica &lt;30% — deslinde Dirección</t>
  </si>
  <si>
    <t>🔴 Sin ejecución — Vi=0, revisar SERCOP/POA</t>
  </si>
  <si>
    <t>8.4.02 · Bienes de Larga Duración (Equipos)</t>
  </si>
  <si>
    <t>7.5.04 · Obras en Líneas, Redes e Instalaciones Eléctricas y de Telecomunicación / Mantenimiento y Reparaciones</t>
  </si>
  <si>
    <t>8.4.02 · Bienes de Larga Duración (Vehículos)</t>
  </si>
  <si>
    <t>🟡 Ejecución baja &lt;60% — acelerar POA 2025</t>
  </si>
  <si>
    <t>Planta de Oxidación / PTAR</t>
  </si>
  <si>
    <t>7.5.01 · Obras de Infraestructura (Saneamiento)</t>
  </si>
  <si>
    <t>(28) Transferencias Gob. Central</t>
  </si>
  <si>
    <t>7.5.01 · Obras de Infraestructura (Parques/Espacio Público)</t>
  </si>
  <si>
    <t>7.3.06 · Convenios de Delegación / 7.3.01 Servicios Sociales</t>
  </si>
  <si>
    <t>7.5.01 · Obras de Infraestructura (Saneamiento / Residuos)</t>
  </si>
  <si>
    <t>Equipo Caminero / Maquinaria</t>
  </si>
  <si>
    <t>8.4.02 · Bienes de Larga Duración (Maquinaria)</t>
  </si>
  <si>
    <t>Central Monitoreo / Cámaras</t>
  </si>
  <si>
    <t>8.4.02 · Bienes de Larga Duración (Equipos TICs)</t>
  </si>
  <si>
    <t>7.3.04 · Mantenimiento y Reparaciones / 8.4.02 Equipos Informáticos</t>
  </si>
  <si>
    <t>(28) Transferencias + (13) Recursos Propios GAD</t>
  </si>
  <si>
    <t>7.3.04 · Mantenimiento y Reparaciones / 8.7.01 Activos Intangibles (Software)</t>
  </si>
  <si>
    <t>7.3.02 · Servicios Generales (Veterinaria / Control Fauna)</t>
  </si>
  <si>
    <t>7.5.01 · Obras de Infraestructura (Turismo/Ambiente)</t>
  </si>
  <si>
    <t>(28) Transferencias + (19) Crédito BDE</t>
  </si>
  <si>
    <t>Embellecimiento y Señalética Urbana</t>
  </si>
  <si>
    <t>7.3.02 · Servicios Generales (Señalética y Ornamentación)</t>
  </si>
  <si>
    <t>7.5.01 · Obras de Infraestructura (Agua Potable Rural)</t>
  </si>
  <si>
    <t>TOTALES · n=20 metas PDOT</t>
  </si>
  <si>
    <t>🔶 SECCIÓN B — RESUMEN EJECUTIVO POR EJE ESTRATÉGICO PDOT · Ejecución presupuestaria consolidada por eje · Fuente: Sección A</t>
  </si>
  <si>
    <t>N° METAS</t>
  </si>
  <si>
    <t>PRESUP. INICIAL ($)</t>
  </si>
  <si>
    <t>CODIF. VIGENTE ($)</t>
  </si>
  <si>
    <t>DEVENGADO ($)</t>
  </si>
  <si>
    <t>DEV. 2023 ($)</t>
  </si>
  <si>
    <t>PAG. 2023 ($)</t>
  </si>
  <si>
    <t>COD. 2024 ($)</t>
  </si>
  <si>
    <t>DEV. 2024 ($)</t>
  </si>
  <si>
    <t>PAG. 2024 ($)</t>
  </si>
  <si>
    <t>CODIF. VIG. ($)</t>
  </si>
  <si>
    <t>PAGADO ($)</t>
  </si>
  <si>
    <t>Ti EJE (Dev/Cod)</t>
  </si>
  <si>
    <t>% PAGADO</t>
  </si>
  <si>
    <t>METAS Ti≥70%</t>
  </si>
  <si>
    <t>METAS Ti&lt;30%</t>
  </si>
  <si>
    <t>RIESGO PRESUP.</t>
  </si>
  <si>
    <t>ESTADO GENERAL</t>
  </si>
  <si>
    <t>PROGRAMA / META POA</t>
  </si>
  <si>
    <t>EJECUTADO ($)</t>
  </si>
  <si>
    <t>BRECHA ($)</t>
  </si>
  <si>
    <t>ESTADO EJECUCIÓN</t>
  </si>
  <si>
    <t>ACCIÓN PRIORITARIA</t>
  </si>
  <si>
    <t>ACTIVIDADES POA</t>
  </si>
  <si>
    <t>TIPO GASTO</t>
  </si>
  <si>
    <t>UNIDAD / DIRECCIÓN</t>
  </si>
  <si>
    <t>POA 2023 ($)</t>
  </si>
  <si>
    <t>POA 2024 ($)</t>
  </si>
  <si>
    <t>POA 2025 ($)</t>
  </si>
  <si>
    <t>POA 2026 ($)</t>
  </si>
  <si>
    <t>POA 2027 ($)</t>
  </si>
  <si>
    <t>ACUM. ($)</t>
  </si>
  <si>
    <t>Fase I Alcantarillado Eloy Alfaro — contratar BDE-PROGAPSA</t>
  </si>
  <si>
    <t>Fase I Alcantarillado Eloy Alfaro (BEI-PROGAPSA)</t>
  </si>
  <si>
    <t>Inversión de obra</t>
  </si>
  <si>
    <t>Proyectos Estratégicos e Inversiones</t>
  </si>
  <si>
    <t>Convenio coordinación MSP — hoja de ruta formal</t>
  </si>
  <si>
    <t>Gestión obtención Centro Salud Tipo C</t>
  </si>
  <si>
    <t>Gestión interinstitucional</t>
  </si>
  <si>
    <t>Planificación / Proyectos Estratégicos</t>
  </si>
  <si>
    <t>Estudios factibilidad y diseño arquitectónico</t>
  </si>
  <si>
    <t>Gestión Terminal Terrestre Ciudad Bicentenario</t>
  </si>
  <si>
    <t>Estudios previos</t>
  </si>
  <si>
    <t>Estudio factibilidad técnica y ambiental Camal</t>
  </si>
  <si>
    <t>Equipamientos nuevos (bloque $1.69M)</t>
  </si>
  <si>
    <t>Planificación / Servicios Públicos</t>
  </si>
  <si>
    <t>Partida operación recurrente Centro de Apoyo</t>
  </si>
  <si>
    <t>Soc. Cultural</t>
  </si>
  <si>
    <t>Centros de Apoyo grupos vulnerables</t>
  </si>
  <si>
    <t>Operación continua</t>
  </si>
  <si>
    <t>🟡 MEDIA</t>
  </si>
  <si>
    <t>Acción Social y Desarrollo</t>
  </si>
  <si>
    <t>Mantenimiento vías urbanas + pavimentación CUP</t>
  </si>
  <si>
    <t>Integración ejes viales estratégicos cantonales</t>
  </si>
  <si>
    <t>Inversión mantenimiento</t>
  </si>
  <si>
    <t>Planificación / Obras Públicas</t>
  </si>
  <si>
    <t>Registro vehículo móvil SERCOP + contrato operación</t>
  </si>
  <si>
    <t>Centros de Apoyo / atención prioritaria</t>
  </si>
  <si>
    <t>Regularización documental</t>
  </si>
  <si>
    <t>Acción Social / Salud</t>
  </si>
  <si>
    <t>Planta Oxidación / PTAR</t>
  </si>
  <si>
    <t>Construcción Colector Principal + PTAR Montecristi</t>
  </si>
  <si>
    <t>Colector Principal + PTAR Montecristi y Aníbal San Andrés</t>
  </si>
  <si>
    <t>Planificación / Dir. Alcantarillado</t>
  </si>
  <si>
    <t>Parque Las Pampas — diseño y obra Fase I</t>
  </si>
  <si>
    <t>F. Ambiental</t>
  </si>
  <si>
    <t>Parque Las Pampas; Red Verde; Rehabilitación parques</t>
  </si>
  <si>
    <t>Inversión nueva obra</t>
  </si>
  <si>
    <t>Planificación / Espacios Públicos</t>
  </si>
  <si>
    <t>Convenio MIES para CIBV nocturno / programa específico</t>
  </si>
  <si>
    <t>Clubes Niños y Adolescentes (pág. 382)</t>
  </si>
  <si>
    <t>Acción Social / MIES</t>
  </si>
  <si>
    <t>Inicio proceso MAATE — regularización relleno sanitario</t>
  </si>
  <si>
    <t>Construcción nuevo relleno sanitario ($748K PDOT)</t>
  </si>
  <si>
    <t>Obra estratégica</t>
  </si>
  <si>
    <t>Empresa de Aseo</t>
  </si>
  <si>
    <t>Equipo Caminero</t>
  </si>
  <si>
    <t>Mantenimiento preventivo maquinaria + plan de vialidad</t>
  </si>
  <si>
    <t>Operación / mantenimiento</t>
  </si>
  <si>
    <t>Regularización SERCOP sistema CCTV + ampliación</t>
  </si>
  <si>
    <t>Pol. Institucional</t>
  </si>
  <si>
    <t>Implementación Señalización y Control Vial</t>
  </si>
  <si>
    <t>Regularización + inversión</t>
  </si>
  <si>
    <t>TICS / Seguridad</t>
  </si>
  <si>
    <t>Plataforma ciudadana en línea + activar WiFi público</t>
  </si>
  <si>
    <t>Transformación digital; WiFi público (pág. 389)</t>
  </si>
  <si>
    <t>Inversión TIC</t>
  </si>
  <si>
    <t>Planificación / TICS</t>
  </si>
  <si>
    <t>Alimentar SIL con datos LIDAR; vincular a cobros</t>
  </si>
  <si>
    <t>Sistema Catastral Integrado vinculado a SIL</t>
  </si>
  <si>
    <t>Integración sistémica</t>
  </si>
  <si>
    <t>Planificación / Catastro</t>
  </si>
  <si>
    <t>Preparar expediente Premio Verde BDE</t>
  </si>
  <si>
    <t>Proyecto Ecoturístico Manglar Vivo — componente fauna</t>
  </si>
  <si>
    <t>Financiamiento no reembolsable</t>
  </si>
  <si>
    <t>Planificación / Medio Ambiente</t>
  </si>
  <si>
    <t>Postular Proyecto Manglar Vivo al Premio Verde BDE</t>
  </si>
  <si>
    <t>Econ. Productivo</t>
  </si>
  <si>
    <t>Proyecto Ecoturístico Manglar Vivo (pág. 387/399)</t>
  </si>
  <si>
    <t>Financiamiento estratégico</t>
  </si>
  <si>
    <t>Dir. Cultura y Turismo</t>
  </si>
  <si>
    <t>Mantenimiento señalética vial + arbolado urbano</t>
  </si>
  <si>
    <t>Señalización Vial y Control; Parque Las Pampas</t>
  </si>
  <si>
    <t>Diseño definitivo reservorios rurales + gestión BDE</t>
  </si>
  <si>
    <t>Nueva infraestructura captación y tratamiento agua</t>
  </si>
  <si>
    <t>Estudios + inversión</t>
  </si>
  <si>
    <t>Planificación / Dir. Agua Potable</t>
  </si>
  <si>
    <t>5 Ejes</t>
  </si>
  <si>
    <t>Ruta POA 2025 — Plan Bicentenario PDOT</t>
  </si>
  <si>
    <t>GAD Montecristi</t>
  </si>
  <si>
    <t>🟦 SECCIÓN A — ANÁLISIS POR EJE ESTRATÉGICO</t>
  </si>
  <si>
    <t>Nº METAS PDOT</t>
  </si>
  <si>
    <t>PAC EJECUTADO ($)</t>
  </si>
  <si>
    <t>PDOT PROYECTADO ($)</t>
  </si>
  <si>
    <t>% EJECUCIÓN</t>
  </si>
  <si>
    <t>ESTADO PONDERADO</t>
  </si>
  <si>
    <t>11,2%</t>
  </si>
  <si>
    <t>3❌ / 3 / 2✅ / 1⚠️ — CRÍTICO</t>
  </si>
  <si>
    <t>8,5%</t>
  </si>
  <si>
    <t>2❌ / 1 / 2✅ / 2⚠️ — ALERTA</t>
  </si>
  <si>
    <t>66,3%</t>
  </si>
  <si>
    <t>0❌ / 2 / 0✅ / 0⚠️ — EN PROCESO</t>
  </si>
  <si>
    <t>100%+</t>
  </si>
  <si>
    <t>0❌ / 1 / 1✅ / 0⚠️ — FAVORABLE</t>
  </si>
  <si>
    <t>0❌ / 0 / 0✅ / 1⚠️ — PARCIAL</t>
  </si>
  <si>
    <t>🟥 SECCIÓN B — SEMAFORIZACIÓN PRESUPUESTARIA · ICPI · BRECHAS CRÍTICAS POA 2025 · §3.7 SIAP-ICPI</t>
  </si>
  <si>
    <t>🔴 CRÍTICA Vi = 0</t>
  </si>
  <si>
    <t>SIN RESPALDO DOCUMENTAL ICPI = 0 · Ruptura §1 CINI</t>
  </si>
  <si>
    <t>20% del total</t>
  </si>
  <si>
    <t>Δ ICPI = 0 pp por unidad</t>
  </si>
  <si>
    <t>Ti y Ei inaplicables ausencia de Vi</t>
  </si>
  <si>
    <t>Metas afectadas:</t>
  </si>
  <si>
    <t>TER-09 · TER-10 SOC-03 · SOC-04</t>
  </si>
  <si>
    <t>⚡ ACCIÓN URGENTE Q1-2025:</t>
  </si>
  <si>
    <t>Iniciar gestión / convenio / estudios — generar Vi mínimo verificable antes cierre PAC</t>
  </si>
  <si>
    <t>🟠 ALTA Ti &lt; 0.70</t>
  </si>
  <si>
    <t>EJECUCIÓN INCOMPLETA Ti ∈ [0.30 — 0.69]</t>
  </si>
  <si>
    <t>35% del total</t>
  </si>
  <si>
    <t>Δ ICPI moderado refuerzo requerido</t>
  </si>
  <si>
    <t>PAC ejecutado parcialmente — requiere ampliar POA</t>
  </si>
  <si>
    <t>TER-14 · TER-02 SOC-02 · TER-05 AMB-08 · SOC-15 · TER-09</t>
  </si>
  <si>
    <t>⚡ ACCIÓN Q1-Q2 2025:</t>
  </si>
  <si>
    <t>Ampliar partidas POA — escalar a BDE / CAF — regularizar SERCOP para mejorar Ti</t>
  </si>
  <si>
    <t>🟡 MEDIA Ti ≥ 0.70</t>
  </si>
  <si>
    <t>EJECUCIÓN ACEPTABLE Ti ≥ 0.70 — en trayectoria</t>
  </si>
  <si>
    <t>25% del total</t>
  </si>
  <si>
    <t>Δ ICPI +2.1 pp mejora documental</t>
  </si>
  <si>
    <t>Estable pero sin soporte total en SERCOP/LOTAIP</t>
  </si>
  <si>
    <t>TER-05 · INS-03 INS-05 · SOC-08 · ECO-12</t>
  </si>
  <si>
    <t>⚡ ACCIÓN Q2 2025:</t>
  </si>
  <si>
    <t>Mantener partida + reforzar registro SERCOP / portal LOTAIP — potencial Δ +2,1 pp ICPI</t>
  </si>
  <si>
    <t>✅ CUMPLIDO Vi=Ei=Ti=1</t>
  </si>
  <si>
    <t>INTEGRIDAD COMPLETA Vi=1 · Ei=1 · Ti=1 · §3.7</t>
  </si>
  <si>
    <t>Δ ICPI +2.5 pp por unidad</t>
  </si>
  <si>
    <t>Evidencia forense verificada CPCCS + SERCOP + SIGAD</t>
  </si>
  <si>
    <t>Metas cumplidas:</t>
  </si>
  <si>
    <t>TER-03 · TER-18 SOC-03 · TER-01 · INS-05</t>
  </si>
  <si>
    <t>✔ ACCIÓN CONTINUA:</t>
  </si>
  <si>
    <t>Mantener trayectoria + documentar §3.4.3 — modelo para replicar en metas s</t>
  </si>
  <si>
    <t>AÑO PAC</t>
  </si>
  <si>
    <t># ÍTEM</t>
  </si>
  <si>
    <t>PARTIDA PRES.</t>
  </si>
  <si>
    <t>CPC</t>
  </si>
  <si>
    <t>TIPO</t>
  </si>
  <si>
    <t>DESCRIPCIÓN DEL ÍTEM PAC</t>
  </si>
  <si>
    <t>CANT.</t>
  </si>
  <si>
    <t>U. MED.</t>
  </si>
  <si>
    <t>COSTO UNIT. ($)</t>
  </si>
  <si>
    <t>VALOR TOTAL ($)</t>
  </si>
  <si>
    <t>PERÍODO</t>
  </si>
  <si>
    <t>CÓD. PDOT VINCULADO</t>
  </si>
  <si>
    <t>META PDOT (DESCRIPCIÓN)</t>
  </si>
  <si>
    <t>ESTADO VINCUL.</t>
  </si>
  <si>
    <t>84.01.09.000</t>
  </si>
  <si>
    <t>Bien</t>
  </si>
  <si>
    <t>Libros y colecciones</t>
  </si>
  <si>
    <t>Unidad</t>
  </si>
  <si>
    <t>C1 C2 C3</t>
  </si>
  <si>
    <t>Gasto operativo / administrativo</t>
  </si>
  <si>
    <t>⬜ Adm/Op</t>
  </si>
  <si>
    <t>84.01.03.000</t>
  </si>
  <si>
    <t>Mobiliarios</t>
  </si>
  <si>
    <t>77.02.01.000</t>
  </si>
  <si>
    <t>Servicio</t>
  </si>
  <si>
    <t>Seguros GAD Municipal</t>
  </si>
  <si>
    <t>75.05.01.005</t>
  </si>
  <si>
    <t>Obra</t>
  </si>
  <si>
    <t>Mantenimiento Repotenciacion Planta Agua Potable Los Mangos</t>
  </si>
  <si>
    <t>✅ Vinculado</t>
  </si>
  <si>
    <t>75.05.01.004</t>
  </si>
  <si>
    <t>Suministros tuberia redes agua potable Canton</t>
  </si>
  <si>
    <t>75.05.01.003</t>
  </si>
  <si>
    <t>Operacion Mantenimiento Potabilizacion Aguas Canton</t>
  </si>
  <si>
    <t>75.05.01.001</t>
  </si>
  <si>
    <t>Sistema agua potable parroquias rurales Canton</t>
  </si>
  <si>
    <t>REHABILITACION BITUMINOSO VIAS CDLAS SANTA ISABEL TIERRA SANTA</t>
  </si>
  <si>
    <t>Bacheo y Pavimentacion</t>
  </si>
  <si>
    <t>75.01.05.017</t>
  </si>
  <si>
    <t>Reconstruccion Anillo Vial Tierra Santa y Santa Isabel</t>
  </si>
  <si>
    <t>75.01.05.016</t>
  </si>
  <si>
    <t>PAVIMENTACION REPAVIMENTACION MEJORAMIENTO CARPETA ASFALTICA</t>
  </si>
  <si>
    <t>REHABILITACION VIAS BUEN VIVIR EL PRADO ETAPA 1</t>
  </si>
  <si>
    <t>MEJORAMIENTO VIAS URBANAS RURALES SECTORES VARIOS</t>
  </si>
  <si>
    <t>MANTENIMIENTO ELECTRICO TERRAZAS PASEO LUDICO Y ESCALINATA</t>
  </si>
  <si>
    <t>Embellecimiento y Señaletica</t>
  </si>
  <si>
    <t>75.05.04.001</t>
  </si>
  <si>
    <t>Mantenimiento Iluminacion Redes Electricas Alumbrado</t>
  </si>
  <si>
    <t>CONSTRUCCION ALCANTARILLADO SANITARIO CUIDADELA PAOLA 1 Y PAOLA 2</t>
  </si>
  <si>
    <t>73.15.15.000</t>
  </si>
  <si>
    <t>Plantas — Albergue Fauna Silvestre Canton</t>
  </si>
  <si>
    <t>73.14.07.002</t>
  </si>
  <si>
    <t>Sistema ERP gestion servicios plataforma digital</t>
  </si>
  <si>
    <t>Digitalizacion de Tramites</t>
  </si>
  <si>
    <t>73.14.07.001</t>
  </si>
  <si>
    <t>Equipos Sistemas Paquetes Informaticos</t>
  </si>
  <si>
    <t>75.01.04.010</t>
  </si>
  <si>
    <t>ESTUDIO DEFINITIVO TERMINAL TERRESTRE CIUDAD BICENTENARIO</t>
  </si>
  <si>
    <t>73.06.13.005</t>
  </si>
  <si>
    <t>Capacitaciones Cursos Artesanales Emprendedores Canton</t>
  </si>
  <si>
    <t>Guarderias / Desarrollo Social</t>
  </si>
  <si>
    <t>73.06.13.004</t>
  </si>
  <si>
    <t>Centro Capacitaciones Permanentes Fortalecimiento Emprendedores</t>
  </si>
  <si>
    <t>73.06.13.003</t>
  </si>
  <si>
    <t>Actividades didacticas Infocentros Capacitaciones usuarios</t>
  </si>
  <si>
    <t>84.01.07.000</t>
  </si>
  <si>
    <t>Equipos sistemas y paquetes informaticos GAD</t>
  </si>
  <si>
    <t>8.40.10.4.002</t>
  </si>
  <si>
    <t>EQUIPOS HERRAMIENTAS DIRECCION AGUA POTABLE ALCANTARILLADO</t>
  </si>
  <si>
    <t>8.4.01.04.002</t>
  </si>
  <si>
    <t>DRONE PROFESIONAL KIT GNSS CARTOGRAFIA CATASTRO GAD</t>
  </si>
  <si>
    <t>Actualizacion Catastro</t>
  </si>
  <si>
    <t>8.4.01.04.001</t>
  </si>
  <si>
    <t>EQUIPOS COMUNICACIONALES GAD MUNICIPAL CANTON MONTECRISTI</t>
  </si>
  <si>
    <t>84.01.04.001</t>
  </si>
  <si>
    <t>Maquinarias y Equipos — Dron catastro</t>
  </si>
  <si>
    <t>53.06.09.001</t>
  </si>
  <si>
    <t>Reconstruccion plazas y parques Canton Montecristi</t>
  </si>
  <si>
    <t>Parques y Areas Verdes</t>
  </si>
  <si>
    <t>53.06.09.005</t>
  </si>
  <si>
    <t>Parque Las Pampas diseño y construccion Fase I</t>
  </si>
  <si>
    <t>53.08.01.001</t>
  </si>
  <si>
    <t>Repuestos maquinaria pesada mantenimiento vial</t>
  </si>
  <si>
    <t>84.01.09.001</t>
  </si>
  <si>
    <t>Plataforma ciudadana en linea WiFi publico digital</t>
  </si>
  <si>
    <t>53.06.01.001</t>
  </si>
  <si>
    <t>Construccion mejoramiento infraestructura relleno sanitario</t>
  </si>
  <si>
    <t>75.05.05.001</t>
  </si>
  <si>
    <t>Construccion Colector Principal PTAR Montecristi y San Andres</t>
  </si>
  <si>
    <t>Planta Oxidacion / PTAR</t>
  </si>
  <si>
    <t>53.05.05.000</t>
  </si>
  <si>
    <t>Vehiculos — Arriendo y Mantenimiento GAD</t>
  </si>
  <si>
    <t>53.05.02.000</t>
  </si>
  <si>
    <t>Edificios Locales Residencias Arrendamiento GAD</t>
  </si>
  <si>
    <t>53.04.03.000</t>
  </si>
  <si>
    <t>Mobiliarios Instalacion Mantenimiento Reparacion</t>
  </si>
  <si>
    <t>53.02.07.000</t>
  </si>
  <si>
    <t>Difusion informacion publicidad institucional GAD</t>
  </si>
  <si>
    <t>53.01.06.000</t>
  </si>
  <si>
    <t>Servicios de Correo GAD Municipal</t>
  </si>
  <si>
    <t>53.01.01.001</t>
  </si>
  <si>
    <t>Servicios basicos agua luz GAD Municipal</t>
  </si>
  <si>
    <t>53.01.04.001</t>
  </si>
  <si>
    <t>Telecomunicaciones internet institucional GAD</t>
  </si>
  <si>
    <t>53.01.05.001</t>
  </si>
  <si>
    <t>Edificio almacenamiento GAD Municipal</t>
  </si>
  <si>
    <t>53.02.04.001</t>
  </si>
  <si>
    <t>Edicion impresion reproduccion publicaciones</t>
  </si>
  <si>
    <t>53.03.03.001</t>
  </si>
  <si>
    <t>Viaticos subsistencias al Interior GAD</t>
  </si>
  <si>
    <t>53.06.03.001</t>
  </si>
  <si>
    <t>Mantenimiento reparacion edificios locales</t>
  </si>
  <si>
    <t>53.06.05.001</t>
  </si>
  <si>
    <t>Mantenimiento reparacion vehiculos GAD</t>
  </si>
  <si>
    <t>53.08.04.001</t>
  </si>
  <si>
    <t>Materiales de aseo y limpieza institucional</t>
  </si>
  <si>
    <t>71.05.10.001</t>
  </si>
  <si>
    <t>Servicios personales por contrato personal GAD</t>
  </si>
  <si>
    <t>71.02.03.001</t>
  </si>
  <si>
    <t>Decimo tercer sueldo personal GAD Municipal</t>
  </si>
  <si>
    <t>71.02.04.001</t>
  </si>
  <si>
    <t>Decimo cuarto sueldo personal GAD Municipal</t>
  </si>
  <si>
    <t>84.02.03.001</t>
  </si>
  <si>
    <t>Maquinaria pesada Retroexcavadora equipo caminero GAD</t>
  </si>
  <si>
    <t>B300.320.73085</t>
  </si>
  <si>
    <t>ADQUISICION INSUMOS LIMPIEZA Y CHALECOS TRABAJO OPERATIVO</t>
  </si>
  <si>
    <t>A100.110.73080</t>
  </si>
  <si>
    <t>EQUIPOS PROTECCION PERSONAL REGIMEN CODIGO TRABAJO GAD</t>
  </si>
  <si>
    <t>LICENCIAMIENTO Y ADQUISICION LICENCIAS VEHICULOS SANITARIOS</t>
  </si>
  <si>
    <t>Unidad Medica Movil</t>
  </si>
  <si>
    <t>DOCTRINAS ACTUALIZADAS REFERENTES EVOLUCION DEL DERECHO</t>
  </si>
  <si>
    <t>EQUIPOS INFORMATICOS DIRECCIONES Y JEFATURAS GAD MONTECRISTI</t>
  </si>
  <si>
    <t>EQUIPOS TRANSMISION TRABAJOS TECNICOS GOBIERNO MUNICIPAL</t>
  </si>
  <si>
    <t>REPUESTOS ACCESORIOS EQUIPOS INFORMATICOS GAD</t>
  </si>
  <si>
    <t>HERRAMIENTAS NO DEPRECIABLE MANTENIMIENTO SEMAFORIZACION</t>
  </si>
  <si>
    <t>ADQUISICION CAMIONETAS 4x4 PARA PROPIEDAD MUNICIPAL GAD</t>
  </si>
  <si>
    <t>EQUIPOS LABORATORIO QUIMICO CALIDAD AGUA POTABLE RESIDUALES</t>
  </si>
  <si>
    <t>EQUIPOS Y MOBILIARIOS EQUIPAMIENTO GAD MUNICIPAL</t>
  </si>
  <si>
    <t>MOBILIARIOS PARA TALLERES DE MAQUILLAJE</t>
  </si>
  <si>
    <t>MOTO GUADAÑAS MOTO CIERRA HERRAMIENTAS MANTENIMIENTO PARQUES</t>
  </si>
  <si>
    <t>MAQUINARIA PESADA EQUIPO CAMINERO GAD MONTECRISTI</t>
  </si>
  <si>
    <t>COMBUSTIBLES LUBRICANTES MAQUINARIA GAD MUNICIPAL</t>
  </si>
  <si>
    <t>MATERIALES CONSTRUCCION REPOTENCIACION PARQUES ESPACIOS PUBLICOS</t>
  </si>
  <si>
    <t>MATERIALES OBRAS CIVILES BORDILLOS CUNETAS VIAS</t>
  </si>
  <si>
    <t>EQUIPOS MONITOREOS AMBIENTALES CONCESIONES MINERAS CANTON</t>
  </si>
  <si>
    <t>EQUIPOS OPERATIVOS SISTEMAS DE AGUA CANTON MONTECRISTI</t>
  </si>
  <si>
    <t>CARPAS EVENTOS PROPIOS DIRECCION GAD Municipal</t>
  </si>
  <si>
    <t>EQUIPOS Y MOBILIARIOS GAD MUNICIPAL</t>
  </si>
  <si>
    <t>ADQUISICION Y ADECUACION DE CONTENEDORES</t>
  </si>
  <si>
    <t>BECAS SUBSIDIOS A LAS CERTIFICACIONES ARTESANALES</t>
  </si>
  <si>
    <t>POLIZAS SEGUROS INCENDIO ROBO EQUIPOS ELECTRONICOS VEHICULOS</t>
  </si>
  <si>
    <t>CONSTRUCCION REDES AGUA POTABLE SECTORES RURALES CANTON</t>
  </si>
  <si>
    <t>SUMINISTROS TUBERIA AGUA POTABLE SECTORES RURALES</t>
  </si>
  <si>
    <t>OPERACION MANTENIMIENTO POTABILIZACION AGUAS CANTON</t>
  </si>
  <si>
    <t>CONSTRUCCION SISTEMA AGUA POTABLE SECTORES Y PARROQUIAS</t>
  </si>
  <si>
    <t>PAVIMENTACION Y MEJORAMIENTO VIAS URBANAS RURALES CANTON</t>
  </si>
  <si>
    <t>REHABILITACION VIAS CDLAS CANTON MONTECRISTI SECTORES</t>
  </si>
  <si>
    <t>RECONSTRUCCION ANILLO VIAL SECTORES CANTON MONTECRISTI</t>
  </si>
  <si>
    <t>MANTENIMIENTO VIAS CANTONAL CANTON MONTECRISTI</t>
  </si>
  <si>
    <t>BACHEO Y MANTENIMIENTO VIAS URBANAS CANTON</t>
  </si>
  <si>
    <t>MANTENIMIENTO REDES ELECTRICAS ALUMBRADO PUBLICO</t>
  </si>
  <si>
    <t>MANTENIMIENTO MEJORAMIENTO INFRAESTRUCTURA VIAL RURAL</t>
  </si>
  <si>
    <t>CONSTRUCCION BORDILLOS Y CUNETAS CANTON MONTECRISTI</t>
  </si>
  <si>
    <t>CONSTRUCCION Y MEJORAMIENTO PARQUE LAS PAMPAS FASE I</t>
  </si>
  <si>
    <t>REHABILITACION ESPACIOS PUBLICOS PLAZAS Y PARQUES</t>
  </si>
  <si>
    <t>SEÑALES VIALES SEÑALETICA HORIZONTAL VERTICAL CANTON</t>
  </si>
  <si>
    <t>MEJORAMIENTO SISTEMA AGUA POTABLE LOS MANGOS SECTORES RURALES</t>
  </si>
  <si>
    <t>CAPACITACIONES CURSOS ARTESANALES EMPRENDEDORES CANTON</t>
  </si>
  <si>
    <t>CENTRO CAPACITACIONES PERMANENTES EMPRENDEDORES</t>
  </si>
  <si>
    <t>ACTIVIDADES DIDACTICAS INFOCENTROS CAPACITACIONES USUARIOS</t>
  </si>
  <si>
    <t>PROGRAMA CULTURAL RECREATIVO GRUPOS VULNERABLES ADULTOS MAYORES</t>
  </si>
  <si>
    <t>SISTEMA ERP GESTION SERVICIOS PLATAFORMA DIGITAL GAD</t>
  </si>
  <si>
    <t>MANTENIMIENTO SOFTWARE Y SISTEMAS INFORMATICOS GAD</t>
  </si>
  <si>
    <t>LICENCIAS SOFTWARE INSTITUCIONAL GAD MONTECRISTI</t>
  </si>
  <si>
    <t>SERVICIOS INTERNET CONECTIVIDAD WIFI PUBLICO GAD</t>
  </si>
  <si>
    <t>DRONE PROFESIONAL KIT GNSS PRECISION CARTOGRAFIA CATASTRO</t>
  </si>
  <si>
    <t>MAQUINARIAS Y EQUIPOS CATASTRO ACTUALIZACION CANTON</t>
  </si>
  <si>
    <t>SISTEMA INFORMACION GEOGRAFICA SIG CATASTRO MUNICIPAL</t>
  </si>
  <si>
    <t>ACTUALIZACION BASE CATASTRAL LIDAR CANTON MONTECRISTI</t>
  </si>
  <si>
    <t>EQUIPOS COMUNICACIONALES CATASTRO Y PLANIFICACION GAD</t>
  </si>
  <si>
    <t>EQUIPOS Y HERRAMIENTAS OPERATIVAS CATASTRO CANTON</t>
  </si>
  <si>
    <t>MOBILIARIOS Y EQUIPOS OFICINA CATASTRO GAD</t>
  </si>
  <si>
    <t>MATERIALES Y EQUIPOS LEVANTAMIENTO CATASTRAL RURAL</t>
  </si>
  <si>
    <t>EQUIPOS LABORATORIO AMBIENTAL Y MONITOREO CALIDAD AGUA</t>
  </si>
  <si>
    <t>AMPLIACION SISTEMA AGUA POTABLE SECTORES PERIURBANOS</t>
  </si>
  <si>
    <t>CONSTRUCCION RESERVORIOS RURALES CANTON MONTECRISTI</t>
  </si>
  <si>
    <t>CONSTRUCCION ALCANTARILLADO SANITARIO SECTORES CANTON</t>
  </si>
  <si>
    <t>AMPLIACION RED ALCANTARILLADO SANITARIO BARRIOS CANTON</t>
  </si>
  <si>
    <t>ATENCION ADULTO MAYOR Y GRUPOS VULNERABLES CENTROS APOYO</t>
  </si>
  <si>
    <t>Equipamiento Geriatrico</t>
  </si>
  <si>
    <t>DESARROLLO ACTIVIDADES CULTURALES Y DEPORTIVAS CANTON</t>
  </si>
  <si>
    <t>CONSTRUCCION COLECTOR PRINCIPAL Y PTAR MONTECRISTI</t>
  </si>
  <si>
    <t>INICIO PROCESO REGULARIZACION RELLENO SANITARIO MAATE</t>
  </si>
  <si>
    <t>MEJORAMIENTO AGUA POTABLE BDE-PROGAPSA INFRA CANTON</t>
  </si>
  <si>
    <t>ALCANTARILLADO PAOLA 1 PAOLA 2 ANTONELLA EL PADRINO COLORADO</t>
  </si>
  <si>
    <t>PROYECTO ECOTURISTICO MANGLAR VIVO PLAYA SAN JOSE</t>
  </si>
  <si>
    <t>Proyecto Playa San Jose</t>
  </si>
  <si>
    <t>REDES DISTRIBUCION AGUA POTABLE SECTORES CANTON</t>
  </si>
  <si>
    <t>MANTENIMIENTO SISTEMA VIAL Y OBRAS CANTON MONTECRISTI</t>
  </si>
  <si>
    <t>MANTENIMIENTO AREAS VERDES PARQUES Y ESPACIOS PUBLICOS</t>
  </si>
  <si>
    <t>CONSULTORIAS ESTUDIOS Y DISEÑOS CANTON MONTECRISTI</t>
  </si>
  <si>
    <t>ASESORIA Y ESTUDIOS ESPECIALIZADOS GAD MUNICIPAL</t>
  </si>
  <si>
    <t>MANTENIMIENTO Y REPARACION EQUIPOS INFORMATICOS TIC</t>
  </si>
  <si>
    <t>01.01.01.A100</t>
  </si>
  <si>
    <t>Arrendamiento edificio GAD Municipal</t>
  </si>
  <si>
    <t>🔷 RESUMEN PAC POR META PDOT · Confirma PAC ✓ = 1 en MAD col S · Vinculación oficial por partida presupuestaria</t>
  </si>
  <si>
    <t>ÍTEMS PAC 2023</t>
  </si>
  <si>
    <t>VALOR PAC 2023 ($)</t>
  </si>
  <si>
    <t>ÍTEMS PAC 2024</t>
  </si>
  <si>
    <t>VALOR PAC 2024 ($)</t>
  </si>
  <si>
    <t>Central Monitoreo / Camaras</t>
  </si>
  <si>
    <t>Pi×Ri×Vi×Ti</t>
  </si>
  <si>
    <t>Σ TOTAL</t>
  </si>
  <si>
    <t>⬡ SECCIÓN MELÓGICA</t>
  </si>
  <si>
    <t>📋 MARCO LEGAL — SIAP-ICPI §3.7 (algoritmo ICPI) · §3.4 (Vi) · §3.5 (Ti) · §3.6 (Ci) · COOTAD Art.295 · SNPD-2023 (evaluación PDOT) · Plan Bicentenario Ecuador 2023–2027</t>
  </si>
  <si>
    <t>ICPI TOTAL</t>
  </si>
  <si>
    <t>SIAP-ICPI ©</t>
  </si>
  <si>
    <t>◆ RESULTADOS ◆ Resultados y Hallazgos SIAP-ICPI · SIAP-ICPI</t>
  </si>
  <si>
    <t>Suma Denominador · ∑(Pi × Ri)</t>
  </si>
  <si>
    <t>▶ ICPI FINAL · §3.5 SIAP-ICPI</t>
  </si>
  <si>
    <t>Categoría · Clasificación ICPI</t>
  </si>
  <si>
    <t>Interpretación Técnica · §3.8 SIAP-ICPI</t>
  </si>
  <si>
    <t>Brecha vs Meta PDOT 2027 · §3.6 · UAP</t>
  </si>
  <si>
    <t>🔵 ████</t>
  </si>
  <si>
    <t>EXCELENCIA</t>
  </si>
  <si>
    <t>🟢 ████</t>
  </si>
  <si>
    <t>GESTIÓN POR MANDATO</t>
  </si>
  <si>
    <t>🟠 ████</t>
  </si>
  <si>
    <t>="TRANSICIÓN CRÍTICA ◄ GAD MONTECRISTI "&amp;TEXT('E1-ICPI'!G28,"0,00%")</t>
  </si>
  <si>
    <t>🔴 ████</t>
  </si>
  <si>
    <t>GESTIÓN POR OCURRENCIA</t>
  </si>
  <si>
    <t>⬛ ████</t>
  </si>
  <si>
    <t>RUPTURA TOTAL</t>
  </si>
  <si>
    <t>📍 SECCIÓN B — RESULTADO APLICADO AL GAD Montecristi 2023 · Posicionamiento en la escala · §3.6–§3.8</t>
  </si>
  <si>
    <t>MÉTRICA</t>
  </si>
  <si>
    <t>VALOR</t>
  </si>
  <si>
    <t>CATEGORÍA ASIGNADA</t>
  </si>
  <si>
    <t>IMPLICACIÓN TÉCNICA / ACCIÓN</t>
  </si>
  <si>
    <t>ICPI CALCULADO · GAD Montecristi 2024</t>
  </si>
  <si>
    <t>🟠 NIVEL 3</t>
  </si>
  <si>
    <t>TRANSICIÓN CRÍTICA</t>
  </si>
  <si>
    <t>Posición actual: entre Gestión por Mandato (70%) y Gestión por Ocurrencia (40%). El GAD ejecuta obras pero la trazabilidad documental es insuficiente. Distancia al Nivel 2: +22,98 pp — alcanzable con regularización Vi=0 §3.4</t>
  </si>
  <si>
    <t>META PDOT 2027 (benchmark primario)</t>
  </si>
  <si>
    <t>Meta de cumplimiento: cada indicador PDOT debe alcanzar Ti=1.0 al cierre 2027</t>
  </si>
  <si>
    <t>EXCELENCIA (autopercibida)</t>
  </si>
  <si>
    <t>BRECHA ICPI vs Meta PDOT 2027 · UAP · §3.6</t>
  </si>
  <si>
    <t>Brecha primaria: ICPI − 100% = −55,75 pp · ⚠️ DÉFICIT PROGRAMÁTICO CONFIRMADO ≥30 pp · UAP §3.6</t>
  </si>
  <si>
    <t>CONFIRMADA</t>
  </si>
  <si>
    <t>La brecha supera el umbral de 30 pp definido en §3.6. Diferencia entre el nivel real auditado (TRANSICIÓN CRÍTICA) y el nivel autopercibido (EXCELENCIA). Es la magnitud cuantitativa de la ruptura documental institucional.</t>
  </si>
  <si>
    <t>ICPI POTENCIAL · Con regularización Vi=0 · §3.4</t>
  </si>
  <si>
    <t>≈ 74,12%</t>
  </si>
  <si>
    <t>NIVEL 2</t>
  </si>
  <si>
    <t>GESTIÓN POR MANDATO (alcanzable)</t>
  </si>
  <si>
    <t>Subsanar los 8 casos Vi=0 con actas retroactivas y evidencia física elevaría el ICPI a ≈74,12% (+27,1 pp) sin ejecutar obra adicional. Llevaría al GAD al Nivel 2 — Gestión por Mandato. Acción POA 2025 de mayor retorno §3.4 · H3-SENSI</t>
  </si>
  <si>
    <t>🎨 SECCIÓN C — PALETA CANÓNICA INAMOVIBLE · SIAP-ICPI §3.7 p.17 · ⚠️ PROHIBIDO MODIFICAR COLORES — REFERENCIA Única MAESTRA PARA TODAS LAS PESTANAS DEL INSTRUMENTO · bg / texto / borde son INMUTABLES</t>
  </si>
  <si>
    <t>NIVEL (§3.7)</t>
  </si>
  <si>
    <t>RANGO ICPI (§3.7 p.17)</t>
  </si>
  <si>
    <t>COLOR SEMÁFORO</t>
  </si>
  <si>
    <t>APLICA EN (REFERENCIA MAESTRA)</t>
  </si>
  <si>
    <t>1 — EXCELENCIA</t>
  </si>
  <si>
    <t>🔵 AZUL</t>
  </si>
  <si>
    <t>DASHBOARD · RESUMEN · EJES Niv.1 · SENSI escenario óptimo · EDS · ALERTAS</t>
  </si>
  <si>
    <t>2 — GESTIÓN POR MANDATO</t>
  </si>
  <si>
    <t>🟢 VERDE</t>
  </si>
  <si>
    <t>PDOT Vi=1 Ti≥70% · MVCI congruente · SENSI potencial · BRECHA Ti&lt;umbral · EDS · ALERTAS</t>
  </si>
  <si>
    <t>3 — TRANSICIÓN CRÍTICA ◄ GAD MONTECRISTI</t>
  </si>
  <si>
    <t>🟠 NARANJA</t>
  </si>
  <si>
    <t>DASHBOARD · BRECHA Ti&lt;0.70 · POA urgencia MEDIA · semáforos advertencia · EDS · ALERTAS</t>
  </si>
  <si>
    <t>4 — GESTIÓN POR OCURRENCIA</t>
  </si>
  <si>
    <t>🔴 ROJO</t>
  </si>
  <si>
    <t>BRECHA brechas graves · MVCI Vi=0 parcial · POA urgencia ALTA · BI discrepancia grave · ALERTAS</t>
  </si>
  <si>
    <t>5 — RUPTURA TOTAL</t>
  </si>
  <si>
    <t>🔷 CONSISTENCIA INTERNA · Controles: PDOT-PONDER-MAD-ICPI · Alertas de discrepancia</t>
  </si>
  <si>
    <t>Numerador · Σ(Pi × Ri × Vi × Ei × Ti × Ci)</t>
  </si>
  <si>
    <t>Suma ponderada del logro real verificado por meta. Incluye solo Pi×Ri×Vi&gt;0 (Vi=1). Fórmula completa: Σ(Pi·Ri·Vi·Ei·Ti·Ci) §3.7 · Ci es el factor de control orgánico: vincula la meta al responsable órganico (C-MAO col 7). En E1-ICPI col G: =Pi×Ri×(Vi×Ei×Ti)×Ci = C×D×F×I</t>
  </si>
  <si>
    <t>Denominador · Σ(Pi × Ri)</t>
  </si>
  <si>
    <t>Suma total del potencial máximo de todas las metas (sin restricción Vi). Normaliza el ICPI a escala 0–1. Fórmula: Σ(Pi·Ri) §3.7</t>
  </si>
  <si>
    <t>ICPI FINAL · Resultado del Algoritmo · §3.7</t>
  </si>
  <si>
    <t>🔍 SECCIÓN B — VERIFICACIÓN CRUZADA (SENTIDO COMÚN) · Comprobaciones indes del ICPI · §3.4–§3.5</t>
  </si>
  <si>
    <t>VARIABLE DE CONTROL</t>
  </si>
  <si>
    <t>HALLAZGO</t>
  </si>
  <si>
    <t>INTERPRETACIÓN / IMPLICACIÓN</t>
  </si>
  <si>
    <t>Metas con Evidencia Documental (Vi = 1)</t>
  </si>
  <si>
    <t>Metas con cadena de valor documental completa (Vi_cadena=1) — Fuente: D-MAD col X §3.4</t>
  </si>
  <si>
    <t>Inversión con Trazabilidad (Vi = 1)</t>
  </si>
  <si>
    <t>$121.16M de $122.86M · 98.6%</t>
  </si>
  <si>
    <t>Presupuesto asignado a metas con evidencia documental (Vi_cadena=1) — Fuente: D-MAD + Q-SIL col G §3.4</t>
  </si>
  <si>
    <t>Metas Completadas (Vi=1 · Ti=1)</t>
  </si>
  <si>
    <t>Metas completadas al 100% con evidencia verificada (Vi=1, Ti≥99%). TER-01 · INS-03 · INS-05 · TER-18 confirmados §3.5</t>
  </si>
  <si>
    <t>Metas con Evidencia Parcial (Vi=1 · Ti&lt;1)</t>
  </si>
  <si>
    <t>Metas en ejecución avanzada documentada (Vi=1, 0&lt;Ti&lt;1). Potencial de mejora si se eleva Ti en ejes TER/AMB §3.5</t>
  </si>
  <si>
    <t>Metas Sin Evidencia Documental (Vi = 0)</t>
  </si>
  <si>
    <t>⚠️ Metas sin cadena de valor documental completa (Vi_cadena=0). TER-10 (Camal) · SOC-04 (Guardería). Impacto: ICPI cae ~6 pp vs potencial teórico §3.4</t>
  </si>
  <si>
    <t>Avance Prom. Ejecución (Ti · solo Vi=1)</t>
  </si>
  <si>
    <t>🟡 Ti̅ = 66% · avance promedio metas con evidencia</t>
  </si>
  <si>
    <t>Avance promedio de ejecución entre las 18 metas con Vi_cadena=1. Progreso real existe pero incompleto §3.5</t>
  </si>
  <si>
    <t>Consistencia Numerador/Denominador</t>
  </si>
  <si>
    <t>✅ Cálculo verificado de forma inde — coincide exactamente con E1-ICPI §3.7</t>
  </si>
  <si>
    <t>📋 SECCIÓN C — INTERPRETACIÓN FINAL DEL ICPI · Diagnóstico sistémico · §3.8 SIAP-ICPI</t>
  </si>
  <si>
    <t>📊 NIVEL ICPI · Categoría del resultado</t>
  </si>
  <si>
    <t>="El ICPI de "&amp;TEXT('E1-ICPI'!G25,"0.00")&amp;"% ubica al GAD Municipal de Montecristi en la categoría "&amp;'E2-RESUL'!B8&amp;" (rango 40%–69% §3.8). Los procesos de ejecución existen — 18/20 metas con cadena documental (90%) — pero la ejecución presupuestaria y el avance real requieren incremento urgente. Fuente: E1-ICPI + E2-RESUL + D-MAD"</t>
  </si>
  <si>
    <t>📋 DESGLOSE DE LAS 20 METAS PDOT · Estado documental</t>
  </si>
  <si>
    <t>🔴 BRECHA ICPI vs Meta PDOT 2027 · UAP §3.6 · Umbral de Alerta Programática</t>
  </si>
  <si>
    <t>⚡ ACCIÓN DE MAYOR IMPACTO · POA 2025</t>
  </si>
  <si>
    <t>✅ SECCIÓN D — CONCLUSIONES DE CONSISTENCIA · Tres hallazgos principales · §3.7–§3.9</t>
  </si>
  <si>
    <t>CONSISTENCIA INTERNA ✅ — Numerador y denominador verificados · §3.7</t>
  </si>
  <si>
    <t>ALERTA CRÍTICA — 40% metas sin trazabilidad documental (Vi=0) · §3.4</t>
  </si>
  <si>
    <t>2 / 20 · $1.69M sin cadena documental</t>
  </si>
  <si>
    <t>Ti ACTUAL</t>
  </si>
  <si>
    <t>BRECHA Ti</t>
  </si>
  <si>
    <t>RIESGO</t>
  </si>
  <si>
    <t>DIAGNÓSTICO</t>
  </si>
  <si>
    <t>MÍNIMA</t>
  </si>
  <si>
    <t>CONGRUENTE</t>
  </si>
  <si>
    <t>Alcantarillado · Ti=75% vs Meta 100% 2027 · Brecha -25pp. Activar contrato BDE-PROGAPSA Fase I en POA 2025.</t>
  </si>
  <si>
    <t>CRÍTICA</t>
  </si>
  <si>
    <t>DISCREPANCIA</t>
  </si>
  <si>
    <t>🚨 Centro Salud Tipo C · Vi=0 · Ti=15% vs Meta 100% 2027 · Brecha crítica -85pp. Firmar convenio MSP + SERCOP urgente.</t>
  </si>
  <si>
    <t>GRAVE</t>
  </si>
  <si>
    <t>Terminal Terrestre · Ti=45% vs Meta 100% 2027 · Brecha -55pp. Incluir estudios factibilidad en POA 2025 con SERCOP.</t>
  </si>
  <si>
    <t>🚨 Camal Municipal · Vi=0, Ti=0 · Brecha -100pp vs Meta 2027. Levantar informe viabilidad técnica urgente.</t>
  </si>
  <si>
    <t>✅ Geriátrico · Ti=100% · Meta PDOT cumplida. Incluir operación recurrente en POA 2025; vincular indicador PDOT.</t>
  </si>
  <si>
    <t>LEVE</t>
  </si>
  <si>
    <t>Bacheo/Vialidad · Ti=90% vs Meta 100% 2027 · Brecha -10pp. Establecer meta km en POA 2025; vincular indicador IE.</t>
  </si>
  <si>
    <t>🚨 Unidad Médica · Vi=0 · Ti=50% vs Meta 100% 2027 · Brecha -50pp. Registrar vehículo SERCOP; contrato formal.</t>
  </si>
  <si>
    <t>PTAR · Ti=40% vs Meta 100% 2027 · Brecha -60pp. Gestionar financiamiento no reembolsable PTAR en POA 2025.</t>
  </si>
  <si>
    <t>Parques/Áreas Verdes · Ti=50% vs Meta 100% 2027 · Brecha -50pp. Diseño + obra Parque Pampas Fase I en POA 2025.</t>
  </si>
  <si>
    <t>🚨 Guarderías · Vi=0, Ti=0 · Brecha -100pp vs Meta 2027. Reformular como programa protección; convenio MIES urgente.</t>
  </si>
  <si>
    <t>Planta Desechos · Ti=30% vs Meta 100% 2027 · Brecha -70pp. Proceso MAATE regularización en POA 2025.</t>
  </si>
  <si>
    <t>NULA</t>
  </si>
  <si>
    <t>✅ Maquinaria · Ti=100% · Meta PDOT cumplida. Programar mantenimiento preventivo; vincular km al indicador IE PDOT.</t>
  </si>
  <si>
    <t>🚨 CCTV · Vi=0 · Ti=20% vs Meta 100% 2027 · Brecha -80pp. Registrar CCTV en SERCOP; emitir certificación técnica.</t>
  </si>
  <si>
    <t>MODERADA</t>
  </si>
  <si>
    <t>Digitalización · Ti=70% vs Meta 55% aceptación · ✅ Supera meta relativa 2027. Completar WiFi público en POA 2025.</t>
  </si>
  <si>
    <t>✅ Catastro · Ti=100% · Meta PDOT cumplida. Alimentar SIL con datos LIDAR; vincular catastro al sistema cobros.</t>
  </si>
  <si>
    <t>Albergue Fauna · Ti=35% vs Meta 100% 2027 · Brecha -65pp. Expediente Premio Verde BDE; incluir en Manglar Vivo.</t>
  </si>
  <si>
    <t>Playa San José · Ti=30% vs Meta 100% 2027 · Brecha -70pp. Postulación Premio Verde BDE; convenio MINTUR POA 2025.</t>
  </si>
  <si>
    <t>✅ Señalética · Ti=100% · Meta PDOT cumplida. Vincular km CUP al indicador PDOT; programar mantenimiento.</t>
  </si>
  <si>
    <t>Reservorios Agua · Ti=25% vs Meta 10% 2027 · ✅ Ti supera meta relativa. Diseño definitivo reservorios rurales POA 2025.</t>
  </si>
  <si>
    <t>Σ PROMEDIO · n=20</t>
  </si>
  <si>
    <t>BRECHA GLOBAL</t>
  </si>
  <si>
    <t>ICPI actual vs Meta PDOT 2027 → Brecha promedio calculada. 5 metas ya cumplidas. 4 con brecha crítica (Vi=0, Ti=0).</t>
  </si>
  <si>
    <t>📊 SECCIÓN B — CLASIFICACIÓN DE BRECHAS POR MAGNITUD · Semáforo de Integridad ICPI vs Meta PDOT 2027 · §3.6 SIAP-ICPI</t>
  </si>
  <si>
    <t>📊 SECCIÓN B — CLASIFICACIÓN DE BRECHAS POR MAGNITUD · ICPI vs Meta PDOT 2027 · §3.6 SIAP-ICPI</t>
  </si>
  <si>
    <t>ACCIÓN POA 2025</t>
  </si>
  <si>
    <t>✅ CONGRUENTE / NULA</t>
  </si>
  <si>
    <t>ICPI ≈ Meta PDOT (|Δ| ≤ 10 pp). Meta casi cumplida al 2027.</t>
  </si>
  <si>
    <t>−0.02 pp</t>
  </si>
  <si>
    <t>TER-01 · INS-05 · TER-18 · SOC-03 · TER-03</t>
  </si>
  <si>
    <t>RECOMENDACIÓN POA 2025</t>
  </si>
  <si>
    <t>✅ EN CAMINO</t>
  </si>
  <si>
    <t>Ti ≥ Meta PDOT 2027 (Δ ≥ 0). Avance supera o iguala la meta comprometida</t>
  </si>
  <si>
    <t>TER-01 · INS-05 · TER-18 · SOC-03 · TER-14</t>
  </si>
  <si>
    <t>✅ Mantener ritmo — buenas prácticas replicables</t>
  </si>
  <si>
    <t>🟡 REZAGO LEVE</t>
  </si>
  <si>
    <t>Ti entre 70-99% de Meta PDOT (Δ −1 a −30pp). En camino pero requiere acelerar</t>
  </si>
  <si>
    <t>TER-03 · TER-02 · INS-03</t>
  </si>
  <si>
    <t>⚡ Plan aceleración — incluir hitos trimestrales en POA 2025</t>
  </si>
  <si>
    <t>🟠 REZAGO GRAVE</t>
  </si>
  <si>
    <t>Ti entre 20-69% de Meta PDOT (Δ −31 a −80pp). Riesgo real de no cumplir al 2027</t>
  </si>
  <si>
    <t>AMB-07 · TER-05 · SOC-08 · ECO-12 · AMB-08 · TER-09 · TER-15 · SOC-07</t>
  </si>
  <si>
    <t>🔴 Auditoría y plan recuperación — priorizar en POA 2025 con recursos específicos</t>
  </si>
  <si>
    <t>🔴 CRÍTICO</t>
  </si>
  <si>
    <t>Ti = 0 o Vi=0 · Meta PDOT 2027 = 100% · Brecha −100pp. Sin inicio real</t>
  </si>
  <si>
    <t>SOC-02 · TER-10 · SOC-04 · SOC-15</t>
  </si>
  <si>
    <t>🚨 URGENTE — Inicio proceso formal · Convenios · SERCOP · Auditoría documental</t>
  </si>
  <si>
    <t>🔷 VARIABLES CONTROL Ei · n=20 metas · Ei pondera factores de contexto institucional</t>
  </si>
  <si>
    <t>PRESUP. ($)</t>
  </si>
  <si>
    <t>Ri×Pi</t>
  </si>
  <si>
    <t>Pi NORM.</t>
  </si>
  <si>
    <t>CONTROL Ei</t>
  </si>
  <si>
    <t>Ci ESTADO</t>
  </si>
  <si>
    <t>CONGRUENTE ✓ — Alcantarillado BEI-PROGAPSA. Ti=0.75. RDC 2023+2024 verificado §3.4</t>
  </si>
  <si>
    <t>⚠ Vi=0 — Centro Salud Tipo C. Sin convenio MSP. CRÍTICO: +20.6 pp potencial §3.4</t>
  </si>
  <si>
    <t>CONGRUENTE ✓ — Terminal Terrestre. Vi=1 RDC 2023. Ti=0.45 requiere seguimiento §3.4</t>
  </si>
  <si>
    <t>⚠ Vi=0 — Camal Municipal. DESPRIORITIZADO (RDC 2024 p.3). Erosión del compromiso §3.4</t>
  </si>
  <si>
    <t>CONGRUENTE ✓ — Geriátrico CDBV. Ti=1.0 COMPLETADO. Vi=1 facturas verificadas §3.4</t>
  </si>
  <si>
    <t>CONGRUENTE ✓ — Bacheo/Vialidad. Ti=0.90. Cédula Presup. GAD + SERCOP verificados §3.4</t>
  </si>
  <si>
    <t>⚠ Vi=0 — Unidad Médica Móvil. Sin OC vehículo. RDC evidencia servicio no el bien §3.4</t>
  </si>
  <si>
    <t>CONGRUENTE ✓ — PTAR Ambiental. Vi=1 licencia MAATE. Ti=0.40 financiamiento §3.4</t>
  </si>
  <si>
    <t>CONGRUENTE ✓ — Parques/Áreas Verdes. Ti=0.50. Vi=1 registro acta inicio §3.4</t>
  </si>
  <si>
    <t>⚠ Vi=0 — Guarderías Nocturnas. Sin convenio MIES. Ti=0. Programa inexistente §3.4</t>
  </si>
  <si>
    <t>CONGRUENTE ✓ — Planta Desechos. Vi=1 cert. operativa. Ti=0.30 relleno sin regularizar §3.4</t>
  </si>
  <si>
    <t>CONGRUENTE ✓ — Maquinaria PAC 2024. Ti=1.0 COMPLETADO. Vi=1 acta recepción §3.4</t>
  </si>
  <si>
    <t>⚠ Vi=0 — CCTV. Sin registro SERCOP formal (alarmas ≠ cámaras RDC 2024 p.3). Ti=0.20 §3.4</t>
  </si>
  <si>
    <t>CONGRUENTE ✓ — Digitalización/TICs. Vi=1 SIGAD. Ti=0.70. Plataforma ciudadana §3.4</t>
  </si>
  <si>
    <t>CONGRUENTE ✓ — Catastro. Ti=1.0 COMPLETADO. SIGAD/Informes verificados §3.4</t>
  </si>
  <si>
    <t>CONGRUENTE ✓ — Fauna Urbana. Vi=1 CERT.Nº017-2024. Ti=0.35 albergue parcial §3.4</t>
  </si>
  <si>
    <t>CONGRUENTE ✓ — Playa San José. Vi=1 cert. ambiental 25/03/2024. Ti=0.30 ecoturismo parcial</t>
  </si>
  <si>
    <t>CONGRUENTE ✓ — Señalética/Embellecimiento. Ti=1.0 COMPLETADO. Vi=1 ord.trabajo/factura §3.4</t>
  </si>
  <si>
    <t>CONGRUENTE ✓ — Reservorios de Agua. Vi=1 estudios oct.2024. Ti=0.25 obra en proceso §3.4</t>
  </si>
  <si>
    <t>Σ TOTAL · n=20</t>
  </si>
  <si>
    <t>✅ 17 CONGRUENTES · ⚠ 3 INCONSISTENCIAS · §3.7</t>
  </si>
  <si>
    <t>🔍 SECCIÓN B — RESUMEN DE COHERENCIA INTERNA · Clasificación por estado Vi/Ti · §3.4 SIAP-ICPI</t>
  </si>
  <si>
    <t>DESCRIPCIÓN / CRITERIO</t>
  </si>
  <si>
    <t>% PRESUP.</t>
  </si>
  <si>
    <t>ICPI CONTRIB.</t>
  </si>
  <si>
    <t>✅ Vi=1 CONGRUENTE</t>
  </si>
  <si>
    <t>Metas con verificacion documental completa (actas, informes, evidencias fisicas §3.4). Pi×Ri×Vi&gt;0 — contribuyen positivamente al ICPI</t>
  </si>
  <si>
    <t>Ver ICPI!G30</t>
  </si>
  <si>
    <t>Mantener trazabilidad y partidas POA 2025 · Escalar buenas prácticas INS-03/05 a otros ejes</t>
  </si>
  <si>
    <t>🔴 Vi=0 CRÍTICO</t>
  </si>
  <si>
    <t>Sin verificacion formal (Vi=0): Pi×Ri×Vi=0 → anula contribucion al ICPI §3.4. 5 metas (SOC-02, TER-10, SOC-07, SOC-04, SOC-15) sin trazabilidad oficial</t>
  </si>
  <si>
    <t>Potencial recuperacion ICPI</t>
  </si>
  <si>
    <t>Regularizar documentacion §3.4 urgente · SOC-02 prioritario (mayor peso) · TER-10 y SOC-07 urgentes</t>
  </si>
  <si>
    <t>— Sin inconsistencias</t>
  </si>
  <si>
    <t>SOC-08, ECO-12, TER-15 reclasificadas como Vi=1 en (PDOT). Certificaciones y evidencias aceptadas. Sin inconsistencias vigentes.</t>
  </si>
  <si>
    <t>N/A</t>
  </si>
  <si>
    <t>Sin accion requerida — reclasificacion validada §3.9</t>
  </si>
  <si>
    <t>🔵 TERRITORIAL</t>
  </si>
  <si>
    <t>🔴 SOCIAL</t>
  </si>
  <si>
    <t>⚠️ CRÍTICO — 11.95% peor resultado de s los ejes. Concentra mayor proporción Vi=0 (SOC-02, SOC-07, SOC-04, SOC-15). Intervención urgente POA 2025.</t>
  </si>
  <si>
    <t>SOC-02 · SOC-07 · SOC-03 · SOC-04 · SOC-15 · SOC-08</t>
  </si>
  <si>
    <t>🟢 AMBIENTAL</t>
  </si>
  <si>
    <t>Ejecución parcial — 33% ICPI con 2 metas (PTAR + relleno sanitario). Vi=1 en ambas pero Ti bajos (0.30 y 0.40). Potencial mejora con partidas POA 2025.</t>
  </si>
  <si>
    <t>AMB-07 · AMB-08</t>
  </si>
  <si>
    <t>🟠 ECONÓMICO</t>
  </si>
  <si>
    <t>Eje de menor impacto (Pi=0.12%) — 27% ICPI con 1 meta (Playa San José). Vi=1 pero Ti=0.30 bajo. Postular Premio Verde BDE como acción POA 2025.</t>
  </si>
  <si>
    <t>ECO-12</t>
  </si>
  <si>
    <t>🟣 INSTITUCIONAL</t>
  </si>
  <si>
    <t>✅ MEJOR EJE — 85.83% el más alto del modelo. Vi=1 Ti=1 en ambas metas (catastro + digitalización). Modelo a replicar en otros ejes. Mantener en POA 2025.</t>
  </si>
  <si>
    <t>INS-03 · INS-05</t>
  </si>
  <si>
    <t>Σ TOTAL PONDERADO</t>
  </si>
  <si>
    <t>n=20 metas · 5 ejes</t>
  </si>
  <si>
    <t>Resultado del motor principal SIAP-ICPI en hoja E1-ICPI — fuente de verdad canónica</t>
  </si>
  <si>
    <t>🔍 SECCIÓN B — VERIFICACIÓN CRUZADA DEL ICPI GLOBAL · Consistencia del modelo · §3.7</t>
  </si>
  <si>
    <t>ICPI Global (E1-ICPI)</t>
  </si>
  <si>
    <t>Resultado del modelo principal SIAP-ICPI en hoja E1-ICPI — fuente de verdad</t>
  </si>
  <si>
    <t>ICPI Desagregado (este cálculo)</t>
  </si>
  <si>
    <t>Diferencia (debe ser ≈0)</t>
  </si>
  <si>
    <t>0,00</t>
  </si>
  <si>
    <t>✅ VERIFICADO — El modelo es internamente consistente. La desagregación por ejes reproduce exactamente el ICPI global de E1-ICPI</t>
  </si>
  <si>
    <t>🟣 SECCIÓN C — RANKING DE EJES POR ICPI · Orden descendente · Brechas y prioridades POA 2025</t>
  </si>
  <si>
    <t>ICPI EJE</t>
  </si>
  <si>
    <t>BRECHA vs 100%</t>
  </si>
  <si>
    <t>PESO EN ICPI GLOBAL</t>
  </si>
  <si>
    <t>SEMAF.</t>
  </si>
  <si>
    <t>PRIORIDAD POA 2025</t>
  </si>
  <si>
    <t>1º</t>
  </si>
  <si>
    <t>🟢</t>
  </si>
  <si>
    <t>✅ Mantener — modelo de eficiencia institucional replicable — bajo peso no impacta ICPI global</t>
  </si>
  <si>
    <t>2º</t>
  </si>
  <si>
    <t>🟡</t>
  </si>
  <si>
    <t>⚡ PRIORIDAD — mayor peso del modelo (61%). Mejora de 10 pp en ICPI eje = +6 pp en ICPI global. Escalar agua y alcantarillado.</t>
  </si>
  <si>
    <t>3º</t>
  </si>
  <si>
    <t>🟠</t>
  </si>
  <si>
    <t>Elevar Ti en AMB-07/08 — proceso MAATE + PTAR. Mejora 20 pp en eje ambiental = +1.4 pp ICPI global</t>
  </si>
  <si>
    <t>4º</t>
  </si>
  <si>
    <t>5º</t>
  </si>
  <si>
    <t>🔴</t>
  </si>
  <si>
    <t>🔷 SENSIBILIDAD ICPI · Escenarios optimista/base/pesimista · Metas de mayor impacto</t>
  </si>
  <si>
    <t>RANK</t>
  </si>
  <si>
    <t>ICPI BASE (%)</t>
  </si>
  <si>
    <t>ICPI SI Vi→1 (%)</t>
  </si>
  <si>
    <t>ΔICPI (pp)</t>
  </si>
  <si>
    <t>PRIORIDAD</t>
  </si>
  <si>
    <t>ACCIÓN CORRECTIVA</t>
  </si>
  <si>
    <t>IMPACTO PRESUP.</t>
  </si>
  <si>
    <t>🔴 CRÍTICA #1 mayor impacto</t>
  </si>
  <si>
    <t>Firmar convenio MSP + cronograma SERCOP — Pi=0.202 (mayor peso SOCIAL) — genera +20.6 pp ICPI</t>
  </si>
  <si>
    <t>🟠 ALTA #2 impacto</t>
  </si>
  <si>
    <t>Levantar informe viabilidad técnica Camal; estudios SERCOP POA 2025 — Pi=0.068 (TERRITORIAL)</t>
  </si>
  <si>
    <t>🟡 MEDIA #3 impacto</t>
  </si>
  <si>
    <t>Registrar vehículo SERCOP + contrato formal operación — Pi=0.025 (SOCIAL prioridad salud)</t>
  </si>
  <si>
    <t>🔵 BAJA #4 impacto</t>
  </si>
  <si>
    <t>Reformular como programa protección infantil MIES — Pi=0.013 (menor peso SOCIAL)</t>
  </si>
  <si>
    <t>🔵 BAJA #5 impacto</t>
  </si>
  <si>
    <t>Registrar CCTV en SERCOP + certificación técnica — Pi=0.009 (SOCIAL/INSTITUCIONAL)</t>
  </si>
  <si>
    <t>🔵 BAJA #6 impacto</t>
  </si>
  <si>
    <t>Diseño definitivo reservorios rurales en POA 2025; gestionar BDE — Pi=0.002 (TERRITORIAL)</t>
  </si>
  <si>
    <t>🔵 BAJA #7 impacto</t>
  </si>
  <si>
    <t>Expediente técnico Premio Verde BDE; incluir en Proyecto Manglar Vivo — Pi=0.005 (SOCIAL)</t>
  </si>
  <si>
    <t>🔵 BAJA #8 impacto</t>
  </si>
  <si>
    <t>Postular Premio Verde BDE + diseño ecoturístico — Pi=0.003 (ECONÓMICO menor peso)</t>
  </si>
  <si>
    <t>🟢 SECCIÓN B — ESCENARIO ACUMULATIVO · Si todas las Vi=0 → Vi=1 · Límite teórico ICPI · ⚠️ DÉFICIT COnfirmada §3.7</t>
  </si>
  <si>
    <t>N°.</t>
  </si>
  <si>
    <t>INTERPRETACIÓN · IMPLICACIÓN PARA POA 2025 Y CINI §1</t>
  </si>
  <si>
    <t>ICPI Actual</t>
  </si>
  <si>
    <t>Línea base actual — Resultado modelo SIAP-ICPI sobre n=20 metas estratégicas evaluadas. ⚠️ DÉFICIT confirmada: ICPI &lt; 70% (brecha ≥ 30 pp respecto al óptimo)</t>
  </si>
  <si>
    <t>ICPI si TODAS Vi→1, Ti→1</t>
  </si>
  <si>
    <t>100,00%</t>
  </si>
  <si>
    <t>Límite teórico máximo — escenario de integridad total: s los documentos verificados (Vi=1) y toda ejecución completa (Ti=1) en las 20 metas</t>
  </si>
  <si>
    <t>Δ ICPI Total Potencial</t>
  </si>
  <si>
    <t>+52,98 pp</t>
  </si>
  <si>
    <t>Máxima brecha de mejora teórica — representa el techo de optimización si se resuelve la totalidad de la ruptura documentada §1 (CINI). Impracticable en un solo ciclo POA</t>
  </si>
  <si>
    <t>Δ ICPI Realizable Q1-Q2 2025</t>
  </si>
  <si>
    <t>+9,1 pp</t>
  </si>
  <si>
    <t>Potencial realizable en un ciclo POA 2025 — corrigiendo las 3 metas críticas/altas (SOC-02 + TER-10 + SOC-07) con mayor impacto marginal. Ruta correctiva prioritaria</t>
  </si>
  <si>
    <t>Presupuesto sin trazabilidad</t>
  </si>
  <si>
    <t>$4.4M+</t>
  </si>
  <si>
    <t>Inversión ejecutada sin soporte documental verificable (Vi=0) — cuantificación mínima de opacidad financiera detectada por el modelo SIAP-ICPI §3.1</t>
  </si>
  <si>
    <t>⚠️ Déficit Confirmado §3.6</t>
  </si>
  <si>
    <t>ICPI &lt; 70% Brecha ≥ 30 pp ✔</t>
  </si>
  <si>
    <t>🟣 SECCIÓN C — TABLA DE SENSIBILIDAD CRUZADA · ICPI vs Nº Metas Corregidas · Ruta Correctiva Escalonada</t>
  </si>
  <si>
    <t>Nº METAS PDOT CORREGIDAS</t>
  </si>
  <si>
    <t>ICPI PROYECTADO (%)</t>
  </si>
  <si>
    <t>Δ ICPI ACUMULADO (pp)</t>
  </si>
  <si>
    <t>META(S) PDOT CORREGIDA(S)</t>
  </si>
  <si>
    <t>0 (base)</t>
  </si>
  <si>
    <t>0,00 pp</t>
  </si>
  <si>
    <t>— Sin correcciones — Estado actual</t>
  </si>
  <si>
    <t>+1 meta</t>
  </si>
  <si>
    <t>67,64%</t>
  </si>
  <si>
    <t>+20,62 pp</t>
  </si>
  <si>
    <t>SOC-02 Centro Salud Tipo C — mayor Δ individual · Pi=0.202</t>
  </si>
  <si>
    <t>+2 metas</t>
  </si>
  <si>
    <t>72,82%</t>
  </si>
  <si>
    <t>+25,80 pp</t>
  </si>
  <si>
    <t>+ TER-10 Camal Municipal — Pi=0.068</t>
  </si>
  <si>
    <t>+3 metas</t>
  </si>
  <si>
    <t>75,40%</t>
  </si>
  <si>
    <t>+28,38 pp</t>
  </si>
  <si>
    <t>+ SOC-07 Unidad Médica Móvil — Pi=0.025</t>
  </si>
  <si>
    <t>Todas (8)</t>
  </si>
  <si>
    <t>Todas Vi=0 corregidas — límite teórico máximo</t>
  </si>
  <si>
    <t>⭐ ÓPTIMO Teórico</t>
  </si>
  <si>
    <t>CINI completamente restaurada — escenario teórico-optimista GAD</t>
  </si>
  <si>
    <t>COD-META</t>
  </si>
  <si>
    <t>Δ ICPI si Vi→1</t>
  </si>
  <si>
    <t>CAUSA DE Vi=0</t>
  </si>
  <si>
    <t>SITUACIÓN EN PDOT</t>
  </si>
  <si>
    <t>ACCIÓN CORRECTIVA POA 2025</t>
  </si>
  <si>
    <t>URGENCIA</t>
  </si>
  <si>
    <t>IMPACTO</t>
  </si>
  <si>
    <t>SOC</t>
  </si>
  <si>
    <t>0,202</t>
  </si>
  <si>
    <t>1,5</t>
  </si>
  <si>
    <t>+20,6 pp</t>
  </si>
  <si>
    <t>Construcción compete al MSP. GAD no puede ejecutar directamente.</t>
  </si>
  <si>
    <t>Proyecto Estratégico PDOT explícito (pág. 375). Presupuesto gestionado $1,69M.</t>
  </si>
  <si>
    <t>Firmar convenio MSP con cronograma formal. Incluir en POA 2025 como gestión interinstitucional.</t>
  </si>
  <si>
    <t>⭐⭐⭐⭐⭐</t>
  </si>
  <si>
    <t>TER</t>
  </si>
  <si>
    <t>0,068</t>
  </si>
  <si>
    <t>1,0</t>
  </si>
  <si>
    <t>+5,2 pp</t>
  </si>
  <si>
    <t>Sin proceso SERCOP ni informe de viabilidad técnica registrado.</t>
  </si>
  <si>
    <t>No tiene proyecto PDOT explícito. Implícito en bloque Equipamientos $1,69M.</t>
  </si>
  <si>
    <t>Levantar informe de viabilidad técnica. Incluir en POA 2025 con estudios previos.</t>
  </si>
  <si>
    <t>⭐⭐⭐⭐</t>
  </si>
  <si>
    <t>+4.54 pp</t>
  </si>
  <si>
    <t>Sin OC vehiculo. RDC evidencia servicio, no el bien §3.4</t>
  </si>
  <si>
    <t>Centros apoyo grupos vulnerables PDOT (pag. 382). Sin proyecto vehicular.</t>
  </si>
  <si>
    <t>Regularizar vehiculo en SERCOP. Generar contrato dotacion insumos.</t>
  </si>
  <si>
    <t>ALTA</t>
  </si>
  <si>
    <t>Guarderia Municipal / CIBV Nocturno</t>
  </si>
  <si>
    <t>+1.82 pp</t>
  </si>
  <si>
    <t>Sin convenio MIES, sin personal asignado, sin infraestructura.</t>
  </si>
  <si>
    <t>PDOT tiene Clubes Ninos/Adolescentes (pag. 382). No guarderia nocturna exacta.</t>
  </si>
  <si>
    <t>Convenio MIES para CIBV nocturno. Reformular como programa proteccion infantil.</t>
  </si>
  <si>
    <t>Central Monitoreo / CCTV</t>
  </si>
  <si>
    <t>+1.08 pp</t>
  </si>
  <si>
    <t>CCTV sin registro SERCOP formal (alarmas ≠ cameras RDC 2024 p.3). Ti=0.20 §3.4</t>
  </si>
  <si>
    <t>Subprograma Seguridad Vial PDOT. Sistema existe pero no documentado formalmente.</t>
  </si>
  <si>
    <t>Registrar sistema CCTV en SERCOP. Emitir certificacion tecnica de operacion.</t>
  </si>
  <si>
    <t>Δ ICPI si Ti→1 (pp)</t>
  </si>
  <si>
    <t>+6.55 pp</t>
  </si>
  <si>
    <t>⚠️ ② METAS PDOT CON Ti &lt; 0,70 · Baja materialización temporal · Vi=1 pero ejecución incompleta · 6 metas identificadas</t>
  </si>
  <si>
    <t>+2.47 pp</t>
  </si>
  <si>
    <t>AVANCE REAL PAC</t>
  </si>
  <si>
    <t>BRECHA DE MATERIALIZACIÓN</t>
  </si>
  <si>
    <t>META PDOT 2027</t>
  </si>
  <si>
    <t>ACCIÓN CLAVE POA 2025</t>
  </si>
  <si>
    <t>+0.76 pp</t>
  </si>
  <si>
    <t>Estudios y contratos BDE. Sectores parcialmente beneficiados.</t>
  </si>
  <si>
    <t>Proyectos Estratégicos PDOT: Fase I Eloy Alfaro, Sequita-Pepa de Huso, PTAR. $1,27M asignado.</t>
  </si>
  <si>
    <t>40% de avance · 60% cobertura en 3 fases estratégicas</t>
  </si>
  <si>
    <t>Incrementar cobertura alcantarillado al 2027</t>
  </si>
  <si>
    <t>Activar contrato BDE-PROGAPSA Fase I; iniciar estudios PTAR Montecristi</t>
  </si>
  <si>
    <t>Terminal Terrestre</t>
  </si>
  <si>
    <t>+0.07 pp</t>
  </si>
  <si>
    <t>Gestiones iniciales. Sin proceso SERCOP de estudios ni obra.</t>
  </si>
  <si>
    <t>Proyecto Estratégico PDOT (pág. 375). Presupuesto proyectado 2025–2027.</t>
  </si>
  <si>
    <t>60% de avance · diseño definitivo y contratación</t>
  </si>
  <si>
    <t>Índice equipamiento urbano CUP (IE)</t>
  </si>
  <si>
    <t>Incluir estudios de factibilidad y diseño en POA 2025 con partida presupuestaria</t>
  </si>
  <si>
    <t>AMB</t>
  </si>
  <si>
    <t>+1.16 pp</t>
  </si>
  <si>
    <t>Mantenimiento plantas existentes. Sin construcción nueva PTAR.</t>
  </si>
  <si>
    <t>PTAR como Proyecto Estratégico PDOT. Requiere financiamiento no reembolsable.</t>
  </si>
  <si>
    <t>70% de avance · Solo operación, no obra nueva de PTAR</t>
  </si>
  <si>
    <t>N° plantas y estaciones de bombeo operativas</t>
  </si>
  <si>
    <t>Gestionar financiamiento no reembolsable PTAR; estudios definitivos POA 2025</t>
  </si>
  <si>
    <t>+50.00 pp</t>
  </si>
  <si>
    <t>Mantenimiento parques existentes. No se construyeron parques nuevos.</t>
  </si>
  <si>
    <t>PDOT tiene 5 parques nuevos como Proyectos Estratégicos: Las Pampas, Simón Bolívar, etc.</t>
  </si>
  <si>
    <t>50% de avance · Parques nuevos son meta explícita del PDOT</t>
  </si>
  <si>
    <t>Índice verde urbano consolidado (IE)</t>
  </si>
  <si>
    <t>Diseño y obra Parque Las Pampas Fase I en POA 2025</t>
  </si>
  <si>
    <t>INS</t>
  </si>
  <si>
    <t>+70.00 pp</t>
  </si>
  <si>
    <t>ERP y digitalización en ejecución ($636K). Plataforma ciudadana .</t>
  </si>
  <si>
    <t>Transformación digital Proyecto Estratégico PDOT (pág. 389).</t>
  </si>
  <si>
    <t>30% de avance · Plataforma ciudadana y WiFi público sin activar</t>
  </si>
  <si>
    <t>Nivel conocimiento gestión municipal al 55%</t>
  </si>
  <si>
    <t>Activar plataforma servicios ciudadanos; habilitar puntos WiFi públicos</t>
  </si>
  <si>
    <t>+30.00 pp</t>
  </si>
  <si>
    <t>Operación plantas existentes. Sin proceso MAATE para nuevo relleno.</t>
  </si>
  <si>
    <t>Nuevo relleno sanitario Proyecto Estratégico PDOT (pág. 406). $748K asignado.</t>
  </si>
  <si>
    <t>80% de avance · Nuevo relleno requiere proceso MAATE prioritario</t>
  </si>
  <si>
    <t>Capacidad disposición final desechos sólidos (IE)</t>
  </si>
  <si>
    <t>Iniciar proceso MAATE; estudio impacto ambiental en POA 2025</t>
  </si>
  <si>
    <t>⚡ ③ ALERTAS ESPECIALES · Casos con tensión normativa, duplicación, paradoja o gap sistémico · 4 alertas identificadas</t>
  </si>
  <si>
    <t>TIPO ALERTA</t>
  </si>
  <si>
    <t>CONFLICTO DETECTADO</t>
  </si>
  <si>
    <t>IMPLICACIÓN MELÓGICA</t>
  </si>
  <si>
    <t>SITUACIÓN ACTUAL</t>
  </si>
  <si>
    <t>RECOMENDACIÓN</t>
  </si>
  <si>
    <t>REFERENCIA §</t>
  </si>
  <si>
    <t>⚠️ DUPLICACIÓN</t>
  </si>
  <si>
    <t>PDOT.AM.OE3.M1.01 PDOT.AM.OE3.M2.01</t>
  </si>
  <si>
    <t>Planta Oxidación vs. Nuevo Relleno Sanitario</t>
  </si>
  <si>
    <t>Ambos proyectos comparten el Subprograma PTAR/Desechos Sólidos del PDOT. Riesgo de doble conteo en el PDOT si se activan en el mismo POA.</t>
  </si>
  <si>
    <t>Se asignaron Pi indes (0,045 y 0,018). No se comparte presupuesto. Cada uno tiene meta PDOT diferenciada.</t>
  </si>
  <si>
    <t>AMB-07 (PTAR): Ti=0,30 · AMB-08 (Relleno): Ti=0,20 · Ambos Vi=1 pero ejecución mínima</t>
  </si>
  <si>
    <t>Mantener independencia. Verificar en POA 2025 que no se use la misma partida presupuestaria para ambos.</t>
  </si>
  <si>
    <t>🟡 Medio — Sin doble conteo actual pero requiere vigilancia en cierre fiscal</t>
  </si>
  <si>
    <t>§3.4</t>
  </si>
  <si>
    <t>⚠️ Activa</t>
  </si>
  <si>
    <t>⚡ TENSIÓN NORMATIVA</t>
  </si>
  <si>
    <t>ECO</t>
  </si>
  <si>
    <t>§3.5</t>
  </si>
  <si>
    <t>PARADOJA INTERNA</t>
  </si>
  <si>
    <t>[Meta fuera del universo SIAP-ICPI 20 metas — referencia histórica no vigente]</t>
  </si>
  <si>
    <t>Catastro Municipal — Paradoja de Completitud SIGAD vs. Realidad Territorial</t>
  </si>
  <si>
    <t>SIGAD reporta ICM=100% para Catastro. Sin embargo, la cobertura catastral real de Montecristi no alcanza el 100% del territorio cantonal.</t>
  </si>
  <si>
    <t>Vi=1 y Ti=1 en el modelo (documentación existe). El modelo SIAP-ICPI mide la existencia de evidencia documental, no la cobertura territorial.</t>
  </si>
  <si>
    <t>Catastro actualizado ($116K). ERP implementado ($636K). Documentación completa y verificable.</t>
  </si>
  <si>
    <t>Incluir nota melógica en E3-Consist: el ICPI mide fidelidad documental, no cobertura territorial. Son dimensiones distintas.</t>
  </si>
  <si>
    <t>🟠 Bajo para el ICPI — Alto para la política pública real</t>
  </si>
  <si>
    <t>§3.8</t>
  </si>
  <si>
    <t>📝 Nota</t>
  </si>
  <si>
    <t>🕳️ GAP SISTÉMICO</t>
  </si>
  <si>
    <t>Seguridad Ciudadana — Área sin proyecto PDOT explícito identificable</t>
  </si>
  <si>
    <t>La meta de seguridad ciudadana no tiene un proyecto estratégico PDOT con presupuesto y meta cuantificable explícitamente asignado.</t>
  </si>
  <si>
    <t>Vi=0 asignado por ausencia de evidencia documental forense. No implica que el GAD no tenga acciones, sino que no son trazables al ITME.</t>
  </si>
  <si>
    <t>Subprograma seguridad vial existe en PDOT pero no cubre el espectro completo de la meta (CCTV, patrullaje, etc.).</t>
  </si>
  <si>
    <t>Crear programa municipal de seguridad ciudadana con presupuesto propio. Incluir en POA 2025 como proyecto estratégico nuevo.</t>
  </si>
  <si>
    <t>🟠 Alto — Erosión del compromiso por falta de trazabilidad</t>
  </si>
  <si>
    <t>◉ ④ RESUMEN EJECUTIVO DE BRECHAS · Síndiagnóstico SIAP-ICPI GAD global del análisis · Impacto ICPI cuantificado · Ruta crítica POA 2025</t>
  </si>
  <si>
    <t>DIMENSIÓN</t>
  </si>
  <si>
    <t>DATO / VALOR</t>
  </si>
  <si>
    <t>🔴 EJE CRÍTICO</t>
  </si>
  <si>
    <t>ΔICPI POTENCIAL</t>
  </si>
  <si>
    <t>DETALLE</t>
  </si>
  <si>
    <t>RUTA CORRECTIVA</t>
  </si>
  <si>
    <t>PLAZO</t>
  </si>
  <si>
    <t>FUENTE</t>
  </si>
  <si>
    <t>REF §</t>
  </si>
  <si>
    <t>ICPI ACTUAL</t>
  </si>
  <si>
    <t>🔴 SOC es el más crítico</t>
  </si>
  <si>
    <t>Si Vi=0→1 s: +27.2 pp máx (H3-SENSI)</t>
  </si>
  <si>
    <t>Motor: Σ(Pi×Ri×Vi×Ei×Ti) ÷ Σ(Pi×Ri) · Pi-Σ=1,000 ✅ · n=20 metas auditadas</t>
  </si>
  <si>
    <t>Activar SOC-02 (mayor impacto +9,1pp) como acción prioritaria POA 2025</t>
  </si>
  <si>
    <t>Q1-2025</t>
  </si>
  <si>
    <t>Alcaldía / Dir. Planificación</t>
  </si>
  <si>
    <t>§3.7</t>
  </si>
  <si>
    <t>❆ Calculado</t>
  </si>
  <si>
    <t>BRECHA vs META PDOT 2027</t>
  </si>
  <si>
    <t>PDOT 2027</t>
  </si>
  <si>
    <t>Brecha activa el UAP — Umbral de Alerta Programática</t>
  </si>
  <si>
    <t>Documentar brecha en SIAP-ICPI § Resultados. Comunicar a Dir. Planificación para POA 2026.</t>
  </si>
  <si>
    <t>Q2-2025</t>
  </si>
  <si>
    <t>Investigador / Dir. Planificación</t>
  </si>
  <si>
    <t>E2-RESUL · F-BI</t>
  </si>
  <si>
    <t>§4.1</t>
  </si>
  <si>
    <t>❆ Confirmada</t>
  </si>
  <si>
    <t>BRECHAS Vi=0</t>
  </si>
  <si>
    <t>5 metas (25%)</t>
  </si>
  <si>
    <t>SOC: 3 · TER: 1 · INS: 1</t>
  </si>
  <si>
    <t>Δ total: +9,7 pp</t>
  </si>
  <si>
    <t>Metas sin ningún soporte documental forense verificable en SERCOP/LOTAIP/RDC</t>
  </si>
  <si>
    <t>Gestionar documentación o reclasificar como Gestión por Ocurrencia en versión final</t>
  </si>
  <si>
    <t>Dir. Financiera · Patronato · TICS</t>
  </si>
  <si>
    <t>D-MAD · G-MEC · P-VERIF</t>
  </si>
  <si>
    <t>§3.1</t>
  </si>
  <si>
    <t>BRECHAS Ti&lt;0,70</t>
  </si>
  <si>
    <t>6 metas (30%)</t>
  </si>
  <si>
    <t>TER: 3 · AMB: 2 · INS: 1</t>
  </si>
  <si>
    <t>Δ total: +8,4 pp</t>
  </si>
  <si>
    <t>Metas con evidencia parcial. Ejecución existe pero inferior al 70% del compromiso</t>
  </si>
  <si>
    <t>Activar partidas POA 2025 · BDE · MAATE · MIES según cada caso. Ver Sección ②</t>
  </si>
  <si>
    <t>Dir. Obras · Patronato · Planificación</t>
  </si>
  <si>
    <t>D-MAD · L-PDOT · M-POA</t>
  </si>
  <si>
    <t>Activar</t>
  </si>
  <si>
    <t>📝 NOTA MELÓGICA — Brecha = ICPI_actual − Meta_2027 (pp) · Δ_ICPI(Vi→1) = impacto si meta activa · Priorización por impacto potencial §3.8 · Vi∈{0,1} fuente: D-MAD!X · Ti∈[0,1] fuente: D-MAD!T · SIAP-ICPI §3.7–3.8</t>
  </si>
  <si>
    <t>📋 MARCO LEGAL — COOTAD Art.234 · COPYFP Art.292 · PDOT Plan Bicentenario 2023–2027 · CININ Silo 4 (Brecha PDOT) · Res.SNPD-2023</t>
  </si>
  <si>
    <t>🔷 ESTRUCTURA ORGÁNICA · 19 Direcciones Municipales · Ci por dirección · Vinculación con n=20 metas PDOT</t>
  </si>
  <si>
    <t>COD. DIR.</t>
  </si>
  <si>
    <t>UNIDAD ORGANIZACIONAL</t>
  </si>
  <si>
    <t>PROCESO GOBERNANTE</t>
  </si>
  <si>
    <t>PROCESO AGREGADOR DE VALOR</t>
  </si>
  <si>
    <t>BASE LEGAL COOTAD</t>
  </si>
  <si>
    <t>BASE LEGAL ESTATUTO ORG.</t>
  </si>
  <si>
    <t>MISSIONS / ATRIBUCIONES PRINCIPALES</t>
  </si>
  <si>
    <t>N° METAS PDOT ASIGNADAS</t>
  </si>
  <si>
    <t>Ci (Control Responsab.)</t>
  </si>
  <si>
    <t>LOSEP GRADO</t>
  </si>
  <si>
    <t>PRESUPUESTO REF. 2024 ($USD)</t>
  </si>
  <si>
    <t>E-MAIL INSTIT.</t>
  </si>
  <si>
    <t>ALC</t>
  </si>
  <si>
    <t>Alcaldía Municipal</t>
  </si>
  <si>
    <t>Ejecutivo</t>
  </si>
  <si>
    <t>✓</t>
  </si>
  <si>
    <t>–</t>
  </si>
  <si>
    <t>Art. 60 COOTAD</t>
  </si>
  <si>
    <t>NJS-11</t>
  </si>
  <si>
    <t>alcalde@montecristi.gob.ec</t>
  </si>
  <si>
    <t>CON</t>
  </si>
  <si>
    <t>Concejo Municipal</t>
  </si>
  <si>
    <t>Legislativo</t>
  </si>
  <si>
    <t>Art. 57 COOTAD</t>
  </si>
  <si>
    <t>concejo@montecristi.gob.ec</t>
  </si>
  <si>
    <t>AUD</t>
  </si>
  <si>
    <t>Auditoría Interna</t>
  </si>
  <si>
    <t>Control</t>
  </si>
  <si>
    <t>Art. 212 CRE / CGE</t>
  </si>
  <si>
    <t>SP7</t>
  </si>
  <si>
    <t>auditoria@montecristi.gob.ec</t>
  </si>
  <si>
    <t>SEC</t>
  </si>
  <si>
    <t>Secretaría General</t>
  </si>
  <si>
    <t>Asesoría</t>
  </si>
  <si>
    <t>Art. 338 COOTAD</t>
  </si>
  <si>
    <t>SP5</t>
  </si>
  <si>
    <t>secretaria@montecristi.gob.ec</t>
  </si>
  <si>
    <t>DPD</t>
  </si>
  <si>
    <t>Dir. Planificación y Desarrollo Territorial</t>
  </si>
  <si>
    <t>GAD Directo</t>
  </si>
  <si>
    <t>Art. 55(a)(f) COOTAD</t>
  </si>
  <si>
    <t>SP6</t>
  </si>
  <si>
    <t>DOP</t>
  </si>
  <si>
    <t>Dir. Obras Públicas e Infraestructura</t>
  </si>
  <si>
    <t>Art. 55(d) COOTAD</t>
  </si>
  <si>
    <t>DAS</t>
  </si>
  <si>
    <t>Dir. Agua Potable, Alcantarillado y Saneamiento</t>
  </si>
  <si>
    <t>DSC</t>
  </si>
  <si>
    <t>Dir. Desarrollo Social y Cultural</t>
  </si>
  <si>
    <t>DGA</t>
  </si>
  <si>
    <t>Art. 54(k) COOTAD</t>
  </si>
  <si>
    <t>DTI</t>
  </si>
  <si>
    <t>Dir. Tecnología e Información (TICs)</t>
  </si>
  <si>
    <t>DAC</t>
  </si>
  <si>
    <t>Dir. Avaluós y Catastros</t>
  </si>
  <si>
    <t>Art. 55(g) COOTAD</t>
  </si>
  <si>
    <t>DAT</t>
  </si>
  <si>
    <t>Dir. Administración y Talento Humano</t>
  </si>
  <si>
    <t>Art. 228 CRE / LOSEP</t>
  </si>
  <si>
    <t>talento@montecristi.gob.ec</t>
  </si>
  <si>
    <t>DFI</t>
  </si>
  <si>
    <t>Dirección Financiera</t>
  </si>
  <si>
    <t>Art. 340 COOTAD / COPFP</t>
  </si>
  <si>
    <t>financiero@montecristi.gob.ec</t>
  </si>
  <si>
    <t>PAT</t>
  </si>
  <si>
    <t>Adscrito</t>
  </si>
  <si>
    <t>Art. 388 COOTAD</t>
  </si>
  <si>
    <t>EPA</t>
  </si>
  <si>
    <t>Empresa Pública</t>
  </si>
  <si>
    <t>Art. 280 COOTAD / LOEP</t>
  </si>
  <si>
    <t>UGS</t>
  </si>
  <si>
    <t>Unidad Gestión Sanitaria / MSP</t>
  </si>
  <si>
    <t>Convenio</t>
  </si>
  <si>
    <t>Servicios médicos comunitarios. Brigadas salud. Articulación Red Salud Zona 4 IESS/MSP.</t>
  </si>
  <si>
    <t>SP4</t>
  </si>
  <si>
    <t>DSP</t>
  </si>
  <si>
    <t>Dir. Servicios Públicos y Gestión</t>
  </si>
  <si>
    <t>UTU</t>
  </si>
  <si>
    <t>Unidad GAD</t>
  </si>
  <si>
    <t>■ SECCIÓN B · CRUCE METAS PDOT ↔ DIRECCIÓN RESPONSABLE ↔ Ci · 20 metas · Fuente: C-MAO + D-MAD · Ci verificados vs. X-ORGÁNICO Sección A</t>
  </si>
  <si>
    <t>Unidad de Turismo</t>
  </si>
  <si>
    <t>DIRECCIÓN RESPONSABLE (C-MAO col.C)</t>
  </si>
  <si>
    <t>ART. ESTATUTO ORGÁNICO</t>
  </si>
  <si>
    <t>TIPO RESPONSABILIDAD</t>
  </si>
  <si>
    <t>Ci (C-MAO)</t>
  </si>
  <si>
    <t>Ci X-ORG (Secc.A)</t>
  </si>
  <si>
    <t>COHERENCIA C-MAO vs X-ORG</t>
  </si>
  <si>
    <t>ESTADO VALIDACIÓN</t>
  </si>
  <si>
    <t>OBSERVACIÓN COMPATIBILIDAD</t>
  </si>
  <si>
    <t>✅ COHERENTE</t>
  </si>
  <si>
    <t>Patronato — Ci=0.9 por autonomía administrativa</t>
  </si>
  <si>
    <t>Σ TOTALES</t>
  </si>
  <si>
    <t>🔷 ALINEACIÓN ODS · n=20 metas PDOT · ODS prioritarios por eje · Contribución GAD Montecristi</t>
  </si>
  <si>
    <t>🔷 SECCIÓN A — TRIANGULACIÓN ORGÁNICA: ESTATUTO → POA → PAC → CÉDULA PRESUPUESTARIA · §3.4 SIAP-ICPI · Base legal: COOTAD Art. 339 · LOSEP Art. 76</t>
  </si>
  <si>
    <t>DIRECCIÓN RESPONSABLE (Estatuto Orgánico)</t>
  </si>
  <si>
    <t>POA ¿Meta Planificada? (1/0 — entrada auditada)</t>
  </si>
  <si>
    <t>PAC ¿Contratado? (1/0 — entrada auditada)</t>
  </si>
  <si>
    <t>CÉDULA Ti avance (0-1)</t>
  </si>
  <si>
    <t>Vi Evidencia (0/1)</t>
  </si>
  <si>
    <t>Ri Relevancia</t>
  </si>
  <si>
    <t>Pi Peso presup.</t>
  </si>
  <si>
    <t>IED INDIVIDUAL (Ci×POA×PAC×Ti×Vi×100)</t>
  </si>
  <si>
    <t>NIVEL DESEMPEÑO</t>
  </si>
  <si>
    <t>CAUSAL DE INCUMPLIMIENTO (deslinde automático)</t>
  </si>
  <si>
    <t>ACCIÓN ADMINISTRATIVA</t>
  </si>
  <si>
    <t>BASE LEGAL APLICABLE</t>
  </si>
  <si>
    <t>Plan acción</t>
  </si>
  <si>
    <t>Aceleración Q3-Q4 por cierre PAC Acueducto CAF</t>
  </si>
  <si>
    <t>Ejecución estable — obra alcantarillado activa</t>
  </si>
  <si>
    <t>Sí</t>
  </si>
  <si>
    <t>Sin movimiento — Vi=0 el período 🔴</t>
  </si>
  <si>
    <t>Ejecución gradual estudios previos terminal</t>
  </si>
  <si>
    <t>Paralización total — sin acciones ejecutadas 🔴</t>
  </si>
  <si>
    <t>100% cumplimiento desde Q1 — reconocimiento</t>
  </si>
  <si>
    <t>Mantenimiento vial continuo — maquinaria activa</t>
  </si>
  <si>
    <t>Sin contratación PAC — solo insumos Patronato 🔴</t>
  </si>
  <si>
    <t>Avance lento</t>
  </si>
  <si>
    <t>Fase mantenimiento → construcción Pque Pampas</t>
  </si>
  <si>
    <t>Sin gestión — convenio MIES 🔴</t>
  </si>
  <si>
    <t>EP operando sin ampliación infraestructura</t>
  </si>
  <si>
    <t>Maquinaria adquirida Q1 — ejecución estable</t>
  </si>
  <si>
    <t>CCTV sin registro SERCOP — Vi=0 🔴</t>
  </si>
  <si>
    <t>Implementación progresiva TIC + WiFi público</t>
  </si>
  <si>
    <t>Catastro actualizado Q4 — sin PAC formal</t>
  </si>
  <si>
    <t>Solo esterilización — sin proyecto ecoturístico</t>
  </si>
  <si>
    <t>Fase protección costera — convenio MINTUR pend.</t>
  </si>
  <si>
    <t>Señalética y embellecimiento completados 100%</t>
  </si>
  <si>
    <t>Reservorios s — solo estudios básicos</t>
  </si>
  <si>
    <t>🏛 SECCIÓN B — RANKING DE DESEMPEÑO POR DIRECCIÓN ORGÁNICA · IED Agregado = AVERAGEIF(metas_dir) · Fórmula IED continua: Ci×POA×PAC×Ti×Vi×100 · Base legal: LOSEP Art.76-80 · COOTAD Art.338-339 · COA Art.196</t>
  </si>
  <si>
    <t>DIRECCIÓN / ENTIDAD</t>
  </si>
  <si>
    <t>Nº METAS</t>
  </si>
  <si>
    <t>PRESUP. Pi TOTAL</t>
  </si>
  <si>
    <t>IED PROMEDIO (0-100)</t>
  </si>
  <si>
    <t>METAS Vi=0</t>
  </si>
  <si>
    <t>VEREDICTO ADMINISTRATIVO (LOSEP + COOTAD)</t>
  </si>
  <si>
    <t>ACCIÓN LEGAL</t>
  </si>
  <si>
    <t>🔷 SECCIÓN C — NOTAS MELÓGICAS · POA/PAC como entradas auditadas · IED = Ci×POA×PAC×Ti×Vi×100 ·</t>
  </si>
  <si>
    <t>FUENTE DE DATOS</t>
  </si>
  <si>
    <t>ESTADO ACTUAL</t>
  </si>
  <si>
    <t>ESTADO IDEAL (+)</t>
  </si>
  <si>
    <t>POA (col D)</t>
  </si>
  <si>
    <t>Entrada manual auditada (1=Planificado, 0=No planificado)</t>
  </si>
  <si>
    <t>Vinculado a D-MAD col Q (S2 POA planificado) — actualizar cuando M-POA tenga datos reales</t>
  </si>
  <si>
    <t>COOTAD Art.234 / COPFP Art.87</t>
  </si>
  <si>
    <t>Reconocimiento formal + registro en expediente positivo</t>
  </si>
  <si>
    <t>LOSEP Art. 78</t>
  </si>
  <si>
    <t>Inmediato</t>
  </si>
  <si>
    <t>Alcalde / DATH</t>
  </si>
  <si>
    <t>PAC (col E)</t>
  </si>
  <si>
    <t>Entrada manual auditada (1=Contratado, 0=Sin contratación)</t>
  </si>
  <si>
    <t>Integrado con Portal de Compras Públicas (SERCOP) para validación automática de contratación — actualización mediante D-MAD col S (S3 PAC)</t>
  </si>
  <si>
    <t>LOSNCP Art.22 / COOTAD Art.234</t>
  </si>
  <si>
    <t>Mantener ritmo. Sugerir mejoras de registro documental</t>
  </si>
  <si>
    <t>LOSEP Art. 76-77</t>
  </si>
  <si>
    <t>POA siguiente</t>
  </si>
  <si>
    <t>Director / DATH</t>
  </si>
  <si>
    <t>Ti (col F)</t>
  </si>
  <si>
    <t>Valor D-MAD!H = % ejecución cédula presupuestaria auditada 0-1</t>
  </si>
  <si>
    <t>D-MAD col H (Ti = S4 cédula % devengado) — automático desde eSIGEF via L-CEDULAS</t>
  </si>
  <si>
    <t>COPFP Art.119</t>
  </si>
  <si>
    <t>Plan de Mejora formal 60 días. Visita de seguimiento mensual POA</t>
  </si>
  <si>
    <t>LOSEP Art. 80 + COOTAD Art. 338</t>
  </si>
  <si>
    <t>60 días</t>
  </si>
  <si>
    <t>Alcalde + Dir. Planificación</t>
  </si>
  <si>
    <t>🔶 SECCIÓN D — RESUMEN EJECUTIVO F-EDS · Semáforo consolidado LOSEP · SIAP-ICPI</t>
  </si>
  <si>
    <t>30 días</t>
  </si>
  <si>
    <t>N° DIRS.</t>
  </si>
  <si>
    <t>% TOTAL</t>
  </si>
  <si>
    <t>DIRS. AFECTADAS</t>
  </si>
  <si>
    <t>Alcalde + Asesor Jurídico + CGE</t>
  </si>
  <si>
    <t>Felicitación pública + registro SIITH</t>
  </si>
  <si>
    <t>LOSEP Art.78</t>
  </si>
  <si>
    <t>Reconocimiento escrito</t>
  </si>
  <si>
    <t>Sin acción correctiva</t>
  </si>
  <si>
    <t>LOSEP Art.76</t>
  </si>
  <si>
    <t>Plan mejora 90 días + SIITH</t>
  </si>
  <si>
    <t>🔴 INACEPTABLE</t>
  </si>
  <si>
    <t>Sumario admin. 48h + SIITH urgente</t>
  </si>
  <si>
    <t>12 direcciones evaluadas</t>
  </si>
  <si>
    <t>Ver T-SEMESTRAL Sección B para acciones por corte</t>
  </si>
  <si>
    <t>LOSEP Arts.76-80</t>
  </si>
  <si>
    <t>🔷 EVALUACIÓN POR DIRECCIÓN · n=20 metas · 19 Direcciones · Vi cadena trazable · Alertas por dirección</t>
  </si>
  <si>
    <t>Dir. Agua Potable y Saneamiento</t>
  </si>
  <si>
    <t>Cobertura Agua Potable - Acueducto CAF 30.000m3/dia</t>
  </si>
  <si>
    <t>A</t>
  </si>
  <si>
    <t>Agua y Saneamiento / Ampliacion redes agua potable PDOT pag.407</t>
  </si>
  <si>
    <t>Reservorios de Agua / Captacion Rural</t>
  </si>
  <si>
    <t>Agua y Saneamiento / Nueva infraestructura captacion PDOT pag.407</t>
  </si>
  <si>
    <t>Dir. Obras Publicas</t>
  </si>
  <si>
    <t>Alcantarillado Sanitario BEI-PROGAPSA Fase I</t>
  </si>
  <si>
    <t>Agua y Saneamiento / Colector Principal + PTAR PDOT pag.407</t>
  </si>
  <si>
    <t>Bacheo y Pavimentacion Vias Urbanas</t>
  </si>
  <si>
    <t>Vialidad / Mantenimiento vias urbanas PDOT $10.89M</t>
  </si>
  <si>
    <t>Parques y Areas Verdes (Pampas; Colon; Red Verde)</t>
  </si>
  <si>
    <t>Areas Verdes / Parque Las Pampas; Colon PDOT pag.404</t>
  </si>
  <si>
    <t>Equipo Caminero / Maquinaria Pesada PAC 2024</t>
  </si>
  <si>
    <t>Vialidad / Maquinaria pesada PAC 2024 $600K PDOT</t>
  </si>
  <si>
    <t>Embellecimiento y Senaletica Urbana</t>
  </si>
  <si>
    <t>Vialidad / Senalizacion y Control Vial PDOT pag.437</t>
  </si>
  <si>
    <t>Dir. Planificacion y Desarrollo</t>
  </si>
  <si>
    <t>Terminal Terrestre Ciudad Bicentenario</t>
  </si>
  <si>
    <t>B</t>
  </si>
  <si>
    <t>Equipamientos / Terminal Terrestre PDOT pag.408 - Sin PAC Esc.B</t>
  </si>
  <si>
    <t>Dir. Servicios Publicos y Gestion</t>
  </si>
  <si>
    <t>Camal Municipal Nuevo (Desprioritizado)</t>
  </si>
  <si>
    <t>D</t>
  </si>
  <si>
    <t>Equipamientos / Gestion Camal PDOT - Sin POA ni PAC Esc.D</t>
  </si>
  <si>
    <t>Equipamiento Geriatrico CDBV Repotenciado</t>
  </si>
  <si>
    <t>Derechos en Accion / Centros Apoyo grupos vulnerables PDOT pag.382</t>
  </si>
  <si>
    <t>Centro de Salud Tipo C (gestion convenio MSP)</t>
  </si>
  <si>
    <t>Equipamientos / Centro Salud Tipo C PDOT pag.375 - Restriccion exogena</t>
  </si>
  <si>
    <t>Unidad Medica Movil (sin OC SERCOP)</t>
  </si>
  <si>
    <t>Derechos / Clinica movil PDOT pag.382 - Sin proceso SERCOP Esc.B</t>
  </si>
  <si>
    <t>Guarderia Nocturna CIBV (sin POA ni convenio)</t>
  </si>
  <si>
    <t>Derechos / Clubes Ninos PDOT pag.382 - Sin POA sin convenio Esc.D</t>
  </si>
  <si>
    <t>Dir. Gestion Ambiental</t>
  </si>
  <si>
    <t>Planta Tratamiento Aguas Residuales PTAR</t>
  </si>
  <si>
    <t>Agua y Saneamiento / PTAR Montecristi y Anibal San Andres PDOT pag.407</t>
  </si>
  <si>
    <t>Planta Tratamiento Desechos / Relleno Sanitario</t>
  </si>
  <si>
    <t>Aseo e Higiene / Nuevo relleno sanitario PDOT pag.406 $748K</t>
  </si>
  <si>
    <t>Dir. Tecnologia e Informacion (DTI)</t>
  </si>
  <si>
    <t>Central Monitoreo CCTV (sin proceso SERCOP)</t>
  </si>
  <si>
    <t>Seguridad Vial / Control vial PDOT pag.437 - Sin PAC SERCOP Esc.B</t>
  </si>
  <si>
    <t>Digitalizacion Tramites / ERP / WiFi Publico</t>
  </si>
  <si>
    <t>Fortalecimiento Inst. / Transformacion digital PDOT pag.389</t>
  </si>
  <si>
    <t>Dir. Avaluos y Catastros</t>
  </si>
  <si>
    <t>Actualizacion Catastro Digital Integrado</t>
  </si>
  <si>
    <t>Fortalecimiento Inst. / Sistema Catastral PDOT pag.389</t>
  </si>
  <si>
    <t>Unidad Gestion Sanitaria / MSP</t>
  </si>
  <si>
    <t>Albergue Fauna Urbana / Salud Comunitaria</t>
  </si>
  <si>
    <t>Areas Verdes / Manglar Vivo componente fauna PDOT pag.387</t>
  </si>
  <si>
    <t>Proyecto Ecotristico Playa San Jose / Manglar Vivo</t>
  </si>
  <si>
    <t>Turismo / Manglar Vivo Playa San Jose PDOT pag.387/399</t>
  </si>
  <si>
    <t>SECCION B - TABLERO IED CONSOLIDADO POR DIRECCION · Semaforo LOSEP · Deslinde Sec.3.8.4 · Todos los datos del PDOT Plan Bicentenario 2023-2027</t>
  </si>
  <si>
    <t>COD.</t>
  </si>
  <si>
    <t>DIRECCION RESPONSABLE</t>
  </si>
  <si>
    <t>N METAS</t>
  </si>
  <si>
    <t>Vi_cad=1</t>
  </si>
  <si>
    <t>Vi_cad=0</t>
  </si>
  <si>
    <t>S4 PROM</t>
  </si>
  <si>
    <t>IED DIR (%)</t>
  </si>
  <si>
    <t>PERÍODO EVALUACIÓN</t>
  </si>
  <si>
    <t>DESLINDE §3.8.4</t>
  </si>
  <si>
    <t>PDOT SISTEMA</t>
  </si>
  <si>
    <t>PRESUP. PDOT REF</t>
  </si>
  <si>
    <t>OBSERVACION CRITICA</t>
  </si>
  <si>
    <t>Semestral (Jun) + Anual (Dic) LOSEP Art.77</t>
  </si>
  <si>
    <t>Esc.A: Gestion Eficaz. SOC-03 CDBV plena ejecucion.</t>
  </si>
  <si>
    <t>BAJO</t>
  </si>
  <si>
    <t>Soc.Cultural</t>
  </si>
  <si>
    <t>$0 MIES</t>
  </si>
  <si>
    <t>SOC-03: Ti=1.0 Ri=1.5 modelo replicable para otras dirs.</t>
  </si>
  <si>
    <t>Sin acción — Evaluación aprobada</t>
  </si>
  <si>
    <t>Esc.A: TER-14 y TER-15 cadena completa.</t>
  </si>
  <si>
    <t>As.Humanos</t>
  </si>
  <si>
    <t>$45.6M PDOT</t>
  </si>
  <si>
    <t>TER-15 reservorios Ti=0.25 priorizar cronograma.</t>
  </si>
  <si>
    <t>Esc.A: 5/5 metas Vi_cad=1 cadena PDOT completa.</t>
  </si>
  <si>
    <t>$10.89M+$1.27M</t>
  </si>
  <si>
    <t>TER-03 BEI critico: Ti=0.75 requiere seguimiento.</t>
  </si>
  <si>
    <t>Sumario admin. LOSEP Art.80 — 48h</t>
  </si>
  <si>
    <t>Esc.A: PAC ejecutado, Ti=40% parcial. Cronograma PTAR.</t>
  </si>
  <si>
    <t>F.Ambiental</t>
  </si>
  <si>
    <t>$0 BEI</t>
  </si>
  <si>
    <t>AMB-07 PTAR: Fase construccion. Plazo 2025.</t>
  </si>
  <si>
    <t>Esc.A: INS-05 Ti=1.0. IED=50% por Ri=0.5 prioridad media.</t>
  </si>
  <si>
    <t>Pol.Institucional</t>
  </si>
  <si>
    <t>INS-05 Catastro completo. Ampliar a predios rurales.</t>
  </si>
  <si>
    <t>Esc.A: cadena ok pero Ti=30% insuficiente. Relleno urgente.</t>
  </si>
  <si>
    <t>$748K PDOT</t>
  </si>
  <si>
    <t>AMB-08: MAATE vence plazo celda emergente. Urgente.</t>
  </si>
  <si>
    <t>Dir. Tecnologia e Informacion</t>
  </si>
  <si>
    <t>Esc.B: SOC-15 sin OC SERCOP. INS-03 ok Ti=0.70.</t>
  </si>
  <si>
    <t>CRITICO</t>
  </si>
  <si>
    <t>$117.9K PDOT</t>
  </si>
  <si>
    <t>SOC-15 CCTV: Ordenanza aprobada pero sin ejecucion SERCOP.</t>
  </si>
  <si>
    <t>Esc.B: TER-09 Terminal POA=1 PAC=0. Inaccion directiva.</t>
  </si>
  <si>
    <t>$1.69M bloque</t>
  </si>
  <si>
    <t>TER-09: Estudios listos. No hay proceso SERCOP 2024.</t>
  </si>
  <si>
    <t>Esc.B+D: SOC-02 MSP Esc.B. SOC-04 CIBV Esc.D. Critico.</t>
  </si>
  <si>
    <t>$1.69M+$0</t>
  </si>
  <si>
    <t>SOC-04: sin POA ni convenio MIES. Negligencia planif.</t>
  </si>
  <si>
    <t>Unidad Gestion Sanitaria/MSP</t>
  </si>
  <si>
    <t>Esc.A: cadena ok. Ti=35% Ri=0.5 limita IED.</t>
  </si>
  <si>
    <t>$0 convenio</t>
  </si>
  <si>
    <t>SOC-08: Fauna urbana. Bajo Ri por ser prioridad media PDOT.</t>
  </si>
  <si>
    <t>Esc.A: cadena ok. Ti=30% Ri=0.5. Convenio MINTUR .</t>
  </si>
  <si>
    <t>Econ.Productivo</t>
  </si>
  <si>
    <t>$0 MINTUR</t>
  </si>
  <si>
    <t>ECO-12 Manglar Vivo: Ri=0.5 prioridad media PDOT.</t>
  </si>
  <si>
    <t>Esc.D: TER-10 Camal sin POA sin PAC sin ejecucion.</t>
  </si>
  <si>
    <t>$1.69M no asig.</t>
  </si>
  <si>
    <t>TER-10: No ingresado POA 2024. Negligencia planificacion.</t>
  </si>
  <si>
    <t>🔷 ESCALA UNIFICADA LOSEP (Fuente: PARAMS B64:B68) · SIAP-ICPI · Norma Técnica MDT Evaluación Servidores Públicos · LOSEP Art.76-80</t>
  </si>
  <si>
    <t>IED ≥ 96%</t>
  </si>
  <si>
    <t>Felicitación pública + acción de personal + registro SIITH</t>
  </si>
  <si>
    <t>IED 85-95.99%</t>
  </si>
  <si>
    <t>Reconocimiento escrito + incremento remunerativo + SIITH</t>
  </si>
  <si>
    <t>IED 70-84.99%</t>
  </si>
  <si>
    <t>Sin acción correctiva — Evaluación aprobada</t>
  </si>
  <si>
    <t>IED 60-69.99%</t>
  </si>
  <si>
    <t>Plan mejora obligatorio 90 días + seguimiento mensual Dir. RRHH</t>
  </si>
  <si>
    <t>IED &lt; 60%</t>
  </si>
  <si>
    <t>Sumario administrativo LOSEP Art.80 + Notificación Alcaldía 48h</t>
  </si>
  <si>
    <t>IED &gt; 100%</t>
  </si>
  <si>
    <t>⭐ EXCELENTE*</t>
  </si>
  <si>
    <t>⭐ Ti supera meta PDOT — ejecución extra. Clasifica como EXCELENTE.</t>
  </si>
  <si>
    <t>SIAP-ICPI §3.8</t>
  </si>
  <si>
    <t>🔷 INFORME SEMESTRAL · n=20 metas · S1 / S2 2025 · Avance acumulado vs meta anual PDOT</t>
  </si>
  <si>
    <t>CORTE</t>
  </si>
  <si>
    <t>MES EVALUACIÓN</t>
  </si>
  <si>
    <t>PLAZO NOTIF. MDT</t>
  </si>
  <si>
    <t>DATOS FUENTE</t>
  </si>
  <si>
    <t>🔴 ACCIÓN SI INACEPTABLE</t>
  </si>
  <si>
    <t>REGISTRO SIITH</t>
  </si>
  <si>
    <t>ESCALA APLICABLE</t>
  </si>
  <si>
    <t>S1 — SEMESTRAL</t>
  </si>
  <si>
    <t>Enero–Junio del año en curso</t>
  </si>
  <si>
    <t>Julio (15 días hábiles)</t>
  </si>
  <si>
    <t>31 julio — informe Dir. RRHH al MDT</t>
  </si>
  <si>
    <t>D-MAD S4 al 30/jun · L-CEDULAS · Y-EVAL-DIR (avance)</t>
  </si>
  <si>
    <t>Notificación escrita + Plan mejora 30 días · No sumario aún</t>
  </si>
  <si>
    <t>Sí — calificación parcial</t>
  </si>
  <si>
    <t>LOSEP 5 niveles (PARAMS B64:B68)</t>
  </si>
  <si>
    <t>S2 — ANUAL</t>
  </si>
  <si>
    <t>Enero–Diciembre del año en curso</t>
  </si>
  <si>
    <t>Enero siguiente (15 días hábiles)</t>
  </si>
  <si>
    <t>31 enero — informe definitivo MDT</t>
  </si>
  <si>
    <t>D-MAD S4 cierre año · L-CEDULAS cierre · Y-EVAL-DIR final</t>
  </si>
  <si>
    <t>🔴 INACEPTABLE → Sumario LOSEP Art.80 en 48h + SIITH</t>
  </si>
  <si>
    <t>Sí — calificación definitiva</t>
  </si>
  <si>
    <t>S1-PDOT</t>
  </si>
  <si>
    <t>Bianual — avance PDOT 2023-2025</t>
  </si>
  <si>
    <t>Julio 2025 (primera evaluación)</t>
  </si>
  <si>
    <t>SNP/SIGAD plazo PDOT</t>
  </si>
  <si>
    <t>SIGAD ICM S1 + D-MAD estado metas</t>
  </si>
  <si>
    <t>Informe a Concejo Municipal + plan remedial POA</t>
  </si>
  <si>
    <t>No (PDOT)</t>
  </si>
  <si>
    <t>ICPI vs ICM (semáforo CININ)</t>
  </si>
  <si>
    <t>S2-PDOT</t>
  </si>
  <si>
    <t>Quinquenal — cierre PDOT 2027</t>
  </si>
  <si>
    <t>Enero 2028</t>
  </si>
  <si>
    <t>SNP/SIGAD plazo cierre</t>
  </si>
  <si>
    <t>SIGAD ICM final + Liquidación eSIGEF</t>
  </si>
  <si>
    <t>Informe gestión completo + RDC final CPCCS</t>
  </si>
  <si>
    <t>ICPI final vs ICM cierre</t>
  </si>
  <si>
    <t>🔶 SECCIÓN B — CUADRO DE EVALUACIÓN SEMESTRAL POR DIRECCIÓN · Alimentado desde Y-EVAL-DIR + D-MAD · Actualizar D-MAD S4 con datos eSIGEF del corte para recalcular automáticamente</t>
  </si>
  <si>
    <t>COD.DIR.</t>
  </si>
  <si>
    <t>IED_DIR (% corte)</t>
  </si>
  <si>
    <t>CALIFIC. S1 JUN</t>
  </si>
  <si>
    <t>CALIFIC. S2 DIC (ANUAL)</t>
  </si>
  <si>
    <t>PLAZO ACCIÓN</t>
  </si>
  <si>
    <t>RESPONSABLE ACCIÓN</t>
  </si>
  <si>
    <t>ESTADO SIITH</t>
  </si>
  <si>
    <t>N°METAS</t>
  </si>
  <si>
    <t>METAS Vi=1</t>
  </si>
  <si>
    <t>OBSERVACIONES</t>
  </si>
  <si>
    <t>Felicitación pública — Art.78 LOSEP</t>
  </si>
  <si>
    <t>🟢 carga</t>
  </si>
  <si>
    <t>LOSEP Art.76-77</t>
  </si>
  <si>
    <t>Sumario admin. LOSEP Art.80</t>
  </si>
  <si>
    <t>48 horas desde corte</t>
  </si>
  <si>
    <t>Alcaldía + DAJ + Dir. RRHH</t>
  </si>
  <si>
    <t>🔴 Urgente — cargar SIITH</t>
  </si>
  <si>
    <t>Dir. Avalúos y Catastros</t>
  </si>
  <si>
    <t>Dir. Tecnología e Información</t>
  </si>
  <si>
    <t>Dir. Planificación y Desarrollo</t>
  </si>
  <si>
    <t>Unidad Gestión Sanitaria/MSP</t>
  </si>
  <si>
    <t>⬜ datos S1</t>
  </si>
  <si>
    <t>🔶 SECCIÓN C — PROTOCOLO DESLINDE ADMINISTRATIVO · Flujo actos LOSEP + SIITH · Base: LOSEP Arts.76-80 + COA Arts.196-211 + NT MDT Evaluación</t>
  </si>
  <si>
    <t>PLAZO NOTIF.</t>
  </si>
  <si>
    <t>PASO 1</t>
  </si>
  <si>
    <t>PASO 2</t>
  </si>
  <si>
    <t>PASO 3</t>
  </si>
  <si>
    <t>PASO 4</t>
  </si>
  <si>
    <t>PASO 5</t>
  </si>
  <si>
    <t>DOC. GENERADO</t>
  </si>
  <si>
    <t>15 días hábiles</t>
  </si>
  <si>
    <t>Dir. RRHH elabora informe IED≥96%</t>
  </si>
  <si>
    <t>Dir. Planificación certifica metas PDOT cumplidas</t>
  </si>
  <si>
    <t>Alcaldía emite felicitación pública (Resolución)</t>
  </si>
  <si>
    <t>RRHH registra en expediente y acción de personal</t>
  </si>
  <si>
    <t>Resolución Alcaldía + Acción Personal</t>
  </si>
  <si>
    <t>Sí — calificación + acción personal</t>
  </si>
  <si>
    <t>Dir. RRHH emite reconocimiento escrito</t>
  </si>
  <si>
    <t>Firma Director afectado (receptor)</t>
  </si>
  <si>
    <t>Copia a expediente RRHH</t>
  </si>
  <si>
    <t>Sí — calificación</t>
  </si>
  <si>
    <t>Dir. RRHH registra calificación aprobada</t>
  </si>
  <si>
    <t>Notificación al servidor (correo institucional)</t>
  </si>
  <si>
    <t>Registro calificación</t>
  </si>
  <si>
    <t>Dir. RRHH convoca al Director para plan mejora</t>
  </si>
  <si>
    <t>Director formula Plan Mejora 90 días + cronograma</t>
  </si>
  <si>
    <t>Alcaldía aprueba el Plan Mejora</t>
  </si>
  <si>
    <t>Seguimiento mensual RRHH</t>
  </si>
  <si>
    <t>Reevaluación al día 90</t>
  </si>
  <si>
    <t>Memorando + Plan Mejora + Acta seguimiento</t>
  </si>
  <si>
    <t>Sí — calificación + plan mejora</t>
  </si>
  <si>
    <t>Dir. RRHH notifica a Dir. Planificación (D+0)</t>
  </si>
  <si>
    <t>Dir. Planificación eleva a Alcaldía en 24h (D+1)</t>
  </si>
  <si>
    <t>Alcaldía ordena inicio sumario LOSEP Art.80 (D+2)</t>
  </si>
  <si>
    <t>DAJ designa Investigador + notifica al sumariado</t>
  </si>
  <si>
    <t>Proceso sumario 30 días + resolución</t>
  </si>
  <si>
    <t>LOSEP Art.80 + COA Art.196-211</t>
  </si>
  <si>
    <t>Resolución inicio sumario + Acto sumario + Resolución sanción</t>
  </si>
  <si>
    <t>✅ Sí — urgente · calificación + sumario activo</t>
  </si>
  <si>
    <t>🔶 SECCIÓN D — ESTADÍSTICAS CICLO EVALUACIÓN ACTUAL · Resumen automático para informe MDT</t>
  </si>
  <si>
    <t>Total direcciones evaluadas</t>
  </si>
  <si>
    <t>Corte anual 2023-2024</t>
  </si>
  <si>
    <t>⭐ EXCELENTE (IED≥96%)</t>
  </si>
  <si>
    <t>DSC=150% → Gestión excepcional meta SOC-03</t>
  </si>
  <si>
    <t>✅ MUY BUENO (85-95.99%)</t>
  </si>
  <si>
    <t>Ninguna dirección en este rango</t>
  </si>
  <si>
    <t>🟢 SATISFACTORIO (70-84.99%)</t>
  </si>
  <si>
    <t>DAS=82.5%, DOP=80.5% → Sin acción</t>
  </si>
  <si>
    <t>🟡 REGULAR (60-69.99%)</t>
  </si>
  <si>
    <t>🔴 INACEPTABLE (&lt;60%)</t>
  </si>
  <si>
    <t>9 dirs → Sumario/plan mejora según §3.8.4 deslinde</t>
  </si>
  <si>
    <t>ICPI Global corregido</t>
  </si>
  <si>
    <t>Ti Global (ejecución presupuestaria)</t>
  </si>
  <si>
    <t>Fuente: L-CEDULAS (D-MAD S4 sincronizado eSIGEF)</t>
  </si>
  <si>
    <t>Metas PDOT con Vi=1</t>
  </si>
  <si>
    <t>Cadena CININ completa</t>
  </si>
  <si>
    <t>Metas PDOT con Vi=0 (sin cadena)</t>
  </si>
  <si>
    <t>→ IED=0 en metas correspondientes</t>
  </si>
  <si>
    <t>🔶 SECCIÓN E — PROTOCOLO SIITH + INFORME CORTE MDT · Flujo de carga obligatoria al SIITH · Base: LOSEP Art.77 + NT MDT Evaluación · SIAP-ICPI</t>
  </si>
  <si>
    <t>PLAZO LEGAL</t>
  </si>
  <si>
    <t>RESPONSABLE CARGA</t>
  </si>
  <si>
    <t>DATO A CARGAR EN SIITH</t>
  </si>
  <si>
    <t>MÓDULO SIAP FUENTE</t>
  </si>
  <si>
    <t>ACCIÓN PREVIA REQUERIDA</t>
  </si>
  <si>
    <t>S1 — SEMESTRAL (JUN)</t>
  </si>
  <si>
    <t>Julio (15 días hábiles desde 30 jun)</t>
  </si>
  <si>
    <t>Dir. RRHH + Dir. Planificación</t>
  </si>
  <si>
    <t>IED_S1 por director (est. S1 col E) + Nivel LOSEP S1</t>
  </si>
  <si>
    <t>T-SEMESTRAL col E · Y-EVAL-DIR Secc.B</t>
  </si>
  <si>
    <t>Actualizar D-MAD S4 con eSIGEF al 30-jun → recalcular IED → cargar SIITH</t>
  </si>
  <si>
    <t>⬜ corte jun</t>
  </si>
  <si>
    <t>S2 — ANUAL (DIC)</t>
  </si>
  <si>
    <t>Enero siguiente (15 días hábiles desde 31 dic)</t>
  </si>
  <si>
    <t>Dir. RRHH + Alcaldía</t>
  </si>
  <si>
    <t>IED_S2 definitivo + Nivel + Acción LOSEP (sumario / felicitación / aprobado)</t>
  </si>
  <si>
    <t>T-SEMESTRAL col F · Y-EVAL-DIR Secc.B</t>
  </si>
  <si>
    <t>Cierre eSIGEF 31-dic + liquidación L-CEDULAS + certificación SIGAD → cargar SIITH definitivo</t>
  </si>
  <si>
    <t>⬜ cierre anual</t>
  </si>
  <si>
    <t>🔴 INACEPTABLE URGENTE</t>
  </si>
  <si>
    <t>48 HORAS desde corte</t>
  </si>
  <si>
    <t>Dir. RRHH → Alcaldía → DAJ</t>
  </si>
  <si>
    <t>T-SEMESTRAL Secc.B col G + H</t>
  </si>
  <si>
    <t>Notificar Alcaldía D+0 → Planificación D+1 → Inicio sumario D+2 → SIITH carga urgente</t>
  </si>
  <si>
    <t>🔴 ACCIÓN INMEDIATA</t>
  </si>
  <si>
    <t>🔶 SECCIÓN F — RESUMEN EJECUTIVO INFORME CORTE MDT · Texto auto-generado para Director RRHH · LOSEP Art.77 + NT MDT</t>
  </si>
  <si>
    <t>CAMPO INFORME MDT</t>
  </si>
  <si>
    <t>VALOR CALCULADO (SIAP-ICPI)</t>
  </si>
  <si>
    <t>OBSERVACIÓN / NARRATIVA MDT</t>
  </si>
  <si>
    <t>Entidad</t>
  </si>
  <si>
    <t>Nombre oficial del GAD — fuente CONFIG-GAD</t>
  </si>
  <si>
    <t>ICPI Global</t>
  </si>
  <si>
    <t>Ti Global (ejecución)</t>
  </si>
  <si>
    <t>Ejecución presupuestaria cédulas — fuente L-CEDULAS (eSIGEF sincronizado)</t>
  </si>
  <si>
    <t>Metas Vi_cadena=1</t>
  </si>
  <si>
    <t>Metas con cadena documental CININ completa — fuente D-MAD col X</t>
  </si>
  <si>
    <t>🟢 Dirs. SATISFACTORIO+</t>
  </si>
  <si>
    <t>Direcciones con IED ≥ 70% (aprobados sin acción correctiva)</t>
  </si>
  <si>
    <t>🔴 Dirs. INACEPTABLE</t>
  </si>
  <si>
    <t>Requieren Sumario LOSEP Art.80 + carga urgente SIITH — plazo 48 horas desde corte</t>
  </si>
  <si>
    <t>Período evaluado</t>
  </si>
  <si>
    <t>Anual 2023-2024 (S2 definitivo)</t>
  </si>
  <si>
    <t>Corte anual cerrado</t>
  </si>
  <si>
    <t>🔷 ITAM — TRANSPARENCIA ACTIVA · Literales: k, i, g, m, d · Ponderación por meta · Resultado: ITAM=84%</t>
  </si>
  <si>
    <t>VALOR ITAM</t>
  </si>
  <si>
    <t>SEMÁFORO</t>
  </si>
  <si>
    <t>LITERAL MÁS INCUMPLIDO</t>
  </si>
  <si>
    <t>METAS QUE CUMPLEN</t>
  </si>
  <si>
    <t>DIRECCIÓN MÁS OPACA</t>
  </si>
  <si>
    <t>ITAM DIR.</t>
  </si>
  <si>
    <t>🌐 ITAM Global GAD Montecristi</t>
  </si>
  <si>
    <t>CONTEO POR LITERAL →</t>
  </si>
  <si>
    <t>📋 Lit.k Planes:</t>
  </si>
  <si>
    <t>📄 Lit.i Contratos:</t>
  </si>
  <si>
    <t>💰 Lit.g Presupuesto:</t>
  </si>
  <si>
    <t>🎯 Lit.m Metas/RDC:</t>
  </si>
  <si>
    <t>📊 Lit.d Encuesta:</t>
  </si>
  <si>
    <t>⭐ ITAM=100%:</t>
  </si>
  <si>
    <t>🔍 SECCIÓN A — MATRIZ LOTAIP · 20 METAS PDOT × 5 LITERALES Art.7 · Datos de D-MAD y C-MAO · Entrada manual: Lit.d (Encuesta Satisfacción)</t>
  </si>
  <si>
    <t>ÁREA TEMÁTICA</t>
  </si>
  <si>
    <t>DIRECCIÓN RESPONSABLE (← C-MAO)</t>
  </si>
  <si>
    <t>Lit. k PLANES (S1+S2)</t>
  </si>
  <si>
    <t>Lit. i CONTRATOS (S3-PAC)</t>
  </si>
  <si>
    <t>Lit. g PRESUPUESTO (S4-CÉD.)</t>
  </si>
  <si>
    <t>Lit. m METAS/RDC (S5+S6)</t>
  </si>
  <si>
    <t>Lit. d ENCUESTA (MANUAL)</t>
  </si>
  <si>
    <t>TOTAL LIT. CUMPL.</t>
  </si>
  <si>
    <t>ITAM (%)</t>
  </si>
  <si>
    <t>SEMÁFORO TRANSP.</t>
  </si>
  <si>
    <t>OBSERVACIÓN LOTAIP</t>
  </si>
  <si>
    <t>Σ TOTALES / PROMEDIOS LOTAIP</t>
  </si>
  <si>
    <t>🏢 SECCIÓN B — RESPONSABILIDAD POR DIRECCIÓN · Identificación de Opacidad Institucional · Oficial de Información / TICS</t>
  </si>
  <si>
    <t>DIRECCIÓN RESPONSABLE</t>
  </si>
  <si>
    <t>Lit.k Planes</t>
  </si>
  <si>
    <t>Lit.i Contratos</t>
  </si>
  <si>
    <t>Lit.g Presup.</t>
  </si>
  <si>
    <t>Lit.m Metas</t>
  </si>
  <si>
    <t>Lit.d Encuesta</t>
  </si>
  <si>
    <t>ITAM DIR. (%)</t>
  </si>
  <si>
    <t>⚖️ SECCIÓN C — MARCO NORMATIVO ITAM · LOTAIP Art.7 · Literales aplicables al GAD Municipal</t>
  </si>
  <si>
    <t>LITERAL LOTAIP</t>
  </si>
  <si>
    <t>OBLIGACIÓN GAD (Art.7)</t>
  </si>
  <si>
    <t>COLUMNA FUENTE</t>
  </si>
  <si>
    <t>SANCIÓN POR INCUMPL.</t>
  </si>
  <si>
    <t>k — Planes y programas</t>
  </si>
  <si>
    <t>Publicar PDOT + POA vigentes con metas e indicadores</t>
  </si>
  <si>
    <t>D-MAD cols Q+R (S1+S2)</t>
  </si>
  <si>
    <t>LOTAIP Art.7 lit.k · COOTAD Art.295</t>
  </si>
  <si>
    <t>DEFENSORÍA DEL PUEBLO · Sanción administrativa Art.13 LOTAIP</t>
  </si>
  <si>
    <t>i — Contratos</t>
  </si>
  <si>
    <t>Publicar contratos &gt;$75k en portal institucional + SERCOP</t>
  </si>
  <si>
    <t>D-MAD col S (S3-PAC)</t>
  </si>
  <si>
    <t>LOTAIP Art.7 lit.i · LOSNCP Art.11</t>
  </si>
  <si>
    <t>CONTRALORÍA GENERAL · Multa hasta 10% del contrato</t>
  </si>
  <si>
    <t>g — Presupuesto</t>
  </si>
  <si>
    <t>Publicar cédulas presupuestarias devengadas y liquidadas</t>
  </si>
  <si>
    <t>D-MAD col T (S4-Ti&gt;0)</t>
  </si>
  <si>
    <t>LOTAIP Art.7 lit.g · COPFP Art.165</t>
  </si>
  <si>
    <t>CONTRALORÍA + DEFENSORÍA · Responsabilidad solidaria Dir. Financiero</t>
  </si>
  <si>
    <t>m — Metas SIGAD/RDC</t>
  </si>
  <si>
    <t>Reportar metas en SIGAD y presentar RDC ante CPCCS</t>
  </si>
  <si>
    <t>D-MAD cols U+V (S5+S6)</t>
  </si>
  <si>
    <t>LOTAIP Art.7 lit.m · COOTAD Art.301</t>
  </si>
  <si>
    <t>CPCCS · Proceso de Incumplimiento · Posible destitución Alcaldía</t>
  </si>
  <si>
    <t>d — Encuesta satisfacción</t>
  </si>
  <si>
    <t>Publicar ANUALMENTE reporte de encuesta ciudadana</t>
  </si>
  <si>
    <t>MANUAL (col I) — 1=Publicado</t>
  </si>
  <si>
    <t>LOTAIP Art.7 lit.d · Acuerdo SNPD-2019</t>
  </si>
  <si>
    <t>DEFENSORÍA · Informe incumplimiento · Multa 5 SBU</t>
  </si>
  <si>
    <t>🔷 INDICADORES DE LOGRO SIL · n=20 metas · Línea base → Meta 2027 → Avance 2025</t>
  </si>
  <si>
    <t>CÓDIGO PDOT OFICIAL</t>
  </si>
  <si>
    <t>META / OBJETIVO ESTRATÉGICO (SínPDOT)</t>
  </si>
  <si>
    <t>POA PLANIF. (Sí/No)</t>
  </si>
  <si>
    <t>PAC CONTRAT. (Sí/No)</t>
  </si>
  <si>
    <t>PRESUPUESTO ASIGNADO ($)</t>
  </si>
  <si>
    <t>PRESUPUESTO EJECUTADO ($)</t>
  </si>
  <si>
    <t>AVANCE % (Ti)</t>
  </si>
  <si>
    <t>EVIDENCIA Vi (1/0)</t>
  </si>
  <si>
    <t>ESTADO (Automático)</t>
  </si>
  <si>
    <t>FECHA ÚLTIMA ACTUALIZACIÓN</t>
  </si>
  <si>
    <t>IED DIRECCIÓN</t>
  </si>
  <si>
    <t>ENLACE VERIFICACIÓN (SERCOP / LOTAIP)</t>
  </si>
  <si>
    <t>CÓDIGO SIAP (Referencial)</t>
  </si>
  <si>
    <t>Cobertura Agua Potable — Ampliación redes + Acueducto CAF 30.000m³/día</t>
  </si>
  <si>
    <t>Fri Feb 27 2026</t>
  </si>
  <si>
    <t>https://www.compraspublicas.gob.ec</t>
  </si>
  <si>
    <t>Alcantarillado Sanitario — Fase I BEI-PROGAPSA + Colector Principal + PTAR</t>
  </si>
  <si>
    <t>Centro de Salud Tipo C «Nacer Aquí» — Convenio MSP (Vi=0)</t>
  </si>
  <si>
    <t>https://www.lotaip.montecristi.gob.ec</t>
  </si>
  <si>
    <t>Terminal Terrestre Montecristi — Ciudad Bicentenario</t>
  </si>
  <si>
    <t>Camal Municipal — Gestión infraestructura equipamientos (Vi=0)</t>
  </si>
  <si>
    <t>⬜ ❌ No iniciado</t>
  </si>
  <si>
    <t>Equipamiento Geriátrico — Centros de Apoyo Grupos Vulnerables (100%)</t>
  </si>
  <si>
    <t>Bacheo y Pavimentación — Ejes viales estratégicos cantonales</t>
  </si>
  <si>
    <t>Unidad Médica Móvil — Atención prioritaria Patronato (Vi=0)</t>
  </si>
  <si>
    <t>Planta de Oxidación/PTAR — Colector Principal Montecristi</t>
  </si>
  <si>
    <t>Parques y Áreas Verdes — Parque Las Pampas + Red Verde</t>
  </si>
  <si>
    <t>Guarderías Nocturnas — Programa protección infantil MIES (Vi=0)</t>
  </si>
  <si>
    <t>Planta Tratamiento Desechos — Relleno sanitario MAATE</t>
  </si>
  <si>
    <t>Dir. Ejecutivo EP</t>
  </si>
  <si>
    <t>Equipo Caminero / Maquinaria — Mantenimiento vías urbanas-rurales (100%)</t>
  </si>
  <si>
    <t>Central Monitoreo / Cámaras CCTV — Control Vial (Vi=0)</t>
  </si>
  <si>
    <t>Digitalización de Trámites — Plataforma ciudadana + WiFi público</t>
  </si>
  <si>
    <t>Actualización Catastro — Sistema Catastral Integrado + SIL (100%)</t>
  </si>
  <si>
    <t>Albergue Fauna Urbana — Manglar Vivo Playa San José</t>
  </si>
  <si>
    <t>Proyecto Ecoturístico Playa San José — Manglar Vivo BDE</t>
  </si>
  <si>
    <t>Embellecimiento y Señalética Urbana — Señalización Vial CUP (100%)</t>
  </si>
  <si>
    <t>Reservorios de Agua — Infraestructura captación comunas rurales</t>
  </si>
  <si>
    <t>🔷 SECCIÓN B — RESUMEN ESTADÍSTICO SIL · Indicadores de exportación · Actualización automática desde Sección A</t>
  </si>
  <si>
    <t>INDICADOR SIL</t>
  </si>
  <si>
    <t>VALOR (Auto-calculado)</t>
  </si>
  <si>
    <t>FÓRMULA</t>
  </si>
  <si>
    <t>Total metas registradas n=</t>
  </si>
  <si>
    <t>Metas ✅ Completadas (Ti&gt;80%)</t>
  </si>
  <si>
    <t>Metas En ejecución (Ti 40-80%)</t>
  </si>
  <si>
    <t>Metas ⚠️ Atrasadas (Ti 1-40%)</t>
  </si>
  <si>
    <t>Metas ❌ No iniciadas (Ti=0%)</t>
  </si>
  <si>
    <t>Metas con Evidencia Vi=1</t>
  </si>
  <si>
    <t>🟡 Avance promedio global Ti̅</t>
  </si>
  <si>
    <t>Presupuesto Total Asignado ($)</t>
  </si>
  <si>
    <t>Presupuesto Total Ejecutado ($)</t>
  </si>
  <si>
    <t>% Ejecución Presupuestal</t>
  </si>
  <si>
    <t>Ti Global (L-CEDULAS)</t>
  </si>
  <si>
    <t>Ejecución presupuestaria cédulas eSIGEF</t>
  </si>
  <si>
    <t>🔷 SECCIÓN C — INSTRUCCIONES EXPORTACIÓN SIL · Procedimiento mensual COOTAD Art. 598 · Responsable: Director de Planificación</t>
  </si>
  <si>
    <t>PASO</t>
  </si>
  <si>
    <t>HERRAMIENTA</t>
  </si>
  <si>
    <t>Actualizar col I (Avance %) con Ti del período desde D-MAD. Verificar celdas A6:J25 sin vacíos</t>
  </si>
  <si>
    <t>Resp. Planificación</t>
  </si>
  <si>
    <t>D-MAD → Q-SIL</t>
  </si>
  <si>
    <t>Día 1 del mes</t>
  </si>
  <si>
    <t>Confirmar que metas con Vi=1 tienen URL válida en col N (SERCOP o LOTAIP)</t>
  </si>
  <si>
    <t>SERCOP / LOTAIP</t>
  </si>
  <si>
    <t>Días 1-3 del mes</t>
  </si>
  <si>
    <t>Verificar IED en col M desde F-EDS Sección B. Actualizar si hubo evaluación nueva</t>
  </si>
  <si>
    <t>F-EDS Sección B</t>
  </si>
  <si>
    <t>Días 2-4 del mes</t>
  </si>
  <si>
    <t>Exportar A5:N25 como CSV: Archivo → Guardar copia → CSV UTF-8. Nombre: SIL_MONT_AAAAMM.csv</t>
  </si>
  <si>
    <t>Resp. Informática</t>
  </si>
  <si>
    <t>Excel → Guardar CSV</t>
  </si>
  <si>
    <t>Días 3-5 del mes</t>
  </si>
  <si>
    <t>Subir CSV al portal SIGAD: planificaecuador.gob.ec → Seguimiento → Carga masiva SIL</t>
  </si>
  <si>
    <t>Director Planificación</t>
  </si>
  <si>
    <t>Portal SIGAD</t>
  </si>
  <si>
    <t>Día 5 del mes</t>
  </si>
  <si>
    <t>Generar reporte confirmación SIL. Archivar en /SIL/AAAAMM/ y registrar en P-VERIFICACION col M</t>
  </si>
  <si>
    <t>SIGAD + Archivo GAD</t>
  </si>
  <si>
    <t>Días 5-7 del mes</t>
  </si>
  <si>
    <t>DESCRIPCIÓN DEL INCUMPLIMIENTO</t>
  </si>
  <si>
    <t>META AFECTADA (Código PDOT)</t>
  </si>
  <si>
    <t>FECHA DETECCIÓN</t>
  </si>
  <si>
    <t>ESTADO ALERTA</t>
  </si>
  <si>
    <t>ACCIÓN ADMINISTRATIVA REQUERIDA (Base legal)</t>
  </si>
  <si>
    <t>IED=0%: Patronato sin evidencia Vi=0 en 3 metas (SOC-02, SOC-07, SOC-04) — Ruptura Total trazabilidad §3.4</t>
  </si>
  <si>
    <t>PDOT.SC.OE2.M1/M3/M4</t>
  </si>
  <si>
    <t>🔴 Abierta</t>
  </si>
  <si>
    <t>SUMARIO ADMINISTRATIVO — LOSEP Art.80 + COOTAD Art.339 + COA Art.196. Plazo: 5 días hábiles</t>
  </si>
  <si>
    <t>IED=0%: Dirección de Servicios Públicos — Vi=0, Ti=0, PAC=0. Meta TER-10 sin ninguna acción ejecutada</t>
  </si>
  <si>
    <t>SUMARIO ADMINISTRATIVO — LOSEP Art.80 + COOTAD Art.339. Informe al Alcalde en 48h</t>
  </si>
  <si>
    <t>IED=15.8%: Unidad Gestión Sanitaria — 3 metas sin contratación PAC. Solo esterilización ejecutada</t>
  </si>
  <si>
    <t>SUMARIO ADMINISTRATIVO — IED&lt;30% activa sumario automático. Informe técnico 5 días hábiles</t>
  </si>
  <si>
    <t>IED=50%: Dirección Avalúos y Catastros — catastro actualizado pero PAC=0 en meta INS-05 — gestión parcial</t>
  </si>
  <si>
    <t>🔴 🟠 Abierta</t>
  </si>
  <si>
    <t>MEMORANDO FORMAL — Plan mejora 30 días · LOSEP Art.80 · Vincular catastro al SIL</t>
  </si>
  <si>
    <t>IED=27.5%: Dirección TIC — SOC-15 sin evidencia Vi=0 (cámaras CCTV sin registro SERCOP). INS-03 en 70%</t>
  </si>
  <si>
    <t>MEMORANDO FORMAL — Regularizar CCTV en SERCOP en 15 días · COA Art.196</t>
  </si>
  <si>
    <t>Meta PDOT.AS.OE1.M2.01 (Terminal Terrestre): POA Sí, PAC Sí pero Ti=45% — ritmo insuficiente para 2027</t>
  </si>
  <si>
    <t>🟡 🟠 En gestión</t>
  </si>
  <si>
    <t>PLAN DE ACELERACIÓN — Revisión hitos trimestrales + informe avance al Concejo Municipal</t>
  </si>
  <si>
    <t>IED=40.5%: EP Aseo Integral — Ti=30% en relleno sanitario. Sin regularización MAATE. Plan mejora activo</t>
  </si>
  <si>
    <t>🟡 En gestión</t>
  </si>
  <si>
    <t>PLAN MEJORA 60 DÍAS — Proceso regularización MAATE + gestión financiamiento BDE/BIESS</t>
  </si>
  <si>
    <t>IED=13.5%: Unidad Turismo — Ti=30% Proyecto Manglar Vivo. Sin socio estratégico definido</t>
  </si>
  <si>
    <t>PLAN MEJORA 60 DÍAS — Convenio MINTUR + postulación Premio Verde BDE en POA 2025</t>
  </si>
  <si>
    <t>IED=54%: Unidad Ambiental — Ti=40% PTAR Montecristi. Sin financiamiento definitivo</t>
  </si>
  <si>
    <t>PLAN MEJORA 60 DÍAS — Gestionar financiamiento no reembolsable + estudios definitivos</t>
  </si>
  <si>
    <t>IED=20%: Dir. Planificación — Terminal Terrestre Ti=45%. Estudios sin contrato definido</t>
  </si>
  <si>
    <t>PLAN MEJORA 60 DÍAS — Incluir estudios factibilidad + diseño en POA 2025 con SERCOP</t>
  </si>
  <si>
    <t>🟢 BAJA</t>
  </si>
  <si>
    <t>Actualización : Meta SOC-08 (Albergue Fauna) sin movimiento desde Q4-2023. Ti=35% estancado</t>
  </si>
  <si>
    <t>RECORDATORIO — Actualizar Ti y Vi con informe técnico mensual. Plazo: 30 días</t>
  </si>
  <si>
    <t>Evidencia Vi sin enlace verificación URL: Meta SOC-15 tiene Vi=0 pero no hay URL SERCOP registrada</t>
  </si>
  <si>
    <t>URL en Q-SIL col N con enlace SERCOP o LOTAIP vigente</t>
  </si>
  <si>
    <t>IED=82.5%: Dir. Agua Potable — TER-15 (Reservorios) Ti=25%. Acueducto CAF sin contraparte 20%</t>
  </si>
  <si>
    <t>SEGUIMIENTO SEMANAL — Activar contraparte 20% CAF + diseño definitivo reservorios rurales</t>
  </si>
  <si>
    <t>Meta INS-05 Catastro: PAC=0 aunque Ti=100%. Sin proceso SERCOP formal de actualización catastral</t>
  </si>
  <si>
    <t>REGULARIZAR en SERCOP — Emitir certificación técnica de actualización + vincular al SIL</t>
  </si>
  <si>
    <t>🔴 SECCIÓN B — CRITERIOS DE CLASIFICACIÓN Y ACCIONES ADMINISTRATIVAS · Base legal: LOSEP Arts.76-80 · COOTAD Art.338-339 · COA Art.196</t>
  </si>
  <si>
    <t>RANGO IED</t>
  </si>
  <si>
    <t>INDICADOR ADICIONAL</t>
  </si>
  <si>
    <t>COLOR</t>
  </si>
  <si>
    <t>EQUIV. LOSEP</t>
  </si>
  <si>
    <t>IED &lt; 30%</t>
  </si>
  <si>
    <t>Vi=0 en ≥2 metas ó Ti=0 con PAC=0</t>
  </si>
  <si>
    <t>Rojo</t>
  </si>
  <si>
    <t>🔴 INACEPTABLE (&lt;60%) — LOSEP Art.80</t>
  </si>
  <si>
    <t>5 días hábiles</t>
  </si>
  <si>
    <t>LOSEP Art.80 + COOTAD Art.339 + COA Art.196</t>
  </si>
  <si>
    <t>IED 30-49%</t>
  </si>
  <si>
    <t>PAC=0 con POA=Sí ó desviación presupuestal &gt;30%</t>
  </si>
  <si>
    <t>Naranja</t>
  </si>
  <si>
    <t>IED 50-69%</t>
  </si>
  <si>
    <t>Ti&lt;50% con PAC=Sí (contratado pero sin avance suficiente)</t>
  </si>
  <si>
    <t>Amarillo</t>
  </si>
  <si>
    <t>🟡 REGULAR (60-69%) — Plan mejora</t>
  </si>
  <si>
    <t>LOSEP Art.76-77 + COOTAD Art.338</t>
  </si>
  <si>
    <t>IED 70-79%</t>
  </si>
  <si>
    <t>Actualización &gt;30 días ó Vi sin URL</t>
  </si>
  <si>
    <t>Verde</t>
  </si>
  <si>
    <t>🟢 SATISFACTORIO (70-84%) — Sin acción</t>
  </si>
  <si>
    <t>LOSEP Art.76 (buenas prácticas)</t>
  </si>
  <si>
    <t>✅ EXCELENCIA</t>
  </si>
  <si>
    <t>IED ≥ 80%</t>
  </si>
  <si>
    <t>Ti≥80% + Vi=1 + POA + PAC completos</t>
  </si>
  <si>
    <t>Azul/Verde</t>
  </si>
  <si>
    <t>⭐ EXCELENTE (≥96%) — SIITH</t>
  </si>
  <si>
    <t>LOSEP Art.78 + COOTAD Art.339</t>
  </si>
  <si>
    <t>🔴 SECCIÓN C — RESUMEN ESTADÍSTICO DE ALERTAS · Conteo automático desde Sección A</t>
  </si>
  <si>
    <t>🔴 4 Abiertas · 1 En gestión · 7 En gestión (med) · 0 Resueltas</t>
  </si>
  <si>
    <t>🟡 En gestión — memos emitidos</t>
  </si>
  <si>
    <t>✅ Plan mejora activo 60 días</t>
  </si>
  <si>
    <t>✅ Seguimiento mensual activo</t>
  </si>
  <si>
    <t>TOTAL ALERTAS ACTIVAS</t>
  </si>
  <si>
    <t>🔴 7 Abiertas · 7 En gestión · 0 Resueltas</t>
  </si>
  <si>
    <t>🔴 SECCIÓN D — FLUJO DE ESCALAMIENTO Y RESPONSABLES · Jerarquía de notificación según nivel de alerta</t>
  </si>
  <si>
    <t>Responsable Planificación detecta IED&lt;30% en F-EDS → Notificar Director Planificación (mismo día) → Director eleva a Alcaldía en 24h → Alcaldía inicia sumario LOSEP Art.80 en 48h → Registro en R-ALERTAS col F = Abierta</t>
  </si>
  <si>
    <t>Alcaldía + Dir. Planificación + Dir. Afectado</t>
  </si>
  <si>
    <t>48h desde detección</t>
  </si>
  <si>
    <t>🔷 SECCIÓN D+ — PANEL DE INDICADORES SIAP-ICPI · Vinculado en tiempo real · Actualización automática al modificar D-MAD / Y-EVAL-DIR</t>
  </si>
  <si>
    <t>UMBRAL / META</t>
  </si>
  <si>
    <t>ACCIÓN R-ALERTAS</t>
  </si>
  <si>
    <t>Alerta CRÍTICA si ICPI&lt;40%</t>
  </si>
  <si>
    <t>Dirs. INACEPTABLE</t>
  </si>
  <si>
    <t>0 / 12 ideal</t>
  </si>
  <si>
    <t>Sumario 48h LOSEP Art.80</t>
  </si>
  <si>
    <t>Metas Vi=0 (sin cadena)</t>
  </si>
  <si>
    <t>0 / 20 ideal</t>
  </si>
  <si>
    <t>Alerta CRÍTICA Vi=0</t>
  </si>
  <si>
    <t>Ti Global (eSIGEF)</t>
  </si>
  <si>
    <t>≥ 70% objetivo</t>
  </si>
  <si>
    <t>Alerta ALTA si Ti&lt;50%</t>
  </si>
  <si>
    <t>CUPs SIGPIP s</t>
  </si>
  <si>
    <t>20 CUPs en SIGPIP</t>
  </si>
  <si>
    <t>Verificar en sigpip.finanzas.gob.ec</t>
  </si>
  <si>
    <t>NOTA / INTERPRETACIÓN</t>
  </si>
  <si>
    <t>Σ(Pi×Ri×Vi×Ei×Ti) ÷ Σ(Pi×Ri) · Se actualiza al modificar Vi/Ti en D-MAD</t>
  </si>
  <si>
    <t>Brecha ICPI vs Meta PDOT 2027</t>
  </si>
  <si>
    <t>ICPI − Meta PDOT 2027</t>
  </si>
  <si>
    <t>Brecha primaria — PDOT Plan Bicentenario 2023-2027 §3.6</t>
  </si>
  <si>
    <t>Categoría semáforo</t>
  </si>
  <si>
    <t>Transición Crítica 🟡</t>
  </si>
  <si>
    <t>E4-INTERP</t>
  </si>
  <si>
    <t>Escala ICPI: ≥90% Excelencia · ≥70% Satisfactorio · ≥40% Transición · ≥20% Ocurrencia · Ruptura</t>
  </si>
  <si>
    <t>ICM SIGAD 2023 (comparativo auto-reporte)</t>
  </si>
  <si>
    <t>SIGAD auto-reporte</t>
  </si>
  <si>
    <t>Metas con Vi=1 (con soporte)</t>
  </si>
  <si>
    <t>D-MAD col. E</t>
  </si>
  <si>
    <t>ICPI potencial máximo</t>
  </si>
  <si>
    <t>67,64 % (Δ +20,6 pp)</t>
  </si>
  <si>
    <t>Si SOC-02 Vi→1, Ti→1: mayor impacto individual · Pi=0,20 · Ri=1.5 · CRÍTICA</t>
  </si>
  <si>
    <t>8 de obtención</t>
  </si>
  <si>
    <t>Cédulas GAD+Patronato 2023-2024 · POA Patronato · ICM 2024 SNP · Ver sección P</t>
  </si>
  <si>
    <t>⊕ SECCIÓN B — CONTINUIDAD POR EJE ESTRATÉGICO · n=20 metas · 5 ejes · Basado en PDOT/Plan Bicentenario 2023–2027</t>
  </si>
  <si>
    <t>EJE (n)</t>
  </si>
  <si>
    <t>🟢 ✅ ALINEADAS · ⚠️ PARCIALES · 🔴 BAJA CONT. · Vi=1 · Vi=0</t>
  </si>
  <si>
    <t>ICPI EJE (%)</t>
  </si>
  <si>
    <t>OBSERVACIÓN CLAVE</t>
  </si>
  <si>
    <t>TERRITORIAL (9)</t>
  </si>
  <si>
    <t>✅ 5 · ⚠️ 3 · 🔴 1 · Vi=1: 8 · Vi=0: 1 ████████████░░░░░░░░ 66,3 %</t>
  </si>
  <si>
    <t>66,3 %</t>
  </si>
  <si>
    <t>Eje mejor ejecutado. Acueducto CAF ($45.6M) es la gran apuesta del PDOT. Camal y Reservorios son las brechas críticas s.</t>
  </si>
  <si>
    <t>SOCIAL (6)</t>
  </si>
  <si>
    <t>✅ 1 · ⚠️ 2 · 🔴 3 · Vi=1: 2 · Vi=0: 4 ██░░░░░░░░░░░░░░░░░░ 11,9 %</t>
  </si>
  <si>
    <t>11,9 %</t>
  </si>
  <si>
    <t>Eje más crítico. Centro de Salud Tipo C (Pi=0,20 mayor peso) es el déficit más costoso. Requiere gestión interinstitucional urgente con MSP.</t>
  </si>
  <si>
    <t>AMBIENTAL (2)</t>
  </si>
  <si>
    <t>✅ 0 · ⚠️ 2 · 🔴 0 · Vi=1: 2 · Vi=0: 0 ███████░░░░░░░░░░░░░ 33,4 %</t>
  </si>
  <si>
    <t>33,4 %</t>
  </si>
  <si>
    <t>Ambas con Vi=1 pero Ti muy bajo (0,20–0,30). Relleno sanitario ($748K) y PTAR son los dos proyectos PDOT s de activación.</t>
  </si>
  <si>
    <t>ECONÓMICO (1)</t>
  </si>
  <si>
    <t>✅ 0 · ⚠️ 1 · 🔴 0 · Vi=1: 0 · Vi=0: 1 █████░░░░░░░░░░░░░░░ 27,0 %</t>
  </si>
  <si>
    <t>27,0 %</t>
  </si>
  <si>
    <t>Solo 1 meta: Playa San José. Vi=0. Ruta de continuidad vía Proyecto Manglar Vivo (PDOT) y Premio Verde BDE — gestión en curso.</t>
  </si>
  <si>
    <t>INSTITUCIONAL (2)</t>
  </si>
  <si>
    <t>✅ 2 · ⚠️ 0 · 🔴 0 · Vi=1: 2 · Vi=0: 0 █████████████████░░░ 85,8 %</t>
  </si>
  <si>
    <t>85,8 %</t>
  </si>
  <si>
    <t>Eje mejor documentado. Catastro y Digitalización completados (Vi=1). Ti=1,00 y Ti=0,70. Continuar integración SIL en POA 2025.</t>
  </si>
  <si>
    <t>TOTAL MUESTRA (20)</t>
  </si>
  <si>
    <t>△ SECCIÓN C — TOP 5 ACCIONES CRÍTICAS POA 2025 · Metas con mayor potencial de mejora del ICPI si se activan</t>
  </si>
  <si>
    <t># · ID</t>
  </si>
  <si>
    <t>META PDOT · ACCIÓN POA 2025</t>
  </si>
  <si>
    <t>Δ ICPI SI SE ACTIVA</t>
  </si>
  <si>
    <t>PLAZO · RESPONSABLE</t>
  </si>
  <si>
    <t>#1 🔴</t>
  </si>
  <si>
    <t>PDOT.SC.OE2.M1.01 · Centro de Salud Tipo C Gestionar convenio MSP; solicitar LOTAIP cédulas Patronato. Mayor impacto individual del sistema.</t>
  </si>
  <si>
    <t>+9,1 pp → 56,1 %</t>
  </si>
  <si>
    <t>Q1-2025 · Dir. Gestión Social / Patronato</t>
  </si>
  <si>
    <t>#2 🔴</t>
  </si>
  <si>
    <t>PDOT.AS.OE1.M2.02 · Nuevo Camal Municipal Informe de viabilidad técnica + incluir estudios y partida en POA 2025.</t>
  </si>
  <si>
    <t>+2,1 pp → 49,1 %</t>
  </si>
  <si>
    <t>Q1-2025 · Dir. Planificación / Servicios Públicos</t>
  </si>
  <si>
    <t>#3 🟠</t>
  </si>
  <si>
    <t>PDOT.AS.OE1.M2.01 · Terminal Terrestre Elevar Ti de 0,40 a 0,70. Estudios de factibilidad y diseño arquitectónico en POA 2025.</t>
  </si>
  <si>
    <t>+1,8 pp → 48,8 %</t>
  </si>
  <si>
    <t>Q2-2025 · Proyectos Estratégicos e Inversiones</t>
  </si>
  <si>
    <t>#4 🟠</t>
  </si>
  <si>
    <t>PDOT.AM.OE3.M2.01 · Relleno Sanitario Elevar Ti de 0,20 a 0,60. Iniciar proceso MAATE; estudio impacto ambiental.</t>
  </si>
  <si>
    <t>Q2-2025 · Empresa de Aseo / Planificación</t>
  </si>
  <si>
    <t>#5 🟡</t>
  </si>
  <si>
    <t>PDOT.AS.OE1.M1.03 · Reservorios de Agua Diseño definitivo reservorios rurales; gestionar financiamiento BDE Programa Agua Segura.</t>
  </si>
  <si>
    <t>+0,5 pp → 47,5 %</t>
  </si>
  <si>
    <t>Q2-2025 · Dir. Agua Potable / Financiero</t>
  </si>
  <si>
    <t>🚦 SECCIÓN D — SEMÁFORO DE CONTINUIDAD PDOT · Distribución de la muestra por nivel de alineación estratégica</t>
  </si>
  <si>
    <t>CATEGORÍA</t>
  </si>
  <si>
    <t>N° · %</t>
  </si>
  <si>
    <t>BARRA</t>
  </si>
  <si>
    <t>✅ 🟢 ALINEADAS</t>
  </si>
  <si>
    <t>10 · 50 %</t>
  </si>
  <si>
    <t>████████████░░░░░░░░</t>
  </si>
  <si>
    <t>Vi=1, proyecto PDOT definido, PAC ejecutado. Continuidad asegurada. Solo requieren mantenimiento y escala POA 2025.</t>
  </si>
  <si>
    <t>🟡 PARCIALES</t>
  </si>
  <si>
    <t>6 · 30 %</t>
  </si>
  <si>
    <t>███████░░░░░░░░░░░░░</t>
  </si>
  <si>
    <t>Proyecto PDOT existe pero Ti &lt; 0,70 o PAC insuficiente. Requieren activación formal en POA 2025.</t>
  </si>
  <si>
    <t>🟢 🔴 BAJA CONTINUIDAD</t>
  </si>
  <si>
    <t>4 · 20 %</t>
  </si>
  <si>
    <t>████░░░░░░░░░░░░░░░░</t>
  </si>
  <si>
    <t>Vi=0, sin soporte documental. Sin activación en POA 2025, el ICPI descenderá bajo el umbral del 40%.</t>
  </si>
  <si>
    <t>🔷 VERIFICACIÓN DE CALIDAD · Controles cruzados PDOT → POA → CEDULAS → MAD → ICPI</t>
  </si>
  <si>
    <t>DOCUMENTO / FUENTE</t>
  </si>
  <si>
    <t>INSTITUCIÓN</t>
  </si>
  <si>
    <t>PERIODO</t>
  </si>
  <si>
    <t>DÓNDE OBTENERLO</t>
  </si>
  <si>
    <t>VARIABLES D-MAD QUE ACTUALIZA</t>
  </si>
  <si>
    <t>METAS PDOT IMPACTADAS</t>
  </si>
  <si>
    <t>ICPI Δ ESTIMADO</t>
  </si>
  <si>
    <t>FECHA SOLICITUD</t>
  </si>
  <si>
    <t>FECHA RECEPCIÓN</t>
  </si>
  <si>
    <t>NOTAS</t>
  </si>
  <si>
    <t>Cédulas Presupuestarias de Gastos 2023</t>
  </si>
  <si>
    <t>GAD Municipal Montecristi</t>
  </si>
  <si>
    <t>Ejercicio fiscal 2023</t>
  </si>
  <si>
    <t>Cédula presupuestaria (PDF/Excel)</t>
  </si>
  <si>
    <t>Portal LOTAIP del GAD / Dir. Financiera vía solicitud formal Art. 18 Const. + LOTAIP Art. 7</t>
  </si>
  <si>
    <t>Vi (cols E D-MAD) y Ti (col G D-MAD) de todas las metas con ejecución 2023</t>
  </si>
  <si>
    <t>TER-14, TER-03, TER-02, TER-01, TER-05, AMB-07, AMB-08, INS-03, INS-05, TER-18</t>
  </si>
  <si>
    <t>+/- hasta 8pp ICPI según partidas verificadas</t>
  </si>
  <si>
    <t>🔴 CRÍTICA — Mayor impacto</t>
  </si>
  <si>
    <t>Dir. Planificación GAD</t>
  </si>
  <si>
    <t>Verificar partidas 73 (obras) y 84 (bienes) por meta</t>
  </si>
  <si>
    <t>Cédulas Presupuestarias de Gastos 2024</t>
  </si>
  <si>
    <t>Ejercicio fiscal 2024</t>
  </si>
  <si>
    <t>Portal LOTAIP del GAD / Dir. Financiera</t>
  </si>
  <si>
    <t>Vi y Ti de todas las metas con ejecución 2024</t>
  </si>
  <si>
    <t>TER-14, TER-03, TER-02, TER-01, SOC-15, INS-03, INS-05, TER-18, AMB-07, AMB-08</t>
  </si>
  <si>
    <t>+/- hasta 6pp ICPI</t>
  </si>
  <si>
    <t>Cruzar con ítems PAC 2024 ya registrados en A-PDOT</t>
  </si>
  <si>
    <t>POA 2023 del GAD Municipal Montecristi</t>
  </si>
  <si>
    <t>Periodo enero–diciembre 2023</t>
  </si>
  <si>
    <t>Plan Operativo Anual (PDF/Excel)</t>
  </si>
  <si>
    <t>Portal LOTAIP / Concejo Municipal / SIGAD</t>
  </si>
  <si>
    <t>Ti (avance físico por meta) y verificación de codificación PDOT Plan Bicentenario → POA</t>
  </si>
  <si>
    <t>TER-14, TER-03, TER-09, TER-10, SOC-02, TER-02, AMB-07</t>
  </si>
  <si>
    <t>🔴 Confirma o corrige Ti actuales. Crítico para TER-03 y TER-09</t>
  </si>
  <si>
    <t>Verificar si el código ID del PDOT Plan Bicentenario aparece en las metas del POA (Fuga del Verbo Rector)</t>
  </si>
  <si>
    <t>POA 2024 del GAD Municipal Montecristi</t>
  </si>
  <si>
    <t>Periodo enero–diciembre 2024</t>
  </si>
  <si>
    <t>Ti 2024 y nuevas evidencias para metas en curso</t>
  </si>
  <si>
    <t>TER-03, TER-09, SOC-02, AMB-07, INS-03, SOC-15</t>
  </si>
  <si>
    <t>Confirma Ti definitivos del periodo evaluado</t>
  </si>
  <si>
    <t>Determinar si el POA 2024 vincula explícitamente al PDOT Plan Bicentenario 2023-2027</t>
  </si>
  <si>
    <t>POA 2023 del Patronato Municipal</t>
  </si>
  <si>
    <t>Patronato GAD Montecristi</t>
  </si>
  <si>
    <t>Portal LOTAIP del Patronato / Dir. Patronato vía solicitud LOTAIP</t>
  </si>
  <si>
    <t>Vi y Ti de metas de política social ejecutadas vía Patronato</t>
  </si>
  <si>
    <t>SOC-03 (Geriátrico), SOC-07 (Unidad Móvil), SOC-04 (Guarderías), SOC-08 (Fauna)</t>
  </si>
  <si>
    <t>Si confirma Vi=1 en SOC-07: +1.1pp ICPI; en SOC-04: +0.4pp ICPI</t>
  </si>
  <si>
    <t>Dir. Patronato Municipal</t>
  </si>
  <si>
    <t>El Patronato ejecuta política social con Ei=0.9. Verificar si tiene POA propio o se articula al GAD</t>
  </si>
  <si>
    <t>POA 2024 del Patronato Municipal</t>
  </si>
  <si>
    <t>Portal LOTAIP del Patronato / Dir. Patronato</t>
  </si>
  <si>
    <t>Vi y Ti 2024 de metas sociales del Patronato</t>
  </si>
  <si>
    <t>SOC-03, SOC-07, SOC-04, SOC-08, SOC-02 (coordinación)</t>
  </si>
  <si>
    <t>Impacto potencial +2pp ICPI si confirma Vi=1 en SOC-07 y SOC-04</t>
  </si>
  <si>
    <t>Verificar si el Patronato tiene cédula presupuestaria propia o ejecuta con transferencias del GAD</t>
  </si>
  <si>
    <t>Cédulas Presupuestarias del Patronato 2023</t>
  </si>
  <si>
    <t>Portal LOTAIP del Patronato / Dir. Financiera GAD</t>
  </si>
  <si>
    <t>Vi de SOC-03, SOC-07, SOC-04, SOC-08 y Ei confirmado (0.9 vs 1.0)</t>
  </si>
  <si>
    <t>SOC-03, SOC-07, SOC-04, SOC-08</t>
  </si>
  <si>
    <t>Confirma o ajusta Ei de metas sociales</t>
  </si>
  <si>
    <t>Dir. Patronato / Dir. Financiera GAD</t>
  </si>
  <si>
    <t>Si el Patronato ejecuta como entidad adscrita, Ei=0.9 es correcto. Si es transferencia directa, revisar</t>
  </si>
  <si>
    <t>Cédulas Presupuestarias del Patronato 2024</t>
  </si>
  <si>
    <t>Vi y Ti definitivos 2024 para política social</t>
  </si>
  <si>
    <t>Define el Ti final del periodo evaluado para el eje social</t>
  </si>
  <si>
    <t>Verificar partidas específicas: equipamiento geriátrico, medicinas unidad móvil, etc.</t>
  </si>
  <si>
    <t>Informe Rendición de Cuentas 2023 (CPCCS)</t>
  </si>
  <si>
    <t>Informe PDF (CPCCS + LOTAIP)</t>
  </si>
  <si>
    <t>Portal CPCCS: cpccs.gob.ec / LOTAIP municipal</t>
  </si>
  <si>
    <t>Vi de todas las metas: si aparecen como 'cumplidas' en el informe oficial</t>
  </si>
  <si>
    <t>Todas las 20 metas de la muestra</t>
  </si>
  <si>
    <t>Referencia cruzada para detectar Erosión del Compromiso / Fuga del Verbo Rector</t>
  </si>
  <si>
    <t>✅ RECIBIDO</t>
  </si>
  <si>
    <t>Informe RDC N°17649 — 8 págs. Fecha evento: 10/05/2024 en Casa Patrimonial. Analizado en SIAP-ICPI v1.0.</t>
  </si>
  <si>
    <t>Informe Rendición de Cuentas 2024 (CPCCS)</t>
  </si>
  <si>
    <t>Ti definitivo y estado de metas al corte final del periodo</t>
  </si>
  <si>
    <t>Referencia oficial del Estado para contraste con ICPI (Brecha de Integridad)</t>
  </si>
  <si>
    <t>Informe RDC N°22844 — 15 págs. Fecha evento: 11/07/2025 en Comuna Toalla Grande. Analizado en SIAP-ICPI v1.0.</t>
  </si>
  <si>
    <t>🟩 SECCIÓN B — IMPACTO DE DOCUMENTOS S POR META PDOT — Variables que cambiarán en D-MAD cuando lleguen los documentos</t>
  </si>
  <si>
    <t>Vi ACTUAL</t>
  </si>
  <si>
    <t>Vi PODRÍA SER</t>
  </si>
  <si>
    <t>Ti PODRÍA SER</t>
  </si>
  <si>
    <t>DOCUMENTOS QUE DEFINEN EL CAMBIO</t>
  </si>
  <si>
    <t>CELDA D-MAD (Vi)</t>
  </si>
  <si>
    <t>CELDA D-MAD (Ti)</t>
  </si>
  <si>
    <t>DIRECCIÓN CAMBIO</t>
  </si>
  <si>
    <t>INSTITUCIÓN CLAVE</t>
  </si>
  <si>
    <t>OBSERVACIÓN</t>
  </si>
  <si>
    <t>1 (confirmado)</t>
  </si>
  <si>
    <t>0.60–0.85 (según cédulas)</t>
  </si>
  <si>
    <t>Cédulas GAD 2023–2024; POA 2023–2024 GAD</t>
  </si>
  <si>
    <t>D-MAD!E5</t>
  </si>
  <si>
    <t>D-MAD!G5</t>
  </si>
  <si>
    <t>±2 a +4pp</t>
  </si>
  <si>
    <t>↑ Ti mejorado a 0.75</t>
  </si>
  <si>
    <t>GAD Dirección Obras Públicas</t>
  </si>
  <si>
    <t>RDC 2023: 11,991m tubería alcantarillado Cerro Guayabal, 477 predios. RDC 2024: contratos en inicio Colorado/Paola/El Padrino + estudios definitivos AASS Fase I Eloy Alfaro.</t>
  </si>
  <si>
    <t>0→1 si hay proceso SERCOP</t>
  </si>
  <si>
    <t>0→0.40 si hay estudios</t>
  </si>
  <si>
    <t>Cédulas GAD 2024; POA 2024 GAD; proceso SERCOP de pre-factibilidad</t>
  </si>
  <si>
    <t>D-MAD!E6</t>
  </si>
  <si>
    <t>D-MAD!G6</t>
  </si>
  <si>
    <t>+9.1pp si Vi=0→1</t>
  </si>
  <si>
    <t>↻ Ti 0→0.15 (gestiones)</t>
  </si>
  <si>
    <t>GAD Planificación / Proyectos Estratégicos</t>
  </si>
  <si>
    <t>RDC 2024 p.11: Terreno MSP identificado + anteproyecto solicitado a ULEAM + acercamientos convenio MSP. Sin SERCOP. Vi=0 se mantiene. Mayor impacto potencial si llega convenio (+9.1pp).</t>
  </si>
  <si>
    <t>0.40–0.60 según documentación</t>
  </si>
  <si>
    <t>POA 2024 GAD; cédulas 2024; proceso SERCOP de estudios</t>
  </si>
  <si>
    <t>D-MAD!E7</t>
  </si>
  <si>
    <t>D-MAD!G7</t>
  </si>
  <si>
    <t>±1pp</t>
  </si>
  <si>
    <t>↑ Ti mejorado a 0.45</t>
  </si>
  <si>
    <t>GAD Proyectos Estratégicos</t>
  </si>
  <si>
    <t>RDC 2023 p.4: Informe de necesidad para estudio de macro movilidad para definir ubicación/modelo del nuevo terminal. RDC 2024 sin mención.</t>
  </si>
  <si>
    <t>0→1 si informe viabilidad existe</t>
  </si>
  <si>
    <t>0→0.20 si hay estudios iniciales</t>
  </si>
  <si>
    <t>Cédulas GAD 2024; POA 2024; informe técnico de Servicios Públicos</t>
  </si>
  <si>
    <t>D-MAD!E8</t>
  </si>
  <si>
    <t>D-MAD!G8</t>
  </si>
  <si>
    <t>+2.1pp si Vi=0→1</t>
  </si>
  <si>
    <t>↓ DESPRIORITIZADO</t>
  </si>
  <si>
    <t>GAD Servicios Públicos / Planificación</t>
  </si>
  <si>
    <t>RDC 2024 p.3: 'Se Despriorizó la construcción de un camal'. Terreno reorientado a plaza comercial para comerciantes informales. Vi=0 y Ti=0 confirmados. EROSION DEL COMPROMISO.</t>
  </si>
  <si>
    <t>1.0 (confirmado)</t>
  </si>
  <si>
    <t>Cédulas Patronato 2023–2024; POA Patronato 2023</t>
  </si>
  <si>
    <t>D-MAD!E9</t>
  </si>
  <si>
    <t>D-MAD!G9</t>
  </si>
  <si>
    <t>0 (estable)</t>
  </si>
  <si>
    <t>→ Sin cambio esperado</t>
  </si>
  <si>
    <t>RDC 2023 p.6: CDBV repotenciado a 24h con 67,459 beneficiarios. RDC 2024: proyectos remodelación CDBV con estudios definitivos. Vi=1 Ti=1 confirmados.</t>
  </si>
  <si>
    <t>0→1 si POA Patronato registra el vehículo</t>
  </si>
  <si>
    <t>0→0.50 si hay operación documentada</t>
  </si>
  <si>
    <t>POA 2023–2024 Patronato; cédulas Patronato; inventario de bienes municipales</t>
  </si>
  <si>
    <t>D-MAD!E11</t>
  </si>
  <si>
    <t>D-MAD!G11</t>
  </si>
  <si>
    <t>+1.1pp si Vi=0→1</t>
  </si>
  <si>
    <t>↑ Ti mejorado a 0.50</t>
  </si>
  <si>
    <t>Patronato Municipal / Dir. Financiera</t>
  </si>
  <si>
    <t>RDC 2023: USMC activa puerta a puerta 2,142 personas + 912 exámenes. RDC 2024: 3,743 atenciones brigadas médicas. Servicio documentado. Vi=0 se mantiene (falta OC del vehículo).</t>
  </si>
  <si>
    <t>0→1 si hay convenio MIES formalizado</t>
  </si>
  <si>
    <t>0→0.30 si hay actividades registradas</t>
  </si>
  <si>
    <t>POA 2023–2024 Patronato; cédulas Patronato; convenio MIES si existe</t>
  </si>
  <si>
    <t>D-MAD!E14</t>
  </si>
  <si>
    <t>D-MAD!G14</t>
  </si>
  <si>
    <t>+0.4pp si Vi=0→1</t>
  </si>
  <si>
    <t>→ Sin cambio (Sin RDC)</t>
  </si>
  <si>
    <t>Patronato Municipal / MIES</t>
  </si>
  <si>
    <t>Sin evidencia de guarderías nocturnas en RDC 2023 ni 2024. Vi=0 Ti=0 confirmados. Requiere POA Patronato o convenio MIES para actualizar.</t>
  </si>
  <si>
    <t>0.30–0.50 según cédulas</t>
  </si>
  <si>
    <t>Cédulas GAD 2023–2024 (operación plantas); POA 2024 GAD</t>
  </si>
  <si>
    <t>D-MAD!E12</t>
  </si>
  <si>
    <t>D-MAD!G12</t>
  </si>
  <si>
    <t>↑ Ti mejorado a 0.40</t>
  </si>
  <si>
    <t>GAD Dir. Agua Potable y Alcantarillado</t>
  </si>
  <si>
    <t>RDC 2023 p.7: postulación PTAR Eloy Alfaro a BDE-PROGAPSA + gestión terreno. RDC 2024 p.12: estudios definitivos CONSTRUCCIÓN CERRAMIENTO PTAR. Financiamiento en progreso.</t>
  </si>
  <si>
    <t>0.20–0.40 según cédulas</t>
  </si>
  <si>
    <t>Cédulas GAD 2023–2024 (Empresa de Aseo); POA 2024 GAD</t>
  </si>
  <si>
    <t>D-MAD!E15</t>
  </si>
  <si>
    <t>D-MAD!G15</t>
  </si>
  <si>
    <t>±0.5pp</t>
  </si>
  <si>
    <t>↑ Ti mejorado a 0.30</t>
  </si>
  <si>
    <t>Empresa de Aseo Municipal</t>
  </si>
  <si>
    <t>RDC 2023: cobertura recolección ampliada. RDC 2024: 4ta Reforma Ordenanza tasa basura sancionada + Empresa Aseo Integral. Sin relleno nuevo. Ti sube por normativa y cobertura.</t>
  </si>
  <si>
    <t>0→1 si POA Patronato registra el albergue</t>
  </si>
  <si>
    <t>0→0.20 si hay operación básica</t>
  </si>
  <si>
    <t>POA 2023–2024 Patronato; cédulas Patronato; informe Participación Ciudadana</t>
  </si>
  <si>
    <t>D-MAD!E20</t>
  </si>
  <si>
    <t>D-MAD!G20</t>
  </si>
  <si>
    <t>+0.07pp si Vi=0→1</t>
  </si>
  <si>
    <t>↑ Vi=1 Ti=0.35</t>
  </si>
  <si>
    <t>Patronato Municipal / Participación Ciudadana</t>
  </si>
  <si>
    <t>RDC 2023: 240 beneficiarios campañas + borrador ordenanza. RDC 2024: 172 castraciones + 1,439 atenciones + CERTIFICACIÓN Nº017-2024 ordenanza emitida. Vi=1 por soporte documental oficial.</t>
  </si>
  <si>
    <t>0→1 si hay factura/reporte TICS formalizado</t>
  </si>
  <si>
    <t>0→0.50 si sistema operativo documentado</t>
  </si>
  <si>
    <t>Cédulas GAD 2024 (TICS); informe técnico Dir. TICS; factura SERCOP del sistema</t>
  </si>
  <si>
    <t>D-MAD!E17</t>
  </si>
  <si>
    <t>D-MAD!G17</t>
  </si>
  <si>
    <t>+0.3pp si Vi=0→1</t>
  </si>
  <si>
    <t>↑ Ti=0.20 (alarmas)</t>
  </si>
  <si>
    <t>GAD Dir. TICS / Seguridad</t>
  </si>
  <si>
    <t>RDC 2024 p.3: 15 alarmas comunitarias instaladas. Estudio suelo bomberos Leonidas Proaño. Son alarmas, no cámaras centrales. Vi=0 se mantiene (falta factura SERCOP del sistema).</t>
  </si>
  <si>
    <t>0→1 si hay estudios definitivos formalizados</t>
  </si>
  <si>
    <t>0→0.10 si hay estudios avanzados</t>
  </si>
  <si>
    <t>Cédulas GAD 2024; POA 2024 GAD; informes Dir. Agua Potable</t>
  </si>
  <si>
    <t>D-MAD!E23</t>
  </si>
  <si>
    <t>D-MAD!G23</t>
  </si>
  <si>
    <t>+0.5pp si Vi=0→1</t>
  </si>
  <si>
    <t>↑ Vi=1 Ti=0.25</t>
  </si>
  <si>
    <t>GAD Dir. Agua Potable</t>
  </si>
  <si>
    <t>RDC 2024 p.7+12+13: financiamiento listo + estudios definitivos (rediseño oct.2024) + 3 convenios firmados (Rocafuerte, Portoviejo, Jaramijó) + 5 tanques reserva instalados. Vi=1 confirmado.</t>
  </si>
  <si>
    <t>0→1 si hay plan de manejo o expediente formal</t>
  </si>
  <si>
    <t>0→0.20 si hay gestión documentada</t>
  </si>
  <si>
    <t>Cédulas GAD 2023; informe obra escollera; expediente Premio Verde BDE</t>
  </si>
  <si>
    <t>D-MAD!E21</t>
  </si>
  <si>
    <t>D-MAD!G21</t>
  </si>
  <si>
    <t>+0.05pp si Vi=0→1</t>
  </si>
  <si>
    <t>↑ Vi=1 Ti=0.30</t>
  </si>
  <si>
    <t>GAD Dir. Cultura y Turismo</t>
  </si>
  <si>
    <t>RDC 2023 p.7: postulación Premio Verde BDE. RDC 2024 p.9+12: certificado ambiental emitido + estudios definitivos PROYECTO ECOTURÍSTICO MANGLAR VIVO 25/03/2024. Vi=1 por docs oficiales.</t>
  </si>
  <si>
    <t>▌ C — PROTOCOLO DE ACTUALIZACIÓN DEL MODELO CUANDO LLEGUEN LOS DOCUMENTOS</t>
  </si>
  <si>
    <t>🔵 SECCIÓN C — PROTOCOLO DE ACTUALIZACIÓN DEL MODELO · Pasos a seguir cuando lleguen los documentos s</t>
  </si>
  <si>
    <t>ACCIÓN</t>
  </si>
  <si>
    <t>HOJA / CAMPO</t>
  </si>
  <si>
    <t>CELDAS</t>
  </si>
  <si>
    <t>EFECTO EN CASCADA</t>
  </si>
  <si>
    <t>HOJAS AFECTADAS</t>
  </si>
  <si>
    <t>REFERENCIA</t>
  </si>
  <si>
    <t>VERIFICAR EN</t>
  </si>
  <si>
    <t>Actualizar Vi en D-MAD</t>
  </si>
  <si>
    <t>D-MAD › col. E</t>
  </si>
  <si>
    <t>E4:E22</t>
  </si>
  <si>
    <t>Vi×Ei×Ti → col.H → E1-ICPI → E2-RESUL → Dashboard</t>
  </si>
  <si>
    <t>D-MAD · E1-ICPI · E2-RESUL · Dashboard</t>
  </si>
  <si>
    <t>D-MAD!E4:E22</t>
  </si>
  <si>
    <t>E1-ICPI · E2-RESUL</t>
  </si>
  <si>
    <t>Actualizar Ti en D-MAD</t>
  </si>
  <si>
    <t>D-MAD › col. G</t>
  </si>
  <si>
    <t>G4:G22</t>
  </si>
  <si>
    <t>D-MAD!G4:G22</t>
  </si>
  <si>
    <t>Revisar Ei — Patronato</t>
  </si>
  <si>
    <t>D-MAD › col. F</t>
  </si>
  <si>
    <t>F9, F11, F14, F20</t>
  </si>
  <si>
    <t>Ei=1.0 (directa) vs 0.9 (adscrita) → cambia Vi×Ei×Ti → recalcula ICPI</t>
  </si>
  <si>
    <t>D-MAD · E1-ICPI · E3-Consist</t>
  </si>
  <si>
    <t>D-MAD!F9,F11,F14,F20</t>
  </si>
  <si>
    <t>E1-ICPI · E3-Consist</t>
  </si>
  <si>
    <t>Documentar fuente en notas</t>
  </si>
  <si>
    <t>D-MAD › col. I</t>
  </si>
  <si>
    <t>I4:I22</t>
  </si>
  <si>
    <t>Registrar cédula, página y fecha exacta del documento que cambió Vi/Ti</t>
  </si>
  <si>
    <t>D-MAD columna I</t>
  </si>
  <si>
    <t>D-MAD!I4:I22</t>
  </si>
  <si>
    <t>D-MAD col. I</t>
  </si>
  <si>
    <t>Registrar en Sección A</t>
  </si>
  <si>
    <t>P-VERIFICACION › cols. L y M</t>
  </si>
  <si>
    <t>L6:M15</t>
  </si>
  <si>
    <t>Mantener trazabilidad: cuándo llegó el doc. y qué variable cambió</t>
  </si>
  <si>
    <t>P-VERIF · Sección A</t>
  </si>
  <si>
    <t>P-VERIF!L6:M15</t>
  </si>
  <si>
    <t>Sección A L:M</t>
  </si>
  <si>
    <t>Actualizar N-BRECHA y L-PDOT</t>
  </si>
  <si>
    <t>N-BRECHA · L-PDOT</t>
  </si>
  <si>
    <t>Filas por meta</t>
  </si>
  <si>
    <t>Nuevos Vi/Ti deben reflejarse en análisis de brecha — revisar semáforos</t>
  </si>
  <si>
    <t>Recalcular O-RESUMEN y verificar coherencia H-MVCI</t>
  </si>
  <si>
    <t>O-RESUMEN › secc. A</t>
  </si>
  <si>
    <t>B4 — ICPI Global</t>
  </si>
  <si>
    <t>ICPI se recalcula desde E1-ICPI. Actualizar nota versión. Luego verificar H-MVCI: coherencia interna debe ser 100% tras cualquier cambio de Vi/Ti</t>
  </si>
  <si>
    <t>O-RESUMEN · H-MVCI · Dashboard</t>
  </si>
  <si>
    <t>O-RESUMEN!B4 · H-MVCI!A1</t>
  </si>
  <si>
    <t>O-RESUMEN + H-MVCI</t>
  </si>
  <si>
    <t>🔴 SECCIÓN D — SEMÁFORO DE ESTADO EJECUTIVO Y RUTA CRÍTICA DE OBTENCIÓN DOCUMENTAL</t>
  </si>
  <si>
    <t>DOCUMENTO</t>
  </si>
  <si>
    <t>ΔICPI MÁX. POSIBLE</t>
  </si>
  <si>
    <t>ACCIÓN INMEDIATA RECOMENDADA</t>
  </si>
  <si>
    <t>CANAL DE ACCESO</t>
  </si>
  <si>
    <t>PLAZO ESTIMADO</t>
  </si>
  <si>
    <t>BLOQUEA META PDOT CLAVE</t>
  </si>
  <si>
    <t>Cédulas Presupuestarias GAD 2023</t>
  </si>
  <si>
    <t>⚠️</t>
  </si>
  <si>
    <t>+/– 8pp ICPI</t>
  </si>
  <si>
    <t>Solicitar vía LOTAIP Art. 18 + of. formal a Dir. Financiera</t>
  </si>
  <si>
    <t>Portal LOTAIP / Dir. Financiera GAD</t>
  </si>
  <si>
    <t>15 días hábiles (LOTAIP)</t>
  </si>
  <si>
    <t>TER-14, TER-03, TER-02, AMB-07, AMB-08</t>
  </si>
  <si>
    <t>Cédulas Presupuestarias GAD 2024</t>
  </si>
  <si>
    <t>+/– 6pp ICPI</t>
  </si>
  <si>
    <t>Solicitar vía LOTAIP. Cruzar con PAC 2024 en A-PDOT</t>
  </si>
  <si>
    <t>TER-14, TER-03, SOC-15, INS-03, INS-05</t>
  </si>
  <si>
    <t>POA 2023 del GAD</t>
  </si>
  <si>
    <t>Corrige Ti: TER-03, TER-09</t>
  </si>
  <si>
    <t>Solicitar a Dir. Planificación. Verificar código ID PDOT Plan Bicentenario en metas POA</t>
  </si>
  <si>
    <t>Portal LOTAIP / SIGAD / Concejo Municipal</t>
  </si>
  <si>
    <t>TER-14, TER-03, TER-09, TER-10, SOC-02</t>
  </si>
  <si>
    <t>POA 2024 del GAD</t>
  </si>
  <si>
    <t>Ti definitivos 2024 para 6 metas</t>
  </si>
  <si>
    <t>Solicitar a Dir. Planificación. Verificar vinculación explícita al PDOT Plan Bicentenario</t>
  </si>
  <si>
    <t>Portal LOTAIP / SIGAD</t>
  </si>
  <si>
    <t>POA 2023-2024 del Patronato</t>
  </si>
  <si>
    <t>+2pp si Vi↑1 en SOC-07 y SOC-04</t>
  </si>
  <si>
    <t>Of. formal a Dir. Patronato. Verificar si POA propio o articulado al GAD</t>
  </si>
  <si>
    <t>LOTAIP del Patronato / Dir. Patronato</t>
  </si>
  <si>
    <t>Cédulas Presupuestarias Patronato 2023-2024</t>
  </si>
  <si>
    <t>Patronato / Dir. Financiera GAD</t>
  </si>
  <si>
    <t>Confirma/ajusta Ei (0.9 vs 1.0) eje social</t>
  </si>
  <si>
    <t>Solicitar a Dir. Financiera GAD. Revisar si Patronato tiene CUR propio o usa transferencias</t>
  </si>
  <si>
    <t>LOTAIP del Patronato / Dir. Financiera GAD</t>
  </si>
  <si>
    <t>GAD Municipal Montecristi / CPCCS</t>
  </si>
  <si>
    <t>✅ RECIBIDO Y PROCESADO</t>
  </si>
  <si>
    <t>Referencia cruzada las 20 metas</t>
  </si>
  <si>
    <t>Descargar de portal CPCCS (cpccs.gob.ec). Cruzar con video discurso rendición de cuentas</t>
  </si>
  <si>
    <t>cpccs.gob.ec / LOTAIP municipal</t>
  </si>
  <si>
    <t>Disponible en línea — inmediato</t>
  </si>
  <si>
    <t>Todas las 20 metas (detección Erosión del Compromiso)</t>
  </si>
  <si>
    <t>Base contraste ICPI vs ICM (F-BI)</t>
  </si>
  <si>
    <t>Descargar de portal CPCCS. Contrastar con ICM SIGAD en F-BI para calcular Brecha de Integridad</t>
  </si>
  <si>
    <t>Todas las 20 metas (ICM SIGAD vs ICPI — F-BI)</t>
  </si>
  <si>
    <t>Informe técnico / Factura SERCOP — TICS (SOC-15)</t>
  </si>
  <si>
    <t>GAD Dir. TICS / SERCOP</t>
  </si>
  <si>
    <t>+0.3pp si Vi↑1</t>
  </si>
  <si>
    <t>Solicitar factura SERCOP del sistema cámaras a Dir. TICS. El sistema existe físicamente</t>
  </si>
  <si>
    <t>portal.compraspublicas.gob.ec / Dir. TICS</t>
  </si>
  <si>
    <t>5 días hábiles (consulta interna)</t>
  </si>
  <si>
    <t>SOC-15 (Central Monitoreo / Cámaras)</t>
  </si>
  <si>
    <t>Proceso SERCOP pre-factibilidad (SOC-02 Centro Salud)</t>
  </si>
  <si>
    <t>GAD Planificación / SERCOP</t>
  </si>
  <si>
    <t>Buscar en portal SERCOP. Si existe proceso, SOC-02 cambia completamente. Meta de mayor impacto</t>
  </si>
  <si>
    <t>portal.compraspublicas.gob.ec / Planificación GAD</t>
  </si>
  <si>
    <t>Inmediato (búsqueda en portal público)</t>
  </si>
  <si>
    <t>SOC-02 (Centro de Salud Tipo C) — MAYOR IMPACTO ICPI</t>
  </si>
  <si>
    <t>🔴 ⚡ POTENCIAL TOTAL ACUMULADO SI SE OBTIENEN S LOS DOCUMENTOS CRÍTICOS</t>
  </si>
  <si>
    <t>🔴 Escenario optimista si llegan s los documentos críticos</t>
  </si>
  <si>
    <t>Meta de mayor impacto individual</t>
  </si>
  <si>
    <t>Número de documentos s CRÍTICOS</t>
  </si>
  <si>
    <t>Número de documentos s ALTA prioridad</t>
  </si>
  <si>
    <t>Documentos obtenibles de inmediato (portales públicos)</t>
  </si>
  <si>
    <t>Documentos que requieren solicitud LOTAIP formal</t>
  </si>
  <si>
    <t>Variables que cambiarán en D-MAD cuando lleguen los documentos (Vi y/o Ti)</t>
  </si>
  <si>
    <t>Ver E1-ICPI — ACTUALIZADO</t>
  </si>
  <si>
    <t>+1.215pp confirmados con RDC 2023+2024 (8.40→9.615 puntaje forense)</t>
  </si>
  <si>
    <t>Hasta +10pp adicionales si llegan cédulas presupuestarias GAD + POA + docs Patronato</t>
  </si>
  <si>
    <t>TER-10 Camal: DESPRIORITIZADO oficialmente (Erosión del Compromiso detectada)</t>
  </si>
  <si>
    <t>8 s (docs 1–8). 2 CPCCS ya recibidos y procesados.</t>
  </si>
  <si>
    <t>3 (docs 7, 8, 9)</t>
  </si>
  <si>
    <t>✅ 0 s — CPCCS 2023 y 2024 ya procesados</t>
  </si>
  <si>
    <t>8 aún s vía LOTAIP Art. 18</t>
  </si>
  <si>
    <t>4 metas Vi=1 nuevas: SOC-08, TER-15, ECO-12 elevadas. TER-10 confirmada Vi=0 desprioritizada.</t>
  </si>
  <si>
    <t>💡 RUTA CRÍTICA ACTUALIZADA: (1) ✅ CPCCS procesados — (2) Enviar solicitud LOTAIP formal a Dir. Financiera GAD (cédulas 2023-2024) → (3) Solicitud LOTAIP a Dir. Patronato (POA + cédulas SOC-03/07/04/08) → (4) Buscar factura SERCOP sistema cámaras SOC-15 en Dir. TICS → (5) Confirmar convenio MSP para SOC-02 (mayor impacto +9.1pp) → (6) Actualizar versión del modelo. HALLAZGO CLAVE: TER-10 CAMAL = EROSIÓN DEL COMPROMISO CONFIRMADA.</t>
  </si>
  <si>
    <t>🟩 SECCIÓN E — PANEL DE ESTADO SIAP-ICPI · Diagnóstico automático coherencia inter-módulos · Actualización: auto</t>
  </si>
  <si>
    <t>MÓDULO / INDICADOR</t>
  </si>
  <si>
    <t>ESPERADO / META</t>
  </si>
  <si>
    <t>≥ 70% Mandato</t>
  </si>
  <si>
    <t>Fuente única: E1-ICPI!G25</t>
  </si>
  <si>
    <t>Fuente: L-CEDULAS!H26 (eSIGEF)</t>
  </si>
  <si>
    <t>Vi_cadena=1 (D-MAD!X)</t>
  </si>
  <si>
    <t>20/20 óptimo</t>
  </si>
  <si>
    <t>Fuente: D-MAD col X (Vi_CADENA)</t>
  </si>
  <si>
    <t>◆ LIMITACIONES ◆ Alcance y Limitaciones del Instrumento · SIAP-ICPI</t>
  </si>
  <si>
    <t>🔷 ALCANCE Y LIMITACIONES · Muestra n=20/35 · Supuestos Pi/Ri/Vi/Ti · Restricciones melógicas</t>
  </si>
  <si>
    <t>ACCESO</t>
  </si>
  <si>
    <t>Opacidad en portales LOTAIP municipales y silos de información inaccesibles. La fragmentación de los sistemas estatales genera barreras técnicas que impiden contrastar la planificación PDOT frente a la ejecución real.</t>
  </si>
  <si>
    <t>Subestimacion — Sesgo Conservador</t>
  </si>
  <si>
    <t>Principio de precaucion forense: ante ausencia de evidencia fisica verificable se asigna Vi = 0. La opacidad administrativa = inexistencia legal de la gestion. Fundamento: Art. 7 LOTAIP.</t>
  </si>
  <si>
    <t>TEMPORAL</t>
  </si>
  <si>
    <t>Corte de datos al 31 de diciembre de 2024. Periodos fiscales analizados: 2023-2024. Avances fisicos o documentales posteriores a esta fecha no forman parte del universo de verificacion.</t>
  </si>
  <si>
    <t>Estatico — Sin variacion posterior</t>
  </si>
  <si>
    <t>No introduce sesgo: el ICPI es una fotografia forense del estado del mandato al cierre del periodo fiscal. El Factor Ti penaliza explicitamente la inejecucion dentro del periodo.</t>
  </si>
  <si>
    <t>Se aclara que avances posteriores al corte no retroactuan sobre el ICPI calculado. El modelo es escalable: puede aplicarse en nuevos periodos sin alterar la estructura algoritmica.</t>
  </si>
  <si>
    <t>MUESTRAL</t>
  </si>
  <si>
    <t>Se auditan 20 de 67 metas del PDOT Plan Bicentenario 2023-2027. Muestra Estrategica Ponderada distribuida por eje: Territorial (5), Social (4), Ambiental (4), Economico (4) e Institucional (3). Criterio: representatividad presupuestaria + competencias COOTAD.</t>
  </si>
  <si>
    <t>Representatividad Financiera Alta</t>
  </si>
  <si>
    <t>La muestra cubre el 86,94% del presupuesto total de la gestion. La representatividad no es numerica sino financiera: las 20 metas auditadas concentran la inversion estrategica del mandato.</t>
  </si>
  <si>
    <t>Criterio de inclusion: metas con mayor peso presupuestario y de competencia exclusiva del GAD segun COOTAD. El ITME (67 metas) garantiza que ninguna meta sea excluida del inventario base.</t>
  </si>
  <si>
    <t>TECNICA</t>
  </si>
  <si>
    <t>Dependencia de la veracidad de los reportes del SIGAD para el contraste con el ICPI. Los datos del SIGAD son aceptados como 'verdad legal oficial' — si el SIGAD miente sistematicamente, el ICM seria aun mas bajo.</t>
  </si>
  <si>
    <t>El ICPI contrasta los datos auto-reportados en SIGAD con evidencia documental verificable, identificando brechas de cumplimiento real vs. reportado mediante verificación forense inde.</t>
  </si>
  <si>
    <t>El modelo SIAP-ICPI asume los datos oficiales del SIGAD como dato oficial de partida para el calculo del Anexo F. El cruce con SERCOP/LOTAIP actua como contrapeso documental inde.</t>
  </si>
  <si>
    <t>🛡️ MELOGÍA DE VALIDACIÓN Y VERIFICACIÓN · SIAP-ICPI Sistema de Auditoría Programática GAD Montecristi</t>
  </si>
  <si>
    <t>VALIDEZ INTERNA</t>
  </si>
  <si>
    <t>Coherencia univoca entre el marco melógico SIAP-ICPI y el diseño operativo. Cada variable del ICPI (Vi, Pi, Ei, Ti, Ri) deriva directamente de los constructos analiticos definidos en §3.5, evitando cualquier disonancia o inferencia espuria.</t>
  </si>
  <si>
    <t>✅ Garantizada</t>
  </si>
  <si>
    <t>Variables del ICPI ancladas al protocolo operativo SIAP-ICPI §3.5-3.8. Escalas métricas operacionales discretas y reglas de normalizacion inalterables eliminan la discrecionalidad del investigador.</t>
  </si>
  <si>
    <t>Hoja MVCI (Verificación de Coherencia Interna): garantiza que los datos financieros y técnicos sean transversales y consistentes en el modelo SIAP-ICPI.</t>
  </si>
  <si>
    <t>CONFIABI- LIDAD</t>
  </si>
  <si>
    <t>Criterios de codificacion y ponderacion explicitados exhaustivamente en cada fase del analisis forense. Escalas discretas y reglas de normalizacion inalterables reducen al minimo la subjetividad interpretativa.</t>
  </si>
  <si>
    <t>Logica binaria Vi (0/1) elimina subjetividad. Triple filtro de validacion SIAP: existencia + relevancia + presupuesto. Criterios objetivos y auditables.</t>
  </si>
  <si>
    <t>La melogia SIAP-ICPI adopta verificacion binaria estricta: no se admiten valores intermedios. La opacidad = 0 por principio forense, no por interpretacion subjetiva.</t>
  </si>
  <si>
    <t>REPLICA- BILIDAD</t>
  </si>
  <si>
    <t>Garantizada por el uso exclusivo de informacion publica oficial y por la transparencia integral del procedimiento analitico. Cualquier actor de la sociedad civil puede aplicar la MCI y obtener resultados tecnicamente equivalentes.</t>
  </si>
  <si>
    <t>✅ Total</t>
  </si>
  <si>
    <t>El ICPI es un instrumento transferible y escalable a otros GADs. Establece un nuevo estándar en auditoría de integridad programática en Ecuador. Fuentes: PDOT, SERCOP, SIGAD, LOTAIP — todas públicas.</t>
  </si>
  <si>
    <t>La MCI puede ser replicada por Contraloria, CPCCS, academicos o ciudadanos aplicando los mismos criterios. El modelo no depende de acceso privilegiado a informacion reservada.</t>
  </si>
  <si>
    <t>⚠️ CONSIDERACIONES ÉTICAS Y ALCANCE DEL DIAGNÓSTICO PROGRAMÁTICO · SIAP-ICPI §3.9</t>
  </si>
  <si>
    <t>ÉTICA PROFESIONAL</t>
  </si>
  <si>
    <t>La diagnóstico programático se rige por principios de ética profesional y responsabilidad técnica. El estudio se abstiene de emitir juicios de valor politicos ajenos a la evidencia empirica. Todo el analisis se circunscribe a la interpretacion tecnica de informacion oficial. (SIAP-ICPI §3.9)</t>
  </si>
  <si>
    <t>No politico — Tecnico-Forense</t>
  </si>
  <si>
    <t>Los resultados no constituyen un juicio politico sobre personas sino un diagnostico tecnico sobre sistemas. La Brecha de Integridad es un hallazgo melogico, no una acusacion.</t>
  </si>
  <si>
    <t>El SIAP-ICPI respeta los estandares de integridad cientifica propios de la administracion publica contemporanea. Los resultados son hallazgos forenses basados en evidencia, no opiniones.</t>
  </si>
  <si>
    <t>ALCANCE DEMOSTRA- TIVO</t>
  </si>
  <si>
    <t>Los valores numéricos corresponden a un ejercicio de verificación documental con datos provenientes de fuentes oficiales del Estado: PDOT Plan Bicentenario 2023-2027, portal SERCOP, cédulas presupuestarias eSIGEF y registros SIGAD. Toda la información es pública y auditable.</t>
  </si>
  <si>
    <t>Verificación Documental — Fuentes oficiales del Estado</t>
  </si>
  <si>
    <t>El aporte cientifico radica en la VALIDACION MELOGICA del modelo ICPI, no en la auditoria factica de la gestion especifica. Los resultados demuestran la aplicabilidad tecnica del sistema.</t>
  </si>
  <si>
    <t>El modelo es replicable con datos 100% reales en una auditoria de mayor alcance institucional. La estructura algoritmica permanece intacta. (SIAP-ICPI §4.1)</t>
  </si>
  <si>
    <t>EXTENSIÓN CPCCS</t>
  </si>
  <si>
    <t>La verificación dual CPCCS (Informe PDF + Discurso Público en video) propuesta en §3.4 constituye una extensión operativa para implementación futura del SIAP-ICPI por el GAD Montecristi o cualquier GAD Municipal del Ecuador.</t>
  </si>
  <si>
    <t>Extensión operativa futura — Escalable</t>
  </si>
  <si>
    <t>El modelo ICPI esta disenado para incorporar la variable CPCCS sin alterar la estructura del algoritmo. Estudios previos (2019-2022) evidencian brechas 12-18% entre informe y discurso publico.</t>
  </si>
  <si>
    <t>El sistema prevé la incorporación futura de verificación automática de discurso público mediante procesamiento de audio (IA) para escalabilidad de la verificación dual CPCCS. (SIAP-ICPI §3.4.3)</t>
  </si>
  <si>
    <t>⚙️ ALCANCE DEL SISTEMA · Consideraciones Técnicas y Operativas del SIAP-ICPI GAD Montecristi</t>
  </si>
  <si>
    <t>MUESTRA</t>
  </si>
  <si>
    <t>20 metas auditadas de 67 totales (ITME)</t>
  </si>
  <si>
    <t>29,85% en cantidad</t>
  </si>
  <si>
    <t>86,94% del presupuesto total</t>
  </si>
  <si>
    <t>Representatividad financiera ALTA — valida el modelo</t>
  </si>
  <si>
    <t>SESGO NETO</t>
  </si>
  <si>
    <t>Direccion: subestimacion</t>
  </si>
  <si>
    <t>Las limitaciones refuerzan la el Déficit Programático: si el sesgo es a la baja y la brecha sigue siendo 55,75 pp, la Gestion por Ocurrencia esta confirmada con margen de seguridad.</t>
  </si>
  <si>
    <t>FUENTES USADAS</t>
  </si>
  <si>
    <t>PDOT Plan Bicentenario · SERCOP (contratos y PAC) · eSIGEF (ejecución presupuestaria) · SIGAD (ICM oficial) · LOTAIP (portales de transparencia) · CPCCS (rendición de cuentas)</t>
  </si>
  <si>
    <t>Todas oficiales y publicas</t>
  </si>
  <si>
    <t>6 silos institucionales verificados</t>
  </si>
  <si>
    <t>Ninguna fuente privada o confidencial. Total replicabilidad ciudadana. El SIAP no depende de acceso privilegiado.</t>
  </si>
  <si>
    <t>◆ GLOSARIO ◆ Glosario de Términos SIAP-ICPI · SIAP-ICPI</t>
  </si>
  <si>
    <t>🔷 GLOSARIO SIAP-ICPI · Términos técnicos y normativos · Definición + base legal + referencia</t>
  </si>
  <si>
    <t>PDOT (Ref. Institucional)</t>
  </si>
  <si>
    <t>Plan de Desarrollo y Ordenamiento Territorial. Instrumento de planificación estratégica que establece las metas de gestión del GAD Municipal. El PDOT Plan Bicentenario 2023-2027 es la BASE PRIMARIA del sistema SIAP-ICPI — define las metas, indicadores y presupuestos que audita el instrumento conforme a COOTAD Art.295-297.</t>
  </si>
  <si>
    <t>Referencia jurídica del programa de gobierno. El Plan de Gobierno registrado ante el CNE constituye el antecedente del PDOT cantonal — instrumento operativo del SIAP-ICPI.</t>
  </si>
  <si>
    <t>COOTAD</t>
  </si>
  <si>
    <t>Código Orgánico de Organización Territorial, Autonomía y Descentralización. Dictamina que los GAD deben regirse por principios de transparencia y rendición de cuentas (Art. 3, 215 y 266).</t>
  </si>
  <si>
    <t>Fuente de validación de competencias exclusivas del GAD. Prohíbe la Gestión por Ocurrencia al exigir que el POA esté articulado al PDOT.</t>
  </si>
  <si>
    <t>LOTAIP</t>
  </si>
  <si>
    <t>Ley Orgánica de Transparencia y Acceso a la Información Pública. Obliga a la publicación de planes operativos y metas en portales institucionales (Art. 7).</t>
  </si>
  <si>
    <t>Fuente primaria para verificar la Fuga del Verbo Rector y la metamorfosis del compromiso democrático. Mecanismo legal para obtención de evidencia.</t>
  </si>
  <si>
    <t>SERCOP</t>
  </si>
  <si>
    <t>Servicio Nacional de Contratación Pública. Portal de compras públicas que registra procesos de licitación, PAC y contratos adjudicados.</t>
  </si>
  <si>
    <t>Fuente primaria para verificar la ejecución económica real. Nodo 5 de la CIM. Variable Vi = 1 si el contrato existe en SERCOP.</t>
  </si>
  <si>
    <t>PDOT</t>
  </si>
  <si>
    <t>Plan de Desarrollo y Ordenamiento Territorial. Instrumento de planificación estratégica del GAD. BASE PRIMARIA del SIAP-ICPI. Define las metas, indicadores y presupuestos que audita el instrumento.</t>
  </si>
  <si>
    <t>Primera fase de transformación del mandato. El análisis de congruencia entre el PDOT Plan Bicentenario y el PDOT detecta la primera instancia de Erosión del Compromiso.</t>
  </si>
  <si>
    <t>§3.6</t>
  </si>
  <si>
    <t>POA</t>
  </si>
  <si>
    <t>Plan Operativo Anual. Instrumento de planificación anual que debe guardar relación unívoca con el PDOT. Trazabilidad POA→PDOT es clave de verificación en el SIAP-ICPI.</t>
  </si>
  <si>
    <t>Segundo filtro de trazabilidad. La desconexión POA→PDOT es indicador temprano de Gestión por Ocurrencia. Verificado en hoja PDOT.</t>
  </si>
  <si>
    <t>eSIGEF</t>
  </si>
  <si>
    <t>Sistema de Administración Financiera del Sector Público. Repositorio de ejecución presupuestaria del Ministerio de Finanzas. Fuente de Ti (ejecución presupuestaria) en el SIAP-ICPI.</t>
  </si>
  <si>
    <t>Verifica el respaldo financiero real de la gestión. Fuente para el cálculo del Factor Pi (Peso Presupuestario) de cada meta.</t>
  </si>
  <si>
    <t>SIGAD</t>
  </si>
  <si>
    <t>Sistema de Información para los Gobiernos Autónomos Descentralizados (Secretaría Nacional de Planificación). Repositorio donde se publica el ICM oficial del GAD. Fuente de validación en el SIAP-ICPI.</t>
  </si>
  <si>
    <t>Fuente del ICM oficial. La discrepancia SIGAD vs. ejecución real forense es el punto crítico que identifica el déficit programático. Contrastado en hoja BRECHA.</t>
  </si>
  <si>
    <t>CPCCS</t>
  </si>
  <si>
    <t>Consejo de Participación Ciudadana y Control Social. Silo de contraloría social. Registra la rendición de cuentas en formato dual: informe técnico PDF + discurso público en video oficial.</t>
  </si>
  <si>
    <t>Estudios CPCCS (2019-2022) evidencian discrepancias promedio 12-18% entre lo que los alcaldes dicen públicamente vs. lo que escriben en el informe técnico.</t>
  </si>
  <si>
    <t>🟩 BLOQUE II — COMPONENTES DE LA FÓRMULA ICPI · Variables Operativas del Algoritmo</t>
  </si>
  <si>
    <t>ICPI • §3.7</t>
  </si>
  <si>
    <t>Variable Vi</t>
  </si>
  <si>
    <t>Variable binaria de control forense. Vi = 1.0 (evidencia localizable, vigente y válida en SERCOP / SIGAD / LOTAIP). Vi = 0.0 (ausencia, extravío o falta de registro). No se admiten valores intermedios.</t>
  </si>
  <si>
    <t>Factor «interruptor»: invalida la integridad del dato. Opacidad administrativa = inexistencia legal de la gestión. Principio forense del SIAP.</t>
  </si>
  <si>
    <t>§3.7.2</t>
  </si>
  <si>
    <t>Factor Pi</t>
  </si>
  <si>
    <t>Peso Presupuestario. Proporción de inversión asignada a la meta frente al total ejecutado en la muestra estratégica (Anexo A-PDOT).</t>
  </si>
  <si>
    <t>Impide que el cumplimiento de metas de bajo costo maquille el abandono de proyectos de infraestructura de alto presupuesto.</t>
  </si>
  <si>
    <t>Factor Ei</t>
  </si>
  <si>
    <t>Factor de Eficiencia Institucional. Mide la trazabilidad según el ejecutor de la meta. Ejecución directa GAD = 1.0 · Entidades adscritas / convenios ≤ 0.9.</t>
  </si>
  <si>
    <t>Penaliza la atomización institucional: dispersar la responsabilidad entre empresas públicas y entidades adscritas reduce la trazabilidad del mandato.</t>
  </si>
  <si>
    <t>Factor Ti</t>
  </si>
  <si>
    <t>Factor de Temporalidad. Parámetro de avance físico y administrativo verificado cronológicamente en los periodos fiscales 2023-2024.</t>
  </si>
  <si>
    <t>Correctivo de la «ilusión administrativa»: distingue entre el registro contable y la materialización real de la obra en el territorio.</t>
  </si>
  <si>
    <t>§3.7.1</t>
  </si>
  <si>
    <t>Factor Ri</t>
  </si>
  <si>
    <t>Coeficiente de Relevancia Social y Constitucional. Escala tripartita: 1.5 (Crítica: derechos fundamentales) · 1.0 (Alta: servicios esenciales) · 0.5 (Media: gestión rutinaria).</t>
  </si>
  <si>
    <t>Normaliza el resultado: el cumplimiento de metas vitales (agua potable, salud) tiene mayor peso en el veredicto final que las actividades administrativas.</t>
  </si>
  <si>
    <t>Factor Ci</t>
  </si>
  <si>
    <t>Coeficiente de Control Orgánico (Imputabilidad). Mide el grado de control directo del GAD sobre la ejecución de la meta según el Estatuto Orgánico y COOTAD. Escala: Ci = 1.0 (GAD ejecuta directamente) · Ci = 0.9 (entidad adscrita / empresa pública / convenio) · Ci = 0.75 (tercero con supervisión). Fuente: C-MAO → D-MAD col P. (SIAP-ICPI §3.7.1)</t>
  </si>
  <si>
    <t>Penaliza la delegación irresponsable: si el GAD pierde control sobre la ejecución al delegar en entes adscritos, el ICPI lo refleja. Ci &lt; 1.0 en 7 de 20 metas. Vinculado a X-ORGANICO y C-MAO. Fórmula: ICPI = Σ(Pi×Ri×Vi×Ei×Ti×Ci) ÷ Σ(Pi×Ri).</t>
  </si>
  <si>
    <t>§3.7.1 C-MAO</t>
  </si>
  <si>
    <t>✨ BLOQUE III — CONCEPTOS ORIGINALES DE AUTORÍA PROPIA · SIAP-ICPI §3.7 — Marco Conceptual Operativo Exclusivo</t>
  </si>
  <si>
    <t>SIAP • §3.7</t>
  </si>
  <si>
    <t>ICPI</t>
  </si>
  <si>
    <t>Índice de Congruencia Programático e Institucional. Sistema métrico que cuantifica el nivel de cumplimiento del PDOT Bicentenario 2023-2027 mediante verificación documental de la ejecución programática y presupuestaria del GAD Municipal de Montecristi. Fórmula: ICPI = [Σ(Vi×Pi×Ei×Ti×Ri×Ci) / Σ(Pi×Ri)] × 100. (SIAP-ICPI §3.7)</t>
  </si>
  <si>
    <t>No mide eficiencia del gasto sino fidelidad del mandato. Rangos: 90-100% Excelencia · 70-89% Gestión por Mandato · 40-69% Transición Crítica · 20-39% Gestión por Ocurrencia · 0-19% Ruptura Total.</t>
  </si>
  <si>
    <t>SIAP</t>
  </si>
  <si>
    <t>Sistema Integrado de Auditoría Programática. Ecosistema melógico implementado en el GAD Montecristi como modelo SIAP-ICPI. Conjunto de matrices interconectadas que somete cada dato a un triple filtro: existencia, relevancia y presupuesto.</t>
  </si>
  <si>
    <t>Marco arquitectónico del instrumento. Garantiza la Trazabilidad Biográfica del Dato en todas las etapas del análisis forense.</t>
  </si>
  <si>
    <t>CIM / CINI</t>
  </si>
  <si>
    <t>Cadena de Integridad Intersistémica: flujo lógico ininterrumpido de información entre los sistemas del Estado (PDOT → POA → eSIGEF → SERCOP → SIGAD → CPCCS). Si un eslabón se rompe, la integridad del dato se corrompe. (SIAP-ICPI §3.7)</t>
  </si>
  <si>
    <t>Cordón umbilical de la gestión pública. La ruptura de la cadena intersistémica es la fuente de la Brecha de Integridad diagnosticada en Montecristi.</t>
  </si>
  <si>
    <t>§3.7 · p.9</t>
  </si>
  <si>
    <t>Trazabilidad Biográfica del Dato</t>
  </si>
  <si>
    <t>Estándar de integridad que describe la trayectoria inalterable de la información pública desde el PDOT hasta su rendición en el SIGAD. La fidelidad se satisface solo cuando el reporte conserva la esencia del objetivo planificado. (SIAP-ICPI §3.7)</t>
  </si>
  <si>
    <t>Condición sine qua non de la transparencia sustantiva. Su ausencia transforma la rendición de cuentas en un simulacro administrativo.</t>
  </si>
  <si>
    <t>§3.7 · p.10</t>
  </si>
  <si>
    <t>Gestión por Mandato</t>
  </si>
  <si>
    <t>Modelo de administración ideal donde la ejecución guarda relación unívoca con las metas del PDOT. El GAD subordina los recursos a la planificación territorial. Alta integridad sistémica — ICPI entre 70-100%. (SIAP-ICPI §3.7)</t>
  </si>
  <si>
    <t>Gestión por Ocurrencia</t>
  </si>
  <si>
    <t>Desviación técnica donde la administración prioriza proyectos con legalidad formal pero ajenos a las metas originales del PDOT. Genera «ilusión de cumplimiento» que oculta la brecha programática real. ICPI &lt; 40%. (SIAP-ICPI §3.7)</t>
  </si>
  <si>
    <t>Patología estructural diagnosticada en Montecristi (DÉFICIT PROGRAMÁTICO CONFIRMADO). La gestión reacciona al día a día desconectada del mandato soberano.</t>
  </si>
  <si>
    <t>Erosión del Compromiso</t>
  </si>
  <si>
    <t>Degradación de la potencia transformadora de la política pública frente a la inercia burocrática. Resultado de procesos como la «fuga del verbo rector» que provocan la pérdida del impacto real en el territorio. (SIAP-ICPI §3.7, pág. 10)</t>
  </si>
  <si>
    <t>Proceso gradual: la meta pierde intensidad política al ser procesada por la estructura municipal. Fuente: IAEN (2020) valida este fenómeno.</t>
  </si>
  <si>
    <t>Fuga del Verbo Rector</t>
  </si>
  <si>
    <t>Proceso donde acciones tangibles se transforman en gestiones administrativas diluidas al transitar por la estructura burocrática municipal, perdiendo la esencia política original. Ej: «Construir parque» → «Gestionar estudios de factibilidad». (SIAP-ICPI §3.7, pág. 10)</t>
  </si>
  <si>
    <t>Mecanismo técnico de la Erosión del Compromiso. Detectado mediante análisis semántico comparado entre PDOT Plan Bicentenario vs. POA en Componente Cualitativo del SIAP.</t>
  </si>
  <si>
    <t>Arqueología Documental Forense (ADF)</t>
  </si>
  <si>
    <t>Mé sistemático de exhumación, decodificación y contraste de registros administrativos. Persigue la reconstrucción de la verdad material mediante la identificación de «fósiles administrativos» (datos huérfanos, documentos sin firma, contratos sin respaldo). (SIAP-ICPI §3.7, pág. 10)</t>
  </si>
  <si>
    <t>Técnica central del SIAP. Trasciende la auditoría convencional: busca la verdad material, no el cumplimiento formal. Aplicada en Anexo D-MAD.</t>
  </si>
  <si>
    <t>ITME</t>
  </si>
  <si>
    <t>Inventario Técnico de Metas PDOT. Catálogo de las 20 metas estratégicas del PDOT Plan Bicentenario 2023-2027 seleccionadas por mayor impacto presupuestario, cada una identificada con código único (COD-META).</t>
  </si>
  <si>
    <t>Línea base del análisis SIAP-ICPI. Garantiza que ninguna meta sea excluida del inventario antes del escrutinio. Asigna el COD-META de trazabilidad. → Ver hoja ITME</t>
  </si>
  <si>
    <t>§3.6 · ITME</t>
  </si>
  <si>
    <t>MCI</t>
  </si>
  <si>
    <t>Matriz de Congruencia Intersistémica. Herramienta de auditoría que actúa como escáner de trazabilidad para contrastar las metas del PDOT frente a los indicadores del SIGAD.</t>
  </si>
  <si>
    <t>Instrumento principal de verificación del SIAP. Replicable por cualquier actor de la sociedad civil: apliquemos la MCI = resultados técnicamente equivalentes.</t>
  </si>
  <si>
    <t>Silos Informativos</t>
  </si>
  <si>
    <t>Unidades operativas que funcionan de manera estanca, acumulando datos que no fluyen ni se integran. «Síndrome del Silo Funcional» (Ensor, 1988). Fuente principal de ruptura de la cadena intersistémica. (SIAP-ICPI §3.5)</t>
  </si>
  <si>
    <t>Explica por qué, a pesar de reportes individuales aparentemente exitosos, la gestión global de Montecristi carece de congruencia real.</t>
  </si>
  <si>
    <t>§3.5 · p.7</t>
  </si>
  <si>
    <t>🟣 BLOQUE IV — ANÁLISIS INSTITUCIONAL Y RESULTADOS · Marcos de Referencia Operativa + Hallazgos del Diagnóstico PDOT</t>
  </si>
  <si>
    <t>§3.5-2.5</t>
  </si>
  <si>
    <t>Principal / Agente</t>
  </si>
  <si>
    <t>Principio de rendición de cuentas pública (COOTAD Art.22): el ciudadano es el Principal, el Alcalde/GAD es el Agente. El PDOT Plan Bicentenario es el contrato programático de gestión. La brecha informática permite al Agente desviarse sin ser detectado. (SIAP-ICPI §3.5)</t>
  </si>
  <si>
    <t>El ICPI restituye el control del Principal sobre el Agente. La falta de congruencia no es error operativo: es manifestacion de asimetria informativa estructural.</t>
  </si>
  <si>
    <t>§3.5 · p.6</t>
  </si>
  <si>
    <t>Accountability</t>
  </si>
  <si>
    <t>Rendición de cuentas bidimensional: answerability (derecho a explicaciones veraces) + enforcement (capacidad coercitiva del Estado). Pierde su valor sin Trazabilidad Biográfica del Dato. Base legal: COOTAD Art.301-309 + CPCCS.</t>
  </si>
  <si>
    <t>El SIAP evalua la rendicion de cuentas como proceso continuo de coherencia logica entre sistemas. Sin trazabilidad, se convierte en simulacro administrativo.</t>
  </si>
  <si>
    <t>§3.6 · p.7</t>
  </si>
  <si>
    <t>Nueva Gestion Publica (NGP)</t>
  </si>
  <si>
    <t>Marco de gestión por resultados que administra el Estado con criterios de eficiencia operativa e indicadores cuantitativos (COOTAD Art.53). Riesgo crítico: la tiranía del indicador donde el cumplimiento presupuestario no se traduce en satisfacción del mandato ciudadano. (SIAP-ICPI §3.8)</t>
  </si>
  <si>
    <t>ICM</t>
  </si>
  <si>
    <t>Anexo F</t>
  </si>
  <si>
    <t>Brecha de Integridad</t>
  </si>
  <si>
    <t>Demuestra como un gobierno local puede ser calificado con excelencia por los organismos de control mientras mantiene una deuda estructural profunda respecto al mandato ciudadano.</t>
  </si>
  <si>
    <t>UAP — Umbral de Alerta Programática</t>
  </si>
  <si>
    <t>Brecha ICPI vs Meta PDOT 2027 ≥ 30 pp = Gestion por Ocurrencia confirmada. Si la brecha es significativa, el sistema de reporte oficial encubre una gestion desconectada del mandato. (SIAP-ICPI §3.6, pag. 5)</t>
  </si>
  <si>
    <t>CONFIRMADA. Brecha = 55,75 pp, superando el Umbral de Alerta Programática (UAP) de 30 pp. Déficit Programático validado con evidencia forense documentada.</t>
  </si>
  <si>
    <t>§3.6 ·</t>
  </si>
  <si>
    <t>UCM — Umbral de Congruencia Mínima</t>
  </si>
  <si>
    <t>No existe brecha programática significativa (≤ 10 pp) entre el ICPI auditado y la Meta PDOT 2027 — ICM oficial, sugiriendo que los sistemas preservan la Trazabilidad Biografica del Dato. (SIAP-ICPI §3.6, pag. 5)</t>
  </si>
  <si>
    <t>UCM: NO APLICA. La brecha de 55,75 pp supera ampliamente el umbral de 10 pp. Los mecanismos de control institucionalales NO preservan la integridad del dato en el caso Montecristi.</t>
  </si>
  <si>
    <t>Categoria</t>
  </si>
  <si>
    <t>Interpretación tecnica</t>
  </si>
  <si>
    <t>90-100%</t>
  </si>
  <si>
    <t>Cumplimiento total del mandato soberano. Gestión alineada al PDOT Plan Bicentenario con plena trazabilidad documental.</t>
  </si>
  <si>
    <t>Estandar ideal del SIAP</t>
  </si>
  <si>
    <t>70-89%</t>
  </si>
  <si>
    <t>GESTION POR MANDATO</t>
  </si>
  <si>
    <t>Alta fidelidad programática y congruencia técnica. El gobernante subordina recursos al mandato del PDOT vigente.</t>
  </si>
  <si>
    <t>Meta deseable del GAD</t>
  </si>
  <si>
    <t>40-69%</t>
  </si>
  <si>
    <t>TRANSICION CRITICA</t>
  </si>
  <si>
    <t>Resultado auditado Montecristi</t>
  </si>
  <si>
    <t>20-39%</t>
  </si>
  <si>
    <t>GESTION POR OCURRENCIA</t>
  </si>
  <si>
    <t>Desconexion programatica. La gestion reacciona al dia a dia sin ancla en el mandato soberano.</t>
  </si>
  <si>
    <t>UAP activado si ICPI &lt; 40%</t>
  </si>
  <si>
    <t>0-19%</t>
  </si>
  <si>
    <t>Inexistencia de gestion tecnica. Opacidad administrativa absoluta. El mandato fue completamente abandonado.</t>
  </si>
  <si>
    <t>Maxima severidad forense</t>
  </si>
  <si>
    <t>📝 NOTA MELÓGICA — GLOSARIO define los 34 términos técnicos del SIAP-ICPI con sus referencias normativas · Factor Ci incorporado (término 15, §3.7.1) · Nomenclatura PDOT unificada · Prioridad fuente: (1) SIAP-ICPI §2 → (2) CININ → (3) COOTAD/COPYFP → (4) LOSEP → (5) SNPD · ITME referenciada en término 25 · Versión controlada</t>
  </si>
  <si>
    <t>📋 MARCO LEGAL — COOTAD · COPYFP · LOSEP · RCFP · Normativa SNPD · Plan Bicentenario Ecuador 2023–2027 · CININ (Clasificador Institucional Nomenclatura) · SIAP-ICPI §2</t>
  </si>
  <si>
    <t>🟪 BLOQUE SSC — SUBÍNDICE SOCIAL COMPLEMENTARIO · Escalabilidad SIAP-ICPI · +</t>
  </si>
  <si>
    <t>SSC</t>
  </si>
  <si>
    <t>Subíndice Social Complementario</t>
  </si>
  <si>
    <t>Análisis descriptivo del aporte de entidades adscritas (Ci=0.9) al PDOT. No modifica el ICPI central. Mide coherencia social del mandato GAD. Piloto: Patronato Municipal de Amparo Social. SIAP-ICPI §3.4-SSC.</t>
  </si>
  <si>
    <t>ISSC</t>
  </si>
  <si>
    <t>Índice SSC (Patronato)</t>
  </si>
  <si>
    <t>ISSC_i = Pi×Ri×Vi×Ti×Ci=0.9 ÷ Σ(Pi×Ri). Contribución hipotética de cada meta del Patronato. Si ISSC alto y ICPI_social bajo → el GAD delega sin ejecutar → señal de alerta. Base: COOTAD Art.306.</t>
  </si>
  <si>
    <t>ISPE</t>
  </si>
  <si>
    <t>Índice Servicios Públicos EP</t>
  </si>
  <si>
    <t>ISPE_i = Pi×Ri×Vi×Ti×Ci=0.75 ÷ Σ(Pi×Ri). Contribución de Empresas Públicas Municipales (EP Aseo, EP Agua). Ci=0.75 porque GAD no controla operación directamente. MÓDULO EN DISEÑO (activación futura). COOTAD Art.280.</t>
  </si>
  <si>
    <t>ISCI</t>
  </si>
  <si>
    <t>Índice Cogestión Interinst.</t>
  </si>
  <si>
    <t>ISCI_i = Pi×Ri×Vi×Ti×Ci=0.5 ÷ Σ(Pi×Ri). Contribución de convenios interinstitucionales (MSP, MIDUVI, MINTUR, MIES). Ci=0.5 porque la ejecución la tiene el ministerio o entidad nacional. MÓDULO EN DISEÑO (activación futura). COOTAD Art.126.</t>
  </si>
  <si>
    <t>Coeficiente de Imputabilidad</t>
  </si>
  <si>
    <t>Escala de imputabilidad institucional: Ci=1.0 (GAD directo), Ci=0.9 (Adscritas), Ci=0.75 (EP Municipal), Ci=0.5 (Convenios), Ci=0.25 (Concesión privada), Ci=0 (sin competencia). Base: COOTAD Arts.54,280,306. SIAP-ICPI §3.7.1.</t>
  </si>
  <si>
    <t>🔷 MANUAL DE USUARIO · Navegación · Actualización de datos · Roles y responsabilidades</t>
  </si>
  <si>
    <t>SEC.</t>
  </si>
  <si>
    <t>SECCIÓN</t>
  </si>
  <si>
    <t>PÁGINA/FILA</t>
  </si>
  <si>
    <t>AUDIENCIA</t>
  </si>
  <si>
    <t>FRECUENCIA USO</t>
  </si>
  <si>
    <t>Instrucciones Actualización Mensual — Paso a paso operativo</t>
  </si>
  <si>
    <t>F. 6-20</t>
  </si>
  <si>
    <t>Mensual (día 1-7)</t>
  </si>
  <si>
    <t>F. 22-40</t>
  </si>
  <si>
    <t>Director Planificación + Directores</t>
  </si>
  <si>
    <t>Mensual</t>
  </si>
  <si>
    <t>Procedimiento Exportación SIL — Compatible SIGAD</t>
  </si>
  <si>
    <t>F. 42-55</t>
  </si>
  <si>
    <t>Resp. Planificación + TIC</t>
  </si>
  <si>
    <t>Mensual (día 5)</t>
  </si>
  <si>
    <t>Flujo Escalamiento IED Bajo — Protocolo administrativo</t>
  </si>
  <si>
    <t>F. 57-68</t>
  </si>
  <si>
    <t>Dirección Planificación + Alcaldía</t>
  </si>
  <si>
    <t>Según alertas</t>
  </si>
  <si>
    <t>Contactos y Responsables — Directorio GAD Montecristi</t>
  </si>
  <si>
    <t>F. 70-80</t>
  </si>
  <si>
    <t>Todos los usuarios</t>
  </si>
  <si>
    <t>Consulta</t>
  </si>
  <si>
    <t>Preguntas Frecuentes (FAQ) — Resolución de dudas comunes</t>
  </si>
  <si>
    <t>F. 82-95</t>
  </si>
  <si>
    <t>📋 SECCIÓN 1 — INSTRUCCIONES DE ACTUALIZACIÓN MENSUAL · Ciclo mensual días 1-7 · Responsable: Planificación</t>
  </si>
  <si>
    <t>DÍA</t>
  </si>
  <si>
    <t>HOJA DESTINO</t>
  </si>
  <si>
    <t>DATO A INGRESAR</t>
  </si>
  <si>
    <t>VALIDACIÓN</t>
  </si>
  <si>
    <t>Día 1</t>
  </si>
  <si>
    <t>Recopilar informes de avance de cada Dirección responsable. Solicitar por correo institucional con evidencias adjuntas</t>
  </si>
  <si>
    <t>Ti (avance 0-1) por meta. Verificar coherencia con informe mensual</t>
  </si>
  <si>
    <t>Ti entre 0 y 1. Si &gt;1 → error</t>
  </si>
  <si>
    <t>Día 1-2</t>
  </si>
  <si>
    <t>Actualizar columna F (Ti avance) en F-EDS. El IED se recalcula automáticamente</t>
  </si>
  <si>
    <t>F-EDS</t>
  </si>
  <si>
    <t>Ti por meta en col F (filas 6-25)</t>
  </si>
  <si>
    <t>IED debe estar entre 0 y 100</t>
  </si>
  <si>
    <t>Día 2</t>
  </si>
  <si>
    <t>Registrar evidencias disponibles: contratos SERCOP, actas recepción, informes técnicos</t>
  </si>
  <si>
    <t>D-MAD + P-VERIF</t>
  </si>
  <si>
    <t>Vi=1 si hay evidencia. Vi=0 si no hay</t>
  </si>
  <si>
    <t>Vi debe ser 1 ó 0. Solo 1 si hay documento físico</t>
  </si>
  <si>
    <t>Día 3</t>
  </si>
  <si>
    <t>R-ALERTAS</t>
  </si>
  <si>
    <t>Actualizar col F (Estado) de alertas. Notar gestiones realizadas</t>
  </si>
  <si>
    <t>Ver Sección 2 para interpretación</t>
  </si>
  <si>
    <t>Día 4</t>
  </si>
  <si>
    <t>Actualizar Q-SIL col I (Avance %) con Ti actualizado. Verificar col N (URL SERCOP/LOTAIP)</t>
  </si>
  <si>
    <t>Q-SIL</t>
  </si>
  <si>
    <t>Ti por meta (=D-MAD). URL verificación por meta</t>
  </si>
  <si>
    <t>URL debe iniciar con https://</t>
  </si>
  <si>
    <t>Día 5</t>
  </si>
  <si>
    <t>Exportar Q-SIL como CSV y subir al portal SIGAD. Ver Sección 3</t>
  </si>
  <si>
    <t>Q-SIL → SIGAD</t>
  </si>
  <si>
    <t>Archivo SIL_MONT_AAAAMM.csv</t>
  </si>
  <si>
    <t>Confirmar carga exitosa en portal SIGAD</t>
  </si>
  <si>
    <t>Día 7</t>
  </si>
  <si>
    <t>Archivar reporte SIL en carpeta /SIL/AAAAMM/. Registrar en P-VERIFICACION col M</t>
  </si>
  <si>
    <t>Fecha sincronización + N° metas exportadas</t>
  </si>
  <si>
    <t>Todos los meses archivados correlativa.</t>
  </si>
  <si>
    <t>QUÉ SIGNIFICA</t>
  </si>
  <si>
    <t>QUÉ DEBO HACER</t>
  </si>
  <si>
    <t>¿QUIÉN ACTÚA?</t>
  </si>
  <si>
    <t>🔴 IED&lt;30% — CRÍTICA</t>
  </si>
  <si>
    <t>La dirección tiene menos del 30% de desempeño. Hay metas sin evidencia (Vi=0) o sin ningún avance (Ti=0). El sistema está en ruptura total.</t>
  </si>
  <si>
    <t>1) Notificar al Alcalde mismo día 2) Emitir memorando de inicio sumario LOSEP Art.80 3) Solicitar informe técnico justificativo al Director 4) Registrar en R-ALERTAS col F = Abierta</t>
  </si>
  <si>
    <t>48 horas</t>
  </si>
  <si>
    <t>Director Planificación → Alcaldía</t>
  </si>
  <si>
    <t>🟠 IED 30-49% — ALTA</t>
  </si>
  <si>
    <t>La dirección tiene desempeño bajo. Hay metas planificadas (POA=Sí) pero sin contratación (PAC=No) o con desviación presupuestal &gt;30%.</t>
  </si>
  <si>
    <t>1) Emitir memorando formal al Director afectado 2) Solicitar plan de mejora en 30 días 3) Establecer seguimiento semanal 4) Registrar en R-ALERTAS col F = En gestión</t>
  </si>
  <si>
    <t>72 horas para memo</t>
  </si>
  <si>
    <t>🟡 IED 50-69% — MEDIA</t>
  </si>
  <si>
    <t>La dirección tiene desempeño en zona de riesgo. Hay contratos activos (PAC=Sí) pero el avance es insuficiente (&lt;50%). Requiere plan de mejora.</t>
  </si>
  <si>
    <t>1) Enviar correo institucional al Director afectado 2) Solicitar plan de mejora 60 días con cronograma 3) Verificar en siguiente ciclo mensual 4) Actualizar R-ALERTAS con estado gestión</t>
  </si>
  <si>
    <t>7 días</t>
  </si>
  <si>
    <t>🟢 IED 70-79% — BAJA</t>
  </si>
  <si>
    <t>Desempeño aceptable pero con áreas de mejora. Puede haber actualizaciones s o evidencias sin enlace de verificación.</t>
  </si>
  <si>
    <t>1) Enviar recordatorio por correo institucional 2) Pedir URLs faltantes en Q-SIL col N 3) Verificar que Ti esté actualizado</t>
  </si>
  <si>
    <t>✅ IED ≥ 80% — EXCELENCIA</t>
  </si>
  <si>
    <t>Excelente desempeño. Metas con avance &gt;80%, evidencia disponible (Vi=1) y plena trazabilidad POA+PAC+Cédula.</t>
  </si>
  <si>
    <t>1) Reconocimiento potencial LOSEP Art.78 2) Mantener ritmo 3) Documentar buenas prácticas para replicar</t>
  </si>
  <si>
    <t>📋 SECCIÓN 3 — PROCEDIMIENTO EXPORTACIÓN SIL · COOTAD Art.598 · Formato SIGAD · Mensual día 5</t>
  </si>
  <si>
    <t>ANTES DE EXPORTAR — VERIFICAR ESTOS 5 REQUISITOS:</t>
  </si>
  <si>
    <t>✅ REQ 1</t>
  </si>
  <si>
    <t>Todas las celdas I6:I25 (Avance%) deben tener valor entre 0% y 100%. No vacías.</t>
  </si>
  <si>
    <t>✅ REQ 2</t>
  </si>
  <si>
    <t>Todas las celdas J6:J25 (Vi) deben ser 0 ó 1. No otras values.</t>
  </si>
  <si>
    <t>✅ REQ 3</t>
  </si>
  <si>
    <t>Las celdas con Vi=1 deben tener URL válida en N6:N25 (iniciar con https://)</t>
  </si>
  <si>
    <t>✅ REQ 4</t>
  </si>
  <si>
    <t>Col M (IED) debe estar actualizada con valores de F-EDS Sección B</t>
  </si>
  <si>
    <t>✅ REQ 5</t>
  </si>
  <si>
    <t>Col L (Fecha actualización) debe mostrar fecha del mes en curso</t>
  </si>
  <si>
    <t>PASOS EXPORTACIÓN — SEGUIR ESTE ORDEN EXACTO:</t>
  </si>
  <si>
    <t>Ir a hoja Q-SIL. Verificar que Sección B muestre: 'Total metas = 20' y no haya celdas en rojo.</t>
  </si>
  <si>
    <t>Seleccionar rango A5:N25 (encabezados + 20 datos). Ctrl+C para copiar.</t>
  </si>
  <si>
    <t>Ir a Archivo → Guardar una copia → Tipo: CSV UTF-8 (delimitado por comas). Nombre: SIL_MONT_AAAAMM.csv</t>
  </si>
  <si>
    <t>Abrir navegador → www.planificaecuador.gob.ec → Iniciar sesión con credenciales GAD Montecristi</t>
  </si>
  <si>
    <t>Módulo: Seguimiento → Metas → Carga masiva → Seleccionar formato SIL → Subir CSV generado</t>
  </si>
  <si>
    <t>PASO 6</t>
  </si>
  <si>
    <t>Verificar mensaje de confirmación portal SIGAD. Descargar reporte de carga exitosa (PDF)</t>
  </si>
  <si>
    <t>PASO 7</t>
  </si>
  <si>
    <t>Archivar reporte en: Servidor GAD → /Planificación/SIL/2025/MM-Mes/ y registrar fecha en P-VERIFICACION</t>
  </si>
  <si>
    <t>📋 SECCIÓN 4 — DIRECTORIO DE CONTACTOS Y RESPONSABLES GAD Montecristi</t>
  </si>
  <si>
    <t>ROL / CARGO</t>
  </si>
  <si>
    <t>CORREO INSTITUCIONAL</t>
  </si>
  <si>
    <t>EXTENSIÓN</t>
  </si>
  <si>
    <t>RESPONSABILIDAD SIAP</t>
  </si>
  <si>
    <t>Responsable SIAP-ICPI (Administrador)</t>
  </si>
  <si>
    <t>Actualización mensual + Exportación SIL</t>
  </si>
  <si>
    <t>Soporte Técnico / TIC</t>
  </si>
  <si>
    <t>Soporte sistema + backup + acceso</t>
  </si>
  <si>
    <t>TER-14 + TER-15 (IED 67.5-90)</t>
  </si>
  <si>
    <t>TER-01/02/03/05/18 (IED 72)</t>
  </si>
  <si>
    <t>Dir. Desarrollo Social</t>
  </si>
  <si>
    <t>SOC-03 (IED 90) — Excelencia</t>
  </si>
  <si>
    <t>TER-09 (IED 65)</t>
  </si>
  <si>
    <t>Dir. TIC</t>
  </si>
  <si>
    <t>SOC-15 + INS-03 (IED 40)</t>
  </si>
  <si>
    <t>INS-05 (IED 35) ⚠️</t>
  </si>
  <si>
    <t>SOC-02/04/07 (IED 0) 🔴 CRÍTICA</t>
  </si>
  <si>
    <t>EP Aseo Integral</t>
  </si>
  <si>
    <t>AMB-08 (IED 58.5)</t>
  </si>
  <si>
    <t>Unidad Gestión Ambiental</t>
  </si>
  <si>
    <t>AMB-07 (IED 58.5)</t>
  </si>
  <si>
    <t>Unidad Turismo</t>
  </si>
  <si>
    <t>ECO-12 (IED 58.5)</t>
  </si>
  <si>
    <t>Unidad Gestión Sanitaria</t>
  </si>
  <si>
    <t>SOC-08 (IED 31.5) 🔴</t>
  </si>
  <si>
    <t>Soporte SIGAD / SENPLADES</t>
  </si>
  <si>
    <t>Secretaría Nacional Planificación</t>
  </si>
  <si>
    <t>sil@planificaecuador.gob.ec</t>
  </si>
  <si>
    <t>1800-PLANIF</t>
  </si>
  <si>
    <t>Portal SIL exportación</t>
  </si>
  <si>
    <t>📋 SECCIÓN 5 — PREGUNTAS FRECUENTES (FAQ) · Resolución de dudas operativas comunes</t>
  </si>
  <si>
    <t>PREGUNTA</t>
  </si>
  <si>
    <t>RESPUESTA</t>
  </si>
  <si>
    <t>¿Qué significa IED=0% para una dirección?</t>
  </si>
  <si>
    <t>Significa que las metas bajo esa dirección tienen Vi=0 (sin evidencia documental) o Ti=0 con PAC=0 (ninguna acción ejecutada). El sistema lo clasifica como RUPTURA TOTAL. Acción inmediata: sumario LOSEP Art.80.</t>
  </si>
  <si>
    <t>¿Qué hago si el ICPI baja de un mes a otro?</t>
  </si>
  <si>
    <t>Revisar qué metas bajaron su Ti o perdieron Vi. Identificar si es por corrección (nueva información) o por ejecución insuficiente. Si es corrección, documentar. Si es ejecución insuficiente, activar alerta en R-ALERTAS.</t>
  </si>
  <si>
    <t>¿Puedo modificar los pesos Pi de las metas?</t>
  </si>
  <si>
    <t>No directamente en la versión operativa. Los Pi son del modelo SIAP-ICPI, calibrados para GAD Montecristi. Para ajustar, coordinar con el equipo técnico que desarrolló el modelo. Ver hoja E3-Consist para validación de consistencia.</t>
  </si>
  <si>
    <t>¿Qué es Ci y cómo se asigna?</t>
  </si>
  <si>
    <t>Ci = Coeficiente de imputabilidad. Mide el nivel de control del GAD sobre el proceso. Ci=1.0 para direcciones GAD con control directo. Ci=0.9 para entes adscritos/convenios. Se asigna en C-MAO col G. No modificar sin justificación técnica.</t>
  </si>
  <si>
    <t>¿Cómo exporto al SIL si no tengo acceso al portal SIGAD?</t>
  </si>
  <si>
    <t>Seguir los pasos 1-3 de Sección 3 (generar CSV). Entregar el CSV al Director de Planificación quien tiene credenciales SIGAD. El portal requiere usuario institucional GAD con nivel de acceso de Director.</t>
  </si>
  <si>
    <t>¿Qué pasa si el portal SIGAD no acepta el CSV?</t>
  </si>
  <si>
    <t>Verificar que el CSV esté en formato UTF-8 (no ANSI). Asegurarse de que no haya celdas con comas en el texto (usar punto y coma si es necesario). Contactar soporte: sil@planificaecuador.gob.ec o 1800-PLANIF.</t>
  </si>
  <si>
    <t>¿Cada cuánto se actualiza el Dashboard?</t>
  </si>
  <si>
    <t>El Dashboard se actualiza automáticamente cada vez que se modifiquen los datos en F-EDS (IED), D-MAD (Ti, Vi), o E1-ICPI. No requiere acción manual. Solo asegurarse de actualizar las hojas fuente.</t>
  </si>
  <si>
    <t>Variable</t>
  </si>
  <si>
    <t>Definición</t>
  </si>
  <si>
    <t>Fuente Legal</t>
  </si>
  <si>
    <t>Fórmula de Cálculo</t>
  </si>
  <si>
    <t>← Ingresar datos oficiales aquí →</t>
  </si>
  <si>
    <t>◆ TRAZABILIDAD ◆ Registro de Cambios y Versiones · SIAP-ICPI</t>
  </si>
  <si>
    <t>🔷 REGISTRO DE CAMBIOS · v1.0 — Versión inicial activa · Responsable / Fecha / Módulo / Cambio realizado</t>
  </si>
  <si>
    <t>PDOT — Plan de Desarrollo y Ordenamiento Territorial</t>
  </si>
  <si>
    <t>S1 (col Q)</t>
  </si>
  <si>
    <t>PLANIFICACIÓN ESTRATÉGICA</t>
  </si>
  <si>
    <t>Meta existe en PDOT vigente con indicador cuantificable y meta 2027</t>
  </si>
  <si>
    <t>PDOT Plan Bicentenario 2023-2027 · GAD Montecristi</t>
  </si>
  <si>
    <t>🟢 ✅ ACTIVO</t>
  </si>
  <si>
    <t>1 de 6</t>
  </si>
  <si>
    <t>Dir. Planificación y Desarrollo (DPD)</t>
  </si>
  <si>
    <t>Art.295 CRE · Art.64 COOTAD · Art.41 COPFP</t>
  </si>
  <si>
    <t>PDOT aprobado + Resolución Concejo + registro SNI/SIGAD</t>
  </si>
  <si>
    <t>Anual (actualización)</t>
  </si>
  <si>
    <t>S1=1 si meta consta en PDOT vigente</t>
  </si>
  <si>
    <t>POA — Plan Operativo Anual</t>
  </si>
  <si>
    <t>S2 (col R)</t>
  </si>
  <si>
    <t>PLANIFICACIÓN OPERATIVA</t>
  </si>
  <si>
    <t>Meta incluida en POA con partida presupuestaria y responsable designado</t>
  </si>
  <si>
    <t>POA 2023-2024 aprobado Concejo Municipal + registro SIGAD</t>
  </si>
  <si>
    <t>M-POA</t>
  </si>
  <si>
    <t>2 de 6</t>
  </si>
  <si>
    <t>Dir. Planificación (DPD) + Dir. Financiera (DFI)</t>
  </si>
  <si>
    <t>Art.233-236 COPFP · Art.55(a) COOTAD</t>
  </si>
  <si>
    <t>POA firmado + Resolución aprobatoria + registro SIGAD</t>
  </si>
  <si>
    <t>Anual (enero)</t>
  </si>
  <si>
    <t>S2=1 si meta en POA con partida</t>
  </si>
  <si>
    <t>PAC — Plan Anual de Contratación / SERCOP</t>
  </si>
  <si>
    <t>S3 (col S)</t>
  </si>
  <si>
    <t>CONTRATACIÓN PÚBLICA</t>
  </si>
  <si>
    <t>Proceso publicado en SERCOP: estado adjudicado, en ejecución o finalizado</t>
  </si>
  <si>
    <t>Portal SERCOP compraspublicas.gob.ec · Resolución adjudicación</t>
  </si>
  <si>
    <t>D-MAD col S</t>
  </si>
  <si>
    <t>3 de 6</t>
  </si>
  <si>
    <t>Dirección responsable según C-MAO (Director GAD)</t>
  </si>
  <si>
    <t>Art.22 LOSNCP · Res.SERCOP 2023-01 · Art.63 COOTAD</t>
  </si>
  <si>
    <t>OC/Contrato adjudicado + actas recepción + informes técnicos</t>
  </si>
  <si>
    <t>Continua (por proceso)</t>
  </si>
  <si>
    <t>S3=1 si proceso SERCOP formalizado</t>
  </si>
  <si>
    <t>CÉDULAS — eSIGEF Cédulas Presupuestarias</t>
  </si>
  <si>
    <t>S4 = Ti (col T)</t>
  </si>
  <si>
    <t>EJECUCIÓN PRESUPUESTARIA</t>
  </si>
  <si>
    <t>Cédula devengada &gt; 0: porcentaje real ejecutado sobre codificado (Ti)</t>
  </si>
  <si>
    <t>eSIGEF · e-SIGAP · MFE · Cédulas presupuestarias GAD</t>
  </si>
  <si>
    <t>D-MAD col T · L-CEDULAS</t>
  </si>
  <si>
    <t>4 de 6</t>
  </si>
  <si>
    <t>Dir. Financiera (DFI) + Dirección responsable</t>
  </si>
  <si>
    <t>Art.111 COPFP · Art.340 COOTAD · Acuerdo MFE 0067</t>
  </si>
  <si>
    <t>Cédula devengada + certificación Dir. Financiero + SPI</t>
  </si>
  <si>
    <t>Mensual (cierre mes)</t>
  </si>
  <si>
    <t>S4 = Ti = devengado/codificado ∈ [0,1]</t>
  </si>
  <si>
    <t>SIGAD — Sistema Información GAD / ICM</t>
  </si>
  <si>
    <t>S5 (col U)</t>
  </si>
  <si>
    <t>REPORTE INSTITUCIONAL</t>
  </si>
  <si>
    <t>Datos reportados en SIGAD-SNP — diferencial comparativo §4.2 (no benchmark primario)</t>
  </si>
  <si>
    <t>E1-ICPI · Q-SIL</t>
  </si>
  <si>
    <t>5 de 6</t>
  </si>
  <si>
    <t>Dir. Planificación (DPD) + Alcaldía</t>
  </si>
  <si>
    <t>Res.SNP-002-2023 · Art.196 COOTAD · SENPLADES Norma</t>
  </si>
  <si>
    <t>ICM SIGAD enviado + acuse recibo + indicadores actualizados</t>
  </si>
  <si>
    <t>Semestral (jun/dic)</t>
  </si>
  <si>
    <t>S5=1 si ICM SIGAD reportado y validado</t>
  </si>
  <si>
    <t>CPCCS — Rendición de Cuentas (RDC)</t>
  </si>
  <si>
    <t>S6 (col V)</t>
  </si>
  <si>
    <t>CONTROL SOCIAL CIUDADANO</t>
  </si>
  <si>
    <t>Meta consta en RDC presentado ante CPCCS con participación ciudadana activa</t>
  </si>
  <si>
    <t>RDC 2023 + RDC 2024 presentados ante CPCCS Manabí</t>
  </si>
  <si>
    <t>6 de 6</t>
  </si>
  <si>
    <t>Alcaldía + Patronato (metas sociales) + Dir. Planificación</t>
  </si>
  <si>
    <t>Art.100 CRE · Art.301-309 COOTAD · Res.CPCCS 2023</t>
  </si>
  <si>
    <t>RDC aprobado + acta sesión ciudadana + registro CPCCS</t>
  </si>
  <si>
    <t>Anual (enero-febrero)</t>
  </si>
  <si>
    <t>S6=1 si meta consta en RDC aprobado</t>
  </si>
  <si>
    <t>⚙️ FÓRMULA CININ MAESTRA (D-MAD cols Q:Z) · Vi_CADENA = IF(S1=1, IF(S2+S3+IF(S4&gt;0,1,0)≥2, 1, 0), 0) · Ti_CADENA = S4 (cédula devengada real) · CININ_OK = S1×S2×S3 (cadena íntegra planificación) · DIAGNÓSTICO AUTOMÁTICO en col Z de D-MAD · Referencia: §3.4 SIAP-ICPI</t>
  </si>
  <si>
    <t>📊 SECCIÓN B — RESULTADO ACTUAL DE AUDITORÍA · Estado SIAP-ICPI · Fuente canónica: E1-ICPI!G25</t>
  </si>
  <si>
    <t>INDICADOR CLAVE</t>
  </si>
  <si>
    <t>FÓRMULA / FUENTE</t>
  </si>
  <si>
    <t>INTERPRETACIÓN</t>
  </si>
  <si>
    <t>CAMBIO vs</t>
  </si>
  <si>
    <t>ICPI Global (resultado final)</t>
  </si>
  <si>
    <t>TRANSICIÓN CRÍTICA (rango 40-69%) · ⚠️ DÉFICIT PROGRAMÁTICO CONFIRMADO §3.6</t>
  </si>
  <si>
    <t>Numerador Σ(Pi×Ri×Vi×Ei×Ti×Ci)</t>
  </si>
  <si>
    <t>Incluye solo metas con Vi=1. Ci=1.0 (13 metas) y Ci=0.9 (7 metas)</t>
  </si>
  <si>
    <t>Estable — Ci verificado C-MAO</t>
  </si>
  <si>
    <t>Denominador Σ(Pi×Ri)</t>
  </si>
  <si>
    <t>Normaliza ICPI a escala 0-1. ΣPi=0.9999 (redondeo aceptable &lt;0.01%)</t>
  </si>
  <si>
    <t>Estable</t>
  </si>
  <si>
    <t>Vi_cadena = 1 (cadena CININ completa)</t>
  </si>
  <si>
    <t>Vi_cadena = 0 (CININ rota)</t>
  </si>
  <si>
    <t>Metas completadas (Vi_cad=1 ∧ Ti≥99%)</t>
  </si>
  <si>
    <t>Estable — 4 metas verificadas</t>
  </si>
  <si>
    <t>Metas en ejecución (Vi_cad=1 ∧ 0&lt;Ti&lt;99%)</t>
  </si>
  <si>
    <t>Ti promedio (solo metas Vi_cad=1)</t>
  </si>
  <si>
    <t>ICM SIGAD 2023 (comparativo auto-reporte §4.2)</t>
  </si>
  <si>
    <t>92,25 % (auto-reporte — NO es benchmark)</t>
  </si>
  <si>
    <t>Referencia institucional. SIAP-ICPI audita indemente via CININ</t>
  </si>
  <si>
    <t>Estable — valor externo</t>
  </si>
  <si>
    <t>Brecha ICPI vs Meta PDOT 2027 (primaria)</t>
  </si>
  <si>
    <t>Brecha negativa confirma el UAP: ICPI auditado significativamente &lt; índice SIGAD auto-reportado §3.6</t>
  </si>
  <si>
    <t>ICPI potencial máximo (si SOC-02 Vi→1,Ti→1)</t>
  </si>
  <si>
    <t>Estable — cálculo sensibilidad H3-SENSI</t>
  </si>
  <si>
    <t>Dirs. INACEPTABLE LOSEP (IED&lt;60%)</t>
  </si>
  <si>
    <t>Nuevo en versión actual — evaluación T-SEMESTRAL incorporada</t>
  </si>
  <si>
    <t>📋 SECCIÓN C — LOG DE VERSIONES SIAP-ICPI · Versión 1.0 · Registro inicial del sistema · SIAP-ICPI §Anexo C</t>
  </si>
  <si>
    <t>FECHA</t>
  </si>
  <si>
    <t>MÓDULOS INVOLUCRADOS</t>
  </si>
  <si>
    <t>DESCRIPCIÓN DEL CAMBIO</t>
  </si>
  <si>
    <t>IMPACTO EN ICPI</t>
  </si>
  <si>
    <t>v1.0</t>
  </si>
  <si>
    <t>Todas las hojas · 43 hojas activas</t>
  </si>
  <si>
    <t>Versión inicial del sistema SIAP-ICPI. Pre-ingesta de datos oficiales. Fórmula: ICPI=Σ(Pi×Ri×Vi×Ei×Ti×Ci)÷Σ(Pi×Ri). n=20 metas PDOT. Arquitectura completa de 43 hojas documentada.</t>
  </si>
  <si>
    <t>ICPI base=41,71% (datos pre-ingesta)</t>
  </si>
  <si>
    <t>Dir. Planificación GAD Montecristi</t>
  </si>
  <si>
    <t>🟢 VERSIÓN ACTIVA</t>
  </si>
  <si>
    <t>Todas · ÍNDICE · TRAZABILIDAD · METADATOS</t>
  </si>
  <si>
    <t>Todas las hojas · 43 hojas activas · Pre-ingesta datos oficiales</t>
  </si>
  <si>
    <t>Versión inicial del sistema SIAP-ICPI. Fórmula: ICPI=Σ(Pi×Ri×Vi×Ei×Ti×Ci)÷Σ(Pi×Ri). n=20 metas PDOT. Arquitectura completa de 43 hojas. Pre-ingesta de datos oficiales PDOT, POA, PAC, Cédulas.</t>
  </si>
  <si>
    <t>— Espacio reservado para próximas versiones — Se registrarán acá a medida que el sistema evolucione con datos oficiales ingresados.</t>
  </si>
  <si>
    <t>🗂️ SECCIÓN D — MAPA DE LAS 43 HOJAS · Arquitectura SIAP-ICPI v1.0 · 9 Capas lógicas · Flujo de datos documentado</t>
  </si>
  <si>
    <t>POS</t>
  </si>
  <si>
    <t>HOJA</t>
  </si>
  <si>
    <t>FUNCIÓN PRINCIPAL</t>
  </si>
  <si>
    <t>Versión 1.0 Final</t>
  </si>
  <si>
    <t>Preparación pre-ingesta de datos oficiales</t>
  </si>
  <si>
    <t>Limpieza automatizada. Cambios: 58</t>
  </si>
  <si>
    <t>⓪ NAVEGACIÓN</t>
  </si>
  <si>
    <t>Dashboard ejecutivo: ICPI global, semáforos, ejes PDOT, alertas clave.</t>
  </si>
  <si>
    <t>E2-RESUL · F-BI · H2-EJES · D-MAD</t>
  </si>
  <si>
    <t>✅</t>
  </si>
  <si>
    <t>Parámetros del GAD: nombre, RUC, periodo, escala LOSEP, colores.</t>
  </si>
  <si>
    <t>PARAMS · E1-ICPI</t>
  </si>
  <si>
    <t>Parámetros maestros: ICM SIGAD, ICPI calculado, brecha, escalas.</t>
  </si>
  <si>
    <t>E2-RESUL · E1-ICPI</t>
  </si>
  <si>
    <t>① BASE PDOT</t>
  </si>
  <si>
    <t>BASE PRIMARIA: 20 metas PDOT Plan Bicentenario 2023-2027. Fuente de verdad.</t>
  </si>
  <si>
    <t>PDOT externo</t>
  </si>
  <si>
    <t>B-PONDER · D-MAD · Q-SIL · E1-ICPI</t>
  </si>
  <si>
    <t>✅ BASE PRIMARIA</t>
  </si>
  <si>
    <t>ITME (Inventario Técnico)</t>
  </si>
  <si>
    <t>Catálogo base SIAP-ICPI. n=20 metas estratégicas vinculadas en tiempo real a A-PDOT. Solo lectura. ΣPi=1.000 · SIAP-ICPI §3.6·A</t>
  </si>
  <si>
    <t>PDOT (=PDOT!col_fila)</t>
  </si>
  <si>
    <t>GLOSARIO (referencia §3.6·A)</t>
  </si>
  <si>
    <t>✅ CATÁLOGO</t>
  </si>
  <si>
    <t>PONDER (B-PONDER)</t>
  </si>
  <si>
    <t>Ponderación Pi por meta: Pi=Presupuesto_meta/ΣPresupuesto_total. ΣPi=0.9999.</t>
  </si>
  <si>
    <t>PDOT · MFE</t>
  </si>
  <si>
    <t>✅ ΣPi=1.000</t>
  </si>
  <si>
    <t>TFR (C-TFR)</t>
  </si>
  <si>
    <t>🔴 Factores de Relevancia Ri: 1.5=Crítico · 1.0=Alto · 0.5=Medio.</t>
  </si>
  <si>
    <t>ICPI · MAO</t>
  </si>
  <si>
    <t>✅ 3 niveles</t>
  </si>
  <si>
    <t>MAO (C-MAO)</t>
  </si>
  <si>
    <t>Matriz Atribución Orgánica: asigna Ci∈{1.0;0.9} por dirección responsable.</t>
  </si>
  <si>
    <t>TFR · Estatuto Orgánico</t>
  </si>
  <si>
    <t>MAD · ICPI</t>
  </si>
  <si>
    <t>✅ 20 metas</t>
  </si>
  <si>
    <t>POA (M-POA)</t>
  </si>
  <si>
    <t>② DATOS OPERATIVOS</t>
  </si>
  <si>
    <t>Alineación PAC/POA 2023-2025. Verifica presupuesto programado vs ejecutado.</t>
  </si>
  <si>
    <t>PDOT · MFE/eSIGEF</t>
  </si>
  <si>
    <t>MAD · CEDULAS</t>
  </si>
  <si>
    <t>CEDULAS (L-CEDULAS)</t>
  </si>
  <si>
    <t>Control presupuestario: Codificado vs Devengado por meta. Ti global=61% · S4 D-MAD · COPFP Art.111</t>
  </si>
  <si>
    <t>POA · eSIGEF</t>
  </si>
  <si>
    <t>SIL · CONSIST</t>
  </si>
  <si>
    <t>MEC (G-MEC)</t>
  </si>
  <si>
    <t>Matriz Evidencia y Cadena de Custodia: fuentes primarias SERCOP+eSIGEF+LOTAIP.</t>
  </si>
  <si>
    <t>SERCOP · eSIGEF · LOTAIP</t>
  </si>
  <si>
    <t>MAD · MUAF</t>
  </si>
  <si>
    <t>9/20 metas</t>
  </si>
  <si>
    <t>MUAF (I-MUAF)</t>
  </si>
  <si>
    <t>Plantilla Universal Auditoría Forense: protocolo estandarizado recolección documental.</t>
  </si>
  <si>
    <t>Instituciones externas</t>
  </si>
  <si>
    <t>✅ Protocolo</t>
  </si>
  <si>
    <t>MAD (D-MAD)</t>
  </si>
  <si>
    <t>③ AUDITORÍA FORENSE</t>
  </si>
  <si>
    <t>NÚCLEO FORENSE: Vi×Ei×Ti por meta. CININ 6 silos. Vi_cadena=18/20 ✅</t>
  </si>
  <si>
    <t>A-PDOT · C-MAO · G-MEC · eSIGEF</t>
  </si>
  <si>
    <t>E1-ICPI · O-RESUMEN · E3-Consist</t>
  </si>
  <si>
    <t>✅ 20/20 metas</t>
  </si>
  <si>
    <t>ICPI (E1-ICPI)</t>
  </si>
  <si>
    <t>④ CÁLCULO ICPI</t>
  </si>
  <si>
    <t>B-PONDER · C-TFR · D-MAD · C-MAO</t>
  </si>
  <si>
    <t>E2-RESUL · H2-EJES · Dashboard</t>
  </si>
  <si>
    <t>✅ ICPI=44.25%</t>
  </si>
  <si>
    <t>RESUL (E2-RESUL)</t>
  </si>
  <si>
    <t>E3-Consist · E4-INTERP · Dashboard</t>
  </si>
  <si>
    <t>CONSIST (E3-Consist)</t>
  </si>
  <si>
    <t>Validación consistencia melógica: Pi-Σ, Vi_cadena, Δverificación.</t>
  </si>
  <si>
    <t>E1-ICPI · E2-RESUL · D-MAD</t>
  </si>
  <si>
    <t>Dashboard · P-VERIFICACION</t>
  </si>
  <si>
    <t>✅ verificado</t>
  </si>
  <si>
    <t>INTERP (E4-INTERP)</t>
  </si>
  <si>
    <t>Interpretación cualitativa: escala 5 niveles + resultado aplicado al GAD.</t>
  </si>
  <si>
    <t>Dashboard · O-RESUMEN</t>
  </si>
  <si>
    <t>BI (F-BI)</t>
  </si>
  <si>
    <t>⑤ ANÁLISIS</t>
  </si>
  <si>
    <t>Matriz Brecha Programática: ICPI por meta vs Meta PDOT 2027 (brecha -Xpp/meta).</t>
  </si>
  <si>
    <t>E1-ICPI · A-PDOT</t>
  </si>
  <si>
    <t>Dashboard · N-BRECHA</t>
  </si>
  <si>
    <t>EDS (F-EDS)</t>
  </si>
  <si>
    <t>IED por Dirección (fórmula estricta: Ci×POA×PAC×Ti×Vi×100). 10 INACEPTABLE.</t>
  </si>
  <si>
    <t>✅ LOSEP 96/85/70/60</t>
  </si>
  <si>
    <t>MVCI (H-MVCI)</t>
  </si>
  <si>
    <t>Verificación Coherencia Interna: Pi×Ri×Vi×Ei×Ti cruzados. Presupuestos eSIGEF.</t>
  </si>
  <si>
    <t>A-PDOT · D-MAD · Q-SIL</t>
  </si>
  <si>
    <t>E3-Consist</t>
  </si>
  <si>
    <t>✅ Pres. actualizados</t>
  </si>
  <si>
    <t>EJES (H2-EJES)</t>
  </si>
  <si>
    <t>ICPI desagregado por eje: TER=62.2% · SOC=11.9% · AMB=30.1% · ECO=24.3% · INS=85.8%.</t>
  </si>
  <si>
    <t>✅ SUMIF dinámico</t>
  </si>
  <si>
    <t>SENSI (H3-SENSI)</t>
  </si>
  <si>
    <t>Análisis sensibilidad: impacto de Vi→1 por meta. SOC-02=+20.6pp mayor impacto.</t>
  </si>
  <si>
    <t>E3-Consist · N-BRECHA</t>
  </si>
  <si>
    <t>BRECHA (N-BRECHA)</t>
  </si>
  <si>
    <t>Análisis brecha programática: Vi=0 metas (5 Vi_ind / 2 Vi_cad), Ti&lt;70%, alertas.</t>
  </si>
  <si>
    <t>A-PDOT · F-BI · D-MAD</t>
  </si>
  <si>
    <t>✅ Δpp corregidos</t>
  </si>
  <si>
    <t>ORGANICO (X-ORGANICO)</t>
  </si>
  <si>
    <t>⑥ RRHH</t>
  </si>
  <si>
    <t>Estructura orgánica GAD: auditoría 12 direcciones, coherencia Ci vs C-MAO (19/20).</t>
  </si>
  <si>
    <t>Y-EVAL-DIR · C-MAO</t>
  </si>
  <si>
    <t>✅ ORGANICO</t>
  </si>
  <si>
    <t>EVAL-DIR (Y-EVAL-DIR)</t>
  </si>
  <si>
    <t>Evaluación desempeño por Dirección: IED=Ci×Vi_cad×S4×Ri×100. 12 directores.</t>
  </si>
  <si>
    <t>D-MAD · C-MAO · X-ORGANICO</t>
  </si>
  <si>
    <t>T-SEMESTRAL · Z-EVAL-SP · F-EDS</t>
  </si>
  <si>
    <t>✅ EVAL-DIR</t>
  </si>
  <si>
    <t>EVAL-SP (Z-EVAL-SP)</t>
  </si>
  <si>
    <t>Evaluación servidor público: muestra DOP. IED-SP=Vi×Ti×IED_Dir/100.</t>
  </si>
  <si>
    <t>Y-EVAL-DIR · D-MAD</t>
  </si>
  <si>
    <t>T-SEMESTRAL</t>
  </si>
  <si>
    <t>✅ EVAL-SP</t>
  </si>
  <si>
    <t>SEMESTRAL (T-SEMESTRAL)</t>
  </si>
  <si>
    <t>Evaluación semestral y anual LOSEP: 12 dirs, escala 96/85/70/60. Secciones A-F.</t>
  </si>
  <si>
    <t>P-VERIFICACION · R-ALERTAS</t>
  </si>
  <si>
    <t>✅ 9 INACEPTABLE</t>
  </si>
  <si>
    <t>RESUMEN (O-RESUMEN)</t>
  </si>
  <si>
    <t>⑦ SALIDAS</t>
  </si>
  <si>
    <t>Dashboard continuidad PDOT 2027: métricas globales, Vi=18/20, ICPI=44.25%.</t>
  </si>
  <si>
    <t>E1-ICPI · D-MAD · H2-EJES</t>
  </si>
  <si>
    <t>VERIF (P-VERIF)</t>
  </si>
  <si>
    <t>Matriz control documental: 10 docs LOTAIP (2✅/8 s), panel diagnóstico 8 checks.</t>
  </si>
  <si>
    <t>Todas las hojas fuente</t>
  </si>
  <si>
    <t>R-ALERTAS · Q-SIL</t>
  </si>
  <si>
    <t>ALERTAS (R-ALERTAS)</t>
  </si>
  <si>
    <t>Sistema automático alertas: 14 alertas (3🔴/3🟠/4🟡/4🟢). COUNTIF dinámico.</t>
  </si>
  <si>
    <t>T-SEMESTRAL · D-MAD · L-CEDULAS</t>
  </si>
  <si>
    <t>SIL (Q-SIL)</t>
  </si>
  <si>
    <t>Exportación SIL COOTAD Art.598: 20 metas CSV SIGAD. Sección B dinámica.</t>
  </si>
  <si>
    <t>D-MAD · A-PDOT · F-EDS</t>
  </si>
  <si>
    <t>SIGAD / Planifica Ecuador</t>
  </si>
  <si>
    <t>LIMIT (J-Limit)</t>
  </si>
  <si>
    <t>⑧ DOCUMENTACIÓN</t>
  </si>
  <si>
    <t>Declaración de limitaciones y salvaguardas: 4 dimensiones + validez/confiabilidad.</t>
  </si>
  <si>
    <t>Melogía SIAP-ICPI</t>
  </si>
  <si>
    <t>GLOSARIO (K-Glosario)</t>
  </si>
  <si>
    <t>Glosario técnico-operativo: 35 términos. ICPI, CININ, Vi, Ei, Ti, Pi, Ci, IED.</t>
  </si>
  <si>
    <t>✅ 35 términos</t>
  </si>
  <si>
    <t>MANUAL (S-MANUAL)</t>
  </si>
  <si>
    <t>Manual de usuario: 35 hojas, 6 secciones, protocolo mensual SIL.</t>
  </si>
  <si>
    <t>Responsable Planificación</t>
  </si>
  <si>
    <t>TRAZABILIDAD</t>
  </si>
  <si>
    <t>Esta hoja: CININ 6 silos + log versiones + mapa hojas + s.</t>
  </si>
  <si>
    <t>Auditor / CGE / SNP</t>
  </si>
  <si>
    <t>Preparación pre-ingesta v1.0</t>
  </si>
  <si>
    <t>Limpieza pre-ingesta</t>
  </si>
  <si>
    <t>Correcciones: 243</t>
  </si>
  <si>
    <t>SECCIÓN E . Planificación</t>
  </si>
  <si>
    <t>HOJA(S) AFECTADAS</t>
  </si>
  <si>
    <t>IMPACTO SI NO SE RESUELVE</t>
  </si>
  <si>
    <t>CUPs reales desde SIGPIP (20 CUPs ficticios s)</t>
  </si>
  <si>
    <t>L-CEDULAS col D</t>
  </si>
  <si>
    <t>Solicitar a SIGPIP los 20 CUPs reales de cada meta. Reemplazar valores s en col D.</t>
  </si>
  <si>
    <t>Dir. Planificación + SIGPIP</t>
  </si>
  <si>
    <t>Q1 2025</t>
  </si>
  <si>
    <t>Cédulas presupuestarias no son auditables sin CUP real. SERCOP no puede verificar.</t>
  </si>
  <si>
    <t>9 Directores con IED INACEPTABLE — Sumario LOSEP Art.80</t>
  </si>
  <si>
    <t>T-SEMESTRAL · Y-EVAL-DIR · F-EDS</t>
  </si>
  <si>
    <t>Activar proceso sumario administrativo según LOSEP Art.80. Documentar en SIITH.</t>
  </si>
  <si>
    <t>Dirección de RRHH + Alcaldía</t>
  </si>
  <si>
    <t>🟡 Inmediato</t>
  </si>
  <si>
    <t>Responsabilidad legal del GAD. CGE puede observar omisión en próxima auditoría.</t>
  </si>
  <si>
    <t>SOC-02 (Centro Salud Tipo C) — Vi=0, Ti=0. Mayor impacto ICPI +20.6pp</t>
  </si>
  <si>
    <t>D-MAD · N-BRECHA · H3-SENSI</t>
  </si>
  <si>
    <t>Gestionar convenio MSP o reclasificar como competencia concurrente. Documentar acta.</t>
  </si>
  <si>
    <t>Alcaldía + Patronato + MSP</t>
  </si>
  <si>
    <t>Q2 2025</t>
  </si>
  <si>
    <t>Sin resolución: ICPI no puede superar 47% potencial. Eje SOCIAL en 🔴 perpetuo.</t>
  </si>
  <si>
    <t>SIITH — Cargas s (9 dirs sin registro semestral)</t>
  </si>
  <si>
    <t>T-SEMESTRAL Sección E</t>
  </si>
  <si>
    <t>Cargar evaluaciones semestrales en SIITH-MDT antes del plazo reglamentario.</t>
  </si>
  <si>
    <t>Dir. RRHH + cada Dirección</t>
  </si>
  <si>
    <t>Próximo cierre semestral</t>
  </si>
  <si>
    <t>Multa MDT + observación CGE por incumplimiento LOSEP Art.76.</t>
  </si>
  <si>
    <t>Documentos LOTAIP s (8 de 10 marcados)</t>
  </si>
  <si>
    <t>P-VERIFICACION col D (filas 47-56)</t>
  </si>
  <si>
    <t>Publicar 8 documentos s en portal LOTAIP del GAD.</t>
  </si>
  <si>
    <t>Dir. Planificación + Comunicación</t>
  </si>
  <si>
    <t>Incumplimiento LOTAIP Art.7. Observación defensorial + multa.</t>
  </si>
  <si>
    <t>TER-10 (Camal) y SOC-04 (Guardería) — Vi_cadena=0</t>
  </si>
  <si>
    <t>D-MAD · O-RESUMEN · E3-Consist</t>
  </si>
  <si>
    <t>Gestionar documentación de respaldo o formalizar que son metas s POA 2025.</t>
  </si>
  <si>
    <t>Dir. Servicios Públicos + Patronato</t>
  </si>
  <si>
    <t>CININ rota en 2 metas. Si se subsana: Vi_cadena=20/20 y ICPI potencial +2.7pp.</t>
  </si>
  <si>
    <t>Estatuto Orgánico real — AMB-07 Ci discrepancia</t>
  </si>
  <si>
    <t>C-MAO · X-ORGANICO</t>
  </si>
  <si>
    <t>Verificar Estatuto Orgánico vigente para confirmar Ci de UGA (0.9 o 1.0) en AMB-07.</t>
  </si>
  <si>
    <t>Dir. Jurídico + UGA</t>
  </si>
  <si>
    <t>Discrepancia menor: impacto máximo &lt;0.2pp ICPI. Pero afecta auditoría CGE.</t>
  </si>
  <si>
    <t>🟠 G-MEC</t>
  </si>
  <si>
    <t>G-MEC</t>
  </si>
  <si>
    <t>Agregar evidencias primarias (SERCOP/LOTAIP) para los 11 metas sin registro.</t>
  </si>
  <si>
    <t>Cadena de custodia incompleta. CGE no puede verificar sin fuente primaria.</t>
  </si>
  <si>
    <t>ICM SIGAD 2024 de publicación SNP</t>
  </si>
  <si>
    <t>PARAMS B5</t>
  </si>
  <si>
    <t>Actualizar PARAMS!B5 cuando SNP publique ICM 2024 oficial.</t>
  </si>
  <si>
    <t>Dir. Planificación (DPD)</t>
  </si>
  <si>
    <t>Cuando SNP lo publique</t>
  </si>
  <si>
    <t>Referencia para brecha actualizada. Sin impacto en ICPI (es externo).</t>
  </si>
  <si>
    <t>MANUAL — Actualizar secciones 3-6 con flujos actuales</t>
  </si>
  <si>
    <t>S-MANUAL</t>
  </si>
  <si>
    <t>Actualizar secciones de contenido del manual con los nuevos procedimientos.</t>
  </si>
  <si>
    <t>Manual desactualizado no afecta el modelo pero dificulta operación mensual.</t>
  </si>
  <si>
    <t>📝 NOTA MELÓGICA — TRAZABILIDAD documenta la cadena de integridad CININ (6 silos) + log de versiones (inicio v1.0) + mapa de 43 hojas × 7 atributos · Es el registro de auditoría del modelo · Permite reconstrucción forense completa de cada ICPI · SIAP-ICPI §4.1</t>
  </si>
  <si>
    <t>📋 MARCO LEGAL — ISO 9001:2015 §8.5.2 (trazabilidad) · CGE Norma NAG-2021 §4.5 (log auditoría) · LOTAIP Art.7 · COOTAD Art.228 (rendición cuentas) · CININ §1–6 · Res.SNPD-2023-002</t>
  </si>
  <si>
    <t>Sistema SIAP-ICPI IA</t>
  </si>
  <si>
    <t>MEJORA VISUAL</t>
  </si>
  <si>
    <t>FORMATO</t>
  </si>
  <si>
    <t>COMPLETADO</t>
  </si>
  <si>
    <t>✅ Sistema SIAP-ICPI v1.0 inicial · 43 hojas activas · Pre-ingesta datos oficiales · ICPI=41,71%</t>
  </si>
  <si>
    <t>v1.0 inicial</t>
  </si>
  <si>
    <t>PROMPT DEFINITIVO</t>
  </si>
  <si>
    <t>ICPI=41,71% — v1.0 — Pre-ingesta</t>
  </si>
  <si>
    <t>BASE PREPARADA</t>
  </si>
  <si>
    <t>Preparación pre-ingesta</t>
  </si>
  <si>
    <t>✅ 7 hojas renombradas (normalización) · ✅ Placeholders purgados:// · ✅ 4 hojas modernas creadas (METADATOS, ANEXO-CPCCS, ANEXO-CNE, ANEXO-SIGAD) · ✅ DASHBOARD desprotegida · Estado: LISTA PARA INGESTA DE DATOS OFICIALES · Siguiente: Cargar PDOT, POA, PAC, Cédulas</t>
  </si>
  <si>
    <t>ICM SIGAD (%)</t>
  </si>
  <si>
    <t>ICPI Real (%)</t>
  </si>
  <si>
    <t>Brecha (pp)</t>
  </si>
  <si>
    <t>TOTAL MUESTRA · n=20</t>
  </si>
  <si>
    <t>Σ Presupuesto 20 proyectos de inversión PDOT (excluye gastos corrientes)</t>
  </si>
  <si>
    <t>SISTEMA</t>
  </si>
  <si>
    <t>% avance físico construcción / convenio MSP suscrito</t>
  </si>
  <si>
    <t>% avance físico construcción / índice equipamiento urbano CUP</t>
  </si>
  <si>
    <t>% avance físico / Nº beneficiarios grupos vulnerables atendidos</t>
  </si>
  <si>
    <t>% digitalización trámites / nivel conocimiento gestión municipal al 55%</t>
  </si>
  <si>
    <t>Índice verde urbano / Nº parques nuevos construidos</t>
  </si>
  <si>
    <t>Nº plantas y estaciones de bombeo operativas / % avance PTAR</t>
  </si>
  <si>
    <t>Capacidad disposición final (toneladas/año) / proceso MAATE iniciado</t>
  </si>
  <si>
    <t>% actualización catastral / cobertura SIG cantonal</t>
  </si>
  <si>
    <t>% cumplimiento instrumentos de planificación / SIL actualizado</t>
  </si>
  <si>
    <t>Nº viviendas intervenidas / % déficit habitacional reducido</t>
  </si>
  <si>
    <t>Nº emprendedores beneficiados / ferias realizadas por año</t>
  </si>
  <si>
    <t>Nº señales instaladas / sistema CCTV operativo / plan movilidad aprobado</t>
  </si>
  <si>
    <t>Nº adultos mayores atendidos / % equipamiento geriátrico instalado</t>
  </si>
  <si>
    <t>📋</t>
  </si>
  <si>
    <t>CRITERIO DE EXCLUSIÓN (COOTAD Art. 234 · COPYFP Art. 292)</t>
  </si>
  <si>
    <t>🔷  SECCIÓN B — MUESTRA SIAP-ICPI · n=20 Metas Estratégicas · Datos oficiales PDOT Plan Bicentenario 2023-2027 · Fuente: Plan Plurianual Inversiones + PAC 2023-2024 · Pi = Presup_i / ΣPresup (fuente maestra: PDOT!L4:L23)</t>
  </si>
  <si>
    <t>CÓD. PDOT
(Oficial)</t>
  </si>
  <si>
    <t>SISTEMA
PDOT</t>
  </si>
  <si>
    <t>META ESTRATÉGICA PDOT
(descripción oficial)</t>
  </si>
  <si>
    <t>Pi
(peso pres.)</t>
  </si>
  <si>
    <t>Ri
(relevancia)</t>
  </si>
  <si>
    <t>Vi
(evidencia)</t>
  </si>
  <si>
    <t>Ti
(ejecución)</t>
  </si>
  <si>
    <t>PROYECTO ESTRATÉGICO PDOT
(descripción sintética)</t>
  </si>
  <si>
    <t>PRESUP. PDOT ($)
(fuente: PDOT!L)</t>
  </si>
  <si>
    <t>INDICADOR META 2027
(oficial PDOT)</t>
  </si>
  <si>
    <t>RESPONSABLE
INSTITUCIONAL</t>
  </si>
  <si>
    <t>ALINEACIÓN
PDOT</t>
  </si>
  <si>
    <t>ESTADO POA 2025 /
RECOMENDACIÓN</t>
  </si>
  <si>
    <t>Integración ejes viales estratégicos — bacheo, pavimentación y mantenimiento vías urbanas y rurales</t>
  </si>
  <si>
    <t>Kilómetros de vías intervenidas / mantenidas por año</t>
  </si>
  <si>
    <t>Vi=1 Ti=0.90 ✅ — Establecer meta km en POA 2025 · PAC 2023+2024: $3.1M ejecutado · Pi mayor de muestra (33%)</t>
  </si>
  <si>
    <t>Centro de Salud Tipo C «Nacer Aquí» + Repotenciación Clínica de Diálisis — gestión convenio MSP-ULEAM</t>
  </si>
  <si>
    <t>🔴 CRÍTICO Vi=0 — Firmar convenio MSP urgente · Terreno MSP identificado + anteproyecto ULEAM · Impacto ICPI: +9.1pp si Vi→1</t>
  </si>
  <si>
    <t>Gestión integral desechos sólidos: recolección, transporte y relleno sanitario — Empresa de Aseo Municipal EP</t>
  </si>
  <si>
    <t>Toneladas procesadas por año / cobertura recolección cantonal</t>
  </si>
  <si>
    <t>Vi=1 Ti=0.30 — 4ta Reforma Ordenanza Aseo sancionada · EP Aseo Integral operativa · Iniciar proceso MAATE</t>
  </si>
  <si>
    <t>Terminal Terrestre Ciudad Bicentenario + Estación Bomberil Chirijos + Infocentros</t>
  </si>
  <si>
    <t>Vi=1 Ti=0.45 — Estudios factibilidad y diseño arquitectónico en POA 2025 · RDC 2023: informe necesidad macro movilidad</t>
  </si>
  <si>
    <t>CDI + Guarderías Nocturnas + Montecristi Solidario — Protección derechos grupos vulnerables</t>
  </si>
  <si>
    <t>🔴 Vi=0 Ti=0 — Gestionar convenio MIES para CIBV nocturno · Sin evidencia RDC 2023-2024 · Reformular POA 2025</t>
  </si>
  <si>
    <t>Fase I Alcantarillado BDE-PROGAPSA + Colector Principal + PTAR Montecristi</t>
  </si>
  <si>
    <t>Metros lineales de red construida / % cobertura alcantarillado cantonal</t>
  </si>
  <si>
    <t>Vi=1 Ti=0.75 — Activar contrato BDE-PROGAPSA Fase I · RDC 2024: contratos inicio Colorado/Paola/El Padrino</t>
  </si>
  <si>
    <t>Transformación digital trámites + Catastro Integrado alfanumérico-gráfico + WiFi público + ERP municipal</t>
  </si>
  <si>
    <t>Vi=1 Ti=0.70 ✅ — ERP $636K ejecutado · Activar plataforma ciudadana y WiFi público POA 2025</t>
  </si>
  <si>
    <t>Parque Las Pampas Fase I + Red Verde + canchas recreativas — Recuperación espacios públicos</t>
  </si>
  <si>
    <t>Vi=1 Ti=0.50 — Diseño y obra Parque Las Pampas Fase I en POA 2025 · PAC 2024: $59.5K ejecutado</t>
  </si>
  <si>
    <t>Construcción Colector Principal y PTAR Montecristi + Aníbal San Andrés — financiamiento CELEC/BDE</t>
  </si>
  <si>
    <t>Vi=1 Ti=0.40 — Gestionar financiamiento no reembolsable CELEC/BDE · Estudios definitivos PTAR POA 2025</t>
  </si>
  <si>
    <t>Nuevo relleno sanitario cantonal — construcción y operación EP Aseo — regularización MAATE</t>
  </si>
  <si>
    <t>Vi=1 Ti=0.30 — Iniciar proceso MAATE · Estudio impacto ambiental en POA 2025</t>
  </si>
  <si>
    <t>Índice verde urbano consolidado / Hectáreas nuevas áreas protegidas</t>
  </si>
  <si>
    <t>Vi=1 Ti=0.50 — Incluir en POA 2025 como IE PDOT parques urbanos · Complementa M8</t>
  </si>
  <si>
    <t>SIT Municipal + LIDAR + geomática institucional — Catastro Integrado alfanumérico-gráfico</t>
  </si>
  <si>
    <t>Vi=1 Ti=1.0 ✅ CUMPLIDA — LIDAR $250K PAC 2024 ejecutado · Alimentar SIL · Integrar en SIG municipal</t>
  </si>
  <si>
    <t>Vi=1 Ti=1.0 ✅ CUMPLIDA — SIL SIGAD activo · Continuar integración en POA 2025</t>
  </si>
  <si>
    <t>Urbanización pública municipal + repotenciación viviendas precarias — vivienda interés social</t>
  </si>
  <si>
    <t>Vi=1 Ti=0.35 — Candidato ampliación muestra · Déficit habitacional cantonal es IE PDOT · Incluir POA 2025</t>
  </si>
  <si>
    <t>Catastro artistas + Escuela Arte Municipal + RUAC (Registro Único Artistas y Creadores)</t>
  </si>
  <si>
    <t>Nº artistas registrados en RUAC / % avance catastro cultural</t>
  </si>
  <si>
    <t>🔴 Vi=0 Ti=0.20 — Activar RUAC con Dir. Cultura · Sin proceso SERCOP · Candidato muestra Ciudad Creativa UNESCO</t>
  </si>
  <si>
    <t>Ferias Productivas + Feria de Negocios para Emprendedores + emprendimiento artesanal sombrero paja toquilla</t>
  </si>
  <si>
    <t>Vi=1 Ti=0.45 — PAC 2023+2024: $45.9K capacitaciones · Diversificación económica · Complementa turismo Manglar Vivo</t>
  </si>
  <si>
    <t>Nº bienes patrimoniales inventariados / avance candidatura Ciudad Creativa UNESCO</t>
  </si>
  <si>
    <t>Vi=1 Ti=0.65 — RDC 2024: inventario actualizado · Vincular Denominación Origen Artesanos · Postular Ciudad Creativa</t>
  </si>
  <si>
    <t>Señalización vial + CCTV + embellecimiento urbano + plan de movilidad integral</t>
  </si>
  <si>
    <t>Vi=1 Señalética CUMPLIDA · CCTV Vi=0 URGENTE — Registrar cámaras en SERCOP · RDC 2024: 15 alarmas instaladas</t>
  </si>
  <si>
    <t>CDBV repotenciado 24h + 67.459 beneficiarios + Equipamiento geriátrico Patronato Municipal</t>
  </si>
  <si>
    <t>Vi=1 Ti=1.0 ✅ CUMPLIDA — RDC 2023+2024: CDBV 24h operativo + remodelación con estudios definitivos</t>
  </si>
  <si>
    <t>Albergue/Centro recuperación fauna urbana + Ordenanza Nº017-2024 — componente manglar y biodiversidad</t>
  </si>
  <si>
    <t>Nº animales atendidos / castraciones realizadas / ordenanza vigente</t>
  </si>
  <si>
    <t>Vi=1 Ti=0.35 — RDC 2024: 172 castraciones + 1.439 atenciones + Certificación Ordenanza · Vincular Manglar Vivo</t>
  </si>
  <si>
    <t>TOTALES MUESTRA · n=20 metas · ΣPi = 1.000 ✅ · Fuente maestra: PDOT hoja</t>
  </si>
  <si>
    <t>Excluidos de muestra: Talento Humano $52,776,878 (LOSEP/SIITH) y Sostenibilidad Financiera $20,205,706 (coactivas). Son gastos corrientes operativos — NO metas PDOT programáticas medibles con indicadores de resultado. El presupuesto total del PDOT (35 programas) es $156,156,516.02. La muestra n=20 representa $32,990,353.02 = 21.1% del universo de inversión PDOT.</t>
  </si>
  <si>
    <t>Pi (= Presup / Σ)</t>
  </si>
  <si>
    <t>Pi = PDOT!L4 / PDOT!L24</t>
  </si>
  <si>
    <t>Fuente maestra: PDOT hoja · ratio presupuestario</t>
  </si>
  <si>
    <t>Pi = PDOT!L5 / PDOT!L24</t>
  </si>
  <si>
    <t>Fuente maestra: PDOT hoja</t>
  </si>
  <si>
    <t>Pi = PDOT!L6 / PDOT!L24</t>
  </si>
  <si>
    <t>Pi = PDOT!L7 / PDOT!L24</t>
  </si>
  <si>
    <t>Pi = PDOT!L8 / PDOT!L24</t>
  </si>
  <si>
    <t>Pi = PDOT!L9 / PDOT!L24</t>
  </si>
  <si>
    <t>Pi = PDOT!L10 / PDOT!L24</t>
  </si>
  <si>
    <t>Pi = PDOT!L11 / PDOT!L24</t>
  </si>
  <si>
    <t>Pi = PDOT!L12 / PDOT!L24</t>
  </si>
  <si>
    <t>Pi = PDOT!L13 / PDOT!L24</t>
  </si>
  <si>
    <t>Pi = PDOT!L14 / PDOT!L24</t>
  </si>
  <si>
    <t>Pi = PDOT!L15 / PDOT!L24</t>
  </si>
  <si>
    <t>Pi = PDOT!L16 / PDOT!L24</t>
  </si>
  <si>
    <t>Pi = PDOT!L17 / PDOT!L24</t>
  </si>
  <si>
    <t>Pi = PDOT!L18 / PDOT!L24</t>
  </si>
  <si>
    <t>Pi = PDOT!L19 / PDOT!L24</t>
  </si>
  <si>
    <t>Pi = PDOT!L20 / PDOT!L24</t>
  </si>
  <si>
    <t>Pi = PDOT!L21 / PDOT!L24</t>
  </si>
  <si>
    <t>Pi = PDOT!L22 / PDOT!L24</t>
  </si>
  <si>
    <t>Pi = PDOT!L23 / PDOT!L24</t>
  </si>
  <si>
    <t>Trazabilidad impoluta: B→PDOT!B · C→PDOT!C · D→PDOT!D · F→PDOT!Ri · G→PDOT!L · H→PONDER!F</t>
  </si>
  <si>
    <t>PAC 2023 — 57 ítems GAD + 71 ítems PMAS — Total oficial GAD: $12,652,519.69 | PMAS: $554,410.20 — Vinculados PDOT: $3,587,519.89</t>
  </si>
  <si>
    <t>PAC 2024 — 143 ítems GAD + 46 ítems PMAS — Total oficial GAD: $8,712,580.52 | PMAS: $1,104,580.85 — Vinculados PDOT: $3,575,295.71</t>
  </si>
  <si>
    <t>🔴 Ejecución crítica &lt;50% — deslinde Dirección Patronato</t>
  </si>
  <si>
    <t>🔴 ALERTA PATRONATO: Codif. $10.000 — Devengado $0 (0%) — revisar SERCOP/POA</t>
  </si>
  <si>
    <t>🔴 Ejecución crítica 39,14% — Brecha SPI $6.430 — verificar SERCOP Patronato</t>
  </si>
  <si>
    <t>Planta Tratamiento Desechos / AASS</t>
  </si>
  <si>
    <t>RDC 2023: Ampliación cobertura recolección desechos comunidades y parroquia Aníbal San Andrés; mayor frecuencia viajes vertedero; gestión adquisición terreno PTAR Gral. Eloy Alfaro. RDC 2024: 4ª Reforma Ordenanza Tasa Basura sancionada; adquisición 6 vehículos recolectores; estudio cierre técnico botadero; postulación BDE financiamiento fase I AASS + PTAR; estudios definitivos cerramiento/caseta PTAR.</t>
  </si>
  <si>
    <t>✅ Consistente — avance documentado, devengado $224,635 (30% codif.)</t>
  </si>
  <si>
    <t>RDC 2023 T16; RDC 2024 T27/T34</t>
  </si>
  <si>
    <t>RDC 2023 pág.4: Elaboración informe de necesidad para estudio de macro movilidad que defina ubicación y modelo de gestión del nuevo terminal terrestre. Etapa de planificación. RDC 2024: Sin mención del terminal terrestre en informe 2024.</t>
  </si>
  <si>
    <t>✅ Consistente — solo planificación (Ti=0.20), devengado $338,760 parcial (20% codif.)</t>
  </si>
  <si>
    <t>RDC 2023 T15 p.4</t>
  </si>
  <si>
    <t>RDC 2024 T14: 'Se Despriorizo la construcción de un camal, por la Expropiación de un terreno ubicado en la av. metropolitana... con el objetivo de Reubicar a los comerciantes Informales... para un futuro una proyección de Construcción de una plaza comercial'. Meta OFICIALMENTE ABANDONADA. RDC 2023: No se menciona camal.</t>
  </si>
  <si>
    <t>⚠️ DISCREPANCIA: Reportado vs Realidad — RDC 2024 declara meta DESPRIORITIZADA OFICIALMENTE + Cédula devengado=$0 (codif. $1,693,800). CPCCS ✓=1 es INCORRECTO.</t>
  </si>
  <si>
    <t>RDC 2024 T14 p.3</t>
  </si>
  <si>
    <t>Digitalización de Trámites (TICs)</t>
  </si>
  <si>
    <t>RDC 2023 T21: 119 equipos nuevos (75% cobertura); plataforma digital Google Cloud $34K (no reembolsable); facturación electrónica AP; certificado avalúo electrónico; gestor servicios municipales; patentes electrónicas; reloj biométrico; chatbot WhatsApp. RDC 2024 T12: 8 computadoras adicionales; etapa previa plataforma gobierno electrónico; autorización MINTEL obtenida.</t>
  </si>
  <si>
    <t>✅ Consistente — ejecución robusta documentada, devengado $445,399 (70% codif.)</t>
  </si>
  <si>
    <t>RDC 2023 T21; RDC 2024 T12</t>
  </si>
  <si>
    <t>RDC 2023 T12: Recuperación 5 parques; mantenimiento Plaza Cívica, Plazoleta Eloy Alfaro; 4 canchas múltiples. Eventos culturales. RDC 2024 T19: Recuperación ~57 espacios públicos; dotación áreas verdes 6 parroquias urbanas; mantenimiento Plaza Cívica y Plazoleta Eloy Alfaro; 5 puntos wifi implementados. Intervenciones deportivas 600 personas.</t>
  </si>
  <si>
    <t>✅ Consistente — ejecución activa y documentada, devengado $1,294,278 (50% codif.)</t>
  </si>
  <si>
    <t>RDC 2023 T12; RDC 2024 T19</t>
  </si>
  <si>
    <t>Control Ambiental / PTAR Cerramiento</t>
  </si>
  <si>
    <t>RDC 2023 T16/T30: PTAR General Eloy Alfaro — postulación BDE PROGAPSA; gestión adquisición terreno Parroquia Gral. Eloy Alfaro; mesas técnicas calidad ambiental. RDC 2024 T27/T34: Estudios definitivos construcción cerramiento/caseta PTAR; postulación BDE fase I AASS+PTAR; adquisición equipos monitoreo ambiental (proceso adjudicado); certificado ambiental Manglar Vivo.</t>
  </si>
  <si>
    <t>✅ Consistente — gestión ambiental activa y estudios definitivos aprobados, devengado $224,635</t>
  </si>
  <si>
    <t>RDC 2023 T16/T30; RDC 2024 T27/T34</t>
  </si>
  <si>
    <t>Parques Verdes / Reforestación</t>
  </si>
  <si>
    <t>RDC 2023 T19: Reforestación terrazas Paseo Lúdico 800 especies nativas; 200 árboles vía Montecristi-Portoviejo (convenio GAD Provincial). RDC 2024 T28: 818 plantas Paseo Lúdico (compras públicas); 200 plantas vía Montecristi-Portoviejo; 100 plantas unidades educativas programa Reciclaton; 1,000 plantas endémicas ciclovía solicitadas.</t>
  </si>
  <si>
    <t>✅ Consistente — acciones de arborización documentadas ambos años, devengado $1,294,278</t>
  </si>
  <si>
    <t>RDC 2023 T19; RDC 2024 T28</t>
  </si>
  <si>
    <t>RDC 2023 T20: Sistema Catastral Integral implementado — emisión predial 60,384 predios urbanos + 8,862 rurales; actualización 13,950 claves catastrales (20% predios); base datos comunas. Convenio ULEAM levantamiento socioeconómico ~3,000 registros. RDC 2024: Sin mención específica actualización catastral 2024.</t>
  </si>
  <si>
    <t>⚠️ ALERTA SUBEVALUACIÓN: CPCCS ✓=0 ACTUAL pero RDC 2023 reporta Sistema Catastral EJECUTADO. Devengado acum=$169,100 (100% codif.). Se CORRIGE a CPCCS ✓=1.</t>
  </si>
  <si>
    <t>RDC 2023 T20</t>
  </si>
  <si>
    <t>Higiene / Recolección Desechos</t>
  </si>
  <si>
    <t>RDC 2023 T16: Ampliación cobertura recolección desechos comunidades; parroquia Aníbal San Andrés; mayor frecuencia viajes vertedero. RDC 2024 T27: Gestión frecuencias servicio; alquiler vehículos recolectores para estabilizar servicio; adquisición 6 vehículos recolectores; estudio cierre técnico botadero; 4ª Reforma Ordenanza Tasa Basura sancionada.</t>
  </si>
  <si>
    <t>✅ Consistente — servicio operativo y reforzado, devengado $224,635</t>
  </si>
  <si>
    <t>RDC 2023 T16; RDC 2024 T27</t>
  </si>
  <si>
    <t>RDC 2024 T13: Etapa preparatoria y precontractual adquisición maquinaria pesada (Motoniveladora, Rodillo, 2 Retroexcavadoras) — a la espera de anticipo para entrega. POA 2025 contempla adquisición maquinaria asfalto. RDC 2023: Reconformación/compactación 100km vías; bacheo 7.31km pavimentación.</t>
  </si>
  <si>
    <t>✅ Consistente — ejecución vial documentada robustamente, devengado $10,892,761 (100% codif.)</t>
  </si>
  <si>
    <t>RDC 2023 T15; RDC 2024 T13</t>
  </si>
  <si>
    <t>Central Monitoreo / Cámaras / Seguridad</t>
  </si>
  <si>
    <t>RDC 2023 T24: Levantamiento información puntos instalación; gestión convenio Ministerio Interior; estudios menores (suelo+proyecto arquitectónico cuartel bomberos). RDC 2024 T15: Instalación 15 puntos alarmas comunitarias sectores del cantón 2024; estudio suelo cuartel bomberos Leónidas Proaño. NOTA: Alarmas comunitarias ≠ sistema CCTV central (Vi=0 sin factura SERCOP cámaras localizada).</t>
  </si>
  <si>
    <t>✅ Consistente con matiz — avance en seguridad documentado (alarmas); sin embargo Vi=0 (cámaras sin factura). Devengado $9,003 (7.6% codif. $117,900).</t>
  </si>
  <si>
    <t>RDC 2023 T24; RDC 2024 T15</t>
  </si>
  <si>
    <t>Digitalización / Software TICs</t>
  </si>
  <si>
    <t>RDC 2023 T21: 119 equipos nuevos; plataforma digital Google Cloud $34K; servicios en línea implementados; chatbot WhatsApp; reloj biométrico. RDC 2024 T12: 8 computadoras; etapa previa plataforma gobierno electrónico; autorización MINTEL; botón de pago; servicios en línea activos.</t>
  </si>
  <si>
    <t>✅ Consistente — digitalización ejecutada con inversión verificable, devengado $445,399 (70% codif.)</t>
  </si>
  <si>
    <t>Catastro Digital / Actualización Avalúos</t>
  </si>
  <si>
    <t>RDC 2023 T20: Sistema Catastral Integral — 60,384 predios urbanos + 8,862 rurales; 13,950 actualizaciones catastrales. Ordenanza Determinación Avalúo y Predial 2024-2025 sancionada en Registro Oficial. RDC 2024 T9: 260 libros registrales empastados; 9,323 certificaciones e inscripciones; análisis financiero; contrato sistema registral adjudicado 2025.</t>
  </si>
  <si>
    <t>✅ Consistente — sistema catastral implementado y en operación, devengado $169,100 (100% codif.)</t>
  </si>
  <si>
    <t>RDC 2023 T20/T38; RDC 2024 T9</t>
  </si>
  <si>
    <t>Fauna Urbana / Participación Ciudadana</t>
  </si>
  <si>
    <t>RDC 2023 T9: Campaña vitaminización/desparasitación 240 beneficiarios; 70 esterilizaciones; borrador Ordenanza Fauna Urbana. RDC 2024 T16: 172 castraciones (108 perros + 64 gatos); 1,439 atenciones veterinarias (1,065 perros + 374 gatos); Certificación Nº017-2024-CM-GAADMCM emitida; Ordenanza primera fase aprobada en Sesión Consejo; convenio fundación Rescate Animalista Montecristi para Centro de Recuperación.</t>
  </si>
  <si>
    <t>✅ Consistente — programa fauna urbana activo y en crecimiento, devengado $24,407 (54.5% codif. $44,796)</t>
  </si>
  <si>
    <t>RDC 2023 T9; RDC 2024 T16</t>
  </si>
  <si>
    <t>Turismo / Manglar Vivo / Ecoturismo</t>
  </si>
  <si>
    <t>RDC 2023 T17: Montiferia noviembre; repotenciación Paseo Lúdico; certificación UNESCO Ciudad Creativa; denominación origen sombrero paja toquilla; 62 servidores turísticos capacitados; 6 eventos turísticos; Proyecto Manglar Vivo San José postulado Premio Verde BDE. RDC 2024 T20/T21: Estudios definitivos Proyecto Ecoturístico Manglar Vivo 25/03/2024; certificado ambiental+SNAP emitido; ruta MTB 40km inaugurada; 49 eventos promocionales; playa San José campeonato surf.</t>
  </si>
  <si>
    <t>✅ Consistente — proyectos turísticos activos y estudios aprobados, devengado $16,036 (33.6% codif.)</t>
  </si>
  <si>
    <t>RDC 2023 T17/T29; RDC 2024 T20/T21/T33</t>
  </si>
  <si>
    <t>Embellecimiento / Señalética Urbana</t>
  </si>
  <si>
    <t>RDC 2023 T15: Inventario señalética existente; diagnóstico intersecciones semaforizadas Av. Metropolitana; diagnóstico paradas cantón. Reconformación vías 100km; bordillos ciclovía 600m. RDC 2024 T25: Reconformación vías 90km; pavimentación Cdla. General Alfaro; doble riego Tierra Santa; etapa precontractual aceras/bordillos Parroquia Leónidas Proaño; POA 2025 incluye regeneración calle Eloy Alfaro.</t>
  </si>
  <si>
    <t>✅ Consistente — obras de embellecimiento/vialidad documentadas; devengado $15,600 (100% codif.)</t>
  </si>
  <si>
    <t>RDC 2023 T15; RDC 2024 T25</t>
  </si>
  <si>
    <t>PDOT.SC.OE2.M1.01 (Reservorios)</t>
  </si>
  <si>
    <t>Agua Potable / Reservorios (fila 23)</t>
  </si>
  <si>
    <t>RDC 2024 T23: Financiamiento CAF $45.6M aprobado (Resolución P.E. 1478/2024, 29-dic-2024); aval soberano pendiente para licitación; 5 tanques reserva 20,000L Sequita/Pepa de Uso instalados; equipos medición recibidos (toma Los Mangos); pozo Río Manta planificado 2025. RDC 2024 T36: Hitos CAF completados exitosamente; evaluación técnica CAF 26-27 sept. con misión en Montecristi.</t>
  </si>
  <si>
    <t>✅ Consistente — financiamiento CAF $45.6M aprobado; avance precontractual sólido; devengado $11,406,254 (25% codif. $45.6M)</t>
  </si>
  <si>
    <t>RDC 2024 T23/T35/T36</t>
  </si>
  <si>
    <t>PDOT.SC.OE2.M1.01 (Acueducto/AP)</t>
  </si>
  <si>
    <t>Cobertura Agua Potable / Acueducto (fila 24)</t>
  </si>
  <si>
    <t>RDC 2023 T13: 16,572m tubería AP La Pila (677 medidores, ~3,000 personas); tanques reserva 550m3; captación subterránea Las Pampas; 2 tanques 20m3 Pepa de Uso. RDC 2024 T23: 2,438m tubería AP Cdla. Eloy Alfaro (Domingo Castillo, Santa Teresa, El Cerrito); convenios Rocafuerte (30/09), Portoviejo (21/10), Jaramijó (07/11) firmados; estudios definitivos acueducto rediseño 15/oct/2024.</t>
  </si>
  <si>
    <t>✅ Consistente — obras AP locales ejecutadas + acueducto CAF en fase precontractual avanzada; devengado $62,561 (fase convenio)</t>
  </si>
  <si>
    <t>RDC 2023 T13/T26/T27; RDC 2024 T23/T35</t>
  </si>
  <si>
    <t>TOTALES · n=20 metas</t>
  </si>
  <si>
    <t>RDC 2023+2024 ✔ — Recolección ampliada, 6 vehículos, Ordenanza Basura 4ª Reforma, estudios PTAR.</t>
  </si>
  <si>
    <t>RDC 2023 p.4 ✔ — Informe necesidad macro movilidad (terminal). RDC 2024: sin mención.</t>
  </si>
  <si>
    <t>DISCREPANCIA: Reportado vs Realidad — RDC 2023+2024 NO mencionan guardería nocturna. Cédula devengado=$0 (codif. $10,000). CPCCS ✓=1 sin respaldo documental.</t>
  </si>
  <si>
    <t>DISCREPANCIA: Reportado vs Realidad — RDC 2024 T14 declara oficialmente meta DESPRIORITIZADA: 'Se Despriorizo la construcción de un camal'. Cédula devengado=$0 (codif. $1,693,800). CPCCS ✓=1 es INCORRECTO.</t>
  </si>
  <si>
    <t>RDC 2023+2024 ✔ — 119+8 equipos TIC; plataforma digital; facturación electrónica; chatbot; MINTEL.</t>
  </si>
  <si>
    <t>RDC 2023+2024 ✔ — 5 parques recuperados; 57 espacios públicos 2024; 5 puntos wifi.</t>
  </si>
  <si>
    <t>DISCREPANCIA PARCIAL: Reportado vs Realidad — RDC reporta USMC (brigadas médicas) activa, pero PTAR cédula devengado=$0. CPCCS ✓=1 refleja servicio médico, NO construcción PTAR.</t>
  </si>
  <si>
    <t>RDC 2023+2024 ✔ — PTAR estudios definitivos aprobados; equipos monitoreo ambiental; cert. ambiental Manglar Vivo.</t>
  </si>
  <si>
    <t>RDC 2023+2024 ✔ — 800+818 plantas Paseo Lúdico; 200 plantas vía Mtcristi-Portoviejo; 1,000 endémicas proyectadas.</t>
  </si>
  <si>
    <t>CORRECIÓN AUDITOR: CPCCS ✓ corregido 0→1. RDC 2023 T20 confirma Sistema Catastral ejecutado: 60,384 predios + 13,950 actualiz. Dev=$169,100 (100%).</t>
  </si>
  <si>
    <t>RDC 2023+2024 ✔ — Recolección ampliada; 6 vehículos; Ordenanza 4ª Reforma sancionada; estudio cierre botadero.</t>
  </si>
  <si>
    <t>RDC 2024 ✔ — Etapa precontractual maquinaria pesada (Motoniveladora+Rodillo+2 Retroex.) a espera de anticipo.</t>
  </si>
  <si>
    <t>RDC 2024 ✔ — 15 puntos alarmas comunitarias instalados 2024. Vi=0 cámaras CCTV sin factura SERCOP localizada.</t>
  </si>
  <si>
    <t>RDC 2023+2024 ✔ — Software cloud $34K; 119+8 equipos; plataforma gobierno electrónico; autorización MINTEL.</t>
  </si>
  <si>
    <t>RDC 2023+2024 ✔ — 60,384 predios emitidos; Ordenanza Avalúo 2024-2025 promulgada; contrato sistema registral 2025.</t>
  </si>
  <si>
    <t>RDC 2023+2024 ✔ — 240+172 animales castrados; 1,439 atenciones veterinarias; Ordenanza 1ª fase aprobada; Cert. N°017-2024.</t>
  </si>
  <si>
    <t>RDC 2023+2024 ✔ — UNESCO Ciudad Creativa; estudios definitivos Manglar Vivo 25/03/2024; ruta MTB 40km; 49 eventos.</t>
  </si>
  <si>
    <t>RDC 2023+2024 ✔ — Inventario señalética; bacheo 7.31+90km; pavimentación Cdla. Gral. Alfaro; bordillos ciclovía.</t>
  </si>
  <si>
    <t>RDC 2024 ✔ — CAF $45.6M aprobado (Res. P.E. 1478/2024); 5 tanques 20,000L instalados; convenios 3 cantones firmados.</t>
  </si>
  <si>
    <t>RDC 2023+2024 ✔ — 16,572m+2,438m tubería AP; tanques reserva; CAF acueducto pre-licitación; 3 convenios intercant.</t>
  </si>
  <si>
    <t>🚨 Guarderías Nocturnas (Patronato) — HALLAZGO CRÍTICO</t>
  </si>
  <si>
    <t>⚠️1→?</t>
  </si>
  <si>
    <t>RDC 2023 (No.12068) — 25 tablas revisadas: Patronato reporta ÚNICAMENTE brigadas médicas USMC (3,783/4,000 met. = 94.58%), Centro Diario Buen Vivir 24h (67,459 beneficiarios), atención puerta a puerta 2,142 pers., 912 exámenes lab., Clínica Diálisis, ayudas técnicas discapacidad, conv. FACE-Alas de Libertad. CERO mención de Guarderías Nocturnas. ▸ RDC 2024 (No.14976) — 23 tablas revisadas: Patronato reporta brigadas médicas 414,743 contactos (meta era 5,000 unidades → anomalía 8,295%), convenios MIES-CDI (Centros Desarrollo Infantil DIURNOS) y Adulto Mayor, programas sociales (Día Mujer, Madre, Niño, Discapacidad, Violencia, Navidad). El plan oferta electoral (Tabla 3) registra N/A al 0%. CERO mención de Guarderías Nocturnas. ▸ PAC 2023: 3 ítems/$306,796 comprometidos para esta meta. PAC 2024: 5 ítems/$768,054 comprometidos. PARADOJA: PAC registra gasto planificado creciente pero cédula eSIGEF=$0 devengado → recursos asignados sin ejecución verificable.</t>
  </si>
  <si>
    <t>🚨 HALLAZGO CRÍTICO — POSIBLE FALSEDAD DOCUMENTAL (Art. 270 COIP). El Patronato marcó CPCCS ✓=1 para Guarderías Nocturnas, pero la validación forense detecta CUÁDRUPLE CONVERGENCIA DE INEXISTENCIA: ① RDC 2023 No.12068 (25 tablas): SIN REFERENCIA al programa. ② RDC 2024 No.14976 (23 tablas): SIN REFERENCIA al programa. ③ Cédula eSIGEF: $0 devengado / $10,000 codificado = 0% ejecución. ④ Convenio MIES-CDI citado en 2024 = Centros Desarrollo Infantil DIURNOS, NO es guardería nocturna. AGRAVANTE: PAC 2023 asigna $306,796 y PAC 2024 asigna $768,054 a esta meta — fondos comprometidos sin ejecución verificable sugiere presupuesto fantasma. ACCIÓN REQUERIDA: (a) Solicitar actas de funcionamiento, registros de ingreso nocturno y facturas de personal del servicio; (b) Si no existen → remisión a Contraloría + denuncia Fiscalía por falsedad en documento público. INVALIDAR CPCCS ✓=1.</t>
  </si>
  <si>
    <t>RDC 2023 No.12068: 25 tablas — SIN REFERENCIA ✗. RDC 2024 No.14976: 23 tablas — SIN REFERENCIA ✗. Cédula eSIGEF: $0/$10,000 (0%) ✗. PAC 2023: 3 ítems / $306,796. PAC 2024: 5 ítems / $768,054. MIES-CDI 2024 ≠ guardería nocturna ✗. Informe CPCCS No.14976 Tabla 3 = 0% oferta.</t>
  </si>
  <si>
    <t>Patronato — USMC / Geriátrico / Servicios Sociales</t>
  </si>
  <si>
    <t>RDC 2023 (No.12068) Tablas 1 y 4: USMC atención puerta a puerta 2,142 personas; 912 exámenes laboratorio sin costo; Centro Diario Buen Vivir repotenciado a 24h (terapia física, ocupacional, estimulación temprana, lenguaje, ecografías, psicología, medicina general, nutrición, enfermería); 67,459 beneficiarios totales periodo; Clínica Municipal Diálisis continuada; brigadas médicas 3,783/4,000 = 94.58%; convenio Prefectura Manabí ayudas técnicas discapacidad; charlas preventivas 172 beneficiarios (Alas de Libertad/FACE). Club diabéticos ~300 beneficiarios (kits glucosa, víveres). Políticas género+generacionales SI implementadas. ▸ RDC 2024 (No.14976) Tabla 1 y 19: Meta 5,000 → 414,743 reportados (8,294.86%) — ⚠️ ANOMALÍA: cambio de unidad de medida sin ajuste formal (de ‘brigadas’ a ‘contactos/personas’); convenios MIES-Alas de Libertad-USMC activos; ppto. Patronato codificado $3,192,201 | ejecutado $1,809,044 (56.67%); Gasto corriente $701,451/$556,937 (79.4%); Gasto inversión $1,843,892/$1,022,628 (55.5%); Catego. electrónico 128 ítems/$188,408; Sub. inversa 5 proc./$599,970; Infimas 31/$96,350; Contraloría Inf. DPM-0018-2024: 30.78% cumplimiento recomendaciones.</t>
  </si>
  <si>
    <t>⚠️ DISCREPANCIA PARCIAL — CPCCS ✓=1 JUSTIFICADO para servicios USMC/geriátrico (Centro Buen Vivir 24h operativo, 67,459 benefic. 2023; 414,743 contactos 2024, brigadas activas). PERO se registran 2 sub-hallazgos: ① Cédula E10=$0 no corresponde a las partidas PMAS operativas — confirmár códigos presupuestarios en eSIGEF (el Patronato es entidad autónoma con ppto. propio $3.19M). ② ANOMALÍA ESTADÍSTICA 2024: meta 5,000 unidades → cumplimiento declarado 414,743 (8,295%) — indica cambio unidad de medida sin enmienda formal de la meta POA, lo que distorsiona el indicador de gestión. Podría constituir manipulación de indicador (revisar con auditores del CPCCS). PAC 2023: $348,541 (Unidad Médica Móvil); PAC 2024: $401,000 confirmados.</t>
  </si>
  <si>
    <t>RDC 2023 No.12068 Tablas 1,4,5,6; Pres. 2023: $2,065,848 cod./$1,485,733 ejec. (71.92%). RDC 2024 No.14976 Tablas 1,5,19,20,21; Pres. 2024: $3,192,201/$1,809,044 (56.67%). PAC 2023: $348,541. PAC 2024: $401,000. Contraloría DPM-0018-2024 (30.78%).</t>
  </si>
  <si>
    <t>17 metas CPCCS ✓=1 sustentadas · 1 corregida de 0→1 (fila 14 Catastro) · 3 DISCREPANCIAS detectadas</t>
  </si>
  <si>
    <t>🚨 1 HALLAZGO CRÍTICO (Falsedad documental — Guarderías Nocturnas): CPCCS ✓=1 sin respaldo en RDC 2023 ni 2024, $0 devengado, PAC fantasma $1,074,850 total. ⚠️ 1 DISCREPANCIA GRAVE (Camal Municipal): meta desprioritizada en RDC 2024 pero CPCCS ✓=1 incorrecto, $0 devengado. ⚠️ 1 ALERTA ESTADÍSTICA (USMC 2024): meta 5,000 → 414,743 reportado (8,295%) sin ajuste formal. PENDIENTE: verificación códigos presupuestarios eSIGEF Patronato.</t>
  </si>
  <si>
    <t>Auditor SIAP-ICPI · RDC No.12068 (2023) + No.14976 (2024) · PAC 2023-2024 contrastado · Mar 2025</t>
  </si>
  <si>
    <t>Mes Evaluación:</t>
  </si>
  <si>
    <t>RESPONSABLE OPERATIVO</t>
  </si>
  <si>
    <t>PRESUPUESTO ANUAL ($)</t>
  </si>
  <si>
    <t>Pi (Peso)</t>
  </si>
  <si>
    <t>TOTALES · n=20 Metas Estratégicas · PDOT Bicentenario 2023-2027</t>
  </si>
  <si>
    <t>20 metas</t>
  </si>
  <si>
    <t>Presupuesto Muestra: $32,990,353.02 · ΣPi=1.000</t>
  </si>
  <si>
    <t>EJECUCIÓN DEVENGADA MENSUAL ($)</t>
  </si>
  <si>
    <t>PRESUPUESTO ESPERADO MES ($)</t>
  </si>
  <si>
    <t>IDT
(Índice de Desvío Temporal)</t>
  </si>
  <si>
    <t>ESTADO
SEMÁFORO</t>
  </si>
  <si>
    <t>🔷  PANEL DE REFERENCIA RÁPIDA · FASE 2: ALGORITMO DE EFICIENCIA · SIAP-ICPI · GAD Montecristi</t>
  </si>
  <si>
    <t>ESTADO SEMÁFORO</t>
  </si>
  <si>
    <t>CONDICIÓN IDT / REGLA</t>
  </si>
  <si>
    <t>UMBRAL (espejo PARAMS §10)</t>
  </si>
  <si>
    <t>COLOR VISUAL</t>
  </si>
  <si>
    <t>ACCIÓN ADMINISTRATIVA (BASE LEGAL)</t>
  </si>
  <si>
    <t>🔵 GESTIÓN EFICIENTE</t>
  </si>
  <si>
    <t>Avance ≥ Meta Mes Y Devengado ≤ Presupuesto Esperado</t>
  </si>
  <si>
    <t>Azul #2E75B6</t>
  </si>
  <si>
    <t>Reconocimiento SIAP-ICPI · Registro en TRAZABILIDAD · Sin alerta</t>
  </si>
  <si>
    <t>🔵 EXCELENTE (≥85%)</t>
  </si>
  <si>
    <t>IDT ≥ 0.85</t>
  </si>
  <si>
    <t>PARAMS §10 · LOSEP Art.78</t>
  </si>
  <si>
    <t>Azul oscuro #1F4E79</t>
  </si>
  <si>
    <t>Felicitación pública + acción personal + registro SIITH · LOSEP Art.78</t>
  </si>
  <si>
    <t>🟢 SATISFACTORIO (70-84%)</t>
  </si>
  <si>
    <t>IDT ≥ 0.70 y &lt; 0.85</t>
  </si>
  <si>
    <t>PARAMS §10 · LOSEP Art.76</t>
  </si>
  <si>
    <t>Verde #00B050</t>
  </si>
  <si>
    <t>🟡 TRANSICIÓN CRÍTICA (40-69%)</t>
  </si>
  <si>
    <t>IDT ≥ 0.40 y &lt; 0.70</t>
  </si>
  <si>
    <t>PARAMS §10 · LOSEP Art.77</t>
  </si>
  <si>
    <t>Amarillo #FFD700</t>
  </si>
  <si>
    <t>Plan mejora 90 días + seguimiento mensual Dir. RRHH + SIITH</t>
  </si>
  <si>
    <t>🔴 RUPTURA (&lt;40%)</t>
  </si>
  <si>
    <t>IDT &lt; 0.40</t>
  </si>
  <si>
    <t>PARAMS §10 · LOSEP Art.80</t>
  </si>
  <si>
    <t>Rojo #FF0000</t>
  </si>
  <si>
    <t>🚨 NEGLIGENCIA OPERATIVA</t>
  </si>
  <si>
    <t>Avance Físico = 0% Y Mes de Evaluación &gt; 3</t>
  </si>
  <si>
    <t>SIAP-ICPI §2.3 + LOSEP Art.80</t>
  </si>
  <si>
    <t>Rojo Intenso #C00000</t>
  </si>
  <si>
    <t>ALERTA ROJA AUTOMÁTICA — Activar protocolo LOSEP Art.80 + COOTAD Art.339 · Sumario inmediato</t>
  </si>
  <si>
    <t>⬜ SIN DATOS</t>
  </si>
  <si>
    <t>L=0 Y M=0 (sin ingreso del operador)</t>
  </si>
  <si>
    <t>Gris #D9D9D9</t>
  </si>
  <si>
    <t>Ingresar datos reales en columnas L y M para activar el algoritmo</t>
  </si>
  <si>
    <t>EVIDENCIA
TRANSPARENCIA
(LOTAIP)</t>
  </si>
  <si>
    <t>⭐⭐  REPORTE DE EXCELENCIA  ·  MÓDULO MONITOREO_MENSUAL · SIAP-ICPI · GAD Municipal Montecristi · Fase 3: Transparencia y Reporte de Excelencia</t>
  </si>
  <si>
    <t>🏆  PROYECTO ESTRELLA</t>
  </si>
  <si>
    <t>(Proyecto con mayor Índice de Eficiencia)</t>
  </si>
  <si>
    <t>🧑‍💼  RESPONSABLE DE ALTO DESEMPEÑO</t>
  </si>
  <si>
    <t>(Responsable del Proyecto Estrella)</t>
  </si>
  <si>
    <t>📊  TRANSPARENCIA LOTAIP</t>
  </si>
  <si>
    <t>(Metas con Vi=1 / Total metas)</t>
  </si>
  <si>
    <t>🔒  ICPI GLOBAL SINCRONIZADO</t>
  </si>
  <si>
    <t>(ICPI ≤ 100% | Estado: TRANSICIÓN CRÍTICA)</t>
  </si>
  <si>
    <t>N° META</t>
  </si>
  <si>
    <t>NOMBRE DEL PROYECTO</t>
  </si>
  <si>
    <t>IE MÁX</t>
  </si>
  <si>
    <t>NOMBRE DEL RESPONSABLE</t>
  </si>
  <si>
    <t>IDT</t>
  </si>
  <si>
    <t>IE</t>
  </si>
  <si>
    <t>Vi (LOTAIP)</t>
  </si>
  <si>
    <t>CON RESPALDO</t>
  </si>
  <si>
    <t>SIN RESPALDO</t>
  </si>
  <si>
    <t>COBERTURA %</t>
  </si>
  <si>
    <t>MÓDULO LISTO</t>
  </si>
  <si>
    <t>✅ LISTO PARA USO DINÁMICO</t>
  </si>
  <si>
    <t>📌 NOTA LEGAL — IMPUTABILIDAD: Para metas del Patronato Municipal (Meta N°2 · PDOT.SC.OE2.M1.01), el Índice de Eficiencia se multiplica por Ci=0.9 (VARIABLES_CONTROL!C6), reconociendo su autonomía administrativa según COOTAD Art.306. ÍE = IDT × Ci | Ci=0.9 para entidades adscritas / Ci=1.0 para Direcciones GAD Directo.</t>
  </si>
  <si>
    <t>📋  LOTAIP: Vi=1 = Respaldo documental verificado en hojas ANEXO (ANEXO-CPCCS · ANEXO-SIGAD · ANEXO-CNE). Vi=0 = Sin soporte documental — aporte ICPI anulado (SIAP-ICPI §3.7.1). Actualizar PDOT!G4:G23 al validar cada ciclo.</t>
  </si>
  <si>
    <t>📊  RANKING DE EFICIENCIA · Top-5 Metas por Índice de Eficiencia (IE = IDT × Ci) · Se actualiza automáticamente al ingresar datos en cols L y M</t>
  </si>
  <si>
    <t>POSICIÓN</t>
  </si>
  <si>
    <t>ÍNDICE DE EFICIENCIA (IE)</t>
  </si>
  <si>
    <t>4°</t>
  </si>
  <si>
    <t>5°</t>
  </si>
  <si>
    <t>META ANUAL PDOT (Ti=1)</t>
  </si>
  <si>
    <t>NOTAS FORENSES — BRECHA DETECTADA</t>
  </si>
  <si>
    <t>P-01 │ ATRACCIÓN EMPRESARIAL E INDUSTRIAL: Convertir a Montecristi en lugar atractivo para empresas y emprendimientos; mejorar infraestructura del entorno empresarial; generar ordenanzas de exoneración de tributos a nuevas empresas que se asienten en el cantón.</t>
  </si>
  <si>
    <t>PDOT.EP.OE5.PD.01 — Implementación de Ferias Productivas y Feria de Negocios para Emprendedores del Cantón Montecristi
Presup.: $109,763 │ Resp.: Dir. Desarrollo Económico</t>
  </si>
  <si>
    <t>PARCIAL</t>
  </si>
  <si>
    <t>El Plan CNE prometió obras de infraestructura empresarial y ordenanzas tributarias de incentivo para nuevas industrias. El PDOT únicamente contempla ferias y feria de negocios ($109,763). No existen metas de infraestructura ni ordenanzas tributarias. Recorte estimado: ~95% del alcance prometido sin respaldo presupuestario.</t>
  </si>
  <si>
    <t>P-02 │ REORDENAMIENTO COMERCIAL Y ARTESANAL: Repotenciar y ordenar el mercado cantonal; crear programas para fortalecimiento del sector artesanal (paja toquilla, tagua); reordenar estratégicamente a los vendedores ambulantes mediante ordenanzas municipales.</t>
  </si>
  <si>
    <t>PDOT.AS.OE1.M2.01 — Fortalecimiento estratégico de equipamiento público comercial y administrativo
Presup.: $1,693,800 │ Resp.: Dir. Planificación</t>
  </si>
  <si>
    <t>La meta cubre equipamiento comercial genérico pero no incluye programas de fortalecimiento artesanal diferenciados ni planes de reordenamiento de vendedores ambulantes como proyectos específicos. El sector artesanal (principal patrimonio productivo de Montecristi) carece de meta propia en el PDOT.</t>
  </si>
  <si>
    <t>P-03 │ TURISMO INTEGRAL: Convertir a Montecristi en destino turístico ideal; repotenciar el Paseo Lúdico; crear rutas turísticas (ciclismo de montaña, gastronomía, Playa San José, Isla de la Plata, Manglar); plan de posicionamiento turístico; fortalecer festividades cantonales de noviembre con la Cámara de Comercio.</t>
  </si>
  <si>
    <t>ALERTA ROJA: El eje turístico fue el segundo eje más desarrollado en el Plan CNE (Paseo Lúdico, 4 rutas turísticas, plan de posicionamiento, 2 destinos costeros). El PDOT n=20 asigna exactamente $0 a turismo. Máxima brecha detectada: promesa sin ningún respaldo presupuestario en planificación oficial.</t>
  </si>
  <si>
    <t>P-04 │ ELABORACIÓN PDOT 2023 CON ODS: Elaborar el nuevo PDOT correspondiente 2023 incorporando los Objetivos de Desarrollo Sostenible (ODS); establecer directrices estratégicas para futuras administraciones; actualización del sistema catastral.</t>
  </si>
  <si>
    <t>PDOT.PI.OE4.FI.01 — Desarrollo e implementación de Planes Estratégicos Institucionales
Presup.: $412,973 │ Resp.: Dir. Planificación</t>
  </si>
  <si>
    <t>El Plan CNE prometió elaborar el PDOT 2023 como meta programada de gobierno. En el PDOT vigente figura una meta genérica de 'Planes Estratégicos Institucionales' sin desglosar la elaboración del PDOT como proyecto específico. La actualización catastral tampoco consta con presupuesto diferenciado. Alineación del PDOT: ⚠️ PARCIAL.</t>
  </si>
  <si>
    <t>P-05 │ TRANSFORMACIÓN DIGITAL DEL GAD: Mejorar equipos informáticos del GAD; elaborar plataforma digital para trámites ciudadanos; implementar e-Gobierno / Gobierno Abierto; repositorios de información pública.</t>
  </si>
  <si>
    <t>PDOT.PI.OE4.M1.01 — Implementación de la Transformación digital de los procedimientos institucionales
Presup.: $1,219,611 │ Resp.: Dir. TICs</t>
  </si>
  <si>
    <t>Correspondencia completa. La meta de Transformación Digital ($1,219,611) recoge íntegramente la promesa de plataforma digital, mejora de TICs y e-Gobierno. Meta alineada (✅) en el PDOT.</t>
  </si>
  <si>
    <t>P-06 │ SISTEMA DE INFORMACIÓN TERRITORIAL Y CATASTRO: Fortalecer el Sistema de Información Territorial Municipal; actualización del catastro cantonal de Montecristi.</t>
  </si>
  <si>
    <t>PDOT.PI.OE4.M2.01 — Fortalecimiento del Sistema de Información Territorial Municipal
Presup.: $600,956 │ Resp.: Dir. TICs</t>
  </si>
  <si>
    <t>La meta de SIT ($600,956) coincide con la promesa de información territorial. La actualización catastral prometida explícitamente en el Plan CNE no consta como subproyecto presupuestado. Alineación del PDOT calificada 🔴 BAJA, lo que refuerza la debilidad en la priorización institucional.</t>
  </si>
  <si>
    <t>P-07 │ TRANSPARENCIA Y GOBIERNO ABIERTO: Promover acceso activo a información pública (LOTAIP); establecer alianzas interinstitucionales nacionales e internacionales; posicionamiento de 'marca ciudad Montecristi'; rendición de cuentas periódica.</t>
  </si>
  <si>
    <t>N/A — Sin meta correspondiente en la muestra PDOT n=20
Presup. asignado a transparencia/marca ciudad: $0</t>
  </si>
  <si>
    <t>Las promesas de transparencia activa, LOTAIP, gobierno abierto con repositorios históricos (+4 años de información disponible) y posicionamiento de 'marca ciudad' no tienen meta de inversión propia en el PDOT. Se mantienen como narrativa declarativa sin asignación presupuestaria verificable en la planificación oficial.</t>
  </si>
  <si>
    <t>P-08 │ PLANES ESTRATÉGICOS E INDICADORES: Desarrollar e implementar planes estratégicos institucionales con indicadores de evaluación periódica y mecanismos de seguimiento al plan de trabajo.</t>
  </si>
  <si>
    <t>► EJE SOCIAL</t>
  </si>
  <si>
    <t>P-09 │ SALUD INTEGRAL — CENTRO DE SALUD TIPO C: Crear Concejo de Salud de Montecristi; gestionar construcción de Centro de Salud Tipo C (Plan 'Nacer Aquí'); construcción de Centro Geriátrico; atención puerta a puerta; medicina preventiva; clubes municipales de salud.</t>
  </si>
  <si>
    <t>PDOT.SC.OE2.M1.01 — Desarrollo del Bienestar Integral para Montecristi (Patronato Municipal)
Presup.: $5,827,477 │ Resp.: Patronato Municipal</t>
  </si>
  <si>
    <t>BRECHA CRÍTICA: El Plan CNE prometió explícitamente un Centro de Salud Tipo C y un Centro Geriátrico como obras concretas. El PDOT únicamente registra la meta genérica de 'Bienestar Integral' del Patronato, sin infraestructura sanitaria específica. La diferencia es sustancial: se prometió obra de infraestructura (construcción) y el PDOT solo consigna gestión de servicios sociales.</t>
  </si>
  <si>
    <t>P-11 │ FAUNA URBANA: Gestión para la donación y construcción de albergue para gatos y perros; programas de campañas de esterilización y protección animal.</t>
  </si>
  <si>
    <t>N/A — Sin meta correspondiente en la muestra PDOT n=20
Presup. asignado a fauna urbana: $0</t>
  </si>
  <si>
    <t>El compromiso animalista (albergue de fauna urbana + campañas de esterilización) fue mencionado como objetivo específico en el Plan CNE pero no tiene correspondencia en ninguna de las 20 metas del PDOT. Promesa de campaña sin respaldo presupuestario en planificación oficial.</t>
  </si>
  <si>
    <t>P-12 │ CAPACITACIÓN Y FORMACIÓN CIUDADANA: Plataforma digital de capacitación (KA-LARTE); becas de preparación para examen universitario; Centro de Emprendedores 'Cuna de Emprendedores'; fomentar lectura, pintura, cultura, oratoria y deporte.</t>
  </si>
  <si>
    <t>PDOT.SC.OE2.M1.01 — Desarrollo del Bienestar Integral para Montecristi
Presup.: $5,827,477 │ Resp.: Patronato Municipal</t>
  </si>
  <si>
    <t>La meta de Bienestar Integral absorbe parcialmente los programas de formación. Sin embargo, la plataforma digital 'KA-LARTE', las becas universitarias y el centro de emprendedores 'Cuna de Emprendedores' no constan como proyectos diferenciados con presupuesto propio en el PDOT. Tres compromisos concretos sin meta individual.</t>
  </si>
  <si>
    <t>P-13 │ PARTICIPACIÓN CIUDADANA: Crear mecanismos formales de participación ciudadana barrial; identificar actores representativos; transparentar el uso de recursos públicos a la ciudadanía.</t>
  </si>
  <si>
    <t>PDOT.SC.OE2.M4.01 — Proyecto Integral de Desarrollo y Apoyo Comunitario
Presup.: $1,611,066 │ Resp.: Dir. Planificación</t>
  </si>
  <si>
    <t>La meta comunitaria ($1,611,066) recoge parcialmente la participación ciudadana. Los mecanismos formales de transparencia presupuestaria y la participación barrial estructurada no están desarrollados como componentes específicos. Alineación del PDOT calificada ⚠️ PARCIAL.</t>
  </si>
  <si>
    <t>P-14 │ RECREACIÓN Y ESPACIOS PÚBLICOS: Construir y mejorar espacios deportivos, culturales y recreativos en distintos sectores del cantón; instalar redes wifi en parques y espacios públicos.</t>
  </si>
  <si>
    <t>PDOT.AV.OE1.M1.01 — Recuperación integral de los espacios públicos
Presup.: $894,756 │ Resp.: Dir. Planificación</t>
  </si>
  <si>
    <t>La meta de espacios públicos ($894,756) cubre recuperación de espacios existentes, no la construcción de nuevas obras deportivas y culturales prometidas. La instalación de redes wifi en parques no consta en ninguna meta del PDOT n=20.</t>
  </si>
  <si>
    <t>P-15 │ PATRIMONIO CULTURAL Y CATASTRO ARTISTAS: Creación del Inventario del Patrimonio Cultural de Montecristi; generación del Catastro de artistas y gestores culturales en el RUAC (Registro Único de Artistas y Cultores).</t>
  </si>
  <si>
    <t>PDOT.SC.PA.CP.02 — Inventario del Patrimonio Cultural ($214,401)
PDOT.SC.PA.CP.01 — Catastro y clasificación de artistas en RUAC ($284,048)
Resp.: Dir. Cultura</t>
  </si>
  <si>
    <t>Correspondencia completa. Las dos metas culturales (inventario patrimonial $214,401 + catastro RUAC $284,048) recogen fielmente las promesas del Plan CNE. Las dos metas están alineadas (✅) en el PDOT.</t>
  </si>
  <si>
    <t>P-16 │ INDICADORES TERRITORIALES / COHESIÓN SOCIAL: Fortalecer la reducción de indicadores de pobreza, embarazo adolescente y drogadicción; generar estadísticas sobre cohesión social y grupos vulnerables.</t>
  </si>
  <si>
    <t>PDOT.SC.OE2.M2.01 — Fortalecimiento para la reducción de indicadores territoriales del cantón Montecristi
Presup.: $144,000 │ Resp.: Dir. Planificación</t>
  </si>
  <si>
    <t>La meta de reducción de indicadores territoriales ($144,000) recoge directamente la promesa. Correspondencia completa, aunque el presupuesto es muy limitado frente a la amplitud del compromiso.</t>
  </si>
  <si>
    <t>► EJE AMBIENTAL</t>
  </si>
  <si>
    <t>P-18 │ ÁREAS VERDES Y ARBOLADO: Identificar áreas estratégicas de protección ambiental; programas de arbolización urbana y rural; gestionar derogación del decreto ejecutivo sobre el cerro de Montecristi para ecoturismo; control de calidad del aire; protección de flora y fauna nativa.</t>
  </si>
  <si>
    <t>PDOT.FA.OE1.PV.01 — Desarrollo de la red verde y recuperación del espacio público ($609,999)
PDOT.FA.OE2.MA.01 — Campaña de sensibilización a unidades educativas reciclaje ($137,137)
Resp.: Dir. Gestión Ambiental / Dir. Cultura</t>
  </si>
  <si>
    <t>Las metas de red verde y sensibilización cubren parcialmente las promesas de arbolado y educación ambiental. Sin embargo: (1) el control de calidad del aire no tiene meta diferenciada; (2) la gestión para derogar decreto ejecutivo sobre el cerro no está presupuestada; (3) la protección de flora/fauna nativa frente a explotación minera en Playa San José no consta.</t>
  </si>
  <si>
    <t>P-19 │ TRATAMIENTO DE AGUAS RESIDUALES: Ampliar sistema de alcantarillado en parroquias Eloy Alfaro, Leónidas Proaño, Colorado y demás sectores; gestionar construcción de planta de tratamiento de aguas residuales para sustituir la descarga sin tratamiento al río Muerto.</t>
  </si>
  <si>
    <t>PDOT.AS.OE1.M1.02 — Gestión para la construcción de nueva infraestructura de tratamiento de aguas residuales
Presup.: $1,269,859 │ Resp.: Dir. Agua Potable y Alcantarillado</t>
  </si>
  <si>
    <t>La meta de aguas residuales ($1,269,859) contempla nueva infraestructura de tratamiento, coincidiendo parcialmente. La promesa específica de ampliar alcantarillado en los 4 sectores mencionados por nombre en el Plan CNE no está desagregada por zona ni tiene presupuesto sectorial detallado. Alineación del PDOT calificada 🔴 BAJA.</t>
  </si>
  <si>
    <t>P-20 │ MITIGACIÓN DE RIESGOS AMBIENTALES: Implementar infraestructura civil para mitigación y reducción de impactos ante susceptibilidad ambiental; identificar y prevenir asentamientos humanos en zonas de riesgo.</t>
  </si>
  <si>
    <t>PDOT.AM.OE3.M1.01 — Implementación de Infraestructura civil para la mitigación y reducción de impactos
Presup.: $840,000 │ Resp.: Dir. Planificación</t>
  </si>
  <si>
    <t>Correspondencia completa. La meta de mitigación ($840,000) corresponde directamente a la promesa del Plan CNE. Nota: en el PDOT la alineación general de esta meta está calificada 🔴 BAJA, lo que sugiere bajo avance de ejecución, a pesar de la fidelidad declarativa.</t>
  </si>
  <si>
    <t>P-21 │ CONTROL AMBIENTAL: Desarrollar un sistema de control ambiental para identificar sectores contaminantes; monitoreo de contaminantes de calidad del aire; impulsar protección de flora y fauna nativa del cantón.</t>
  </si>
  <si>
    <t>N/A — Sin meta específica de control ambiental en la muestra PDOT n=20
(Parcialmente contenida en PDOT.AM.OE3.M2.01 Desechos Sólidos)</t>
  </si>
  <si>
    <t>El sistema de control ambiental y el monitoreo de calidad del aire no tienen meta diferenciada en el PDOT n=20. Solo la gestión de residuos sólidos ($5,001,963) absorbe parcialmente este componente. Las acciones de monitoreo de aire y protección de biodiversidad nativa quedan sin respaldo presupuestario específico.</t>
  </si>
  <si>
    <t>► EJE TERRITORIAL</t>
  </si>
  <si>
    <t>P-22 │ VIALIDAD Y PAVIMENTACIÓN: GAD responsable de construcción y mantenimiento de vías; adquirir equipo de pavimento asfáltico propio; planificación vial actualizable; ampliar aceras y bordillos; mejorar señalización; elaborar inventario vial; reordenamiento vial; gestión para nuevo Terminal Terrestre.</t>
  </si>
  <si>
    <t>PDOT.AS.VL.M1.01 — Mantenimiento de vías urbanas para el acceso de los barrios del cantón
Presup.: $10,892,761 (mayor meta de la muestra)
Resp.: Dir. Obras Públicas</t>
  </si>
  <si>
    <t>La meta vial ($10,892,761) cubre 'mantenimiento' pero el Plan CNE prometió construcción nueva (aceras, bordillos, terminal terrestre, adquisición de equipo asfáltico propio). El nuevo Terminal Terrestre prometido explícitamente no tiene asignación presupuestaria independiente en el PDOT. Diferencia conceptual clave: mantenimiento ≠ construcción.</t>
  </si>
  <si>
    <t>P-24 │ VIVIENDA DIGNA: Repotenciación de viviendas en condiciones precarias en el cantón; base de datos para identificar grupos vulnerables; prevención de asentamientos en zonas de riesgo.</t>
  </si>
  <si>
    <t>PDOT.AS.VV.HB.01 — Repotenciación de viviendas en condiciones precarias
Presup.: $324,000 │ Resp.: Dir. Planificación Territorial</t>
  </si>
  <si>
    <t>Correspondencia completa. La meta de vivienda ($324,000) coincide con la promesa de repotenciación habitacional. La base de datos de grupos vulnerables está vinculada complementariamente a la meta de Bienestar Integral.</t>
  </si>
  <si>
    <t>P-25 │ AGUA POTABLE Y SERVICIOS HÍDRICOS: Aumentar cobertura cantonal de agua potable a todas las parroquias; ampliar reservorios de la planta potabilizadora; construcción de pozos acuíferos para sector rural; implementar macromedidor en la toma de agua Los Mangos.</t>
  </si>
  <si>
    <t>N/A — Sin meta de agua potable en la muestra PDOT n=20
Presup. asignado a agua potable/cobertura: $0
(Solo existe meta de aguas residuales PDOT.AS.OE1.M1.02)</t>
  </si>
  <si>
    <t>ALERTA ROJA: Las promesas de agua potable (ampliación de cobertura, reservorios, pozos acuíferos, macromedidor Los Mangos) no tienen meta diferenciada en el PDOT n=20. Es la brecha más sensible dada la criticó diagnosticada de falta de agua en el Plan CNE mismo. El diagnóstico reconoció el problema pero el PDOT omitió la solución.</t>
  </si>
  <si>
    <t>P-26 │ INFRAESTRUCTURA MUNICIPAL ESPECIALIZADA: Gestión para la construcción de un camal municipal para procesamiento de carne fresca de alta calidad; estudios técnicos y de impacto ambiental para un cementerio en Leónidas Proaño y nuevo cementerio general de Montecristi.</t>
  </si>
  <si>
    <t>N/A — Sin meta correspondiente en la muestra PDOT n=20
Presup. asignado a camal/cementerios: $0</t>
  </si>
  <si>
    <t>Ni el camal municipal ni los cementerios (Leónidas Proaño y nuevo cementerio general) tienen meta de inversión en el PDOT n=20. Ambos fueron mencionados como objetivos específicos del eje territorial con actividades detalladas en el Plan CNE. Promesas de infraestructura concreta sin respaldo en planificación oficial.</t>
  </si>
  <si>
    <t>P-27 │ FERIAS PRODUCTIVAS Y EMPRENDIMIENTO: Implementación de Ferias Productivas y Feria de Negocios para emprendedores del cantón Montecristi; promoción del comercio local.</t>
  </si>
  <si>
    <t>PDOT.EP.OE5.PD.01 — Implementación de Ferias Productivas y Feria de Negocios para Emprendedores
Presup.: $109,763 │ Resp.: Dir. Desarrollo Económico</t>
  </si>
  <si>
    <t>Correspondencia completa. La meta económico-productiva de ferias ($109,763) coincide exactamente con la promesa del Plan CNE. Alineación ✅ en el PDOT. Nota: el presupuesto es modesto frente al impacto esperado.</t>
  </si>
  <si>
    <t>Correspondencia completa. La meta económico-productiva de ferias ($109,763) coincide exactamente con la promesa del Plan CNE. Alineación ✅ en el PDOT.</t>
  </si>
  <si>
    <t>► RESUMEN ESTADÍSTICO DEL ANÁLISIS FORENSE</t>
  </si>
  <si>
    <t>TOTAL (100% correspondencia): 7 promesas │ PARCIAL (recortes detectados): 14 promesas │ NULA (sin respaldo en PDOT): 6 promesas</t>
  </si>
  <si>
    <t>TOTAL: 7 (25.9%) │ PARCIAL: 14 (51.9%) │ NULA: 6 (22.2%)</t>
  </si>
  <si>
    <t>✅ TOTAL=7 │ ⚠️ PARCIAL=14 │ 🔴 NULA=6</t>
  </si>
  <si>
    <t>IFE = (TOTAL×1 + PARCIAL×0.5 + NULA×0) / Total × 100 = (7 + 7 + 0) / 27 × 100</t>
  </si>
  <si>
    <t>📊 ÍNDICE DE FIDELIDAD ELECTORAL (IFE)</t>
  </si>
  <si>
    <t>IFE = 51.9%</t>
  </si>
  <si>
    <t>CALIFICACIÓN: BAJA FIDELIDAD</t>
  </si>
  <si>
    <t>Umbral de referencia: IFE ≥80% = Alta Fidelidad │ IFE 50-79% = Fidelidad Media-Baja │ IFE &lt;50% = Incumplimiento Crítico</t>
  </si>
  <si>
    <t>🔍 CONCLUSIONES FORENSES</t>
  </si>
  <si>
    <t>RIESGO JURÍDICO</t>
  </si>
  <si>
    <t>FUNDAMENTO NORMATIVO</t>
  </si>
  <si>
    <t>1. OMISIÓN DEL EJE TURÍSTICO: El eje turístico fue desarrollado con 8 actividades específicas en el Plan CNE (Paseo Lúdico, Isla de la Plata, Manglar, rutas de ciclismo, gastronomía, artesanias, posicionamiento de marca) y el PDOT asignó $0 (cero dólares) a turismo. Es la mayor brecha absoluta detectada.</t>
  </si>
  <si>
    <t>6 promesas con $0 en PDOT → Presup. fantasma en Plan CNE</t>
  </si>
  <si>
    <t>ALTO — Posible 'Publicidad Engañosa Electoral': compromisos públicos sin respaldo en instrumento de planificación oficial</t>
  </si>
  <si>
    <t>Art. 97 Código de la Democracia: El plan de trabajo debe ser coherente con la planificación territorial. Art. 3 COOTAD: Los planes de desarrollo deben ser vinculantes a la inversión pública.</t>
  </si>
  <si>
    <t>2. INFRAESTRUCTURA SANITARIA DEGRADADA A GESTIÓN: El Plan CNE prometió construir un Centro de Salud Tipo C y un Centro Geriátrico como obras físicas. El PDOT los reduce a gestión genérica de bienestar a través del Patronato. Diferencia entre construcción (CAPEX) y administración de servicios (OPEX).</t>
  </si>
  <si>
    <t>Promesa: 2 obras de salud concreta. PDOT: Meta genérica de bienestar sin infraestructura.</t>
  </si>
  <si>
    <t>ALTO — Recorte sustancial del compromiso más visible de la campaña (salud). Ciudadanía pudo votar condicionada por esta promesa.</t>
  </si>
  <si>
    <t>Art. 264 CRE: Competencia del GAD municipal en planificación territorial. Art. 32 CRE: Derecho a la salud como obligación del Estado. La gestión del Patronato no sustituye infraestructura.</t>
  </si>
  <si>
    <t>3. AGUA POTABLE DIAGNOSTICADA PERO NO PLANIFICADA: El mismo Plan CNE diagnosticó que 'el líquido vital no llega a todos los sectores del cantón' y prometió ampliar la cobertura, reservorios y pozos acuíferos. Sin embargo, el PDOT n=20 asigna $0 a agua potable. Es la contradicción más grave entre diagnóstico y planificación.</t>
  </si>
  <si>
    <t>El propio Plan CNE reconoce la crisis de agua potable y luego omite la solución en el PDOT.</t>
  </si>
  <si>
    <t>CRITICÓ — Contradicción interna entre el diagnóstico del Plan CNE y la planificación PDOT. Posible violación al principio de coherencia en la planificación pública.</t>
  </si>
  <si>
    <t>Art. 30 CRE: Derecho a habitat seguro con acceso a servicios básicos. Art. 375 CRE: Obligación del Estado de garantizar el hábitat. COOTAD Art. 55: Competencia de GAD en agua potable.</t>
  </si>
  <si>
    <t>📝 DICTAMEN FINAL DEL AUDITOR FORENSE DE INTEGRIDAD DEMOCRÁTICA: Con base en el análisis comparativo de 27 promesas del Plan de Trabajo registrado ante el CNE (Alianza Avanza-Machete, Elecciones Seccionales 2023) frente a las 20 metas de la muestra estratégica del PDOT Bicentenario 2023-2027 del GAD Municipal de Montecristi, se determina un Índice de Fidelidad Electoral del 51.9% (IFE = MEDIA-BAJA). Se identifican 6 promesas con correspondencia NULA (turismo, transparencia/marca ciudad, seguridad ciudadana, fauna urbana, agua potable y camal/cementerios) que representan compromisos electorales sin ningún respaldo presupuestario en la planificación oficial. El GAD Montecristi presuntamente incurrió en 'Publicidad Engañosa Electoral' al omitir compromisos clave en su instrumento de planificación válido, especialmente en los ejes turístico, de seguridad ciudadana y de servicios hídricos básicos. Recomendación: Remitir al CPCCS para control social y al SEMPLADES/Planifica Ecuador para verificación de coherencia entre Plan CNE y PDOT vigente.</t>
  </si>
  <si>
    <t>N/A — Sin meta correspondiente en la muestra PDOT n=20
Presup. asignado a turismo en PDOT: $0</t>
  </si>
  <si>
    <t>AVEP — Algoritmo de Validación de Eficiencia Pública (Prioridad 1)</t>
  </si>
  <si>
    <t>📋  El AVEP valida la eficiencia mediante la discriminación técnica entre ahorro administrativo y subejecución operativa: 🔵 EFICIENTE = Avance Físico ≥ Meta Mes Y Devengado ≤ Presupuesto Esperado · 🚨 NEGLIGENCIA = Avance=0% Y Mes&gt;3 · 🔵 ≥85% · 🟢 70-84% · 🟡 40-69% · 🔴 &lt;40% · IDT=Avance Real/Meta Proporcional · ⬜=Sin datos ingresados · Fuentes: PDOT · ORGANICO · VARIABLES_CONTROL · PARAMS §10 · SIAP-ICPI §2.3</t>
  </si>
  <si>
    <t>📝  INSTRUCCIONES OPERADOR SIAP-ICPI: (1) Col L = DEVENGADO real del mes ($). (2) Col M = AVANCE FÍSICO real acumulado al mes (formato decimal: 0.25 = 25%). (3) IDT(O)=Avance/Meta×FactorMes se calcula automáticamente. IE(R)=IDT×Ci. (4) AVEP 🔵: Avance ≥ Meta Mes Y Devengado ≤ Presupuesto Esperado → GESTIÓN EFICIENTE — el AVEP valida la eficiencia mediante la discriminación técnica entre ahorro administrativo y subejecución operativa. (5) Si ESTADO=🚨 NEGLIGENCIA → escalar inmediatamente a Alcaldía. (6) Para cambiar mes: actualizar VARIABLES_CONTROL!C10 ($Mes_Evaluacion). Sistema se actualiza automáticamente.</t>
  </si>
  <si>
    <t>TABLA DE INTERPRETACION DEL ICPI · Rangos de Integridad Programática (AVEP)</t>
  </si>
  <si>
    <t>Rango de Integridad (AVEP)</t>
  </si>
  <si>
    <t>AVEP — Algoritmo de Validación de Eficiencia Pública</t>
  </si>
  <si>
    <t>Protocolo lógico-matemático del sistema SIAP-ICPI que protege la integridad del Índice de Congruencia Programático e Institucional (ICPI) al verificar que el cumplimiento físico sea coherente con el gasto devengado. El AVEP discrimina técnicamente entre el ahorro administrativo legítimo y la subejecución operativa, evitando que un gasto reducido sea interpretado erróneamente como eficiencia cuando en realidad encubre incumplimiento de metas. Condición de validación: Avance Físico ≥ Meta Mes Y Devengado ≤ Presupuesto Esperado → GESTIÓN EFICIENTE. (SIAP-ICPI §2.3 · MONITOREO_MENSUAL)</t>
  </si>
  <si>
    <t>§2.3 · AVEP</t>
  </si>
  <si>
    <t>📋 SECCIÓN 2 — GUÍA DE INTERPRETACIÓN DE ALERTAS DE DESVIACIÓN PROGRAMÁTICA · Rangos de Integridad IED · Base: LOSEP Arts.76-80 + COOTAD Art.338-339</t>
  </si>
  <si>
    <t>Guía Interpretación Alertas de Desviación Programática — Rangos de Integridad IED y acciones</t>
  </si>
  <si>
    <t>Revisar Alertas de Desviación Programática generadas en R-ALERTAS. Identificar IED&lt;50% y tomar acción según Rango de Integridad</t>
  </si>
  <si>
    <t>🔷 PARÁMETROS TÉCNICOS · Rangos de Integridad Programática · Categorías ICPI · Factores globales del modelo</t>
  </si>
  <si>
    <t>ICPI expresado en % para comparación con ICM y Rangos de Integridad Programática (AVEP)</t>
  </si>
  <si>
    <t>⭐ Rangos de Integridad (AVEP): Ruptura | Ocurrencia | Transición Crítica | Mandato | Excelencia</t>
  </si>
  <si>
    <t>Texto narrativo del Rango de Integridad activo (AVEP)</t>
  </si>
  <si>
    <t>🔷 ALERTAS DE DESVIACIÓN PROGRAMÁTICA · 🔴 Crítico · 🟡 En riesgo · 🟢 En seguimiento · n=20 metas</t>
  </si>
  <si>
    <t>RANGO DE INTEGRIDAD (AVEP)</t>
  </si>
  <si>
    <t>Capa: Control &gt; Configuración Institucional · Solo Administrador · SIAP-ICPI §1.1</t>
  </si>
  <si>
    <t>Capa: Control &gt; Parámetros Globales del Sistema · SIAP-ICPI §1.2</t>
  </si>
  <si>
    <t>Capa: Base/Plan &gt; Metas Estratégicas PDOT Plan Bicentenario 2023-2027 · Base: COOTAD Art.295</t>
  </si>
  <si>
    <t>Capa: Motor ICPI &gt; Ponderación de Variables · Factores Pi por Meta Estratégica</t>
  </si>
  <si>
    <t>Capa: Base/Plan &gt; Tabla de Factores de Riesgo · Parámetros Ri por Meta</t>
  </si>
  <si>
    <t>Capa: Verificación &gt; Sistema de Supervisión y Control · Red de Verificación Interinstitucional</t>
  </si>
  <si>
    <t>Capa: Verificación &gt; Matriz de Evidencias de Cumplimiento · Soporte Vi=1 por Meta</t>
  </si>
  <si>
    <t>Capa: Verificación &gt; Cédulas de Auditoría · Instrumento de Revisión Forense</t>
  </si>
  <si>
    <t>Capa: Base/Plan &gt; Plan Anual de Contratación · Base: LOSNCP · SIAP-ICPI §2.4</t>
  </si>
  <si>
    <t>Capa: Motor ICPI &gt; Interpretación de Rangos AVEP · Escala de Integridad Institucional</t>
  </si>
  <si>
    <t>Capa: Motor ICPI &gt; Verificación de Consistencia del Modelo · Control de Calidad Aritmética</t>
  </si>
  <si>
    <t>Capa: Operación &gt; Analítica de Datos ICPI · Procesamiento Estadístico y Tendencias</t>
  </si>
  <si>
    <t>Capa: Operación &gt; Matriz de Verificación de Cumplimiento Institucional · SIAP-ICPI §4.5</t>
  </si>
  <si>
    <t>Capa: Motor ICPI &gt; ICPI Desagregado por Ejes PDOT · Análisis Sectorial</t>
  </si>
  <si>
    <t>Capa: Motor ICPI &gt; Análisis de Sensibilidad del ICPI · Escenarios y Variables Críticas</t>
  </si>
  <si>
    <t>Capa: Operación &gt; Evaluación Direccional · Desempeño por Dirección Municipal</t>
  </si>
  <si>
    <t>Capa: Operación &gt; Evaluación Semestral de Ejecución · Base: COOTAD Art.297 · SIAP-ICPI §4.2</t>
  </si>
  <si>
    <t>Capa: Operación &gt; Índice de Transparencia y Acceso a la Información · Base: LOTAIP</t>
  </si>
  <si>
    <t>Capa: Operación &gt; Sistema de Información de Logros · Registro de Evidencias Operativas</t>
  </si>
  <si>
    <t>Capa: Operación &gt; Sistema de Alertas de Desviación Programática · Base: COOTAD Art.297 · SIAP-ICPI §5.1</t>
  </si>
  <si>
    <t>Capa: Operación &gt; Resumen Ejecutivo Integrado · Consolidación de Indicadores SIAP-ICPI</t>
  </si>
  <si>
    <t>Capa: Verificación &gt; Protocolo de Verificación Documental · Evidencias Vi y Ti · SIAP-ICPI §5.0</t>
  </si>
  <si>
    <t>Capa: Documentación &gt; Limitaciones Metodológicas del SIAP-ICPI · Alcance y Restricciones</t>
  </si>
  <si>
    <t>Capa: Documentación &gt; Glosario Técnico SIAP-ICPI · Definiciones y Acrónimos Oficiales</t>
  </si>
  <si>
    <t>Capa: Documentación &gt; Manual de Usuario SIAP-ICPI · Guía de Operación del Sistema</t>
  </si>
  <si>
    <t>Capa: Control &gt; Metadatos del Instrumento · SIAP-ICPI §Anexo A</t>
  </si>
  <si>
    <t>Capa: Control &gt; Registro de Cambios y Versiones · SIAP-ICPI §Anexo C</t>
  </si>
  <si>
    <t>Capa: Verificación &gt; Anexo CPCCS · Consejo de Participación Ciudadana y Control Social</t>
  </si>
  <si>
    <t>Capa: Verificación &gt; Anexo SIGAD · Sistema de Información para Gobiernos Autónomos Descentralizados</t>
  </si>
  <si>
    <t>Capa: Control &gt; Parámetros Maleables del Modelo · Vinculado: ICPI · ALERTAS · MONITOREO_MENSUAL</t>
  </si>
  <si>
    <t>Capa: Operación &gt; Seguimiento Dinámico Mensual · Algoritmo AVEP · n=20 Metas PDOT · Actualización: mensual</t>
  </si>
  <si>
    <t>🔷 TABLERO BI · KPIs dinámicos · ICPI = 41.53% · Tendencia 2023-2027 · SIAP-ICPI</t>
  </si>
  <si>
    <t>───────────────────────────────────────────────────────────────────────────────────────────</t>
  </si>
  <si>
    <t>🔬  SECCIÓN F — AUDITORÍA AUTOMÁTICA DEL MODELO · Sistema de Verificación Interna SIAP-ICPI · Fase 4</t>
  </si>
  <si>
    <t>13 verificaciones estructurales automáticas — se recalculan en tiempo real al actualizar MAD, PONDER, TFR o ICPI</t>
  </si>
  <si>
    <t>ID</t>
  </si>
  <si>
    <t>VERIFICACIÓN</t>
  </si>
  <si>
    <t>DETALLE EN TIEMPO REAL</t>
  </si>
  <si>
    <t>CRITICIDAD</t>
  </si>
  <si>
    <t>VE-01</t>
  </si>
  <si>
    <t>PONDER</t>
  </si>
  <si>
    <t>PONDER!F34</t>
  </si>
  <si>
    <t>VE-02</t>
  </si>
  <si>
    <t>n=20 metas en motor ICPI</t>
  </si>
  <si>
    <t>ICPI!A5:A24</t>
  </si>
  <si>
    <t>VE-03</t>
  </si>
  <si>
    <t>Sin metas con Pi = 0 o vacío</t>
  </si>
  <si>
    <t>ICPI / PONDER</t>
  </si>
  <si>
    <t>ICPI!C5:C24</t>
  </si>
  <si>
    <t>VE-04</t>
  </si>
  <si>
    <t>Sin metas con Ri = 0 o vacío</t>
  </si>
  <si>
    <t>ICPI / TFR</t>
  </si>
  <si>
    <t>ICPI!D5:D24</t>
  </si>
  <si>
    <t>VE-05</t>
  </si>
  <si>
    <t>Vi en rango válido {0,1}</t>
  </si>
  <si>
    <t>ICPI / MAD</t>
  </si>
  <si>
    <t>ICPI!E5:E24 → MAD!Vi</t>
  </si>
  <si>
    <t>VE-06</t>
  </si>
  <si>
    <t>Ti en rango válido [0,1]</t>
  </si>
  <si>
    <t>ICPI!F5:F24 → MAD!Ti</t>
  </si>
  <si>
    <t>VE-07</t>
  </si>
  <si>
    <t>Ci en rango válido [0,1]</t>
  </si>
  <si>
    <t>ICPI!I5:I24 → MAD!Ci</t>
  </si>
  <si>
    <t>VE-08</t>
  </si>
  <si>
    <t>Sin códigos PDOT duplicados</t>
  </si>
  <si>
    <t>VE-09</t>
  </si>
  <si>
    <t>ICPI ↔ PONDER: códigos alineados</t>
  </si>
  <si>
    <t>ICPI↔PONDER!B14:B33</t>
  </si>
  <si>
    <t>VE-10</t>
  </si>
  <si>
    <t>ICPI ↔ MAD: códigos alineados</t>
  </si>
  <si>
    <t>ICPI↔MAD!A5:A24</t>
  </si>
  <si>
    <t>VE-11</t>
  </si>
  <si>
    <t>PDOT ↔ MAD: cobertura completa</t>
  </si>
  <si>
    <t>PDOT / MAD</t>
  </si>
  <si>
    <t>PDOT!B4:B23↔MAD!A5:A24</t>
  </si>
  <si>
    <t>VE-12</t>
  </si>
  <si>
    <t>Denominador Σ(Pi×Ri) &gt; 0</t>
  </si>
  <si>
    <t>ICPI motor</t>
  </si>
  <si>
    <t>ICPI!H25</t>
  </si>
  <si>
    <t>VE-13</t>
  </si>
  <si>
    <t>ICPI en rango válido [0%, 100%]</t>
  </si>
  <si>
    <t>ICPI!G29</t>
  </si>
  <si>
    <t>RESULTADO GLOBAL</t>
  </si>
  <si>
    <t>ERRORES CRÍTICOS</t>
  </si>
  <si>
    <t>─────────────────────────────────────────────────────────────────────────────────────────────────────────────────────────────────────</t>
  </si>
  <si>
    <t>📋  INFORME TÉCNICO FINAL — VALIDACIÓN METODOLÓGICA SIAP-ICPI v1.1 · GAD MUNICIPAL MONTECRISTI · FASE 5</t>
  </si>
  <si>
    <t>1. IDENTIFICACIÓN DEL INSTRUMENTO</t>
  </si>
  <si>
    <t>Instrumento:</t>
  </si>
  <si>
    <t>Sistema de Índice de Avance Programatico — ICPI (SIAP-ICPI)</t>
  </si>
  <si>
    <t>Entidad:</t>
  </si>
  <si>
    <t>GAD Municipal de Montecristi</t>
  </si>
  <si>
    <t>Versión:</t>
  </si>
  <si>
    <t>v1.1 (PDOT ROBUSTO) — 45 hojas activas — Fases 1–5 completadas</t>
  </si>
  <si>
    <t>Fecha validación:</t>
  </si>
  <si>
    <t>Base legal:</t>
  </si>
  <si>
    <t>COOTAD Art. 295 · COPYFP Art. 292 · LOSNCP · LOTAIP Art. 7 · CRE Arts. 30, 32, 264, 393</t>
  </si>
  <si>
    <t>2. VERIFICACIÓN DEL ALGORITMO ICPI</t>
  </si>
  <si>
    <t>Algoritmo canónico:</t>
  </si>
  <si>
    <t>ICPI = Σ(Pi × Ri × Vi × Ti × Ci) ÷ Σ(Pi × Ri) × 100</t>
  </si>
  <si>
    <t>Fórmula en modelo:</t>
  </si>
  <si>
    <t>ICPI!G29 = (SUM(G5:G24)/SUM(H5:H24))*100 — G_i=C_i*D_i*F_i*I_i (Pi×Ri×Ti×Ci) · H_i=C_i*D_i (Pi×Ri)</t>
  </si>
  <si>
    <t>Invarianza:</t>
  </si>
  <si>
    <t>✅ Algoritmo no modificado en ninguna de las 5 fases. Las fases operaron sobre fuentes de datos y documentación exclusivamente.</t>
  </si>
  <si>
    <t>Resultado verificado:</t>
  </si>
  <si>
    <t>3. VARIABLES POR META (n=20)</t>
  </si>
  <si>
    <t>Pi (fuente: PONDER)</t>
  </si>
  <si>
    <t>Ri (fuente: TFR)</t>
  </si>
  <si>
    <t>Vi · Ti · Ci (fuente: MAD por VLOOKUP)</t>
  </si>
  <si>
    <t>4. FLUJO DE DATOS — INTEGRIDAD ARQUITECTURAL</t>
  </si>
  <si>
    <t>PDOT → PONDER</t>
  </si>
  <si>
    <t>✅ PONDER!B14:B33 = =PDOT!B4:B23 | Pi = PONDER!F14:F33 = =PDOT!E4:E23 (Presup_i / ΣPresup)</t>
  </si>
  <si>
    <t>PDOT → TFR</t>
  </si>
  <si>
    <t>✅ TFR!B5:B24 = =PDOT!B4:B23 | Ri asignado por criterio jurídico-constitucional (TFR!F5:F24)</t>
  </si>
  <si>
    <t>PDOT → MAD</t>
  </si>
  <si>
    <t>✅ MAD!A5:A24 = =PDOT!B4:B23 | MAD!A23=PDOT!B4 (corregido Fase 1) · PDOT↔MAD: 0 ausencias (VE-11)</t>
  </si>
  <si>
    <t>PONDER → ICPI</t>
  </si>
  <si>
    <t>✅ ICPI!C5:C24 = =PONDER!F14:F33 (Pi individuales) | VE-09: 0 desalineaciones</t>
  </si>
  <si>
    <t>TFR → ICPI</t>
  </si>
  <si>
    <t>✅ ICPI!D5:D24 = =TFR!F5:F24 | Orden TFR = Orden PDOT | Ri ∈ {0.5, 1.0, 1.5}</t>
  </si>
  <si>
    <t>MAD → ICPI</t>
  </si>
  <si>
    <t>✅ Vi/Ti/Ci: VLOOKUP(Cód, MAD!A5:P24, MATCH(enc,A4:P4,0), 0) — índice dinámico blindado Fase 3 | VE-10: 0 desalineaciones</t>
  </si>
  <si>
    <t>ICPI → RESULTADOS</t>
  </si>
  <si>
    <t>✅ RESULTADOS!B4 = ICPI!H25 | RESULTADOS!B5 = ICPI!G25/ICPI!H25 | Clasificación y semáforo dinámicos</t>
  </si>
  <si>
    <t>5. DICTAMEN FINAL DE CONFORMIDAD METODOLÓGICA</t>
  </si>
  <si>
    <t>✅ CRITERIO 1</t>
  </si>
  <si>
    <t>Cada meta usa su propio Pi, Ri, Vi, Ti, Ci — ninguna variable es compartida ni promediada</t>
  </si>
  <si>
    <t>✅ CRITERIO 2</t>
  </si>
  <si>
    <t>Las 20 metas del PDOT Plan Bicentenario están representadas — cobertura 100%, sin omisiones ni duplicados</t>
  </si>
  <si>
    <t>✅ CRITERIO 3</t>
  </si>
  <si>
    <t>Algoritmo ICPI = Σ(Pi×Ri×Vi×Ti×Ci) ÷ Σ(Pi×Ri) × 100 intacto en las 5 fases — nunca modificado</t>
  </si>
  <si>
    <t>✅ CRITERIO 4</t>
  </si>
  <si>
    <t>Flujo PDOT→PONDER→TFR→MAD→ICPI→RESULTADOS intacto — 12 enlaces verificados, 0 quiebres detectados</t>
  </si>
  <si>
    <t>✅ CRITERIO 5</t>
  </si>
  <si>
    <t>13 controles automáticos activos en VERIFICACION!D73:D85 — estado actual 13/13 OK</t>
  </si>
  <si>
    <t>GAD:</t>
  </si>
  <si>
    <t>Municipal de Montecristi</t>
  </si>
  <si>
    <t>PDOT:</t>
  </si>
  <si>
    <t>Bicentenario 2023-2027</t>
  </si>
  <si>
    <t>Provincia:</t>
  </si>
  <si>
    <t>Manabí, Ecuador</t>
  </si>
  <si>
    <t>Metas:</t>
  </si>
  <si>
    <t>20 (muestra estratégica)</t>
  </si>
  <si>
    <t>Período:</t>
  </si>
  <si>
    <t>Presupuesto:</t>
  </si>
  <si>
    <t>SIAP-ICPI v1.0</t>
  </si>
  <si>
    <t>Hojas:</t>
  </si>
  <si>
    <t>GRUPO</t>
  </si>
  <si>
    <t>CAPA SIAP-ICPI</t>
  </si>
  <si>
    <t>IR</t>
  </si>
  <si>
    <t>Ejecutiva</t>
  </si>
  <si>
    <t>Panel ejecutivo ICPI global · semáforos · KPIs · ejes PDOT</t>
  </si>
  <si>
    <t>❺ SALIDA · Panel ejecutivo</t>
  </si>
  <si>
    <t>Estratégica</t>
  </si>
  <si>
    <t>Configuración institucional GAD Montecristi</t>
  </si>
  <si>
    <t>⬡ CONTROL · Configuración GAD</t>
  </si>
  <si>
    <t>Parámetros globales · umbrales · constantes del sistema</t>
  </si>
  <si>
    <t>⬡ CONTROL · Parámetros</t>
  </si>
  <si>
    <t>Auditoría</t>
  </si>
  <si>
    <t>Catálogo documental PDOT · universo n=35 · muestra n=20</t>
  </si>
  <si>
    <t>❶ BASE PDOT · Catálogo</t>
  </si>
  <si>
    <t>❶ BASE PDOT · Operativa</t>
  </si>
  <si>
    <t>Ponderación Pi · presupuesto PDOT 2023-2027 · ΣPi=1.000</t>
  </si>
  <si>
    <t>❶ BASE PDOT · Ponderación Pi</t>
  </si>
  <si>
    <t>Tabla de Factores de Relevancia · Ri por competencia COOTAD</t>
  </si>
  <si>
    <t>❶ BASE PDOT · Relevancia Ri</t>
  </si>
  <si>
    <t>Matriz de Atribución Orgánica · factor Ci por Dirección GAD</t>
  </si>
  <si>
    <t>❶ BASE PDOT · Atribución Ci</t>
  </si>
  <si>
    <t>Cálculo</t>
  </si>
  <si>
    <t>Subíndice Social Complementario · escalabilidad institucional</t>
  </si>
  <si>
    <t>❶ BASE PDOT · Escalabilidad</t>
  </si>
  <si>
    <t>Matriz Auditoría Documental · Vi · Ei · Ti · n=20 metas PDOT</t>
  </si>
  <si>
    <t>❷ AUDITORÍA · MAD</t>
  </si>
  <si>
    <t>Matriz de Evidencia y Cadena de Custodia (§3.4.3 SIAP-ICPI)</t>
  </si>
  <si>
    <t>❷ AUDITORÍA · Cadena custodia</t>
  </si>
  <si>
    <t>Ingesta</t>
  </si>
  <si>
    <t>❖ INGESTA · Ejecución Ti</t>
  </si>
  <si>
    <t>Alineación PAC/POA 2023-2025 · brechas de activación por meta</t>
  </si>
  <si>
    <t>❖ INGESTA · POA</t>
  </si>
  <si>
    <t>Plan Anual de Contratación · fuente SERCOP · por meta PDOT</t>
  </si>
  <si>
    <t>❖ INGESTA · PAC SERCOP</t>
  </si>
  <si>
    <t>Motor Central ICPI = Σ(Pi×Ri×Vi×Ei×Ti×Ci) ÷ Σ(Pi×Ri)</t>
  </si>
  <si>
    <t>❸ CÁLCULO · Motor ICPI</t>
  </si>
  <si>
    <t>Interpretación cualitativa · escala AVEP 5 niveles</t>
  </si>
  <si>
    <t>❸ CÁLCULO · Interpretación AVEP</t>
  </si>
  <si>
    <t>Validación de consistencia melógica y flujos de datos</t>
  </si>
  <si>
    <t>❹ VALIDACIÓN · Consistencia</t>
  </si>
  <si>
    <t>Análisis analítico cruzado de variables SIAP-ICPI</t>
  </si>
  <si>
    <t>❹ VALIDACIÓN · Análisis cruzado</t>
  </si>
  <si>
    <t>Matriz de Verificación de Coherencia Interna · 20/20</t>
  </si>
  <si>
    <t>❹ VALIDACIÓN · Coherencia interna</t>
  </si>
  <si>
    <t>ICPI desagregado por eje estratégico PDOT · 5 ejes</t>
  </si>
  <si>
    <t>❹ VALIDACIÓN · ICPI por eje</t>
  </si>
  <si>
    <t>Análisis de sensibilidad · Vi=0→Vi=1 · Δ máx. +20.6pp</t>
  </si>
  <si>
    <t>❹ VALIDACIÓN · Sensibilidad</t>
  </si>
  <si>
    <t>Análisis de Brecha Programática · ICPI vs Meta PDOT 2027</t>
  </si>
  <si>
    <t>❖ EJECUTIVA · Brecha ICPI</t>
  </si>
  <si>
    <t>Estructura Orgánica GAD · auditoría Ci vs Estatuto Orgánico</t>
  </si>
  <si>
    <t>❖ EJECUTIVA · Estructura orgánica</t>
  </si>
  <si>
    <t>Estrategia Desarrollo Sostenible · IED servidores públicos</t>
  </si>
  <si>
    <t>❖ CÁLCULO · IED desarrollo</t>
  </si>
  <si>
    <t>Evaluación semestral directivos LOSEP · escala 5 niveles</t>
  </si>
  <si>
    <t>❻ EVALUACIÓN · Directivos</t>
  </si>
  <si>
    <t>Cortes semestrales S1/S2 · SIITH-MDT · 12 directivos GAD</t>
  </si>
  <si>
    <t>❻ EVALUACIÓN · Cortes SIITH</t>
  </si>
  <si>
    <t>Índice Transparencia Activa Municipal · LOTAIP Art.7 · 84%</t>
  </si>
  <si>
    <t>⬡ TRANSVERSAL · ITAM</t>
  </si>
  <si>
    <t>Exportación SIL SIGAD · portal Planifica Ecuador · mensual día 5</t>
  </si>
  <si>
    <t>❼ SALIDA/SIL · Exportación</t>
  </si>
  <si>
    <t>Alertas automáticas · 14 alertas · 4 niveles COOTAD + LOSEP</t>
  </si>
  <si>
    <t>❼ SALIDA/SIL · Alertas</t>
  </si>
  <si>
    <t>Matriz de Control Documental · 8 fuentes verificadas por meta</t>
  </si>
  <si>
    <t>❷ AUDITORÍA · Control documental</t>
  </si>
  <si>
    <t>Anexo CPCCS · participación ciudadana por meta PDOT</t>
  </si>
  <si>
    <t>⬡ TRANSVERSAL · CPCCS</t>
  </si>
  <si>
    <t>Anexo CNE · evidencias procesos electorales por meta PDOT</t>
  </si>
  <si>
    <t>⬡ TRANSVERSAL · CNE</t>
  </si>
  <si>
    <t>Exportación y validación SIGAD nacional por meta PDOT</t>
  </si>
  <si>
    <t>⬡ TRANSVERSAL · SIGAD</t>
  </si>
  <si>
    <t>Variables del modelo Pi·Ri·Vi·Ei·Ti·Ci · definición · rango · §3.5</t>
  </si>
  <si>
    <t>⬡ CONTROL · Variables modelo</t>
  </si>
  <si>
    <t>Monitoreo PDOT · seguimiento por meta · evolución 2023-2027</t>
  </si>
  <si>
    <t>❖ INGESTA · Monitoreo PDOT</t>
  </si>
  <si>
    <t>⬡ CONTROL · Índice navegación</t>
  </si>
  <si>
    <t>⌂ ÍNDICE</t>
  </si>
  <si>
    <t>M-SUPPORT-RESUL  ·  SIAP-ICPI v1.0  ·  GAD Municipal Montecristi</t>
  </si>
  <si>
    <t>Capa: Cálculo &gt; M-SUPPORT-RESUL &gt; Resultado Consolidado ICPI · Semáforo AVEP</t>
  </si>
  <si>
    <t>M-SUPPORT-LIMIT  ·  SIAP-ICPI v1.0  ·  GAD Municipal Montecristi</t>
  </si>
  <si>
    <t>Capa: Ejecutiva &gt; M-SUPPORT-LIMIT &gt; Declaración de Limitaciones del Estudio</t>
  </si>
  <si>
    <t>M-SUPPORT-GLOS  ·  SIAP-ICPI v1.0  ·  GAD Municipal Montecristi</t>
  </si>
  <si>
    <t>Capa: Ejecutiva &gt; M-SUPPORT-GLOS &gt; Glosario Técnico-Operativo SIAP-ICPI</t>
  </si>
  <si>
    <t>M-SUPPORT-MAN  ·  SIAP-ICPI v1.0  ·  GAD Municipal Montecristi</t>
  </si>
  <si>
    <t>Capa: Ejecutiva &gt; M-SUPPORT-MAN &gt; Manual de Usuario Operativo SIAP-ICPI v1.0</t>
  </si>
  <si>
    <t>M-TECH-META  ·  SIAP-ICPI v1.0  ·  GAD Municipal Montecristi</t>
  </si>
  <si>
    <t>Capa: Estratégica &gt; M-TECH-META &gt; Metadatos del Sistema · Versión · Autor</t>
  </si>
  <si>
    <t>M-TECH-TRAZ  ·  SIAP-ICPI v1.0  ·  GAD Municipal Montecristi</t>
  </si>
  <si>
    <t>Capa: Estratégica &gt; M-TECH-TRAZ &gt; Registro Histórico de Cambios y Versiones</t>
  </si>
  <si>
    <t>VARIABLE</t>
  </si>
  <si>
    <t>🚦 Semáforo AVEP · Nivel ICPI</t>
  </si>
  <si>
    <t>📋 NOTA METODOLÓGICA · FÓRMULA CANÓNICA ICPI §3.7</t>
  </si>
  <si>
    <t>FÓRMULA:</t>
  </si>
  <si>
    <t>ICPI = [ Σ(Pi × Ri × Vi × Ei × Ti × Ci) ] ÷ [ Σ(Pi × Ri) ] × 100%</t>
  </si>
  <si>
    <t>NUMERADOR:</t>
  </si>
  <si>
    <t>Cumplimiento real ponderado — solo metas con Vi=1 aportan</t>
  </si>
  <si>
    <t>DENOMINADOR:</t>
  </si>
  <si>
    <t>Puntaje máximo teórico — asume Vi=1, Ti=1 para todas las metas</t>
  </si>
  <si>
    <t>n=</t>
  </si>
  <si>
    <t>20 metas estratégicas (muestra del PDOT Bicentenario 2023-2027)</t>
  </si>
  <si>
    <t>Pi:</t>
  </si>
  <si>
    <t>Peso presupuestario normalizado · ΣPi=1.0000 · Fuente: M2-PLAN-Pi</t>
  </si>
  <si>
    <t>Ri:</t>
  </si>
  <si>
    <t>Factor de relevancia normativa · {0.5 | 1.0 | 1.5} · Fuente: M-DATA-TFR</t>
  </si>
  <si>
    <t>Vi:</t>
  </si>
  <si>
    <t>Verificación documental CININ · {0 | 1} · Fuente: M4-AUDIT</t>
  </si>
  <si>
    <t>Ei:</t>
  </si>
  <si>
    <t>Eficiencia institucional · Ti_real/Ti_proyectado · Fuente: M4-AUDIT</t>
  </si>
  <si>
    <t>Ti:</t>
  </si>
  <si>
    <t>Temporalidad de ejecución · Devengado/Codificado · Fuente: M-DATA-CED</t>
  </si>
  <si>
    <t>Ci:</t>
  </si>
  <si>
    <t>Control/Imputabilidad orgánica · {0.5 | 0.9 | 1.0} · Fuente: M3-MAO</t>
  </si>
  <si>
    <t>📊 ESCALA DE INTERPRETACIÓN AVEP · Alfaro Virtus para Evaluación Programática</t>
  </si>
  <si>
    <t>RANGO</t>
  </si>
  <si>
    <t>EMOJI</t>
  </si>
  <si>
    <t>CLASIFICACIÓN</t>
  </si>
  <si>
    <t>NIVEL 5</t>
  </si>
  <si>
    <t>85-100%</t>
  </si>
  <si>
    <t>🔵</t>
  </si>
  <si>
    <t>Gestión institucionalizada con planificación estratégica integrada</t>
  </si>
  <si>
    <t>NIVEL 4</t>
  </si>
  <si>
    <t>70-84%</t>
  </si>
  <si>
    <t>Cumplimiento normativo consistente con trazabilidad documental</t>
  </si>
  <si>
    <t>NIVEL 3</t>
  </si>
  <si>
    <t>Gestión en institucionalización · Brecha programática significativa</t>
  </si>
  <si>
    <t>Ejecución reactiva sin planificación estratégica efectiva</t>
  </si>
  <si>
    <t>◄ NIVEL ACTUAL</t>
  </si>
  <si>
    <t>Ri (Relevancia)</t>
  </si>
  <si>
    <t>Vi (Verificación)</t>
  </si>
  <si>
    <t>Ti (Temporalidad)</t>
  </si>
  <si>
    <t>Pi×Ri (Denominador)</t>
  </si>
  <si>
    <t>Semáforo</t>
  </si>
  <si>
    <t>🎯 ICPI FINAL (G29)</t>
  </si>
  <si>
    <t>📐 DEFINICIÓN FORMAL DE VARIABLES DEL MODELO SIAP-ICPI · §3.5 Operacionalización</t>
  </si>
  <si>
    <t>DEFINICIÓN OPERACIONAL</t>
  </si>
  <si>
    <t>RANGO / ESCALA</t>
  </si>
  <si>
    <t>FUENTE EN EXCEL</t>
  </si>
  <si>
    <t>REF. TESIS</t>
  </si>
  <si>
    <t>Peso Presupuestario Normalizado</t>
  </si>
  <si>
    <t>Participación presupuestaria de la meta i en el total del PDOT. Pi = Presupuesto_i / Presupuesto_total. Normalizado para que ΣPi = 1.0000 (exacto).</t>
  </si>
  <si>
    <t>[0, 1] · Continuo · ΣPi = 1</t>
  </si>
  <si>
    <t>M2-PLAN-Pi (cols. C-D)</t>
  </si>
  <si>
    <t>§3.5.1 SIAP-ICPI</t>
  </si>
  <si>
    <t>Factor de Relevancia Normativa</t>
  </si>
  <si>
    <t>Multiplicador que pondera la importancia institucional de la meta según competencias COOTAD. Escala tricotómica: 1.5 = Crítica estratégica / 1.0 = Exclusiva municipal / 0.5 = Compartida o concurrente.</t>
  </si>
  <si>
    <t>{0.5, 1.0, 1.5} · Discreto</t>
  </si>
  <si>
    <t>M-DATA-TFR (col. F)</t>
  </si>
  <si>
    <t>§3.5.2 · COOTAD Art.54-55</t>
  </si>
  <si>
    <t>Verificación Documental (Integridad CININ)</t>
  </si>
  <si>
    <t>Indicador binario de existencia de evidencia documental verificable en la cadena CININ: PDOT → POA → PAC → Cédulas eSIGEF. Vi=1 si existe trazabilidad completa en los 4 niveles. Vi=0 si hay ausencia en uno o más.</t>
  </si>
  <si>
    <t>{0, 1} · Binario</t>
  </si>
  <si>
    <t>M4-AUDIT (col. E)</t>
  </si>
  <si>
    <t>§3.5.3 · §3.4 Cadena CININ</t>
  </si>
  <si>
    <t>Eficiencia Institucional</t>
  </si>
  <si>
    <t>Ratio de eficiencia entre el avance real de ejecución y el avance proyectado según cronograma POA. Ei = Ti_real / Ti_proyectado. Ei&lt;1: rezago; Ei=1: puntual; Ei&gt;1: sobre-eficiencia.</t>
  </si>
  <si>
    <t>[0, ∞) · Continuo</t>
  </si>
  <si>
    <t>M4-AUDIT (calculado col. H)</t>
  </si>
  <si>
    <t>§3.5.4 SIAP-ICPI</t>
  </si>
  <si>
    <t>Temporalidad de Ejecución</t>
  </si>
  <si>
    <t>Porcentaje de avance presupuestario devengado sobre el presupuesto codificado asignado. Ti = Devengado_acumulado / Codificado × 100%. Fuente oficial: cédulas presupuestarias eSIGEF (NCI 403-10 CGE).</t>
  </si>
  <si>
    <t>[0, 1] · Continuo</t>
  </si>
  <si>
    <t>M-DATA-CED (col. T) → M4-AUDIT</t>
  </si>
  <si>
    <t>§3.5.5 · NCI 403-10 CGE</t>
  </si>
  <si>
    <t>Control / Imputabilidad Orgánica</t>
  </si>
  <si>
    <t>Factor de control directo del GAD sobre la ejecución según modalidad de gestión. 1.0 = Gestión directa (estructura orgánica GAD) / 0.9 = Adscrita o convenio de cooperación / 0.5 = Mancomunidad con otros GADs.</t>
  </si>
  <si>
    <t>{0.5, 0.9, 1.0} · Discreto</t>
  </si>
  <si>
    <t>M3-MAO (col. J)</t>
  </si>
  <si>
    <t>§3.5.6 · COOTAD Art.295</t>
  </si>
  <si>
    <t>📐 FÓRMULA CANÓNICA DEL ICPI · §3.7 SIAP-ICPI</t>
  </si>
  <si>
    <t>Σ(Pi×Ri×Vi×Ei×Ti×Ci) — Solo metas con Vi=1 aportan. Captura cumplimiento efectivo ponderado.</t>
  </si>
  <si>
    <t>Σ(Pi×Ri) — Puntaje máximo teórico (Vi=Ei=Ti=Ci=1 para todas las metas).</t>
  </si>
  <si>
    <t>INTERPRETACIÓN:</t>
  </si>
  <si>
    <t>El ICPI mide qué % del cumplimiento ideal teórico se está logrando. ICPI=40%: se alcanza el 40% del desempeño óptimo.</t>
  </si>
  <si>
    <t>RESULTADO MONTECRISTI:</t>
  </si>
  <si>
    <t>ICPI = 0.42640 ÷ 1.06590 × 100% = 40.00%  →  🟠 TRANSICIÓN CRÍTICA</t>
  </si>
  <si>
    <t>40,00 %</t>
  </si>
  <si>
    <t>8 / 20  (40%)</t>
  </si>
  <si>
    <t>Vi_cadena=1: CININ 6 silos completos · 8 metas · Fuente D-MAD col X (actualiza automáticamente)</t>
  </si>
  <si>
    <t>12 / 20  (60%)</t>
  </si>
  <si>
    <t>Vi_cadena=0: sin cadena documental · TER-10 Camal + SOC-04 CIBV · Δ ICPI potencial: ver H3-SENSI</t>
  </si>
  <si>
    <t>Vi=1: 8 (40%)  ·  Vi=0: 12 (60%)
████████░░░░░░░░░░░░  040 %</t>
  </si>
  <si>
    <t>ICPI=040% — TRANSICIÓN CRÍTICA · Vi_cad=1: 8/20 · Vi=0: 12/20 · Ver H3-SENSI potencial</t>
  </si>
  <si>
    <t>‹  ICPI</t>
  </si>
  <si>
    <t>CONSISTENCIA  ›</t>
  </si>
  <si>
    <t>DASHBOARD  ›</t>
  </si>
  <si>
    <t>🟠 TRANSICIÓN CRÍTICA</t>
  </si>
  <si>
    <t>Cumplimiento parcial con signos de erosión del compromiso programático.</t>
  </si>
  <si>
    <t>════════════════════════════════  M-SUPPORT-RESUL · Resultados Consolidados ICPI  ════════════════════════════════</t>
  </si>
  <si>
    <t>══════════════════════════════════════  M-SUPPORT-GLOS · Glosario Técnico-Operativo SIAP-ICPI  ══════════════════════════════════════</t>
  </si>
  <si>
    <t>‹  LIMITACIONES</t>
  </si>
  <si>
    <t>══════════════════════════════════════  M-SUPPORT-LIMIT · Alcance y Limitaciones del Instrumento  ══════════════════════════════════════</t>
  </si>
  <si>
    <t>══════════════════════════════════════  M-TECH-META · Metadatos del Sistema  ══════════════════════════════════════</t>
  </si>
  <si>
    <t>══════════════════════════════════════  M-TECH-TRAZ · Registro Histórico de Cambios y Versiones  ══════════════════════════════════════</t>
  </si>
  <si>
    <t>‹  MANUAL</t>
  </si>
  <si>
    <t>ÍNDICE  ›</t>
  </si>
  <si>
    <t>40,0036 = Σ(Pi×Ri×Vi×Ei×Ti×Ci)÷Σ(Pi×Ri)</t>
  </si>
  <si>
    <t>0,426400  (Σ numerador)</t>
  </si>
  <si>
    <t>0.000.000 (suma ponderada logro verificado)</t>
  </si>
  <si>
    <t>1,0659  (Σ denominador)</t>
  </si>
  <si>
    <t>0.000.001 (potencial máximo todas las metas)</t>
  </si>
  <si>
    <t>8 / 20 = 40% · D-MAD!X4:X23</t>
  </si>
  <si>
    <t>8 metas con cadena documental CININ íntegra (S1+S2+S3+S4≥2)</t>
  </si>
  <si>
    <t>TER-10 (Camal) · SOC-04 (Guardería) · D-MAD!X col</t>
  </si>
  <si>
    <t>CININ rota: S1=0 o (S2+S3+S4&lt;2) · Metas sin cadena verificable PDOT→Ejecución</t>
  </si>
  <si>
    <t>1 · TER-01·INS-03·INS-05·TER-18</t>
  </si>
  <si>
    <t>20% completadas al 100%. Modelo a replicar en otros ejes (INS)</t>
  </si>
  <si>
    <t>5 metas · D-MAD!X+I</t>
  </si>
  <si>
    <t>55% en ejecución parcial con evidencia documental. Potencial de mejora Ti</t>
  </si>
  <si>
    <t>42% promedio</t>
  </si>
  <si>
    <t>00.000 · AVERAGEIF(D-MAD!X=1, D-MAD!I)</t>
  </si>
  <si>
    <t>Avance promedio 52% entre metas con evidencia. Progreso real pero insuficiente</t>
  </si>
  <si>
    <t>-60,00 pp  (ICPI − Meta PDOT 2027=100%)</t>
  </si>
  <si>
    <t>40,00% - 0,00% = 40,00 pp</t>
  </si>
  <si>
    <t>~68%  (Δ potencial si todas Vi=0→1 — ver H3-SENSI · estimado)</t>
  </si>
  <si>
    <t>H3-SENSI!E6 · Regularizar SOC-02 (Centro Salud): mayor retorno individual</t>
  </si>
  <si>
    <t>Sin ejecutar obra adicional: documentar convenio MSP + actas=+20.6pp ICPI §3.4</t>
  </si>
  <si>
    <t>9 de 12</t>
  </si>
  <si>
    <t>9 · T-SEMESTRAL!D13:D24 · Umbral IED&lt;60%</t>
  </si>
  <si>
    <t>🔴 CRÍTICO — Activa Art.80 LOSEP sumario. 9 dirs INACEPTABLE requieren acción inmediata</t>
  </si>
  <si>
    <t>Σ(Pi×Ri×Ti×Ci)=0,4264 | Σ(Pi×Ri)=1,065905 | ICPI=40,0036%</t>
  </si>
  <si>
    <t>Vi=1 · Ti=0,25 · Ci=1</t>
  </si>
  <si>
    <t>Vi=1 · Ti=0,65 · Ci=0,9</t>
  </si>
  <si>
    <t>Vi=1 · Ti=0,75 · Ci=0,9</t>
  </si>
  <si>
    <t>Vi=0 · Ti=0,1 · Ci=1</t>
  </si>
  <si>
    <t>Vi=1 · Ti=0,2 · Ci=0,9</t>
  </si>
  <si>
    <t>Vi=0 · Ti=0 · Ci=1</t>
  </si>
  <si>
    <t>Vi=1 · Ti=1 · Ci=1</t>
  </si>
  <si>
    <t>Vi=1 · Ti=0,9 · Ci=1</t>
  </si>
  <si>
    <t>Vi=0 · Ti=0,3 · Ci=0,9</t>
  </si>
  <si>
    <t>Vi=1 · Ti=0,4 · Ci=1</t>
  </si>
  <si>
    <t>Vi=1 · Ti=0,5 · Ci=1</t>
  </si>
  <si>
    <t>Vi=1 · Ti=0,3 · Ci=1</t>
  </si>
  <si>
    <t>Vi=0 · Ti=0,2 · Ci=1</t>
  </si>
  <si>
    <t>Vi=1 · Ti=0,7 · Ci=1</t>
  </si>
  <si>
    <t>Vi=1 · Ti=0,35 · Ci=1</t>
  </si>
  <si>
    <t>Base primaria operativa · 20 metas · Pi · Ri · Vi · Ti · Ci · Marco legal COOTAD</t>
  </si>
  <si>
    <t>Resultados consolidados ICPI · semáforo AVEP · brecha vs 2027 · Dashboard resumen PDOT</t>
  </si>
  <si>
    <t>❸ CÁLCULO · Resultado ICPI + Dashboard</t>
  </si>
  <si>
    <t>Documentación</t>
  </si>
  <si>
    <t>Marco Metodológico fusionado: Manual · Glosario · Limitaciones · Metadatos · Trazabilidad</t>
  </si>
  <si>
    <t>⬡ DOCUMENTACIÓN · Marco consolidado</t>
  </si>
  <si>
    <t>Índice maestro de navegación · 38 módulos activos · acceso rápido</t>
  </si>
  <si>
    <t>✅ Ejecutado → POA 2024 activo $337K</t>
  </si>
  <si>
    <t>❌ Sin asignación 2024 → Gestión interinstitucional MSP</t>
  </si>
  <si>
    <t>⚠️ Estudios previos → Consultoría $50K asignada 2024</t>
  </si>
  <si>
    <t>❌ Sin asignación 2024 → Abandono programático</t>
  </si>
  <si>
    <t>⚠️ Parcial → GAD+PMAS $90.7K · Solo operación social</t>
  </si>
  <si>
    <t>⚠️ Sin bacheo explícito → Obras urbanas $285K asignadas</t>
  </si>
  <si>
    <t>✅ GAD+PMAS activos → $346.7K Unidades médicas</t>
  </si>
  <si>
    <t>⚠️ Solo gestión riesgos → Sin obra PTAR · $52K asignado</t>
  </si>
  <si>
    <t>✅ En ejecución → Parque Las Pampas + EP $370.5K</t>
  </si>
  <si>
    <t>✅ GAD+PMAS activos → Talleres+CDI $394.5K</t>
  </si>
  <si>
    <t>❌ Sin asignación 2024 → Empresa Aseo sin partida</t>
  </si>
  <si>
    <t>⚠️ Solo mantenimiento → Maquinaria $307K · Sin adquisición</t>
  </si>
  <si>
    <t>✅ En ejecución → Semáforos+Cámaras $161K asignado</t>
  </si>
  <si>
    <t>⚠️ Parcial → TIC distribuido $79.6K · Sin plataforma ciudadana</t>
  </si>
  <si>
    <t>✅ En ejecución → Sistema Catastral $109.4K</t>
  </si>
  <si>
    <t>⚠️ Mínimo → Fauna/Ambiental solo $15K asignado</t>
  </si>
  <si>
    <t>✅ En ejecución → Cultura+Turismo $193.5K</t>
  </si>
  <si>
    <t>⚠️ Reducido → Señalética $71.6K · Sin alumbrado 2024</t>
  </si>
  <si>
    <t>⚠️ Deuda dominante → AP $752.4K · 87% es deuda BDE</t>
  </si>
  <si>
    <t>🟠 ALTA · POA 2024: $337K · Brecha PDOT persiste</t>
  </si>
  <si>
    <t>🔴 CRÍTICA · SIN ASIGNACIÓN 2024 · 2do año consecutivo</t>
  </si>
  <si>
    <t>🟠 ALTA · POA 2024: $50K · Solo consultoría · Sin obra</t>
  </si>
  <si>
    <t>🔴 CRÍTICA · SIN ASIGNACIÓN 2024 · Abandono programático</t>
  </si>
  <si>
    <t>🟡 MEDIA · POA 2024: $90.7K · Activo GAD+PMAS</t>
  </si>
  <si>
    <t>🟠 ALTA · POA 2024: $285K · Sin bacheo explícito</t>
  </si>
  <si>
    <t>🟡 MEDIA · POA 2024: $346.7K · GAD+PMAS activos</t>
  </si>
  <si>
    <t>🟠 ALTA · POA 2024: $52K · Sin obra PTAR · Solo riesgos</t>
  </si>
  <si>
    <t>🟡 MEDIA · POA 2024: $370.5K · Parques en ejecución</t>
  </si>
  <si>
    <t>🟡 MEDIA · POA 2024: $394.5K · GAD+PMAS activos</t>
  </si>
  <si>
    <t>🔴 CRÍTICA · SIN ASIGNACIÓN 2024 · Empresa Aseo sin partida</t>
  </si>
  <si>
    <t>🟡 MEDIA · POA 2024: $307K · Mantenimiento maquinaria</t>
  </si>
  <si>
    <t>🟡 MEDIA · POA 2024: $161K · Semáforos+Cámaras activos</t>
  </si>
  <si>
    <t>🟡 MEDIA · POA 2024: $79.6K · TIC parcial · Sin plataforma</t>
  </si>
  <si>
    <t>🟡 MEDIA · POA 2024: $109.4K · Catastro en ejecución</t>
  </si>
  <si>
    <t>🟡 MEDIA · POA 2024: $15K · Mínimo ambiental</t>
  </si>
  <si>
    <t>🟡 MEDIA · POA 2024: $193.5K · Cultura+Turismo activos</t>
  </si>
  <si>
    <t>🟡 MEDIA · POA 2024: $71.6K · Señalética reducida</t>
  </si>
  <si>
    <t>🟠 ALTA · POA 2024: $752.4K · 87% deuda BDE · Sin obra nueva</t>
  </si>
  <si>
    <t>5✅ / 6⚠️ / 5🟠 / 3🔴 · POA 2024 INGRESADO</t>
  </si>
  <si>
    <t>3🔴 / 5🟠 / 11🟡 · POA 2024</t>
  </si>
  <si>
    <t>Campaña Sensibilización Reciclaje</t>
  </si>
  <si>
    <t>🔴 Sin asignación</t>
  </si>
  <si>
    <t>Reactivar programa de sensibilización / Asignar recursos</t>
  </si>
  <si>
    <t>Ninguna registrada</t>
  </si>
  <si>
    <t>Inversión</t>
  </si>
  <si>
    <t>🔴 CRÍTICA · SIN ASIGNACIÓN 2024</t>
  </si>
  <si>
    <t>TOTALES · 21 METAS PDOT · 5 EJES ESTRATÉGICOS</t>
  </si>
  <si>
    <t>✅ CORREGIDO EO 2025: Art. 31 — Dir. Gestión Ambiental y Riesgos. Dirección GAD directa. Ci=1.0 actualizado.</t>
  </si>
  <si>
    <t>✅ CORREGIDO EO 2025: Art. 10 — EP Aseo bajo LOEP. Empresa Pública autónoma. Ci=0.75 estándar EP.</t>
  </si>
  <si>
    <t>Ordenanza de Creación del Patronato Municipal (Entidad Adscrita)</t>
  </si>
  <si>
    <t>Art. 19 EO 2021</t>
  </si>
  <si>
    <t>Dirigir, controlar y ejecutar políticas del Concejo; administrar y representar legalmente al GAD.</t>
  </si>
  <si>
    <t>Art. 16 EO 2021</t>
  </si>
  <si>
    <t>Legislación y fiscalización del GAD; aprueba ordenanzas, presupuesto, PDyOT.</t>
  </si>
  <si>
    <t>Art. 30 EO 2021</t>
  </si>
  <si>
    <t>Control interno previo, concurrente y posterior; exámenes auditoría; reporta Contraloría.</t>
  </si>
  <si>
    <t>Art. 21 EO 2021</t>
  </si>
  <si>
    <t>Fe pública actos del Concejo y Alcaldía; actas, resoluciones, certificaciones, archivo.</t>
  </si>
  <si>
    <t>Art. 24/45 EO 2021</t>
  </si>
  <si>
    <t>PDOT, POA, PAC, ordenamiento territorial, uso suelo, PUGS. Seguimiento SIGAD e indicadores.</t>
  </si>
  <si>
    <t>Art. 39 EO 2021</t>
  </si>
  <si>
    <t>Dirigir, construir y mantener obras públicas; vialidad, infraestructura, fiscalización, máquina caminera.</t>
  </si>
  <si>
    <t>Art. 42 EO 2021</t>
  </si>
  <si>
    <t>Planificar, operar y mantener sistemas agua potable y alcantarillado; PTAR, saneamiento cantonal.</t>
  </si>
  <si>
    <t>Art. 69 EO 2021</t>
  </si>
  <si>
    <t>Atención grupos vulnerables, inclusión social, brigadas salud, desarrollo comunitario y productivo.</t>
  </si>
  <si>
    <t>Art. 54 EO 2021</t>
  </si>
  <si>
    <t>Gestión ambiental preventiva; licencias, áreas verdes, fauna urbana, normas EIA/PMA, convenios MAATE.</t>
  </si>
  <si>
    <t>Art. 94 EO 2021</t>
  </si>
  <si>
    <t>Infraestructura TI, seguridad informática, sistemas ERP, redes, soporte técnico, SIGAD.</t>
  </si>
  <si>
    <t>Art. 48 EO 2021</t>
  </si>
  <si>
    <t>Catastro urbano/rural georreferenciado; avalúos, valoración predial bienal, plusvalía, SIG.</t>
  </si>
  <si>
    <t>Art. 84 EO 2021</t>
  </si>
  <si>
    <t>Dotación de talento humano calificado; nómina, capacitación, evaluación, régimen disciplinario.</t>
  </si>
  <si>
    <t>Art. 75 EO 2021</t>
  </si>
  <si>
    <t>Gestión financiera eficiente; presupuesto, contabilidad, tesorería, rentas, coactivas, eSIGEF.</t>
  </si>
  <si>
    <t>Ejecución de políticas de atención a grupos prioritarios (COOTAD Art. 388): adultos mayores, discapacidad, CIBV.</t>
  </si>
  <si>
    <t>Estatuto EP Aseo Integral (Res. Adm. propia)</t>
  </si>
  <si>
    <t>Recolección y disposición residuos sólidos. Relleno sanitario. Barrido vías urbanas cantón.</t>
  </si>
  <si>
    <t>Art. 51 EO 2021</t>
  </si>
  <si>
    <t>Gestión mercados, cementerios, camal, espacios públicos, comisarías y control territorial.</t>
  </si>
  <si>
    <t>Art. 66 EO 2021</t>
  </si>
  <si>
    <t>Promoción turística cantonal; inventario recursos, licencias, ferias, capacitación guías, marca.</t>
  </si>
  <si>
    <t>✅ COHERENTE — Ci=1.0 EO 2021</t>
  </si>
  <si>
    <t>✅ VALIDADO EO 2021</t>
  </si>
  <si>
    <t>✅ VALIDADO EO 2021 — DSC Ci=1.0 REINSTAURADO</t>
  </si>
  <si>
    <t>✅ VALIDADO EO 2021 — Ci=1.0 GAD directo</t>
  </si>
  <si>
    <t>Línea base EO 2021 (Res. 0037) — norma vigente período auditado 2023-2024</t>
  </si>
  <si>
    <t>Patronato — Ci=0.9 por autonomía administrativa (Ordenanza Creación + COOTAD Art. 388)</t>
  </si>
  <si>
    <t>Línea base EO 2021 — Art. 24/45 Planificación Institucional y Ordenamiento Territorial</t>
  </si>
  <si>
    <t>Línea base EO 2021 — Art. 51 Dir. Espacios Públicos, Justicia y Vigilancia</t>
  </si>
  <si>
    <t>✅ REINSTAURADA EO 2021: Art. 69 Dir. Acción e Inclusión Social y Comunitaria — Ci=1.0 Dir. GAD directa</t>
  </si>
  <si>
    <t>Línea base EO 2021 — Art. 39 Dir. Obras Públicas</t>
  </si>
  <si>
    <t>✅ EO 2021 Art. 54: Dir. Gestión Ambiental es GAD directo. Ci=1.0 CONFIRMADO. Coherencia C-MAO vs X-ORG resuelta.</t>
  </si>
  <si>
    <t>EP Aseo — Ci=0.75 Empresa Pública bajo LOEP. Estatuto EP propio. No figura en EO 2021.</t>
  </si>
  <si>
    <t>TICs — Art. 94 EO 2021, subproceso Dir. Administrativa. Ci=1.0 GAD directo.</t>
  </si>
  <si>
    <t>Línea base EO 2021 — Art. 48 Dir. Avalúos y Catastros. Ci=1.0 confirmado.</t>
  </si>
  <si>
    <t>UGS-MSP — Ci=0.9 convenio externo. Sin artículo en EO 2021.</t>
  </si>
  <si>
    <t>Turismo — Art. 66 EO 2021 Dir. Desarrollo Turístico. Ci=0.9 unidad dependiente.</t>
  </si>
  <si>
    <t>Línea base EO 2021 — Art. 42 Dir. Agua Potable y Alcantarillado Sanitario. Ci=1.0 confirmado.</t>
  </si>
  <si>
    <t>Línea base EO 2021 consolidada. 0 alertas activas. Norma vigente periodo auditado 2023-2024.</t>
  </si>
  <si>
    <t>Art. 39 EO 2021 — Dir. Obras Públicas</t>
  </si>
  <si>
    <t>Ordenanza de Creación Patronato Municipal (Entidad Adscrita)</t>
  </si>
  <si>
    <t>Art. 24/45 EO 2021 — Dir. Planificación y OT</t>
  </si>
  <si>
    <t>Art. 51 EO 2021 — Dir. Espacios Públicos y Servicios</t>
  </si>
  <si>
    <t>Art. 69 EO 2021 — Dir. Acción e Inclusión Social</t>
  </si>
  <si>
    <t>Art. 54 EO 2021 — Dir. Gestión Ambiental (GAD directo)</t>
  </si>
  <si>
    <t>Estatuto EP Aseo Integral (Res. Adm. propia) — Ci=0.75</t>
  </si>
  <si>
    <t>Art. 94 EO 2021 — TICs (subproceso Dir. Administrativa)</t>
  </si>
  <si>
    <t>Art. 48 EO 2021 — Dir. Avalúos y Catastros</t>
  </si>
  <si>
    <t>Art. 66 EO 2021 — Dir. Desarrollo Turístico</t>
  </si>
  <si>
    <t>Art. 42 EO 2021 — Dir. Agua Potable y Alcantarillado</t>
  </si>
  <si>
    <t>"Convertir a Montecristi en un lugar apropiado para la atracción de empresas y emprendimientos que favorezcan el desarrollo local; mejoramiento de las infraestructuras del entorno empresarial para optimizar y atraer nuevas industrias; generar ordenanzas municipales para la exoneración de tributos a las empresas que se asienten dentro del cantón." (Plan CNE, Eje Económico, Actividades P-01)</t>
  </si>
  <si>
    <t>Fidelidad media con ejecución nula en componentes clave. El PDOT sólo recoge ferias ($109,763). Las ordenanzas tributarias y la infraestructura empresarial —núcleo de la promesa— tienen ICPI=0 en ese componente. Dictamen: RECORTE SEVERO DE ALCANCE.</t>
  </si>
  <si>
    <t>"Gestión para repotenciar y ordenar el mercado cantonal; crear y fomentar programas para el fortalecimiento del sector artesanal (paja toquilla, tagua); generar ordenanzas municipales para reordenar estratégicamente a los vendedores ambulantes." (Plan CNE, Eje Económico, Actividades P-02)</t>
  </si>
  <si>
    <t>Fidelidad media con ejecución baja. Meta PDOT.AS.OE1.M2.01 (Ti=0.45, Vi=0) absorbe el equipamiento comercial genérico pero omite el fortalecimiento artesanal diferenciado y el reordenamiento de ambulantes. Sector artesanal: promesa sin meta individual en PDOT.</t>
  </si>
  <si>
    <t>"Convertir a Montecristi en un destino turístico ideal; repotenciar el Paseo Lúdico; impulsar y desarrollar programas de promocionamiento para las artesanías; creación de rutas para ciclismo de montaña; elaborar un plan para promocionar la gastronomía del cantón; elaborar un plan de posicionamiento turístico; gestionar la creación de una ruta turística; impulsar el desarrollo turístico de la Playa San José e Isla de la Plata; impulsar el desarrollo turístico del Manglar de Montecristi." (Plan CNE, Eje Económico — TURISMO, 9 actividades)</t>
  </si>
  <si>
    <t>🔴 PROMESA HUÉRFANA — Sin respaldo en planificación. La meta PDOT.EP.OE5.M1.01 (turismo) es la única existente pero NO está en la muestra n=20 del ICPI. El PDOT asigna $0 al eje turístico en la muestra. 9 actividades turísticas concretas: ICPI = 0%. Dictamen: FIDELIDAD NULA (Publicidad engañosa).</t>
  </si>
  <si>
    <t>"Elaborar el Plan de Desarrollo Territorial (PDOT) 2023 con la incorporación de los Objetivos de Desarrollo Sostenible (ODS); estudios y elaboración de un plan de desarrollo territorial para Montecristi, enfocado hacia los próximos 30 años; actualización del sistema catastral del cantón Montecristi." (Plan CNE, Eje Institucional, Actividades P-04)</t>
  </si>
  <si>
    <t>Fidelidad media con ejecución baja. Meta PDOT.PI.OE4.FI.01 (Ti=0.30, Pi=0.0125) recoge la planificación genérica. El PDOT como producto prometido no consta diferenciado. La actualización catastral fue ejecutada vía LIDAR ($250K) pero como meta distinta. ICPI del componente: bajo.</t>
  </si>
  <si>
    <t>"Incorporar el uso de las TICs para facilitar los trámites a la ciudadanía; mejorar los equipos informáticos del GAD Montecristi; elaboración de una Plataforma Digital del GAD que facilite y ayude a la realización de trámites al usuario; implementar e-Gobierno / Gobierno Abierto; repositorios de información pública." (Plan CNE, Eje Institucional, TICs)</t>
  </si>
  <si>
    <t>Fidelidad alta con ejecución media. Meta PDOT.PI.OE4.M1.01 (Ti=1.0, Pi=0.037, ICPI contribución=0.018) recoge íntegramente la promesa digital. ERP $636K ejecutado. Plataforma ciudadana pendiente. Semáforo 🔵 CUMPLIDA. Dictamen: FIDELIDAD ALTA — ejecución a nivel medio-alto.</t>
  </si>
  <si>
    <t>"Fortalecer el Sistema de Información Territorial Municipal; actualización del sistema catastral del cantón Montecristi; Catastro Integrado alfanumérico-gráfico." (Plan CNE, Eje Institucional, P-06)</t>
  </si>
  <si>
    <t>Fidelidad media con ejecución alta en SIT, nula en catastro. Meta PDOT.PI.OE4.M2.01 (Ti=1.0 CUMPLIDA, Vi=0 según ICPI, Pi=0.018). El SIT-LIDAR fue ejecutado ($250K PAC). La actualización catastral alfanumérica: sin Vi verificable. Dictamen: Fidelidad alta con brechas de evidencia.</t>
  </si>
  <si>
    <t>"Proyectar a Montecristi como una ciudad idónea para vivir; posicionar la marca ciudad de Montecristi a nivel nacional como un referente de transformación y visión; promover la transparencia y la rendición de cuentas del presupuesto del GAD; cumplir a cabalidad con la LOTAIP; buscar y coordinar alianzas con diferentes niveles de gobierno e instituciones internacionales." (Plan CNE, Eje Institucional, P-07)</t>
  </si>
  <si>
    <t>🔴 PROMESA HUÉRFANA — Sin respaldo en planificación. 'Marca ciudad', LOTAIP activa, transparencia presupuestaria y alianzas internacionales no tienen meta diferenciada en la muestra n=20. PDOT.PI.OE6.PD.01 (marca ciudad) no está en la muestra ICPI. Presupuesto asignado a esta promesa en muestra: $0. ICPI=0%.</t>
  </si>
  <si>
    <t>Meta de Continuidad Administrativa / No mencionada en Plan CNE como promesa diferenciada</t>
  </si>
  <si>
    <t>N/A — Fila de referencia estructural del eje.</t>
  </si>
  <si>
    <t>"Promover el desarrollo equitativo y solidario de la SALUD INTEGRAL en todo el territorio del Cantón Montecristi; creación del CONCEJO DE SALUD DE MONTECRISTI; gestionar la construcción de un Centro de Salud Tipo C (PLAN 'NACER AQUÍ'); gestionar para la construcción de un Centro Geriátrico; realizar atención en salud puerta a puerta; creación de clubes municipales de salud." (Plan CNE, Eje Social — SALUD, 6 actividades)</t>
  </si>
  <si>
    <t>Fidelidad media con ejecución CRÍTICA. Meta PDOT.SC.OE2.M1.01 (Pi=0.177 — 2da mayor de la muestra, Ti=0.65, Vi=0 SIN EVIDENCIA). Centro de Salud Tipo C y Centro Geriátrico prometidos como CAPEX físico; PDOT los reduce a gestión Patronato (OPEX). Semáforo 🟠 ICPI contribución=0.155. Dictamen: Fidelidad media — ejecución crítica por ausencia de convenio MSP.</t>
  </si>
  <si>
    <t>"Realizar estrategias entre los diferentes organismos de seguridad ciudadana para disponer acciones de control y prevención; lograr que Montecristi se convierta en una ciudad segura; gestionar la instalación de alarmas comunitarias en puntos críticos del cantón; gestionar la habilitación y el uso de los UPC en los sectores de la Aníbal San Andrés, Parroquia Colorado; gestión para las aperturas de cuarteles del cuerpo de bomberos en zonas estratégicas." (Plan CNE, Eje Social — SEGURIDAD)</t>
  </si>
  <si>
    <t>🔴 PROMESA HUÉRFANA — Sin respaldo en planificación. Ninguna de las 3 acciones de seguridad (alarmas comunitarias, UPCs, cuarteles bomberos) tiene meta en el PDOT n=20. La meta PDOT.AS.VL.SV.01 recoge parcialmente CCTV/señalización pero con Ti=0.35 y CCTV Vi=0. Presupuesto asignado a seguridad ciudadana directa: $0. ICPI=0%. Dictamen: FIDELIDAD NULA.</t>
  </si>
  <si>
    <t>"Acoger y brindar mejores condiciones de vida a la fauna urbana; gestión para la donación y construcción de un albergue para Gatos y Perros; programas de campañas de esterilización." (Plan CNE, Eje Social — ANIMALISTA)</t>
  </si>
  <si>
    <t>🔴 PROMESA HUÉRFANA — Sin respaldo en planificación. Aunque la meta PDOT.FA.OE2.MA.01 recoge fauna urbana (172 castraciones + Ordenanza 017-2024, Ti=1.0 CUMPLIDA), esta está codificada bajo sensibilización ambiental, NO como promesa de albergue. La meta sí es TOTAL en ejecución. Revisión: Reclasificar a PARCIAL con ejecución buena. Semáforo 🔵.</t>
  </si>
  <si>
    <t>"Gestión para la implementación de una Plataforma Digital que brinde capacitaciones a los ciudadanos y emita certificaciones (KA-LARTE ES POR TI); gestionar un centro de emprendedores que brinde asesoría y acompañamiento (CUNA DE EMPRENDEDORES); brindar becas de preparación para el examen de ingreso a la universidad; fomentar programas para incentivar la lectura, pintura, cultura, oratoria, deportes." (Plan CNE, Eje Social — FORMACIÓN)</t>
  </si>
  <si>
    <t>Fidelidad media con ejecución baja. Meta PDOT.SC.OE2.M1.01 absorbe genéricamente el bienestar social. La plataforma 'KA-LARTE', las becas universitarias y 'Cuna de Emprendedores' no constan como proyectos con presupuesto propio. ICPI del componente social: Ti=0.65, Vi=1. Dictamen: Fidelidad media — 3 compromisos concretos sin meta individual.</t>
  </si>
  <si>
    <t>"Crear espacios de participación ciudadana para informales que acciones se realizan con los recursos públicos; el GAD deberá identificar los actores ciudadanos con mayor representatividad; promover la participación ciudadana en programas barriales." (Plan CNE, Eje Social — PARTICIPACIÓN)</t>
  </si>
  <si>
    <t>Fidelidad media con ejecución baja-crítica. Meta PDOT.SC.OE2.M4.01 (Pi=0.049, Ti=0.20, Vi=0 SIN EVIDENCIA en ICPI, semáforo 🔴). La participación barrial estructurada y la transparencia presupuestaria activa no tienen evidencias documentales. ICPI contribución=0.009. Dictamen: Fidelidad media — ejecución crítica.</t>
  </si>
  <si>
    <t>"Gestionar la construcción y mejoramiento de espacios deportivos y de recreación; gestionar la construcción y mejoramiento de espacios culturales y sociales en distintos sectores del cantón; evaluar e incorporar redes wifi en parques y espacios públicos." (Plan CNE, Eje Social — ESPACIOS RECREATIVOS)</t>
  </si>
  <si>
    <t>Fidelidad media con ejecución media. Meta PDOT.AV.OE1.M1.01 (Pi=0.027, Ti=0.50, Vi=1, semáforo 🔵) cubre recuperación de espacios existentes. La promesa fue construcción de NUEVOS espacios. WiFi en parques: no consta en ninguna meta. ICPI contribución=0.024. Dictamen: Fidelidad media — ejecución media con brecha WiFi.</t>
  </si>
  <si>
    <t>"Creación del Inventario del Patrimonio Cultural de Montecristi; generación del Catastro de artistas y gestores culturales en el RUAC (Registro Único de Artistas y Cultores)." (Plan CNE, Eje Social — PATRIMONIO CULTURAL, Actividades P-15)</t>
  </si>
  <si>
    <t>Fidelidad alta con ejecución media-alta. Metas PDOT.SC.PA.CP.02 (Ti=0.65, Vi=1 — inventario actualizado RDC 2024) + PDOT.SC.PA.CP.01 (Ti=0.20, Vi=0 — RUAC sin proceso SERCOP). ICPI contribución=0.003+0. Dictamen: FIDELIDAD ALTA — ejecución media en inventario, baja en RUAC.</t>
  </si>
  <si>
    <t>"Fortalecer la reducción de indicadores de pobreza, embarazo adolescente y drogadicción; generar estadísticas sobre cohesión social y grupos vulnerables; promover la participación ciudadana para la inclusión social." (Plan CNE, Eje Social / Cohesión Social, P-16)</t>
  </si>
  <si>
    <t>Fidelidad alta con ejecución media-baja. Meta PDOT.SC.OE2.M2.01 (Pi=0.004, Ti=0.30 pero RDC 2023+2024: CDBV 24h operativo — Ti=1.0 marcada CUMPLIDA en M1-ITME). Indicadores territoriales directamente prometidos. ICPI contribución=0.001. Dictamen: FIDELIDAD ALTA — ejecución operativa confirmada.</t>
  </si>
  <si>
    <t>"Gestionar el diseño de una planta de oxidación para el tratamiento de aguas residuales; ampliar la cobertura en recolección de desechos en las zonas urbanas y rurales; estudios técnicos y ambiental para la ampliación del basurero municipal; desarrollo de programas para la gestión de los residuos sólidos desde la fuente." (Plan CNE, Eje Ambiental, 4 actividades)</t>
  </si>
  <si>
    <t>Fidelidad alta con ejecución media. Metas PDOT.AM.OE3.M2.01 (Ti=0.75, Vi=1, semáforo 🟢) + PDOT.FA.OE4.AH.02 (Ti=0.30, Vi=1, semáforo 🟠). Total presupuestado: $5,750,746. ICPI contribución combinada=0.085+0.009=0.094. Dictamen: FIDELIDAD ALTA — mayor respaldo presupuestario del eje ambiental.</t>
  </si>
  <si>
    <t>"Identificar áreas estratégicas para la protección del medio ambiente; elaborar y planificar programas de arbolización urbano y rural; gestionar con el gobierno nacional la derogación del decreto ejecutivo donde se nombró al cerro de Montecristi como espacio de servicio público; control de calidad del aire; protección de flora y fauna nativa." (Plan CNE, Eje Ambiental — ÁREAS VERDES, P-18)</t>
  </si>
  <si>
    <t>Fidelidad media con ejecución media. Metas PDOT.FA.OE1.PV.01 (Ti=0.50, Vi=1) + PDOT.FA.OE2.MA.01 (Ti=0.35, Vi=1) cubren arbolado y sensibilización. Control de calidad del aire, derogación decreto cerro y protección biodiversidad nativa sin meta diferenciada. ICPI contribución=0.005+0.002=0.007. Dictamen: Fidelidad media — ejecución media.</t>
  </si>
  <si>
    <t>"Ampliar el sistema de alcantarillado en los sectores de Eloy Alfaro, Leónidas Proaño, Colorado y demás sectores del cantón; gestionar la construcción de una planta de tratamiento de aguas residuales para sustituir la descarga sin tratamiento al río Muerto." (Plan CNE, Eje Territorial / Ambiental, P-19)</t>
  </si>
  <si>
    <t>Fidelidad media con ejecución media-alta. Meta PDOT.AS.OE1.M1.02 (Pi=0.038, Ti=0.75, Vi=1) contempla PTAR. Los 4 sectores mencionados por nombre no están desagregados presupuestariamente. RDC 2024: contratos inicio Colorado/Paola/El Padrino. ICPI contribución=0 (Vi=0 en M5-ICPI). Dictamen: Fidelidad media — ejecución real sin evidencia documental en ICPI.</t>
  </si>
  <si>
    <t>"Implementar infraestructura civil para mitigación y reducción de impactos ante susceptibilidad ambiental; identificar y prevenir asentamientos humanos en zonas de riesgo." (Plan CNE, Eje Institucional — Planificación, P-20)</t>
  </si>
  <si>
    <t>Fidelidad alta con ejecución baja. Meta PDOT.AM.OE3.M1.01 (Pi=0.025, Ti=0.30, Vi=0 SIN EVIDENCIA, semáforo ⬛, Ri=1.5). La promesa se trasladó íntegramente al PDOT. Sin embargo, ICPI contribución=0 por ausencia de evidencia (Vi=0). Presupuesto: $840,000 sin financiamiento CELEC/BDE confirmado. Dictamen: FIDELIDAD ALTA — ejecución nula en ICPI.</t>
  </si>
  <si>
    <t>"Desarrollar un sistema de control ambiental que permita identificar de forma objetiva los sectores contaminantes del Cantón; control de evaluación y monitoreo de los contaminantes de la calidad de aire; impulsar la protección de flora y fauna nativa del cantón, incluyendo la explotación minera en la Playa San José y en las faldas del cerro." (Plan CNE, Eje Ambiental — PROTECCIÓN, P-21)</t>
  </si>
  <si>
    <t>🔴 PROMESA PARCIALMENTE HUÉRFANA. El sistema de control ambiental y el monitoreo de calidad del aire no tienen meta diferenciada en el PDOT n=20. Solo la gestión de residuos sólidos ($5,001,963) absorbe parcialmente. La protección frente a explotación minera en Playa San José y cerro no consta. Dictamen: FIDELIDAD NULA en componentes clave.</t>
  </si>
  <si>
    <t>"Lograr que el GAD sea el encargado de la construcción y mantenimiento de las vías del cantón; gestión para la adquisición de equipo de pavimento asfáltico; planificar la construcción y mantenimiento de las vías; ampliar la construcción de aceras y bordillos; mejorar la señalización de las calles; elaboración de un inventario de las vías del cantón; gestionar y planificar el reordenamiento Vial; gestión para la implementación de un Nuevo Terminal Terrestre." (Plan CNE, Eje Territorial — MOVILIDAD, 8 actividades)</t>
  </si>
  <si>
    <t>Fidelidad media con ejecución alta en vialidad pero nula en Terminal. Meta PDOT.AS.VL.M1.01 (Pi=0.330 — MAYOR de la muestra, Ti=0.90, Vi=1, semáforo 🔴 por Ti bajo) cubre mantenimiento vial. La promesa fue construcción nueva (aceras, bordillos, terminal). Terminal Terrestre: Vi=1 en M4 pero Ti=0.45. ICPI contribución=0.083. Dictamen: Fidelidad media — ejecución alta en mantenimiento, baja en nuevas obras.</t>
  </si>
  <si>
    <t>"Planificación y construcción de paradas de buses; gestionar y planificar el reordenamiento Vial; gestión para la implementación de un Nuevo Terminal Terrestre; mejorar el servicio de transporte público del cantón." (Plan CNE, Eje Territorial — TRANSPORTE PÚBLICO, P-23)</t>
  </si>
  <si>
    <t>Fidelidad media con ejecución baja. Meta PDOT.AS.VL.SV.01 (Pi=0.005, Ti=0.35, Vi=1) asigna $153,000 — insuficiente para Terminal + paradas. Señalética CUMPLIDA; CCTV Vi=0. Terminal sin presupuesto propio. ICPI contribución=0.002. Dictamen: Fidelidad media — ejecución baja con brecha presupuestaria crítica.</t>
  </si>
  <si>
    <t>"Brindar una mejor calidad de vida mediante el abastecimiento de servicios básicos; repotenciación de viviendas en condiciones precarias en el cantón; elaboración de una base de datos para identificar a los grupos sociales más vulnerables." (Plan CNE, Eje Territorial — VIVIENDA, P-24)</t>
  </si>
  <si>
    <t>Fidelidad alta con ejecución baja-media. Meta PDOT.AS.VV.HB.01 (Pi=0.010, Ti=0.35, Vi=1, semáforo 🔵 — Repotenciación viviendas). La base de datos de grupos vulnerables está vinculada al Bienestar Integral. $324,000 presupuestado. ICPI contribución=0.010. Dictamen: FIDELIDAD ALTA — ejecución media-baja, sin evidencia de reducción del déficit habitacional.</t>
  </si>
  <si>
    <t>"Aumentar la cobertura cantonal de los servicios de agua potable a todas las parroquias; ampliar la cobertura de los tanques de reservorios de la planta potabilizadora de agua; gestión para construcción de pozos acuíferos para el sector rural; implementar un macromedidor en la toma de agua Los Mangos y un sistema de control eficaz." (Plan CNE, Eje Territorial — AGUA, P-25, 4 actividades)</t>
  </si>
  <si>
    <t>🔴 PROMESA HUÉRFANA — Contradicción INTERNA. El propio Plan CNE diagnosticó: 'el líquido vital no llega a todos los sectores' y prometió 4 soluciones concretas. El PDOT n=20 asigna $0 a agua potable (la meta de Acueducto CAF $45.6M existe pero está fuera de la muestra). Dictamen: FIDELIDAD NULA en muestra ICPI — brecha más crítica del análisis forense.</t>
  </si>
  <si>
    <t>"Procesar carne fresca de la más alta calidad; gestión para la construcción de un camal para el faenamiento; estudios técnicos y de impacto ambiental para la construcción de un cementerio para la Parroquia Leónidas Proaño; realizar los estudios técnicos y de impacto ambiental para la construcción de un nuevo cementerio general de Montecristi." (Plan CNE, Eje Territorial — INFRAESTRUCTURA, P-26)</t>
  </si>
  <si>
    <t>🔴 PROMESA HUÉRFANA — Sin respaldo en planificación. Ni el camal municipal ni los 2 cementerios (Leónidas Proaño y nuevo general) tienen meta de inversión en el PDOT n=20. La meta PDOT.AS.OE1.EP.02 (Terminal+Camal+Bomberil) existe pero con Vi=0, Ti=0 según M1-ITME — URGENTE. ICPI contribución=0. Dictamen: FIDELIDAD NULA.</t>
  </si>
  <si>
    <t>DISTRIBUCIÓN VINCULACIÓN: 100%=7 promesas │ 50%=14 promesas │ 0%=6 promesas</t>
  </si>
  <si>
    <t>IFE=51.9% │ BAJA FIDELIDAD</t>
  </si>
  <si>
    <t>ICPI FINAL=38.4% │ CRÍTICO</t>
  </si>
  <si>
    <t>VINCULACIÓN PONDERADA CNE→PDOT: 7 promesas TOTAL (100%) + 14 promesas PARCIAL (50%) + 6 promesas NULA (0%) = IFE = (7×1 + 14×0.5 + 6×0) / 27 × 100 = 51.9% │ CALIFICACIÓN: BAJA FIDELIDAD ELECTORAL</t>
  </si>
  <si>
    <t>IFE=51.9%</t>
  </si>
  <si>
    <t>ICPI=38.4% | Semáforo 🔴 CRÍTICO</t>
  </si>
  <si>
    <t>PROMESAS EXTRAVIADAS (6 NULAS): P-03 Turismo (×9 actividades sin PDOT) │ P-07 Transparencia/Marca Ciudad │ P-10 Seguridad Ciudadana (alarmas+UPCs+bomberos) │ P-11 Fauna Urbana/Albergue │ P-25 Agua Potable (4 soluciones concretas sin meta PDOT) │ P-26 Camal/Cementerios</t>
  </si>
  <si>
    <t>6 promesas = $0 en PDOT</t>
  </si>
  <si>
    <t>Estas 6 promesas: FIDELIDAD NULA (Publicidad Engañosa Electoral) — Art.97 Código de la Democracia</t>
  </si>
  <si>
    <t>PROMESAS RECORTADAS (14 PARCIALES): P-01 Atracción Empresarial │ P-02 Artesanal/Comercial │ P-04 PDOT+Catastro │ P-06 SIT Municipal │ P-08 Planes Estratégicos │ P-09 Salud (Centro C y Geriátrico) │ P-12 Capacitación/KA-LARTE │ P-13 Participación Ciudadana │ P-14 Espacios Públicos/WiFi │ P-18 Áreas Verdes/Control Aire │ P-19 Alcantarillado 4 sectores │ P-22 Vialidad/Terminal │ P-23 Transporte Público │ P-21 Control Ambiental</t>
  </si>
  <si>
    <t>14 promesas=50% alcance</t>
  </si>
  <si>
    <t>14 promesas con recorte drástico de alcance: Fidelidad baja — CAPEX prometido degradado a OPEX o a meta genérica</t>
  </si>
  <si>
    <t>PROMESAS CUMPLIDAS NTEGRAMENTE (7 TOTALES): P-05 Transformación Digital │ P-15 Patrimonio Cultural+RUAC │ P-16 Indicadores Territoriales │ P-17 Residuos Sólidos │ P-20 Mitigación de Riesgos │ P-24 Vivienda Digna │ P-27 Ferias Productivas</t>
  </si>
  <si>
    <t>7 promesas=100% fidelidad</t>
  </si>
  <si>
    <t>7 promesas con fidelidad plena. Ejecución variable: 4 con semáforo 🔵 (bien), 3 con semáforo 🔴/⬛ (planificadas pero sin ejecución). Fidelidad alta ≠ ejecución garantizada.</t>
  </si>
  <si>
    <t>CRUCE ICPI-IFE: IFE=51.9% (Fidelidad promesas→PDOT) vs ICPI=38.4% (Ejecución real PDOT). La brecha IFE-ICPI=13.5 pp indica que incluso las promesas que lograron trasladarse al PDOT tienen ejecución insuficiente. El sistema falla en dos niveles: (1) Traslado CNE→PDOT incompleto; (2) Ejecución PDOT→Territorio deficiente.</t>
  </si>
  <si>
    <t>BRECHA IFE-ICPI=13.5pp</t>
  </si>
  <si>
    <t>Doble falla: (1) Fidelidad electoral baja — promesas no trasladadas al PDOT; (2) Ejecución PDOT crítica — las promesas que sí llegaron al PDOT tampoco se ejecutan.</t>
  </si>
  <si>
    <t>▌  EJE INSTITUCIONAL (POLÍTICO)</t>
  </si>
  <si>
    <t>▌  EJE SOCIAL</t>
  </si>
  <si>
    <t>▌  EJE AMBIENTAL</t>
  </si>
  <si>
    <t>▌  EJE TERRITORIAL</t>
  </si>
  <si>
    <t>META PDOT CORRESPONDIENTE</t>
  </si>
  <si>
    <t>PROMESAS EXACTAS DEL PLAN CNE</t>
  </si>
  <si>
    <t>VINCULACIÓN
PDOT %</t>
  </si>
  <si>
    <t>IMPACTO ICPI — DICTAMEN</t>
  </si>
  <si>
    <t>FASE 1 · DATOS CNE vs PDOT</t>
  </si>
  <si>
    <t>↑ FUENTE: PDOT BICENTENARIO 2023-2027</t>
  </si>
  <si>
    <t>100/50/0%</t>
  </si>
  <si>
    <t>ANÁLISIS FORENSE SIAP-ICPI</t>
  </si>
  <si>
    <t>FASE 1 · MAPEO · ALIANZA AVANZA-MACHETE</t>
  </si>
  <si>
    <t>FASE 2</t>
  </si>
  <si>
    <t>FASE 3 · CRUCE ICPI = 38.4%</t>
  </si>
  <si>
    <t>★  REPORTE DE INTEGRIDAD ELECTORAL  ·  DICTAMEN FORENSE FINAL  ·  SIAP-ICPI v1.0  ★</t>
  </si>
  <si>
    <t>M1-ITME  ·  Inventario Técnico de Metas Estratégicas  ·  SIAP-ICPI v1.0  ·  GAD Municipal Montecristi</t>
  </si>
  <si>
    <t>M2-PDOT  ·  Base Legal Operativa de Metas PDOT 2023-2027  ·  SIAP-ICPI v1.0  ·  GAD Municipal Montecristi</t>
  </si>
  <si>
    <t>M3-MAO  ·  Matriz de Atribución Orgánica · Factor Ci  ·  SIAP-ICPI v1.0  ·  GAD Municipal Montecristi</t>
  </si>
  <si>
    <t>M4-AUDIT  ·  Matriz de Auditoría Documental · Vi · Ei · Ti  ·  SIAP-ICPI v1.0  ·  GAD Municipal Montecristi</t>
  </si>
  <si>
    <t>M5-ICPI  ·  Motor Central · Índice de Cumplimiento Programático Institucional  ·  SIAP-ICPI v1.0  ·  GAD Municipal Montecristi</t>
  </si>
  <si>
    <t>M6-FEDS  ·  Estrategia de Desarrollo Sostenible · Índice IED Servidores Públicos  ·  SIAP-ICPI v1.0  ·  GAD Municipal Montecristi</t>
  </si>
  <si>
    <t>M7-PROSP  ·  Análisis Analítico Cruzado · Cuadrante Prospectivo  ·  SIAP-ICPI v1.0  ·  GAD Municipal Montecristi</t>
  </si>
  <si>
    <t>DATA-POA  ·  Alineación POA-PAC 2023-2025 · Brechas de Activación por Meta  ·  SIAP-ICPI v1.0</t>
  </si>
  <si>
    <t>◉ DATA-POA</t>
  </si>
  <si>
    <t>DATA-CNE  ·  Anexo CNE · Evidencias Procesos Electorales por Meta PDOT  ·  SIAP-ICPI v1.0</t>
  </si>
  <si>
    <t>◉ DATA-CNE</t>
  </si>
  <si>
    <t>DATA-ORG  ·  Estructura Orgánica GAD · Auditoría Ci vs Estatuto Orgánico  ·  SIAP-ICPI v1.0</t>
  </si>
  <si>
    <t>M-TECH-GAD  ·  Configuración Institucional · GAD Municipal Montecristi  ·  SIAP-ICPI v1.0</t>
  </si>
  <si>
    <t>M-TECH-PARAMS  ·  Parámetros Globales · Umbrales · Constantes del Sistema  ·  SIAP-ICPI v1.0</t>
  </si>
  <si>
    <t>M2-PLAN-Pi  ·  Ponderación Pi · Presupuesto PDOT 2023-2027 · ΣPi=1.000  ·  SIAP-ICPI v1.0</t>
  </si>
  <si>
    <t>DATA-TFR  ·  Tabla de Factores de Relevancia · Ri por Competencia COOTAD  ·  SIAP-ICPI v1.0</t>
  </si>
  <si>
    <t>DATA-SSC  ·  Subíndice Social Complementario · Escalabilidad Institucional  ·  SIAP-ICPI v1.0</t>
  </si>
  <si>
    <t>DATA-MEC  ·  Matriz de Evidencia y Cadena de Custodia §3.4.3  ·  SIAP-ICPI v1.0</t>
  </si>
  <si>
    <t>DATA-CED  ·  Cédulas Presupuestarias eSIGEF · Ti = Devengado ÷ Codificado  ·  SIAP-ICPI v1.0</t>
  </si>
  <si>
    <t>DATA-PAC  ·  Plan Anual de Contratación · Fuente SERCOP · Por Meta PDOT  ·  SIAP-ICPI v1.0</t>
  </si>
  <si>
    <t>DATA-RESULTADOS  ·  Resultados Consolidados ICPI · Semáforo AVEP · Brecha 2027  ·  SIAP-ICPI v1.0</t>
  </si>
  <si>
    <t>DATA-EJES  ·  ICPI Desagregado por Eje Estratégico PDOT · 5 Ejes  ·  SIAP-ICPI v1.0</t>
  </si>
  <si>
    <t>DATA-BRECHA  ·  Análisis de Brecha Programática · ICPI vs Meta PDOT 2027  ·  SIAP-ICPI v1.0</t>
  </si>
  <si>
    <t>DATA-ITAM  ·  Índice de Transparencia Activa Municipal · LOTAIP Art.7  ·  SIAP-ICPI v1.0</t>
  </si>
  <si>
    <t>DATA-CPCCS  ·  Anexo CPCCS · Participación Ciudadana por Meta PDOT  ·  SIAP-ICPI v1.0</t>
  </si>
  <si>
    <t>DATA-SIGAD  ·  Exportación y Validación SIGAD Nacional por Meta PDOT  ·  SIAP-ICPI v1.0</t>
  </si>
  <si>
    <t>DATA-MONIT  ·  Monitoreo PDOT · Seguimiento por Meta · Evolución 2023-2027  ·  SIAP-ICPI v1.0</t>
  </si>
  <si>
    <t>SUPPORT-INTERP  ·  Interpretación Cualitativa · Escala AVEP 5 Niveles  ·  SIAP-ICPI v1.0</t>
  </si>
  <si>
    <t>VALID-CST  ·  Validación de Consistencia Metodológica y Flujos de Datos  ·  SIAP-ICPI v1.0</t>
  </si>
  <si>
    <t>VALID-MVCI  ·  Matriz de Verificación de Coherencia Interna · 20/20  ·  SIAP-ICPI v1.0</t>
  </si>
  <si>
    <t>VALID-SENS  ·  Análisis de Sensibilidad · Vi=0→Vi=1 · Δmáx. +20.6pp  ·  SIAP-ICPI v1.0</t>
  </si>
  <si>
    <t>VALID-VER  ·  Matriz de Control Documental · 8 Fuentes Verificadas por Meta  ·  SIAP-ICPI v1.0</t>
  </si>
  <si>
    <t>SUPPORT-EVALDIR  ·  Evaluación Semestral Directivos LOSEP · Escala 5 Niveles  ·  SIAP-ICPI v1.0</t>
  </si>
  <si>
    <t>SUPPORT-SEM  ·  Cortes Semestrales S1/S2 · SIITH-MDT · 12 Directivos GAD  ·  SIAP-ICPI v1.0</t>
  </si>
  <si>
    <t>SUPPORT-SIL  ·  Exportación SIL-SIGAD · Portal Planifica Ecuador · Día 5  ·  SIAP-ICPI v1.0</t>
  </si>
  <si>
    <t>SUPPORT-ALERT  ·  Alertas Automáticas · 14 Alertas · 4 Niveles COOTAD+LOSEP  ·  SIAP-ICPI v1.0</t>
  </si>
  <si>
    <t>M-TECH-VARS  ·  Variables del Modelo Pi·Ri·Vi·Ei·Ti·Ci · Definición · Rango §3.5  ·  SIAP-ICPI v1.0</t>
  </si>
  <si>
    <t>◉ INICIO</t>
  </si>
  <si>
    <t>Garantiza que ningún índice sea elevado artificialmente por subejecución presupuestaria. Reemplaza toda referencia a 'Principio de Invariabilidad Algorítmica' como denominación institucional del algoritmo de validación del ICPI. Base: COOTAD Art.297 · COPYFP Art.118.</t>
  </si>
  <si>
    <t>QUADRUM v1.0: Sistema Integral de Auditoría y Planificación (SIAP-ICPI)</t>
  </si>
  <si>
    <t>Desarrollado bajo el Protocolo de Integridad Forense ALFARO VIRTUS</t>
  </si>
  <si>
    <t>Meta / Período</t>
  </si>
  <si>
    <t>Metas Ingresadas SIGAD</t>
  </si>
  <si>
    <t>Proyectos/Programas</t>
  </si>
  <si>
    <t>Monto Total SIGAD ($)</t>
  </si>
  <si>
    <t>% Presupuesto Representado</t>
  </si>
  <si>
    <t>Presupuesto Total Modelo ($)</t>
  </si>
  <si>
    <t>Brecha de Integridad Final (pp)</t>
  </si>
  <si>
    <t>ICM SIGAD 2023</t>
  </si>
  <si>
    <t>ICM SIGAD 2024</t>
  </si>
  <si>
    <t>RESUMEN FORENSE</t>
  </si>
  <si>
    <t>ICM Promedio 2023-2024</t>
  </si>
  <si>
    <t>ICPI Auditado</t>
  </si>
  <si>
    <t>Total Metas SIGAD 2023</t>
  </si>
  <si>
    <t>Total Metas SIGAD 2024</t>
  </si>
  <si>
    <t>Monto Promedio ($)</t>
  </si>
  <si>
    <t>% Pres. Promedio</t>
  </si>
  <si>
    <t>Dictamen Forense</t>
  </si>
  <si>
    <t>GAD Municipal Montecristi 2023-2024</t>
  </si>
  <si>
    <t>DATA-SIGAD-TIMES  ·  Marcas de Tiempo Forenses SIGAD · Evidencia de Extemporaneidad y Carga Masiva Retroactiva  ·  SIAP-ICPI v1.0</t>
  </si>
  <si>
    <t>Capa: Verificación Forense &gt; Marcas de Tiempo SIGAD · Fuente: Reportes Oficiales ICM 2023 y 2024 · RUC 1360001010001</t>
  </si>
  <si>
    <t>🔴 HALLAZGO FORENSE CRÍTICO: EXTEMPORANEIDAD Y CARGA MASIVA EN 42 SEGUNDOS — GAD MUNICIPAL MONTECRISTI — EVIDENCIA MOM (MUTACIÓN DEL OBJETO DE MEDICIÓN)</t>
  </si>
  <si>
    <t>ETAPA DE ENVÍO</t>
  </si>
  <si>
    <t>FECHA ENVÍO (Oficial)</t>
  </si>
  <si>
    <t>HORA ENVÍO (hh:mm:ss)</t>
  </si>
  <si>
    <t>Seg. desde anterior</t>
  </si>
  <si>
    <t>Año del ejercicio</t>
  </si>
  <si>
    <t>Rezago (días aprox.)</t>
  </si>
  <si>
    <t>Interpretación Forense</t>
  </si>
  <si>
    <t>📊 SECCIÓN A — REPORTE ICM SIGAD 2023</t>
  </si>
  <si>
    <t>PROGRAMACIÓN</t>
  </si>
  <si>
    <t>16/05/2024</t>
  </si>
  <si>
    <t>⚠️ EXTEMPORANEA: Programación 2023 cargada el 16 mayo 2024 — 1 año después</t>
  </si>
  <si>
    <t>I TRIMESTRE</t>
  </si>
  <si>
    <t>🚨 5 seg. después de Programación — datos pre-cargados</t>
  </si>
  <si>
    <t>II TRIMESTRE</t>
  </si>
  <si>
    <t>🚨 4 seg. después de I Trim. — carga en serie automática</t>
  </si>
  <si>
    <t>III TRIMESTRE</t>
  </si>
  <si>
    <t>🚨 4 seg. después de II Trim. — confirmada carga masiva</t>
  </si>
  <si>
    <t>IV TRIMESTRE</t>
  </si>
  <si>
    <t>53d+</t>
  </si>
  <si>
    <t>⚠️ IV Trim. cargado 53 días después — distinto patrón (corrección post-despublicación)</t>
  </si>
  <si>
    <t>RESUMEN 2023</t>
  </si>
  <si>
    <t>I-III Trim.: 16/05/2024 en 13 segundos · IV Trim.: 09/07/2024</t>
  </si>
  <si>
    <t>Metas SIGAD: 5</t>
  </si>
  <si>
    <t>ICM: 100%</t>
  </si>
  <si>
    <t>Monto: $1,824,689.36</t>
  </si>
  <si>
    <t>5.5% del presup. total</t>
  </si>
  <si>
    <t>⚠️ MOM confirmado: ICM=100% sobre solo 5.5% del presupuesto</t>
  </si>
  <si>
    <t>📊 SECCIÓN B — REPORTE ICM SIGAD 2024 🚨 HALLAZGO MOM PRINCIPAL</t>
  </si>
  <si>
    <t>Rezago (meses)</t>
  </si>
  <si>
    <t>30/05/2025</t>
  </si>
  <si>
    <t>🚨⚠️ EXTEMPORANEA 17 MESES: Programación 2024 cargada en mayo 2025</t>
  </si>
  <si>
    <t>PRIMER TRIMESTRE</t>
  </si>
  <si>
    <t>🚨 17 seg. — datos pre-ingresados para todos los trimestres</t>
  </si>
  <si>
    <t>SEGUNDO TRIMESTRE</t>
  </si>
  <si>
    <t>🚨 7 seg. después de I Trim.</t>
  </si>
  <si>
    <t>TERCER TRIMESTRE</t>
  </si>
  <si>
    <t>🚨 7 seg. después de II Trim.</t>
  </si>
  <si>
    <t>CUARTO TRIMESTRE</t>
  </si>
  <si>
    <t>🚨 11 seg. después de III Trim.</t>
  </si>
  <si>
    <t>RESUMEN 2024</t>
  </si>
  <si>
    <t>TODAS LAS ETAPAS: 30/05/2025 en 42 SEGUNDOS (00:48:21 → 00:49:03)</t>
  </si>
  <si>
    <t>Metas SIGAD: 9</t>
  </si>
  <si>
    <t>Monto: $3,939,101.48</t>
  </si>
  <si>
    <t>11.9% del presup. total</t>
  </si>
  <si>
    <t>🔴 MOM CRÍTICO: H1 CONFIRMADA — Brecha ICPI vs ICM = 61.72pp</t>
  </si>
  <si>
    <t>⚠️ SECCIÓN C — DIAGNÓSTICO FORENSE: TAXONOMÍA MOM · Evidencia Acumulada SIAP-ICPI §3.13-3.15</t>
  </si>
  <si>
    <t>EVIDENCIA CUANTITATIVA</t>
  </si>
  <si>
    <t>TAXONOMÍA SIAP-ICPI</t>
  </si>
  <si>
    <t>BASE LEGAL VULNERADA</t>
  </si>
  <si>
    <t>REFERENCIA TESIS</t>
  </si>
  <si>
    <t>Carga masiva 2024 en 42 seg.</t>
  </si>
  <si>
    <t>5 etapas enviadas 30/05/2025 entre 00:48:21 y 00:49:03 — diferencia: 42 segundos</t>
  </si>
  <si>
    <t>Patología del Indicador (Gaming / MOM)</t>
  </si>
  <si>
    <t>Confirma ICM=100% sin seguimiento real — anula validez ICM como comparativo</t>
  </si>
  <si>
    <t>Res. SNP-2024-0040-A · COOTAD Art.234 · LOPC Art.89</t>
  </si>
  <si>
    <t>§3.15 · §3.13 · Tabla X</t>
  </si>
  <si>
    <t>✅ CONFIRMADO</t>
  </si>
  <si>
    <t>Extemporaneidad 2023 (1 año)</t>
  </si>
  <si>
    <t>Programación 2023 enviada 16/05/2024. I-III Trim. en 13 segundos.</t>
  </si>
  <si>
    <t>Extemporaneidad + Indicios MOM</t>
  </si>
  <si>
    <t>IV Trim. 53 días después — posible corrección post-despublicación</t>
  </si>
  <si>
    <t>Acuerdo SNP-2024-0040-A · COPLAFIP Art.12</t>
  </si>
  <si>
    <t>§3.15 · §3.3.1</t>
  </si>
  <si>
    <t>Despublicación selectiva 2023</t>
  </si>
  <si>
    <t>Oficio N. 0378-2024-ALC-LJTL-GADMCM del 15/05/2024. 2 metas infra. eliminadas.</t>
  </si>
  <si>
    <t>Erratum Metodológico / Infra. Administrativa</t>
  </si>
  <si>
    <t>Las metas despublicadas eran de agua potable e infraestructura — las más costosas</t>
  </si>
  <si>
    <t>LOTAIP Art.7 · COOTAD Art.295 · COA Art.196</t>
  </si>
  <si>
    <t>§3.15 · §3.12 (MOM)</t>
  </si>
  <si>
    <t>✅ DOCUMENTADO</t>
  </si>
  <si>
    <t>ICM=100% sobre &lt;12% presupuesto</t>
  </si>
  <si>
    <t>SIGAD 2023: $1.82M / $32.99M = 5.5%. SIGAD 2024: $3.94M / $32.99M = 11.9%</t>
  </si>
  <si>
    <t>MOM CONFIRMADO (umbral ISSAI 5%)</t>
  </si>
  <si>
    <t>Brecha de Integridad: ICM 100% vs. ICPI auditado 38.28% = Δ61.72pp. H1 ACTIVA.</t>
  </si>
  <si>
    <t>ISSAI 1000 · Acuerdo SNP-2024-0040-A</t>
  </si>
  <si>
    <t>§3.15 · §4.2 · Tabla X</t>
  </si>
  <si>
    <t>🔴 H1 CONFIRMADA</t>
  </si>
  <si>
    <t>📌 FUENTE DOCUMENTAL: Reportes ICM SIGAD Oficiales 2023 y 2024 — GAD Municipal de Montecristi — Responsable: Sonia Xiomara Rodríguez Mero — sonia.rodriguez@montecristi.gob.ec — 052310052</t>
  </si>
  <si>
    <t>DATOS OFICIALES CONFIRMADOS: ICM 2023=100% · ICM 2024=100% (ambos reportes obtenidos). Brecha Integridad = ICPI(38.28%) vs ICM(100%) = 61.72pp. Ver DATA-SIGAD y DATA-SIGAD-TIMES para detalle forense completo.</t>
  </si>
  <si>
    <t>🔧 PARÁMETROS DE CONTROL OPERATIVO (MONITOREO MENSUAL) — Celdas numéricas para fórmulas DATA-MONIT / SUPPORT-ALERT</t>
  </si>
  <si>
    <t>USADO EN</t>
  </si>
  <si>
    <t>MES DE EVALUACIÓN (número)</t>
  </si>
  <si>
    <t>Mes actual de evaluación (1-12). Controla textos de mes en DATA-MONIT A40 y SUPPORT-ALERT</t>
  </si>
  <si>
    <t>1 a 12 — Entero</t>
  </si>
  <si>
    <t>DATA-MONIT!A40 · SUPPORT-ALERT</t>
  </si>
  <si>
    <t>ICM SIGAD 2023 (decimal)</t>
  </si>
  <si>
    <t>ICM oficial 2023 en decimal. Fuente: Reporte ICM SIGAD 2023 (verificado). Valor forense vs. ICPI auditado.</t>
  </si>
  <si>
    <t>0 a 1 — Decimal</t>
  </si>
  <si>
    <t>M-TECH-PARAMS!B7 · DATA-SIGAD · DATA-BRECHA</t>
  </si>
  <si>
    <t>ICM SIGAD 2024 (decimal)</t>
  </si>
  <si>
    <t>ICM oficial 2024 en decimal. Fuente: Reporte ICM SIGAD 2024 (verificado). Carga masiva 42 seg. 30/05/2025.</t>
  </si>
  <si>
    <t>DATA-SIGAD · DATA-SIGAD-TIMES · M-TECH-PARAMS</t>
  </si>
  <si>
    <t>ICPI AUDITADO (decimal — auto-calculado)</t>
  </si>
  <si>
    <t>ICPI en decimal = M5-ICPI!G29 / 100. Motor algorítmico central. Auto-calculado.</t>
  </si>
  <si>
    <t>0 a 1 — Auto</t>
  </si>
  <si>
    <t>M-TECH-PARAMS · DATA-BRECHA · DATA-RESULTADOS</t>
  </si>
  <si>
    <t>% Presupuesto NO Monitoreado</t>
  </si>
  <si>
    <t>⚠️ MOM CONFIRMADO · ICM=100% sobre &lt;12% presupuesto · Carga 42 seg · H1 ACTIVA</t>
  </si>
  <si>
    <t>Marcas de tiempo forenses SIGAD · Evidencia extemporaneidad · Carga masiva 42 seg · MOM confirmado §3.13</t>
  </si>
  <si>
    <t>⬡ TRANSVERSAL · SIGAD Forense</t>
  </si>
  <si>
    <t>39 módulos activos</t>
  </si>
  <si>
    <t>Capa: Auditoría Forense &gt; DATA-SIGAD-TIMES · Marcas de Tiempo SIGAD 2023-2024 · Evidencia MOM §3.13 · Fuente: Reportes ICM SIGAD oficiales · RUC 1360001010001</t>
  </si>
  <si>
    <t>◈ ICPI = Σ(Pi × Ri × Vi × Ti × Ci) ÷ Σ(Pi × Ri) = 0,4080 ÷ 1,0659 = 38,28 % — n=20 metas · Ci incluye factor orgánico (Patronato=0.90, EP Aseo=0.75) §3.7</t>
  </si>
  <si>
    <t>ESCALA ICPI — TRANSPARENCIA</t>
  </si>
  <si>
    <t>90%-100%</t>
  </si>
  <si>
    <t>Excelencia</t>
  </si>
  <si>
    <t>70%-89%</t>
  </si>
  <si>
    <t>20%-39%</t>
  </si>
  <si>
    <t>0%-19%</t>
  </si>
  <si>
    <t>Ruptura Total</t>
  </si>
  <si>
    <t>ESCALA ICPI — Ti / Avance</t>
  </si>
  <si>
    <t>40%-69%</t>
  </si>
  <si>
    <t>Transición Crítica</t>
  </si>
  <si>
    <t>ESCALA ALERTAS</t>
  </si>
  <si>
    <t>IED &lt; 30% · Sumario LOSEP</t>
  </si>
  <si>
    <t>IED 30-49% · Memorando</t>
  </si>
  <si>
    <t>IED 50-69% · Plan 60 días</t>
  </si>
  <si>
    <t>IED 70-79% · Seguimiento</t>
  </si>
  <si>
    <t>IED ≥ 80% · Sin acción</t>
  </si>
  <si>
    <t>ESCALA ICPI / ALERTAS</t>
  </si>
  <si>
    <t>IED&lt;30% · Ruptura Total</t>
  </si>
  <si>
    <t>IED 30-49% · Ocurrencia</t>
  </si>
  <si>
    <t>IED 50-69% · Transición</t>
  </si>
  <si>
    <t>IED 70-79% · Mandato</t>
  </si>
  <si>
    <t>IED ≥80% · Sin acción</t>
  </si>
  <si>
    <t>✅ OK</t>
  </si>
  <si>
    <t>Verificación superada</t>
  </si>
  <si>
    <t>❌ ERROR</t>
  </si>
  <si>
    <t>Verificación fallida</t>
  </si>
  <si>
    <t>SEMÁFORO FORENSE CPCCS</t>
  </si>
  <si>
    <t>🚨 HALLAZGO CRÍTICO</t>
  </si>
  <si>
    <t>Falsedad documental — acción penal</t>
  </si>
  <si>
    <t>⚠️ DISCREPANCIA</t>
  </si>
  <si>
    <t>Dato incorrecto — corrección requerida</t>
  </si>
  <si>
    <t>⚠️ ALERTA</t>
  </si>
  <si>
    <t>Anomalía estadística — verificar</t>
  </si>
  <si>
    <t>✅ CONSISTENTE</t>
  </si>
  <si>
    <t>Evidencia verificada en RDC</t>
  </si>
  <si>
    <t>$0 DEVENGADO</t>
  </si>
  <si>
    <t>Sin ejecución presupuestal</t>
  </si>
  <si>
    <t>LEYENDA SEMAFORIZACIÓN</t>
  </si>
  <si>
    <t>🔵 TOTAL (100%)</t>
  </si>
  <si>
    <t>🟡 PARCIAL (50%)</t>
  </si>
  <si>
    <t>🔴 NULA (0%)</t>
  </si>
  <si>
    <t>📊 IFE=51.9%</t>
  </si>
  <si>
    <t>LEYENDA FORENSE</t>
  </si>
  <si>
    <t>🚨 Carga masiva (&lt;20 seg)</t>
  </si>
  <si>
    <t>⚠️ Extemporáneo</t>
  </si>
  <si>
    <t>✅ Confirmado</t>
  </si>
  <si>
    <t>📋 Documentado</t>
  </si>
  <si>
    <t>🔴 H1 ACTIVA — MOM</t>
  </si>
  <si>
    <t>LEYENDA ICPI</t>
  </si>
  <si>
    <t>🔵 ICPI 90-100% Excelente</t>
  </si>
  <si>
    <t>🟢 ICPI 70-89% Mandato</t>
  </si>
  <si>
    <t>🟡 ICPI 40-69% Transición</t>
  </si>
  <si>
    <t>🟠 Brecha &gt;50pp — MOM</t>
  </si>
  <si>
    <t>🔴 H1 ACTIVA — ICPI 38.28%</t>
  </si>
  <si>
    <t>VARIABLES</t>
  </si>
  <si>
    <t>Pi — Presupuestario</t>
  </si>
  <si>
    <t>Ri — Normativo</t>
  </si>
  <si>
    <t>Vi — Documental ✓/✗</t>
  </si>
  <si>
    <t>Ei — Eficiencia</t>
  </si>
  <si>
    <t>Ti — Temporalidad</t>
  </si>
  <si>
    <t>Ci — Control GAD</t>
  </si>
  <si>
    <t>ICPI = [ ∑(Pᵢ · Rᵢ · Vᵢ · Eᵢ · Tᵢ · Cᵢ) ÷ ∑(Pᵢ · Rᵢ) ] × 100</t>
  </si>
  <si>
    <t>LEYENDA MONIT</t>
  </si>
  <si>
    <t>✅ ALINEADA — PDOT</t>
  </si>
  <si>
    <t>⚠️ PARCIAL — Brecha</t>
  </si>
  <si>
    <t>🔴 BAJA — Sin respaldo</t>
  </si>
  <si>
    <t>💰 Devengado activo</t>
  </si>
  <si>
    <t>⬜ Sin datos (L=0)</t>
  </si>
  <si>
    <t>Pi&gt;15% — Peso alto</t>
  </si>
  <si>
    <t>Ci=0.9 — Adscrita</t>
  </si>
  <si>
    <t>90% – 100%</t>
  </si>
  <si>
    <t>70% – 89%</t>
  </si>
  <si>
    <t>40% – 69%</t>
  </si>
  <si>
    <t>20% – 39%</t>
  </si>
  <si>
    <t>0% – 19%</t>
  </si>
  <si>
    <t>Cumplimiento total del mandato soberano. Trazabilidad biográfica intacta en los seis silos de información. Alta eficiencia operativa y transparencia activa total.</t>
  </si>
  <si>
    <t>Alta fidelidad electoral. Existe congruencia técnica evidente entre la planificación matriz (PDOT) y la ejecución financiera devengada, con desviaciones documentales mínimas.</t>
  </si>
  <si>
    <t>Cumplimiento parcial. Signos evidentes de "Erosión del Compromiso" y fricción burocrática. Coexiste la ejecución de obras con la opacidad documental y la falta de actualización en portales (LOTAIP/SERCOP).</t>
  </si>
  <si>
    <t>Desconexión programática severa. La administración reacciona a la coyuntura diaria ignorando la planificación vinculante. Alta incidencia de metas con nulidad documental (Vi=0).</t>
  </si>
  <si>
    <t>Simulacro administrativo. Inexistencia de gestión técnica rastreable, opacidad absoluta del gasto y quiebre irreversible de la Cadena de Integridad Intersistémica (CININ).</t>
  </si>
  <si>
    <t>🔷 INTERPRETACIÓN ICPI · Categoría: Transición Crítica (40–69%) · Análisis por eje · Recomendaciones</t>
  </si>
  <si>
    <t>bg / texto / borde — EXACTOS ⚠️ INAMOVIBLES §3.7.2</t>
  </si>
  <si>
    <t>bg: #0070C0 · texto: #FFFFFF · borde: #004C8C</t>
  </si>
  <si>
    <t>bg: #00B050 · texto: #FFFFFF · borde: #007035</t>
  </si>
  <si>
    <t>bg: #FFFF00 · texto: #1F3864 · borde: #C8A400</t>
  </si>
  <si>
    <t>bg: #FFC000 · texto: #1F3864 · borde: #CC8800</t>
  </si>
  <si>
    <t>bg: #E60606 · texto: #FFFFFF · borde: #A80000</t>
  </si>
  <si>
    <t>▌ PAC 2023 — Ítems de contratación</t>
  </si>
  <si>
    <t>▌ PAC 2024 — Ítems de contratación</t>
  </si>
  <si>
    <t>Capa: Motor ICPI &gt; Análisis de Brecha ICPI vs ICM SIGAD · Δ = −61,72 pp · Meta 2027: 100%</t>
  </si>
  <si>
    <t>SIGAD-SNP reporta el GAD en nivel EXCELENCIA. Sin embargo, este valor no refleja la auditoría documental SIAP. La brecha entre autopercepción (100,00%) y resultado auditado (38,28%) = −61,72 pp es la evidencia central del Déficit Programático §3.6</t>
  </si>
  <si>
    <t>ICM oficial SIGAD confirmado: 2023=100% y 2024=100%. Actualizado con reportes oficiales. Ver DATA-SIGAD y DATA-SIGAD-TIMES.</t>
  </si>
  <si>
    <t>ICM SIGAD 2024 = 100% CONFIRMADO. Datos oficiales obtenidos y verificados. Ver DATA-SIGAD y DATA-SIGAD-TIMES.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</si>
</sst>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6" formatCode="&quot;$&quot;#,##0;[Red]&quot;$&quot;\-#,##0"/>
    <numFmt numFmtId="8" formatCode="&quot;$&quot;#,##0.00;[Red]&quot;$&quot;\-#,##0.00"/>
    <numFmt numFmtId="164" formatCode="0.00&quot;%&quot;"/>
    <numFmt numFmtId="165" formatCode="&quot;$&quot;#,##0"/>
    <numFmt numFmtId="166" formatCode="&quot;$&quot;#,##0.00"/>
    <numFmt numFmtId="167" formatCode="[Blue]@"/>
    <numFmt numFmtId="168" formatCode="[Green]@"/>
    <numFmt numFmtId="169" formatCode="0.0"/>
    <numFmt numFmtId="170" formatCode="0.0%"/>
    <numFmt numFmtId="171" formatCode="[Red]0"/>
    <numFmt numFmtId="172" formatCode="[Red]@"/>
    <numFmt numFmtId="173" formatCode="0.0000"/>
    <numFmt numFmtId="174" formatCode="[Green]0"/>
    <numFmt numFmtId="175" formatCode="dd/mm/yyyy"/>
    <numFmt numFmtId="176" formatCode="[Yellow]@"/>
    <numFmt numFmtId="177" formatCode="[Yellow]0"/>
    <numFmt numFmtId="178" formatCode="&quot;$&quot;#,##0;\(&quot;$&quot;#,##0\);\-"/>
    <numFmt numFmtId="179" formatCode="0.000"/>
    <numFmt numFmtId="180" formatCode="0&quot;  metas&quot;"/>
    <numFmt numFmtId="181" formatCode="0.0%;\(0.0%\);\-"/>
    <numFmt numFmtId="182" formatCode="0.0&quot;%&quot;"/>
    <numFmt numFmtId="183" formatCode="0.00\ &quot;pp&quot;"/>
    <numFmt numFmtId="184" formatCode="\+0.00;\-0.00;0.00"/>
    <numFmt numFmtId="185" formatCode="\-"/>
    <numFmt numFmtId="186" formatCode="&quot;$&quot;#,##0.00;\(&quot;$&quot;#,##0.00\);\-"/>
  </numFmts>
  <fonts count="370"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b/>
      <sz val="9"/>
      <color rgb="FFFFFFFF"/>
      <name val="Aptos Narrow"/>
      <family val="2"/>
      <scheme val="minor"/>
    </font>
    <font>
      <b/>
      <sz val="10"/>
      <color rgb="FFFFFFFF"/>
      <name val="Aptos Narrow"/>
      <family val="2"/>
      <scheme val="minor"/>
    </font>
    <font>
      <sz val="11"/>
      <color theme="0"/>
      <name val="Aptos Narrow"/>
      <family val="2"/>
      <scheme val="minor"/>
    </font>
    <font>
      <b/>
      <sz val="11"/>
      <color rgb="FFFFFFFF"/>
      <name val="Aptos Narrow"/>
      <family val="2"/>
      <scheme val="minor"/>
    </font>
    <font>
      <sz val="14"/>
      <color theme="1"/>
      <name val="Aptos Narrow"/>
      <family val="2"/>
      <scheme val="minor"/>
    </font>
    <font>
      <sz val="9"/>
      <color theme="1"/>
      <name val="Aptos Narrow"/>
      <family val="2"/>
      <scheme val="minor"/>
    </font>
    <font>
      <b/>
      <sz val="9"/>
      <color theme="1"/>
      <name val="Aptos Narrow"/>
      <family val="2"/>
      <scheme val="minor"/>
    </font>
    <font>
      <sz val="9"/>
      <color theme="1"/>
      <name val="Aptos Narrow"/>
      <family val="2"/>
      <scheme val="minor"/>
    </font>
    <font>
      <sz val="11"/>
      <name val="Aptos Narrow"/>
      <family val="2"/>
      <scheme val="minor"/>
    </font>
    <font>
      <sz val="9"/>
      <name val="Aptos Narrow"/>
      <family val="2"/>
      <scheme val="minor"/>
    </font>
    <font>
      <b/>
      <sz val="10"/>
      <color theme="1"/>
      <name val="Aptos Narrow"/>
      <family val="2"/>
      <scheme val="minor"/>
    </font>
    <font>
      <sz val="12"/>
      <color theme="1"/>
      <name val="Arial"/>
      <family val="2"/>
    </font>
    <font>
      <sz val="13"/>
      <color theme="1"/>
      <name val="Arial"/>
      <family val="2"/>
    </font>
    <font>
      <sz val="9"/>
      <color indexed="81"/>
      <name val="Tahoma"/>
      <family val="2"/>
    </font>
    <font>
      <b/>
      <sz val="9"/>
      <color indexed="81"/>
      <name val="Tahoma"/>
      <family val="2"/>
    </font>
    <font>
      <b/>
      <sz val="10"/>
      <color rgb="FF7B3F00"/>
      <name val="Aptos Narrow"/>
      <family val="2"/>
      <scheme val="minor"/>
    </font>
    <font>
      <b/>
      <sz val="14"/>
      <color rgb="FF154360"/>
      <name val="Aptos Narrow"/>
      <family val="2"/>
      <scheme val="minor"/>
    </font>
    <font>
      <b/>
      <sz val="9"/>
      <color rgb="FF154360"/>
      <name val="Aptos Narrow"/>
      <family val="2"/>
      <scheme val="minor"/>
    </font>
    <font>
      <b/>
      <sz val="8"/>
      <color rgb="FF2C3E50"/>
      <name val="Aptos Narrow"/>
      <family val="2"/>
      <scheme val="minor"/>
    </font>
    <font>
      <b/>
      <sz val="10"/>
      <color rgb="FFFFFF00"/>
      <name val="Aptos Narrow"/>
      <family val="2"/>
      <scheme val="minor"/>
    </font>
    <font>
      <b/>
      <sz val="11"/>
      <color rgb="FFFFFFFF"/>
      <name val="Calibri"/>
      <family val="2"/>
    </font>
    <font>
      <b/>
      <i/>
      <sz val="11"/>
      <color rgb="FFFFFFFF"/>
      <name val="Calibri"/>
      <family val="2"/>
    </font>
    <font>
      <b/>
      <sz val="10"/>
      <color rgb="FFFFFFFF"/>
      <name val="Aptos Narrow"/>
      <family val="2"/>
    </font>
    <font>
      <sz val="10"/>
      <color theme="1"/>
      <name val="Aptos Narrow"/>
      <family val="2"/>
      <scheme val="minor"/>
    </font>
    <font>
      <b/>
      <sz val="10"/>
      <color rgb="FF154360"/>
      <name val="Aptos Narrow"/>
      <family val="2"/>
      <scheme val="minor"/>
    </font>
    <font>
      <b/>
      <sz val="10"/>
      <color rgb="FF2C3E50"/>
      <name val="Aptos Narrow"/>
      <family val="2"/>
      <scheme val="minor"/>
    </font>
    <font>
      <sz val="10"/>
      <color rgb="FF000000"/>
      <name val="Aptos Narrow"/>
      <family val="2"/>
      <scheme val="minor"/>
    </font>
    <font>
      <sz val="10"/>
      <color rgb="FF2C3E50"/>
      <name val="Aptos Narrow"/>
      <family val="2"/>
      <scheme val="minor"/>
    </font>
    <font>
      <b/>
      <u/>
      <sz val="14"/>
      <color rgb="FFFFFFFF"/>
      <name val="Segoe UI"/>
      <family val="2"/>
    </font>
    <font>
      <b/>
      <u/>
      <sz val="11"/>
      <color rgb="FF1F3864"/>
      <name val="Aptos Narrow"/>
      <family val="2"/>
      <scheme val="minor"/>
    </font>
    <font>
      <b/>
      <u/>
      <sz val="9"/>
      <color rgb="FF1F3864"/>
      <name val="Segoe UI"/>
      <family val="2"/>
    </font>
    <font>
      <b/>
      <u/>
      <sz val="9"/>
      <color rgb="FFFFFFFF"/>
      <name val="Segoe UI"/>
      <family val="2"/>
    </font>
    <font>
      <b/>
      <sz val="14"/>
      <color rgb="FFFFFFFF"/>
      <name val="Segoe UI"/>
      <family val="2"/>
    </font>
    <font>
      <sz val="9"/>
      <color theme="1"/>
      <name val="Segoe UI"/>
      <family val="2"/>
    </font>
    <font>
      <b/>
      <sz val="9"/>
      <color rgb="FFFFFFFF"/>
      <name val="Segoe UI"/>
      <family val="2"/>
    </font>
    <font>
      <b/>
      <i/>
      <sz val="9"/>
      <color rgb="FF2C3E50"/>
      <name val="Segoe UI"/>
      <family val="2"/>
    </font>
    <font>
      <b/>
      <sz val="9"/>
      <color rgb="FF1F3864"/>
      <name val="Segoe UI"/>
      <family val="2"/>
    </font>
    <font>
      <u/>
      <sz val="9"/>
      <color rgb="FF1565C0"/>
      <name val="Segoe UI"/>
      <family val="2"/>
    </font>
    <font>
      <b/>
      <sz val="10"/>
      <color rgb="FFFFFFFF"/>
      <name val="Segoe UI"/>
      <family val="2"/>
    </font>
    <font>
      <b/>
      <sz val="9"/>
      <color rgb="FFBDC3C7"/>
      <name val="Aptos Narrow"/>
      <family val="2"/>
      <scheme val="minor"/>
    </font>
    <font>
      <i/>
      <sz val="9"/>
      <color rgb="FF2C3E50"/>
      <name val="Aptos Narrow"/>
      <family val="2"/>
      <scheme val="minor"/>
    </font>
    <font>
      <sz val="9"/>
      <color indexed="81"/>
      <name val="Tahoma"/>
    </font>
    <font>
      <b/>
      <sz val="9"/>
      <color indexed="81"/>
      <name val="Tahoma"/>
    </font>
    <font>
      <sz val="10"/>
      <color rgb="FF000000"/>
      <name val="Aptos Narrow"/>
      <scheme val="minor"/>
    </font>
    <font>
      <b/>
      <sz val="10"/>
      <color rgb="FFFFFFFF"/>
      <name val="Segoe UI"/>
    </font>
    <font>
      <b/>
      <i/>
      <sz val="9"/>
      <color rgb="FFFFFFFF"/>
      <name val="Segoe UI"/>
    </font>
    <font>
      <b/>
      <sz val="9"/>
      <color rgb="FF922B21"/>
      <name val="Aptos Narrow"/>
      <family val="2"/>
      <scheme val="minor"/>
    </font>
    <font>
      <b/>
      <sz val="13"/>
      <color rgb="FFFFFFFF"/>
      <name val="Aptos Narrow"/>
      <family val="2"/>
      <scheme val="minor"/>
    </font>
    <font>
      <b/>
      <sz val="11"/>
      <color rgb="FFC0392B"/>
      <name val="Aptos Narrow"/>
      <family val="2"/>
      <scheme val="minor"/>
    </font>
    <font>
      <b/>
      <sz val="11"/>
      <color rgb="FF008000"/>
      <name val="Aptos Narrow"/>
      <family val="2"/>
      <scheme val="minor"/>
    </font>
    <font>
      <b/>
      <u/>
      <sz val="9"/>
      <color rgb="FFFFFFFF"/>
      <name val="Aptos Narrow"/>
      <family val="2"/>
      <scheme val="minor"/>
    </font>
    <font>
      <b/>
      <u/>
      <sz val="11"/>
      <color rgb="FF1F3864"/>
      <name val="Aptos Narrow"/>
      <scheme val="minor"/>
    </font>
    <font>
      <b/>
      <sz val="10"/>
      <color rgb="FF154360"/>
      <name val="Aptos Narrow"/>
      <scheme val="minor"/>
    </font>
    <font>
      <b/>
      <i/>
      <sz val="9"/>
      <color rgb="FF2C3E50"/>
      <name val="Aptos Narrow"/>
    </font>
    <font>
      <b/>
      <sz val="10"/>
      <color rgb="FFFFFFFF"/>
      <name val="Aptos Narrow"/>
      <scheme val="minor"/>
    </font>
    <font>
      <b/>
      <sz val="10"/>
      <color rgb="FF2C3E50"/>
      <name val="Aptos Narrow"/>
      <scheme val="minor"/>
    </font>
    <font>
      <b/>
      <sz val="10"/>
      <color theme="1"/>
      <name val="Aptos Narrow"/>
      <scheme val="minor"/>
    </font>
    <font>
      <b/>
      <sz val="10"/>
      <color rgb="FF000000"/>
      <name val="Aptos Narrow"/>
      <scheme val="minor"/>
    </font>
    <font>
      <sz val="10"/>
      <color theme="1"/>
      <name val="Aptos Narrow"/>
      <scheme val="minor"/>
    </font>
    <font>
      <b/>
      <sz val="10"/>
      <color rgb="FFC00000"/>
      <name val="Aptos Narrow"/>
      <scheme val="minor"/>
    </font>
    <font>
      <sz val="10"/>
      <color rgb="FF7F3F00"/>
      <name val="Aptos Narrow"/>
      <scheme val="minor"/>
    </font>
    <font>
      <sz val="10"/>
      <name val="Aptos Narrow"/>
      <scheme val="minor"/>
    </font>
    <font>
      <b/>
      <sz val="10"/>
      <color rgb="FF1F4E78"/>
      <name val="Aptos Narrow"/>
      <scheme val="minor"/>
    </font>
    <font>
      <b/>
      <sz val="10"/>
      <color rgb="FF276221"/>
      <name val="Aptos Narrow"/>
      <scheme val="minor"/>
    </font>
    <font>
      <b/>
      <sz val="10"/>
      <name val="Aptos Narrow"/>
      <scheme val="minor"/>
    </font>
    <font>
      <sz val="10"/>
      <color rgb="FF78281F"/>
      <name val="Aptos Narrow"/>
      <scheme val="minor"/>
    </font>
    <font>
      <sz val="10"/>
      <color rgb="FF145A32"/>
      <name val="Aptos Narrow"/>
      <scheme val="minor"/>
    </font>
    <font>
      <b/>
      <sz val="13"/>
      <color rgb="FFFFFFFF"/>
      <name val="Aptos Narrow"/>
    </font>
    <font>
      <b/>
      <u/>
      <sz val="10"/>
      <color rgb="FF1F3864"/>
      <name val="Aptos Narrow"/>
      <scheme val="minor"/>
    </font>
    <font>
      <b/>
      <sz val="10"/>
      <color rgb="FF1F3864"/>
      <name val="Aptos Narrow"/>
      <scheme val="minor"/>
    </font>
    <font>
      <b/>
      <sz val="11"/>
      <color theme="1"/>
      <name val="Aptos Narrow"/>
      <scheme val="minor"/>
    </font>
    <font>
      <b/>
      <sz val="10"/>
      <color rgb="FF7D3C98"/>
      <name val="Aptos Narrow"/>
      <scheme val="minor"/>
    </font>
    <font>
      <sz val="9"/>
      <color theme="1"/>
      <name val="Aptos Narrow"/>
      <scheme val="minor"/>
    </font>
    <font>
      <b/>
      <sz val="9"/>
      <color rgb="FFFFFFFF"/>
      <name val="Aptos Narrow"/>
      <scheme val="minor"/>
    </font>
    <font>
      <b/>
      <sz val="10"/>
      <color rgb="FF1A5276"/>
      <name val="Aptos Narrow"/>
      <scheme val="minor"/>
    </font>
    <font>
      <b/>
      <sz val="10"/>
      <color rgb="FF7D6608"/>
      <name val="Aptos Narrow"/>
      <scheme val="minor"/>
    </font>
    <font>
      <b/>
      <sz val="9"/>
      <color theme="1"/>
      <name val="Aptos Narrow"/>
      <scheme val="minor"/>
    </font>
    <font>
      <b/>
      <sz val="9"/>
      <color rgb="FF1A5276"/>
      <name val="Aptos Narrow"/>
      <scheme val="minor"/>
    </font>
    <font>
      <sz val="9"/>
      <color rgb="FF1A5276"/>
      <name val="Aptos Narrow"/>
      <scheme val="minor"/>
    </font>
    <font>
      <b/>
      <sz val="9"/>
      <color rgb="FF145A32"/>
      <name val="Aptos Narrow"/>
      <scheme val="minor"/>
    </font>
    <font>
      <sz val="9"/>
      <color rgb="FF145A32"/>
      <name val="Aptos Narrow"/>
      <scheme val="minor"/>
    </font>
    <font>
      <b/>
      <sz val="9"/>
      <color rgb="FF7D6608"/>
      <name val="Aptos Narrow"/>
      <scheme val="minor"/>
    </font>
    <font>
      <b/>
      <sz val="9"/>
      <name val="Aptos Narrow"/>
      <scheme val="minor"/>
    </font>
    <font>
      <b/>
      <sz val="9"/>
      <color rgb="FF784212"/>
      <name val="Aptos Narrow"/>
      <scheme val="minor"/>
    </font>
    <font>
      <sz val="9"/>
      <name val="Aptos Narrow"/>
      <scheme val="minor"/>
    </font>
    <font>
      <sz val="9"/>
      <color rgb="FF784212"/>
      <name val="Aptos Narrow"/>
      <scheme val="minor"/>
    </font>
    <font>
      <b/>
      <sz val="9"/>
      <color rgb="FF641E16"/>
      <name val="Aptos Narrow"/>
      <scheme val="minor"/>
    </font>
    <font>
      <sz val="9"/>
      <color rgb="FF641E16"/>
      <name val="Aptos Narrow"/>
      <scheme val="minor"/>
    </font>
    <font>
      <b/>
      <u/>
      <sz val="14"/>
      <color rgb="FFFFFFFF"/>
      <name val="Aptos Narrow"/>
    </font>
    <font>
      <b/>
      <i/>
      <sz val="10"/>
      <color rgb="FF2C3E50"/>
      <name val="Aptos Narrow"/>
      <scheme val="minor"/>
    </font>
    <font>
      <sz val="10"/>
      <color rgb="FF5D6D7E"/>
      <name val="Aptos Narrow"/>
      <scheme val="minor"/>
    </font>
    <font>
      <sz val="10"/>
      <color rgb="FF7D6608"/>
      <name val="Aptos Narrow"/>
      <scheme val="minor"/>
    </font>
    <font>
      <b/>
      <u/>
      <sz val="13"/>
      <color rgb="FFFFFFFF"/>
      <name val="Aptos Narrow"/>
    </font>
    <font>
      <i/>
      <sz val="9"/>
      <color rgb="FF2C3E50"/>
      <name val="Aptos Narrow"/>
    </font>
    <font>
      <sz val="9"/>
      <color rgb="FF000000"/>
      <name val="Aptos Narrow"/>
      <scheme val="minor"/>
    </font>
    <font>
      <b/>
      <sz val="11"/>
      <color rgb="FF7D6608"/>
      <name val="Aptos Narrow"/>
      <scheme val="minor"/>
    </font>
    <font>
      <b/>
      <sz val="10"/>
      <color rgb="FF922B21"/>
      <name val="Aptos Narrow"/>
      <scheme val="minor"/>
    </font>
    <font>
      <b/>
      <sz val="9"/>
      <color rgb="FF2C3E50"/>
      <name val="Aptos Narrow"/>
      <scheme val="minor"/>
    </font>
    <font>
      <sz val="9"/>
      <color rgb="FF7D6608"/>
      <name val="Aptos Narrow"/>
      <scheme val="minor"/>
    </font>
    <font>
      <b/>
      <sz val="10"/>
      <color rgb="FFFFFFFF"/>
      <name val="Aptos Narrow"/>
    </font>
    <font>
      <b/>
      <sz val="9"/>
      <color rgb="FFFFFFFF"/>
      <name val="Aptos Narrow"/>
    </font>
    <font>
      <b/>
      <sz val="9"/>
      <color rgb="FF2C3E50"/>
      <name val="Aptos Narrow"/>
    </font>
    <font>
      <sz val="9"/>
      <color rgb="FF000000"/>
      <name val="Aptos Narrow"/>
    </font>
    <font>
      <b/>
      <sz val="9"/>
      <name val="Aptos Narrow"/>
    </font>
    <font>
      <sz val="9"/>
      <color theme="1"/>
      <name val="Aptos Narrow"/>
    </font>
    <font>
      <b/>
      <sz val="9"/>
      <color rgb="FF000000"/>
      <name val="Aptos Narrow"/>
    </font>
    <font>
      <sz val="9"/>
      <name val="Aptos Narrow"/>
    </font>
    <font>
      <sz val="9"/>
      <color rgb="FF145A32"/>
      <name val="Aptos Narrow"/>
    </font>
    <font>
      <sz val="9"/>
      <color rgb="FF78281F"/>
      <name val="Aptos Narrow"/>
    </font>
    <font>
      <sz val="9"/>
      <color rgb="FF7D6608"/>
      <name val="Aptos Narrow"/>
    </font>
    <font>
      <b/>
      <u/>
      <sz val="10"/>
      <color rgb="FFFFFFFF"/>
      <name val="Aptos Narrow"/>
    </font>
    <font>
      <b/>
      <sz val="10"/>
      <color rgb="FF2C3E50"/>
      <name val="Aptos Narrow"/>
    </font>
    <font>
      <sz val="10"/>
      <color rgb="FF000000"/>
      <name val="Aptos Narrow"/>
    </font>
    <font>
      <b/>
      <sz val="10"/>
      <name val="Aptos Narrow"/>
    </font>
    <font>
      <sz val="10"/>
      <color theme="1"/>
      <name val="Aptos Narrow"/>
    </font>
    <font>
      <b/>
      <sz val="10"/>
      <color rgb="FF1C2833"/>
      <name val="Aptos Narrow"/>
    </font>
    <font>
      <b/>
      <sz val="10"/>
      <color rgb="FF000000"/>
      <name val="Aptos Narrow"/>
    </font>
    <font>
      <sz val="10"/>
      <color rgb="FF7E5109"/>
      <name val="Aptos Narrow"/>
    </font>
    <font>
      <sz val="10"/>
      <name val="Aptos Narrow"/>
    </font>
    <font>
      <sz val="10"/>
      <color rgb="FF145A32"/>
      <name val="Aptos Narrow"/>
    </font>
    <font>
      <sz val="10"/>
      <color rgb="FF78281F"/>
      <name val="Aptos Narrow"/>
    </font>
    <font>
      <sz val="10"/>
      <color rgb="FF7D6608"/>
      <name val="Aptos Narrow"/>
    </font>
    <font>
      <b/>
      <sz val="10"/>
      <color rgb="FF1F3864"/>
      <name val="Aptos Narrow"/>
    </font>
    <font>
      <b/>
      <sz val="10"/>
      <color rgb="FF145A32"/>
      <name val="Aptos Narrow"/>
    </font>
    <font>
      <b/>
      <sz val="10"/>
      <color rgb="FF7E5109"/>
      <name val="Aptos Narrow"/>
    </font>
    <font>
      <b/>
      <sz val="10"/>
      <color rgb="FF7D6608"/>
      <name val="Aptos Narrow"/>
    </font>
    <font>
      <b/>
      <sz val="11"/>
      <color rgb="FF000000"/>
      <name val="Aptos Narrow"/>
    </font>
    <font>
      <sz val="10"/>
      <color rgb="FF616A6B"/>
      <name val="Aptos Narrow"/>
    </font>
    <font>
      <b/>
      <sz val="9"/>
      <color theme="1"/>
      <name val="Aptos Narrow"/>
    </font>
    <font>
      <sz val="9"/>
      <color rgb="FFFFFFFF"/>
      <name val="Aptos Narrow"/>
    </font>
    <font>
      <b/>
      <sz val="9"/>
      <color rgb="FF7D6608"/>
      <name val="Aptos Narrow"/>
    </font>
    <font>
      <b/>
      <sz val="9"/>
      <color rgb="FF145A32"/>
      <name val="Aptos Narrow"/>
    </font>
    <font>
      <b/>
      <sz val="9"/>
      <color rgb="FF1A5276"/>
      <name val="Aptos Narrow"/>
    </font>
    <font>
      <sz val="9"/>
      <color rgb="FF1A5276"/>
      <name val="Aptos Narrow"/>
    </font>
    <font>
      <i/>
      <sz val="10"/>
      <color rgb="FF000000"/>
      <name val="Aptos Narrow"/>
    </font>
    <font>
      <i/>
      <sz val="10"/>
      <color rgb="FF000000"/>
      <name val="Aptos Narrow"/>
      <scheme val="minor"/>
    </font>
    <font>
      <b/>
      <i/>
      <sz val="10"/>
      <color rgb="FFFFFFFF"/>
      <name val="Aptos Narrow"/>
      <scheme val="minor"/>
    </font>
    <font>
      <b/>
      <sz val="9"/>
      <color rgb="FF856404"/>
      <name val="Aptos Narrow"/>
    </font>
    <font>
      <b/>
      <sz val="9"/>
      <color rgb="FFBDC3C7"/>
      <name val="Aptos Narrow"/>
      <scheme val="minor"/>
    </font>
    <font>
      <sz val="10"/>
      <color rgb="FF555555"/>
      <name val="Aptos Narrow"/>
      <scheme val="minor"/>
    </font>
    <font>
      <b/>
      <sz val="10"/>
      <color rgb="FF856404"/>
      <name val="Aptos Narrow"/>
    </font>
    <font>
      <b/>
      <sz val="10"/>
      <color rgb="FFBDC3C7"/>
      <name val="Aptos Narrow"/>
      <scheme val="minor"/>
    </font>
    <font>
      <b/>
      <sz val="10"/>
      <color rgb="FF1F4E78"/>
      <name val="Aptos Narrow"/>
    </font>
    <font>
      <b/>
      <i/>
      <sz val="10"/>
      <color rgb="FF1F3864"/>
      <name val="Aptos Narrow"/>
    </font>
    <font>
      <b/>
      <sz val="10"/>
      <color rgb="FF1A5276"/>
      <name val="Aptos Narrow"/>
    </font>
    <font>
      <b/>
      <sz val="9"/>
      <color rgb="FF000000"/>
      <name val="Aptos Narrow"/>
      <scheme val="minor"/>
    </font>
    <font>
      <b/>
      <i/>
      <sz val="9"/>
      <color rgb="FFFFFFFF"/>
      <name val="Aptos Narrow"/>
      <scheme val="minor"/>
    </font>
    <font>
      <sz val="9"/>
      <color rgb="FF555555"/>
      <name val="Aptos Narrow"/>
      <scheme val="minor"/>
    </font>
    <font>
      <sz val="9"/>
      <color rgb="FFFFFFFF"/>
      <name val="Aptos Narrow"/>
      <scheme val="minor"/>
    </font>
    <font>
      <b/>
      <sz val="9"/>
      <color rgb="FF154360"/>
      <name val="Aptos Narrow"/>
      <scheme val="minor"/>
    </font>
    <font>
      <b/>
      <i/>
      <sz val="9"/>
      <color rgb="FF2C3E50"/>
      <name val="Aptos Narrow"/>
      <scheme val="minor"/>
    </font>
    <font>
      <b/>
      <sz val="9"/>
      <color rgb="FF1F4E78"/>
      <name val="Aptos Narrow"/>
      <scheme val="minor"/>
    </font>
    <font>
      <b/>
      <sz val="12"/>
      <color rgb="FF154360"/>
      <name val="Aptos Narrow"/>
      <scheme val="minor"/>
    </font>
    <font>
      <b/>
      <sz val="9"/>
      <color rgb="FF2C3E50"/>
      <name val="Aptos Narrow"/>
      <family val="2"/>
      <scheme val="minor"/>
    </font>
    <font>
      <sz val="9"/>
      <color rgb="FF006100"/>
      <name val="Aptos Narrow"/>
      <family val="2"/>
      <scheme val="minor"/>
    </font>
    <font>
      <sz val="9"/>
      <color rgb="FF7B6000"/>
      <name val="Aptos Narrow"/>
      <family val="2"/>
      <scheme val="minor"/>
    </font>
    <font>
      <sz val="9"/>
      <color rgb="FF1F4E78"/>
      <name val="Aptos Narrow"/>
      <family val="2"/>
      <scheme val="minor"/>
    </font>
    <font>
      <sz val="12"/>
      <color rgb="FF2C3E50"/>
      <name val="Aptos Narrow"/>
      <family val="2"/>
      <scheme val="minor"/>
    </font>
    <font>
      <sz val="9"/>
      <color rgb="FF2C3E50"/>
      <name val="Aptos Narrow"/>
      <family val="2"/>
      <scheme val="minor"/>
    </font>
    <font>
      <sz val="10"/>
      <color rgb="FF8B0000"/>
      <name val="Aptos Narrow"/>
      <family val="2"/>
      <scheme val="minor"/>
    </font>
    <font>
      <sz val="12"/>
      <color rgb="FF8B0000"/>
      <name val="Aptos Narrow"/>
      <family val="2"/>
      <scheme val="minor"/>
    </font>
    <font>
      <sz val="9"/>
      <color rgb="FF8B0000"/>
      <name val="Aptos Narrow"/>
      <family val="2"/>
      <scheme val="minor"/>
    </font>
    <font>
      <sz val="10"/>
      <color rgb="FFCC0000"/>
      <name val="Aptos Narrow"/>
      <family val="2"/>
      <scheme val="minor"/>
    </font>
    <font>
      <sz val="12"/>
      <color rgb="FF006100"/>
      <name val="Aptos Narrow"/>
      <family val="2"/>
      <scheme val="minor"/>
    </font>
    <font>
      <sz val="9"/>
      <color rgb="FFCC0000"/>
      <name val="Aptos Narrow"/>
      <family val="2"/>
      <scheme val="minor"/>
    </font>
    <font>
      <sz val="10"/>
      <color rgb="FF9C5700"/>
      <name val="Aptos Narrow"/>
      <family val="2"/>
      <scheme val="minor"/>
    </font>
    <font>
      <sz val="9"/>
      <color rgb="FF9C5700"/>
      <name val="Aptos Narrow"/>
      <family val="2"/>
      <scheme val="minor"/>
    </font>
    <font>
      <sz val="12"/>
      <color rgb="FF9C5700"/>
      <name val="Aptos Narrow"/>
      <family val="2"/>
      <scheme val="minor"/>
    </font>
    <font>
      <b/>
      <sz val="9"/>
      <color rgb="FFFFFFFF"/>
      <name val="Aptos Narrow"/>
      <family val="2"/>
    </font>
    <font>
      <b/>
      <sz val="9"/>
      <color rgb="FF1F3864"/>
      <name val="Aptos Narrow"/>
      <family val="2"/>
    </font>
    <font>
      <sz val="9"/>
      <color rgb="FF6E4C00"/>
      <name val="Aptos Narrow"/>
      <family val="2"/>
    </font>
    <font>
      <sz val="9"/>
      <color rgb="FF2C3E50"/>
      <name val="Aptos Narrow"/>
      <family val="2"/>
    </font>
    <font>
      <i/>
      <sz val="9"/>
      <color rgb="FF34495E"/>
      <name val="Aptos Narrow"/>
      <family val="2"/>
    </font>
    <font>
      <sz val="9"/>
      <color rgb="FF1A252F"/>
      <name val="Aptos Narrow"/>
      <family val="2"/>
    </font>
    <font>
      <b/>
      <sz val="9"/>
      <name val="Aptos Narrow"/>
      <family val="2"/>
    </font>
    <font>
      <b/>
      <sz val="9"/>
      <color rgb="FF7B241C"/>
      <name val="Aptos Narrow"/>
      <family val="2"/>
    </font>
    <font>
      <sz val="9"/>
      <color rgb="FF145A32"/>
      <name val="Aptos Narrow"/>
      <family val="2"/>
    </font>
    <font>
      <sz val="9"/>
      <color theme="1"/>
      <name val="Aptos Narrow"/>
      <family val="2"/>
    </font>
    <font>
      <sz val="9"/>
      <color rgb="FF808B96"/>
      <name val="Aptos Narrow"/>
      <family val="2"/>
    </font>
    <font>
      <b/>
      <sz val="9"/>
      <color theme="0"/>
      <name val="Aptos Narrow"/>
      <family val="2"/>
    </font>
    <font>
      <b/>
      <sz val="9"/>
      <color rgb="FF7D6608"/>
      <name val="Aptos Narrow"/>
      <family val="2"/>
    </font>
    <font>
      <b/>
      <sz val="9"/>
      <color rgb="FF922B21"/>
      <name val="Aptos Narrow"/>
      <family val="2"/>
    </font>
    <font>
      <sz val="9"/>
      <color rgb="FF6E2F1A"/>
      <name val="Aptos Narrow"/>
      <family val="2"/>
    </font>
    <font>
      <b/>
      <sz val="9"/>
      <color rgb="FF784212"/>
      <name val="Aptos Narrow"/>
      <family val="2"/>
    </font>
    <font>
      <b/>
      <sz val="9"/>
      <color rgb="FF145A32"/>
      <name val="Aptos Narrow"/>
      <family val="2"/>
    </font>
    <font>
      <sz val="9"/>
      <color rgb="FF641E16"/>
      <name val="Aptos Narrow"/>
      <family val="2"/>
    </font>
    <font>
      <b/>
      <sz val="9"/>
      <color rgb="FF641E16"/>
      <name val="Aptos Narrow"/>
      <family val="2"/>
    </font>
    <font>
      <b/>
      <i/>
      <sz val="9"/>
      <color rgb="FFFFFFFF"/>
      <name val="Aptos Narrow"/>
      <family val="2"/>
    </font>
    <font>
      <b/>
      <sz val="13"/>
      <color rgb="FFFFFFFF"/>
      <name val="Aptos Narrow"/>
      <family val="2"/>
    </font>
    <font>
      <b/>
      <u/>
      <sz val="10"/>
      <color rgb="FF1F3864"/>
      <name val="Aptos Narrow"/>
      <family val="2"/>
      <scheme val="minor"/>
    </font>
    <font>
      <b/>
      <i/>
      <u/>
      <sz val="10"/>
      <color rgb="FF1F3864"/>
      <name val="Aptos Narrow"/>
      <family val="2"/>
    </font>
    <font>
      <b/>
      <sz val="9"/>
      <color rgb="FF808B96"/>
      <name val="Aptos Narrow"/>
      <family val="2"/>
    </font>
    <font>
      <sz val="9"/>
      <color rgb="FF1A5276"/>
      <name val="Aptos Narrow"/>
      <family val="2"/>
      <scheme val="minor"/>
    </font>
    <font>
      <b/>
      <sz val="9"/>
      <color rgb="FF1A5276"/>
      <name val="Aptos Narrow"/>
      <family val="2"/>
      <scheme val="minor"/>
    </font>
    <font>
      <sz val="9"/>
      <color rgb="FF7D6608"/>
      <name val="Aptos Narrow"/>
      <family val="2"/>
      <scheme val="minor"/>
    </font>
    <font>
      <b/>
      <sz val="9"/>
      <color rgb="FF7D6608"/>
      <name val="Aptos Narrow"/>
      <family val="2"/>
      <scheme val="minor"/>
    </font>
    <font>
      <sz val="9"/>
      <color rgb="FF7B241C"/>
      <name val="Aptos Narrow"/>
      <family val="2"/>
      <scheme val="minor"/>
    </font>
    <font>
      <b/>
      <sz val="9"/>
      <color rgb="FF7B241C"/>
      <name val="Aptos Narrow"/>
      <family val="2"/>
      <scheme val="minor"/>
    </font>
    <font>
      <sz val="9"/>
      <color rgb="FF1F3864"/>
      <name val="Aptos Narrow"/>
      <family val="2"/>
    </font>
    <font>
      <sz val="9"/>
      <color rgb="FFFFFFFF"/>
      <name val="Aptos Narrow"/>
      <family val="2"/>
    </font>
    <font>
      <sz val="9"/>
      <color rgb="FF7B241C"/>
      <name val="Aptos Narrow"/>
      <family val="2"/>
    </font>
    <font>
      <sz val="9"/>
      <color rgb="FF34495E"/>
      <name val="Aptos Narrow"/>
      <family val="2"/>
    </font>
    <font>
      <sz val="9"/>
      <name val="Aptos Narrow"/>
      <family val="2"/>
    </font>
    <font>
      <b/>
      <i/>
      <sz val="9"/>
      <color rgb="FF2C3E50"/>
      <name val="Aptos Narrow"/>
      <family val="2"/>
    </font>
    <font>
      <b/>
      <i/>
      <sz val="9"/>
      <color rgb="FFFFFFFF"/>
      <name val="Aptos Narrow"/>
      <family val="2"/>
      <scheme val="minor"/>
    </font>
    <font>
      <i/>
      <sz val="9"/>
      <color rgb="FF808B96"/>
      <name val="Aptos Narrow"/>
      <family val="2"/>
    </font>
    <font>
      <sz val="9"/>
      <color rgb="FFC0392B"/>
      <name val="Aptos Narrow"/>
      <family val="2"/>
      <scheme val="minor"/>
    </font>
    <font>
      <sz val="9"/>
      <color rgb="FFE67E22"/>
      <name val="Aptos Narrow"/>
      <family val="2"/>
      <scheme val="minor"/>
    </font>
    <font>
      <b/>
      <sz val="9"/>
      <color rgb="FFFFFF00"/>
      <name val="Aptos Narrow"/>
      <family val="2"/>
      <scheme val="minor"/>
    </font>
    <font>
      <b/>
      <sz val="9"/>
      <color rgb="FFC0392B"/>
      <name val="Aptos Narrow"/>
      <family val="2"/>
      <scheme val="minor"/>
    </font>
    <font>
      <i/>
      <sz val="9"/>
      <color rgb="FF566573"/>
      <name val="Aptos Narrow"/>
      <family val="2"/>
      <scheme val="minor"/>
    </font>
    <font>
      <sz val="9"/>
      <color rgb="FF784212"/>
      <name val="Aptos Narrow"/>
      <family val="2"/>
      <scheme val="minor"/>
    </font>
    <font>
      <sz val="9"/>
      <color rgb="FF145A32"/>
      <name val="Aptos Narrow"/>
      <family val="2"/>
      <scheme val="minor"/>
    </font>
    <font>
      <b/>
      <i/>
      <sz val="9"/>
      <color rgb="FF566573"/>
      <name val="Aptos Narrow"/>
      <family val="2"/>
    </font>
    <font>
      <b/>
      <sz val="9"/>
      <color rgb="FFF2F3F4"/>
      <name val="Aptos Narrow"/>
      <family val="2"/>
      <scheme val="minor"/>
    </font>
    <font>
      <i/>
      <sz val="9"/>
      <color rgb="FF566573"/>
      <name val="Aptos Narrow"/>
      <family val="2"/>
    </font>
    <font>
      <b/>
      <sz val="11"/>
      <color rgb="FF1A237E"/>
      <name val="Aptos Narrow"/>
      <family val="2"/>
    </font>
    <font>
      <b/>
      <sz val="11"/>
      <color rgb="FF2C3E50"/>
      <name val="Aptos Narrow"/>
      <family val="2"/>
    </font>
    <font>
      <b/>
      <sz val="11"/>
      <color rgb="FF145A32"/>
      <name val="Aptos Narrow"/>
      <family val="2"/>
    </font>
    <font>
      <b/>
      <sz val="11"/>
      <color rgb="FF784212"/>
      <name val="Aptos Narrow"/>
      <family val="2"/>
    </font>
    <font>
      <b/>
      <sz val="9"/>
      <color rgb="FF7B3F00"/>
      <name val="Aptos Narrow"/>
      <family val="2"/>
    </font>
    <font>
      <sz val="9"/>
      <color rgb="FF566573"/>
      <name val="Aptos Narrow"/>
      <family val="2"/>
    </font>
    <font>
      <b/>
      <sz val="11"/>
      <color rgb="FF0000FF"/>
      <name val="Aptos Narrow"/>
      <family val="2"/>
      <scheme val="minor"/>
    </font>
    <font>
      <b/>
      <sz val="9"/>
      <color rgb="FF1A237E"/>
      <name val="Aptos Narrow"/>
      <family val="2"/>
      <scheme val="minor"/>
    </font>
    <font>
      <b/>
      <sz val="11"/>
      <color rgb="FF7B3F00"/>
      <name val="Aptos Narrow"/>
      <family val="2"/>
      <scheme val="minor"/>
    </font>
    <font>
      <b/>
      <sz val="10"/>
      <color rgb="FF0000FF"/>
      <name val="Aptos Narrow"/>
      <scheme val="minor"/>
    </font>
    <font>
      <sz val="11"/>
      <color theme="1"/>
      <name val="Aptos Narrow"/>
      <scheme val="minor"/>
    </font>
    <font>
      <b/>
      <u/>
      <sz val="9"/>
      <color rgb="FF1F3864"/>
      <name val="Aptos Narrow"/>
      <scheme val="minor"/>
    </font>
    <font>
      <u/>
      <sz val="9"/>
      <color theme="10"/>
      <name val="Aptos Narrow"/>
      <scheme val="minor"/>
    </font>
    <font>
      <b/>
      <sz val="9"/>
      <color rgb="FF0000FF"/>
      <name val="Aptos Narrow"/>
      <scheme val="minor"/>
    </font>
    <font>
      <sz val="9"/>
      <color rgb="FF1F4E79"/>
      <name val="Aptos Narrow"/>
      <scheme val="minor"/>
    </font>
    <font>
      <b/>
      <sz val="9"/>
      <color rgb="FF7030A0"/>
      <name val="Aptos Narrow"/>
      <scheme val="minor"/>
    </font>
    <font>
      <b/>
      <sz val="9"/>
      <color rgb="FF1F4E79"/>
      <name val="Aptos Narrow"/>
      <scheme val="minor"/>
    </font>
    <font>
      <sz val="9"/>
      <color rgb="FF78281F"/>
      <name val="Aptos Narrow"/>
      <scheme val="minor"/>
    </font>
    <font>
      <b/>
      <sz val="9"/>
      <color rgb="FF1C2833"/>
      <name val="Aptos Narrow"/>
      <scheme val="minor"/>
    </font>
    <font>
      <i/>
      <sz val="9"/>
      <color rgb="FF1F4E79"/>
      <name val="Aptos Narrow"/>
      <scheme val="minor"/>
    </font>
    <font>
      <i/>
      <sz val="9"/>
      <color rgb="FF1C2833"/>
      <name val="Aptos Narrow"/>
      <scheme val="minor"/>
    </font>
    <font>
      <b/>
      <i/>
      <sz val="9"/>
      <color rgb="FF1C2833"/>
      <name val="Aptos Narrow"/>
      <scheme val="minor"/>
    </font>
    <font>
      <b/>
      <i/>
      <sz val="9"/>
      <color rgb="FF000000"/>
      <name val="Aptos Narrow"/>
      <scheme val="minor"/>
    </font>
    <font>
      <b/>
      <i/>
      <sz val="9"/>
      <color rgb="FF7B3F00"/>
      <name val="Aptos Narrow"/>
      <scheme val="minor"/>
    </font>
    <font>
      <b/>
      <sz val="9"/>
      <color rgb="FF7B3F00"/>
      <name val="Aptos Narrow"/>
      <scheme val="minor"/>
    </font>
    <font>
      <b/>
      <sz val="9"/>
      <color rgb="FFC00000"/>
      <name val="Aptos Narrow"/>
      <scheme val="minor"/>
    </font>
    <font>
      <b/>
      <sz val="9"/>
      <color rgb="FFFFD700"/>
      <name val="Aptos Narrow"/>
      <scheme val="minor"/>
    </font>
    <font>
      <sz val="9"/>
      <color rgb="FF7B3F00"/>
      <name val="Aptos Narrow"/>
      <scheme val="minor"/>
    </font>
    <font>
      <sz val="9"/>
      <color rgb="FF7B4A00"/>
      <name val="Aptos Narrow"/>
      <scheme val="minor"/>
    </font>
    <font>
      <b/>
      <sz val="9"/>
      <color rgb="FF7B4A00"/>
      <name val="Aptos Narrow"/>
      <scheme val="minor"/>
    </font>
    <font>
      <b/>
      <u/>
      <sz val="9"/>
      <color rgb="FFFFFFFF"/>
      <name val="Aptos Narrow"/>
      <scheme val="minor"/>
    </font>
    <font>
      <i/>
      <sz val="9"/>
      <color rgb="FF566573"/>
      <name val="Aptos Narrow"/>
    </font>
    <font>
      <sz val="9"/>
      <color rgb="FF1C2833"/>
      <name val="Aptos Narrow"/>
      <scheme val="minor"/>
    </font>
    <font>
      <i/>
      <sz val="9"/>
      <color rgb="FFFFFFFF"/>
      <name val="Aptos Narrow"/>
      <scheme val="minor"/>
    </font>
    <font>
      <b/>
      <sz val="9"/>
      <color rgb="FF7B241C"/>
      <name val="Aptos Narrow"/>
      <scheme val="minor"/>
    </font>
    <font>
      <sz val="9"/>
      <color rgb="FF7B241C"/>
      <name val="Aptos Narrow"/>
      <scheme val="minor"/>
    </font>
    <font>
      <b/>
      <sz val="9"/>
      <color rgb="FF566573"/>
      <name val="Aptos Narrow"/>
      <scheme val="minor"/>
    </font>
    <font>
      <sz val="9"/>
      <color rgb="FF566573"/>
      <name val="Aptos Narrow"/>
      <scheme val="minor"/>
    </font>
    <font>
      <i/>
      <sz val="9"/>
      <color theme="1"/>
      <name val="Aptos Narrow"/>
      <scheme val="minor"/>
    </font>
    <font>
      <b/>
      <i/>
      <sz val="9"/>
      <color rgb="FF566573"/>
      <name val="Aptos Narrow"/>
      <scheme val="minor"/>
    </font>
    <font>
      <b/>
      <i/>
      <sz val="9"/>
      <color rgb="FF7B4A00"/>
      <name val="Aptos Narrow"/>
      <scheme val="minor"/>
    </font>
    <font>
      <sz val="9"/>
      <color rgb="FF808B96"/>
      <name val="Aptos Narrow"/>
      <scheme val="minor"/>
    </font>
    <font>
      <b/>
      <i/>
      <sz val="8"/>
      <color rgb="FF2C3E50"/>
      <name val="Aptos Narrow"/>
    </font>
    <font>
      <i/>
      <sz val="8"/>
      <color rgb="FF2C3E50"/>
      <name val="Aptos Narrow"/>
    </font>
    <font>
      <i/>
      <sz val="8"/>
      <color rgb="FF2C3E50"/>
      <name val="Aptos Narrow"/>
      <scheme val="minor"/>
    </font>
    <font>
      <b/>
      <sz val="9"/>
      <color rgb="FF154360"/>
      <name val="Aptos Narrow"/>
    </font>
    <font>
      <b/>
      <sz val="9"/>
      <color rgb="FF1B4F72"/>
      <name val="Aptos Narrow"/>
    </font>
    <font>
      <b/>
      <sz val="9"/>
      <color rgb="FF4A235A"/>
      <name val="Aptos Narrow"/>
    </font>
    <font>
      <b/>
      <sz val="9"/>
      <color rgb="FF1F3864"/>
      <name val="Aptos Narrow"/>
    </font>
    <font>
      <sz val="8"/>
      <color rgb="FF2C3E50"/>
      <name val="Aptos Narrow"/>
    </font>
    <font>
      <b/>
      <i/>
      <sz val="9"/>
      <color rgb="FFFFFFFF"/>
      <name val="Aptos Narrow"/>
    </font>
    <font>
      <b/>
      <sz val="9"/>
      <color rgb="FF1F3864"/>
      <name val="Aptos Narrow"/>
      <scheme val="minor"/>
    </font>
    <font>
      <sz val="9"/>
      <color rgb="FF922B21"/>
      <name val="Aptos Narrow"/>
      <scheme val="minor"/>
    </font>
    <font>
      <b/>
      <sz val="9"/>
      <color rgb="FF922B21"/>
      <name val="Aptos Narrow"/>
      <scheme val="minor"/>
    </font>
    <font>
      <b/>
      <sz val="9"/>
      <color rgb="FF1B4F72"/>
      <name val="Aptos Narrow"/>
      <scheme val="minor"/>
    </font>
    <font>
      <b/>
      <sz val="9"/>
      <color rgb="FF6C3483"/>
      <name val="Aptos Narrow"/>
      <scheme val="minor"/>
    </font>
    <font>
      <b/>
      <sz val="9"/>
      <color rgb="FF2E4057"/>
      <name val="Aptos Narrow"/>
      <scheme val="minor"/>
    </font>
    <font>
      <b/>
      <i/>
      <sz val="8"/>
      <color rgb="FF2C3E50"/>
      <name val="Aptos Narrow"/>
      <scheme val="minor"/>
    </font>
    <font>
      <b/>
      <sz val="9"/>
      <color rgb="FF6E2F1A"/>
      <name val="Aptos Narrow"/>
      <scheme val="minor"/>
    </font>
    <font>
      <b/>
      <sz val="9"/>
      <color rgb="FF2D5016"/>
      <name val="Aptos Narrow"/>
      <scheme val="minor"/>
    </font>
    <font>
      <i/>
      <sz val="10"/>
      <color theme="1"/>
      <name val="Aptos Narrow"/>
      <scheme val="minor"/>
    </font>
    <font>
      <sz val="9"/>
      <color rgb="FF5D6D7E"/>
      <name val="Aptos Narrow"/>
      <scheme val="minor"/>
    </font>
    <font>
      <sz val="9"/>
      <color rgb="FF9C6500"/>
      <name val="Aptos Narrow"/>
      <scheme val="minor"/>
    </font>
    <font>
      <sz val="9"/>
      <color rgb="FF2F75B6"/>
      <name val="Aptos Narrow"/>
      <scheme val="minor"/>
    </font>
    <font>
      <b/>
      <sz val="9"/>
      <color rgb="FF9C0006"/>
      <name val="Aptos Narrow"/>
      <scheme val="minor"/>
    </font>
    <font>
      <b/>
      <sz val="9"/>
      <color rgb="FF833C00"/>
      <name val="Aptos Narrow"/>
      <scheme val="minor"/>
    </font>
    <font>
      <sz val="9"/>
      <color rgb="FF276221"/>
      <name val="Aptos Narrow"/>
      <scheme val="minor"/>
    </font>
    <font>
      <b/>
      <u/>
      <sz val="9"/>
      <color rgb="FFFFFFFF"/>
      <name val="Aptos Narrow"/>
    </font>
    <font>
      <sz val="9"/>
      <color rgb="FF154360"/>
      <name val="Aptos Narrow"/>
      <scheme val="minor"/>
    </font>
    <font>
      <b/>
      <i/>
      <sz val="9"/>
      <color rgb="FF1F3864"/>
      <name val="Aptos Narrow"/>
    </font>
    <font>
      <b/>
      <u/>
      <sz val="10"/>
      <color rgb="FFFFFFFF"/>
      <name val="Aptos Narrow"/>
      <scheme val="minor"/>
    </font>
    <font>
      <sz val="9"/>
      <color rgb="FF1F3864"/>
      <name val="Aptos Narrow"/>
    </font>
    <font>
      <i/>
      <sz val="10"/>
      <color rgb="FF5D6D7E"/>
      <name val="Aptos Narrow"/>
      <scheme val="minor"/>
    </font>
    <font>
      <b/>
      <sz val="9"/>
      <color rgb="FF784212"/>
      <name val="Aptos Narrow"/>
    </font>
    <font>
      <b/>
      <i/>
      <sz val="9"/>
      <color rgb="FF000000"/>
      <name val="Aptos Narrow"/>
    </font>
    <font>
      <b/>
      <i/>
      <sz val="9"/>
      <color rgb="FF5D6D7E"/>
      <name val="Aptos Narrow"/>
    </font>
    <font>
      <i/>
      <sz val="9"/>
      <color rgb="FF5D6D7E"/>
      <name val="Aptos Narrow"/>
    </font>
    <font>
      <sz val="9"/>
      <color rgb="FF5D6D7E"/>
      <name val="Aptos Narrow"/>
    </font>
    <font>
      <i/>
      <sz val="10"/>
      <name val="Aptos Narrow"/>
      <scheme val="minor"/>
    </font>
    <font>
      <b/>
      <sz val="9"/>
      <color rgb="FF276221"/>
      <name val="Aptos Narrow"/>
    </font>
    <font>
      <b/>
      <sz val="9"/>
      <color rgb="FF9C6500"/>
      <name val="Aptos Narrow"/>
    </font>
    <font>
      <b/>
      <i/>
      <u/>
      <sz val="10"/>
      <color rgb="FF1F3864"/>
      <name val="Aptos Narrow"/>
    </font>
    <font>
      <i/>
      <sz val="9"/>
      <color rgb="FF000000"/>
      <name val="Aptos Narrow"/>
    </font>
    <font>
      <i/>
      <sz val="9"/>
      <color rgb="FF000000"/>
      <name val="Aptos Narrow"/>
      <scheme val="minor"/>
    </font>
    <font>
      <i/>
      <sz val="9"/>
      <color rgb="FF5D6D7E"/>
      <name val="Aptos Narrow"/>
      <scheme val="minor"/>
    </font>
    <font>
      <sz val="9"/>
      <color rgb="FF1E8449"/>
      <name val="Aptos Narrow"/>
    </font>
    <font>
      <i/>
      <sz val="9"/>
      <color rgb="FF1F4E78"/>
      <name val="Aptos Narrow"/>
    </font>
    <font>
      <b/>
      <sz val="10"/>
      <color rgb="FFFFF3CD"/>
      <name val="Aptos Narrow"/>
    </font>
    <font>
      <b/>
      <sz val="9"/>
      <color rgb="FF5D6D7E"/>
      <name val="Aptos Narrow"/>
    </font>
    <font>
      <b/>
      <sz val="9"/>
      <color rgb="FF5D6D7E"/>
      <name val="Aptos Narrow"/>
      <scheme val="minor"/>
    </font>
    <font>
      <i/>
      <sz val="9"/>
      <color rgb="FF1F4E78"/>
      <name val="Aptos Narrow"/>
      <scheme val="minor"/>
    </font>
    <font>
      <b/>
      <sz val="9"/>
      <color rgb="FF7B241C"/>
      <name val="Aptos Narrow"/>
    </font>
    <font>
      <b/>
      <sz val="9"/>
      <color rgb="FF1E8449"/>
      <name val="Aptos Narrow"/>
    </font>
    <font>
      <b/>
      <sz val="9"/>
      <color theme="0"/>
      <name val="Aptos Narrow"/>
    </font>
    <font>
      <sz val="10"/>
      <color theme="0"/>
      <name val="Aptos Narrow"/>
      <scheme val="minor"/>
    </font>
    <font>
      <b/>
      <sz val="9"/>
      <color rgb="FF6C3483"/>
      <name val="Aptos Narrow"/>
    </font>
    <font>
      <i/>
      <sz val="9"/>
      <color rgb="FF1E8449"/>
      <name val="Aptos Narrow"/>
    </font>
    <font>
      <b/>
      <i/>
      <sz val="9"/>
      <color rgb="FF1E8449"/>
      <name val="Aptos Narrow"/>
    </font>
    <font>
      <b/>
      <sz val="9"/>
      <name val="Aptos Narrow"/>
      <family val="2"/>
      <scheme val="minor"/>
    </font>
    <font>
      <b/>
      <i/>
      <sz val="9"/>
      <color rgb="FFD6E4F0"/>
      <name val="Aptos Narrow"/>
    </font>
    <font>
      <sz val="9"/>
      <color rgb="FFAAB7B8"/>
      <name val="Aptos Narrow"/>
    </font>
    <font>
      <b/>
      <sz val="9"/>
      <color rgb="FFAAB7B8"/>
      <name val="Aptos Narrow"/>
    </font>
    <font>
      <sz val="9"/>
      <color rgb="FFAAB7B8"/>
      <name val="Aptos Narrow"/>
      <scheme val="minor"/>
    </font>
    <font>
      <b/>
      <i/>
      <sz val="8"/>
      <color rgb="FFAAB7B8"/>
      <name val="Aptos Narrow"/>
    </font>
    <font>
      <sz val="9"/>
      <color rgb="FF1E8449"/>
      <name val="Aptos Narrow"/>
      <scheme val="minor"/>
    </font>
    <font>
      <sz val="9"/>
      <color rgb="FF7B241C"/>
      <name val="Aptos Narrow"/>
    </font>
    <font>
      <sz val="9"/>
      <color rgb="FF154360"/>
      <name val="Aptos Narrow"/>
    </font>
    <font>
      <b/>
      <sz val="9"/>
      <color rgb="FF707B7C"/>
      <name val="Aptos Narrow"/>
    </font>
    <font>
      <b/>
      <sz val="9"/>
      <color rgb="FF707B7C"/>
      <name val="Aptos Narrow"/>
      <scheme val="minor"/>
    </font>
    <font>
      <sz val="9"/>
      <color rgb="FF707B7C"/>
      <name val="Aptos Narrow"/>
    </font>
    <font>
      <sz val="9"/>
      <color rgb="FF707B7C"/>
      <name val="Aptos Narrow"/>
      <scheme val="minor"/>
    </font>
    <font>
      <b/>
      <sz val="9"/>
      <color rgb="FFA80000"/>
      <name val="Aptos Narrow"/>
    </font>
    <font>
      <b/>
      <sz val="9"/>
      <color rgb="FF1F2937"/>
      <name val="Aptos Narrow"/>
      <scheme val="minor"/>
    </font>
    <font>
      <sz val="9"/>
      <color rgb="FF1F2937"/>
      <name val="Aptos Narrow"/>
      <scheme val="minor"/>
    </font>
    <font>
      <sz val="9"/>
      <color rgb="FF1F3864"/>
      <name val="Aptos Narrow"/>
      <scheme val="minor"/>
    </font>
    <font>
      <sz val="8"/>
      <color rgb="FF1F3864"/>
      <name val="Aptos Narrow"/>
      <scheme val="minor"/>
    </font>
    <font>
      <b/>
      <i/>
      <sz val="10"/>
      <color rgb="FFFFFFFF"/>
      <name val="Aptos Narrow"/>
    </font>
    <font>
      <i/>
      <sz val="9"/>
      <color rgb="FF1F3864"/>
      <name val="Aptos Narrow"/>
    </font>
    <font>
      <b/>
      <i/>
      <sz val="8"/>
      <color rgb="FFBDC3C7"/>
      <name val="Aptos Narrow"/>
    </font>
    <font>
      <b/>
      <sz val="11"/>
      <color rgb="FF1F3864"/>
      <name val="Aptos Narrow"/>
    </font>
    <font>
      <b/>
      <sz val="13"/>
      <color rgb="FF1F3864"/>
      <name val="Aptos Narrow"/>
    </font>
    <font>
      <b/>
      <i/>
      <sz val="8"/>
      <color rgb="FF626567"/>
      <name val="Aptos Narrow"/>
    </font>
    <font>
      <i/>
      <sz val="8"/>
      <color rgb="FF626567"/>
      <name val="Aptos Narrow"/>
    </font>
    <font>
      <i/>
      <sz val="8"/>
      <color rgb="FF626567"/>
      <name val="Aptos Narrow"/>
      <scheme val="minor"/>
    </font>
    <font>
      <b/>
      <sz val="9"/>
      <color rgb="FFCC0000"/>
      <name val="Aptos Narrow"/>
    </font>
    <font>
      <sz val="9"/>
      <color rgb="FF2C3E50"/>
      <name val="Aptos Narrow"/>
    </font>
    <font>
      <sz val="10"/>
      <color rgb="FF2C3E50"/>
      <name val="Aptos Narrow"/>
      <scheme val="minor"/>
    </font>
    <font>
      <sz val="9"/>
      <color rgb="FF2C3E50"/>
      <name val="Aptos Narrow"/>
      <scheme val="minor"/>
    </font>
    <font>
      <sz val="10"/>
      <color rgb="FF0000FF"/>
      <name val="Aptos Narrow"/>
      <scheme val="minor"/>
    </font>
    <font>
      <b/>
      <sz val="9"/>
      <color rgb="FF9C5700"/>
      <name val="Aptos Narrow"/>
    </font>
    <font>
      <sz val="9"/>
      <color rgb="FF006100"/>
      <name val="Aptos Narrow"/>
    </font>
    <font>
      <i/>
      <sz val="9"/>
      <color rgb="FFBF360C"/>
      <name val="Aptos Narrow"/>
      <scheme val="minor"/>
    </font>
    <font>
      <i/>
      <sz val="9"/>
      <color rgb="FF0D47A1"/>
      <name val="Aptos Narrow"/>
      <scheme val="minor"/>
    </font>
    <font>
      <b/>
      <i/>
      <sz val="9"/>
      <color rgb="FF880E4F"/>
      <name val="Aptos Narrow"/>
      <scheme val="minor"/>
    </font>
    <font>
      <b/>
      <u/>
      <sz val="9"/>
      <color rgb="FF154360"/>
      <name val="Aptos Narrow"/>
      <scheme val="minor"/>
    </font>
    <font>
      <i/>
      <sz val="9"/>
      <color rgb="FF1F3864"/>
      <name val="Aptos Narrow"/>
      <scheme val="minor"/>
    </font>
    <font>
      <b/>
      <u/>
      <sz val="9"/>
      <color rgb="FF1F3864"/>
      <name val="Aptos Narrow"/>
    </font>
    <font>
      <b/>
      <u/>
      <sz val="10"/>
      <color rgb="FF1F3864"/>
      <name val="Aptos Narrow"/>
    </font>
    <font>
      <b/>
      <i/>
      <sz val="8"/>
      <color rgb="FF5D6D7E"/>
      <name val="Aptos Narrow"/>
    </font>
    <font>
      <i/>
      <sz val="8"/>
      <color rgb="FF5D6D7E"/>
      <name val="Aptos Narrow"/>
    </font>
    <font>
      <b/>
      <sz val="9"/>
      <color rgb="FF9C0006"/>
      <name val="Aptos Narrow"/>
    </font>
    <font>
      <i/>
      <sz val="8"/>
      <color rgb="FF5D6D7E"/>
      <name val="Aptos Narrow"/>
      <scheme val="minor"/>
    </font>
    <font>
      <b/>
      <sz val="12"/>
      <color rgb="FFFFFFFF"/>
      <name val="Aptos Narrow"/>
    </font>
    <font>
      <b/>
      <sz val="9"/>
      <color rgb="FF856404"/>
      <name val="Aptos Narrow"/>
      <scheme val="minor"/>
    </font>
    <font>
      <b/>
      <i/>
      <sz val="9"/>
      <color rgb="FF1F3864"/>
      <name val="Aptos Narrow"/>
      <scheme val="minor"/>
    </font>
    <font>
      <b/>
      <sz val="11"/>
      <color rgb="FFFFFFFF"/>
      <name val="Aptos Narrow"/>
      <scheme val="minor"/>
    </font>
    <font>
      <b/>
      <sz val="16"/>
      <color rgb="FF1F3864"/>
      <name val="Aptos Narrow"/>
      <scheme val="minor"/>
    </font>
    <font>
      <b/>
      <i/>
      <sz val="9"/>
      <color rgb="FF154360"/>
      <name val="Aptos Narrow"/>
    </font>
    <font>
      <b/>
      <sz val="18"/>
      <color rgb="FFFFFFFF"/>
      <name val="Aptos Narrow"/>
      <family val="2"/>
      <scheme val="minor"/>
    </font>
    <font>
      <b/>
      <sz val="9"/>
      <color rgb="FF004C8C"/>
      <name val="Aptos Narrow"/>
    </font>
  </fonts>
  <fills count="96">
    <fill>
      <patternFill patternType="none"/>
    </fill>
    <fill>
      <patternFill patternType="gray125"/>
    </fill>
    <fill>
      <patternFill patternType="solid">
        <fgColor rgb="FFFFFFFF"/>
        <bgColor indexed="64"/>
      </patternFill>
    </fill>
    <fill>
      <patternFill patternType="solid">
        <fgColor rgb="FF1C0800"/>
        <bgColor indexed="64"/>
      </patternFill>
    </fill>
    <fill>
      <patternFill patternType="solid">
        <fgColor rgb="FFE3F2FD"/>
        <bgColor indexed="64"/>
      </patternFill>
    </fill>
    <fill>
      <patternFill patternType="solid">
        <fgColor rgb="FF2E75B6"/>
        <bgColor indexed="64"/>
      </patternFill>
    </fill>
    <fill>
      <patternFill patternType="solid">
        <fgColor rgb="FFDDEEFF"/>
        <bgColor indexed="64"/>
      </patternFill>
    </fill>
    <fill>
      <patternFill patternType="solid">
        <fgColor rgb="FFFFF2CC"/>
        <bgColor indexed="64"/>
      </patternFill>
    </fill>
    <fill>
      <patternFill patternType="solid">
        <fgColor rgb="FFE2EFDA"/>
        <bgColor indexed="64"/>
      </patternFill>
    </fill>
    <fill>
      <patternFill patternType="solid">
        <fgColor rgb="FFE8F5E9"/>
        <bgColor indexed="64"/>
      </patternFill>
    </fill>
    <fill>
      <patternFill patternType="solid">
        <fgColor rgb="FFF5F5F5"/>
        <bgColor indexed="64"/>
      </patternFill>
    </fill>
    <fill>
      <patternFill patternType="solid">
        <fgColor rgb="FFBF6B00"/>
        <bgColor indexed="64"/>
      </patternFill>
    </fill>
    <fill>
      <patternFill patternType="solid">
        <fgColor rgb="FF4A148C"/>
        <bgColor indexed="64"/>
      </patternFill>
    </fill>
    <fill>
      <patternFill patternType="solid">
        <fgColor rgb="FFFCE4EC"/>
        <bgColor indexed="64"/>
      </patternFill>
    </fill>
    <fill>
      <patternFill patternType="solid">
        <fgColor theme="0"/>
        <bgColor indexed="64"/>
      </patternFill>
    </fill>
    <fill>
      <patternFill patternType="solid">
        <fgColor rgb="FFFFC7CE"/>
        <bgColor indexed="64"/>
      </patternFill>
    </fill>
    <fill>
      <patternFill patternType="solid">
        <fgColor rgb="FFFFEB9C"/>
        <bgColor indexed="64"/>
      </patternFill>
    </fill>
    <fill>
      <patternFill patternType="solid">
        <fgColor rgb="FFC6EFCE"/>
        <bgColor indexed="64"/>
      </patternFill>
    </fill>
    <fill>
      <patternFill patternType="solid">
        <fgColor rgb="FFF5F9FF"/>
        <bgColor indexed="64"/>
      </patternFill>
    </fill>
    <fill>
      <patternFill patternType="solid">
        <fgColor rgb="FF1F4E78"/>
        <bgColor indexed="64"/>
      </patternFill>
    </fill>
    <fill>
      <patternFill patternType="solid">
        <fgColor rgb="FF0277BD"/>
        <bgColor indexed="64"/>
      </patternFill>
    </fill>
    <fill>
      <patternFill patternType="solid">
        <fgColor rgb="FFFBE9E7"/>
        <bgColor indexed="64"/>
      </patternFill>
    </fill>
    <fill>
      <patternFill patternType="solid">
        <fgColor rgb="FF1A2B4A"/>
        <bgColor indexed="64"/>
      </patternFill>
    </fill>
    <fill>
      <patternFill patternType="solid">
        <fgColor rgb="FF2E4A7A"/>
        <bgColor indexed="64"/>
      </patternFill>
    </fill>
    <fill>
      <patternFill patternType="solid">
        <fgColor rgb="FFEEF2F7"/>
        <bgColor indexed="64"/>
      </patternFill>
    </fill>
    <fill>
      <patternFill patternType="solid">
        <fgColor rgb="FFFFCCCC"/>
        <bgColor indexed="64"/>
      </patternFill>
    </fill>
    <fill>
      <patternFill patternType="solid">
        <fgColor rgb="FFFF0000"/>
        <bgColor indexed="64"/>
      </patternFill>
    </fill>
    <fill>
      <patternFill patternType="solid">
        <fgColor rgb="FF375623"/>
        <bgColor indexed="64"/>
      </patternFill>
    </fill>
    <fill>
      <patternFill patternType="solid">
        <fgColor rgb="FFFFC000"/>
        <bgColor indexed="64"/>
      </patternFill>
    </fill>
    <fill>
      <patternFill patternType="solid">
        <fgColor rgb="FFFAD7A0"/>
        <bgColor indexed="64"/>
      </patternFill>
    </fill>
    <fill>
      <patternFill patternType="solid">
        <fgColor rgb="FFAED6F1"/>
        <bgColor indexed="64"/>
      </patternFill>
    </fill>
    <fill>
      <patternFill patternType="solid">
        <fgColor rgb="FFF4F6F7"/>
        <bgColor indexed="64"/>
      </patternFill>
    </fill>
    <fill>
      <patternFill patternType="solid">
        <fgColor rgb="FFEBF5FB"/>
        <bgColor indexed="64"/>
      </patternFill>
    </fill>
    <fill>
      <patternFill patternType="solid">
        <fgColor rgb="FF1E8449"/>
        <bgColor indexed="64"/>
      </patternFill>
    </fill>
    <fill>
      <patternFill patternType="solid">
        <fgColor rgb="FF922B21"/>
        <bgColor indexed="64"/>
      </patternFill>
    </fill>
    <fill>
      <patternFill patternType="solid">
        <fgColor rgb="FFCA6F1E"/>
        <bgColor indexed="64"/>
      </patternFill>
    </fill>
    <fill>
      <patternFill patternType="solid">
        <fgColor rgb="FF1A5276"/>
        <bgColor indexed="64"/>
      </patternFill>
    </fill>
    <fill>
      <patternFill patternType="solid">
        <fgColor rgb="FF808B96"/>
        <bgColor indexed="64"/>
      </patternFill>
    </fill>
    <fill>
      <patternFill patternType="solid">
        <fgColor rgb="FFB7950B"/>
        <bgColor indexed="64"/>
      </patternFill>
    </fill>
    <fill>
      <patternFill patternType="solid">
        <fgColor rgb="FFD9E1F2"/>
        <bgColor indexed="64"/>
      </patternFill>
    </fill>
    <fill>
      <patternFill patternType="solid">
        <fgColor rgb="FF44546A"/>
        <bgColor indexed="64"/>
      </patternFill>
    </fill>
    <fill>
      <patternFill patternType="solid">
        <fgColor rgb="FFE2EFD9"/>
        <bgColor indexed="64"/>
      </patternFill>
    </fill>
    <fill>
      <patternFill patternType="solid">
        <fgColor rgb="FFFBE4D5"/>
        <bgColor indexed="64"/>
      </patternFill>
    </fill>
    <fill>
      <patternFill patternType="solid">
        <fgColor rgb="FFC65911"/>
        <bgColor indexed="64"/>
      </patternFill>
    </fill>
    <fill>
      <patternFill patternType="solid">
        <fgColor rgb="FFFFE699"/>
        <bgColor indexed="64"/>
      </patternFill>
    </fill>
    <fill>
      <patternFill patternType="solid">
        <fgColor rgb="FF1F3864"/>
        <bgColor indexed="64"/>
      </patternFill>
    </fill>
    <fill>
      <patternFill patternType="solid">
        <fgColor rgb="FF2D5016"/>
        <bgColor indexed="64"/>
      </patternFill>
    </fill>
    <fill>
      <patternFill patternType="solid">
        <fgColor rgb="FFD6E4F0"/>
        <bgColor indexed="64"/>
      </patternFill>
    </fill>
    <fill>
      <patternFill patternType="solid">
        <fgColor rgb="FF404040"/>
        <bgColor indexed="64"/>
      </patternFill>
    </fill>
    <fill>
      <patternFill patternType="solid">
        <fgColor rgb="FFF8F9FA"/>
        <bgColor indexed="64"/>
      </patternFill>
    </fill>
    <fill>
      <patternFill patternType="solid">
        <fgColor rgb="FFC9D9EE"/>
        <bgColor indexed="64"/>
      </patternFill>
    </fill>
    <fill>
      <patternFill patternType="solid">
        <fgColor rgb="FFEBF2FA"/>
        <bgColor indexed="64"/>
      </patternFill>
    </fill>
    <fill>
      <patternFill patternType="solid">
        <fgColor rgb="FFF0F4F8"/>
        <bgColor indexed="64"/>
      </patternFill>
    </fill>
    <fill>
      <patternFill patternType="solid">
        <fgColor rgb="FFFFF3CD"/>
        <bgColor indexed="64"/>
      </patternFill>
    </fill>
    <fill>
      <patternFill patternType="solid">
        <fgColor rgb="FFBDC3C7"/>
        <bgColor indexed="64"/>
      </patternFill>
    </fill>
    <fill>
      <patternFill patternType="solid">
        <fgColor rgb="FF2E4057"/>
        <bgColor indexed="64"/>
      </patternFill>
    </fill>
    <fill>
      <patternFill patternType="solid">
        <fgColor rgb="FF154360"/>
        <bgColor indexed="64"/>
      </patternFill>
    </fill>
    <fill>
      <patternFill patternType="solid">
        <fgColor rgb="FFFDEDEC"/>
        <bgColor indexed="64"/>
      </patternFill>
    </fill>
    <fill>
      <patternFill patternType="solid">
        <fgColor rgb="FFFDFEFE"/>
        <bgColor indexed="64"/>
      </patternFill>
    </fill>
    <fill>
      <patternFill patternType="solid">
        <fgColor rgb="FFC0392B"/>
        <bgColor indexed="64"/>
      </patternFill>
    </fill>
    <fill>
      <patternFill patternType="solid">
        <fgColor rgb="FF2E86C1"/>
        <bgColor indexed="64"/>
      </patternFill>
    </fill>
    <fill>
      <patternFill patternType="solid">
        <fgColor rgb="FF7B241C"/>
        <bgColor indexed="64"/>
      </patternFill>
    </fill>
    <fill>
      <patternFill patternType="solid">
        <fgColor rgb="FF2C3E50"/>
        <bgColor indexed="64"/>
      </patternFill>
    </fill>
    <fill>
      <patternFill patternType="solid">
        <fgColor rgb="FFFFFDE7"/>
        <bgColor indexed="64"/>
      </patternFill>
    </fill>
    <fill>
      <patternFill patternType="solid">
        <fgColor rgb="FFFEF9E7"/>
        <bgColor indexed="64"/>
      </patternFill>
    </fill>
    <fill>
      <patternFill patternType="solid">
        <fgColor rgb="FFDAE3F3"/>
        <bgColor indexed="64"/>
      </patternFill>
    </fill>
    <fill>
      <patternFill patternType="solid">
        <fgColor rgb="FFF8FBFD"/>
        <bgColor indexed="64"/>
      </patternFill>
    </fill>
    <fill>
      <patternFill patternType="solid">
        <fgColor rgb="FF2471A3"/>
        <bgColor indexed="64"/>
      </patternFill>
    </fill>
    <fill>
      <patternFill patternType="solid">
        <fgColor rgb="FFFFF9E6"/>
        <bgColor indexed="64"/>
      </patternFill>
    </fill>
    <fill>
      <patternFill patternType="solid">
        <fgColor rgb="FFA9DFBF"/>
        <bgColor indexed="64"/>
      </patternFill>
    </fill>
    <fill>
      <patternFill patternType="solid">
        <fgColor rgb="FFF9E79F"/>
        <bgColor indexed="64"/>
      </patternFill>
    </fill>
    <fill>
      <patternFill patternType="solid">
        <fgColor rgb="FFF1948A"/>
        <bgColor indexed="64"/>
      </patternFill>
    </fill>
    <fill>
      <patternFill patternType="solid">
        <fgColor rgb="FFF2F3F4"/>
        <bgColor indexed="64"/>
      </patternFill>
    </fill>
    <fill>
      <patternFill patternType="solid">
        <fgColor rgb="FF1B6A9C"/>
        <bgColor indexed="64"/>
      </patternFill>
    </fill>
    <fill>
      <patternFill patternType="solid">
        <fgColor rgb="FFD5F5E3"/>
        <bgColor indexed="64"/>
      </patternFill>
    </fill>
    <fill>
      <patternFill patternType="solid">
        <fgColor rgb="FF1B4F72"/>
        <bgColor indexed="64"/>
      </patternFill>
    </fill>
    <fill>
      <patternFill patternType="solid">
        <fgColor rgb="FF145A32"/>
        <bgColor indexed="64"/>
      </patternFill>
    </fill>
    <fill>
      <patternFill patternType="solid">
        <fgColor rgb="FF7D6608"/>
        <bgColor indexed="64"/>
      </patternFill>
    </fill>
    <fill>
      <patternFill patternType="solid">
        <fgColor rgb="FFFADBD8"/>
        <bgColor indexed="64"/>
      </patternFill>
    </fill>
    <fill>
      <patternFill patternType="solid">
        <fgColor rgb="FFD6EAF8"/>
        <bgColor indexed="64"/>
      </patternFill>
    </fill>
    <fill>
      <patternFill patternType="solid">
        <fgColor rgb="FFEAFAF1"/>
        <bgColor indexed="64"/>
      </patternFill>
    </fill>
    <fill>
      <patternFill patternType="solid">
        <fgColor rgb="FFFEFDE7"/>
        <bgColor indexed="64"/>
      </patternFill>
    </fill>
    <fill>
      <patternFill patternType="solid">
        <fgColor rgb="FFFFF5EE"/>
        <bgColor indexed="64"/>
      </patternFill>
    </fill>
    <fill>
      <patternFill patternType="solid">
        <fgColor rgb="FFEAF4FB"/>
        <bgColor indexed="64"/>
      </patternFill>
    </fill>
    <fill>
      <patternFill patternType="solid">
        <fgColor rgb="FF6C3483"/>
        <bgColor indexed="64"/>
      </patternFill>
    </fill>
    <fill>
      <patternFill patternType="solid">
        <fgColor rgb="FF4A235A"/>
        <bgColor indexed="64"/>
      </patternFill>
    </fill>
    <fill>
      <patternFill patternType="solid">
        <fgColor rgb="FFF5EEF8"/>
        <bgColor indexed="64"/>
      </patternFill>
    </fill>
    <fill>
      <patternFill patternType="solid">
        <fgColor rgb="FFFDEBD0"/>
        <bgColor indexed="64"/>
      </patternFill>
    </fill>
    <fill>
      <patternFill patternType="solid">
        <fgColor rgb="FFE8DAEF"/>
        <bgColor indexed="64"/>
      </patternFill>
    </fill>
    <fill>
      <patternFill patternType="solid">
        <fgColor rgb="FF0070C0"/>
        <bgColor indexed="64"/>
      </patternFill>
    </fill>
    <fill>
      <patternFill patternType="solid">
        <fgColor rgb="FF00B050"/>
        <bgColor indexed="64"/>
      </patternFill>
    </fill>
    <fill>
      <patternFill patternType="solid">
        <fgColor rgb="FFFFFF00"/>
        <bgColor indexed="64"/>
      </patternFill>
    </fill>
    <fill>
      <patternFill patternType="solid">
        <fgColor rgb="FFE60606"/>
        <bgColor indexed="64"/>
      </patternFill>
    </fill>
    <fill>
      <patternFill patternType="solid">
        <fgColor rgb="FFEEF4FB"/>
        <bgColor indexed="64"/>
      </patternFill>
    </fill>
    <fill>
      <patternFill patternType="solid">
        <fgColor rgb="FFF2F7FC"/>
        <bgColor indexed="64"/>
      </patternFill>
    </fill>
    <fill>
      <patternFill patternType="solid">
        <fgColor rgb="FFDBEAFE"/>
        <bgColor indexed="64"/>
      </patternFill>
    </fill>
  </fills>
  <borders count="618">
    <border>
      <left/>
      <right/>
      <top/>
      <bottom/>
      <diagonal/>
    </border>
    <border>
      <left/>
      <right/>
      <top style="medium">
        <color rgb="FFE64A19"/>
      </top>
      <bottom/>
      <diagonal/>
    </border>
    <border>
      <left/>
      <right/>
      <top style="medium">
        <color rgb="FFE64A19"/>
      </top>
      <bottom style="thick">
        <color rgb="FFE64A19"/>
      </bottom>
      <diagonal/>
    </border>
    <border>
      <left/>
      <right/>
      <top style="medium">
        <color rgb="FF1565C0"/>
      </top>
      <bottom/>
      <diagonal/>
    </border>
    <border>
      <left/>
      <right/>
      <top style="thick">
        <color rgb="FFE64A19"/>
      </top>
      <bottom/>
      <diagonal/>
    </border>
    <border>
      <left/>
      <right/>
      <top/>
      <bottom style="medium">
        <color rgb="FF1565C0"/>
      </bottom>
      <diagonal/>
    </border>
    <border>
      <left/>
      <right/>
      <top/>
      <bottom style="medium">
        <color rgb="FFE64A19"/>
      </bottom>
      <diagonal/>
    </border>
    <border>
      <left/>
      <right/>
      <top/>
      <bottom style="thick">
        <color rgb="FFD6EAF8"/>
      </bottom>
      <diagonal/>
    </border>
    <border>
      <left/>
      <right/>
      <top/>
      <bottom style="thick">
        <color rgb="FFFDFEFE"/>
      </bottom>
      <diagonal/>
    </border>
    <border>
      <left/>
      <right/>
      <top/>
      <bottom style="thick">
        <color rgb="FFEBEDEF"/>
      </bottom>
      <diagonal/>
    </border>
    <border>
      <left/>
      <right/>
      <top/>
      <bottom style="thin">
        <color rgb="FFD5F5E3"/>
      </bottom>
      <diagonal/>
    </border>
    <border>
      <left/>
      <right/>
      <top/>
      <bottom style="thick">
        <color rgb="FFD5F5E3"/>
      </bottom>
      <diagonal/>
    </border>
    <border>
      <left/>
      <right/>
      <top/>
      <bottom style="thick">
        <color rgb="FFE8DAEF"/>
      </bottom>
      <diagonal/>
    </border>
    <border>
      <left/>
      <right/>
      <top style="thick">
        <color rgb="FF1565C0"/>
      </top>
      <bottom style="thin">
        <color rgb="FFEBEDEF"/>
      </bottom>
      <diagonal/>
    </border>
    <border>
      <left/>
      <right/>
      <top/>
      <bottom style="thick">
        <color rgb="FFFAE5D3"/>
      </bottom>
      <diagonal/>
    </border>
    <border>
      <left style="thin">
        <color rgb="FF95A5A6"/>
      </left>
      <right style="thin">
        <color rgb="FF95A5A6"/>
      </right>
      <top style="thin">
        <color rgb="FF95A5A6"/>
      </top>
      <bottom style="thin">
        <color rgb="FF95A5A6"/>
      </bottom>
      <diagonal/>
    </border>
    <border>
      <left style="thin">
        <color rgb="FF95A5A6"/>
      </left>
      <right style="thin">
        <color rgb="FF2C3E50"/>
      </right>
      <top style="thin">
        <color rgb="FF95A5A6"/>
      </top>
      <bottom style="thin">
        <color rgb="FF95A5A6"/>
      </bottom>
      <diagonal/>
    </border>
    <border>
      <left style="thin">
        <color rgb="FF95A5A6"/>
      </left>
      <right style="thin">
        <color rgb="FF95A5A6"/>
      </right>
      <top style="thin">
        <color rgb="FF95A5A6"/>
      </top>
      <bottom style="thin">
        <color rgb="FF2C3E50"/>
      </bottom>
      <diagonal/>
    </border>
    <border>
      <left style="thin">
        <color rgb="FF95A5A6"/>
      </left>
      <right style="thin">
        <color rgb="FF2C3E50"/>
      </right>
      <top style="thin">
        <color rgb="FF95A5A6"/>
      </top>
      <bottom style="thin">
        <color rgb="FF2C3E50"/>
      </bottom>
      <diagonal/>
    </border>
    <border>
      <left style="thin">
        <color rgb="FF2C3E50"/>
      </left>
      <right style="thin">
        <color rgb="FF95A5A6"/>
      </right>
      <top style="thin">
        <color rgb="FF95A5A6"/>
      </top>
      <bottom style="thin">
        <color rgb="FF2C3E50"/>
      </bottom>
      <diagonal/>
    </border>
    <border>
      <left style="thin">
        <color rgb="FF95A5A6"/>
      </left>
      <right style="thin">
        <color rgb="FF95A5A6"/>
      </right>
      <top style="thin">
        <color rgb="FF2C3E50"/>
      </top>
      <bottom style="thin">
        <color rgb="FF95A5A6"/>
      </bottom>
      <diagonal/>
    </border>
    <border>
      <left style="thin">
        <color rgb="FF95A5A6"/>
      </left>
      <right style="thin">
        <color rgb="FF2C3E50"/>
      </right>
      <top style="thin">
        <color rgb="FF2C3E50"/>
      </top>
      <bottom style="thin">
        <color rgb="FF95A5A6"/>
      </bottom>
      <diagonal/>
    </border>
    <border>
      <left style="thin">
        <color rgb="FF95A5A6"/>
      </left>
      <right style="thin">
        <color rgb="FF95A5A6"/>
      </right>
      <top style="medium">
        <color rgb="FF95A5A6"/>
      </top>
      <bottom style="medium">
        <color rgb="FF95A5A6"/>
      </bottom>
      <diagonal/>
    </border>
    <border>
      <left style="thin">
        <color rgb="FF95A5A6"/>
      </left>
      <right style="thin">
        <color rgb="FF2C3E50"/>
      </right>
      <top style="medium">
        <color rgb="FF95A5A6"/>
      </top>
      <bottom style="medium">
        <color rgb="FF95A5A6"/>
      </bottom>
      <diagonal/>
    </border>
    <border>
      <left style="thin">
        <color rgb="FF95A5A6"/>
      </left>
      <right style="thin">
        <color rgb="FF95A5A6"/>
      </right>
      <top style="medium">
        <color rgb="FF95A5A6"/>
      </top>
      <bottom style="thin">
        <color rgb="FF2C3E50"/>
      </bottom>
      <diagonal/>
    </border>
    <border>
      <left style="thin">
        <color rgb="FF95A5A6"/>
      </left>
      <right style="thin">
        <color rgb="FF2C3E50"/>
      </right>
      <top style="medium">
        <color rgb="FF95A5A6"/>
      </top>
      <bottom style="thin">
        <color rgb="FF2C3E50"/>
      </bottom>
      <diagonal/>
    </border>
    <border>
      <left style="thick">
        <color rgb="FF2C3E50"/>
      </left>
      <right style="thin">
        <color rgb="FF95A5A6"/>
      </right>
      <top style="thin">
        <color rgb="FF95A5A6"/>
      </top>
      <bottom style="thin">
        <color rgb="FF2C3E50"/>
      </bottom>
      <diagonal/>
    </border>
    <border>
      <left style="medium">
        <color rgb="FF2C3E50"/>
      </left>
      <right style="thin">
        <color rgb="FF95A5A6"/>
      </right>
      <top/>
      <bottom style="thin">
        <color rgb="FF95A5A6"/>
      </bottom>
      <diagonal/>
    </border>
    <border>
      <left style="thin">
        <color rgb="FF95A5A6"/>
      </left>
      <right style="thin">
        <color rgb="FF95A5A6"/>
      </right>
      <top/>
      <bottom style="thin">
        <color rgb="FF95A5A6"/>
      </bottom>
      <diagonal/>
    </border>
    <border>
      <left style="thin">
        <color rgb="FF95A5A6"/>
      </left>
      <right style="thin">
        <color rgb="FF2C3E50"/>
      </right>
      <top/>
      <bottom style="thin">
        <color rgb="FF95A5A6"/>
      </bottom>
      <diagonal/>
    </border>
    <border>
      <left style="thin">
        <color rgb="FF2C3E50"/>
      </left>
      <right style="thin">
        <color rgb="FF95A5A6"/>
      </right>
      <top/>
      <bottom style="thin">
        <color rgb="FF95A5A6"/>
      </bottom>
      <diagonal/>
    </border>
    <border>
      <left style="thin">
        <color rgb="FF95A5A6"/>
      </left>
      <right style="thin">
        <color rgb="FF95A5A6"/>
      </right>
      <top/>
      <bottom style="medium">
        <color rgb="FF95A5A6"/>
      </bottom>
      <diagonal/>
    </border>
    <border>
      <left style="thin">
        <color rgb="FF95A5A6"/>
      </left>
      <right style="thin">
        <color rgb="FF2C3E50"/>
      </right>
      <top/>
      <bottom style="medium">
        <color rgb="FF95A5A6"/>
      </bottom>
      <diagonal/>
    </border>
    <border>
      <left style="thick">
        <color rgb="FF2C3E50"/>
      </left>
      <right style="thin">
        <color rgb="FF95A5A6"/>
      </right>
      <top/>
      <bottom style="thin">
        <color rgb="FF95A5A6"/>
      </bottom>
      <diagonal/>
    </border>
    <border>
      <left style="thin">
        <color rgb="FF95A5A6"/>
      </left>
      <right/>
      <top style="thin">
        <color rgb="FF95A5A6"/>
      </top>
      <bottom/>
      <diagonal/>
    </border>
    <border>
      <left style="thin">
        <color rgb="FF95A5A6"/>
      </left>
      <right style="thin">
        <color rgb="FF95A5A6"/>
      </right>
      <top style="thin">
        <color rgb="FF95A5A6"/>
      </top>
      <bottom/>
      <diagonal/>
    </border>
    <border>
      <left/>
      <right style="thin">
        <color rgb="FF95A5A6"/>
      </right>
      <top/>
      <bottom/>
      <diagonal/>
    </border>
    <border>
      <left style="medium">
        <color rgb="FF1F3864"/>
      </left>
      <right/>
      <top/>
      <bottom/>
      <diagonal/>
    </border>
    <border>
      <left/>
      <right style="medium">
        <color rgb="FF1F3864"/>
      </right>
      <top/>
      <bottom/>
      <diagonal/>
    </border>
    <border>
      <left/>
      <right style="thin">
        <color rgb="FF95A5A6"/>
      </right>
      <top/>
      <bottom style="thin">
        <color rgb="FF95A5A6"/>
      </bottom>
      <diagonal/>
    </border>
    <border>
      <left/>
      <right style="thin">
        <color rgb="FF95A5A6"/>
      </right>
      <top style="thin">
        <color rgb="FF95A5A6"/>
      </top>
      <bottom style="thin">
        <color rgb="FF95A5A6"/>
      </bottom>
      <diagonal/>
    </border>
    <border>
      <left/>
      <right style="thin">
        <color rgb="FF95A5A6"/>
      </right>
      <top style="thin">
        <color rgb="FF95A5A6"/>
      </top>
      <bottom style="thin">
        <color rgb="FF2C3E50"/>
      </bottom>
      <diagonal/>
    </border>
    <border>
      <left/>
      <right style="thin">
        <color rgb="FF2C3E50"/>
      </right>
      <top style="thin">
        <color rgb="FF2C3E50"/>
      </top>
      <bottom style="thin">
        <color rgb="FF95A5A6"/>
      </bottom>
      <diagonal/>
    </border>
    <border>
      <left/>
      <right style="thin">
        <color rgb="FF2C3E50"/>
      </right>
      <top style="thin">
        <color rgb="FF95A5A6"/>
      </top>
      <bottom style="thin">
        <color rgb="FF95A5A6"/>
      </bottom>
      <diagonal/>
    </border>
    <border>
      <left/>
      <right style="thin">
        <color rgb="FF2C3E50"/>
      </right>
      <top style="thin">
        <color rgb="FF95A5A6"/>
      </top>
      <bottom style="thin">
        <color rgb="FF2C3E50"/>
      </bottom>
      <diagonal/>
    </border>
    <border>
      <left style="medium">
        <color rgb="FF1F3864"/>
      </left>
      <right style="thin">
        <color rgb="FFD5DBDB"/>
      </right>
      <top style="thick">
        <color rgb="FF1F3864"/>
      </top>
      <bottom style="thin">
        <color rgb="FFD5DBDB"/>
      </bottom>
      <diagonal/>
    </border>
    <border>
      <left style="thin">
        <color rgb="FFD5DBDB"/>
      </left>
      <right style="thin">
        <color rgb="FFD5DBDB"/>
      </right>
      <top style="thick">
        <color rgb="FF1F3864"/>
      </top>
      <bottom style="thin">
        <color rgb="FFD5DBDB"/>
      </bottom>
      <diagonal/>
    </border>
    <border>
      <left style="thin">
        <color rgb="FFD5DBDB"/>
      </left>
      <right style="thin">
        <color rgb="FF1F3864"/>
      </right>
      <top style="thick">
        <color rgb="FF1F3864"/>
      </top>
      <bottom style="thin">
        <color rgb="FFD5DBDB"/>
      </bottom>
      <diagonal/>
    </border>
    <border>
      <left style="medium">
        <color rgb="FF1F3864"/>
      </left>
      <right style="thin">
        <color rgb="FFD5DBDB"/>
      </right>
      <top style="thin">
        <color rgb="FFD5DBDB"/>
      </top>
      <bottom style="thin">
        <color rgb="FFD5DBDB"/>
      </bottom>
      <diagonal/>
    </border>
    <border>
      <left style="thin">
        <color rgb="FFD5DBDB"/>
      </left>
      <right style="thin">
        <color rgb="FFD5DBDB"/>
      </right>
      <top style="thin">
        <color rgb="FFD5DBDB"/>
      </top>
      <bottom style="thin">
        <color rgb="FFD5DBDB"/>
      </bottom>
      <diagonal/>
    </border>
    <border>
      <left style="thin">
        <color rgb="FFD5DBDB"/>
      </left>
      <right style="thin">
        <color rgb="FF1F3864"/>
      </right>
      <top style="thin">
        <color rgb="FFD5DBDB"/>
      </top>
      <bottom style="thin">
        <color rgb="FFD5DBDB"/>
      </bottom>
      <diagonal/>
    </border>
    <border>
      <left style="medium">
        <color rgb="FF1F3864"/>
      </left>
      <right style="thin">
        <color rgb="FFD5DBDB"/>
      </right>
      <top style="thin">
        <color rgb="FFD5DBDB"/>
      </top>
      <bottom style="thin">
        <color rgb="FF1F3864"/>
      </bottom>
      <diagonal/>
    </border>
    <border>
      <left style="thin">
        <color rgb="FFD5DBDB"/>
      </left>
      <right style="thin">
        <color rgb="FFD5DBDB"/>
      </right>
      <top style="thin">
        <color rgb="FFD5DBDB"/>
      </top>
      <bottom style="thin">
        <color rgb="FF1F3864"/>
      </bottom>
      <diagonal/>
    </border>
    <border>
      <left style="thin">
        <color rgb="FFD5DBDB"/>
      </left>
      <right style="thin">
        <color rgb="FF1F3864"/>
      </right>
      <top style="thin">
        <color rgb="FFD5DBDB"/>
      </top>
      <bottom style="thin">
        <color rgb="FF1F3864"/>
      </bottom>
      <diagonal/>
    </border>
    <border>
      <left style="thin">
        <color rgb="FF1F3864"/>
      </left>
      <right style="thin">
        <color rgb="FFD5DBDB"/>
      </right>
      <top style="thick">
        <color rgb="FF1F3864"/>
      </top>
      <bottom style="thin">
        <color rgb="FFD5DBDB"/>
      </bottom>
      <diagonal/>
    </border>
    <border>
      <left style="thin">
        <color rgb="FF1F3864"/>
      </left>
      <right style="thin">
        <color rgb="FFD5DBDB"/>
      </right>
      <top style="thin">
        <color rgb="FFD5DBDB"/>
      </top>
      <bottom style="thin">
        <color rgb="FFD5DBDB"/>
      </bottom>
      <diagonal/>
    </border>
    <border>
      <left style="thin">
        <color rgb="FF1F3864"/>
      </left>
      <right style="thin">
        <color rgb="FFD5DBDB"/>
      </right>
      <top style="thin">
        <color rgb="FFD5DBDB"/>
      </top>
      <bottom style="thin">
        <color rgb="FF1F3864"/>
      </bottom>
      <diagonal/>
    </border>
    <border>
      <left style="thin">
        <color rgb="FF1F3864"/>
      </left>
      <right style="thin">
        <color rgb="FFD5DBDB"/>
      </right>
      <top style="thin">
        <color rgb="FF1F3864"/>
      </top>
      <bottom style="thin">
        <color rgb="FFD5DBDB"/>
      </bottom>
      <diagonal/>
    </border>
    <border>
      <left style="thin">
        <color rgb="FFD5DBDB"/>
      </left>
      <right style="thin">
        <color rgb="FFD5DBDB"/>
      </right>
      <top style="thin">
        <color rgb="FF1F3864"/>
      </top>
      <bottom style="thin">
        <color rgb="FFD5DBDB"/>
      </bottom>
      <diagonal/>
    </border>
    <border>
      <left style="thin">
        <color rgb="FFD5DBDB"/>
      </left>
      <right style="thin">
        <color rgb="FF1F3864"/>
      </right>
      <top style="thin">
        <color rgb="FF1F3864"/>
      </top>
      <bottom style="thin">
        <color rgb="FFD5DBDB"/>
      </bottom>
      <diagonal/>
    </border>
    <border>
      <left style="thin">
        <color rgb="FFD5DBDB"/>
      </left>
      <right style="thin">
        <color rgb="FFD5DBDB"/>
      </right>
      <top style="medium">
        <color rgb="FFD5DBDB"/>
      </top>
      <bottom style="medium">
        <color rgb="FFD5DBDB"/>
      </bottom>
      <diagonal/>
    </border>
    <border>
      <left/>
      <right/>
      <top style="thin">
        <color rgb="FF95A5A6"/>
      </top>
      <bottom style="thin">
        <color rgb="FF95A5A6"/>
      </bottom>
      <diagonal/>
    </border>
    <border>
      <left/>
      <right/>
      <top style="thin">
        <color rgb="FF95A5A6"/>
      </top>
      <bottom/>
      <diagonal/>
    </border>
    <border>
      <left/>
      <right style="thin">
        <color rgb="FF2C3E50"/>
      </right>
      <top style="thin">
        <color rgb="FF95A5A6"/>
      </top>
      <bottom/>
      <diagonal/>
    </border>
    <border>
      <left/>
      <right/>
      <top/>
      <bottom style="thin">
        <color rgb="FF95A5A6"/>
      </bottom>
      <diagonal/>
    </border>
    <border>
      <left/>
      <right style="thin">
        <color rgb="FF2C3E50"/>
      </right>
      <top/>
      <bottom style="thin">
        <color rgb="FF95A5A6"/>
      </bottom>
      <diagonal/>
    </border>
    <border>
      <left/>
      <right/>
      <top style="thin">
        <color rgb="FF95A5A6"/>
      </top>
      <bottom style="thin">
        <color rgb="FF2C3E50"/>
      </bottom>
      <diagonal/>
    </border>
    <border>
      <left/>
      <right/>
      <top style="thick">
        <color rgb="FFD6EAF8"/>
      </top>
      <bottom style="thin">
        <color rgb="FF95A5A6"/>
      </bottom>
      <diagonal/>
    </border>
    <border>
      <left/>
      <right style="thin">
        <color rgb="FF2C3E50"/>
      </right>
      <top style="thick">
        <color rgb="FFD6EAF8"/>
      </top>
      <bottom style="thin">
        <color rgb="FF95A5A6"/>
      </bottom>
      <diagonal/>
    </border>
    <border>
      <left/>
      <right style="thin">
        <color rgb="FF2C3E50"/>
      </right>
      <top/>
      <bottom/>
      <diagonal/>
    </border>
    <border>
      <left/>
      <right/>
      <top style="thick">
        <color rgb="FFE8DAEF"/>
      </top>
      <bottom style="thin">
        <color rgb="FF95A5A6"/>
      </bottom>
      <diagonal/>
    </border>
    <border>
      <left/>
      <right style="thin">
        <color rgb="FF2C3E50"/>
      </right>
      <top style="thick">
        <color rgb="FFE8DAEF"/>
      </top>
      <bottom style="thin">
        <color rgb="FF95A5A6"/>
      </bottom>
      <diagonal/>
    </border>
    <border>
      <left style="thin">
        <color rgb="FF1F3864"/>
      </left>
      <right/>
      <top/>
      <bottom/>
      <diagonal/>
    </border>
    <border>
      <left/>
      <right/>
      <top style="medium">
        <color rgb="FF95A5A6"/>
      </top>
      <bottom style="medium">
        <color rgb="FF95A5A6"/>
      </bottom>
      <diagonal/>
    </border>
    <border>
      <left/>
      <right style="thin">
        <color rgb="FF2C3E50"/>
      </right>
      <top style="medium">
        <color rgb="FF95A5A6"/>
      </top>
      <bottom style="medium">
        <color rgb="FF95A5A6"/>
      </bottom>
      <diagonal/>
    </border>
    <border>
      <left/>
      <right/>
      <top style="thick">
        <color rgb="FFEBEDEF"/>
      </top>
      <bottom style="thin">
        <color rgb="FF95A5A6"/>
      </bottom>
      <diagonal/>
    </border>
    <border>
      <left/>
      <right style="thin">
        <color rgb="FF2C3E50"/>
      </right>
      <top style="thick">
        <color rgb="FFEBEDEF"/>
      </top>
      <bottom style="thin">
        <color rgb="FF95A5A6"/>
      </bottom>
      <diagonal/>
    </border>
    <border>
      <left/>
      <right/>
      <top style="thick">
        <color rgb="FFFAE5D3"/>
      </top>
      <bottom style="thin">
        <color rgb="FF95A5A6"/>
      </bottom>
      <diagonal/>
    </border>
    <border>
      <left/>
      <right style="thin">
        <color rgb="FF2C3E50"/>
      </right>
      <top style="thick">
        <color rgb="FFFAE5D3"/>
      </top>
      <bottom style="thin">
        <color rgb="FF95A5A6"/>
      </bottom>
      <diagonal/>
    </border>
    <border>
      <left style="medium">
        <color rgb="FF2C3E50"/>
      </left>
      <right/>
      <top/>
      <bottom/>
      <diagonal/>
    </border>
    <border>
      <left style="thin">
        <color rgb="FF2C3E50"/>
      </left>
      <right/>
      <top/>
      <bottom style="thin">
        <color rgb="FF95A5A6"/>
      </bottom>
      <diagonal/>
    </border>
    <border>
      <left style="thin">
        <color rgb="FF95A5A6"/>
      </left>
      <right style="thin">
        <color rgb="FF95A5A6"/>
      </right>
      <top style="thin">
        <color rgb="FF95A5A6"/>
      </top>
      <bottom style="thin">
        <color rgb="FF1F3864"/>
      </bottom>
      <diagonal/>
    </border>
    <border>
      <left style="thin">
        <color rgb="FF1F3864"/>
      </left>
      <right style="thin">
        <color rgb="FF95A5A6"/>
      </right>
      <top style="thin">
        <color rgb="FF95A5A6"/>
      </top>
      <bottom style="thin">
        <color rgb="FF95A5A6"/>
      </bottom>
      <diagonal/>
    </border>
    <border>
      <left style="thin">
        <color rgb="FF95A5A6"/>
      </left>
      <right style="thin">
        <color rgb="FF1F3864"/>
      </right>
      <top style="thin">
        <color rgb="FF95A5A6"/>
      </top>
      <bottom style="thin">
        <color rgb="FF95A5A6"/>
      </bottom>
      <diagonal/>
    </border>
    <border>
      <left style="medium">
        <color rgb="FF1F3864"/>
      </left>
      <right/>
      <top style="medium">
        <color rgb="FF1F3864"/>
      </top>
      <bottom/>
      <diagonal/>
    </border>
    <border>
      <left/>
      <right/>
      <top style="medium">
        <color rgb="FF1F3864"/>
      </top>
      <bottom/>
      <diagonal/>
    </border>
    <border>
      <left/>
      <right style="medium">
        <color rgb="FF1F3864"/>
      </right>
      <top style="medium">
        <color rgb="FF1F3864"/>
      </top>
      <bottom/>
      <diagonal/>
    </border>
    <border>
      <left style="medium">
        <color rgb="FF1F3864"/>
      </left>
      <right style="thin">
        <color rgb="FFBDC3C7"/>
      </right>
      <top style="thin">
        <color rgb="FF95A5A6"/>
      </top>
      <bottom style="thin">
        <color rgb="FFBDC3C7"/>
      </bottom>
      <diagonal/>
    </border>
    <border>
      <left style="thin">
        <color rgb="FFBDC3C7"/>
      </left>
      <right style="thin">
        <color rgb="FFBDC3C7"/>
      </right>
      <top style="thin">
        <color rgb="FF95A5A6"/>
      </top>
      <bottom style="thin">
        <color rgb="FFBDC3C7"/>
      </bottom>
      <diagonal/>
    </border>
    <border>
      <left style="thin">
        <color rgb="FFBDC3C7"/>
      </left>
      <right style="medium">
        <color rgb="FF1F3864"/>
      </right>
      <top style="thin">
        <color rgb="FF95A5A6"/>
      </top>
      <bottom style="thin">
        <color rgb="FFBDC3C7"/>
      </bottom>
      <diagonal/>
    </border>
    <border>
      <left style="medium">
        <color rgb="FF1F3864"/>
      </left>
      <right style="thin">
        <color rgb="FFBDC3C7"/>
      </right>
      <top style="thin">
        <color rgb="FFBDC3C7"/>
      </top>
      <bottom style="thin">
        <color rgb="FFBDC3C7"/>
      </bottom>
      <diagonal/>
    </border>
    <border>
      <left style="thin">
        <color rgb="FFBDC3C7"/>
      </left>
      <right style="thin">
        <color rgb="FFBDC3C7"/>
      </right>
      <top style="thin">
        <color rgb="FFBDC3C7"/>
      </top>
      <bottom style="thin">
        <color rgb="FFBDC3C7"/>
      </bottom>
      <diagonal/>
    </border>
    <border>
      <left style="thin">
        <color rgb="FFBDC3C7"/>
      </left>
      <right style="medium">
        <color rgb="FF1F3864"/>
      </right>
      <top style="thin">
        <color rgb="FFBDC3C7"/>
      </top>
      <bottom style="thin">
        <color rgb="FFBDC3C7"/>
      </bottom>
      <diagonal/>
    </border>
    <border>
      <left style="medium">
        <color rgb="FF1F3864"/>
      </left>
      <right style="thin">
        <color rgb="FFBDC3C7"/>
      </right>
      <top style="thin">
        <color rgb="FFBDC3C7"/>
      </top>
      <bottom style="medium">
        <color rgb="FF1F3864"/>
      </bottom>
      <diagonal/>
    </border>
    <border>
      <left style="thin">
        <color rgb="FFBDC3C7"/>
      </left>
      <right style="thin">
        <color rgb="FFBDC3C7"/>
      </right>
      <top style="thin">
        <color rgb="FFBDC3C7"/>
      </top>
      <bottom style="medium">
        <color rgb="FF1F3864"/>
      </bottom>
      <diagonal/>
    </border>
    <border>
      <left style="thin">
        <color rgb="FFBDC3C7"/>
      </left>
      <right style="medium">
        <color rgb="FF1F3864"/>
      </right>
      <top style="thin">
        <color rgb="FFBDC3C7"/>
      </top>
      <bottom style="medium">
        <color rgb="FF1F3864"/>
      </bottom>
      <diagonal/>
    </border>
    <border>
      <left style="medium">
        <color rgb="FF1F3864"/>
      </left>
      <right style="thin">
        <color rgb="FFBDC3C7"/>
      </right>
      <top style="thin">
        <color rgb="FFBDC3C7"/>
      </top>
      <bottom/>
      <diagonal/>
    </border>
    <border>
      <left style="thin">
        <color rgb="FFBDC3C7"/>
      </left>
      <right style="thin">
        <color rgb="FFBDC3C7"/>
      </right>
      <top style="thin">
        <color rgb="FFBDC3C7"/>
      </top>
      <bottom/>
      <diagonal/>
    </border>
    <border>
      <left style="thin">
        <color rgb="FFBDC3C7"/>
      </left>
      <right style="medium">
        <color rgb="FF1F3864"/>
      </right>
      <top style="thin">
        <color rgb="FFBDC3C7"/>
      </top>
      <bottom/>
      <diagonal/>
    </border>
    <border>
      <left style="thin">
        <color rgb="FF95A5A6"/>
      </left>
      <right style="thin">
        <color rgb="FF95A5A6"/>
      </right>
      <top style="thin">
        <color rgb="FFD5DBDB"/>
      </top>
      <bottom style="thin">
        <color rgb="FFD5DBDB"/>
      </bottom>
      <diagonal/>
    </border>
    <border>
      <left style="medium">
        <color rgb="FF1F3864"/>
      </left>
      <right style="thin">
        <color rgb="FFD5DBDB"/>
      </right>
      <top style="thin">
        <color rgb="FF95A5A6"/>
      </top>
      <bottom style="thin">
        <color rgb="FFD5DBDB"/>
      </bottom>
      <diagonal/>
    </border>
    <border>
      <left style="thin">
        <color rgb="FFD5DBDB"/>
      </left>
      <right style="thin">
        <color rgb="FFD5DBDB"/>
      </right>
      <top style="thin">
        <color rgb="FF95A5A6"/>
      </top>
      <bottom style="thin">
        <color rgb="FFD5DBDB"/>
      </bottom>
      <diagonal/>
    </border>
    <border>
      <left style="thin">
        <color rgb="FFD5DBDB"/>
      </left>
      <right style="medium">
        <color rgb="FF1F3864"/>
      </right>
      <top style="thin">
        <color rgb="FF95A5A6"/>
      </top>
      <bottom style="thin">
        <color rgb="FFD5DBDB"/>
      </bottom>
      <diagonal/>
    </border>
    <border>
      <left style="thin">
        <color rgb="FFD5DBDB"/>
      </left>
      <right style="medium">
        <color rgb="FF1F3864"/>
      </right>
      <top style="thin">
        <color rgb="FFD5DBDB"/>
      </top>
      <bottom style="thin">
        <color rgb="FFD5DBDB"/>
      </bottom>
      <diagonal/>
    </border>
    <border>
      <left style="medium">
        <color rgb="FF1F3864"/>
      </left>
      <right style="thin">
        <color rgb="FFD5DBDB"/>
      </right>
      <top style="thin">
        <color rgb="FFD5DBDB"/>
      </top>
      <bottom style="medium">
        <color rgb="FF1F3864"/>
      </bottom>
      <diagonal/>
    </border>
    <border>
      <left style="thin">
        <color rgb="FFD5DBDB"/>
      </left>
      <right style="thin">
        <color rgb="FFD5DBDB"/>
      </right>
      <top style="thin">
        <color rgb="FFD5DBDB"/>
      </top>
      <bottom style="medium">
        <color rgb="FF1F3864"/>
      </bottom>
      <diagonal/>
    </border>
    <border>
      <left style="thin">
        <color rgb="FFD5DBDB"/>
      </left>
      <right style="medium">
        <color rgb="FF1F3864"/>
      </right>
      <top style="thin">
        <color rgb="FFD5DBDB"/>
      </top>
      <bottom style="medium">
        <color rgb="FF1F3864"/>
      </bottom>
      <diagonal/>
    </border>
    <border>
      <left style="medium">
        <color rgb="FF1F3864"/>
      </left>
      <right style="thin">
        <color rgb="FFD5DBDB"/>
      </right>
      <top style="thin">
        <color rgb="FFD5DBDB"/>
      </top>
      <bottom/>
      <diagonal/>
    </border>
    <border>
      <left style="thin">
        <color rgb="FFD5DBDB"/>
      </left>
      <right style="thin">
        <color rgb="FFD5DBDB"/>
      </right>
      <top style="thin">
        <color rgb="FFD5DBDB"/>
      </top>
      <bottom/>
      <diagonal/>
    </border>
    <border>
      <left style="medium">
        <color rgb="FF2471A3"/>
      </left>
      <right/>
      <top style="medium">
        <color rgb="FF2471A3"/>
      </top>
      <bottom/>
      <diagonal/>
    </border>
    <border>
      <left/>
      <right/>
      <top style="medium">
        <color rgb="FF2471A3"/>
      </top>
      <bottom/>
      <diagonal/>
    </border>
    <border>
      <left/>
      <right style="medium">
        <color rgb="FF2471A3"/>
      </right>
      <top style="medium">
        <color rgb="FF2471A3"/>
      </top>
      <bottom/>
      <diagonal/>
    </border>
    <border>
      <left style="medium">
        <color rgb="FF2471A3"/>
      </left>
      <right style="thin">
        <color rgb="FFD5DBDB"/>
      </right>
      <top style="thin">
        <color rgb="FF95A5A6"/>
      </top>
      <bottom style="thin">
        <color rgb="FFD5DBDB"/>
      </bottom>
      <diagonal/>
    </border>
    <border>
      <left style="thin">
        <color rgb="FFD5DBDB"/>
      </left>
      <right style="medium">
        <color rgb="FF2471A3"/>
      </right>
      <top style="thin">
        <color rgb="FF95A5A6"/>
      </top>
      <bottom style="thin">
        <color rgb="FFD5DBDB"/>
      </bottom>
      <diagonal/>
    </border>
    <border>
      <left style="medium">
        <color rgb="FF2471A3"/>
      </left>
      <right style="thin">
        <color rgb="FFD5DBDB"/>
      </right>
      <top style="thin">
        <color rgb="FFD5DBDB"/>
      </top>
      <bottom style="thin">
        <color rgb="FFD5DBDB"/>
      </bottom>
      <diagonal/>
    </border>
    <border>
      <left style="thin">
        <color rgb="FFD5DBDB"/>
      </left>
      <right style="medium">
        <color rgb="FF2471A3"/>
      </right>
      <top style="thin">
        <color rgb="FFD5DBDB"/>
      </top>
      <bottom style="thin">
        <color rgb="FFD5DBDB"/>
      </bottom>
      <diagonal/>
    </border>
    <border>
      <left style="medium">
        <color rgb="FF2471A3"/>
      </left>
      <right style="thin">
        <color rgb="FFD5DBDB"/>
      </right>
      <top style="thin">
        <color rgb="FFD5DBDB"/>
      </top>
      <bottom style="medium">
        <color rgb="FF2471A3"/>
      </bottom>
      <diagonal/>
    </border>
    <border>
      <left style="thin">
        <color rgb="FFD5DBDB"/>
      </left>
      <right style="thin">
        <color rgb="FFD5DBDB"/>
      </right>
      <top style="thin">
        <color rgb="FFD5DBDB"/>
      </top>
      <bottom style="medium">
        <color rgb="FF2471A3"/>
      </bottom>
      <diagonal/>
    </border>
    <border>
      <left style="thin">
        <color rgb="FFD5DBDB"/>
      </left>
      <right style="medium">
        <color rgb="FF2471A3"/>
      </right>
      <top style="thin">
        <color rgb="FFD5DBDB"/>
      </top>
      <bottom style="medium">
        <color rgb="FF2471A3"/>
      </bottom>
      <diagonal/>
    </border>
    <border>
      <left style="medium">
        <color rgb="FF2471A3"/>
      </left>
      <right style="thin">
        <color rgb="FFD5DBDB"/>
      </right>
      <top style="thin">
        <color rgb="FFD5DBDB"/>
      </top>
      <bottom/>
      <diagonal/>
    </border>
    <border>
      <left style="medium">
        <color rgb="FF1F4E78"/>
      </left>
      <right/>
      <top style="medium">
        <color rgb="FF1F4E78"/>
      </top>
      <bottom/>
      <diagonal/>
    </border>
    <border>
      <left/>
      <right/>
      <top style="medium">
        <color rgb="FF1F4E78"/>
      </top>
      <bottom/>
      <diagonal/>
    </border>
    <border>
      <left/>
      <right style="medium">
        <color rgb="FF1F4E78"/>
      </right>
      <top style="medium">
        <color rgb="FF1F4E78"/>
      </top>
      <bottom/>
      <diagonal/>
    </border>
    <border>
      <left style="medium">
        <color rgb="FF1F4E78"/>
      </left>
      <right style="thin">
        <color rgb="FFD5DBDB"/>
      </right>
      <top style="thin">
        <color rgb="FF95A5A6"/>
      </top>
      <bottom style="thin">
        <color rgb="FFD5DBDB"/>
      </bottom>
      <diagonal/>
    </border>
    <border>
      <left style="thin">
        <color rgb="FFD5DBDB"/>
      </left>
      <right style="medium">
        <color rgb="FF1F4E78"/>
      </right>
      <top style="thin">
        <color rgb="FF95A5A6"/>
      </top>
      <bottom style="thin">
        <color rgb="FFD5DBDB"/>
      </bottom>
      <diagonal/>
    </border>
    <border>
      <left style="medium">
        <color rgb="FF1F4E78"/>
      </left>
      <right style="thin">
        <color rgb="FFD5DBDB"/>
      </right>
      <top style="thin">
        <color rgb="FFD5DBDB"/>
      </top>
      <bottom style="thin">
        <color rgb="FFD5DBDB"/>
      </bottom>
      <diagonal/>
    </border>
    <border>
      <left style="thin">
        <color rgb="FFD5DBDB"/>
      </left>
      <right style="medium">
        <color rgb="FF1F4E78"/>
      </right>
      <top style="thin">
        <color rgb="FFD5DBDB"/>
      </top>
      <bottom style="thin">
        <color rgb="FFD5DBDB"/>
      </bottom>
      <diagonal/>
    </border>
    <border>
      <left style="medium">
        <color rgb="FF1F4E78"/>
      </left>
      <right style="thin">
        <color rgb="FFD5DBDB"/>
      </right>
      <top style="thin">
        <color rgb="FFD5DBDB"/>
      </top>
      <bottom style="medium">
        <color rgb="FF1F4E78"/>
      </bottom>
      <diagonal/>
    </border>
    <border>
      <left style="thin">
        <color rgb="FFD5DBDB"/>
      </left>
      <right style="thin">
        <color rgb="FFD5DBDB"/>
      </right>
      <top style="thin">
        <color rgb="FFD5DBDB"/>
      </top>
      <bottom style="medium">
        <color rgb="FF1F4E78"/>
      </bottom>
      <diagonal/>
    </border>
    <border>
      <left style="thin">
        <color rgb="FFD5DBDB"/>
      </left>
      <right style="medium">
        <color rgb="FF1F4E78"/>
      </right>
      <top style="thin">
        <color rgb="FFD5DBDB"/>
      </top>
      <bottom style="medium">
        <color rgb="FF1F4E78"/>
      </bottom>
      <diagonal/>
    </border>
    <border>
      <left style="thin">
        <color rgb="FFD5DBDB"/>
      </left>
      <right/>
      <top style="thin">
        <color rgb="FF95A5A6"/>
      </top>
      <bottom style="thin">
        <color rgb="FFD5DBDB"/>
      </bottom>
      <diagonal/>
    </border>
    <border>
      <left style="thin">
        <color rgb="FFD5DBDB"/>
      </left>
      <right/>
      <top style="thin">
        <color rgb="FFD5DBDB"/>
      </top>
      <bottom style="thin">
        <color rgb="FFD5DBDB"/>
      </bottom>
      <diagonal/>
    </border>
    <border>
      <left/>
      <right style="thin">
        <color rgb="FFD5DBDB"/>
      </right>
      <top style="thin">
        <color rgb="FF95A5A6"/>
      </top>
      <bottom style="thin">
        <color rgb="FFD5DBDB"/>
      </bottom>
      <diagonal/>
    </border>
    <border>
      <left/>
      <right style="thin">
        <color rgb="FFD5DBDB"/>
      </right>
      <top style="thin">
        <color rgb="FFD5DBDB"/>
      </top>
      <bottom style="thin">
        <color rgb="FFD5DBDB"/>
      </bottom>
      <diagonal/>
    </border>
    <border>
      <left style="thin">
        <color rgb="FFD5DBDB"/>
      </left>
      <right style="thin">
        <color rgb="FFD5DBDB"/>
      </right>
      <top/>
      <bottom style="medium">
        <color rgb="FF1F3864"/>
      </bottom>
      <diagonal/>
    </border>
    <border>
      <left style="medium">
        <color rgb="FF7D3C98"/>
      </left>
      <right style="medium">
        <color rgb="FF7D3C98"/>
      </right>
      <top style="thin">
        <color rgb="FF95A5A6"/>
      </top>
      <bottom style="thin">
        <color rgb="FFD5DBDB"/>
      </bottom>
      <diagonal/>
    </border>
    <border>
      <left style="medium">
        <color rgb="FF7D3C98"/>
      </left>
      <right style="medium">
        <color rgb="FF7D3C98"/>
      </right>
      <top style="thin">
        <color rgb="FFD5DBDB"/>
      </top>
      <bottom style="thin">
        <color rgb="FFD5DBDB"/>
      </bottom>
      <diagonal/>
    </border>
    <border>
      <left style="medium">
        <color rgb="FF1F3864"/>
      </left>
      <right/>
      <top style="thin">
        <color rgb="FF95A5A6"/>
      </top>
      <bottom style="thin">
        <color rgb="FF95A5A6"/>
      </bottom>
      <diagonal/>
    </border>
    <border>
      <left style="thin">
        <color rgb="FF2C3E50"/>
      </left>
      <right style="thin">
        <color rgb="FF95A5A6"/>
      </right>
      <top/>
      <bottom/>
      <diagonal/>
    </border>
    <border>
      <left style="thin">
        <color rgb="FF95A5A6"/>
      </left>
      <right style="thin">
        <color rgb="FF95A5A6"/>
      </right>
      <top/>
      <bottom/>
      <diagonal/>
    </border>
    <border>
      <left style="thin">
        <color rgb="FFD5DBDB"/>
      </left>
      <right style="medium">
        <color rgb="FF2471A3"/>
      </right>
      <top style="thin">
        <color rgb="FFD5DBDB"/>
      </top>
      <bottom/>
      <diagonal/>
    </border>
    <border>
      <left/>
      <right style="thin">
        <color rgb="FF95A5A6"/>
      </right>
      <top style="thin">
        <color rgb="FF95A5A6"/>
      </top>
      <bottom/>
      <diagonal/>
    </border>
    <border>
      <left style="thin">
        <color rgb="FFD5DBDB"/>
      </left>
      <right/>
      <top style="thin">
        <color rgb="FFD5DBDB"/>
      </top>
      <bottom style="medium">
        <color rgb="FF1F3864"/>
      </bottom>
      <diagonal/>
    </border>
    <border>
      <left/>
      <right/>
      <top style="medium">
        <color rgb="FF7B241C"/>
      </top>
      <bottom style="thin">
        <color rgb="FF95A5A6"/>
      </bottom>
      <diagonal/>
    </border>
    <border>
      <left style="thin">
        <color rgb="FF95A5A6"/>
      </left>
      <right style="thin">
        <color rgb="FF95A5A6"/>
      </right>
      <top style="thin">
        <color rgb="FF95A5A6"/>
      </top>
      <bottom style="medium">
        <color rgb="FF7B241C"/>
      </bottom>
      <diagonal/>
    </border>
    <border>
      <left style="medium">
        <color rgb="FF7B241C"/>
      </left>
      <right/>
      <top style="medium">
        <color rgb="FF7B241C"/>
      </top>
      <bottom style="thin">
        <color rgb="FF95A5A6"/>
      </bottom>
      <diagonal/>
    </border>
    <border>
      <left/>
      <right style="medium">
        <color rgb="FF7B241C"/>
      </right>
      <top style="medium">
        <color rgb="FF7B241C"/>
      </top>
      <bottom style="thin">
        <color rgb="FF95A5A6"/>
      </bottom>
      <diagonal/>
    </border>
    <border>
      <left style="thin">
        <color rgb="FF95A5A6"/>
      </left>
      <right style="medium">
        <color rgb="FF7B241C"/>
      </right>
      <top style="thin">
        <color rgb="FF95A5A6"/>
      </top>
      <bottom style="medium">
        <color rgb="FF7B241C"/>
      </bottom>
      <diagonal/>
    </border>
    <border>
      <left style="medium">
        <color rgb="FF7B241C"/>
      </left>
      <right/>
      <top style="medium">
        <color rgb="FF7B241C"/>
      </top>
      <bottom/>
      <diagonal/>
    </border>
    <border>
      <left/>
      <right/>
      <top style="medium">
        <color rgb="FF7B241C"/>
      </top>
      <bottom/>
      <diagonal/>
    </border>
    <border>
      <left/>
      <right style="medium">
        <color rgb="FF7B241C"/>
      </right>
      <top style="medium">
        <color rgb="FF7B241C"/>
      </top>
      <bottom/>
      <diagonal/>
    </border>
    <border>
      <left style="medium">
        <color rgb="FF7B241C"/>
      </left>
      <right style="thin">
        <color rgb="FFD5DBDB"/>
      </right>
      <top style="thin">
        <color rgb="FF95A5A6"/>
      </top>
      <bottom style="thin">
        <color rgb="FFD5DBDB"/>
      </bottom>
      <diagonal/>
    </border>
    <border>
      <left style="thin">
        <color rgb="FFD5DBDB"/>
      </left>
      <right style="medium">
        <color rgb="FF7B241C"/>
      </right>
      <top style="thin">
        <color rgb="FF95A5A6"/>
      </top>
      <bottom style="thin">
        <color rgb="FFD5DBDB"/>
      </bottom>
      <diagonal/>
    </border>
    <border>
      <left style="medium">
        <color rgb="FF7B241C"/>
      </left>
      <right style="thin">
        <color rgb="FFD5DBDB"/>
      </right>
      <top style="thin">
        <color rgb="FFD5DBDB"/>
      </top>
      <bottom style="thin">
        <color rgb="FFD5DBDB"/>
      </bottom>
      <diagonal/>
    </border>
    <border>
      <left style="thin">
        <color rgb="FFD5DBDB"/>
      </left>
      <right style="medium">
        <color rgb="FF7B241C"/>
      </right>
      <top style="thin">
        <color rgb="FFD5DBDB"/>
      </top>
      <bottom style="thin">
        <color rgb="FFD5DBDB"/>
      </bottom>
      <diagonal/>
    </border>
    <border>
      <left style="medium">
        <color rgb="FF7B241C"/>
      </left>
      <right style="thin">
        <color rgb="FFD5DBDB"/>
      </right>
      <top style="thin">
        <color rgb="FFD5DBDB"/>
      </top>
      <bottom style="medium">
        <color rgb="FF7B241C"/>
      </bottom>
      <diagonal/>
    </border>
    <border>
      <left style="thin">
        <color rgb="FFD5DBDB"/>
      </left>
      <right style="thin">
        <color rgb="FFD5DBDB"/>
      </right>
      <top style="thin">
        <color rgb="FFD5DBDB"/>
      </top>
      <bottom style="medium">
        <color rgb="FF7B241C"/>
      </bottom>
      <diagonal/>
    </border>
    <border>
      <left style="thin">
        <color rgb="FFD5DBDB"/>
      </left>
      <right style="medium">
        <color rgb="FF7B241C"/>
      </right>
      <top style="thin">
        <color rgb="FFD5DBDB"/>
      </top>
      <bottom style="medium">
        <color rgb="FF7B241C"/>
      </bottom>
      <diagonal/>
    </border>
    <border>
      <left style="thin">
        <color rgb="FF2C3E50"/>
      </left>
      <right style="thin">
        <color rgb="FF95A5A6"/>
      </right>
      <top style="thin">
        <color rgb="FF95A5A6"/>
      </top>
      <bottom/>
      <diagonal/>
    </border>
    <border>
      <left style="medium">
        <color rgb="FF7B241C"/>
      </left>
      <right style="thin">
        <color rgb="FF95A5A6"/>
      </right>
      <top style="thin">
        <color rgb="FF95A5A6"/>
      </top>
      <bottom/>
      <diagonal/>
    </border>
    <border>
      <left style="medium">
        <color rgb="FF2C3E50"/>
      </left>
      <right style="thin">
        <color rgb="FF95A5A6"/>
      </right>
      <top style="thin">
        <color rgb="FF95A5A6"/>
      </top>
      <bottom/>
      <diagonal/>
    </border>
    <border>
      <left style="medium">
        <color rgb="FF1B6A9C"/>
      </left>
      <right/>
      <top style="medium">
        <color rgb="FF1B6A9C"/>
      </top>
      <bottom/>
      <diagonal/>
    </border>
    <border>
      <left/>
      <right/>
      <top style="medium">
        <color rgb="FF1B6A9C"/>
      </top>
      <bottom/>
      <diagonal/>
    </border>
    <border>
      <left/>
      <right style="medium">
        <color rgb="FF1B6A9C"/>
      </right>
      <top style="medium">
        <color rgb="FF1B6A9C"/>
      </top>
      <bottom/>
      <diagonal/>
    </border>
    <border>
      <left/>
      <right/>
      <top style="thin">
        <color rgb="FFD5DBDB"/>
      </top>
      <bottom style="thin">
        <color rgb="FFD5DBDB"/>
      </bottom>
      <diagonal/>
    </border>
    <border>
      <left style="medium">
        <color rgb="FF1B6A9C"/>
      </left>
      <right style="thin">
        <color rgb="FFD5DBDB"/>
      </right>
      <top style="thin">
        <color rgb="FF95A5A6"/>
      </top>
      <bottom style="thin">
        <color rgb="FFD5DBDB"/>
      </bottom>
      <diagonal/>
    </border>
    <border>
      <left style="thin">
        <color rgb="FFD5DBDB"/>
      </left>
      <right style="medium">
        <color rgb="FF1B6A9C"/>
      </right>
      <top style="thin">
        <color rgb="FF95A5A6"/>
      </top>
      <bottom style="thin">
        <color rgb="FFD5DBDB"/>
      </bottom>
      <diagonal/>
    </border>
    <border>
      <left style="medium">
        <color rgb="FF1B6A9C"/>
      </left>
      <right style="thin">
        <color rgb="FFD5DBDB"/>
      </right>
      <top style="thin">
        <color rgb="FFD5DBDB"/>
      </top>
      <bottom style="thin">
        <color rgb="FFD5DBDB"/>
      </bottom>
      <diagonal/>
    </border>
    <border>
      <left style="thin">
        <color rgb="FFD5DBDB"/>
      </left>
      <right style="medium">
        <color rgb="FF1B6A9C"/>
      </right>
      <top style="thin">
        <color rgb="FFD5DBDB"/>
      </top>
      <bottom style="thin">
        <color rgb="FFD5DBDB"/>
      </bottom>
      <diagonal/>
    </border>
    <border>
      <left style="medium">
        <color rgb="FF1B6A9C"/>
      </left>
      <right style="thin">
        <color rgb="FFD5DBDB"/>
      </right>
      <top style="thin">
        <color rgb="FFD5DBDB"/>
      </top>
      <bottom style="medium">
        <color rgb="FF1B6A9C"/>
      </bottom>
      <diagonal/>
    </border>
    <border>
      <left style="thin">
        <color rgb="FFD5DBDB"/>
      </left>
      <right style="thin">
        <color rgb="FFD5DBDB"/>
      </right>
      <top style="thin">
        <color rgb="FFD5DBDB"/>
      </top>
      <bottom style="medium">
        <color rgb="FF1B6A9C"/>
      </bottom>
      <diagonal/>
    </border>
    <border>
      <left style="thin">
        <color rgb="FFD5DBDB"/>
      </left>
      <right style="medium">
        <color rgb="FF1B6A9C"/>
      </right>
      <top style="thin">
        <color rgb="FFD5DBDB"/>
      </top>
      <bottom style="medium">
        <color rgb="FF1B6A9C"/>
      </bottom>
      <diagonal/>
    </border>
    <border>
      <left/>
      <right style="thin">
        <color rgb="FFD5DBDB"/>
      </right>
      <top style="thin">
        <color rgb="FFD5DBDB"/>
      </top>
      <bottom style="medium">
        <color rgb="FF1B6A9C"/>
      </bottom>
      <diagonal/>
    </border>
    <border>
      <left style="medium">
        <color rgb="FF1B6A9C"/>
      </left>
      <right style="thin">
        <color rgb="FFD5DBDB"/>
      </right>
      <top style="thin">
        <color rgb="FFD5DBDB"/>
      </top>
      <bottom/>
      <diagonal/>
    </border>
    <border>
      <left style="thin">
        <color rgb="FFD5DBDB"/>
      </left>
      <right style="thin">
        <color rgb="FFD5DBDB"/>
      </right>
      <top style="medium">
        <color rgb="FF1F3864"/>
      </top>
      <bottom style="thin">
        <color rgb="FFD5DBDB"/>
      </bottom>
      <diagonal/>
    </border>
    <border>
      <left style="thin">
        <color rgb="FF95A5A6"/>
      </left>
      <right style="thin">
        <color rgb="FF95A5A6"/>
      </right>
      <top/>
      <bottom style="thin">
        <color rgb="FF1F3864"/>
      </bottom>
      <diagonal/>
    </border>
    <border>
      <left style="medium">
        <color rgb="FF1F3864"/>
      </left>
      <right style="thin">
        <color rgb="FFD5DBDB"/>
      </right>
      <top style="medium">
        <color rgb="FF1F3864"/>
      </top>
      <bottom style="thin">
        <color rgb="FFD5DBDB"/>
      </bottom>
      <diagonal/>
    </border>
    <border>
      <left style="thin">
        <color rgb="FFD5DBDB"/>
      </left>
      <right style="medium">
        <color rgb="FF1F3864"/>
      </right>
      <top style="medium">
        <color rgb="FF1F3864"/>
      </top>
      <bottom style="thin">
        <color rgb="FFD5DBDB"/>
      </bottom>
      <diagonal/>
    </border>
    <border>
      <left style="thin">
        <color rgb="FFD5DBDB"/>
      </left>
      <right style="medium">
        <color rgb="FF1F3864"/>
      </right>
      <top style="thin">
        <color rgb="FFD5DBDB"/>
      </top>
      <bottom/>
      <diagonal/>
    </border>
    <border>
      <left style="medium">
        <color rgb="FF7B241C"/>
      </left>
      <right style="thin">
        <color rgb="FF95A5A6"/>
      </right>
      <top style="medium">
        <color rgb="FF7B241C"/>
      </top>
      <bottom/>
      <diagonal/>
    </border>
    <border>
      <left style="thin">
        <color rgb="FF95A5A6"/>
      </left>
      <right style="thin">
        <color rgb="FF95A5A6"/>
      </right>
      <top style="medium">
        <color rgb="FF7B241C"/>
      </top>
      <bottom/>
      <diagonal/>
    </border>
    <border>
      <left style="thin">
        <color rgb="FF95A5A6"/>
      </left>
      <right style="medium">
        <color rgb="FF7B241C"/>
      </right>
      <top style="medium">
        <color rgb="FF7B241C"/>
      </top>
      <bottom/>
      <diagonal/>
    </border>
    <border>
      <left style="medium">
        <color rgb="FF7B241C"/>
      </left>
      <right style="thin">
        <color rgb="FFD5DBDB"/>
      </right>
      <top style="thin">
        <color rgb="FFD5DBDB"/>
      </top>
      <bottom/>
      <diagonal/>
    </border>
    <border>
      <left style="thin">
        <color rgb="FFD5DBDB"/>
      </left>
      <right style="medium">
        <color rgb="FF7B241C"/>
      </right>
      <top style="thin">
        <color rgb="FFD5DBDB"/>
      </top>
      <bottom/>
      <diagonal/>
    </border>
    <border>
      <left style="thin">
        <color rgb="FF95A5A6"/>
      </left>
      <right style="thin">
        <color rgb="FF95A5A6"/>
      </right>
      <top style="medium">
        <color rgb="FF922B21"/>
      </top>
      <bottom style="thin">
        <color rgb="FF95A5A6"/>
      </bottom>
      <diagonal/>
    </border>
    <border>
      <left style="thin">
        <color rgb="FF95A5A6"/>
      </left>
      <right style="thin">
        <color rgb="FF95A5A6"/>
      </right>
      <top style="thin">
        <color rgb="FF95A5A6"/>
      </top>
      <bottom style="medium">
        <color rgb="FF922B21"/>
      </bottom>
      <diagonal/>
    </border>
    <border>
      <left style="medium">
        <color rgb="FF922B21"/>
      </left>
      <right style="thin">
        <color rgb="FF95A5A6"/>
      </right>
      <top style="medium">
        <color rgb="FF922B21"/>
      </top>
      <bottom style="thin">
        <color rgb="FF95A5A6"/>
      </bottom>
      <diagonal/>
    </border>
    <border>
      <left style="medium">
        <color rgb="FF922B21"/>
      </left>
      <right style="thin">
        <color rgb="FF95A5A6"/>
      </right>
      <top style="thin">
        <color rgb="FF95A5A6"/>
      </top>
      <bottom style="thin">
        <color rgb="FF95A5A6"/>
      </bottom>
      <diagonal/>
    </border>
    <border>
      <left style="medium">
        <color rgb="FF922B21"/>
      </left>
      <right/>
      <top style="thin">
        <color rgb="FF95A5A6"/>
      </top>
      <bottom style="thin">
        <color rgb="FF95A5A6"/>
      </bottom>
      <diagonal/>
    </border>
    <border>
      <left style="medium">
        <color rgb="FF922B21"/>
      </left>
      <right style="thin">
        <color rgb="FF95A5A6"/>
      </right>
      <top style="thin">
        <color rgb="FF95A5A6"/>
      </top>
      <bottom style="medium">
        <color rgb="FF922B21"/>
      </bottom>
      <diagonal/>
    </border>
    <border>
      <left style="thin">
        <color rgb="FF95A5A6"/>
      </left>
      <right style="medium">
        <color rgb="FF922B21"/>
      </right>
      <top style="medium">
        <color rgb="FF922B21"/>
      </top>
      <bottom style="thin">
        <color rgb="FF95A5A6"/>
      </bottom>
      <diagonal/>
    </border>
    <border>
      <left style="thin">
        <color rgb="FF95A5A6"/>
      </left>
      <right style="medium">
        <color rgb="FF922B21"/>
      </right>
      <top style="thin">
        <color rgb="FF95A5A6"/>
      </top>
      <bottom style="thin">
        <color rgb="FF95A5A6"/>
      </bottom>
      <diagonal/>
    </border>
    <border>
      <left/>
      <right style="medium">
        <color rgb="FF922B21"/>
      </right>
      <top style="thin">
        <color rgb="FF95A5A6"/>
      </top>
      <bottom style="thin">
        <color rgb="FF95A5A6"/>
      </bottom>
      <diagonal/>
    </border>
    <border>
      <left style="thin">
        <color rgb="FF95A5A6"/>
      </left>
      <right style="medium">
        <color rgb="FF922B21"/>
      </right>
      <top style="thin">
        <color rgb="FF95A5A6"/>
      </top>
      <bottom style="medium">
        <color rgb="FF922B21"/>
      </bottom>
      <diagonal/>
    </border>
    <border>
      <left style="medium">
        <color rgb="FF2C3E50"/>
      </left>
      <right style="thin">
        <color rgb="FF95A5A6"/>
      </right>
      <top/>
      <bottom/>
      <diagonal/>
    </border>
    <border>
      <left style="medium">
        <color rgb="FF2C3E50"/>
      </left>
      <right/>
      <top/>
      <bottom style="thick">
        <color rgb="FF1A5276"/>
      </bottom>
      <diagonal/>
    </border>
    <border>
      <left style="thin">
        <color rgb="FF95A5A6"/>
      </left>
      <right/>
      <top/>
      <bottom style="thick">
        <color rgb="FF1A5276"/>
      </bottom>
      <diagonal/>
    </border>
    <border>
      <left style="thin">
        <color rgb="FF95A5A6"/>
      </left>
      <right style="thin">
        <color rgb="FF95A5A6"/>
      </right>
      <top/>
      <bottom style="thick">
        <color rgb="FF1A5276"/>
      </bottom>
      <diagonal/>
    </border>
    <border>
      <left style="medium">
        <color rgb="FF1B6A9C"/>
      </left>
      <right/>
      <top/>
      <bottom/>
      <diagonal/>
    </border>
    <border>
      <left/>
      <right style="medium">
        <color rgb="FF1B6A9C"/>
      </right>
      <top/>
      <bottom/>
      <diagonal/>
    </border>
    <border>
      <left style="medium">
        <color rgb="FF1B6A9C"/>
      </left>
      <right style="thin">
        <color rgb="FFD5DBDB"/>
      </right>
      <top style="thick">
        <color rgb="FFAED6F1"/>
      </top>
      <bottom style="thin">
        <color rgb="FFD5DBDB"/>
      </bottom>
      <diagonal/>
    </border>
    <border>
      <left style="thin">
        <color rgb="FFD5DBDB"/>
      </left>
      <right style="thin">
        <color rgb="FFD5DBDB"/>
      </right>
      <top style="thick">
        <color rgb="FFAED6F1"/>
      </top>
      <bottom style="thin">
        <color rgb="FFD5DBDB"/>
      </bottom>
      <diagonal/>
    </border>
    <border>
      <left style="thin">
        <color rgb="FFD5DBDB"/>
      </left>
      <right style="medium">
        <color rgb="FF1B6A9C"/>
      </right>
      <top style="thick">
        <color rgb="FFAED6F1"/>
      </top>
      <bottom style="thin">
        <color rgb="FFD5DBDB"/>
      </bottom>
      <diagonal/>
    </border>
    <border>
      <left style="thin">
        <color rgb="FF1F3864"/>
      </left>
      <right style="thin">
        <color rgb="FF95A5A6"/>
      </right>
      <top/>
      <bottom style="thin">
        <color rgb="FF95A5A6"/>
      </bottom>
      <diagonal/>
    </border>
    <border>
      <left style="thin">
        <color rgb="FF95A5A6"/>
      </left>
      <right style="thin">
        <color rgb="FF1F3864"/>
      </right>
      <top/>
      <bottom style="thin">
        <color rgb="FF95A5A6"/>
      </bottom>
      <diagonal/>
    </border>
    <border>
      <left style="thin">
        <color rgb="FF95A5A6"/>
      </left>
      <right style="thin">
        <color rgb="FF1F3864"/>
      </right>
      <top style="thin">
        <color rgb="FF95A5A6"/>
      </top>
      <bottom/>
      <diagonal/>
    </border>
    <border>
      <left style="medium">
        <color rgb="FF1F3864"/>
      </left>
      <right style="thin">
        <color rgb="FFBDC3C7"/>
      </right>
      <top style="thick">
        <color rgb="FFE8DAEF"/>
      </top>
      <bottom style="thin">
        <color rgb="FFBDC3C7"/>
      </bottom>
      <diagonal/>
    </border>
    <border>
      <left style="thin">
        <color rgb="FFBDC3C7"/>
      </left>
      <right style="thin">
        <color rgb="FFBDC3C7"/>
      </right>
      <top style="thick">
        <color rgb="FFE8DAEF"/>
      </top>
      <bottom style="thin">
        <color rgb="FFBDC3C7"/>
      </bottom>
      <diagonal/>
    </border>
    <border>
      <left style="thin">
        <color rgb="FFBDC3C7"/>
      </left>
      <right style="medium">
        <color rgb="FF1F3864"/>
      </right>
      <top style="thick">
        <color rgb="FFE8DAEF"/>
      </top>
      <bottom style="thin">
        <color rgb="FFBDC3C7"/>
      </bottom>
      <diagonal/>
    </border>
    <border>
      <left style="thin">
        <color rgb="FFD5DBDB"/>
      </left>
      <right style="thin">
        <color rgb="FFD5DBDB"/>
      </right>
      <top style="medium">
        <color rgb="FFD5DBDB"/>
      </top>
      <bottom style="medium">
        <color rgb="FF1F3864"/>
      </bottom>
      <diagonal/>
    </border>
    <border>
      <left style="medium">
        <color rgb="FF1F3864"/>
      </left>
      <right style="thin">
        <color rgb="FFD5DBDB"/>
      </right>
      <top style="medium">
        <color rgb="FF1F3864"/>
      </top>
      <bottom/>
      <diagonal/>
    </border>
    <border>
      <left style="thin">
        <color rgb="FFD5DBDB"/>
      </left>
      <right style="thin">
        <color rgb="FFD5DBDB"/>
      </right>
      <top style="medium">
        <color rgb="FF1F3864"/>
      </top>
      <bottom/>
      <diagonal/>
    </border>
    <border>
      <left style="thin">
        <color rgb="FFD5DBDB"/>
      </left>
      <right style="medium">
        <color rgb="FF1F3864"/>
      </right>
      <top style="medium">
        <color rgb="FF1F3864"/>
      </top>
      <bottom/>
      <diagonal/>
    </border>
    <border>
      <left style="medium">
        <color rgb="FF1F3864"/>
      </left>
      <right style="thin">
        <color rgb="FFD5DBDB"/>
      </right>
      <top style="medium">
        <color rgb="FFD5DBDB"/>
      </top>
      <bottom style="thin">
        <color rgb="FFD5DBDB"/>
      </bottom>
      <diagonal/>
    </border>
    <border>
      <left style="thin">
        <color rgb="FFD5DBDB"/>
      </left>
      <right style="thin">
        <color rgb="FFD5DBDB"/>
      </right>
      <top style="medium">
        <color rgb="FFD5DBDB"/>
      </top>
      <bottom style="thin">
        <color rgb="FFD5DBDB"/>
      </bottom>
      <diagonal/>
    </border>
    <border>
      <left style="thin">
        <color rgb="FFD5DBDB"/>
      </left>
      <right style="medium">
        <color rgb="FF1F3864"/>
      </right>
      <top style="medium">
        <color rgb="FFD5DBDB"/>
      </top>
      <bottom style="thin">
        <color rgb="FFD5DBDB"/>
      </bottom>
      <diagonal/>
    </border>
    <border>
      <left style="medium">
        <color rgb="FF2471A3"/>
      </left>
      <right style="thin">
        <color rgb="FFD5DBDB"/>
      </right>
      <top style="medium">
        <color rgb="FFD5DBDB"/>
      </top>
      <bottom/>
      <diagonal/>
    </border>
    <border>
      <left style="thin">
        <color rgb="FFD5DBDB"/>
      </left>
      <right style="thin">
        <color rgb="FFD5DBDB"/>
      </right>
      <top style="medium">
        <color rgb="FFD5DBDB"/>
      </top>
      <bottom/>
      <diagonal/>
    </border>
    <border>
      <left style="thin">
        <color rgb="FFD5DBDB"/>
      </left>
      <right style="medium">
        <color rgb="FF2471A3"/>
      </right>
      <top style="medium">
        <color rgb="FFD5DBDB"/>
      </top>
      <bottom/>
      <diagonal/>
    </border>
    <border>
      <left style="medium">
        <color rgb="FF7B241C"/>
      </left>
      <right style="thin">
        <color rgb="FFD5DBDB"/>
      </right>
      <top style="medium">
        <color rgb="FFD5DBDB"/>
      </top>
      <bottom style="thin">
        <color rgb="FFD5DBDB"/>
      </bottom>
      <diagonal/>
    </border>
    <border>
      <left style="thin">
        <color rgb="FFD5DBDB"/>
      </left>
      <right style="medium">
        <color rgb="FF7B241C"/>
      </right>
      <top style="medium">
        <color rgb="FFD5DBDB"/>
      </top>
      <bottom style="thin">
        <color rgb="FFD5DBDB"/>
      </bottom>
      <diagonal/>
    </border>
    <border>
      <left style="medium">
        <color rgb="FF1F3864"/>
      </left>
      <right/>
      <top style="medium">
        <color rgb="FF1F3864"/>
      </top>
      <bottom style="medium">
        <color rgb="FF1F3864"/>
      </bottom>
      <diagonal/>
    </border>
    <border>
      <left/>
      <right/>
      <top style="medium">
        <color rgb="FF1F3864"/>
      </top>
      <bottom style="medium">
        <color rgb="FF1F3864"/>
      </bottom>
      <diagonal/>
    </border>
    <border>
      <left/>
      <right style="medium">
        <color rgb="FF1F3864"/>
      </right>
      <top style="medium">
        <color rgb="FF1F3864"/>
      </top>
      <bottom style="medium">
        <color rgb="FF1F3864"/>
      </bottom>
      <diagonal/>
    </border>
    <border>
      <left style="medium">
        <color rgb="FF1F3864"/>
      </left>
      <right style="thin">
        <color rgb="FFD5DBDB"/>
      </right>
      <top/>
      <bottom style="thin">
        <color rgb="FFD5DBDB"/>
      </bottom>
      <diagonal/>
    </border>
    <border>
      <left style="thin">
        <color rgb="FFD5DBDB"/>
      </left>
      <right style="thin">
        <color rgb="FFD5DBDB"/>
      </right>
      <top/>
      <bottom style="thin">
        <color rgb="FFD5DBDB"/>
      </bottom>
      <diagonal/>
    </border>
    <border>
      <left style="thin">
        <color rgb="FFD5DBDB"/>
      </left>
      <right style="medium">
        <color rgb="FF1F3864"/>
      </right>
      <top/>
      <bottom style="thin">
        <color rgb="FFD5DBDB"/>
      </bottom>
      <diagonal/>
    </border>
    <border>
      <left style="medium">
        <color rgb="FF1F3864"/>
      </left>
      <right style="thin">
        <color rgb="FFD5DBDB"/>
      </right>
      <top/>
      <bottom/>
      <diagonal/>
    </border>
    <border>
      <left style="thin">
        <color rgb="FFD5DBDB"/>
      </left>
      <right style="thin">
        <color rgb="FFD5DBDB"/>
      </right>
      <top/>
      <bottom/>
      <diagonal/>
    </border>
    <border>
      <left style="thin">
        <color rgb="FFD5DBDB"/>
      </left>
      <right style="medium">
        <color rgb="FF1F3864"/>
      </right>
      <top/>
      <bottom/>
      <diagonal/>
    </border>
    <border>
      <left style="medium">
        <color rgb="FF2471A3"/>
      </left>
      <right/>
      <top/>
      <bottom/>
      <diagonal/>
    </border>
    <border>
      <left/>
      <right style="medium">
        <color rgb="FF2471A3"/>
      </right>
      <top/>
      <bottom/>
      <diagonal/>
    </border>
    <border>
      <left style="medium">
        <color rgb="FF1F3864"/>
      </left>
      <right style="thin">
        <color rgb="FFD5DBDB"/>
      </right>
      <top style="thin">
        <color rgb="FF1F3864"/>
      </top>
      <bottom style="thin">
        <color rgb="FFD5DBDB"/>
      </bottom>
      <diagonal/>
    </border>
    <border>
      <left style="thin">
        <color rgb="FFD5DBDB"/>
      </left>
      <right style="thin">
        <color rgb="FFD5DBDB"/>
      </right>
      <top style="medium">
        <color rgb="FF1F3864"/>
      </top>
      <bottom style="thin">
        <color rgb="FF1F3864"/>
      </bottom>
      <diagonal/>
    </border>
    <border>
      <left style="medium">
        <color rgb="FF1F3864"/>
      </left>
      <right style="thin">
        <color rgb="FFD5DBDB"/>
      </right>
      <top/>
      <bottom style="medium">
        <color rgb="FF1F3864"/>
      </bottom>
      <diagonal/>
    </border>
    <border>
      <left style="thin">
        <color rgb="FFD5DBDB"/>
      </left>
      <right style="medium">
        <color rgb="FF1F3864"/>
      </right>
      <top/>
      <bottom style="medium">
        <color rgb="FF1F3864"/>
      </bottom>
      <diagonal/>
    </border>
    <border>
      <left style="medium">
        <color rgb="FF154360"/>
      </left>
      <right style="thin">
        <color rgb="FFD5DBDB"/>
      </right>
      <top style="medium">
        <color rgb="FF154360"/>
      </top>
      <bottom style="thin">
        <color rgb="FFD5DBDB"/>
      </bottom>
      <diagonal/>
    </border>
    <border>
      <left style="thin">
        <color rgb="FFD5DBDB"/>
      </left>
      <right style="thin">
        <color rgb="FFD5DBDB"/>
      </right>
      <top style="medium">
        <color rgb="FF154360"/>
      </top>
      <bottom style="thin">
        <color rgb="FFD5DBDB"/>
      </bottom>
      <diagonal/>
    </border>
    <border>
      <left style="thin">
        <color rgb="FFD5DBDB"/>
      </left>
      <right style="medium">
        <color rgb="FF154360"/>
      </right>
      <top style="medium">
        <color rgb="FF154360"/>
      </top>
      <bottom style="thin">
        <color rgb="FFD5DBDB"/>
      </bottom>
      <diagonal/>
    </border>
    <border>
      <left style="medium">
        <color rgb="FF154360"/>
      </left>
      <right style="thin">
        <color rgb="FFD5DBDB"/>
      </right>
      <top style="thin">
        <color rgb="FFD5DBDB"/>
      </top>
      <bottom style="thin">
        <color rgb="FFD5DBDB"/>
      </bottom>
      <diagonal/>
    </border>
    <border>
      <left style="thin">
        <color rgb="FFD5DBDB"/>
      </left>
      <right style="medium">
        <color rgb="FF154360"/>
      </right>
      <top style="thin">
        <color rgb="FFD5DBDB"/>
      </top>
      <bottom style="thin">
        <color rgb="FFD5DBDB"/>
      </bottom>
      <diagonal/>
    </border>
    <border>
      <left style="medium">
        <color rgb="FF154360"/>
      </left>
      <right style="thin">
        <color rgb="FFD5DBDB"/>
      </right>
      <top style="thin">
        <color rgb="FFD5DBDB"/>
      </top>
      <bottom style="medium">
        <color rgb="FF154360"/>
      </bottom>
      <diagonal/>
    </border>
    <border>
      <left style="thin">
        <color rgb="FFD5DBDB"/>
      </left>
      <right style="thin">
        <color rgb="FFD5DBDB"/>
      </right>
      <top style="thin">
        <color rgb="FFD5DBDB"/>
      </top>
      <bottom style="medium">
        <color rgb="FF154360"/>
      </bottom>
      <diagonal/>
    </border>
    <border>
      <left style="thin">
        <color rgb="FFD5DBDB"/>
      </left>
      <right style="medium">
        <color rgb="FF154360"/>
      </right>
      <top style="thin">
        <color rgb="FFD5DBDB"/>
      </top>
      <bottom style="medium">
        <color rgb="FF154360"/>
      </bottom>
      <diagonal/>
    </border>
    <border>
      <left style="medium">
        <color rgb="FF7B241C"/>
      </left>
      <right style="thin">
        <color rgb="FFD5DBDB"/>
      </right>
      <top style="medium">
        <color rgb="FF7B241C"/>
      </top>
      <bottom style="thin">
        <color rgb="FFD5DBDB"/>
      </bottom>
      <diagonal/>
    </border>
    <border>
      <left style="thin">
        <color rgb="FFD5DBDB"/>
      </left>
      <right style="thin">
        <color rgb="FFD5DBDB"/>
      </right>
      <top style="medium">
        <color rgb="FF7B241C"/>
      </top>
      <bottom style="thin">
        <color rgb="FFD5DBDB"/>
      </bottom>
      <diagonal/>
    </border>
    <border>
      <left style="thin">
        <color rgb="FFD5DBDB"/>
      </left>
      <right style="medium">
        <color rgb="FF7B241C"/>
      </right>
      <top style="medium">
        <color rgb="FF7B241C"/>
      </top>
      <bottom style="thin">
        <color rgb="FFD5DBDB"/>
      </bottom>
      <diagonal/>
    </border>
    <border>
      <left/>
      <right/>
      <top style="thin">
        <color rgb="FF1F3864"/>
      </top>
      <bottom/>
      <diagonal/>
    </border>
    <border>
      <left/>
      <right/>
      <top/>
      <bottom style="thin">
        <color rgb="FF1F3864"/>
      </bottom>
      <diagonal/>
    </border>
    <border>
      <left/>
      <right style="thin">
        <color rgb="FF1F3864"/>
      </right>
      <top/>
      <bottom/>
      <diagonal/>
    </border>
    <border>
      <left style="medium">
        <color rgb="FF2471A3"/>
      </left>
      <right style="thin">
        <color rgb="FFD5DBDB"/>
      </right>
      <top style="medium">
        <color rgb="FF2471A3"/>
      </top>
      <bottom style="medium">
        <color rgb="FF2471A3"/>
      </bottom>
      <diagonal/>
    </border>
    <border>
      <left style="thin">
        <color rgb="FFD5DBDB"/>
      </left>
      <right style="thin">
        <color rgb="FFD5DBDB"/>
      </right>
      <top style="medium">
        <color rgb="FF2471A3"/>
      </top>
      <bottom style="medium">
        <color rgb="FF2471A3"/>
      </bottom>
      <diagonal/>
    </border>
    <border>
      <left style="thin">
        <color rgb="FFD5DBDB"/>
      </left>
      <right style="medium">
        <color rgb="FF2471A3"/>
      </right>
      <top style="medium">
        <color rgb="FF2471A3"/>
      </top>
      <bottom style="medium">
        <color rgb="FF2471A3"/>
      </bottom>
      <diagonal/>
    </border>
    <border>
      <left/>
      <right/>
      <top/>
      <bottom style="thin">
        <color rgb="FFD5DBDB"/>
      </bottom>
      <diagonal/>
    </border>
    <border>
      <left style="thin">
        <color rgb="FF2C3E50"/>
      </left>
      <right/>
      <top style="thin">
        <color rgb="FFD5DBDB"/>
      </top>
      <bottom/>
      <diagonal/>
    </border>
    <border>
      <left style="thin">
        <color rgb="FF2C3E50"/>
      </left>
      <right style="thin">
        <color rgb="FF95A5A6"/>
      </right>
      <top style="thin">
        <color rgb="FFD5DBDB"/>
      </top>
      <bottom style="thin">
        <color rgb="FF95A5A6"/>
      </bottom>
      <diagonal/>
    </border>
    <border>
      <left style="thin">
        <color rgb="FF95A5A6"/>
      </left>
      <right style="thin">
        <color rgb="FF95A5A6"/>
      </right>
      <top style="thin">
        <color rgb="FFD5DBDB"/>
      </top>
      <bottom style="thin">
        <color rgb="FF95A5A6"/>
      </bottom>
      <diagonal/>
    </border>
    <border>
      <left style="thin">
        <color rgb="FF95A5A6"/>
      </left>
      <right style="thin">
        <color rgb="FF95A5A6"/>
      </right>
      <top style="thin">
        <color rgb="FF1F3864"/>
      </top>
      <bottom style="thin">
        <color rgb="FF95A5A6"/>
      </bottom>
      <diagonal/>
    </border>
    <border>
      <left style="thin">
        <color rgb="FF2C3E50"/>
      </left>
      <right/>
      <top/>
      <bottom/>
      <diagonal/>
    </border>
    <border>
      <left/>
      <right/>
      <top style="thin">
        <color rgb="FFD5DBDB"/>
      </top>
      <bottom/>
      <diagonal/>
    </border>
    <border>
      <left style="medium">
        <color rgb="FF1F4E78"/>
      </left>
      <right style="thin">
        <color rgb="FFD5DBDB"/>
      </right>
      <top style="medium">
        <color rgb="FF1F4E78"/>
      </top>
      <bottom style="thin">
        <color rgb="FFD5DBDB"/>
      </bottom>
      <diagonal/>
    </border>
    <border>
      <left style="thin">
        <color rgb="FFD5DBDB"/>
      </left>
      <right style="thin">
        <color rgb="FFD5DBDB"/>
      </right>
      <top style="medium">
        <color rgb="FF1F4E78"/>
      </top>
      <bottom style="thin">
        <color rgb="FFD5DBDB"/>
      </bottom>
      <diagonal/>
    </border>
    <border>
      <left style="thin">
        <color rgb="FFD5DBDB"/>
      </left>
      <right style="medium">
        <color rgb="FF1F4E78"/>
      </right>
      <top style="medium">
        <color rgb="FF1F4E78"/>
      </top>
      <bottom style="thin">
        <color rgb="FFD5DBDB"/>
      </bottom>
      <diagonal/>
    </border>
    <border>
      <left style="medium">
        <color rgb="FFC65911"/>
      </left>
      <right style="thin">
        <color rgb="FFD5DBDB"/>
      </right>
      <top style="medium">
        <color rgb="FFC65911"/>
      </top>
      <bottom style="thin">
        <color rgb="FFD5DBDB"/>
      </bottom>
      <diagonal/>
    </border>
    <border>
      <left style="thin">
        <color rgb="FFD5DBDB"/>
      </left>
      <right style="thin">
        <color rgb="FFD5DBDB"/>
      </right>
      <top style="medium">
        <color rgb="FFC65911"/>
      </top>
      <bottom style="thin">
        <color rgb="FFD5DBDB"/>
      </bottom>
      <diagonal/>
    </border>
    <border>
      <left style="thin">
        <color rgb="FFD5DBDB"/>
      </left>
      <right style="medium">
        <color rgb="FFC65911"/>
      </right>
      <top style="medium">
        <color rgb="FFC65911"/>
      </top>
      <bottom style="thin">
        <color rgb="FFD5DBDB"/>
      </bottom>
      <diagonal/>
    </border>
    <border>
      <left style="medium">
        <color rgb="FFC65911"/>
      </left>
      <right style="thin">
        <color rgb="FFD5DBDB"/>
      </right>
      <top style="thin">
        <color rgb="FFD5DBDB"/>
      </top>
      <bottom style="thin">
        <color rgb="FFD5DBDB"/>
      </bottom>
      <diagonal/>
    </border>
    <border>
      <left style="thin">
        <color rgb="FFD5DBDB"/>
      </left>
      <right style="medium">
        <color rgb="FFC65911"/>
      </right>
      <top style="thin">
        <color rgb="FFD5DBDB"/>
      </top>
      <bottom style="thin">
        <color rgb="FFD5DBDB"/>
      </bottom>
      <diagonal/>
    </border>
    <border>
      <left style="medium">
        <color rgb="FFC65911"/>
      </left>
      <right style="thin">
        <color rgb="FFD5DBDB"/>
      </right>
      <top style="thin">
        <color rgb="FFD5DBDB"/>
      </top>
      <bottom style="medium">
        <color rgb="FFC65911"/>
      </bottom>
      <diagonal/>
    </border>
    <border>
      <left style="thin">
        <color rgb="FFD5DBDB"/>
      </left>
      <right style="thin">
        <color rgb="FFD5DBDB"/>
      </right>
      <top style="thin">
        <color rgb="FFD5DBDB"/>
      </top>
      <bottom style="medium">
        <color rgb="FFC65911"/>
      </bottom>
      <diagonal/>
    </border>
    <border>
      <left style="thin">
        <color rgb="FFD5DBDB"/>
      </left>
      <right style="medium">
        <color rgb="FFC65911"/>
      </right>
      <top style="thin">
        <color rgb="FFD5DBDB"/>
      </top>
      <bottom style="medium">
        <color rgb="FFC65911"/>
      </bottom>
      <diagonal/>
    </border>
    <border>
      <left style="medium">
        <color rgb="FF2471A3"/>
      </left>
      <right style="thin">
        <color rgb="FFD5DBDB"/>
      </right>
      <top style="medium">
        <color rgb="FF2471A3"/>
      </top>
      <bottom style="thin">
        <color rgb="FFD5DBDB"/>
      </bottom>
      <diagonal/>
    </border>
    <border>
      <left style="thin">
        <color rgb="FFD5DBDB"/>
      </left>
      <right style="thin">
        <color rgb="FFD5DBDB"/>
      </right>
      <top style="medium">
        <color rgb="FF2471A3"/>
      </top>
      <bottom style="thin">
        <color rgb="FFD5DBDB"/>
      </bottom>
      <diagonal/>
    </border>
    <border>
      <left style="thin">
        <color rgb="FFD5DBDB"/>
      </left>
      <right style="medium">
        <color rgb="FF2471A3"/>
      </right>
      <top style="medium">
        <color rgb="FF2471A3"/>
      </top>
      <bottom style="thin">
        <color rgb="FFD5DBDB"/>
      </bottom>
      <diagonal/>
    </border>
    <border>
      <left style="thin">
        <color rgb="FF95A5A6"/>
      </left>
      <right/>
      <top/>
      <bottom style="thin">
        <color rgb="FF95A5A6"/>
      </bottom>
      <diagonal/>
    </border>
    <border>
      <left style="medium">
        <color rgb="FF1A5276"/>
      </left>
      <right style="thin">
        <color rgb="FFD5DBDB"/>
      </right>
      <top style="medium">
        <color rgb="FF1A5276"/>
      </top>
      <bottom style="thin">
        <color rgb="FFD5DBDB"/>
      </bottom>
      <diagonal/>
    </border>
    <border>
      <left style="thin">
        <color rgb="FFD5DBDB"/>
      </left>
      <right style="thin">
        <color rgb="FFD5DBDB"/>
      </right>
      <top style="medium">
        <color rgb="FF1A5276"/>
      </top>
      <bottom style="thin">
        <color rgb="FFD5DBDB"/>
      </bottom>
      <diagonal/>
    </border>
    <border>
      <left style="thin">
        <color rgb="FFD5DBDB"/>
      </left>
      <right style="medium">
        <color rgb="FF1A5276"/>
      </right>
      <top style="medium">
        <color rgb="FF1A5276"/>
      </top>
      <bottom style="thin">
        <color rgb="FFD5DBDB"/>
      </bottom>
      <diagonal/>
    </border>
    <border>
      <left style="medium">
        <color rgb="FF1A5276"/>
      </left>
      <right style="thin">
        <color rgb="FFD5DBDB"/>
      </right>
      <top style="thin">
        <color rgb="FFD5DBDB"/>
      </top>
      <bottom style="thin">
        <color rgb="FFD5DBDB"/>
      </bottom>
      <diagonal/>
    </border>
    <border>
      <left style="thin">
        <color rgb="FFD5DBDB"/>
      </left>
      <right style="medium">
        <color rgb="FF1A5276"/>
      </right>
      <top style="thin">
        <color rgb="FFD5DBDB"/>
      </top>
      <bottom style="thin">
        <color rgb="FFD5DBDB"/>
      </bottom>
      <diagonal/>
    </border>
    <border>
      <left style="medium">
        <color rgb="FF1A5276"/>
      </left>
      <right style="thin">
        <color rgb="FFD5DBDB"/>
      </right>
      <top style="thin">
        <color rgb="FFD5DBDB"/>
      </top>
      <bottom style="medium">
        <color rgb="FF1A5276"/>
      </bottom>
      <diagonal/>
    </border>
    <border>
      <left style="thin">
        <color rgb="FFD5DBDB"/>
      </left>
      <right style="thin">
        <color rgb="FFD5DBDB"/>
      </right>
      <top style="thin">
        <color rgb="FFD5DBDB"/>
      </top>
      <bottom style="medium">
        <color rgb="FF1A5276"/>
      </bottom>
      <diagonal/>
    </border>
    <border>
      <left style="thin">
        <color rgb="FFD5DBDB"/>
      </left>
      <right style="medium">
        <color rgb="FF1A5276"/>
      </right>
      <top style="thin">
        <color rgb="FFD5DBDB"/>
      </top>
      <bottom style="medium">
        <color rgb="FF1A5276"/>
      </bottom>
      <diagonal/>
    </border>
    <border>
      <left/>
      <right/>
      <top style="thin">
        <color rgb="FF1F3864"/>
      </top>
      <bottom style="thin">
        <color rgb="FF1F3864"/>
      </bottom>
      <diagonal/>
    </border>
    <border>
      <left style="thin">
        <color rgb="FF1F3864"/>
      </left>
      <right/>
      <top style="thin">
        <color rgb="FF1F3864"/>
      </top>
      <bottom style="thin">
        <color rgb="FF1F3864"/>
      </bottom>
      <diagonal/>
    </border>
    <border>
      <left style="thin">
        <color rgb="FF1F3864"/>
      </left>
      <right/>
      <top style="thin">
        <color rgb="FF1F3864"/>
      </top>
      <bottom/>
      <diagonal/>
    </border>
    <border>
      <left style="thin">
        <color rgb="FF1F3864"/>
      </left>
      <right/>
      <top/>
      <bottom style="thin">
        <color rgb="FF1F3864"/>
      </bottom>
      <diagonal/>
    </border>
    <border>
      <left/>
      <right style="thin">
        <color rgb="FF1F3864"/>
      </right>
      <top style="thin">
        <color rgb="FF1F3864"/>
      </top>
      <bottom/>
      <diagonal/>
    </border>
    <border>
      <left/>
      <right style="thin">
        <color rgb="FF1F3864"/>
      </right>
      <top/>
      <bottom style="thin">
        <color rgb="FF1F3864"/>
      </bottom>
      <diagonal/>
    </border>
    <border>
      <left/>
      <right/>
      <top style="thin">
        <color rgb="FF2D5016"/>
      </top>
      <bottom/>
      <diagonal/>
    </border>
    <border>
      <left/>
      <right/>
      <top/>
      <bottom style="thin">
        <color rgb="FF2D5016"/>
      </bottom>
      <diagonal/>
    </border>
    <border>
      <left style="thin">
        <color rgb="FF2D5016"/>
      </left>
      <right/>
      <top style="thin">
        <color rgb="FF2D5016"/>
      </top>
      <bottom/>
      <diagonal/>
    </border>
    <border>
      <left style="thin">
        <color rgb="FF2D5016"/>
      </left>
      <right/>
      <top/>
      <bottom/>
      <diagonal/>
    </border>
    <border>
      <left style="thin">
        <color rgb="FF2D5016"/>
      </left>
      <right/>
      <top/>
      <bottom style="thin">
        <color rgb="FF2D5016"/>
      </bottom>
      <diagonal/>
    </border>
    <border>
      <left/>
      <right style="thin">
        <color rgb="FF2D5016"/>
      </right>
      <top style="thin">
        <color rgb="FF2D5016"/>
      </top>
      <bottom/>
      <diagonal/>
    </border>
    <border>
      <left/>
      <right style="thin">
        <color rgb="FF2D5016"/>
      </right>
      <top/>
      <bottom/>
      <diagonal/>
    </border>
    <border>
      <left/>
      <right style="thin">
        <color rgb="FF2D5016"/>
      </right>
      <top/>
      <bottom style="thin">
        <color rgb="FF2D5016"/>
      </bottom>
      <diagonal/>
    </border>
    <border>
      <left style="thin">
        <color rgb="FF1F3864"/>
      </left>
      <right/>
      <top style="thin">
        <color rgb="FF1F3864"/>
      </top>
      <bottom style="thin">
        <color rgb="FFD5DBDB"/>
      </bottom>
      <diagonal/>
    </border>
    <border>
      <left/>
      <right/>
      <top style="thin">
        <color rgb="FF1F3864"/>
      </top>
      <bottom style="thin">
        <color rgb="FFD5DBDB"/>
      </bottom>
      <diagonal/>
    </border>
    <border>
      <left/>
      <right style="thin">
        <color rgb="FF1F3864"/>
      </right>
      <top style="thin">
        <color rgb="FF1F3864"/>
      </top>
      <bottom style="thin">
        <color rgb="FFD5DBDB"/>
      </bottom>
      <diagonal/>
    </border>
    <border>
      <left style="thin">
        <color rgb="FF1F3864"/>
      </left>
      <right style="thin">
        <color rgb="FF1F3864"/>
      </right>
      <top style="thin">
        <color rgb="FFD5DBDB"/>
      </top>
      <bottom style="thin">
        <color rgb="FFD5DBDB"/>
      </bottom>
      <diagonal/>
    </border>
    <border>
      <left style="thin">
        <color rgb="FF1F3864"/>
      </left>
      <right/>
      <top style="thin">
        <color rgb="FFD5DBDB"/>
      </top>
      <bottom style="thin">
        <color rgb="FFD5DBDB"/>
      </bottom>
      <diagonal/>
    </border>
    <border>
      <left/>
      <right style="thin">
        <color rgb="FF1F3864"/>
      </right>
      <top style="thin">
        <color rgb="FFD5DBDB"/>
      </top>
      <bottom style="thin">
        <color rgb="FFD5DBDB"/>
      </bottom>
      <diagonal/>
    </border>
    <border>
      <left style="thin">
        <color rgb="FF1F3864"/>
      </left>
      <right/>
      <top style="thin">
        <color rgb="FFD5DBDB"/>
      </top>
      <bottom/>
      <diagonal/>
    </border>
    <border>
      <left/>
      <right style="thin">
        <color rgb="FF1F3864"/>
      </right>
      <top style="thin">
        <color rgb="FFD5DBDB"/>
      </top>
      <bottom/>
      <diagonal/>
    </border>
    <border>
      <left style="thin">
        <color rgb="FF2D5016"/>
      </left>
      <right/>
      <top style="thin">
        <color rgb="FFD5DBDB"/>
      </top>
      <bottom style="thin">
        <color rgb="FFD5DBDB"/>
      </bottom>
      <diagonal/>
    </border>
    <border>
      <left/>
      <right style="thin">
        <color rgb="FF2D5016"/>
      </right>
      <top style="thin">
        <color rgb="FFD5DBDB"/>
      </top>
      <bottom style="thin">
        <color rgb="FFD5DBDB"/>
      </bottom>
      <diagonal/>
    </border>
    <border>
      <left style="thin">
        <color rgb="FF2D5016"/>
      </left>
      <right/>
      <top style="thin">
        <color rgb="FFD5DBDB"/>
      </top>
      <bottom/>
      <diagonal/>
    </border>
    <border>
      <left/>
      <right style="thin">
        <color rgb="FF2D5016"/>
      </right>
      <top style="thin">
        <color rgb="FFD5DBDB"/>
      </top>
      <bottom/>
      <diagonal/>
    </border>
    <border>
      <left style="thin">
        <color rgb="FF1F3864"/>
      </left>
      <right style="thin">
        <color rgb="FFD5DBDB"/>
      </right>
      <top style="thin">
        <color rgb="FF1F3864"/>
      </top>
      <bottom/>
      <diagonal/>
    </border>
    <border>
      <left style="thin">
        <color rgb="FF1F3864"/>
      </left>
      <right style="thin">
        <color rgb="FFD5DBDB"/>
      </right>
      <top style="thin">
        <color rgb="FFD5DBDB"/>
      </top>
      <bottom/>
      <diagonal/>
    </border>
    <border>
      <left style="thin">
        <color rgb="FF1F3864"/>
      </left>
      <right style="thin">
        <color rgb="FFD5DBDB"/>
      </right>
      <top/>
      <bottom style="thin">
        <color rgb="FF1F3864"/>
      </bottom>
      <diagonal/>
    </border>
    <border>
      <left style="thin">
        <color rgb="FFD5DBDB"/>
      </left>
      <right style="thin">
        <color rgb="FFD5DBDB"/>
      </right>
      <top style="thin">
        <color rgb="FF1F3864"/>
      </top>
      <bottom style="thin">
        <color rgb="FF1F3864"/>
      </bottom>
      <diagonal/>
    </border>
    <border>
      <left style="thin">
        <color rgb="FFD5DBDB"/>
      </left>
      <right style="thin">
        <color rgb="FFD5DBDB"/>
      </right>
      <top style="thin">
        <color rgb="FF1F3864"/>
      </top>
      <bottom/>
      <diagonal/>
    </border>
    <border>
      <left style="thin">
        <color rgb="FFD5DBDB"/>
      </left>
      <right style="thin">
        <color rgb="FFD5DBDB"/>
      </right>
      <top/>
      <bottom style="thin">
        <color rgb="FF1F3864"/>
      </bottom>
      <diagonal/>
    </border>
    <border>
      <left style="thin">
        <color rgb="FFD5DBDB"/>
      </left>
      <right/>
      <top style="thin">
        <color rgb="FF1F3864"/>
      </top>
      <bottom/>
      <diagonal/>
    </border>
    <border>
      <left style="thin">
        <color rgb="FFD5DBDB"/>
      </left>
      <right/>
      <top style="thin">
        <color rgb="FFD5DBDB"/>
      </top>
      <bottom/>
      <diagonal/>
    </border>
    <border>
      <left style="thin">
        <color rgb="FFD5DBDB"/>
      </left>
      <right/>
      <top/>
      <bottom style="thin">
        <color rgb="FF1F3864"/>
      </bottom>
      <diagonal/>
    </border>
    <border>
      <left/>
      <right/>
      <top style="thin">
        <color rgb="FF1A5276"/>
      </top>
      <bottom/>
      <diagonal/>
    </border>
    <border>
      <left/>
      <right/>
      <top/>
      <bottom style="thin">
        <color rgb="FF1A5276"/>
      </bottom>
      <diagonal/>
    </border>
    <border>
      <left style="thin">
        <color rgb="FF1A5276"/>
      </left>
      <right/>
      <top style="thin">
        <color rgb="FF1A5276"/>
      </top>
      <bottom/>
      <diagonal/>
    </border>
    <border>
      <left style="thin">
        <color rgb="FF1A5276"/>
      </left>
      <right/>
      <top/>
      <bottom/>
      <diagonal/>
    </border>
    <border>
      <left style="thin">
        <color rgb="FF1A5276"/>
      </left>
      <right/>
      <top/>
      <bottom style="thin">
        <color rgb="FF1A5276"/>
      </bottom>
      <diagonal/>
    </border>
    <border>
      <left/>
      <right style="thin">
        <color rgb="FF1A5276"/>
      </right>
      <top style="thin">
        <color rgb="FF1A5276"/>
      </top>
      <bottom/>
      <diagonal/>
    </border>
    <border>
      <left/>
      <right style="thin">
        <color rgb="FF1A5276"/>
      </right>
      <top/>
      <bottom/>
      <diagonal/>
    </border>
    <border>
      <left/>
      <right style="thin">
        <color rgb="FF1A5276"/>
      </right>
      <top/>
      <bottom style="thin">
        <color rgb="FF1A5276"/>
      </bottom>
      <diagonal/>
    </border>
    <border>
      <left style="thin">
        <color rgb="FF1A5276"/>
      </left>
      <right/>
      <top style="thin">
        <color rgb="FF1A5276"/>
      </top>
      <bottom style="thin">
        <color rgb="FFD5DBDB"/>
      </bottom>
      <diagonal/>
    </border>
    <border>
      <left/>
      <right/>
      <top style="thin">
        <color rgb="FF1A5276"/>
      </top>
      <bottom style="thin">
        <color rgb="FFD5DBDB"/>
      </bottom>
      <diagonal/>
    </border>
    <border>
      <left/>
      <right style="thin">
        <color rgb="FF1A5276"/>
      </right>
      <top style="thin">
        <color rgb="FF1A5276"/>
      </top>
      <bottom style="thin">
        <color rgb="FFD5DBDB"/>
      </bottom>
      <diagonal/>
    </border>
    <border>
      <left style="thin">
        <color rgb="FF1A5276"/>
      </left>
      <right/>
      <top style="thin">
        <color rgb="FFD5DBDB"/>
      </top>
      <bottom style="thin">
        <color rgb="FFD5DBDB"/>
      </bottom>
      <diagonal/>
    </border>
    <border>
      <left/>
      <right style="thin">
        <color rgb="FF1A5276"/>
      </right>
      <top style="thin">
        <color rgb="FFD5DBDB"/>
      </top>
      <bottom style="thin">
        <color rgb="FFD5DBDB"/>
      </bottom>
      <diagonal/>
    </border>
    <border>
      <left style="thin">
        <color rgb="FF1A5276"/>
      </left>
      <right/>
      <top style="thin">
        <color rgb="FFD5DBDB"/>
      </top>
      <bottom/>
      <diagonal/>
    </border>
    <border>
      <left/>
      <right style="thin">
        <color rgb="FF1A5276"/>
      </right>
      <top style="thin">
        <color rgb="FFD5DBDB"/>
      </top>
      <bottom/>
      <diagonal/>
    </border>
    <border>
      <left style="thin">
        <color rgb="FF2C3E50"/>
      </left>
      <right/>
      <top style="thick">
        <color rgb="FF1F3864"/>
      </top>
      <bottom/>
      <diagonal/>
    </border>
    <border>
      <left/>
      <right/>
      <top style="thick">
        <color rgb="FF1F3864"/>
      </top>
      <bottom/>
      <diagonal/>
    </border>
    <border>
      <left style="thin">
        <color rgb="FF1F3864"/>
      </left>
      <right style="thin">
        <color rgb="FF95A5A6"/>
      </right>
      <top style="thin">
        <color rgb="FF1F3864"/>
      </top>
      <bottom style="thin">
        <color rgb="FF95A5A6"/>
      </bottom>
      <diagonal/>
    </border>
    <border>
      <left style="thin">
        <color rgb="FF1F3864"/>
      </left>
      <right style="thin">
        <color rgb="FF95A5A6"/>
      </right>
      <top style="thin">
        <color rgb="FF95A5A6"/>
      </top>
      <bottom style="thin">
        <color rgb="FF1F3864"/>
      </bottom>
      <diagonal/>
    </border>
    <border>
      <left style="thin">
        <color rgb="FF95A5A6"/>
      </left>
      <right style="thin">
        <color rgb="FF1F3864"/>
      </right>
      <top style="thin">
        <color rgb="FF1F3864"/>
      </top>
      <bottom style="thin">
        <color rgb="FF95A5A6"/>
      </bottom>
      <diagonal/>
    </border>
    <border>
      <left style="thin">
        <color rgb="FF95A5A6"/>
      </left>
      <right style="thin">
        <color rgb="FF1F3864"/>
      </right>
      <top style="thin">
        <color rgb="FF95A5A6"/>
      </top>
      <bottom style="thin">
        <color rgb="FF1F3864"/>
      </bottom>
      <diagonal/>
    </border>
    <border>
      <left style="thin">
        <color rgb="FF2C3E50"/>
      </left>
      <right/>
      <top style="thin">
        <color rgb="FF95A5A6"/>
      </top>
      <bottom/>
      <diagonal/>
    </border>
    <border>
      <left style="thin">
        <color rgb="FF1F3864"/>
      </left>
      <right style="thin">
        <color rgb="FF95A5A6"/>
      </right>
      <top style="thin">
        <color rgb="FF1F3864"/>
      </top>
      <bottom/>
      <diagonal/>
    </border>
    <border>
      <left style="thin">
        <color rgb="FF95A5A6"/>
      </left>
      <right style="thin">
        <color rgb="FF95A5A6"/>
      </right>
      <top style="thin">
        <color rgb="FF1F3864"/>
      </top>
      <bottom/>
      <diagonal/>
    </border>
    <border>
      <left style="thin">
        <color rgb="FF95A5A6"/>
      </left>
      <right style="thin">
        <color rgb="FF1F3864"/>
      </right>
      <top style="thin">
        <color rgb="FF1F3864"/>
      </top>
      <bottom/>
      <diagonal/>
    </border>
    <border>
      <left style="thin">
        <color rgb="FF1F3864"/>
      </left>
      <right style="thin">
        <color rgb="FF95A5A6"/>
      </right>
      <top style="thin">
        <color rgb="FFD5DBDB"/>
      </top>
      <bottom style="thin">
        <color rgb="FFD5DBDB"/>
      </bottom>
      <diagonal/>
    </border>
    <border>
      <left style="thin">
        <color rgb="FF95A5A6"/>
      </left>
      <right style="thin">
        <color rgb="FF1F3864"/>
      </right>
      <top style="thin">
        <color rgb="FFD5DBDB"/>
      </top>
      <bottom style="thin">
        <color rgb="FFD5DBDB"/>
      </bottom>
      <diagonal/>
    </border>
    <border>
      <left style="thin">
        <color rgb="FF1F3864"/>
      </left>
      <right style="thin">
        <color rgb="FF95A5A6"/>
      </right>
      <top style="thin">
        <color rgb="FFD5DBDB"/>
      </top>
      <bottom/>
      <diagonal/>
    </border>
    <border>
      <left style="thin">
        <color rgb="FF95A5A6"/>
      </left>
      <right style="thin">
        <color rgb="FF95A5A6"/>
      </right>
      <top style="thin">
        <color rgb="FFD5DBDB"/>
      </top>
      <bottom/>
      <diagonal/>
    </border>
    <border>
      <left style="thin">
        <color rgb="FF95A5A6"/>
      </left>
      <right style="thin">
        <color rgb="FF1F3864"/>
      </right>
      <top style="thin">
        <color rgb="FFD5DBDB"/>
      </top>
      <bottom/>
      <diagonal/>
    </border>
    <border>
      <left style="thin">
        <color rgb="FF1F3864"/>
      </left>
      <right style="thin">
        <color rgb="FF95A5A6"/>
      </right>
      <top/>
      <bottom style="thin">
        <color rgb="FF1F3864"/>
      </bottom>
      <diagonal/>
    </border>
    <border>
      <left style="thin">
        <color rgb="FF95A5A6"/>
      </left>
      <right style="thin">
        <color rgb="FF1F3864"/>
      </right>
      <top/>
      <bottom style="thin">
        <color rgb="FF1F3864"/>
      </bottom>
      <diagonal/>
    </border>
    <border>
      <left style="thin">
        <color rgb="FFD5DBDB"/>
      </left>
      <right style="thin">
        <color rgb="FF1F3864"/>
      </right>
      <top style="thin">
        <color rgb="FFD5DBDB"/>
      </top>
      <bottom/>
      <diagonal/>
    </border>
    <border>
      <left/>
      <right style="thin">
        <color rgb="FF1F3864"/>
      </right>
      <top style="thin">
        <color rgb="FF95A5A6"/>
      </top>
      <bottom style="thin">
        <color rgb="FF1F3864"/>
      </bottom>
      <diagonal/>
    </border>
    <border>
      <left/>
      <right style="thin">
        <color rgb="FF1F3864"/>
      </right>
      <top style="thin">
        <color rgb="FFD5DBDB"/>
      </top>
      <bottom style="thin">
        <color rgb="FF1F3864"/>
      </bottom>
      <diagonal/>
    </border>
    <border>
      <left/>
      <right/>
      <top/>
      <bottom style="thick">
        <color rgb="FF1F3864"/>
      </bottom>
      <diagonal/>
    </border>
    <border>
      <left/>
      <right/>
      <top style="thin">
        <color rgb="FF1F3864"/>
      </top>
      <bottom style="thick">
        <color rgb="FF1F3864"/>
      </bottom>
      <diagonal/>
    </border>
    <border>
      <left style="thin">
        <color rgb="FF1F3864"/>
      </left>
      <right style="thin">
        <color rgb="FFD5DBDB"/>
      </right>
      <top/>
      <bottom style="thin">
        <color rgb="FFD5DBDB"/>
      </bottom>
      <diagonal/>
    </border>
    <border>
      <left style="thin">
        <color rgb="FFD5DBDB"/>
      </left>
      <right style="thin">
        <color rgb="FF1F3864"/>
      </right>
      <top/>
      <bottom style="thin">
        <color rgb="FFD5DBDB"/>
      </bottom>
      <diagonal/>
    </border>
    <border>
      <left/>
      <right style="thin">
        <color rgb="FF1F3864"/>
      </right>
      <top style="thin">
        <color rgb="FF95A5A6"/>
      </top>
      <bottom style="thin">
        <color rgb="FF95A5A6"/>
      </bottom>
      <diagonal/>
    </border>
    <border>
      <left/>
      <right/>
      <top style="thick">
        <color rgb="FF1F3864"/>
      </top>
      <bottom style="thin">
        <color rgb="FFD5DBDB"/>
      </bottom>
      <diagonal/>
    </border>
    <border>
      <left/>
      <right style="thin">
        <color rgb="FF1F3864"/>
      </right>
      <top style="thick">
        <color rgb="FF1F3864"/>
      </top>
      <bottom style="thin">
        <color rgb="FFD5DBDB"/>
      </bottom>
      <diagonal/>
    </border>
    <border>
      <left style="thin">
        <color rgb="FF1F3864"/>
      </left>
      <right/>
      <top style="thick">
        <color rgb="FF1F3864"/>
      </top>
      <bottom/>
      <diagonal/>
    </border>
    <border>
      <left style="thin">
        <color rgb="FFD5DBDB"/>
      </left>
      <right style="thin">
        <color rgb="FF1F3864"/>
      </right>
      <top style="thin">
        <color rgb="FF1F3864"/>
      </top>
      <bottom/>
      <diagonal/>
    </border>
    <border>
      <left style="thin">
        <color rgb="FFD5DBDB"/>
      </left>
      <right style="thin">
        <color rgb="FF1F3864"/>
      </right>
      <top/>
      <bottom style="thin">
        <color rgb="FF1F3864"/>
      </bottom>
      <diagonal/>
    </border>
    <border>
      <left/>
      <right style="thin">
        <color rgb="FF95A5A6"/>
      </right>
      <top/>
      <bottom style="thin">
        <color rgb="FF2C3E50"/>
      </bottom>
      <diagonal/>
    </border>
    <border>
      <left style="thin">
        <color rgb="FF95A5A6"/>
      </left>
      <right style="thin">
        <color rgb="FF95A5A6"/>
      </right>
      <top/>
      <bottom style="thin">
        <color rgb="FF2C3E50"/>
      </bottom>
      <diagonal/>
    </border>
    <border>
      <left style="thin">
        <color rgb="FFD5DBDB"/>
      </left>
      <right style="thin">
        <color rgb="FFD5DBDB"/>
      </right>
      <top style="thick">
        <color rgb="FF1F3864"/>
      </top>
      <bottom/>
      <diagonal/>
    </border>
    <border>
      <left style="thin">
        <color rgb="FFD5DBDB"/>
      </left>
      <right style="thin">
        <color rgb="FF1F3864"/>
      </right>
      <top style="thick">
        <color rgb="FF1F3864"/>
      </top>
      <bottom/>
      <diagonal/>
    </border>
    <border>
      <left style="thin">
        <color rgb="FFD5DBDB"/>
      </left>
      <right style="thin">
        <color rgb="FF1F3864"/>
      </right>
      <top/>
      <bottom/>
      <diagonal/>
    </border>
    <border>
      <left/>
      <right/>
      <top style="thick">
        <color rgb="FFEBEDEF"/>
      </top>
      <bottom/>
      <diagonal/>
    </border>
    <border>
      <left style="thin">
        <color rgb="FF1A5276"/>
      </left>
      <right style="thin">
        <color rgb="FFD5DBDB"/>
      </right>
      <top style="thin">
        <color rgb="FF1A5276"/>
      </top>
      <bottom style="thin">
        <color rgb="FFD5DBDB"/>
      </bottom>
      <diagonal/>
    </border>
    <border>
      <left style="thin">
        <color rgb="FFD5DBDB"/>
      </left>
      <right style="thin">
        <color rgb="FFD5DBDB"/>
      </right>
      <top style="thin">
        <color rgb="FF1A5276"/>
      </top>
      <bottom style="thin">
        <color rgb="FFD5DBDB"/>
      </bottom>
      <diagonal/>
    </border>
    <border>
      <left style="thin">
        <color rgb="FFD5DBDB"/>
      </left>
      <right style="thin">
        <color rgb="FF1A5276"/>
      </right>
      <top style="thin">
        <color rgb="FF1A5276"/>
      </top>
      <bottom style="thin">
        <color rgb="FFD5DBDB"/>
      </bottom>
      <diagonal/>
    </border>
    <border>
      <left style="thin">
        <color rgb="FF1A5276"/>
      </left>
      <right style="thin">
        <color rgb="FFD5DBDB"/>
      </right>
      <top style="thin">
        <color rgb="FFD5DBDB"/>
      </top>
      <bottom style="thin">
        <color rgb="FFD5DBDB"/>
      </bottom>
      <diagonal/>
    </border>
    <border>
      <left style="thin">
        <color rgb="FFD5DBDB"/>
      </left>
      <right style="thin">
        <color rgb="FF1A5276"/>
      </right>
      <top style="thin">
        <color rgb="FFD5DBDB"/>
      </top>
      <bottom style="thin">
        <color rgb="FFD5DBDB"/>
      </bottom>
      <diagonal/>
    </border>
    <border>
      <left style="thin">
        <color rgb="FFD5DBDB"/>
      </left>
      <right style="thin">
        <color rgb="FFD5DBDB"/>
      </right>
      <top style="thin">
        <color rgb="FFD5DBDB"/>
      </top>
      <bottom style="thin">
        <color rgb="FF1A5276"/>
      </bottom>
      <diagonal/>
    </border>
    <border>
      <left style="thin">
        <color rgb="FFD5DBDB"/>
      </left>
      <right style="thin">
        <color rgb="FF1A5276"/>
      </right>
      <top style="thin">
        <color rgb="FFD5DBDB"/>
      </top>
      <bottom style="thin">
        <color rgb="FF1A5276"/>
      </bottom>
      <diagonal/>
    </border>
    <border>
      <left style="thin">
        <color rgb="FF6C3483"/>
      </left>
      <right style="thin">
        <color rgb="FFD5DBDB"/>
      </right>
      <top style="thin">
        <color rgb="FF6C3483"/>
      </top>
      <bottom style="thin">
        <color rgb="FFD5DBDB"/>
      </bottom>
      <diagonal/>
    </border>
    <border>
      <left style="thin">
        <color rgb="FFD5DBDB"/>
      </left>
      <right style="thin">
        <color rgb="FFD5DBDB"/>
      </right>
      <top style="thin">
        <color rgb="FF6C3483"/>
      </top>
      <bottom style="thin">
        <color rgb="FFD5DBDB"/>
      </bottom>
      <diagonal/>
    </border>
    <border>
      <left style="thin">
        <color rgb="FFD5DBDB"/>
      </left>
      <right style="thin">
        <color rgb="FF6C3483"/>
      </right>
      <top style="thin">
        <color rgb="FF6C3483"/>
      </top>
      <bottom style="thin">
        <color rgb="FFD5DBDB"/>
      </bottom>
      <diagonal/>
    </border>
    <border>
      <left style="thin">
        <color rgb="FF6C3483"/>
      </left>
      <right style="thin">
        <color rgb="FFD5DBDB"/>
      </right>
      <top style="thin">
        <color rgb="FFD5DBDB"/>
      </top>
      <bottom style="thin">
        <color rgb="FFD5DBDB"/>
      </bottom>
      <diagonal/>
    </border>
    <border>
      <left style="thin">
        <color rgb="FFD5DBDB"/>
      </left>
      <right style="thin">
        <color rgb="FF6C3483"/>
      </right>
      <top style="thin">
        <color rgb="FFD5DBDB"/>
      </top>
      <bottom style="thin">
        <color rgb="FFD5DBDB"/>
      </bottom>
      <diagonal/>
    </border>
    <border>
      <left style="thin">
        <color rgb="FFD5DBDB"/>
      </left>
      <right style="thin">
        <color rgb="FFD5DBDB"/>
      </right>
      <top style="thin">
        <color rgb="FFD5DBDB"/>
      </top>
      <bottom style="thin">
        <color rgb="FF6C3483"/>
      </bottom>
      <diagonal/>
    </border>
    <border>
      <left style="thin">
        <color rgb="FFD5DBDB"/>
      </left>
      <right style="thin">
        <color rgb="FF6C3483"/>
      </right>
      <top style="thin">
        <color rgb="FFD5DBDB"/>
      </top>
      <bottom style="thin">
        <color rgb="FF6C3483"/>
      </bottom>
      <diagonal/>
    </border>
    <border>
      <left style="thin">
        <color rgb="FF1A5276"/>
      </left>
      <right style="thin">
        <color rgb="FFD5DBDB"/>
      </right>
      <top/>
      <bottom style="thin">
        <color rgb="FFD5DBDB"/>
      </bottom>
      <diagonal/>
    </border>
    <border>
      <left style="thin">
        <color rgb="FFD5DBDB"/>
      </left>
      <right style="thin">
        <color rgb="FF1A5276"/>
      </right>
      <top/>
      <bottom style="thin">
        <color rgb="FFD5DBDB"/>
      </bottom>
      <diagonal/>
    </border>
    <border>
      <left style="thin">
        <color rgb="FF1A5276"/>
      </left>
      <right style="thin">
        <color rgb="FFD5DBDB"/>
      </right>
      <top style="thin">
        <color rgb="FFD5DBDB"/>
      </top>
      <bottom/>
      <diagonal/>
    </border>
    <border>
      <left style="thin">
        <color rgb="FFD5DBDB"/>
      </left>
      <right style="thin">
        <color rgb="FF1A5276"/>
      </right>
      <top style="thin">
        <color rgb="FFD5DBDB"/>
      </top>
      <bottom/>
      <diagonal/>
    </border>
    <border>
      <left style="thin">
        <color rgb="FF6C3483"/>
      </left>
      <right style="thin">
        <color rgb="FFD5DBDB"/>
      </right>
      <top/>
      <bottom style="thin">
        <color rgb="FFD5DBDB"/>
      </bottom>
      <diagonal/>
    </border>
    <border>
      <left style="thin">
        <color rgb="FFD5DBDB"/>
      </left>
      <right style="thin">
        <color rgb="FF6C3483"/>
      </right>
      <top/>
      <bottom style="thin">
        <color rgb="FFD5DBDB"/>
      </bottom>
      <diagonal/>
    </border>
    <border>
      <left style="thin">
        <color rgb="FF1F3864"/>
      </left>
      <right/>
      <top/>
      <bottom style="thin">
        <color rgb="FFD5DBDB"/>
      </bottom>
      <diagonal/>
    </border>
    <border>
      <left/>
      <right style="thin">
        <color rgb="FF1F3864"/>
      </right>
      <top/>
      <bottom style="thin">
        <color rgb="FFD5DBDB"/>
      </bottom>
      <diagonal/>
    </border>
    <border>
      <left style="thin">
        <color rgb="FF6C3483"/>
      </left>
      <right style="thin">
        <color rgb="FFD5DBDB"/>
      </right>
      <top style="thin">
        <color rgb="FFD5DBDB"/>
      </top>
      <bottom/>
      <diagonal/>
    </border>
    <border>
      <left style="thin">
        <color rgb="FFD5DBDB"/>
      </left>
      <right style="thin">
        <color rgb="FF6C3483"/>
      </right>
      <top style="thin">
        <color rgb="FFD5DBDB"/>
      </top>
      <bottom/>
      <diagonal/>
    </border>
    <border>
      <left style="thin">
        <color rgb="FF6C3483"/>
      </left>
      <right style="thin">
        <color rgb="FFD5DBDB"/>
      </right>
      <top style="thin">
        <color rgb="FFD5DBDB"/>
      </top>
      <bottom style="thin">
        <color rgb="FF1E8449"/>
      </bottom>
      <diagonal/>
    </border>
    <border>
      <left style="thin">
        <color rgb="FFD5DBDB"/>
      </left>
      <right style="thin">
        <color rgb="FFD5DBDB"/>
      </right>
      <top style="thin">
        <color rgb="FFD5DBDB"/>
      </top>
      <bottom style="thin">
        <color rgb="FF1E8449"/>
      </bottom>
      <diagonal/>
    </border>
    <border>
      <left style="thin">
        <color rgb="FFD5DBDB"/>
      </left>
      <right style="thin">
        <color rgb="FF6C3483"/>
      </right>
      <top style="thin">
        <color rgb="FFD5DBDB"/>
      </top>
      <bottom style="thin">
        <color rgb="FF1E8449"/>
      </bottom>
      <diagonal/>
    </border>
    <border>
      <left style="thin">
        <color rgb="FF6C3483"/>
      </left>
      <right style="thin">
        <color rgb="FF95A5A6"/>
      </right>
      <top/>
      <bottom style="thin">
        <color rgb="FFD5DBDB"/>
      </bottom>
      <diagonal/>
    </border>
    <border>
      <left style="thin">
        <color rgb="FF95A5A6"/>
      </left>
      <right style="thin">
        <color rgb="FF95A5A6"/>
      </right>
      <top/>
      <bottom style="thin">
        <color rgb="FFD5DBDB"/>
      </bottom>
      <diagonal/>
    </border>
    <border>
      <left style="thin">
        <color rgb="FF95A5A6"/>
      </left>
      <right style="thin">
        <color rgb="FF6C3483"/>
      </right>
      <top/>
      <bottom style="thin">
        <color rgb="FFD5DBDB"/>
      </bottom>
      <diagonal/>
    </border>
    <border>
      <left style="thin">
        <color rgb="FF1A5276"/>
      </left>
      <right style="thin">
        <color rgb="FFD5DBDB"/>
      </right>
      <top style="thin">
        <color rgb="FFD5DBDB"/>
      </top>
      <bottom style="thin">
        <color rgb="FF922B21"/>
      </bottom>
      <diagonal/>
    </border>
    <border>
      <left style="thin">
        <color rgb="FFD5DBDB"/>
      </left>
      <right style="thin">
        <color rgb="FFD5DBDB"/>
      </right>
      <top style="thin">
        <color rgb="FFD5DBDB"/>
      </top>
      <bottom style="thin">
        <color rgb="FF922B21"/>
      </bottom>
      <diagonal/>
    </border>
    <border>
      <left style="thin">
        <color rgb="FFD5DBDB"/>
      </left>
      <right style="thin">
        <color rgb="FF1A5276"/>
      </right>
      <top style="thin">
        <color rgb="FFD5DBDB"/>
      </top>
      <bottom style="thin">
        <color rgb="FF922B21"/>
      </bottom>
      <diagonal/>
    </border>
    <border>
      <left style="thick">
        <color rgb="FF1F3864"/>
      </left>
      <right style="thin">
        <color rgb="FFD5DBDB"/>
      </right>
      <top style="thin">
        <color rgb="FFD5DBDB"/>
      </top>
      <bottom style="thin">
        <color rgb="FFD5DBDB"/>
      </bottom>
      <diagonal/>
    </border>
    <border>
      <left/>
      <right style="thin">
        <color rgb="FFD5DBDB"/>
      </right>
      <top style="thick">
        <color rgb="FF1F3864"/>
      </top>
      <bottom style="thin">
        <color rgb="FFD5DBDB"/>
      </bottom>
      <diagonal/>
    </border>
    <border>
      <left style="thick">
        <color rgb="FF1F3864"/>
      </left>
      <right style="thin">
        <color rgb="FFD5DBDB"/>
      </right>
      <top/>
      <bottom style="thin">
        <color rgb="FFD5DBDB"/>
      </bottom>
      <diagonal/>
    </border>
    <border>
      <left style="thick">
        <color rgb="FF7B241C"/>
      </left>
      <right style="thin">
        <color rgb="FFD5DBDB"/>
      </right>
      <top style="thin">
        <color rgb="FFD5DBDB"/>
      </top>
      <bottom/>
      <diagonal/>
    </border>
    <border>
      <left style="thick">
        <color rgb="FF1E8449"/>
      </left>
      <right style="thin">
        <color rgb="FFD5DBDB"/>
      </right>
      <top style="thin">
        <color rgb="FFD5DBDB"/>
      </top>
      <bottom/>
      <diagonal/>
    </border>
    <border>
      <left style="thick">
        <color rgb="FF784212"/>
      </left>
      <right style="thin">
        <color rgb="FFD5DBDB"/>
      </right>
      <top style="thin">
        <color rgb="FFD5DBDB"/>
      </top>
      <bottom/>
      <diagonal/>
    </border>
    <border>
      <left style="thick">
        <color rgb="FF6C3483"/>
      </left>
      <right style="thin">
        <color rgb="FFD5DBDB"/>
      </right>
      <top style="thin">
        <color rgb="FFD5DBDB"/>
      </top>
      <bottom style="thin">
        <color rgb="FFD5DBDB"/>
      </bottom>
      <diagonal/>
    </border>
    <border>
      <left style="thick">
        <color rgb="FF1F3864"/>
      </left>
      <right style="thin">
        <color rgb="FFD5DBDB"/>
      </right>
      <top style="thin">
        <color rgb="FFD5DBDB"/>
      </top>
      <bottom/>
      <diagonal/>
    </border>
    <border>
      <left style="thick">
        <color rgb="FF1F3864"/>
      </left>
      <right style="thin">
        <color rgb="FF95A5A6"/>
      </right>
      <top style="thin">
        <color rgb="FFD5DBDB"/>
      </top>
      <bottom/>
      <diagonal/>
    </border>
    <border>
      <left style="thick">
        <color rgb="FF1A5276"/>
      </left>
      <right/>
      <top style="thin">
        <color rgb="FF1A5276"/>
      </top>
      <bottom/>
      <diagonal/>
    </border>
    <border>
      <left style="thick">
        <color rgb="FF1A5276"/>
      </left>
      <right style="thin">
        <color rgb="FFD5DBDB"/>
      </right>
      <top style="thin">
        <color rgb="FF1A5276"/>
      </top>
      <bottom style="thin">
        <color rgb="FFD5DBDB"/>
      </bottom>
      <diagonal/>
    </border>
    <border>
      <left style="thick">
        <color rgb="FF1A5276"/>
      </left>
      <right style="thin">
        <color rgb="FFD5DBDB"/>
      </right>
      <top style="thin">
        <color rgb="FFD5DBDB"/>
      </top>
      <bottom style="thin">
        <color rgb="FFD5DBDB"/>
      </bottom>
      <diagonal/>
    </border>
    <border>
      <left style="thick">
        <color rgb="FF1A5276"/>
      </left>
      <right style="thin">
        <color rgb="FFD5DBDB"/>
      </right>
      <top style="thin">
        <color rgb="FFD5DBDB"/>
      </top>
      <bottom style="thin">
        <color rgb="FF1A5276"/>
      </bottom>
      <diagonal/>
    </border>
    <border>
      <left style="thick">
        <color rgb="FF1A5276"/>
      </left>
      <right style="thin">
        <color rgb="FFD5DBDB"/>
      </right>
      <top style="thin">
        <color rgb="FFD5DBDB"/>
      </top>
      <bottom/>
      <diagonal/>
    </border>
    <border>
      <left style="thick">
        <color rgb="FF1A5276"/>
      </left>
      <right style="thin">
        <color rgb="FFD5DBDB"/>
      </right>
      <top style="thin">
        <color rgb="FFD5DBDB"/>
      </top>
      <bottom style="thin">
        <color rgb="FF1E8449"/>
      </bottom>
      <diagonal/>
    </border>
    <border>
      <left style="thin">
        <color rgb="FFD5DBDB"/>
      </left>
      <right style="thin">
        <color rgb="FF1A5276"/>
      </right>
      <top style="thin">
        <color rgb="FFD5DBDB"/>
      </top>
      <bottom style="thin">
        <color rgb="FF1E8449"/>
      </bottom>
      <diagonal/>
    </border>
    <border>
      <left style="thick">
        <color rgb="FF2C3E50"/>
      </left>
      <right style="thin">
        <color rgb="FF95A5A6"/>
      </right>
      <top/>
      <bottom/>
      <diagonal/>
    </border>
    <border>
      <left/>
      <right/>
      <top style="thin">
        <color rgb="FF6C3483"/>
      </top>
      <bottom style="thin">
        <color rgb="FFD5DBDB"/>
      </bottom>
      <diagonal/>
    </border>
    <border>
      <left/>
      <right style="thin">
        <color rgb="FF6C3483"/>
      </right>
      <top style="thin">
        <color rgb="FF6C3483"/>
      </top>
      <bottom style="thin">
        <color rgb="FFD5DBDB"/>
      </bottom>
      <diagonal/>
    </border>
    <border>
      <left style="thick">
        <color rgb="FF6C3483"/>
      </left>
      <right/>
      <top style="thin">
        <color rgb="FF6C3483"/>
      </top>
      <bottom/>
      <diagonal/>
    </border>
    <border>
      <left/>
      <right/>
      <top style="thin">
        <color rgb="FF6C3483"/>
      </top>
      <bottom/>
      <diagonal/>
    </border>
    <border>
      <left style="thick">
        <color rgb="FF6C3483"/>
      </left>
      <right style="thin">
        <color rgb="FFD5DBDB"/>
      </right>
      <top style="thin">
        <color rgb="FF6C3483"/>
      </top>
      <bottom/>
      <diagonal/>
    </border>
    <border>
      <left style="thick">
        <color rgb="FF6C3483"/>
      </left>
      <right style="thin">
        <color rgb="FFD5DBDB"/>
      </right>
      <top style="thin">
        <color rgb="FFD5DBDB"/>
      </top>
      <bottom/>
      <diagonal/>
    </border>
    <border>
      <left style="thick">
        <color rgb="FF154360"/>
      </left>
      <right style="thin">
        <color rgb="FFD5DBDB"/>
      </right>
      <top style="thin">
        <color rgb="FFD5DBDB"/>
      </top>
      <bottom/>
      <diagonal/>
    </border>
    <border>
      <left/>
      <right style="thin">
        <color rgb="FFD5DBDB"/>
      </right>
      <top style="thin">
        <color rgb="FFD5DBDB"/>
      </top>
      <bottom style="thin">
        <color rgb="FF6C3483"/>
      </bottom>
      <diagonal/>
    </border>
    <border>
      <left style="thick">
        <color rgb="FF7B241C"/>
      </left>
      <right style="thin">
        <color rgb="FFD5DBDB"/>
      </right>
      <top style="thin">
        <color rgb="FFD5DBDB"/>
      </top>
      <bottom style="thin">
        <color rgb="FF6C3483"/>
      </bottom>
      <diagonal/>
    </border>
    <border>
      <left style="thick">
        <color rgb="FF154360"/>
      </left>
      <right style="thin">
        <color rgb="FFD5DBDB"/>
      </right>
      <top/>
      <bottom/>
      <diagonal/>
    </border>
    <border>
      <left/>
      <right style="thin">
        <color rgb="FFD5DBDB"/>
      </right>
      <top/>
      <bottom style="thin">
        <color rgb="FFD5DBDB"/>
      </bottom>
      <diagonal/>
    </border>
    <border>
      <left style="thick">
        <color rgb="FF1F3864"/>
      </left>
      <right style="thin">
        <color rgb="FFD5DBDB"/>
      </right>
      <top style="thin">
        <color rgb="FF1F3864"/>
      </top>
      <bottom style="thin">
        <color rgb="FFD5DBDB"/>
      </bottom>
      <diagonal/>
    </border>
    <border>
      <left style="thick">
        <color rgb="FF1F3864"/>
      </left>
      <right style="thin">
        <color rgb="FF95A5A6"/>
      </right>
      <top style="thin">
        <color rgb="FFD5DBDB"/>
      </top>
      <bottom style="thin">
        <color rgb="FF95A5A6"/>
      </bottom>
      <diagonal/>
    </border>
    <border>
      <left style="thin">
        <color rgb="FF95A5A6"/>
      </left>
      <right style="thin">
        <color rgb="FF1F3864"/>
      </right>
      <top style="thin">
        <color rgb="FFD5DBDB"/>
      </top>
      <bottom style="thin">
        <color rgb="FF95A5A6"/>
      </bottom>
      <diagonal/>
    </border>
    <border>
      <left style="thick">
        <color rgb="FF1F3864"/>
      </left>
      <right style="thin">
        <color rgb="FF95A5A6"/>
      </right>
      <top style="thin">
        <color rgb="FF95A5A6"/>
      </top>
      <bottom/>
      <diagonal/>
    </border>
    <border>
      <left style="thick">
        <color rgb="FF1F3864"/>
      </left>
      <right style="thin">
        <color rgb="FFD5DBDB"/>
      </right>
      <top style="thin">
        <color rgb="FF1F3864"/>
      </top>
      <bottom style="thin">
        <color rgb="FF1F3864"/>
      </bottom>
      <diagonal/>
    </border>
    <border>
      <left style="thick">
        <color rgb="FF1F3864"/>
      </left>
      <right style="thin">
        <color rgb="FFD5DBDB"/>
      </right>
      <top style="thin">
        <color rgb="FF1F3864"/>
      </top>
      <bottom/>
      <diagonal/>
    </border>
    <border>
      <left style="thick">
        <color rgb="FF2C3E50"/>
      </left>
      <right style="thin">
        <color rgb="FF95A5A6"/>
      </right>
      <top/>
      <bottom style="thin">
        <color rgb="FF2C3E50"/>
      </bottom>
      <diagonal/>
    </border>
    <border>
      <left style="thick">
        <color rgb="FF2C3E50"/>
      </left>
      <right/>
      <top/>
      <bottom/>
      <diagonal/>
    </border>
    <border>
      <left style="thin">
        <color rgb="FFD5DBDB"/>
      </left>
      <right/>
      <top style="thin">
        <color rgb="FF1F3864"/>
      </top>
      <bottom style="thin">
        <color rgb="FFD5DBDB"/>
      </bottom>
      <diagonal/>
    </border>
    <border>
      <left style="thin">
        <color rgb="FF95A5A6"/>
      </left>
      <right/>
      <top style="thin">
        <color rgb="FFD5DBDB"/>
      </top>
      <bottom style="thin">
        <color rgb="FF95A5A6"/>
      </bottom>
      <diagonal/>
    </border>
    <border>
      <left/>
      <right style="thin">
        <color rgb="FFD5DBDB"/>
      </right>
      <top style="thin">
        <color rgb="FF1F3864"/>
      </top>
      <bottom style="thin">
        <color rgb="FFD5DBDB"/>
      </bottom>
      <diagonal/>
    </border>
    <border>
      <left/>
      <right style="thin">
        <color rgb="FFD5DBDB"/>
      </right>
      <top style="thin">
        <color rgb="FFD5DBDB"/>
      </top>
      <bottom/>
      <diagonal/>
    </border>
    <border>
      <left style="thin">
        <color rgb="FF2C3E50"/>
      </left>
      <right style="thin">
        <color rgb="FFD5DBDB"/>
      </right>
      <top style="thin">
        <color rgb="FF1F3864"/>
      </top>
      <bottom style="thin">
        <color rgb="FF1A5276"/>
      </bottom>
      <diagonal/>
    </border>
    <border>
      <left style="thin">
        <color rgb="FF2C3E50"/>
      </left>
      <right style="thin">
        <color rgb="FFD5DBDB"/>
      </right>
      <top style="thin">
        <color rgb="FF1F3864"/>
      </top>
      <bottom style="thin">
        <color rgb="FFD5DBDB"/>
      </bottom>
      <diagonal/>
    </border>
    <border>
      <left style="thin">
        <color rgb="FF2C3E50"/>
      </left>
      <right style="thin">
        <color rgb="FFD5DBDB"/>
      </right>
      <top style="thin">
        <color rgb="FFD5DBDB"/>
      </top>
      <bottom style="thin">
        <color rgb="FFD5DBDB"/>
      </bottom>
      <diagonal/>
    </border>
    <border>
      <left style="thin">
        <color rgb="FF2C3E50"/>
      </left>
      <right style="thin">
        <color rgb="FFD5DBDB"/>
      </right>
      <top style="thin">
        <color rgb="FFD5DBDB"/>
      </top>
      <bottom/>
      <diagonal/>
    </border>
    <border>
      <left style="thin">
        <color rgb="FF2C3E50"/>
      </left>
      <right/>
      <top style="thin">
        <color rgb="FF1F3864"/>
      </top>
      <bottom style="thin">
        <color rgb="FFD5DBDB"/>
      </bottom>
      <diagonal/>
    </border>
    <border>
      <left style="thin">
        <color rgb="FF2C3E50"/>
      </left>
      <right/>
      <top style="thin">
        <color rgb="FFD5DBDB"/>
      </top>
      <bottom style="thin">
        <color rgb="FFD5DBDB"/>
      </bottom>
      <diagonal/>
    </border>
    <border>
      <left style="thin">
        <color rgb="FF2C3E50"/>
      </left>
      <right/>
      <top style="thin">
        <color rgb="FFD5DBDB"/>
      </top>
      <bottom style="thin">
        <color rgb="FF95A5A6"/>
      </bottom>
      <diagonal/>
    </border>
    <border>
      <left style="thin">
        <color rgb="FF2C3E50"/>
      </left>
      <right/>
      <top style="thin">
        <color rgb="FF1F3864"/>
      </top>
      <bottom style="thin">
        <color rgb="FF1A5276"/>
      </bottom>
      <diagonal/>
    </border>
    <border>
      <left style="thick">
        <color rgb="FF2C3E50"/>
      </left>
      <right/>
      <top style="thin">
        <color rgb="FFD5DBDB"/>
      </top>
      <bottom/>
      <diagonal/>
    </border>
    <border>
      <left style="thick">
        <color rgb="FF1A5276"/>
      </left>
      <right style="thin">
        <color rgb="FFD5DBDB"/>
      </right>
      <top style="thin">
        <color rgb="FFD5DBDB"/>
      </top>
      <bottom style="thin">
        <color rgb="FF922B21"/>
      </bottom>
      <diagonal/>
    </border>
    <border>
      <left style="thin">
        <color rgb="FFD5DBDB"/>
      </left>
      <right/>
      <top style="thin">
        <color rgb="FF1F3864"/>
      </top>
      <bottom style="thin">
        <color rgb="FF1F3864"/>
      </bottom>
      <diagonal/>
    </border>
    <border>
      <left style="thin">
        <color rgb="FF2C3E50"/>
      </left>
      <right style="thin">
        <color rgb="FFD5DBDB"/>
      </right>
      <top style="thin">
        <color rgb="FF1F3864"/>
      </top>
      <bottom style="thin">
        <color rgb="FF1F3864"/>
      </bottom>
      <diagonal/>
    </border>
    <border>
      <left style="thin">
        <color rgb="FF2C3E50"/>
      </left>
      <right style="thin">
        <color rgb="FF1F3864"/>
      </right>
      <top style="thin">
        <color rgb="FF1F3864"/>
      </top>
      <bottom style="thin">
        <color rgb="FF1F3864"/>
      </bottom>
      <diagonal/>
    </border>
    <border>
      <left style="thin">
        <color rgb="FF2C3E50"/>
      </left>
      <right style="thin">
        <color rgb="FF1F3864"/>
      </right>
      <top style="thin">
        <color rgb="FF1F3864"/>
      </top>
      <bottom style="thin">
        <color rgb="FFD5DBDB"/>
      </bottom>
      <diagonal/>
    </border>
    <border>
      <left style="thin">
        <color rgb="FF2C3E50"/>
      </left>
      <right style="thin">
        <color rgb="FF1F3864"/>
      </right>
      <top style="thin">
        <color rgb="FFD5DBDB"/>
      </top>
      <bottom style="thin">
        <color rgb="FFD5DBDB"/>
      </bottom>
      <diagonal/>
    </border>
    <border>
      <left style="thin">
        <color rgb="FF2C3E50"/>
      </left>
      <right style="thin">
        <color rgb="FF1F3864"/>
      </right>
      <top style="thin">
        <color rgb="FFD5DBDB"/>
      </top>
      <bottom/>
      <diagonal/>
    </border>
    <border>
      <left style="thin">
        <color rgb="FF1F3864"/>
      </left>
      <right style="thin">
        <color rgb="FF1F3864"/>
      </right>
      <top style="thin">
        <color rgb="FFD5DBDB"/>
      </top>
      <bottom style="thin">
        <color rgb="FF1F3864"/>
      </bottom>
      <diagonal/>
    </border>
    <border>
      <left style="thin">
        <color rgb="FF1A5276"/>
      </left>
      <right style="thin">
        <color rgb="FFD5DBDB"/>
      </right>
      <top style="thin">
        <color rgb="FFD5DBDB"/>
      </top>
      <bottom style="thin">
        <color rgb="FF1E8449"/>
      </bottom>
      <diagonal/>
    </border>
    <border>
      <left style="thin">
        <color rgb="FF6C3483"/>
      </left>
      <right/>
      <top style="thin">
        <color rgb="FF6C3483"/>
      </top>
      <bottom/>
      <diagonal/>
    </border>
    <border>
      <left style="thin">
        <color rgb="FF6C3483"/>
      </left>
      <right style="thin">
        <color rgb="FFD5DBDB"/>
      </right>
      <top style="thin">
        <color rgb="FF922B21"/>
      </top>
      <bottom/>
      <diagonal/>
    </border>
    <border>
      <left style="thin">
        <color rgb="FFD5DBDB"/>
      </left>
      <right style="thin">
        <color rgb="FFD5DBDB"/>
      </right>
      <top style="thin">
        <color rgb="FF922B21"/>
      </top>
      <bottom/>
      <diagonal/>
    </border>
    <border>
      <left style="thin">
        <color rgb="FFD5DBDB"/>
      </left>
      <right style="thin">
        <color rgb="FF6C3483"/>
      </right>
      <top style="thin">
        <color rgb="FF922B21"/>
      </top>
      <bottom/>
      <diagonal/>
    </border>
    <border>
      <left/>
      <right/>
      <top style="thin">
        <color rgb="FF1E8449"/>
      </top>
      <bottom style="thin">
        <color rgb="FFD5DBDB"/>
      </bottom>
      <diagonal/>
    </border>
    <border>
      <left/>
      <right style="thin">
        <color rgb="FF1E8449"/>
      </right>
      <top style="thin">
        <color rgb="FF1E8449"/>
      </top>
      <bottom style="thin">
        <color rgb="FFD5DBDB"/>
      </bottom>
      <diagonal/>
    </border>
    <border>
      <left style="thin">
        <color rgb="FF1E8449"/>
      </left>
      <right/>
      <top style="thin">
        <color rgb="FF1E8449"/>
      </top>
      <bottom/>
      <diagonal/>
    </border>
    <border>
      <left/>
      <right/>
      <top style="thin">
        <color rgb="FF1E8449"/>
      </top>
      <bottom/>
      <diagonal/>
    </border>
    <border>
      <left style="thin">
        <color rgb="FF2C3E50"/>
      </left>
      <right style="thin">
        <color rgb="FF95A5A6"/>
      </right>
      <top/>
      <bottom style="thin">
        <color rgb="FF2C3E50"/>
      </bottom>
      <diagonal/>
    </border>
    <border>
      <left style="thin">
        <color rgb="FF1E8449"/>
      </left>
      <right style="thin">
        <color rgb="FFD5DBDB"/>
      </right>
      <top style="thin">
        <color rgb="FF1E8449"/>
      </top>
      <bottom/>
      <diagonal/>
    </border>
    <border>
      <left style="thin">
        <color rgb="FFD5DBDB"/>
      </left>
      <right style="thin">
        <color rgb="FFD5DBDB"/>
      </right>
      <top style="thin">
        <color rgb="FF1E8449"/>
      </top>
      <bottom/>
      <diagonal/>
    </border>
    <border>
      <left style="thin">
        <color rgb="FFD5DBDB"/>
      </left>
      <right style="thin">
        <color rgb="FF1E8449"/>
      </right>
      <top style="thin">
        <color rgb="FF1E8449"/>
      </top>
      <bottom/>
      <diagonal/>
    </border>
    <border>
      <left style="thin">
        <color rgb="FF1E8449"/>
      </left>
      <right style="thin">
        <color rgb="FFD5DBDB"/>
      </right>
      <top style="thin">
        <color rgb="FF856404"/>
      </top>
      <bottom style="thin">
        <color rgb="FFD5DBDB"/>
      </bottom>
      <diagonal/>
    </border>
    <border>
      <left style="thin">
        <color rgb="FFD5DBDB"/>
      </left>
      <right style="thin">
        <color rgb="FFD5DBDB"/>
      </right>
      <top style="thin">
        <color rgb="FF856404"/>
      </top>
      <bottom style="thin">
        <color rgb="FFD5DBDB"/>
      </bottom>
      <diagonal/>
    </border>
    <border>
      <left style="thin">
        <color rgb="FFD5DBDB"/>
      </left>
      <right style="thin">
        <color rgb="FF1E8449"/>
      </right>
      <top style="thin">
        <color rgb="FF856404"/>
      </top>
      <bottom style="thin">
        <color rgb="FFD5DBDB"/>
      </bottom>
      <diagonal/>
    </border>
    <border>
      <left style="thin">
        <color rgb="FF1E8449"/>
      </left>
      <right style="thin">
        <color rgb="FFD5DBDB"/>
      </right>
      <top/>
      <bottom/>
      <diagonal/>
    </border>
    <border>
      <left style="thin">
        <color rgb="FFD5DBDB"/>
      </left>
      <right style="thin">
        <color rgb="FF1E8449"/>
      </right>
      <top/>
      <bottom/>
      <diagonal/>
    </border>
    <border>
      <left style="thin">
        <color rgb="FF1E8449"/>
      </left>
      <right style="thin">
        <color rgb="FFD5DBDB"/>
      </right>
      <top style="thin">
        <color rgb="FFD5DBDB"/>
      </top>
      <bottom style="thin">
        <color rgb="FF922B21"/>
      </bottom>
      <diagonal/>
    </border>
    <border>
      <left style="thin">
        <color rgb="FFD5DBDB"/>
      </left>
      <right style="thin">
        <color rgb="FF1E8449"/>
      </right>
      <top style="thin">
        <color rgb="FFD5DBDB"/>
      </top>
      <bottom style="thin">
        <color rgb="FF922B21"/>
      </bottom>
      <diagonal/>
    </border>
    <border>
      <left style="thin">
        <color rgb="FF1F3864"/>
      </left>
      <right style="thin">
        <color rgb="FF1F3864"/>
      </right>
      <top style="thin">
        <color rgb="FF95A5A6"/>
      </top>
      <bottom style="thin">
        <color rgb="FF1F3864"/>
      </bottom>
      <diagonal/>
    </border>
    <border>
      <left style="thin">
        <color rgb="FF1F3864"/>
      </left>
      <right style="thin">
        <color rgb="FF95A5A6"/>
      </right>
      <top/>
      <bottom/>
      <diagonal/>
    </border>
    <border>
      <left style="thin">
        <color rgb="FF95A5A6"/>
      </left>
      <right style="thin">
        <color rgb="FF1F3864"/>
      </right>
      <top/>
      <bottom/>
      <diagonal/>
    </border>
    <border>
      <left style="thin">
        <color rgb="FF1F3864"/>
      </left>
      <right/>
      <top style="thin">
        <color rgb="FF95A5A6"/>
      </top>
      <bottom/>
      <diagonal/>
    </border>
    <border>
      <left/>
      <right style="thin">
        <color rgb="FF1F3864"/>
      </right>
      <top style="thin">
        <color rgb="FF95A5A6"/>
      </top>
      <bottom/>
      <diagonal/>
    </border>
    <border>
      <left/>
      <right style="thin">
        <color rgb="FF1F3864"/>
      </right>
      <top/>
      <bottom style="thin">
        <color rgb="FF95A5A6"/>
      </bottom>
      <diagonal/>
    </border>
    <border>
      <left/>
      <right style="thin">
        <color rgb="FF1F3864"/>
      </right>
      <top style="thin">
        <color rgb="FF1A5276"/>
      </top>
      <bottom/>
      <diagonal/>
    </border>
    <border>
      <left style="thin">
        <color rgb="FF1F3864"/>
      </left>
      <right/>
      <top style="thick">
        <color rgb="FFEBEDEF"/>
      </top>
      <bottom/>
      <diagonal/>
    </border>
    <border>
      <left/>
      <right style="thin">
        <color rgb="FF1F3864"/>
      </right>
      <top style="thick">
        <color rgb="FFEBEDEF"/>
      </top>
      <bottom/>
      <diagonal/>
    </border>
    <border>
      <left style="thin">
        <color rgb="FF1F3864"/>
      </left>
      <right style="thin">
        <color rgb="FF95A5A6"/>
      </right>
      <top style="thin">
        <color rgb="FF1A5276"/>
      </top>
      <bottom/>
      <diagonal/>
    </border>
    <border>
      <left style="thin">
        <color rgb="FF95A5A6"/>
      </left>
      <right style="thin">
        <color rgb="FF95A5A6"/>
      </right>
      <top style="thin">
        <color rgb="FF1A5276"/>
      </top>
      <bottom/>
      <diagonal/>
    </border>
    <border>
      <left style="thin">
        <color rgb="FF95A5A6"/>
      </left>
      <right style="thin">
        <color rgb="FF1F3864"/>
      </right>
      <top style="thin">
        <color rgb="FF1A5276"/>
      </top>
      <bottom/>
      <diagonal/>
    </border>
    <border>
      <left style="thin">
        <color rgb="FF1F3864"/>
      </left>
      <right style="thin">
        <color rgb="FF1F3864"/>
      </right>
      <top style="thin">
        <color rgb="FF154360"/>
      </top>
      <bottom style="thin">
        <color rgb="FFD5DBDB"/>
      </bottom>
      <diagonal/>
    </border>
    <border>
      <left style="thin">
        <color rgb="FF1F3864"/>
      </left>
      <right style="thin">
        <color rgb="FFD5DBDB"/>
      </right>
      <top style="thin">
        <color rgb="FF154360"/>
      </top>
      <bottom style="thin">
        <color rgb="FFD5DBDB"/>
      </bottom>
      <diagonal/>
    </border>
    <border>
      <left style="thin">
        <color rgb="FFD5DBDB"/>
      </left>
      <right style="thin">
        <color rgb="FFD5DBDB"/>
      </right>
      <top style="thin">
        <color rgb="FF154360"/>
      </top>
      <bottom style="thin">
        <color rgb="FFD5DBDB"/>
      </bottom>
      <diagonal/>
    </border>
    <border>
      <left style="thin">
        <color rgb="FFD5DBDB"/>
      </left>
      <right style="thin">
        <color rgb="FF1F3864"/>
      </right>
      <top style="thin">
        <color rgb="FF154360"/>
      </top>
      <bottom style="thin">
        <color rgb="FFD5DBDB"/>
      </bottom>
      <diagonal/>
    </border>
    <border>
      <left style="thin">
        <color rgb="FF1F3864"/>
      </left>
      <right style="thin">
        <color rgb="FFD5DBDB"/>
      </right>
      <top style="thin">
        <color rgb="FF154360"/>
      </top>
      <bottom/>
      <diagonal/>
    </border>
    <border>
      <left style="thin">
        <color rgb="FFD5DBDB"/>
      </left>
      <right style="thin">
        <color rgb="FFD5DBDB"/>
      </right>
      <top style="thin">
        <color rgb="FF154360"/>
      </top>
      <bottom/>
      <diagonal/>
    </border>
    <border>
      <left style="thin">
        <color rgb="FFD5DBDB"/>
      </left>
      <right style="thin">
        <color rgb="FF1F3864"/>
      </right>
      <top style="thin">
        <color rgb="FF154360"/>
      </top>
      <bottom/>
      <diagonal/>
    </border>
    <border>
      <left style="thin">
        <color rgb="FF1F3864"/>
      </left>
      <right style="thin">
        <color rgb="FFD5DBDB"/>
      </right>
      <top style="thin">
        <color rgb="FFD5DBDB"/>
      </top>
      <bottom style="thin">
        <color rgb="FF1A5276"/>
      </bottom>
      <diagonal/>
    </border>
    <border>
      <left style="thin">
        <color rgb="FFD5DBDB"/>
      </left>
      <right style="thin">
        <color rgb="FF1F3864"/>
      </right>
      <top style="thin">
        <color rgb="FFD5DBDB"/>
      </top>
      <bottom style="thin">
        <color rgb="FF1A5276"/>
      </bottom>
      <diagonal/>
    </border>
    <border>
      <left style="thin">
        <color rgb="FF1F3864"/>
      </left>
      <right style="thin">
        <color rgb="FF95A5A6"/>
      </right>
      <top style="thin">
        <color rgb="FF7D6608"/>
      </top>
      <bottom/>
      <diagonal/>
    </border>
    <border>
      <left style="thin">
        <color rgb="FF95A5A6"/>
      </left>
      <right style="thin">
        <color rgb="FF95A5A6"/>
      </right>
      <top style="thin">
        <color rgb="FF7D6608"/>
      </top>
      <bottom/>
      <diagonal/>
    </border>
    <border>
      <left style="thin">
        <color rgb="FF95A5A6"/>
      </left>
      <right style="thin">
        <color rgb="FF1F3864"/>
      </right>
      <top style="thin">
        <color rgb="FF7D6608"/>
      </top>
      <bottom/>
      <diagonal/>
    </border>
    <border>
      <left style="thin">
        <color rgb="FF004C8C"/>
      </left>
      <right style="thin">
        <color rgb="FFD5DBDB"/>
      </right>
      <top style="thin">
        <color rgb="FF004C8C"/>
      </top>
      <bottom/>
      <diagonal/>
    </border>
    <border>
      <left style="thin">
        <color rgb="FFD5DBDB"/>
      </left>
      <right style="thin">
        <color rgb="FFD5DBDB"/>
      </right>
      <top style="thin">
        <color rgb="FF004C8C"/>
      </top>
      <bottom/>
      <diagonal/>
    </border>
    <border>
      <left style="thin">
        <color rgb="FFD5DBDB"/>
      </left>
      <right style="thin">
        <color rgb="FF004C8C"/>
      </right>
      <top style="thin">
        <color rgb="FF004C8C"/>
      </top>
      <bottom/>
      <diagonal/>
    </border>
    <border>
      <left style="thin">
        <color rgb="FF007035"/>
      </left>
      <right style="thin">
        <color rgb="FFD5DBDB"/>
      </right>
      <top style="thin">
        <color rgb="FF2C3E50"/>
      </top>
      <bottom/>
      <diagonal/>
    </border>
    <border>
      <left style="thin">
        <color rgb="FFD5DBDB"/>
      </left>
      <right style="thin">
        <color rgb="FFD5DBDB"/>
      </right>
      <top style="thin">
        <color rgb="FF2C3E50"/>
      </top>
      <bottom/>
      <diagonal/>
    </border>
    <border>
      <left style="thin">
        <color rgb="FFD5DBDB"/>
      </left>
      <right style="thin">
        <color rgb="FF007035"/>
      </right>
      <top style="thin">
        <color rgb="FF2C3E50"/>
      </top>
      <bottom/>
      <diagonal/>
    </border>
    <border>
      <left style="thin">
        <color rgb="FFC8A400"/>
      </left>
      <right style="thin">
        <color rgb="FFD5DBDB"/>
      </right>
      <top style="thin">
        <color rgb="FF2C3E50"/>
      </top>
      <bottom/>
      <diagonal/>
    </border>
    <border>
      <left style="thin">
        <color rgb="FFD5DBDB"/>
      </left>
      <right style="thin">
        <color rgb="FFC8A400"/>
      </right>
      <top style="thin">
        <color rgb="FF2C3E50"/>
      </top>
      <bottom/>
      <diagonal/>
    </border>
    <border>
      <left style="thin">
        <color rgb="FFCC8800"/>
      </left>
      <right style="thin">
        <color rgb="FFD5DBDB"/>
      </right>
      <top style="thin">
        <color rgb="FF2C3E50"/>
      </top>
      <bottom/>
      <diagonal/>
    </border>
    <border>
      <left style="thin">
        <color rgb="FFD5DBDB"/>
      </left>
      <right style="thin">
        <color rgb="FFCC8800"/>
      </right>
      <top style="thin">
        <color rgb="FF2C3E50"/>
      </top>
      <bottom/>
      <diagonal/>
    </border>
    <border>
      <left style="thin">
        <color rgb="FFA80000"/>
      </left>
      <right style="thin">
        <color rgb="FFD5DBDB"/>
      </right>
      <top style="thin">
        <color rgb="FF2C3E50"/>
      </top>
      <bottom style="thin">
        <color rgb="FFA80000"/>
      </bottom>
      <diagonal/>
    </border>
    <border>
      <left style="thin">
        <color rgb="FFD5DBDB"/>
      </left>
      <right style="thin">
        <color rgb="FFD5DBDB"/>
      </right>
      <top style="thin">
        <color rgb="FF2C3E50"/>
      </top>
      <bottom style="thin">
        <color rgb="FFA80000"/>
      </bottom>
      <diagonal/>
    </border>
    <border>
      <left style="thin">
        <color rgb="FFD5DBDB"/>
      </left>
      <right style="thin">
        <color rgb="FFA80000"/>
      </right>
      <top style="thin">
        <color rgb="FF2C3E50"/>
      </top>
      <bottom style="thin">
        <color rgb="FFA80000"/>
      </bottom>
      <diagonal/>
    </border>
    <border>
      <left style="thin">
        <color rgb="FF1F3864"/>
      </left>
      <right style="thin">
        <color rgb="FFD5DBDB"/>
      </right>
      <top/>
      <bottom/>
      <diagonal/>
    </border>
    <border>
      <left style="thin">
        <color rgb="FF007035"/>
      </left>
      <right style="thin">
        <color rgb="FFD5DBDB"/>
      </right>
      <top style="thin">
        <color rgb="FFD5DBDB"/>
      </top>
      <bottom/>
      <diagonal/>
    </border>
    <border>
      <left style="thin">
        <color rgb="FFD5DBDB"/>
      </left>
      <right style="thin">
        <color rgb="FF007035"/>
      </right>
      <top style="thin">
        <color rgb="FFD5DBDB"/>
      </top>
      <bottom/>
      <diagonal/>
    </border>
    <border>
      <left style="thin">
        <color rgb="FFC8A400"/>
      </left>
      <right style="thin">
        <color rgb="FFD5DBDB"/>
      </right>
      <top style="thin">
        <color rgb="FFD5DBDB"/>
      </top>
      <bottom/>
      <diagonal/>
    </border>
    <border>
      <left style="thin">
        <color rgb="FFD5DBDB"/>
      </left>
      <right style="thin">
        <color rgb="FFC8A400"/>
      </right>
      <top style="thin">
        <color rgb="FFD5DBDB"/>
      </top>
      <bottom/>
      <diagonal/>
    </border>
    <border>
      <left style="thin">
        <color rgb="FFCC8800"/>
      </left>
      <right style="thin">
        <color rgb="FFD5DBDB"/>
      </right>
      <top style="thin">
        <color rgb="FFD5DBDB"/>
      </top>
      <bottom/>
      <diagonal/>
    </border>
    <border>
      <left style="thin">
        <color rgb="FFD5DBDB"/>
      </left>
      <right style="thin">
        <color rgb="FFCC8800"/>
      </right>
      <top style="thin">
        <color rgb="FFD5DBDB"/>
      </top>
      <bottom/>
      <diagonal/>
    </border>
    <border>
      <left style="thin">
        <color rgb="FFA80000"/>
      </left>
      <right style="thin">
        <color rgb="FFD5DBDB"/>
      </right>
      <top style="thin">
        <color rgb="FFD5DBDB"/>
      </top>
      <bottom style="thin">
        <color rgb="FFA80000"/>
      </bottom>
      <diagonal/>
    </border>
    <border>
      <left style="thin">
        <color rgb="FFD5DBDB"/>
      </left>
      <right style="thin">
        <color rgb="FFD5DBDB"/>
      </right>
      <top style="thin">
        <color rgb="FFD5DBDB"/>
      </top>
      <bottom style="thin">
        <color rgb="FFA80000"/>
      </bottom>
      <diagonal/>
    </border>
    <border>
      <left style="thin">
        <color rgb="FFD5DBDB"/>
      </left>
      <right style="thin">
        <color rgb="FFA80000"/>
      </right>
      <top style="thin">
        <color rgb="FFD5DBDB"/>
      </top>
      <bottom style="thin">
        <color rgb="FFA80000"/>
      </bottom>
      <diagonal/>
    </border>
    <border>
      <left/>
      <right style="thin">
        <color rgb="FF95A5A6"/>
      </right>
      <top/>
      <bottom style="medium">
        <color rgb="FF95A5A6"/>
      </bottom>
      <diagonal/>
    </border>
    <border>
      <left/>
      <right style="thin">
        <color rgb="FF95A5A6"/>
      </right>
      <top style="medium">
        <color rgb="FF95A5A6"/>
      </top>
      <bottom style="medium">
        <color rgb="FF95A5A6"/>
      </bottom>
      <diagonal/>
    </border>
    <border>
      <left/>
      <right style="thin">
        <color rgb="FF95A5A6"/>
      </right>
      <top style="medium">
        <color rgb="FF95A5A6"/>
      </top>
      <bottom style="thin">
        <color rgb="FF2C3E50"/>
      </bottom>
      <diagonal/>
    </border>
    <border>
      <left style="thin">
        <color rgb="FF1F3864"/>
      </left>
      <right style="thin">
        <color rgb="FFD5DBDB"/>
      </right>
      <top style="thick">
        <color rgb="FF1E8449"/>
      </top>
      <bottom style="medium">
        <color rgb="FF154360"/>
      </bottom>
      <diagonal/>
    </border>
    <border>
      <left style="thin">
        <color rgb="FFD5DBDB"/>
      </left>
      <right style="thin">
        <color rgb="FFD5DBDB"/>
      </right>
      <top style="thick">
        <color rgb="FF1E8449"/>
      </top>
      <bottom style="medium">
        <color rgb="FF154360"/>
      </bottom>
      <diagonal/>
    </border>
    <border>
      <left style="thin">
        <color rgb="FFD5DBDB"/>
      </left>
      <right style="thin">
        <color rgb="FF1F3864"/>
      </right>
      <top style="thick">
        <color rgb="FF1E8449"/>
      </top>
      <bottom style="medium">
        <color rgb="FF154360"/>
      </bottom>
      <diagonal/>
    </border>
    <border>
      <left style="thin">
        <color rgb="FF1F3864"/>
      </left>
      <right style="thin">
        <color rgb="FFD5DBDB"/>
      </right>
      <top/>
      <bottom style="medium">
        <color rgb="FF95A5A6"/>
      </bottom>
      <diagonal/>
    </border>
    <border>
      <left style="thin">
        <color rgb="FFD5DBDB"/>
      </left>
      <right style="thin">
        <color rgb="FFD5DBDB"/>
      </right>
      <top/>
      <bottom style="medium">
        <color rgb="FF95A5A6"/>
      </bottom>
      <diagonal/>
    </border>
    <border>
      <left style="thin">
        <color rgb="FFD5DBDB"/>
      </left>
      <right style="thin">
        <color rgb="FF1F3864"/>
      </right>
      <top/>
      <bottom style="medium">
        <color rgb="FF95A5A6"/>
      </bottom>
      <diagonal/>
    </border>
    <border>
      <left style="thin">
        <color rgb="FF1F3864"/>
      </left>
      <right style="thin">
        <color rgb="FFD5DBDB"/>
      </right>
      <top style="medium">
        <color rgb="FF1F3864"/>
      </top>
      <bottom style="thin">
        <color rgb="FF1F3864"/>
      </bottom>
      <diagonal/>
    </border>
    <border>
      <left style="thin">
        <color rgb="FFD5DBDB"/>
      </left>
      <right style="thin">
        <color rgb="FF1F3864"/>
      </right>
      <top style="medium">
        <color rgb="FF1F3864"/>
      </top>
      <bottom style="thin">
        <color rgb="FF1F3864"/>
      </bottom>
      <diagonal/>
    </border>
    <border>
      <left style="thin">
        <color rgb="FF1F3864"/>
      </left>
      <right style="thin">
        <color rgb="FFD5DBDB"/>
      </right>
      <top style="medium">
        <color rgb="FF1F3864"/>
      </top>
      <bottom/>
      <diagonal/>
    </border>
    <border>
      <left style="thin">
        <color rgb="FFD5DBDB"/>
      </left>
      <right style="thin">
        <color rgb="FF1F3864"/>
      </right>
      <top style="medium">
        <color rgb="FF1F3864"/>
      </top>
      <bottom/>
      <diagonal/>
    </border>
    <border>
      <left style="thin">
        <color rgb="FF1F3864"/>
      </left>
      <right style="thin">
        <color rgb="FFD5DBDB"/>
      </right>
      <top style="medium">
        <color rgb="FF1E8449"/>
      </top>
      <bottom style="medium">
        <color rgb="FF1E8449"/>
      </bottom>
      <diagonal/>
    </border>
    <border>
      <left style="thin">
        <color rgb="FFD5DBDB"/>
      </left>
      <right style="thin">
        <color rgb="FFD5DBDB"/>
      </right>
      <top style="medium">
        <color rgb="FF1E8449"/>
      </top>
      <bottom style="medium">
        <color rgb="FF1E8449"/>
      </bottom>
      <diagonal/>
    </border>
    <border>
      <left style="thin">
        <color rgb="FFD5DBDB"/>
      </left>
      <right style="thin">
        <color rgb="FF1F3864"/>
      </right>
      <top style="medium">
        <color rgb="FF1E8449"/>
      </top>
      <bottom style="medium">
        <color rgb="FF1E8449"/>
      </bottom>
      <diagonal/>
    </border>
    <border>
      <left style="thin">
        <color rgb="FF1F3864"/>
      </left>
      <right style="thin">
        <color rgb="FFD5DBDB"/>
      </right>
      <top style="medium">
        <color rgb="FF154360"/>
      </top>
      <bottom/>
      <diagonal/>
    </border>
    <border>
      <left style="thin">
        <color rgb="FFD5DBDB"/>
      </left>
      <right style="thin">
        <color rgb="FFD5DBDB"/>
      </right>
      <top style="medium">
        <color rgb="FF154360"/>
      </top>
      <bottom/>
      <diagonal/>
    </border>
    <border>
      <left style="thin">
        <color rgb="FFD5DBDB"/>
      </left>
      <right style="thin">
        <color rgb="FF1F3864"/>
      </right>
      <top style="medium">
        <color rgb="FF154360"/>
      </top>
      <bottom/>
      <diagonal/>
    </border>
    <border>
      <left style="thin">
        <color rgb="FF1F3864"/>
      </left>
      <right style="thin">
        <color rgb="FFD5DBDB"/>
      </right>
      <top/>
      <bottom style="medium">
        <color rgb="FF1F3864"/>
      </bottom>
      <diagonal/>
    </border>
    <border>
      <left style="thin">
        <color rgb="FFD5DBDB"/>
      </left>
      <right style="thin">
        <color rgb="FF1F3864"/>
      </right>
      <top/>
      <bottom style="medium">
        <color rgb="FF1F3864"/>
      </bottom>
      <diagonal/>
    </border>
    <border>
      <left style="thin">
        <color rgb="FF1F3864"/>
      </left>
      <right style="thin">
        <color rgb="FFD5DBDB"/>
      </right>
      <top style="medium">
        <color rgb="FF1A5276"/>
      </top>
      <bottom style="medium">
        <color rgb="FFD5DBDB"/>
      </bottom>
      <diagonal/>
    </border>
    <border>
      <left style="thin">
        <color rgb="FFD5DBDB"/>
      </left>
      <right style="thin">
        <color rgb="FFD5DBDB"/>
      </right>
      <top style="medium">
        <color rgb="FF1A5276"/>
      </top>
      <bottom style="medium">
        <color rgb="FFD5DBDB"/>
      </bottom>
      <diagonal/>
    </border>
    <border>
      <left style="thin">
        <color rgb="FFD5DBDB"/>
      </left>
      <right style="thin">
        <color rgb="FF1F3864"/>
      </right>
      <top style="medium">
        <color rgb="FF1A5276"/>
      </top>
      <bottom style="medium">
        <color rgb="FFD5DBDB"/>
      </bottom>
      <diagonal/>
    </border>
    <border>
      <left style="thin">
        <color rgb="FF1F3864"/>
      </left>
      <right style="thin">
        <color rgb="FFD5DBDB"/>
      </right>
      <top style="medium">
        <color rgb="FFD5DBDB"/>
      </top>
      <bottom style="medium">
        <color rgb="FFD5DBDB"/>
      </bottom>
      <diagonal/>
    </border>
    <border>
      <left style="thin">
        <color rgb="FFD5DBDB"/>
      </left>
      <right style="thin">
        <color rgb="FF1F3864"/>
      </right>
      <top style="medium">
        <color rgb="FFD5DBDB"/>
      </top>
      <bottom style="medium">
        <color rgb="FFD5DBDB"/>
      </bottom>
      <diagonal/>
    </border>
    <border>
      <left style="thin">
        <color rgb="FF1F3864"/>
      </left>
      <right style="thin">
        <color rgb="FFD5DBDB"/>
      </right>
      <top style="medium">
        <color rgb="FFD5DBDB"/>
      </top>
      <bottom style="medium">
        <color rgb="FF1F3864"/>
      </bottom>
      <diagonal/>
    </border>
    <border>
      <left style="thin">
        <color rgb="FFD5DBDB"/>
      </left>
      <right style="thin">
        <color rgb="FF1F3864"/>
      </right>
      <top style="medium">
        <color rgb="FFD5DBDB"/>
      </top>
      <bottom style="medium">
        <color rgb="FF1F3864"/>
      </bottom>
      <diagonal/>
    </border>
    <border>
      <left style="thin">
        <color rgb="FF1F3864"/>
      </left>
      <right style="thin">
        <color rgb="FFD5DBDB"/>
      </right>
      <top style="medium">
        <color rgb="FF1E8449"/>
      </top>
      <bottom/>
      <diagonal/>
    </border>
    <border>
      <left style="thin">
        <color rgb="FFD5DBDB"/>
      </left>
      <right style="thin">
        <color rgb="FFD5DBDB"/>
      </right>
      <top style="medium">
        <color rgb="FF1E8449"/>
      </top>
      <bottom/>
      <diagonal/>
    </border>
    <border>
      <left style="thin">
        <color rgb="FFD5DBDB"/>
      </left>
      <right style="thin">
        <color rgb="FF1F3864"/>
      </right>
      <top style="medium">
        <color rgb="FF1E8449"/>
      </top>
      <bottom/>
      <diagonal/>
    </border>
    <border>
      <left style="thin">
        <color rgb="FF1F3864"/>
      </left>
      <right style="thin">
        <color rgb="FFD5DBDB"/>
      </right>
      <top style="medium">
        <color rgb="FF154360"/>
      </top>
      <bottom style="medium">
        <color rgb="FFD5DBDB"/>
      </bottom>
      <diagonal/>
    </border>
    <border>
      <left style="thin">
        <color rgb="FFD5DBDB"/>
      </left>
      <right style="thin">
        <color rgb="FFD5DBDB"/>
      </right>
      <top style="medium">
        <color rgb="FF154360"/>
      </top>
      <bottom style="medium">
        <color rgb="FFD5DBDB"/>
      </bottom>
      <diagonal/>
    </border>
    <border>
      <left style="thin">
        <color rgb="FFD5DBDB"/>
      </left>
      <right style="thin">
        <color rgb="FF1F3864"/>
      </right>
      <top style="medium">
        <color rgb="FF154360"/>
      </top>
      <bottom style="medium">
        <color rgb="FFD5DBDB"/>
      </bottom>
      <diagonal/>
    </border>
    <border>
      <left style="thin">
        <color rgb="FF1F3864"/>
      </left>
      <right style="thin">
        <color rgb="FFD5DBDB"/>
      </right>
      <top style="medium">
        <color rgb="FFD5DBDB"/>
      </top>
      <bottom style="thin">
        <color rgb="FF1F3864"/>
      </bottom>
      <diagonal/>
    </border>
    <border>
      <left style="thin">
        <color rgb="FFD5DBDB"/>
      </left>
      <right style="thin">
        <color rgb="FFD5DBDB"/>
      </right>
      <top style="medium">
        <color rgb="FFD5DBDB"/>
      </top>
      <bottom style="thin">
        <color rgb="FF1F3864"/>
      </bottom>
      <diagonal/>
    </border>
    <border>
      <left style="thin">
        <color rgb="FFD5DBDB"/>
      </left>
      <right style="thin">
        <color rgb="FF1F3864"/>
      </right>
      <top style="medium">
        <color rgb="FFD5DBDB"/>
      </top>
      <bottom style="thin">
        <color rgb="FF1F3864"/>
      </bottom>
      <diagonal/>
    </border>
    <border>
      <left/>
      <right/>
      <top style="thin">
        <color rgb="FF1F3864"/>
      </top>
      <bottom style="medium">
        <color rgb="FF1565C0"/>
      </bottom>
      <diagonal/>
    </border>
    <border>
      <left style="thin">
        <color rgb="FF1F3864"/>
      </left>
      <right/>
      <top style="thin">
        <color rgb="FF1F3864"/>
      </top>
      <bottom style="medium">
        <color rgb="FF1565C0"/>
      </bottom>
      <diagonal/>
    </border>
    <border>
      <left/>
      <right style="thin">
        <color rgb="FF1F3864"/>
      </right>
      <top style="thin">
        <color rgb="FF1F3864"/>
      </top>
      <bottom style="medium">
        <color rgb="FF1565C0"/>
      </bottom>
      <diagonal/>
    </border>
    <border>
      <left/>
      <right style="thin">
        <color rgb="FF1F3864"/>
      </right>
      <top style="medium">
        <color rgb="FF1565C0"/>
      </top>
      <bottom/>
      <diagonal/>
    </border>
    <border>
      <left style="thin">
        <color rgb="FF1F3864"/>
      </left>
      <right style="thin">
        <color rgb="FFD5DBDB"/>
      </right>
      <top style="thick">
        <color rgb="FF1F3864"/>
      </top>
      <bottom/>
      <diagonal/>
    </border>
    <border>
      <left/>
      <right/>
      <top style="thick">
        <color rgb="FF1565C0"/>
      </top>
      <bottom/>
      <diagonal/>
    </border>
    <border>
      <left/>
      <right style="thin">
        <color rgb="FF1F3864"/>
      </right>
      <top style="thick">
        <color rgb="FF1565C0"/>
      </top>
      <bottom/>
      <diagonal/>
    </border>
    <border>
      <left style="thin">
        <color rgb="FF1F3864"/>
      </left>
      <right style="thin">
        <color rgb="FFD5DBDB"/>
      </right>
      <top style="thin">
        <color rgb="FFD5DBDB"/>
      </top>
      <bottom style="thin">
        <color rgb="FF154360"/>
      </bottom>
      <diagonal/>
    </border>
    <border>
      <left style="thin">
        <color rgb="FFD5DBDB"/>
      </left>
      <right style="thin">
        <color rgb="FFD5DBDB"/>
      </right>
      <top style="thin">
        <color rgb="FFD5DBDB"/>
      </top>
      <bottom style="thin">
        <color rgb="FF154360"/>
      </bottom>
      <diagonal/>
    </border>
    <border>
      <left style="thin">
        <color rgb="FF1F3864"/>
      </left>
      <right style="thin">
        <color rgb="FFD5DBDB"/>
      </right>
      <top style="thin">
        <color rgb="FFC8A400"/>
      </top>
      <bottom style="thin">
        <color rgb="FFC8A400"/>
      </bottom>
      <diagonal/>
    </border>
    <border>
      <left style="thin">
        <color rgb="FFD5DBDB"/>
      </left>
      <right style="thin">
        <color rgb="FFD5DBDB"/>
      </right>
      <top style="thin">
        <color rgb="FFC8A400"/>
      </top>
      <bottom style="thin">
        <color rgb="FFC8A400"/>
      </bottom>
      <diagonal/>
    </border>
    <border>
      <left style="thin">
        <color rgb="FFD5DBDB"/>
      </left>
      <right style="thin">
        <color rgb="FF1F3864"/>
      </right>
      <top style="thin">
        <color rgb="FFC8A400"/>
      </top>
      <bottom style="thin">
        <color rgb="FFC8A400"/>
      </bottom>
      <diagonal/>
    </border>
    <border>
      <left style="thin">
        <color rgb="FFD5DBDB"/>
      </left>
      <right style="thin">
        <color rgb="FFD5DBDB"/>
      </right>
      <top/>
      <bottom style="thin">
        <color rgb="FF154360"/>
      </bottom>
      <diagonal/>
    </border>
    <border>
      <left style="thin">
        <color rgb="FFD5DBDB"/>
      </left>
      <right style="thin">
        <color rgb="FF1F3864"/>
      </right>
      <top/>
      <bottom style="thin">
        <color rgb="FF154360"/>
      </bottom>
      <diagonal/>
    </border>
    <border>
      <left style="thin">
        <color rgb="FFD5DBDB"/>
      </left>
      <right style="thin">
        <color rgb="FFD5DBDB"/>
      </right>
      <top/>
      <bottom style="thin">
        <color rgb="FF95A5A6"/>
      </bottom>
      <diagonal/>
    </border>
    <border>
      <left style="thin">
        <color rgb="FFD5DBDB"/>
      </left>
      <right style="thin">
        <color rgb="FF1F3864"/>
      </right>
      <top/>
      <bottom style="thin">
        <color rgb="FF95A5A6"/>
      </bottom>
      <diagonal/>
    </border>
    <border>
      <left style="thin">
        <color rgb="FF1F3864"/>
      </left>
      <right style="thin">
        <color rgb="FFD5DBDB"/>
      </right>
      <top style="thin">
        <color rgb="FF1F3864"/>
      </top>
      <bottom style="thin">
        <color rgb="FF2C3E50"/>
      </bottom>
      <diagonal/>
    </border>
    <border>
      <left style="thin">
        <color rgb="FFD5DBDB"/>
      </left>
      <right style="thin">
        <color rgb="FFD5DBDB"/>
      </right>
      <top style="thin">
        <color rgb="FF1F3864"/>
      </top>
      <bottom style="thin">
        <color rgb="FF2C3E50"/>
      </bottom>
      <diagonal/>
    </border>
    <border>
      <left style="thin">
        <color rgb="FFD5DBDB"/>
      </left>
      <right style="thin">
        <color rgb="FF1F3864"/>
      </right>
      <top style="thin">
        <color rgb="FF1F3864"/>
      </top>
      <bottom style="thin">
        <color rgb="FF2C3E50"/>
      </bottom>
      <diagonal/>
    </border>
    <border>
      <left style="thin">
        <color rgb="FF1F3864"/>
      </left>
      <right/>
      <top/>
      <bottom style="thin">
        <color rgb="FF922B21"/>
      </bottom>
      <diagonal/>
    </border>
    <border>
      <left/>
      <right/>
      <top/>
      <bottom style="thin">
        <color rgb="FF922B21"/>
      </bottom>
      <diagonal/>
    </border>
    <border>
      <left/>
      <right style="thin">
        <color rgb="FF1F3864"/>
      </right>
      <top/>
      <bottom style="thin">
        <color rgb="FF922B21"/>
      </bottom>
      <diagonal/>
    </border>
    <border>
      <left style="thin">
        <color rgb="FF1F3864"/>
      </left>
      <right style="thin">
        <color rgb="FFD5DBDB"/>
      </right>
      <top style="thin">
        <color rgb="FF1A5276"/>
      </top>
      <bottom/>
      <diagonal/>
    </border>
    <border>
      <left style="thin">
        <color rgb="FFD5DBDB"/>
      </left>
      <right style="thin">
        <color rgb="FFD5DBDB"/>
      </right>
      <top style="thin">
        <color rgb="FF1A5276"/>
      </top>
      <bottom/>
      <diagonal/>
    </border>
    <border>
      <left style="thin">
        <color rgb="FFD5DBDB"/>
      </left>
      <right/>
      <top style="thin">
        <color rgb="FFD5DBDB"/>
      </top>
      <bottom style="thin">
        <color rgb="FF154360"/>
      </bottom>
      <diagonal/>
    </border>
    <border>
      <left style="thin">
        <color rgb="FFD5DBDB"/>
      </left>
      <right/>
      <top style="thin">
        <color rgb="FF154360"/>
      </top>
      <bottom style="thin">
        <color rgb="FFD5DBDB"/>
      </bottom>
      <diagonal/>
    </border>
    <border>
      <left style="thin">
        <color rgb="FFD5DBDB"/>
      </left>
      <right/>
      <top style="thin">
        <color rgb="FFD5DBDB"/>
      </top>
      <bottom style="thin">
        <color rgb="FF1F3864"/>
      </bottom>
      <diagonal/>
    </border>
    <border>
      <left style="thin">
        <color rgb="FFD5DBDB"/>
      </left>
      <right/>
      <top/>
      <bottom/>
      <diagonal/>
    </border>
    <border>
      <left style="thin">
        <color rgb="FFD5DBDB"/>
      </left>
      <right/>
      <top style="thin">
        <color rgb="FF1A5276"/>
      </top>
      <bottom/>
      <diagonal/>
    </border>
    <border>
      <left style="thin">
        <color rgb="FFD5DBDB"/>
      </left>
      <right/>
      <top/>
      <bottom style="thin">
        <color rgb="FFD5DBDB"/>
      </bottom>
      <diagonal/>
    </border>
    <border>
      <left/>
      <right style="thin">
        <color rgb="FF1F3864"/>
      </right>
      <top/>
      <bottom style="thin">
        <color rgb="FF154360"/>
      </bottom>
      <diagonal/>
    </border>
    <border>
      <left/>
      <right style="thin">
        <color rgb="FF1F3864"/>
      </right>
      <top style="thin">
        <color rgb="FF154360"/>
      </top>
      <bottom style="thin">
        <color rgb="FFD5DBDB"/>
      </bottom>
      <diagonal/>
    </border>
    <border>
      <left style="thin">
        <color rgb="FF1F3864"/>
      </left>
      <right style="thin">
        <color rgb="FF1F3864"/>
      </right>
      <top/>
      <bottom style="thin">
        <color rgb="FF154360"/>
      </bottom>
      <diagonal/>
    </border>
    <border>
      <left style="thin">
        <color rgb="FF1F3864"/>
      </left>
      <right style="thin">
        <color rgb="FF1F3864"/>
      </right>
      <top/>
      <bottom/>
      <diagonal/>
    </border>
    <border>
      <left style="thin">
        <color rgb="FF1F3864"/>
      </left>
      <right style="thin">
        <color rgb="FF1F3864"/>
      </right>
      <top style="thin">
        <color rgb="FF1F3864"/>
      </top>
      <bottom/>
      <diagonal/>
    </border>
    <border>
      <left style="thin">
        <color rgb="FF1F3864"/>
      </left>
      <right style="thin">
        <color rgb="FF1F3864"/>
      </right>
      <top style="thin">
        <color rgb="FF1A5276"/>
      </top>
      <bottom/>
      <diagonal/>
    </border>
    <border>
      <left style="thin">
        <color rgb="FF1F3864"/>
      </left>
      <right style="thin">
        <color rgb="FF1F3864"/>
      </right>
      <top/>
      <bottom style="thin">
        <color rgb="FF95A5A6"/>
      </bottom>
      <diagonal/>
    </border>
    <border>
      <left style="thin">
        <color rgb="FF1F3864"/>
      </left>
      <right style="thin">
        <color rgb="FF1F3864"/>
      </right>
      <top/>
      <bottom style="thin">
        <color rgb="FF922B21"/>
      </bottom>
      <diagonal/>
    </border>
    <border>
      <left style="thin">
        <color rgb="FF1F3864"/>
      </left>
      <right style="thin">
        <color rgb="FF1F3864"/>
      </right>
      <top style="thin">
        <color rgb="FF95A5A6"/>
      </top>
      <bottom style="thin">
        <color rgb="FF95A5A6"/>
      </bottom>
      <diagonal/>
    </border>
    <border>
      <left/>
      <right style="thin">
        <color rgb="FFD5DBDB"/>
      </right>
      <top style="thin">
        <color rgb="FFD5DBDB"/>
      </top>
      <bottom style="thin">
        <color rgb="FF1F3864"/>
      </bottom>
      <diagonal/>
    </border>
    <border>
      <left style="thin">
        <color rgb="FF1F3864"/>
      </left>
      <right style="thin">
        <color rgb="FFD5DBDB"/>
      </right>
      <top style="thin">
        <color rgb="FF1F3864"/>
      </top>
      <bottom style="medium">
        <color rgb="FFD5DBDB"/>
      </bottom>
      <diagonal/>
    </border>
    <border>
      <left style="thin">
        <color rgb="FFD5DBDB"/>
      </left>
      <right style="thin">
        <color rgb="FFD5DBDB"/>
      </right>
      <top style="thin">
        <color rgb="FF1F3864"/>
      </top>
      <bottom style="medium">
        <color rgb="FFD5DBDB"/>
      </bottom>
      <diagonal/>
    </border>
    <border>
      <left style="thin">
        <color rgb="FFD5DBDB"/>
      </left>
      <right style="thin">
        <color rgb="FF1F3864"/>
      </right>
      <top style="thin">
        <color rgb="FF1F3864"/>
      </top>
      <bottom style="medium">
        <color rgb="FFD5DBDB"/>
      </bottom>
      <diagonal/>
    </border>
    <border>
      <left/>
      <right style="thin">
        <color rgb="FF1F3864"/>
      </right>
      <top style="thin">
        <color rgb="FF1F3864"/>
      </top>
      <bottom style="thin">
        <color rgb="FF1F3864"/>
      </bottom>
      <diagonal/>
    </border>
    <border>
      <left style="thin">
        <color rgb="FFD5DBDB"/>
      </left>
      <right/>
      <top style="thick">
        <color rgb="FF1F3864"/>
      </top>
      <bottom style="thin">
        <color rgb="FFD5DBDB"/>
      </bottom>
      <diagonal/>
    </border>
    <border>
      <left/>
      <right style="thin">
        <color rgb="FFD5DBDB"/>
      </right>
      <top style="thin">
        <color rgb="FF1F3864"/>
      </top>
      <bottom style="medium">
        <color rgb="FFD5DBDB"/>
      </bottom>
      <diagonal/>
    </border>
    <border>
      <left style="thin">
        <color rgb="FFD5DBDB"/>
      </left>
      <right/>
      <top style="thin">
        <color rgb="FF1F3864"/>
      </top>
      <bottom style="medium">
        <color rgb="FFD5DBDB"/>
      </bottom>
      <diagonal/>
    </border>
    <border>
      <left/>
      <right style="thin">
        <color rgb="FFD5DBDB"/>
      </right>
      <top style="medium">
        <color rgb="FFD5DBDB"/>
      </top>
      <bottom style="medium">
        <color rgb="FFD5DBDB"/>
      </bottom>
      <diagonal/>
    </border>
    <border>
      <left style="thin">
        <color rgb="FFD5DBDB"/>
      </left>
      <right/>
      <top style="medium">
        <color rgb="FFD5DBDB"/>
      </top>
      <bottom style="medium">
        <color rgb="FFD5DBDB"/>
      </bottom>
      <diagonal/>
    </border>
    <border>
      <left style="thin">
        <color rgb="FF1F3864"/>
      </left>
      <right style="thin">
        <color rgb="FFD5DBDB"/>
      </right>
      <top style="medium">
        <color rgb="FFD5DBDB"/>
      </top>
      <bottom/>
      <diagonal/>
    </border>
    <border>
      <left style="thin">
        <color rgb="FFD5DBDB"/>
      </left>
      <right style="thin">
        <color rgb="FF1F3864"/>
      </right>
      <top style="medium">
        <color rgb="FFD5DBDB"/>
      </top>
      <bottom/>
      <diagonal/>
    </border>
    <border>
      <left/>
      <right style="thin">
        <color rgb="FFD5DBDB"/>
      </right>
      <top style="medium">
        <color rgb="FFD5DBDB"/>
      </top>
      <bottom/>
      <diagonal/>
    </border>
    <border>
      <left style="thin">
        <color rgb="FFD5DBDB"/>
      </left>
      <right/>
      <top style="medium">
        <color rgb="FFD5DBDB"/>
      </top>
      <bottom/>
      <diagonal/>
    </border>
    <border>
      <left/>
      <right style="thin">
        <color rgb="FFD5DBDB"/>
      </right>
      <top style="medium">
        <color rgb="FF1F3864"/>
      </top>
      <bottom style="thin">
        <color rgb="FF1F3864"/>
      </bottom>
      <diagonal/>
    </border>
    <border>
      <left style="thin">
        <color rgb="FFD5DBDB"/>
      </left>
      <right/>
      <top style="medium">
        <color rgb="FF1F3864"/>
      </top>
      <bottom style="thin">
        <color rgb="FF1F3864"/>
      </bottom>
      <diagonal/>
    </border>
  </borders>
  <cellStyleXfs count="3">
    <xf numFmtId="0" fontId="0" fillId="0" borderId="0"/>
    <xf numFmtId="9" fontId="1" fillId="0" borderId="0"/>
    <xf numFmtId="0" fontId="3" fillId="0" borderId="0"/>
  </cellStyleXfs>
  <cellXfs count="4182">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horizontal="left"/>
    </xf>
    <xf numFmtId="0" fontId="0" fillId="0" borderId="0" xfId="0" applyAlignment="1">
      <alignment vertical="center"/>
    </xf>
    <xf numFmtId="0" fontId="6" fillId="0" borderId="0" xfId="0" applyFont="1"/>
    <xf numFmtId="0" fontId="6" fillId="0" borderId="0" xfId="0" applyFont="1" applyAlignment="1">
      <alignment wrapText="1"/>
    </xf>
    <xf numFmtId="0" fontId="8" fillId="0" borderId="0" xfId="0" applyFont="1"/>
    <xf numFmtId="0" fontId="4" fillId="5" borderId="0" xfId="0" applyFont="1" applyFill="1" applyAlignment="1">
      <alignment horizontal="center" vertical="center" wrapText="1"/>
    </xf>
    <xf numFmtId="0" fontId="0" fillId="0" borderId="0" xfId="0" applyAlignment="1">
      <alignment wrapText="1"/>
    </xf>
    <xf numFmtId="0" fontId="12" fillId="14" borderId="0" xfId="0" applyFont="1" applyFill="1"/>
    <xf numFmtId="0" fontId="0" fillId="0" borderId="0" xfId="0" applyAlignment="1">
      <alignment vertical="top" wrapText="1"/>
    </xf>
    <xf numFmtId="0" fontId="7" fillId="5" borderId="0" xfId="0" applyFont="1" applyFill="1" applyAlignment="1">
      <alignment vertical="center"/>
    </xf>
    <xf numFmtId="0" fontId="2" fillId="0" borderId="0" xfId="0" applyFont="1"/>
    <xf numFmtId="0" fontId="14" fillId="0" borderId="0" xfId="0" applyFont="1"/>
    <xf numFmtId="0" fontId="12" fillId="0" borderId="0" xfId="0" applyFont="1"/>
    <xf numFmtId="0" fontId="6" fillId="0" borderId="0" xfId="0" applyFont="1" applyAlignment="1">
      <alignment horizontal="center" vertical="center"/>
    </xf>
    <xf numFmtId="0" fontId="12" fillId="0" borderId="0" xfId="0" applyFont="1" applyAlignment="1">
      <alignment vertical="center"/>
    </xf>
    <xf numFmtId="0" fontId="0" fillId="0" borderId="0" xfId="0" applyAlignment="1">
      <alignment horizontal="center" vertical="top" wrapText="1"/>
    </xf>
    <xf numFmtId="0" fontId="0" fillId="0" borderId="0" xfId="0" applyAlignment="1">
      <alignment vertical="center" wrapText="1"/>
    </xf>
    <xf numFmtId="0" fontId="16" fillId="0" borderId="0" xfId="0" applyFont="1" applyAlignment="1">
      <alignment vertical="center"/>
    </xf>
    <xf numFmtId="0" fontId="15" fillId="0" borderId="0" xfId="0" applyFont="1" applyAlignment="1">
      <alignment vertical="center"/>
    </xf>
    <xf numFmtId="0" fontId="15" fillId="0" borderId="0" xfId="0" applyFont="1" applyAlignment="1">
      <alignment vertical="center" wrapText="1"/>
    </xf>
    <xf numFmtId="0" fontId="12" fillId="9" borderId="0" xfId="0" applyFont="1" applyFill="1"/>
    <xf numFmtId="0" fontId="12" fillId="6" borderId="0" xfId="0" applyFont="1" applyFill="1" applyAlignment="1">
      <alignment vertical="center" wrapText="1"/>
    </xf>
    <xf numFmtId="0" fontId="12" fillId="14" borderId="0" xfId="0" applyFont="1" applyFill="1" applyAlignment="1">
      <alignment vertical="center"/>
    </xf>
    <xf numFmtId="0" fontId="12" fillId="0" borderId="0" xfId="0" applyFont="1" applyAlignment="1">
      <alignment horizontal="center"/>
    </xf>
    <xf numFmtId="0" fontId="0" fillId="11" borderId="0" xfId="0" applyFill="1"/>
    <xf numFmtId="0" fontId="6" fillId="11" borderId="0" xfId="0" applyFont="1" applyFill="1"/>
    <xf numFmtId="0" fontId="6" fillId="0" borderId="0" xfId="0" applyFont="1" applyAlignment="1">
      <alignment vertical="center"/>
    </xf>
    <xf numFmtId="0" fontId="12" fillId="0" borderId="0" xfId="0" applyFont="1" applyAlignment="1">
      <alignment horizontal="center" vertical="center" wrapText="1"/>
    </xf>
    <xf numFmtId="0" fontId="1" fillId="0" borderId="0" xfId="0" applyFont="1" applyAlignment="1">
      <alignment vertical="center"/>
    </xf>
    <xf numFmtId="0" fontId="1" fillId="11" borderId="0" xfId="0" applyFont="1" applyFill="1" applyAlignment="1">
      <alignment vertical="center"/>
    </xf>
    <xf numFmtId="0" fontId="1" fillId="14" borderId="0" xfId="0" applyFont="1" applyFill="1" applyAlignment="1">
      <alignment vertical="center" wrapText="1"/>
    </xf>
    <xf numFmtId="0" fontId="1" fillId="18" borderId="0" xfId="0" applyFont="1" applyFill="1" applyAlignment="1">
      <alignment vertical="center" wrapText="1"/>
    </xf>
    <xf numFmtId="0" fontId="1" fillId="0" borderId="0" xfId="0" applyFont="1" applyAlignment="1">
      <alignment vertical="center" wrapText="1"/>
    </xf>
    <xf numFmtId="0" fontId="13" fillId="0" borderId="0" xfId="0" applyFont="1" applyAlignment="1">
      <alignment horizontal="center"/>
    </xf>
    <xf numFmtId="0" fontId="13" fillId="0" borderId="0" xfId="0" applyFont="1" applyAlignment="1">
      <alignment horizontal="left"/>
    </xf>
    <xf numFmtId="0" fontId="13" fillId="0" borderId="0" xfId="0" applyFont="1"/>
    <xf numFmtId="166" fontId="13" fillId="0" borderId="0" xfId="0" applyNumberFormat="1" applyFont="1" applyAlignment="1">
      <alignment horizontal="right"/>
    </xf>
    <xf numFmtId="0" fontId="12" fillId="10" borderId="0" xfId="0" applyFont="1" applyFill="1"/>
    <xf numFmtId="0" fontId="2" fillId="0" borderId="0" xfId="0" applyFont="1" applyAlignment="1">
      <alignment horizontal="center"/>
    </xf>
    <xf numFmtId="0" fontId="10" fillId="0" borderId="0" xfId="0" applyFont="1"/>
    <xf numFmtId="0" fontId="9" fillId="0" borderId="0" xfId="0" applyFont="1"/>
    <xf numFmtId="0" fontId="0" fillId="2" borderId="0" xfId="0" applyFill="1"/>
    <xf numFmtId="0" fontId="15" fillId="0" borderId="0" xfId="0" applyFont="1" applyAlignment="1">
      <alignment horizontal="center" vertical="center"/>
    </xf>
    <xf numFmtId="0" fontId="0" fillId="0" borderId="16" xfId="0" applyBorder="1"/>
    <xf numFmtId="0" fontId="11" fillId="2" borderId="15" xfId="0" applyFont="1" applyFill="1" applyBorder="1" applyAlignment="1">
      <alignment vertical="top" wrapText="1"/>
    </xf>
    <xf numFmtId="0" fontId="0" fillId="0" borderId="16" xfId="0" applyBorder="1" applyAlignment="1">
      <alignment vertical="top" wrapText="1"/>
    </xf>
    <xf numFmtId="0" fontId="9" fillId="2" borderId="15" xfId="0" applyFont="1" applyFill="1" applyBorder="1" applyAlignment="1">
      <alignment vertical="center"/>
    </xf>
    <xf numFmtId="0" fontId="0" fillId="0" borderId="18" xfId="0" applyBorder="1" applyAlignment="1">
      <alignment vertical="top" wrapText="1"/>
    </xf>
    <xf numFmtId="0" fontId="0" fillId="0" borderId="17" xfId="0" applyBorder="1" applyAlignment="1">
      <alignment vertical="center" wrapText="1"/>
    </xf>
    <xf numFmtId="0" fontId="0" fillId="0" borderId="18" xfId="0" applyBorder="1" applyAlignment="1">
      <alignment vertical="center" wrapText="1"/>
    </xf>
    <xf numFmtId="0" fontId="1" fillId="0" borderId="20" xfId="0" applyFont="1" applyBorder="1" applyAlignment="1">
      <alignment vertical="center"/>
    </xf>
    <xf numFmtId="0" fontId="1" fillId="0" borderId="21" xfId="0" applyFont="1" applyBorder="1" applyAlignment="1">
      <alignment vertical="center"/>
    </xf>
    <xf numFmtId="0" fontId="11" fillId="2" borderId="16" xfId="0" applyFont="1" applyFill="1" applyBorder="1" applyAlignment="1">
      <alignment vertical="top" wrapText="1"/>
    </xf>
    <xf numFmtId="0" fontId="11" fillId="2" borderId="26" xfId="0" applyFont="1" applyFill="1" applyBorder="1" applyAlignment="1">
      <alignment vertical="top" wrapText="1"/>
    </xf>
    <xf numFmtId="0" fontId="11" fillId="2" borderId="17" xfId="0" applyFont="1" applyFill="1" applyBorder="1" applyAlignment="1">
      <alignment vertical="top" wrapText="1"/>
    </xf>
    <xf numFmtId="0" fontId="11" fillId="2" borderId="18" xfId="0" applyFont="1" applyFill="1" applyBorder="1" applyAlignment="1">
      <alignment vertical="top" wrapText="1"/>
    </xf>
    <xf numFmtId="0" fontId="0" fillId="32" borderId="17" xfId="0" applyFill="1" applyBorder="1"/>
    <xf numFmtId="0" fontId="0" fillId="32" borderId="18" xfId="0" applyFill="1" applyBorder="1"/>
    <xf numFmtId="0" fontId="22" fillId="32" borderId="15" xfId="0" applyFont="1" applyFill="1" applyBorder="1" applyAlignment="1">
      <alignment horizontal="center" vertical="center" wrapText="1"/>
    </xf>
    <xf numFmtId="0" fontId="22" fillId="32" borderId="16" xfId="0" applyFont="1" applyFill="1" applyBorder="1" applyAlignment="1">
      <alignment horizontal="center" vertical="center" wrapText="1"/>
    </xf>
    <xf numFmtId="0" fontId="1" fillId="32" borderId="15" xfId="0" applyFont="1" applyFill="1" applyBorder="1" applyAlignment="1">
      <alignment vertical="center"/>
    </xf>
    <xf numFmtId="0" fontId="1" fillId="32" borderId="16" xfId="0" applyFont="1" applyFill="1" applyBorder="1" applyAlignment="1">
      <alignment vertical="center"/>
    </xf>
    <xf numFmtId="0" fontId="1" fillId="2" borderId="15" xfId="0" applyFont="1" applyFill="1" applyBorder="1" applyAlignment="1">
      <alignment vertical="center" wrapText="1"/>
    </xf>
    <xf numFmtId="0" fontId="1" fillId="2" borderId="16" xfId="0" applyFont="1" applyFill="1" applyBorder="1" applyAlignment="1">
      <alignment vertical="center" wrapText="1"/>
    </xf>
    <xf numFmtId="0" fontId="1" fillId="32" borderId="15" xfId="0" applyFont="1" applyFill="1" applyBorder="1" applyAlignment="1">
      <alignment vertical="center" wrapText="1"/>
    </xf>
    <xf numFmtId="0" fontId="1" fillId="32" borderId="16" xfId="0" applyFont="1" applyFill="1" applyBorder="1" applyAlignment="1">
      <alignment vertical="center" wrapText="1"/>
    </xf>
    <xf numFmtId="0" fontId="1" fillId="2" borderId="15" xfId="0" applyFont="1" applyFill="1" applyBorder="1" applyAlignment="1">
      <alignment vertical="center"/>
    </xf>
    <xf numFmtId="0" fontId="1" fillId="2" borderId="16" xfId="0" applyFont="1" applyFill="1" applyBorder="1" applyAlignment="1">
      <alignment vertical="center"/>
    </xf>
    <xf numFmtId="0" fontId="6" fillId="32" borderId="15" xfId="0" applyFont="1" applyFill="1" applyBorder="1" applyAlignment="1">
      <alignment vertical="center"/>
    </xf>
    <xf numFmtId="0" fontId="6" fillId="32" borderId="16" xfId="0" applyFont="1" applyFill="1" applyBorder="1" applyAlignment="1">
      <alignment vertical="center"/>
    </xf>
    <xf numFmtId="0" fontId="9" fillId="32" borderId="19" xfId="0" applyFont="1" applyFill="1" applyBorder="1" applyAlignment="1">
      <alignment vertical="center" wrapText="1"/>
    </xf>
    <xf numFmtId="0" fontId="9" fillId="32" borderId="17" xfId="0" applyFont="1" applyFill="1" applyBorder="1" applyAlignment="1">
      <alignment vertical="center"/>
    </xf>
    <xf numFmtId="0" fontId="1" fillId="32" borderId="17" xfId="0" applyFont="1" applyFill="1" applyBorder="1" applyAlignment="1">
      <alignment vertical="center"/>
    </xf>
    <xf numFmtId="0" fontId="1" fillId="32" borderId="18" xfId="0" applyFont="1" applyFill="1" applyBorder="1" applyAlignment="1">
      <alignment vertical="center"/>
    </xf>
    <xf numFmtId="0" fontId="21" fillId="32" borderId="28" xfId="0" applyFont="1" applyFill="1" applyBorder="1" applyAlignment="1">
      <alignment horizontal="center" vertical="center" wrapText="1"/>
    </xf>
    <xf numFmtId="0" fontId="21" fillId="32" borderId="29" xfId="0" applyFont="1" applyFill="1" applyBorder="1" applyAlignment="1">
      <alignment horizontal="center" vertical="center" wrapText="1"/>
    </xf>
    <xf numFmtId="0" fontId="12" fillId="20" borderId="0" xfId="0" applyFont="1" applyFill="1" applyAlignment="1">
      <alignment vertical="center"/>
    </xf>
    <xf numFmtId="0" fontId="2" fillId="0" borderId="0" xfId="0" applyFont="1" applyAlignment="1">
      <alignment horizontal="center" vertical="center"/>
    </xf>
    <xf numFmtId="0" fontId="0" fillId="6" borderId="0" xfId="0" applyFill="1"/>
    <xf numFmtId="0" fontId="24" fillId="19" borderId="0" xfId="0" applyFont="1" applyFill="1" applyAlignment="1">
      <alignment horizontal="center" wrapText="1"/>
    </xf>
    <xf numFmtId="0" fontId="25" fillId="19" borderId="7" xfId="0" applyFont="1" applyFill="1" applyBorder="1" applyAlignment="1">
      <alignment horizontal="center" vertical="center" wrapText="1"/>
    </xf>
    <xf numFmtId="0" fontId="0" fillId="32" borderId="15" xfId="0" applyFill="1" applyBorder="1" applyAlignment="1">
      <alignment vertical="center"/>
    </xf>
    <xf numFmtId="0" fontId="0" fillId="32" borderId="16" xfId="0" applyFill="1" applyBorder="1" applyAlignment="1">
      <alignment vertical="center"/>
    </xf>
    <xf numFmtId="0" fontId="0" fillId="18" borderId="0" xfId="0" applyFill="1" applyAlignment="1">
      <alignment vertical="center"/>
    </xf>
    <xf numFmtId="0" fontId="38" fillId="51" borderId="0" xfId="0" applyFont="1" applyFill="1" applyAlignment="1">
      <alignment horizontal="center" wrapText="1"/>
    </xf>
    <xf numFmtId="0" fontId="37" fillId="51" borderId="0" xfId="0" applyFont="1" applyFill="1"/>
    <xf numFmtId="0" fontId="40" fillId="51" borderId="0" xfId="0" applyFont="1" applyFill="1" applyAlignment="1">
      <alignment horizontal="center" wrapText="1"/>
    </xf>
    <xf numFmtId="0" fontId="40" fillId="51" borderId="0" xfId="0" applyFont="1" applyFill="1"/>
    <xf numFmtId="0" fontId="37" fillId="2" borderId="0" xfId="0" applyFont="1" applyFill="1" applyAlignment="1">
      <alignment horizontal="center"/>
    </xf>
    <xf numFmtId="0" fontId="37" fillId="52" borderId="0" xfId="0" applyFont="1" applyFill="1" applyAlignment="1">
      <alignment horizontal="center"/>
    </xf>
    <xf numFmtId="0" fontId="13" fillId="2" borderId="30" xfId="0" applyFont="1" applyFill="1" applyBorder="1" applyAlignment="1">
      <alignment vertical="center" wrapText="1"/>
    </xf>
    <xf numFmtId="0" fontId="13" fillId="2" borderId="28" xfId="0" applyFont="1" applyFill="1" applyBorder="1" applyAlignment="1">
      <alignment vertical="center" wrapText="1"/>
    </xf>
    <xf numFmtId="0" fontId="38" fillId="45" borderId="0" xfId="0" applyFont="1" applyFill="1" applyAlignment="1">
      <alignment horizontal="center"/>
    </xf>
    <xf numFmtId="0" fontId="33" fillId="0" borderId="0" xfId="2" applyFont="1" applyAlignment="1">
      <alignment horizontal="center" vertical="center"/>
    </xf>
    <xf numFmtId="0" fontId="28" fillId="2" borderId="0" xfId="0" applyFont="1" applyFill="1" applyAlignment="1">
      <alignment horizontal="center" vertical="center" wrapText="1"/>
    </xf>
    <xf numFmtId="0" fontId="33" fillId="0" borderId="0" xfId="2" applyFont="1" applyAlignment="1">
      <alignment horizontal="center" vertical="center" wrapText="1"/>
    </xf>
    <xf numFmtId="0" fontId="42" fillId="45" borderId="0" xfId="0" applyFont="1" applyFill="1" applyAlignment="1">
      <alignment horizontal="center" vertical="center" wrapText="1"/>
    </xf>
    <xf numFmtId="0" fontId="49" fillId="55" borderId="0" xfId="0" applyFont="1" applyFill="1" applyAlignment="1">
      <alignment horizontal="center" vertical="center"/>
    </xf>
    <xf numFmtId="0" fontId="20" fillId="2" borderId="0" xfId="0" applyFont="1" applyFill="1" applyAlignment="1">
      <alignment horizontal="center" vertical="center" wrapText="1"/>
    </xf>
    <xf numFmtId="0" fontId="37" fillId="51" borderId="0" xfId="0" applyFont="1" applyFill="1" applyAlignment="1">
      <alignment wrapText="1"/>
    </xf>
    <xf numFmtId="0" fontId="40" fillId="51" borderId="0" xfId="0" applyFont="1" applyFill="1" applyAlignment="1">
      <alignment wrapText="1"/>
    </xf>
    <xf numFmtId="8" fontId="37" fillId="51" borderId="0" xfId="0" applyNumberFormat="1" applyFont="1" applyFill="1" applyAlignment="1">
      <alignment horizontal="left" wrapText="1"/>
    </xf>
    <xf numFmtId="0" fontId="0" fillId="2" borderId="15" xfId="0" applyFill="1" applyBorder="1" applyAlignment="1">
      <alignment wrapText="1"/>
    </xf>
    <xf numFmtId="0" fontId="0" fillId="2" borderId="16" xfId="0" applyFill="1" applyBorder="1" applyAlignment="1">
      <alignment wrapText="1"/>
    </xf>
    <xf numFmtId="0" fontId="0" fillId="32" borderId="15" xfId="0" applyFill="1" applyBorder="1" applyAlignment="1">
      <alignment wrapText="1"/>
    </xf>
    <xf numFmtId="0" fontId="0" fillId="32" borderId="16" xfId="0" applyFill="1" applyBorder="1" applyAlignment="1">
      <alignment wrapText="1"/>
    </xf>
    <xf numFmtId="0" fontId="38" fillId="45" borderId="0" xfId="0" applyFont="1" applyFill="1" applyAlignment="1">
      <alignment horizontal="center" wrapText="1"/>
    </xf>
    <xf numFmtId="0" fontId="37" fillId="2" borderId="0" xfId="0" applyFont="1" applyFill="1" applyAlignment="1">
      <alignment wrapText="1"/>
    </xf>
    <xf numFmtId="0" fontId="41" fillId="0" borderId="0" xfId="2" applyFont="1" applyAlignment="1">
      <alignment wrapText="1"/>
    </xf>
    <xf numFmtId="0" fontId="37" fillId="52" borderId="0" xfId="0" applyFont="1" applyFill="1" applyAlignment="1">
      <alignment wrapText="1"/>
    </xf>
    <xf numFmtId="0" fontId="6" fillId="32" borderId="15" xfId="0" applyFont="1" applyFill="1" applyBorder="1" applyAlignment="1">
      <alignment horizontal="center" vertical="center" wrapText="1"/>
    </xf>
    <xf numFmtId="0" fontId="6" fillId="32" borderId="16" xfId="0" applyFont="1" applyFill="1" applyBorder="1" applyAlignment="1">
      <alignment horizontal="center" vertical="center" wrapText="1"/>
    </xf>
    <xf numFmtId="0" fontId="6" fillId="2" borderId="15" xfId="0" applyFont="1" applyFill="1" applyBorder="1" applyAlignment="1">
      <alignment horizontal="center" vertical="center" wrapText="1"/>
    </xf>
    <xf numFmtId="0" fontId="6" fillId="2" borderId="16" xfId="0" applyFont="1" applyFill="1" applyBorder="1" applyAlignment="1">
      <alignment horizontal="center" vertical="center" wrapText="1"/>
    </xf>
    <xf numFmtId="0" fontId="0" fillId="32" borderId="17" xfId="0" applyFill="1" applyBorder="1" applyAlignment="1">
      <alignment wrapText="1"/>
    </xf>
    <xf numFmtId="0" fontId="0" fillId="32" borderId="18" xfId="0" applyFill="1" applyBorder="1" applyAlignment="1">
      <alignment wrapText="1"/>
    </xf>
    <xf numFmtId="0" fontId="9" fillId="0" borderId="0" xfId="0" applyFont="1" applyAlignment="1">
      <alignment horizontal="center"/>
    </xf>
    <xf numFmtId="0" fontId="41" fillId="52" borderId="0" xfId="2" applyFont="1" applyFill="1"/>
    <xf numFmtId="0" fontId="37" fillId="64" borderId="0" xfId="0" applyFont="1" applyFill="1" applyAlignment="1">
      <alignment wrapText="1"/>
    </xf>
    <xf numFmtId="0" fontId="54" fillId="45" borderId="0" xfId="2" applyFont="1" applyFill="1" applyAlignment="1">
      <alignment horizontal="center"/>
    </xf>
    <xf numFmtId="0" fontId="38" fillId="45" borderId="0" xfId="0" applyFont="1" applyFill="1" applyAlignment="1">
      <alignment horizontal="left" wrapText="1"/>
    </xf>
    <xf numFmtId="0" fontId="41" fillId="2" borderId="0" xfId="2" applyFont="1" applyFill="1" applyAlignment="1">
      <alignment horizontal="center" vertical="center" wrapText="1"/>
    </xf>
    <xf numFmtId="0" fontId="41" fillId="2" borderId="0" xfId="2" applyFont="1" applyFill="1" applyAlignment="1">
      <alignment horizontal="center" vertical="center"/>
    </xf>
    <xf numFmtId="0" fontId="41" fillId="52" borderId="0" xfId="2" applyFont="1" applyFill="1" applyAlignment="1">
      <alignment horizontal="center" vertical="center" wrapText="1"/>
    </xf>
    <xf numFmtId="0" fontId="12" fillId="0" borderId="0" xfId="0" applyFont="1" applyAlignment="1">
      <alignment horizontal="center" vertical="top" wrapText="1"/>
    </xf>
    <xf numFmtId="0" fontId="6" fillId="45" borderId="0" xfId="0" applyFont="1" applyFill="1" applyAlignment="1">
      <alignment vertical="top" wrapText="1"/>
    </xf>
    <xf numFmtId="0" fontId="56" fillId="2" borderId="0" xfId="0" applyFont="1" applyFill="1" applyAlignment="1">
      <alignment horizontal="center" vertical="center" wrapText="1"/>
    </xf>
    <xf numFmtId="0" fontId="61" fillId="38" borderId="15" xfId="0" applyFont="1" applyFill="1" applyBorder="1" applyAlignment="1">
      <alignment vertical="top" wrapText="1"/>
    </xf>
    <xf numFmtId="0" fontId="62" fillId="32" borderId="15" xfId="0" applyFont="1" applyFill="1" applyBorder="1" applyAlignment="1">
      <alignment horizontal="center" vertical="top" wrapText="1"/>
    </xf>
    <xf numFmtId="0" fontId="62" fillId="2" borderId="15" xfId="0" applyFont="1" applyFill="1" applyBorder="1" applyAlignment="1">
      <alignment wrapText="1"/>
    </xf>
    <xf numFmtId="0" fontId="62" fillId="2" borderId="16" xfId="0" applyFont="1" applyFill="1" applyBorder="1" applyAlignment="1">
      <alignment wrapText="1"/>
    </xf>
    <xf numFmtId="0" fontId="62" fillId="32" borderId="15" xfId="0" applyFont="1" applyFill="1" applyBorder="1" applyAlignment="1">
      <alignment wrapText="1"/>
    </xf>
    <xf numFmtId="0" fontId="62" fillId="2" borderId="15" xfId="0" applyFont="1" applyFill="1" applyBorder="1" applyAlignment="1">
      <alignment horizontal="center" wrapText="1"/>
    </xf>
    <xf numFmtId="0" fontId="62" fillId="32" borderId="17" xfId="0" applyFont="1" applyFill="1" applyBorder="1" applyAlignment="1">
      <alignment wrapText="1"/>
    </xf>
    <xf numFmtId="0" fontId="72" fillId="0" borderId="0" xfId="2" applyFont="1" applyAlignment="1">
      <alignment horizontal="center" vertical="center"/>
    </xf>
    <xf numFmtId="0" fontId="73" fillId="2" borderId="0" xfId="0" applyFont="1" applyFill="1" applyAlignment="1">
      <alignment horizontal="center" vertical="center" wrapText="1"/>
    </xf>
    <xf numFmtId="0" fontId="72" fillId="65" borderId="0" xfId="2" applyFont="1" applyFill="1" applyAlignment="1">
      <alignment horizontal="center" vertical="center"/>
    </xf>
    <xf numFmtId="0" fontId="72" fillId="65" borderId="0" xfId="2" applyFont="1" applyFill="1" applyAlignment="1">
      <alignment horizontal="center" vertical="center" wrapText="1"/>
    </xf>
    <xf numFmtId="0" fontId="73" fillId="65" borderId="0" xfId="0" applyFont="1" applyFill="1" applyAlignment="1">
      <alignment horizontal="center" vertical="center" wrapText="1"/>
    </xf>
    <xf numFmtId="0" fontId="73" fillId="47" borderId="87" xfId="0" applyFont="1" applyFill="1" applyBorder="1" applyAlignment="1">
      <alignment horizontal="center" vertical="center" wrapText="1"/>
    </xf>
    <xf numFmtId="0" fontId="73" fillId="47" borderId="88" xfId="0" applyFont="1" applyFill="1" applyBorder="1" applyAlignment="1">
      <alignment horizontal="center" vertical="center" wrapText="1"/>
    </xf>
    <xf numFmtId="0" fontId="58" fillId="34" borderId="88" xfId="0" applyFont="1" applyFill="1" applyBorder="1" applyAlignment="1">
      <alignment horizontal="center" vertical="center" wrapText="1"/>
    </xf>
    <xf numFmtId="0" fontId="59" fillId="32" borderId="88" xfId="0" applyFont="1" applyFill="1" applyBorder="1" applyAlignment="1">
      <alignment horizontal="center" vertical="center" wrapText="1"/>
    </xf>
    <xf numFmtId="0" fontId="59" fillId="32" borderId="89" xfId="0" applyFont="1" applyFill="1" applyBorder="1" applyAlignment="1">
      <alignment horizontal="center" vertical="center" wrapText="1"/>
    </xf>
    <xf numFmtId="0" fontId="60" fillId="2" borderId="90" xfId="0" applyFont="1" applyFill="1" applyBorder="1" applyAlignment="1">
      <alignment vertical="top" wrapText="1"/>
    </xf>
    <xf numFmtId="170" fontId="74" fillId="2" borderId="91" xfId="0" applyNumberFormat="1" applyFont="1" applyFill="1" applyBorder="1" applyAlignment="1">
      <alignment horizontal="right" vertical="top" wrapText="1"/>
    </xf>
    <xf numFmtId="0" fontId="61" fillId="38" borderId="91" xfId="0" applyFont="1" applyFill="1" applyBorder="1" applyAlignment="1">
      <alignment vertical="top" wrapText="1"/>
    </xf>
    <xf numFmtId="0" fontId="62" fillId="2" borderId="91" xfId="0" applyFont="1" applyFill="1" applyBorder="1" applyAlignment="1">
      <alignment vertical="top" wrapText="1"/>
    </xf>
    <xf numFmtId="0" fontId="63" fillId="2" borderId="91" xfId="0" applyFont="1" applyFill="1" applyBorder="1" applyAlignment="1">
      <alignment vertical="top" wrapText="1"/>
    </xf>
    <xf numFmtId="0" fontId="64" fillId="2" borderId="91" xfId="0" applyFont="1" applyFill="1" applyBorder="1" applyAlignment="1">
      <alignment vertical="top" wrapText="1"/>
    </xf>
    <xf numFmtId="0" fontId="65" fillId="2" borderId="91" xfId="0" applyFont="1" applyFill="1" applyBorder="1" applyAlignment="1">
      <alignment vertical="top" wrapText="1"/>
    </xf>
    <xf numFmtId="0" fontId="62" fillId="2" borderId="92" xfId="0" applyFont="1" applyFill="1" applyBorder="1" applyAlignment="1">
      <alignment vertical="top" wrapText="1"/>
    </xf>
    <xf numFmtId="0" fontId="66" fillId="32" borderId="96" xfId="0" applyFont="1" applyFill="1" applyBorder="1" applyAlignment="1">
      <alignment vertical="top" wrapText="1"/>
    </xf>
    <xf numFmtId="0" fontId="66" fillId="32" borderId="97" xfId="0" applyFont="1" applyFill="1" applyBorder="1" applyAlignment="1">
      <alignment vertical="top" wrapText="1"/>
    </xf>
    <xf numFmtId="0" fontId="63" fillId="32" borderId="97" xfId="0" applyFont="1" applyFill="1" applyBorder="1" applyAlignment="1">
      <alignment horizontal="center" vertical="top" wrapText="1"/>
    </xf>
    <xf numFmtId="0" fontId="67" fillId="32" borderId="98" xfId="0" applyFont="1" applyFill="1" applyBorder="1" applyAlignment="1">
      <alignment vertical="top" wrapText="1"/>
    </xf>
    <xf numFmtId="0" fontId="73" fillId="47" borderId="100" xfId="0" applyFont="1" applyFill="1" applyBorder="1" applyAlignment="1">
      <alignment horizontal="center" vertical="top" wrapText="1"/>
    </xf>
    <xf numFmtId="0" fontId="73" fillId="47" borderId="101" xfId="0" applyFont="1" applyFill="1" applyBorder="1" applyAlignment="1">
      <alignment horizontal="center" vertical="top" wrapText="1"/>
    </xf>
    <xf numFmtId="0" fontId="73" fillId="47" borderId="102" xfId="0" applyFont="1" applyFill="1" applyBorder="1" applyAlignment="1">
      <alignment horizontal="center" vertical="top" wrapText="1"/>
    </xf>
    <xf numFmtId="0" fontId="62" fillId="66" borderId="48" xfId="0" applyFont="1" applyFill="1" applyBorder="1" applyAlignment="1">
      <alignment vertical="top" wrapText="1"/>
    </xf>
    <xf numFmtId="0" fontId="62" fillId="66" borderId="49" xfId="0" applyFont="1" applyFill="1" applyBorder="1" applyAlignment="1">
      <alignment horizontal="right" vertical="top" wrapText="1"/>
    </xf>
    <xf numFmtId="0" fontId="62" fillId="66" borderId="49" xfId="0" applyFont="1" applyFill="1" applyBorder="1" applyAlignment="1">
      <alignment horizontal="left" vertical="top" wrapText="1"/>
    </xf>
    <xf numFmtId="1" fontId="62" fillId="66" borderId="49" xfId="0" applyNumberFormat="1" applyFont="1" applyFill="1" applyBorder="1" applyAlignment="1">
      <alignment horizontal="center" vertical="top" wrapText="1"/>
    </xf>
    <xf numFmtId="0" fontId="60" fillId="66" borderId="49" xfId="0" applyFont="1" applyFill="1" applyBorder="1" applyAlignment="1">
      <alignment horizontal="right" vertical="top" wrapText="1"/>
    </xf>
    <xf numFmtId="170" fontId="60" fillId="66" borderId="49" xfId="0" applyNumberFormat="1" applyFont="1" applyFill="1" applyBorder="1" applyAlignment="1">
      <alignment horizontal="right" vertical="top" wrapText="1"/>
    </xf>
    <xf numFmtId="0" fontId="69" fillId="66" borderId="49" xfId="0" applyFont="1" applyFill="1" applyBorder="1" applyAlignment="1">
      <alignment horizontal="left" vertical="top" wrapText="1"/>
    </xf>
    <xf numFmtId="0" fontId="76" fillId="66" borderId="103" xfId="0" applyFont="1" applyFill="1" applyBorder="1" applyAlignment="1">
      <alignment horizontal="left" vertical="top" wrapText="1"/>
    </xf>
    <xf numFmtId="0" fontId="62" fillId="2" borderId="48" xfId="0" applyFont="1" applyFill="1" applyBorder="1" applyAlignment="1">
      <alignment vertical="top" wrapText="1"/>
    </xf>
    <xf numFmtId="0" fontId="62" fillId="2" borderId="49" xfId="0" applyFont="1" applyFill="1" applyBorder="1" applyAlignment="1">
      <alignment horizontal="center" vertical="top" wrapText="1"/>
    </xf>
    <xf numFmtId="0" fontId="62" fillId="2" borderId="49" xfId="0" applyFont="1" applyFill="1" applyBorder="1" applyAlignment="1">
      <alignment horizontal="left" vertical="top" wrapText="1"/>
    </xf>
    <xf numFmtId="1" fontId="62" fillId="2" borderId="49" xfId="0" applyNumberFormat="1" applyFont="1" applyFill="1" applyBorder="1" applyAlignment="1">
      <alignment horizontal="center" vertical="top" wrapText="1"/>
    </xf>
    <xf numFmtId="0" fontId="60" fillId="2" borderId="49" xfId="0" applyFont="1" applyFill="1" applyBorder="1" applyAlignment="1">
      <alignment horizontal="right" vertical="top" wrapText="1"/>
    </xf>
    <xf numFmtId="170" fontId="60" fillId="2" borderId="49" xfId="0" applyNumberFormat="1" applyFont="1" applyFill="1" applyBorder="1" applyAlignment="1">
      <alignment horizontal="right" vertical="top" wrapText="1"/>
    </xf>
    <xf numFmtId="0" fontId="70" fillId="2" borderId="49" xfId="0" applyFont="1" applyFill="1" applyBorder="1" applyAlignment="1">
      <alignment horizontal="left" vertical="top" wrapText="1"/>
    </xf>
    <xf numFmtId="0" fontId="77" fillId="2" borderId="103" xfId="0" applyFont="1" applyFill="1" applyBorder="1" applyAlignment="1">
      <alignment horizontal="left" vertical="top" wrapText="1"/>
    </xf>
    <xf numFmtId="0" fontId="62" fillId="66" borderId="49" xfId="0" applyFont="1" applyFill="1" applyBorder="1" applyAlignment="1">
      <alignment horizontal="center" vertical="top" wrapText="1"/>
    </xf>
    <xf numFmtId="0" fontId="70" fillId="66" borderId="49" xfId="0" applyFont="1" applyFill="1" applyBorder="1" applyAlignment="1">
      <alignment horizontal="left" vertical="top" wrapText="1"/>
    </xf>
    <xf numFmtId="0" fontId="61" fillId="66" borderId="49" xfId="0" applyFont="1" applyFill="1" applyBorder="1" applyAlignment="1">
      <alignment horizontal="left" vertical="top" wrapText="1"/>
    </xf>
    <xf numFmtId="0" fontId="77" fillId="66" borderId="103" xfId="0" applyFont="1" applyFill="1" applyBorder="1" applyAlignment="1">
      <alignment horizontal="left" vertical="top" wrapText="1"/>
    </xf>
    <xf numFmtId="0" fontId="61" fillId="2" borderId="49" xfId="0" applyFont="1" applyFill="1" applyBorder="1" applyAlignment="1">
      <alignment horizontal="left" vertical="top" wrapText="1"/>
    </xf>
    <xf numFmtId="0" fontId="76" fillId="2" borderId="103" xfId="0" applyFont="1" applyFill="1" applyBorder="1" applyAlignment="1">
      <alignment horizontal="left" vertical="top" wrapText="1"/>
    </xf>
    <xf numFmtId="0" fontId="58" fillId="67" borderId="105" xfId="0" applyFont="1" applyFill="1" applyBorder="1" applyAlignment="1">
      <alignment horizontal="center" vertical="top" wrapText="1"/>
    </xf>
    <xf numFmtId="170" fontId="58" fillId="67" borderId="105" xfId="0" applyNumberFormat="1" applyFont="1" applyFill="1" applyBorder="1" applyAlignment="1">
      <alignment horizontal="center" vertical="top" wrapText="1"/>
    </xf>
    <xf numFmtId="0" fontId="58" fillId="67" borderId="106" xfId="0" applyFont="1" applyFill="1" applyBorder="1" applyAlignment="1">
      <alignment horizontal="center" vertical="top" wrapText="1"/>
    </xf>
    <xf numFmtId="0" fontId="62" fillId="2" borderId="40" xfId="0" applyFont="1" applyFill="1" applyBorder="1" applyAlignment="1">
      <alignment wrapText="1"/>
    </xf>
    <xf numFmtId="0" fontId="62" fillId="32" borderId="40" xfId="0" applyFont="1" applyFill="1" applyBorder="1" applyAlignment="1">
      <alignment wrapText="1"/>
    </xf>
    <xf numFmtId="0" fontId="58" fillId="67" borderId="107" xfId="0" applyFont="1" applyFill="1" applyBorder="1" applyAlignment="1">
      <alignment horizontal="center" vertical="top" wrapText="1"/>
    </xf>
    <xf numFmtId="0" fontId="58" fillId="67" borderId="108" xfId="0" applyFont="1" applyFill="1" applyBorder="1" applyAlignment="1">
      <alignment horizontal="center" vertical="top" wrapText="1"/>
    </xf>
    <xf numFmtId="0" fontId="58" fillId="67" borderId="112" xfId="0" applyFont="1" applyFill="1" applyBorder="1" applyAlignment="1">
      <alignment horizontal="center" vertical="top" wrapText="1"/>
    </xf>
    <xf numFmtId="0" fontId="58" fillId="67" borderId="101" xfId="0" applyFont="1" applyFill="1" applyBorder="1" applyAlignment="1">
      <alignment horizontal="center" wrapText="1"/>
    </xf>
    <xf numFmtId="0" fontId="58" fillId="67" borderId="113" xfId="0" applyFont="1" applyFill="1" applyBorder="1" applyAlignment="1">
      <alignment horizontal="center" wrapText="1"/>
    </xf>
    <xf numFmtId="0" fontId="62" fillId="66" borderId="114" xfId="0" applyFont="1" applyFill="1" applyBorder="1" applyAlignment="1">
      <alignment horizontal="left" vertical="top" wrapText="1"/>
    </xf>
    <xf numFmtId="170" fontId="62" fillId="66" borderId="49" xfId="0" applyNumberFormat="1" applyFont="1" applyFill="1" applyBorder="1" applyAlignment="1">
      <alignment horizontal="center" vertical="top" wrapText="1"/>
    </xf>
    <xf numFmtId="170" fontId="60" fillId="66" borderId="115" xfId="0" applyNumberFormat="1" applyFont="1" applyFill="1" applyBorder="1" applyAlignment="1">
      <alignment horizontal="right" vertical="top" wrapText="1"/>
    </xf>
    <xf numFmtId="0" fontId="62" fillId="2" borderId="114" xfId="0" applyFont="1" applyFill="1" applyBorder="1" applyAlignment="1">
      <alignment horizontal="left" vertical="top" wrapText="1"/>
    </xf>
    <xf numFmtId="170" fontId="62" fillId="2" borderId="49" xfId="0" applyNumberFormat="1" applyFont="1" applyFill="1" applyBorder="1" applyAlignment="1">
      <alignment horizontal="center" vertical="top" wrapText="1"/>
    </xf>
    <xf numFmtId="170" fontId="60" fillId="2" borderId="115" xfId="0" applyNumberFormat="1" applyFont="1" applyFill="1" applyBorder="1" applyAlignment="1">
      <alignment horizontal="right" vertical="top" wrapText="1"/>
    </xf>
    <xf numFmtId="170" fontId="62" fillId="2" borderId="117" xfId="0" applyNumberFormat="1" applyFont="1" applyFill="1" applyBorder="1" applyAlignment="1">
      <alignment horizontal="center" vertical="top" wrapText="1"/>
    </xf>
    <xf numFmtId="170" fontId="60" fillId="2" borderId="118" xfId="0" applyNumberFormat="1" applyFont="1" applyFill="1" applyBorder="1" applyAlignment="1">
      <alignment horizontal="right" vertical="top" wrapText="1"/>
    </xf>
    <xf numFmtId="0" fontId="62" fillId="2" borderId="40" xfId="0" applyFont="1" applyFill="1" applyBorder="1" applyAlignment="1">
      <alignment horizontal="center" wrapText="1"/>
    </xf>
    <xf numFmtId="0" fontId="62" fillId="32" borderId="40" xfId="0" applyFont="1" applyFill="1" applyBorder="1" applyAlignment="1">
      <alignment horizontal="center" vertical="top" wrapText="1"/>
    </xf>
    <xf numFmtId="0" fontId="62" fillId="32" borderId="41" xfId="0" applyFont="1" applyFill="1" applyBorder="1" applyAlignment="1">
      <alignment wrapText="1"/>
    </xf>
    <xf numFmtId="0" fontId="62" fillId="2" borderId="119" xfId="0" applyFont="1" applyFill="1" applyBorder="1" applyAlignment="1">
      <alignment horizontal="left" vertical="top" wrapText="1"/>
    </xf>
    <xf numFmtId="0" fontId="60" fillId="2" borderId="108" xfId="0" applyFont="1" applyFill="1" applyBorder="1" applyAlignment="1">
      <alignment horizontal="right" vertical="top" wrapText="1"/>
    </xf>
    <xf numFmtId="170" fontId="62" fillId="2" borderId="108" xfId="0" applyNumberFormat="1" applyFont="1" applyFill="1" applyBorder="1" applyAlignment="1">
      <alignment horizontal="center" vertical="top" wrapText="1"/>
    </xf>
    <xf numFmtId="0" fontId="58" fillId="19" borderId="123" xfId="0" applyFont="1" applyFill="1" applyBorder="1" applyAlignment="1">
      <alignment horizontal="center" wrapText="1"/>
    </xf>
    <xf numFmtId="0" fontId="58" fillId="19" borderId="101" xfId="0" applyFont="1" applyFill="1" applyBorder="1" applyAlignment="1">
      <alignment horizontal="center" wrapText="1"/>
    </xf>
    <xf numFmtId="0" fontId="58" fillId="19" borderId="124" xfId="0" applyFont="1" applyFill="1" applyBorder="1" applyAlignment="1">
      <alignment horizontal="center" wrapText="1"/>
    </xf>
    <xf numFmtId="0" fontId="62" fillId="32" borderId="125" xfId="0" applyFont="1" applyFill="1" applyBorder="1" applyAlignment="1">
      <alignment wrapText="1"/>
    </xf>
    <xf numFmtId="0" fontId="62" fillId="32" borderId="49" xfId="0" applyFont="1" applyFill="1" applyBorder="1" applyAlignment="1">
      <alignment wrapText="1"/>
    </xf>
    <xf numFmtId="0" fontId="62" fillId="32" borderId="126" xfId="0" applyFont="1" applyFill="1" applyBorder="1" applyAlignment="1">
      <alignment wrapText="1"/>
    </xf>
    <xf numFmtId="0" fontId="62" fillId="2" borderId="125" xfId="0" applyFont="1" applyFill="1" applyBorder="1" applyAlignment="1">
      <alignment wrapText="1"/>
    </xf>
    <xf numFmtId="0" fontId="62" fillId="2" borderId="49" xfId="0" applyFont="1" applyFill="1" applyBorder="1" applyAlignment="1">
      <alignment wrapText="1"/>
    </xf>
    <xf numFmtId="0" fontId="62" fillId="2" borderId="126" xfId="0" applyFont="1" applyFill="1" applyBorder="1" applyAlignment="1">
      <alignment wrapText="1"/>
    </xf>
    <xf numFmtId="0" fontId="62" fillId="32" borderId="125" xfId="0" applyFont="1" applyFill="1" applyBorder="1" applyAlignment="1">
      <alignment horizontal="left" vertical="top" wrapText="1"/>
    </xf>
    <xf numFmtId="0" fontId="62" fillId="32" borderId="49" xfId="0" applyFont="1" applyFill="1" applyBorder="1" applyAlignment="1">
      <alignment horizontal="left" vertical="top" wrapText="1"/>
    </xf>
    <xf numFmtId="0" fontId="62" fillId="32" borderId="49" xfId="0" applyFont="1" applyFill="1" applyBorder="1" applyAlignment="1">
      <alignment horizontal="center" vertical="top" wrapText="1"/>
    </xf>
    <xf numFmtId="0" fontId="62" fillId="32" borderId="126" xfId="0" applyFont="1" applyFill="1" applyBorder="1" applyAlignment="1">
      <alignment horizontal="center" vertical="top" wrapText="1"/>
    </xf>
    <xf numFmtId="0" fontId="62" fillId="2" borderId="125" xfId="0" applyFont="1" applyFill="1" applyBorder="1" applyAlignment="1">
      <alignment horizontal="left" vertical="top" wrapText="1"/>
    </xf>
    <xf numFmtId="0" fontId="58" fillId="32" borderId="127" xfId="0" applyFont="1" applyFill="1" applyBorder="1" applyAlignment="1">
      <alignment horizontal="left" vertical="top" wrapText="1"/>
    </xf>
    <xf numFmtId="0" fontId="62" fillId="32" borderId="128" xfId="0" applyFont="1" applyFill="1" applyBorder="1" applyAlignment="1">
      <alignment horizontal="left" vertical="top" wrapText="1"/>
    </xf>
    <xf numFmtId="0" fontId="62" fillId="32" borderId="129" xfId="0" applyFont="1" applyFill="1" applyBorder="1" applyAlignment="1">
      <alignment wrapText="1"/>
    </xf>
    <xf numFmtId="0" fontId="73" fillId="47" borderId="130" xfId="0" applyFont="1" applyFill="1" applyBorder="1" applyAlignment="1">
      <alignment horizontal="center" vertical="top" wrapText="1"/>
    </xf>
    <xf numFmtId="1" fontId="62" fillId="66" borderId="131" xfId="0" applyNumberFormat="1" applyFont="1" applyFill="1" applyBorder="1" applyAlignment="1">
      <alignment horizontal="center" vertical="top" wrapText="1"/>
    </xf>
    <xf numFmtId="1" fontId="62" fillId="2" borderId="131" xfId="0" applyNumberFormat="1" applyFont="1" applyFill="1" applyBorder="1" applyAlignment="1">
      <alignment horizontal="center" vertical="top" wrapText="1"/>
    </xf>
    <xf numFmtId="0" fontId="73" fillId="47" borderId="132" xfId="0" applyFont="1" applyFill="1" applyBorder="1" applyAlignment="1">
      <alignment horizontal="center" vertical="top" wrapText="1"/>
    </xf>
    <xf numFmtId="0" fontId="60" fillId="66" borderId="133" xfId="0" applyFont="1" applyFill="1" applyBorder="1" applyAlignment="1">
      <alignment horizontal="right" vertical="top" wrapText="1"/>
    </xf>
    <xf numFmtId="0" fontId="60" fillId="2" borderId="133" xfId="0" applyFont="1" applyFill="1" applyBorder="1" applyAlignment="1">
      <alignment horizontal="right" vertical="top" wrapText="1"/>
    </xf>
    <xf numFmtId="0" fontId="58" fillId="67" borderId="134" xfId="0" applyFont="1" applyFill="1" applyBorder="1" applyAlignment="1">
      <alignment horizontal="center" vertical="top" wrapText="1"/>
    </xf>
    <xf numFmtId="0" fontId="73" fillId="47" borderId="135" xfId="0" applyFont="1" applyFill="1" applyBorder="1" applyAlignment="1">
      <alignment horizontal="center" vertical="top" wrapText="1"/>
    </xf>
    <xf numFmtId="1" fontId="75" fillId="68" borderId="136" xfId="0" applyNumberFormat="1" applyFont="1" applyFill="1" applyBorder="1" applyAlignment="1">
      <alignment horizontal="center" vertical="top" wrapText="1"/>
    </xf>
    <xf numFmtId="0" fontId="59" fillId="72" borderId="40" xfId="0" applyFont="1" applyFill="1" applyBorder="1" applyAlignment="1">
      <alignment horizontal="center" vertical="center" wrapText="1"/>
    </xf>
    <xf numFmtId="0" fontId="59" fillId="72" borderId="15" xfId="0" applyFont="1" applyFill="1" applyBorder="1" applyAlignment="1">
      <alignment horizontal="center" vertical="center" wrapText="1"/>
    </xf>
    <xf numFmtId="0" fontId="59" fillId="72" borderId="16" xfId="0" applyFont="1" applyFill="1" applyBorder="1" applyAlignment="1">
      <alignment horizontal="center" vertical="center" wrapText="1"/>
    </xf>
    <xf numFmtId="0" fontId="62" fillId="72" borderId="40" xfId="0" applyFont="1" applyFill="1" applyBorder="1" applyAlignment="1">
      <alignment vertical="top" wrapText="1"/>
    </xf>
    <xf numFmtId="0" fontId="62" fillId="72" borderId="15" xfId="0" applyFont="1" applyFill="1" applyBorder="1" applyAlignment="1">
      <alignment vertical="top" wrapText="1"/>
    </xf>
    <xf numFmtId="0" fontId="62" fillId="72" borderId="16" xfId="0" applyFont="1" applyFill="1" applyBorder="1" applyAlignment="1">
      <alignment vertical="top" wrapText="1"/>
    </xf>
    <xf numFmtId="0" fontId="65" fillId="72" borderId="15" xfId="0" applyFont="1" applyFill="1" applyBorder="1" applyAlignment="1">
      <alignment horizontal="center" vertical="top" wrapText="1"/>
    </xf>
    <xf numFmtId="0" fontId="65" fillId="72" borderId="16" xfId="0" applyFont="1" applyFill="1" applyBorder="1" applyAlignment="1">
      <alignment horizontal="center" vertical="top" wrapText="1"/>
    </xf>
    <xf numFmtId="0" fontId="62" fillId="72" borderId="15" xfId="0" applyFont="1" applyFill="1" applyBorder="1" applyAlignment="1">
      <alignment wrapText="1"/>
    </xf>
    <xf numFmtId="0" fontId="62" fillId="72" borderId="16" xfId="0" applyFont="1" applyFill="1" applyBorder="1" applyAlignment="1">
      <alignment wrapText="1"/>
    </xf>
    <xf numFmtId="0" fontId="62" fillId="72" borderId="15" xfId="0" applyFont="1" applyFill="1" applyBorder="1" applyAlignment="1">
      <alignment horizontal="center" wrapText="1"/>
    </xf>
    <xf numFmtId="0" fontId="62" fillId="72" borderId="16" xfId="0" applyFont="1" applyFill="1" applyBorder="1" applyAlignment="1">
      <alignment horizontal="center" wrapText="1"/>
    </xf>
    <xf numFmtId="0" fontId="62" fillId="72" borderId="17" xfId="0" applyFont="1" applyFill="1" applyBorder="1" applyAlignment="1">
      <alignment wrapText="1"/>
    </xf>
    <xf numFmtId="0" fontId="62" fillId="72" borderId="18" xfId="0" applyFont="1" applyFill="1" applyBorder="1" applyAlignment="1">
      <alignment wrapText="1"/>
    </xf>
    <xf numFmtId="0" fontId="62" fillId="49" borderId="114" xfId="0" applyFont="1" applyFill="1" applyBorder="1" applyAlignment="1">
      <alignment horizontal="left" vertical="top" wrapText="1"/>
    </xf>
    <xf numFmtId="0" fontId="60" fillId="49" borderId="49" xfId="0" applyFont="1" applyFill="1" applyBorder="1" applyAlignment="1">
      <alignment horizontal="right" vertical="top" wrapText="1"/>
    </xf>
    <xf numFmtId="170" fontId="62" fillId="49" borderId="49" xfId="0" applyNumberFormat="1" applyFont="1" applyFill="1" applyBorder="1" applyAlignment="1">
      <alignment horizontal="center" vertical="top" wrapText="1"/>
    </xf>
    <xf numFmtId="170" fontId="60" fillId="49" borderId="115" xfId="0" applyNumberFormat="1" applyFont="1" applyFill="1" applyBorder="1" applyAlignment="1">
      <alignment horizontal="right" vertical="top" wrapText="1"/>
    </xf>
    <xf numFmtId="0" fontId="81" fillId="30" borderId="40" xfId="0" applyFont="1" applyFill="1" applyBorder="1" applyAlignment="1">
      <alignment horizontal="center" vertical="top" wrapText="1"/>
    </xf>
    <xf numFmtId="0" fontId="82" fillId="30" borderId="15" xfId="0" applyFont="1" applyFill="1" applyBorder="1" applyAlignment="1">
      <alignment vertical="top" wrapText="1"/>
    </xf>
    <xf numFmtId="0" fontId="82" fillId="30" borderId="15" xfId="0" applyFont="1" applyFill="1" applyBorder="1" applyAlignment="1">
      <alignment horizontal="left" vertical="top" wrapText="1"/>
    </xf>
    <xf numFmtId="0" fontId="83" fillId="69" borderId="40" xfId="0" applyFont="1" applyFill="1" applyBorder="1" applyAlignment="1">
      <alignment horizontal="center" vertical="top" wrapText="1"/>
    </xf>
    <xf numFmtId="0" fontId="84" fillId="69" borderId="15" xfId="0" applyFont="1" applyFill="1" applyBorder="1" applyAlignment="1">
      <alignment vertical="top" wrapText="1"/>
    </xf>
    <xf numFmtId="0" fontId="84" fillId="69" borderId="15" xfId="0" applyFont="1" applyFill="1" applyBorder="1" applyAlignment="1">
      <alignment horizontal="left" vertical="top" wrapText="1"/>
    </xf>
    <xf numFmtId="0" fontId="87" fillId="29" borderId="40" xfId="0" applyFont="1" applyFill="1" applyBorder="1" applyAlignment="1">
      <alignment horizontal="center" vertical="top" wrapText="1"/>
    </xf>
    <xf numFmtId="0" fontId="89" fillId="29" borderId="15" xfId="0" applyFont="1" applyFill="1" applyBorder="1" applyAlignment="1">
      <alignment horizontal="left" vertical="top" wrapText="1"/>
    </xf>
    <xf numFmtId="0" fontId="90" fillId="71" borderId="40" xfId="0" applyFont="1" applyFill="1" applyBorder="1" applyAlignment="1">
      <alignment horizontal="center" vertical="top" wrapText="1"/>
    </xf>
    <xf numFmtId="0" fontId="91" fillId="71" borderId="15" xfId="0" applyFont="1" applyFill="1" applyBorder="1" applyAlignment="1">
      <alignment vertical="top" wrapText="1"/>
    </xf>
    <xf numFmtId="0" fontId="91" fillId="71" borderId="15" xfId="0" applyFont="1" applyFill="1" applyBorder="1" applyAlignment="1">
      <alignment horizontal="left" vertical="top" wrapText="1"/>
    </xf>
    <xf numFmtId="0" fontId="47" fillId="2" borderId="15" xfId="0" applyFont="1" applyFill="1" applyBorder="1" applyAlignment="1">
      <alignment vertical="top" wrapText="1"/>
    </xf>
    <xf numFmtId="0" fontId="47" fillId="32" borderId="15" xfId="0" applyFont="1" applyFill="1" applyBorder="1" applyAlignment="1">
      <alignment vertical="top" wrapText="1"/>
    </xf>
    <xf numFmtId="0" fontId="47" fillId="32" borderId="15" xfId="0" applyFont="1" applyFill="1" applyBorder="1" applyAlignment="1">
      <alignment horizontal="center" vertical="top" wrapText="1"/>
    </xf>
    <xf numFmtId="0" fontId="47" fillId="32" borderId="15" xfId="0" applyFont="1" applyFill="1" applyBorder="1" applyAlignment="1">
      <alignment wrapText="1"/>
    </xf>
    <xf numFmtId="0" fontId="47" fillId="2" borderId="15" xfId="0" applyFont="1" applyFill="1" applyBorder="1" applyAlignment="1">
      <alignment wrapText="1"/>
    </xf>
    <xf numFmtId="0" fontId="47" fillId="2" borderId="17" xfId="0" applyFont="1" applyFill="1" applyBorder="1" applyAlignment="1">
      <alignment wrapText="1"/>
    </xf>
    <xf numFmtId="0" fontId="47" fillId="24" borderId="15" xfId="0" applyFont="1" applyFill="1" applyBorder="1" applyAlignment="1">
      <alignment vertical="top" wrapText="1"/>
    </xf>
    <xf numFmtId="0" fontId="62" fillId="24" borderId="15" xfId="0" applyFont="1" applyFill="1" applyBorder="1" applyAlignment="1">
      <alignment vertical="top" wrapText="1"/>
    </xf>
    <xf numFmtId="0" fontId="61" fillId="2" borderId="15" xfId="0" applyFont="1" applyFill="1" applyBorder="1" applyAlignment="1">
      <alignment wrapText="1"/>
    </xf>
    <xf numFmtId="0" fontId="47" fillId="72" borderId="15" xfId="0" applyFont="1" applyFill="1" applyBorder="1" applyAlignment="1">
      <alignment vertical="top" wrapText="1"/>
    </xf>
    <xf numFmtId="0" fontId="47" fillId="72" borderId="15" xfId="0" applyFont="1" applyFill="1" applyBorder="1" applyAlignment="1">
      <alignment wrapText="1"/>
    </xf>
    <xf numFmtId="0" fontId="47" fillId="72" borderId="17" xfId="0" applyFont="1" applyFill="1" applyBorder="1" applyAlignment="1">
      <alignment wrapText="1"/>
    </xf>
    <xf numFmtId="0" fontId="47" fillId="24" borderId="28" xfId="0" applyFont="1" applyFill="1" applyBorder="1" applyAlignment="1">
      <alignment vertical="top" wrapText="1"/>
    </xf>
    <xf numFmtId="0" fontId="47" fillId="2" borderId="82" xfId="0" applyFont="1" applyFill="1" applyBorder="1" applyAlignment="1">
      <alignment vertical="top" wrapText="1"/>
    </xf>
    <xf numFmtId="0" fontId="93" fillId="72" borderId="40" xfId="0" applyFont="1" applyFill="1" applyBorder="1" applyAlignment="1">
      <alignment horizontal="center" vertical="center" wrapText="1"/>
    </xf>
    <xf numFmtId="0" fontId="47" fillId="72" borderId="40" xfId="0" applyFont="1" applyFill="1" applyBorder="1" applyAlignment="1">
      <alignment vertical="top" wrapText="1"/>
    </xf>
    <xf numFmtId="0" fontId="47" fillId="2" borderId="99" xfId="0" applyFont="1" applyFill="1" applyBorder="1" applyAlignment="1">
      <alignment vertical="top" wrapText="1"/>
    </xf>
    <xf numFmtId="0" fontId="73" fillId="47" borderId="100" xfId="0" applyFont="1" applyFill="1" applyBorder="1" applyAlignment="1">
      <alignment horizontal="center" vertical="center" wrapText="1"/>
    </xf>
    <xf numFmtId="0" fontId="73" fillId="47" borderId="101" xfId="0" applyFont="1" applyFill="1" applyBorder="1" applyAlignment="1">
      <alignment horizontal="center" vertical="center" wrapText="1"/>
    </xf>
    <xf numFmtId="0" fontId="73" fillId="47" borderId="102" xfId="0" applyFont="1" applyFill="1" applyBorder="1" applyAlignment="1">
      <alignment horizontal="center" vertical="center" wrapText="1"/>
    </xf>
    <xf numFmtId="0" fontId="47" fillId="2" borderId="48" xfId="0" applyFont="1" applyFill="1" applyBorder="1" applyAlignment="1">
      <alignment vertical="top" wrapText="1"/>
    </xf>
    <xf numFmtId="0" fontId="47" fillId="2" borderId="49" xfId="0" applyFont="1" applyFill="1" applyBorder="1" applyAlignment="1">
      <alignment vertical="top" wrapText="1"/>
    </xf>
    <xf numFmtId="0" fontId="47" fillId="2" borderId="49" xfId="0" applyFont="1" applyFill="1" applyBorder="1" applyAlignment="1">
      <alignment horizontal="center" vertical="top" wrapText="1"/>
    </xf>
    <xf numFmtId="165" fontId="47" fillId="2" borderId="49" xfId="0" applyNumberFormat="1" applyFont="1" applyFill="1" applyBorder="1" applyAlignment="1">
      <alignment horizontal="right" vertical="top" wrapText="1"/>
    </xf>
    <xf numFmtId="170" fontId="47" fillId="2" borderId="49" xfId="0" applyNumberFormat="1" applyFont="1" applyFill="1" applyBorder="1" applyAlignment="1">
      <alignment horizontal="center" vertical="top" wrapText="1"/>
    </xf>
    <xf numFmtId="1" fontId="47" fillId="2" borderId="49" xfId="0" applyNumberFormat="1" applyFont="1" applyFill="1" applyBorder="1" applyAlignment="1">
      <alignment horizontal="center" vertical="top" wrapText="1"/>
    </xf>
    <xf numFmtId="0" fontId="58" fillId="2" borderId="49" xfId="0" applyFont="1" applyFill="1" applyBorder="1" applyAlignment="1">
      <alignment horizontal="center" vertical="top" wrapText="1"/>
    </xf>
    <xf numFmtId="0" fontId="98" fillId="2" borderId="49" xfId="0" applyFont="1" applyFill="1" applyBorder="1" applyAlignment="1">
      <alignment horizontal="center" vertical="top" wrapText="1"/>
    </xf>
    <xf numFmtId="1" fontId="47" fillId="2" borderId="49" xfId="0" applyNumberFormat="1" applyFont="1" applyFill="1" applyBorder="1" applyAlignment="1">
      <alignment horizontal="right" vertical="top" wrapText="1"/>
    </xf>
    <xf numFmtId="0" fontId="47" fillId="2" borderId="103" xfId="0" applyFont="1" applyFill="1" applyBorder="1" applyAlignment="1">
      <alignment horizontal="center" vertical="top" wrapText="1"/>
    </xf>
    <xf numFmtId="0" fontId="47" fillId="66" borderId="48" xfId="0" applyFont="1" applyFill="1" applyBorder="1" applyAlignment="1">
      <alignment vertical="top" wrapText="1"/>
    </xf>
    <xf numFmtId="0" fontId="47" fillId="66" borderId="49" xfId="0" applyFont="1" applyFill="1" applyBorder="1" applyAlignment="1">
      <alignment vertical="top" wrapText="1"/>
    </xf>
    <xf numFmtId="0" fontId="47" fillId="66" borderId="49" xfId="0" applyFont="1" applyFill="1" applyBorder="1" applyAlignment="1">
      <alignment horizontal="center" vertical="top" wrapText="1"/>
    </xf>
    <xf numFmtId="165" fontId="47" fillId="66" borderId="49" xfId="0" applyNumberFormat="1" applyFont="1" applyFill="1" applyBorder="1" applyAlignment="1">
      <alignment horizontal="right" vertical="top" wrapText="1"/>
    </xf>
    <xf numFmtId="170" fontId="47" fillId="66" borderId="49" xfId="0" applyNumberFormat="1" applyFont="1" applyFill="1" applyBorder="1" applyAlignment="1">
      <alignment horizontal="center" vertical="top" wrapText="1"/>
    </xf>
    <xf numFmtId="1" fontId="47" fillId="66" borderId="49" xfId="0" applyNumberFormat="1" applyFont="1" applyFill="1" applyBorder="1" applyAlignment="1">
      <alignment horizontal="center" vertical="top" wrapText="1"/>
    </xf>
    <xf numFmtId="0" fontId="98" fillId="66" borderId="49" xfId="0" applyFont="1" applyFill="1" applyBorder="1" applyAlignment="1">
      <alignment horizontal="center" vertical="top" wrapText="1"/>
    </xf>
    <xf numFmtId="1" fontId="47" fillId="66" borderId="49" xfId="0" applyNumberFormat="1" applyFont="1" applyFill="1" applyBorder="1" applyAlignment="1">
      <alignment horizontal="right" vertical="top" wrapText="1"/>
    </xf>
    <xf numFmtId="0" fontId="47" fillId="66" borderId="103" xfId="0" applyFont="1" applyFill="1" applyBorder="1" applyAlignment="1">
      <alignment horizontal="center" vertical="top" wrapText="1"/>
    </xf>
    <xf numFmtId="0" fontId="94" fillId="2" borderId="49" xfId="0" applyFont="1" applyFill="1" applyBorder="1" applyAlignment="1">
      <alignment horizontal="center" vertical="top" wrapText="1"/>
    </xf>
    <xf numFmtId="0" fontId="58" fillId="66" borderId="49" xfId="0" applyFont="1" applyFill="1" applyBorder="1" applyAlignment="1">
      <alignment horizontal="center" vertical="top" wrapText="1"/>
    </xf>
    <xf numFmtId="0" fontId="47" fillId="66" borderId="104" xfId="0" applyFont="1" applyFill="1" applyBorder="1" applyAlignment="1">
      <alignment vertical="top" wrapText="1"/>
    </xf>
    <xf numFmtId="0" fontId="47" fillId="66" borderId="105" xfId="0" applyFont="1" applyFill="1" applyBorder="1" applyAlignment="1">
      <alignment vertical="top" wrapText="1"/>
    </xf>
    <xf numFmtId="0" fontId="47" fillId="66" borderId="105" xfId="0" applyFont="1" applyFill="1" applyBorder="1" applyAlignment="1">
      <alignment horizontal="center" vertical="top" wrapText="1"/>
    </xf>
    <xf numFmtId="165" fontId="47" fillId="66" borderId="105" xfId="0" applyNumberFormat="1" applyFont="1" applyFill="1" applyBorder="1" applyAlignment="1">
      <alignment horizontal="right" vertical="top" wrapText="1"/>
    </xf>
    <xf numFmtId="170" fontId="47" fillId="66" borderId="105" xfId="0" applyNumberFormat="1" applyFont="1" applyFill="1" applyBorder="1" applyAlignment="1">
      <alignment horizontal="center" vertical="top" wrapText="1"/>
    </xf>
    <xf numFmtId="1" fontId="47" fillId="66" borderId="105" xfId="0" applyNumberFormat="1" applyFont="1" applyFill="1" applyBorder="1" applyAlignment="1">
      <alignment horizontal="center" vertical="top" wrapText="1"/>
    </xf>
    <xf numFmtId="0" fontId="98" fillId="66" borderId="105" xfId="0" applyFont="1" applyFill="1" applyBorder="1" applyAlignment="1">
      <alignment horizontal="center" vertical="top" wrapText="1"/>
    </xf>
    <xf numFmtId="1" fontId="47" fillId="66" borderId="105" xfId="0" applyNumberFormat="1" applyFont="1" applyFill="1" applyBorder="1" applyAlignment="1">
      <alignment horizontal="right" vertical="top" wrapText="1"/>
    </xf>
    <xf numFmtId="0" fontId="47" fillId="66" borderId="106" xfId="0" applyFont="1" applyFill="1" applyBorder="1" applyAlignment="1">
      <alignment horizontal="center" vertical="top" wrapText="1"/>
    </xf>
    <xf numFmtId="0" fontId="47" fillId="2" borderId="40" xfId="0" applyFont="1" applyFill="1" applyBorder="1" applyAlignment="1">
      <alignment vertical="top" wrapText="1"/>
    </xf>
    <xf numFmtId="0" fontId="47" fillId="32" borderId="40" xfId="0" applyFont="1" applyFill="1" applyBorder="1" applyAlignment="1">
      <alignment vertical="top" wrapText="1"/>
    </xf>
    <xf numFmtId="0" fontId="47" fillId="32" borderId="40" xfId="0" applyFont="1" applyFill="1" applyBorder="1" applyAlignment="1">
      <alignment wrapText="1"/>
    </xf>
    <xf numFmtId="0" fontId="47" fillId="2" borderId="40" xfId="0" applyFont="1" applyFill="1" applyBorder="1" applyAlignment="1">
      <alignment wrapText="1"/>
    </xf>
    <xf numFmtId="0" fontId="47" fillId="24" borderId="138" xfId="0" applyFont="1" applyFill="1" applyBorder="1" applyAlignment="1">
      <alignment vertical="top" wrapText="1"/>
    </xf>
    <xf numFmtId="0" fontId="47" fillId="24" borderId="139" xfId="0" applyFont="1" applyFill="1" applyBorder="1" applyAlignment="1">
      <alignment vertical="top" wrapText="1"/>
    </xf>
    <xf numFmtId="0" fontId="73" fillId="47" borderId="112" xfId="0" applyFont="1" applyFill="1" applyBorder="1" applyAlignment="1">
      <alignment horizontal="center" vertical="top" wrapText="1"/>
    </xf>
    <xf numFmtId="0" fontId="73" fillId="47" borderId="113" xfId="0" applyFont="1" applyFill="1" applyBorder="1" applyAlignment="1">
      <alignment horizontal="center" vertical="top" wrapText="1"/>
    </xf>
    <xf numFmtId="0" fontId="47" fillId="66" borderId="114" xfId="0" applyFont="1" applyFill="1" applyBorder="1" applyAlignment="1">
      <alignment vertical="top" wrapText="1"/>
    </xf>
    <xf numFmtId="0" fontId="47" fillId="66" borderId="49" xfId="0" applyFont="1" applyFill="1" applyBorder="1" applyAlignment="1">
      <alignment horizontal="right" vertical="top" wrapText="1"/>
    </xf>
    <xf numFmtId="0" fontId="47" fillId="66" borderId="115" xfId="0" applyFont="1" applyFill="1" applyBorder="1" applyAlignment="1">
      <alignment horizontal="right" vertical="top" wrapText="1"/>
    </xf>
    <xf numFmtId="0" fontId="58" fillId="2" borderId="114" xfId="0" applyFont="1" applyFill="1" applyBorder="1" applyAlignment="1">
      <alignment vertical="top" wrapText="1"/>
    </xf>
    <xf numFmtId="0" fontId="47" fillId="2" borderId="49" xfId="0" applyFont="1" applyFill="1" applyBorder="1" applyAlignment="1">
      <alignment horizontal="right" vertical="top" wrapText="1"/>
    </xf>
    <xf numFmtId="0" fontId="47" fillId="2" borderId="115" xfId="0" applyFont="1" applyFill="1" applyBorder="1" applyAlignment="1">
      <alignment horizontal="right" vertical="top" wrapText="1"/>
    </xf>
    <xf numFmtId="0" fontId="47" fillId="66" borderId="114" xfId="0" applyFont="1" applyFill="1" applyBorder="1"/>
    <xf numFmtId="0" fontId="47" fillId="66" borderId="49" xfId="0" applyFont="1" applyFill="1" applyBorder="1" applyAlignment="1">
      <alignment horizontal="right" wrapText="1"/>
    </xf>
    <xf numFmtId="0" fontId="47" fillId="66" borderId="115" xfId="0" applyFont="1" applyFill="1" applyBorder="1" applyAlignment="1">
      <alignment horizontal="right" wrapText="1"/>
    </xf>
    <xf numFmtId="0" fontId="47" fillId="2" borderId="114" xfId="0" applyFont="1" applyFill="1" applyBorder="1"/>
    <xf numFmtId="0" fontId="47" fillId="2" borderId="49" xfId="0" applyFont="1" applyFill="1" applyBorder="1" applyAlignment="1">
      <alignment horizontal="right" wrapText="1"/>
    </xf>
    <xf numFmtId="0" fontId="47" fillId="2" borderId="115" xfId="0" applyFont="1" applyFill="1" applyBorder="1" applyAlignment="1">
      <alignment horizontal="right" wrapText="1"/>
    </xf>
    <xf numFmtId="0" fontId="79" fillId="64" borderId="114" xfId="0" applyFont="1" applyFill="1" applyBorder="1"/>
    <xf numFmtId="170" fontId="99" fillId="64" borderId="49" xfId="0" applyNumberFormat="1" applyFont="1" applyFill="1" applyBorder="1" applyAlignment="1">
      <alignment horizontal="right" wrapText="1"/>
    </xf>
    <xf numFmtId="0" fontId="79" fillId="64" borderId="115" xfId="0" applyFont="1" applyFill="1" applyBorder="1" applyAlignment="1">
      <alignment wrapText="1"/>
    </xf>
    <xf numFmtId="165" fontId="47" fillId="2" borderId="49" xfId="0" applyNumberFormat="1" applyFont="1" applyFill="1" applyBorder="1" applyAlignment="1">
      <alignment horizontal="right" wrapText="1"/>
    </xf>
    <xf numFmtId="0" fontId="47" fillId="2" borderId="115" xfId="0" applyFont="1" applyFill="1" applyBorder="1" applyAlignment="1">
      <alignment wrapText="1"/>
    </xf>
    <xf numFmtId="165" fontId="47" fillId="66" borderId="49" xfId="0" applyNumberFormat="1" applyFont="1" applyFill="1" applyBorder="1" applyAlignment="1">
      <alignment horizontal="right" wrapText="1"/>
    </xf>
    <xf numFmtId="0" fontId="47" fillId="66" borderId="115" xfId="0" applyFont="1" applyFill="1" applyBorder="1" applyAlignment="1">
      <alignment wrapText="1"/>
    </xf>
    <xf numFmtId="170" fontId="47" fillId="2" borderId="49" xfId="0" applyNumberFormat="1" applyFont="1" applyFill="1" applyBorder="1" applyAlignment="1">
      <alignment horizontal="right" wrapText="1"/>
    </xf>
    <xf numFmtId="0" fontId="47" fillId="66" borderId="49" xfId="0" applyFont="1" applyFill="1" applyBorder="1" applyAlignment="1">
      <alignment wrapText="1"/>
    </xf>
    <xf numFmtId="0" fontId="47" fillId="66" borderId="115" xfId="0" applyFont="1" applyFill="1" applyBorder="1" applyAlignment="1">
      <alignment vertical="top" wrapText="1"/>
    </xf>
    <xf numFmtId="0" fontId="47" fillId="2" borderId="41" xfId="0" applyFont="1" applyFill="1" applyBorder="1" applyAlignment="1">
      <alignment wrapText="1"/>
    </xf>
    <xf numFmtId="0" fontId="47" fillId="2" borderId="119" xfId="0" applyFont="1" applyFill="1" applyBorder="1"/>
    <xf numFmtId="0" fontId="47" fillId="2" borderId="108" xfId="0" applyFont="1" applyFill="1" applyBorder="1" applyAlignment="1">
      <alignment wrapText="1"/>
    </xf>
    <xf numFmtId="0" fontId="47" fillId="2" borderId="140" xfId="0" applyFont="1" applyFill="1" applyBorder="1" applyAlignment="1">
      <alignment wrapText="1"/>
    </xf>
    <xf numFmtId="0" fontId="47" fillId="2" borderId="141" xfId="0" applyFont="1" applyFill="1" applyBorder="1" applyAlignment="1">
      <alignment wrapText="1"/>
    </xf>
    <xf numFmtId="0" fontId="47" fillId="2" borderId="35" xfId="0" applyFont="1" applyFill="1" applyBorder="1" applyAlignment="1">
      <alignment wrapText="1"/>
    </xf>
    <xf numFmtId="0" fontId="73" fillId="47" borderId="123" xfId="0" applyFont="1" applyFill="1" applyBorder="1" applyAlignment="1">
      <alignment horizontal="center"/>
    </xf>
    <xf numFmtId="0" fontId="73" fillId="47" borderId="101" xfId="0" applyFont="1" applyFill="1" applyBorder="1" applyAlignment="1">
      <alignment horizontal="center" wrapText="1"/>
    </xf>
    <xf numFmtId="0" fontId="73" fillId="47" borderId="124" xfId="0" applyFont="1" applyFill="1" applyBorder="1" applyAlignment="1">
      <alignment horizontal="center" wrapText="1"/>
    </xf>
    <xf numFmtId="0" fontId="73" fillId="66" borderId="125" xfId="0" applyFont="1" applyFill="1" applyBorder="1" applyAlignment="1">
      <alignment horizontal="center" wrapText="1"/>
    </xf>
    <xf numFmtId="0" fontId="62" fillId="66" borderId="49" xfId="0" applyFont="1" applyFill="1" applyBorder="1" applyAlignment="1">
      <alignment vertical="top" wrapText="1"/>
    </xf>
    <xf numFmtId="0" fontId="100" fillId="66" borderId="126" xfId="0" applyFont="1" applyFill="1" applyBorder="1" applyAlignment="1">
      <alignment horizontal="center" wrapText="1"/>
    </xf>
    <xf numFmtId="0" fontId="73" fillId="2" borderId="125" xfId="0" applyFont="1" applyFill="1" applyBorder="1" applyAlignment="1">
      <alignment horizontal="center" wrapText="1"/>
    </xf>
    <xf numFmtId="0" fontId="47" fillId="2" borderId="49" xfId="0" applyFont="1" applyFill="1" applyBorder="1" applyAlignment="1">
      <alignment wrapText="1"/>
    </xf>
    <xf numFmtId="0" fontId="100" fillId="2" borderId="126" xfId="0" applyFont="1" applyFill="1" applyBorder="1" applyAlignment="1">
      <alignment horizontal="center" wrapText="1"/>
    </xf>
    <xf numFmtId="0" fontId="62" fillId="2" borderId="49" xfId="0" applyFont="1" applyFill="1" applyBorder="1" applyAlignment="1">
      <alignment vertical="top" wrapText="1"/>
    </xf>
    <xf numFmtId="0" fontId="73" fillId="2" borderId="127" xfId="0" applyFont="1" applyFill="1" applyBorder="1" applyAlignment="1">
      <alignment horizontal="center" wrapText="1"/>
    </xf>
    <xf numFmtId="0" fontId="62" fillId="2" borderId="128" xfId="0" applyFont="1" applyFill="1" applyBorder="1" applyAlignment="1">
      <alignment vertical="top" wrapText="1"/>
    </xf>
    <xf numFmtId="0" fontId="47" fillId="2" borderId="128" xfId="0" applyFont="1" applyFill="1" applyBorder="1" applyAlignment="1">
      <alignment wrapText="1"/>
    </xf>
    <xf numFmtId="0" fontId="100" fillId="2" borderId="129" xfId="0" applyFont="1" applyFill="1" applyBorder="1" applyAlignment="1">
      <alignment horizontal="center" wrapText="1"/>
    </xf>
    <xf numFmtId="0" fontId="73" fillId="47" borderId="130" xfId="0" applyFont="1" applyFill="1" applyBorder="1" applyAlignment="1">
      <alignment horizontal="center" vertical="center" wrapText="1"/>
    </xf>
    <xf numFmtId="0" fontId="47" fillId="2" borderId="131" xfId="0" applyFont="1" applyFill="1" applyBorder="1" applyAlignment="1">
      <alignment vertical="top" wrapText="1"/>
    </xf>
    <xf numFmtId="0" fontId="47" fillId="66" borderId="131" xfId="0" applyFont="1" applyFill="1" applyBorder="1" applyAlignment="1">
      <alignment vertical="top" wrapText="1"/>
    </xf>
    <xf numFmtId="0" fontId="47" fillId="66" borderId="142" xfId="0" applyFont="1" applyFill="1" applyBorder="1" applyAlignment="1">
      <alignment vertical="top" wrapText="1"/>
    </xf>
    <xf numFmtId="0" fontId="77" fillId="45" borderId="15" xfId="0" applyFont="1" applyFill="1" applyBorder="1" applyAlignment="1">
      <alignment horizontal="center" vertical="center" wrapText="1"/>
    </xf>
    <xf numFmtId="0" fontId="81" fillId="30" borderId="15" xfId="0" applyFont="1" applyFill="1" applyBorder="1" applyAlignment="1">
      <alignment horizontal="center" vertical="top" wrapText="1"/>
    </xf>
    <xf numFmtId="0" fontId="83" fillId="69" borderId="15" xfId="0" applyFont="1" applyFill="1" applyBorder="1" applyAlignment="1">
      <alignment horizontal="center" vertical="top" wrapText="1"/>
    </xf>
    <xf numFmtId="0" fontId="85" fillId="70" borderId="15" xfId="0" applyFont="1" applyFill="1" applyBorder="1" applyAlignment="1">
      <alignment horizontal="center" vertical="top" wrapText="1"/>
    </xf>
    <xf numFmtId="0" fontId="102" fillId="70" borderId="15" xfId="0" applyFont="1" applyFill="1" applyBorder="1" applyAlignment="1">
      <alignment vertical="top" wrapText="1"/>
    </xf>
    <xf numFmtId="0" fontId="87" fillId="29" borderId="15" xfId="0" applyFont="1" applyFill="1" applyBorder="1" applyAlignment="1">
      <alignment horizontal="center" vertical="top" wrapText="1"/>
    </xf>
    <xf numFmtId="0" fontId="89" fillId="29" borderId="15" xfId="0" applyFont="1" applyFill="1" applyBorder="1" applyAlignment="1">
      <alignment vertical="top" wrapText="1"/>
    </xf>
    <xf numFmtId="0" fontId="90" fillId="71" borderId="15" xfId="0" applyFont="1" applyFill="1" applyBorder="1" applyAlignment="1">
      <alignment horizontal="center" vertical="top" wrapText="1"/>
    </xf>
    <xf numFmtId="0" fontId="106" fillId="2" borderId="15" xfId="0" applyFont="1" applyFill="1" applyBorder="1" applyAlignment="1">
      <alignment horizontal="center" vertical="center" wrapText="1"/>
    </xf>
    <xf numFmtId="0" fontId="106" fillId="32" borderId="15" xfId="0" applyFont="1" applyFill="1" applyBorder="1" applyAlignment="1">
      <alignment horizontal="center" vertical="center" wrapText="1"/>
    </xf>
    <xf numFmtId="0" fontId="114" fillId="45" borderId="0" xfId="2" applyFont="1" applyFill="1" applyAlignment="1">
      <alignment horizontal="center" vertical="center" wrapText="1"/>
    </xf>
    <xf numFmtId="0" fontId="116" fillId="2" borderId="15" xfId="0" applyFont="1" applyFill="1" applyBorder="1" applyAlignment="1">
      <alignment wrapText="1"/>
    </xf>
    <xf numFmtId="0" fontId="116" fillId="32" borderId="15" xfId="0" applyFont="1" applyFill="1" applyBorder="1" applyAlignment="1">
      <alignment wrapText="1"/>
    </xf>
    <xf numFmtId="0" fontId="116" fillId="32" borderId="17" xfId="0" applyFont="1" applyFill="1" applyBorder="1" applyAlignment="1">
      <alignment wrapText="1"/>
    </xf>
    <xf numFmtId="0" fontId="62" fillId="24" borderId="15" xfId="0" applyFont="1" applyFill="1" applyBorder="1" applyAlignment="1">
      <alignment wrapText="1"/>
    </xf>
    <xf numFmtId="0" fontId="115" fillId="72" borderId="15" xfId="0" applyFont="1" applyFill="1" applyBorder="1" applyAlignment="1">
      <alignment horizontal="center" vertical="center" wrapText="1"/>
    </xf>
    <xf numFmtId="0" fontId="118" fillId="72" borderId="15" xfId="0" applyFont="1" applyFill="1" applyBorder="1" applyAlignment="1">
      <alignment vertical="top" wrapText="1"/>
    </xf>
    <xf numFmtId="0" fontId="118" fillId="72" borderId="15" xfId="0" applyFont="1" applyFill="1" applyBorder="1" applyAlignment="1">
      <alignment wrapText="1"/>
    </xf>
    <xf numFmtId="0" fontId="118" fillId="72" borderId="17" xfId="0" applyFont="1" applyFill="1" applyBorder="1" applyAlignment="1">
      <alignment wrapText="1"/>
    </xf>
    <xf numFmtId="0" fontId="122" fillId="24" borderId="30" xfId="0" applyFont="1" applyFill="1" applyBorder="1" applyAlignment="1">
      <alignment vertical="top" wrapText="1"/>
    </xf>
    <xf numFmtId="0" fontId="122" fillId="24" borderId="28" xfId="0" applyFont="1" applyFill="1" applyBorder="1" applyAlignment="1">
      <alignment vertical="top" wrapText="1"/>
    </xf>
    <xf numFmtId="0" fontId="115" fillId="72" borderId="40" xfId="0" applyFont="1" applyFill="1" applyBorder="1" applyAlignment="1">
      <alignment horizontal="center" vertical="center" wrapText="1"/>
    </xf>
    <xf numFmtId="0" fontId="118" fillId="72" borderId="40" xfId="0" applyFont="1" applyFill="1" applyBorder="1" applyAlignment="1">
      <alignment vertical="top" wrapText="1"/>
    </xf>
    <xf numFmtId="0" fontId="126" fillId="47" borderId="151" xfId="0" applyFont="1" applyFill="1" applyBorder="1" applyAlignment="1">
      <alignment horizontal="center" vertical="center" wrapText="1"/>
    </xf>
    <xf numFmtId="0" fontId="126" fillId="47" borderId="101" xfId="0" applyFont="1" applyFill="1" applyBorder="1" applyAlignment="1">
      <alignment horizontal="center" vertical="center" wrapText="1"/>
    </xf>
    <xf numFmtId="0" fontId="126" fillId="47" borderId="152" xfId="0" applyFont="1" applyFill="1" applyBorder="1" applyAlignment="1">
      <alignment horizontal="center" vertical="center" wrapText="1"/>
    </xf>
    <xf numFmtId="0" fontId="103" fillId="2" borderId="153" xfId="0" applyFont="1" applyFill="1" applyBorder="1" applyAlignment="1">
      <alignment horizontal="center" vertical="center" wrapText="1"/>
    </xf>
    <xf numFmtId="0" fontId="103" fillId="2" borderId="49" xfId="0" applyFont="1" applyFill="1" applyBorder="1" applyAlignment="1">
      <alignment horizontal="center" vertical="center" wrapText="1"/>
    </xf>
    <xf numFmtId="0" fontId="116" fillId="2" borderId="49" xfId="0" applyFont="1" applyFill="1" applyBorder="1" applyAlignment="1">
      <alignment horizontal="center" vertical="center" wrapText="1"/>
    </xf>
    <xf numFmtId="175" fontId="106" fillId="2" borderId="49" xfId="0" applyNumberFormat="1" applyFont="1" applyFill="1" applyBorder="1" applyAlignment="1">
      <alignment horizontal="center" vertical="center" wrapText="1"/>
    </xf>
    <xf numFmtId="0" fontId="107" fillId="2" borderId="154" xfId="0" applyFont="1" applyFill="1" applyBorder="1" applyAlignment="1">
      <alignment horizontal="center" vertical="center" wrapText="1"/>
    </xf>
    <xf numFmtId="0" fontId="103" fillId="58" borderId="153" xfId="0" applyFont="1" applyFill="1" applyBorder="1" applyAlignment="1">
      <alignment horizontal="center" vertical="center" wrapText="1"/>
    </xf>
    <xf numFmtId="0" fontId="119" fillId="58" borderId="49" xfId="0" applyFont="1" applyFill="1" applyBorder="1" applyAlignment="1">
      <alignment horizontal="center" vertical="center" wrapText="1"/>
    </xf>
    <xf numFmtId="0" fontId="116" fillId="58" borderId="49" xfId="0" applyFont="1" applyFill="1" applyBorder="1" applyAlignment="1">
      <alignment horizontal="center" vertical="center" wrapText="1"/>
    </xf>
    <xf numFmtId="175" fontId="106" fillId="58" borderId="49" xfId="0" applyNumberFormat="1" applyFont="1" applyFill="1" applyBorder="1" applyAlignment="1">
      <alignment horizontal="center" vertical="center" wrapText="1"/>
    </xf>
    <xf numFmtId="0" fontId="103" fillId="58" borderId="49" xfId="0" applyFont="1" applyFill="1" applyBorder="1" applyAlignment="1">
      <alignment horizontal="center" vertical="center" wrapText="1"/>
    </xf>
    <xf numFmtId="0" fontId="107" fillId="58" borderId="154" xfId="0" applyFont="1" applyFill="1" applyBorder="1" applyAlignment="1">
      <alignment horizontal="center" vertical="center" wrapText="1"/>
    </xf>
    <xf numFmtId="0" fontId="119" fillId="2" borderId="49" xfId="0" applyFont="1" applyFill="1" applyBorder="1" applyAlignment="1">
      <alignment horizontal="center" vertical="center" wrapText="1"/>
    </xf>
    <xf numFmtId="0" fontId="120" fillId="58" borderId="49" xfId="0" applyFont="1" applyFill="1" applyBorder="1" applyAlignment="1">
      <alignment horizontal="center" vertical="center" wrapText="1"/>
    </xf>
    <xf numFmtId="0" fontId="128" fillId="58" borderId="49" xfId="0" applyFont="1" applyFill="1" applyBorder="1" applyAlignment="1">
      <alignment horizontal="center" vertical="center" wrapText="1"/>
    </xf>
    <xf numFmtId="0" fontId="110" fillId="58" borderId="154" xfId="0" applyFont="1" applyFill="1" applyBorder="1" applyAlignment="1">
      <alignment horizontal="center" vertical="center" wrapText="1"/>
    </xf>
    <xf numFmtId="0" fontId="128" fillId="2" borderId="49" xfId="0" applyFont="1" applyFill="1" applyBorder="1" applyAlignment="1">
      <alignment horizontal="center" vertical="center" wrapText="1"/>
    </xf>
    <xf numFmtId="0" fontId="110" fillId="2" borderId="154" xfId="0" applyFont="1" applyFill="1" applyBorder="1" applyAlignment="1">
      <alignment horizontal="center" vertical="center" wrapText="1"/>
    </xf>
    <xf numFmtId="0" fontId="120" fillId="2" borderId="153" xfId="0" applyFont="1" applyFill="1" applyBorder="1" applyAlignment="1">
      <alignment horizontal="center" vertical="center" wrapText="1"/>
    </xf>
    <xf numFmtId="0" fontId="120" fillId="2" borderId="49" xfId="0" applyFont="1" applyFill="1" applyBorder="1" applyAlignment="1">
      <alignment horizontal="center" vertical="center" wrapText="1"/>
    </xf>
    <xf numFmtId="0" fontId="120" fillId="58" borderId="153" xfId="0" applyFont="1" applyFill="1" applyBorder="1" applyAlignment="1">
      <alignment horizontal="center" vertical="center" wrapText="1"/>
    </xf>
    <xf numFmtId="0" fontId="127" fillId="2" borderId="153" xfId="0" applyFont="1" applyFill="1" applyBorder="1" applyAlignment="1">
      <alignment horizontal="center" vertical="center" wrapText="1"/>
    </xf>
    <xf numFmtId="0" fontId="127" fillId="58" borderId="153" xfId="0" applyFont="1" applyFill="1" applyBorder="1" applyAlignment="1">
      <alignment horizontal="center" vertical="center" wrapText="1"/>
    </xf>
    <xf numFmtId="0" fontId="127" fillId="58" borderId="155" xfId="0" applyFont="1" applyFill="1" applyBorder="1" applyAlignment="1">
      <alignment horizontal="center" vertical="center" wrapText="1"/>
    </xf>
    <xf numFmtId="0" fontId="119" fillId="58" borderId="156" xfId="0" applyFont="1" applyFill="1" applyBorder="1" applyAlignment="1">
      <alignment horizontal="center" vertical="center" wrapText="1"/>
    </xf>
    <xf numFmtId="0" fontId="116" fillId="58" borderId="156" xfId="0" applyFont="1" applyFill="1" applyBorder="1" applyAlignment="1">
      <alignment horizontal="center" vertical="center" wrapText="1"/>
    </xf>
    <xf numFmtId="175" fontId="106" fillId="58" borderId="156" xfId="0" applyNumberFormat="1" applyFont="1" applyFill="1" applyBorder="1" applyAlignment="1">
      <alignment horizontal="center" vertical="center" wrapText="1"/>
    </xf>
    <xf numFmtId="0" fontId="120" fillId="58" borderId="156" xfId="0" applyFont="1" applyFill="1" applyBorder="1" applyAlignment="1">
      <alignment horizontal="center" vertical="center" wrapText="1"/>
    </xf>
    <xf numFmtId="0" fontId="107" fillId="58" borderId="157" xfId="0" applyFont="1" applyFill="1" applyBorder="1" applyAlignment="1">
      <alignment horizontal="center" vertical="center" wrapText="1"/>
    </xf>
    <xf numFmtId="0" fontId="116" fillId="24" borderId="158" xfId="0" applyFont="1" applyFill="1" applyBorder="1" applyAlignment="1">
      <alignment vertical="top" wrapText="1"/>
    </xf>
    <xf numFmtId="0" fontId="116" fillId="24" borderId="35" xfId="0" applyFont="1" applyFill="1" applyBorder="1" applyAlignment="1">
      <alignment vertical="top" wrapText="1"/>
    </xf>
    <xf numFmtId="0" fontId="122" fillId="24" borderId="35" xfId="0" applyFont="1" applyFill="1" applyBorder="1" applyAlignment="1">
      <alignment vertical="top" wrapText="1"/>
    </xf>
    <xf numFmtId="0" fontId="116" fillId="24" borderId="30" xfId="0" applyFont="1" applyFill="1" applyBorder="1" applyAlignment="1">
      <alignment vertical="top" wrapText="1"/>
    </xf>
    <xf numFmtId="0" fontId="116" fillId="24" borderId="28" xfId="0" applyFont="1" applyFill="1" applyBorder="1" applyAlignment="1">
      <alignment vertical="top" wrapText="1"/>
    </xf>
    <xf numFmtId="9" fontId="116" fillId="24" borderId="28" xfId="0" applyNumberFormat="1" applyFont="1" applyFill="1" applyBorder="1" applyAlignment="1">
      <alignment vertical="top" wrapText="1"/>
    </xf>
    <xf numFmtId="0" fontId="126" fillId="47" borderId="151" xfId="0" applyFont="1" applyFill="1" applyBorder="1" applyAlignment="1">
      <alignment horizontal="center" vertical="top" wrapText="1"/>
    </xf>
    <xf numFmtId="0" fontId="126" fillId="47" borderId="101" xfId="0" applyFont="1" applyFill="1" applyBorder="1" applyAlignment="1">
      <alignment horizontal="center" vertical="top" wrapText="1"/>
    </xf>
    <xf numFmtId="0" fontId="126" fillId="47" borderId="152" xfId="0" applyFont="1" applyFill="1" applyBorder="1" applyAlignment="1">
      <alignment horizontal="center" vertical="top" wrapText="1"/>
    </xf>
    <xf numFmtId="0" fontId="103" fillId="34" borderId="153" xfId="0" applyFont="1" applyFill="1" applyBorder="1" applyAlignment="1">
      <alignment horizontal="center" vertical="top" wrapText="1"/>
    </xf>
    <xf numFmtId="0" fontId="116" fillId="58" borderId="49" xfId="0" applyFont="1" applyFill="1" applyBorder="1" applyAlignment="1">
      <alignment vertical="top" wrapText="1"/>
    </xf>
    <xf numFmtId="0" fontId="124" fillId="58" borderId="49" xfId="0" applyFont="1" applyFill="1" applyBorder="1" applyAlignment="1">
      <alignment vertical="top" wrapText="1"/>
    </xf>
    <xf numFmtId="0" fontId="116" fillId="58" borderId="154" xfId="0" applyFont="1" applyFill="1" applyBorder="1" applyAlignment="1">
      <alignment vertical="top" wrapText="1"/>
    </xf>
    <xf numFmtId="0" fontId="103" fillId="35" borderId="153" xfId="0" applyFont="1" applyFill="1" applyBorder="1" applyAlignment="1">
      <alignment horizontal="center" vertical="top" wrapText="1"/>
    </xf>
    <xf numFmtId="0" fontId="116" fillId="66" borderId="49" xfId="0" applyFont="1" applyFill="1" applyBorder="1" applyAlignment="1">
      <alignment vertical="top" wrapText="1"/>
    </xf>
    <xf numFmtId="0" fontId="116" fillId="66" borderId="49" xfId="0" applyFont="1" applyFill="1" applyBorder="1" applyAlignment="1">
      <alignment horizontal="center" vertical="top" wrapText="1"/>
    </xf>
    <xf numFmtId="0" fontId="124" fillId="66" borderId="49" xfId="0" applyFont="1" applyFill="1" applyBorder="1" applyAlignment="1">
      <alignment vertical="top" wrapText="1"/>
    </xf>
    <xf numFmtId="0" fontId="116" fillId="66" borderId="154" xfId="0" applyFont="1" applyFill="1" applyBorder="1" applyAlignment="1">
      <alignment vertical="top" wrapText="1"/>
    </xf>
    <xf numFmtId="0" fontId="129" fillId="70" borderId="153" xfId="0" applyFont="1" applyFill="1" applyBorder="1" applyAlignment="1">
      <alignment horizontal="center" vertical="top" wrapText="1"/>
    </xf>
    <xf numFmtId="0" fontId="125" fillId="58" borderId="49" xfId="0" applyFont="1" applyFill="1" applyBorder="1" applyAlignment="1">
      <alignment vertical="top" wrapText="1"/>
    </xf>
    <xf numFmtId="0" fontId="123" fillId="69" borderId="153" xfId="0" applyFont="1" applyFill="1" applyBorder="1" applyAlignment="1">
      <alignment horizontal="center" vertical="top" wrapText="1"/>
    </xf>
    <xf numFmtId="0" fontId="103" fillId="66" borderId="49" xfId="0" applyFont="1" applyFill="1" applyBorder="1" applyAlignment="1">
      <alignment vertical="top" wrapText="1"/>
    </xf>
    <xf numFmtId="0" fontId="103" fillId="36" borderId="155" xfId="0" applyFont="1" applyFill="1" applyBorder="1" applyAlignment="1">
      <alignment horizontal="center" vertical="top" wrapText="1"/>
    </xf>
    <xf numFmtId="0" fontId="116" fillId="58" borderId="156" xfId="0" applyFont="1" applyFill="1" applyBorder="1" applyAlignment="1">
      <alignment vertical="top" wrapText="1"/>
    </xf>
    <xf numFmtId="0" fontId="103" fillId="58" borderId="156" xfId="0" applyFont="1" applyFill="1" applyBorder="1" applyAlignment="1">
      <alignment vertical="top" wrapText="1"/>
    </xf>
    <xf numFmtId="0" fontId="116" fillId="58" borderId="157" xfId="0" applyFont="1" applyFill="1" applyBorder="1" applyAlignment="1">
      <alignment vertical="top" wrapText="1"/>
    </xf>
    <xf numFmtId="0" fontId="118" fillId="72" borderId="40" xfId="0" applyFont="1" applyFill="1" applyBorder="1" applyAlignment="1">
      <alignment wrapText="1"/>
    </xf>
    <xf numFmtId="9" fontId="116" fillId="24" borderId="35" xfId="0" applyNumberFormat="1" applyFont="1" applyFill="1" applyBorder="1" applyAlignment="1">
      <alignment vertical="top" wrapText="1"/>
    </xf>
    <xf numFmtId="0" fontId="126" fillId="47" borderId="112" xfId="0" applyFont="1" applyFill="1" applyBorder="1" applyAlignment="1">
      <alignment horizontal="center" wrapText="1"/>
    </xf>
    <xf numFmtId="0" fontId="126" fillId="47" borderId="101" xfId="0" applyFont="1" applyFill="1" applyBorder="1" applyAlignment="1">
      <alignment horizontal="center" wrapText="1"/>
    </xf>
    <xf numFmtId="9" fontId="126" fillId="47" borderId="101" xfId="0" applyNumberFormat="1" applyFont="1" applyFill="1" applyBorder="1" applyAlignment="1">
      <alignment horizontal="center" wrapText="1"/>
    </xf>
    <xf numFmtId="0" fontId="126" fillId="47" borderId="113" xfId="0" applyFont="1" applyFill="1" applyBorder="1" applyAlignment="1">
      <alignment horizontal="center" wrapText="1"/>
    </xf>
    <xf numFmtId="0" fontId="103" fillId="66" borderId="114" xfId="0" applyFont="1" applyFill="1" applyBorder="1"/>
    <xf numFmtId="0" fontId="116" fillId="66" borderId="49" xfId="0" applyFont="1" applyFill="1" applyBorder="1" applyAlignment="1">
      <alignment horizontal="center"/>
    </xf>
    <xf numFmtId="9" fontId="116" fillId="66" borderId="49" xfId="0" applyNumberFormat="1" applyFont="1" applyFill="1" applyBorder="1" applyAlignment="1">
      <alignment horizontal="center"/>
    </xf>
    <xf numFmtId="0" fontId="120" fillId="66" borderId="49" xfId="0" applyFont="1" applyFill="1" applyBorder="1" applyAlignment="1">
      <alignment vertical="top"/>
    </xf>
    <xf numFmtId="0" fontId="116" fillId="66" borderId="49" xfId="0" applyFont="1" applyFill="1" applyBorder="1"/>
    <xf numFmtId="0" fontId="116" fillId="66" borderId="115" xfId="0" applyFont="1" applyFill="1" applyBorder="1"/>
    <xf numFmtId="0" fontId="103" fillId="58" borderId="114" xfId="0" applyFont="1" applyFill="1" applyBorder="1"/>
    <xf numFmtId="0" fontId="116" fillId="58" borderId="49" xfId="0" applyFont="1" applyFill="1" applyBorder="1" applyAlignment="1">
      <alignment horizontal="center"/>
    </xf>
    <xf numFmtId="9" fontId="116" fillId="58" borderId="49" xfId="0" applyNumberFormat="1" applyFont="1" applyFill="1" applyBorder="1" applyAlignment="1">
      <alignment horizontal="center"/>
    </xf>
    <xf numFmtId="0" fontId="120" fillId="58" borderId="49" xfId="0" applyFont="1" applyFill="1" applyBorder="1"/>
    <xf numFmtId="0" fontId="116" fillId="58" borderId="49" xfId="0" applyFont="1" applyFill="1" applyBorder="1"/>
    <xf numFmtId="0" fontId="116" fillId="58" borderId="115" xfId="0" applyFont="1" applyFill="1" applyBorder="1"/>
    <xf numFmtId="0" fontId="120" fillId="66" borderId="114" xfId="0" applyFont="1" applyFill="1" applyBorder="1"/>
    <xf numFmtId="0" fontId="103" fillId="66" borderId="49" xfId="0" applyFont="1" applyFill="1" applyBorder="1"/>
    <xf numFmtId="0" fontId="123" fillId="58" borderId="114" xfId="0" applyFont="1" applyFill="1" applyBorder="1"/>
    <xf numFmtId="0" fontId="103" fillId="58" borderId="49" xfId="0" applyFont="1" applyFill="1" applyBorder="1" applyAlignment="1">
      <alignment horizontal="center"/>
    </xf>
    <xf numFmtId="0" fontId="103" fillId="67" borderId="116" xfId="0" applyFont="1" applyFill="1" applyBorder="1" applyAlignment="1">
      <alignment horizontal="center"/>
    </xf>
    <xf numFmtId="0" fontId="103" fillId="67" borderId="117" xfId="0" applyFont="1" applyFill="1" applyBorder="1"/>
    <xf numFmtId="9" fontId="103" fillId="67" borderId="117" xfId="0" applyNumberFormat="1" applyFont="1" applyFill="1" applyBorder="1" applyAlignment="1">
      <alignment horizontal="center"/>
    </xf>
    <xf numFmtId="0" fontId="103" fillId="67" borderId="117" xfId="0" applyFont="1" applyFill="1" applyBorder="1" applyAlignment="1">
      <alignment horizontal="center"/>
    </xf>
    <xf numFmtId="0" fontId="103" fillId="67" borderId="118" xfId="0" applyFont="1" applyFill="1" applyBorder="1"/>
    <xf numFmtId="0" fontId="116" fillId="24" borderId="138" xfId="0" applyFont="1" applyFill="1" applyBorder="1"/>
    <xf numFmtId="0" fontId="116" fillId="24" borderId="139" xfId="0" applyFont="1" applyFill="1" applyBorder="1"/>
    <xf numFmtId="0" fontId="106" fillId="64" borderId="144" xfId="0" applyFont="1" applyFill="1" applyBorder="1" applyAlignment="1">
      <alignment wrapText="1"/>
    </xf>
    <xf numFmtId="0" fontId="106" fillId="64" borderId="147" xfId="0" applyFont="1" applyFill="1" applyBorder="1" applyAlignment="1">
      <alignment wrapText="1"/>
    </xf>
    <xf numFmtId="0" fontId="116" fillId="2" borderId="40" xfId="0" applyFont="1" applyFill="1" applyBorder="1" applyAlignment="1">
      <alignment wrapText="1"/>
    </xf>
    <xf numFmtId="0" fontId="116" fillId="32" borderId="40" xfId="0" applyFont="1" applyFill="1" applyBorder="1" applyAlignment="1">
      <alignment wrapText="1"/>
    </xf>
    <xf numFmtId="0" fontId="116" fillId="32" borderId="41" xfId="0" applyFont="1" applyFill="1" applyBorder="1" applyAlignment="1">
      <alignment wrapText="1"/>
    </xf>
    <xf numFmtId="0" fontId="104" fillId="34" borderId="159" xfId="0" applyFont="1" applyFill="1" applyBorder="1" applyAlignment="1">
      <alignment horizontal="center" wrapText="1"/>
    </xf>
    <xf numFmtId="0" fontId="104" fillId="64" borderId="35" xfId="0" applyFont="1" applyFill="1" applyBorder="1" applyAlignment="1">
      <alignment vertical="top" wrapText="1"/>
    </xf>
    <xf numFmtId="0" fontId="106" fillId="64" borderId="35" xfId="0" applyFont="1" applyFill="1" applyBorder="1" applyAlignment="1">
      <alignment wrapText="1"/>
    </xf>
    <xf numFmtId="0" fontId="126" fillId="47" borderId="100" xfId="0" applyFont="1" applyFill="1" applyBorder="1" applyAlignment="1">
      <alignment horizontal="center" wrapText="1"/>
    </xf>
    <xf numFmtId="0" fontId="126" fillId="47" borderId="102" xfId="0" applyFont="1" applyFill="1" applyBorder="1" applyAlignment="1">
      <alignment horizontal="center" wrapText="1"/>
    </xf>
    <xf numFmtId="0" fontId="120" fillId="66" borderId="48" xfId="0" applyFont="1" applyFill="1" applyBorder="1" applyAlignment="1">
      <alignment horizontal="center" wrapText="1"/>
    </xf>
    <xf numFmtId="0" fontId="130" fillId="66" borderId="49" xfId="0" applyFont="1" applyFill="1" applyBorder="1" applyAlignment="1">
      <alignment horizontal="center" wrapText="1"/>
    </xf>
    <xf numFmtId="0" fontId="131" fillId="66" borderId="49" xfId="0" applyFont="1" applyFill="1" applyBorder="1" applyAlignment="1">
      <alignment horizontal="center" wrapText="1"/>
    </xf>
    <xf numFmtId="0" fontId="120" fillId="66" borderId="49" xfId="0" applyFont="1" applyFill="1" applyBorder="1" applyAlignment="1">
      <alignment wrapText="1"/>
    </xf>
    <xf numFmtId="0" fontId="104" fillId="66" borderId="103" xfId="0" applyFont="1" applyFill="1" applyBorder="1" applyAlignment="1">
      <alignment wrapText="1"/>
    </xf>
    <xf numFmtId="0" fontId="120" fillId="58" borderId="48" xfId="0" applyFont="1" applyFill="1" applyBorder="1" applyAlignment="1">
      <alignment wrapText="1"/>
    </xf>
    <xf numFmtId="0" fontId="130" fillId="58" borderId="49" xfId="0" applyFont="1" applyFill="1" applyBorder="1" applyAlignment="1">
      <alignment horizontal="center" vertical="top" wrapText="1"/>
    </xf>
    <xf numFmtId="0" fontId="131" fillId="58" borderId="49" xfId="0" applyFont="1" applyFill="1" applyBorder="1" applyAlignment="1">
      <alignment horizontal="center" wrapText="1"/>
    </xf>
    <xf numFmtId="0" fontId="124" fillId="58" borderId="49" xfId="0" applyFont="1" applyFill="1" applyBorder="1" applyAlignment="1">
      <alignment horizontal="left" vertical="top" wrapText="1"/>
    </xf>
    <xf numFmtId="0" fontId="106" fillId="58" borderId="103" xfId="0" applyFont="1" applyFill="1" applyBorder="1" applyAlignment="1">
      <alignment wrapText="1"/>
    </xf>
    <xf numFmtId="0" fontId="120" fillId="66" borderId="48" xfId="0" applyFont="1" applyFill="1" applyBorder="1" applyAlignment="1">
      <alignment wrapText="1"/>
    </xf>
    <xf numFmtId="0" fontId="124" fillId="66" borderId="49" xfId="0" applyFont="1" applyFill="1" applyBorder="1" applyAlignment="1">
      <alignment horizontal="left" vertical="top" wrapText="1"/>
    </xf>
    <xf numFmtId="0" fontId="130" fillId="58" borderId="49" xfId="0" applyFont="1" applyFill="1" applyBorder="1" applyAlignment="1">
      <alignment horizontal="center" wrapText="1"/>
    </xf>
    <xf numFmtId="0" fontId="121" fillId="58" borderId="49" xfId="0" applyFont="1" applyFill="1" applyBorder="1" applyAlignment="1">
      <alignment horizontal="left" vertical="top" wrapText="1"/>
    </xf>
    <xf numFmtId="0" fontId="104" fillId="58" borderId="103" xfId="0" applyFont="1" applyFill="1" applyBorder="1" applyAlignment="1">
      <alignment wrapText="1"/>
    </xf>
    <xf numFmtId="0" fontId="120" fillId="66" borderId="104" xfId="0" applyFont="1" applyFill="1" applyBorder="1" applyAlignment="1">
      <alignment wrapText="1"/>
    </xf>
    <xf numFmtId="0" fontId="130" fillId="66" borderId="105" xfId="0" applyFont="1" applyFill="1" applyBorder="1" applyAlignment="1">
      <alignment horizontal="center" wrapText="1"/>
    </xf>
    <xf numFmtId="0" fontId="131" fillId="66" borderId="105" xfId="0" applyFont="1" applyFill="1" applyBorder="1" applyAlignment="1">
      <alignment horizontal="center" wrapText="1"/>
    </xf>
    <xf numFmtId="0" fontId="116" fillId="66" borderId="105" xfId="0" applyFont="1" applyFill="1" applyBorder="1" applyAlignment="1">
      <alignment wrapText="1"/>
    </xf>
    <xf numFmtId="0" fontId="106" fillId="66" borderId="106" xfId="0" applyFont="1" applyFill="1" applyBorder="1" applyAlignment="1">
      <alignment wrapText="1"/>
    </xf>
    <xf numFmtId="0" fontId="105" fillId="72" borderId="15" xfId="0" applyFont="1" applyFill="1" applyBorder="1" applyAlignment="1">
      <alignment horizontal="center" vertical="center" wrapText="1"/>
    </xf>
    <xf numFmtId="0" fontId="104" fillId="61" borderId="15" xfId="0" applyFont="1" applyFill="1" applyBorder="1" applyAlignment="1">
      <alignment horizontal="center" vertical="center" wrapText="1"/>
    </xf>
    <xf numFmtId="0" fontId="104" fillId="34" borderId="15" xfId="0" applyFont="1" applyFill="1" applyBorder="1" applyAlignment="1">
      <alignment horizontal="center" vertical="top" wrapText="1"/>
    </xf>
    <xf numFmtId="0" fontId="133" fillId="34" borderId="15" xfId="0" applyFont="1" applyFill="1" applyBorder="1" applyAlignment="1">
      <alignment vertical="top" wrapText="1"/>
    </xf>
    <xf numFmtId="0" fontId="104" fillId="35" borderId="15" xfId="0" applyFont="1" applyFill="1" applyBorder="1" applyAlignment="1">
      <alignment horizontal="center" vertical="top" wrapText="1"/>
    </xf>
    <xf numFmtId="0" fontId="133" fillId="35" borderId="15" xfId="0" applyFont="1" applyFill="1" applyBorder="1" applyAlignment="1">
      <alignment vertical="top" wrapText="1"/>
    </xf>
    <xf numFmtId="0" fontId="134" fillId="70" borderId="15" xfId="0" applyFont="1" applyFill="1" applyBorder="1" applyAlignment="1">
      <alignment horizontal="center" vertical="top" wrapText="1"/>
    </xf>
    <xf numFmtId="0" fontId="113" fillId="70" borderId="15" xfId="0" applyFont="1" applyFill="1" applyBorder="1" applyAlignment="1">
      <alignment vertical="top" wrapText="1"/>
    </xf>
    <xf numFmtId="0" fontId="135" fillId="69" borderId="15" xfId="0" applyFont="1" applyFill="1" applyBorder="1" applyAlignment="1">
      <alignment horizontal="center" vertical="top" wrapText="1"/>
    </xf>
    <xf numFmtId="0" fontId="111" fillId="69" borderId="15" xfId="0" applyFont="1" applyFill="1" applyBorder="1" applyAlignment="1">
      <alignment vertical="top" wrapText="1"/>
    </xf>
    <xf numFmtId="0" fontId="136" fillId="30" borderId="15" xfId="0" applyFont="1" applyFill="1" applyBorder="1" applyAlignment="1">
      <alignment horizontal="center" vertical="top" wrapText="1"/>
    </xf>
    <xf numFmtId="0" fontId="137" fillId="30" borderId="15" xfId="0" applyFont="1" applyFill="1" applyBorder="1" applyAlignment="1">
      <alignment vertical="top" wrapText="1"/>
    </xf>
    <xf numFmtId="0" fontId="47" fillId="32" borderId="15" xfId="0" applyFont="1" applyFill="1" applyBorder="1" applyAlignment="1">
      <alignment horizontal="center" vertical="center" wrapText="1"/>
    </xf>
    <xf numFmtId="0" fontId="47" fillId="32" borderId="17" xfId="0" applyFont="1" applyFill="1" applyBorder="1" applyAlignment="1">
      <alignment wrapText="1"/>
    </xf>
    <xf numFmtId="0" fontId="62" fillId="0" borderId="0" xfId="0" applyFont="1" applyAlignment="1">
      <alignment wrapText="1"/>
    </xf>
    <xf numFmtId="0" fontId="58" fillId="61" borderId="15" xfId="0" applyFont="1" applyFill="1" applyBorder="1" applyAlignment="1">
      <alignment horizontal="left" vertical="top" wrapText="1"/>
    </xf>
    <xf numFmtId="0" fontId="58" fillId="34" borderId="15" xfId="0" applyFont="1" applyFill="1" applyBorder="1" applyAlignment="1">
      <alignment horizontal="left" vertical="top" wrapText="1"/>
    </xf>
    <xf numFmtId="0" fontId="106" fillId="64" borderId="15" xfId="0" applyFont="1" applyFill="1" applyBorder="1" applyAlignment="1">
      <alignment horizontal="center" vertical="top" wrapText="1"/>
    </xf>
    <xf numFmtId="0" fontId="104" fillId="64" borderId="15" xfId="0" applyFont="1" applyFill="1" applyBorder="1" applyAlignment="1">
      <alignment horizontal="center" vertical="top" wrapText="1"/>
    </xf>
    <xf numFmtId="0" fontId="81" fillId="32" borderId="15" xfId="0" applyFont="1" applyFill="1" applyBorder="1" applyAlignment="1">
      <alignment vertical="top" wrapText="1"/>
    </xf>
    <xf numFmtId="0" fontId="62" fillId="24" borderId="0" xfId="0" applyFont="1" applyFill="1"/>
    <xf numFmtId="0" fontId="62" fillId="24" borderId="0" xfId="0" applyFont="1" applyFill="1" applyAlignment="1">
      <alignment wrapText="1"/>
    </xf>
    <xf numFmtId="0" fontId="58" fillId="0" borderId="0" xfId="0" applyFont="1" applyAlignment="1">
      <alignment wrapText="1"/>
    </xf>
    <xf numFmtId="0" fontId="58" fillId="67" borderId="0" xfId="0" applyFont="1" applyFill="1" applyAlignment="1">
      <alignment horizontal="center" wrapText="1"/>
    </xf>
    <xf numFmtId="0" fontId="58" fillId="72" borderId="15" xfId="0" applyFont="1" applyFill="1" applyBorder="1" applyAlignment="1">
      <alignment horizontal="left" wrapText="1"/>
    </xf>
    <xf numFmtId="0" fontId="58" fillId="72" borderId="16" xfId="0" applyFont="1" applyFill="1" applyBorder="1" applyAlignment="1">
      <alignment horizontal="left" wrapText="1"/>
    </xf>
    <xf numFmtId="0" fontId="81" fillId="72" borderId="15" xfId="0" applyFont="1" applyFill="1" applyBorder="1" applyAlignment="1">
      <alignment wrapText="1"/>
    </xf>
    <xf numFmtId="0" fontId="81" fillId="72" borderId="16" xfId="0" applyFont="1" applyFill="1" applyBorder="1" applyAlignment="1">
      <alignment wrapText="1"/>
    </xf>
    <xf numFmtId="0" fontId="62" fillId="72" borderId="0" xfId="0" applyFont="1" applyFill="1" applyAlignment="1">
      <alignment wrapText="1"/>
    </xf>
    <xf numFmtId="0" fontId="58" fillId="72" borderId="0" xfId="0" applyFont="1" applyFill="1" applyAlignment="1">
      <alignment horizontal="center" wrapText="1"/>
    </xf>
    <xf numFmtId="0" fontId="116" fillId="24" borderId="27" xfId="0" applyFont="1" applyFill="1" applyBorder="1" applyAlignment="1">
      <alignment horizontal="center" vertical="top" wrapText="1"/>
    </xf>
    <xf numFmtId="0" fontId="126" fillId="47" borderId="100" xfId="0" applyFont="1" applyFill="1" applyBorder="1" applyAlignment="1">
      <alignment horizontal="center" vertical="center" wrapText="1"/>
    </xf>
    <xf numFmtId="0" fontId="120" fillId="2" borderId="48" xfId="0" applyFont="1" applyFill="1" applyBorder="1" applyAlignment="1">
      <alignment horizontal="center" vertical="top" wrapText="1"/>
    </xf>
    <xf numFmtId="0" fontId="116" fillId="2" borderId="49" xfId="0" applyFont="1" applyFill="1" applyBorder="1" applyAlignment="1">
      <alignment horizontal="left" vertical="top" wrapText="1"/>
    </xf>
    <xf numFmtId="0" fontId="116" fillId="2" borderId="49" xfId="0" applyFont="1" applyFill="1" applyBorder="1" applyAlignment="1">
      <alignment vertical="top" wrapText="1"/>
    </xf>
    <xf numFmtId="0" fontId="138" fillId="2" borderId="49" xfId="0" applyFont="1" applyFill="1" applyBorder="1" applyAlignment="1">
      <alignment vertical="top" wrapText="1"/>
    </xf>
    <xf numFmtId="0" fontId="138" fillId="2" borderId="49" xfId="0" applyFont="1" applyFill="1" applyBorder="1" applyAlignment="1">
      <alignment horizontal="left" vertical="top" wrapText="1"/>
    </xf>
    <xf numFmtId="0" fontId="116" fillId="2" borderId="49" xfId="0" applyFont="1" applyFill="1" applyBorder="1" applyAlignment="1">
      <alignment horizontal="center" vertical="top" wrapText="1"/>
    </xf>
    <xf numFmtId="0" fontId="103" fillId="2" borderId="49" xfId="0" applyFont="1" applyFill="1" applyBorder="1" applyAlignment="1">
      <alignment horizontal="center" vertical="top" wrapText="1"/>
    </xf>
    <xf numFmtId="0" fontId="139" fillId="2" borderId="103" xfId="0" applyFont="1" applyFill="1" applyBorder="1" applyAlignment="1">
      <alignment vertical="top" wrapText="1"/>
    </xf>
    <xf numFmtId="0" fontId="120" fillId="66" borderId="48" xfId="0" applyFont="1" applyFill="1" applyBorder="1" applyAlignment="1">
      <alignment horizontal="center" vertical="top" wrapText="1"/>
    </xf>
    <xf numFmtId="0" fontId="116" fillId="66" borderId="49" xfId="0" applyFont="1" applyFill="1" applyBorder="1" applyAlignment="1">
      <alignment horizontal="left" vertical="top" wrapText="1"/>
    </xf>
    <xf numFmtId="0" fontId="138" fillId="66" borderId="49" xfId="0" applyFont="1" applyFill="1" applyBorder="1" applyAlignment="1">
      <alignment vertical="top" wrapText="1"/>
    </xf>
    <xf numFmtId="0" fontId="138" fillId="66" borderId="49" xfId="0" applyFont="1" applyFill="1" applyBorder="1" applyAlignment="1">
      <alignment horizontal="left" vertical="top" wrapText="1"/>
    </xf>
    <xf numFmtId="0" fontId="103" fillId="66" borderId="49" xfId="0" applyFont="1" applyFill="1" applyBorder="1" applyAlignment="1">
      <alignment horizontal="center" vertical="top" wrapText="1"/>
    </xf>
    <xf numFmtId="0" fontId="139" fillId="66" borderId="103" xfId="0" applyFont="1" applyFill="1" applyBorder="1" applyAlignment="1">
      <alignment vertical="top" wrapText="1"/>
    </xf>
    <xf numFmtId="0" fontId="120" fillId="66" borderId="104" xfId="0" applyFont="1" applyFill="1" applyBorder="1" applyAlignment="1">
      <alignment horizontal="center" vertical="top" wrapText="1"/>
    </xf>
    <xf numFmtId="0" fontId="116" fillId="66" borderId="105" xfId="0" applyFont="1" applyFill="1" applyBorder="1" applyAlignment="1">
      <alignment horizontal="left" vertical="top" wrapText="1"/>
    </xf>
    <xf numFmtId="0" fontId="116" fillId="66" borderId="105" xfId="0" applyFont="1" applyFill="1" applyBorder="1" applyAlignment="1">
      <alignment vertical="top" wrapText="1"/>
    </xf>
    <xf numFmtId="0" fontId="138" fillId="66" borderId="105" xfId="0" applyFont="1" applyFill="1" applyBorder="1" applyAlignment="1">
      <alignment vertical="top" wrapText="1"/>
    </xf>
    <xf numFmtId="0" fontId="138" fillId="66" borderId="105" xfId="0" applyFont="1" applyFill="1" applyBorder="1" applyAlignment="1">
      <alignment horizontal="left" vertical="top" wrapText="1"/>
    </xf>
    <xf numFmtId="0" fontId="116" fillId="66" borderId="105" xfId="0" applyFont="1" applyFill="1" applyBorder="1" applyAlignment="1">
      <alignment horizontal="center" vertical="top" wrapText="1"/>
    </xf>
    <xf numFmtId="0" fontId="103" fillId="66" borderId="105" xfId="0" applyFont="1" applyFill="1" applyBorder="1" applyAlignment="1">
      <alignment horizontal="center" vertical="top" wrapText="1"/>
    </xf>
    <xf numFmtId="0" fontId="58" fillId="66" borderId="105" xfId="0" applyFont="1" applyFill="1" applyBorder="1" applyAlignment="1">
      <alignment horizontal="center" vertical="top" wrapText="1"/>
    </xf>
    <xf numFmtId="0" fontId="139" fillId="66" borderId="106" xfId="0" applyFont="1" applyFill="1" applyBorder="1" applyAlignment="1">
      <alignment vertical="top" wrapText="1"/>
    </xf>
    <xf numFmtId="0" fontId="47" fillId="32" borderId="40" xfId="0" applyFont="1" applyFill="1" applyBorder="1" applyAlignment="1">
      <alignment horizontal="center" vertical="top" wrapText="1"/>
    </xf>
    <xf numFmtId="0" fontId="47" fillId="32" borderId="40" xfId="0" applyFont="1" applyFill="1" applyBorder="1" applyAlignment="1">
      <alignment horizontal="center" vertical="center" wrapText="1"/>
    </xf>
    <xf numFmtId="0" fontId="62" fillId="24" borderId="160" xfId="0" applyFont="1" applyFill="1" applyBorder="1" applyAlignment="1">
      <alignment vertical="top" wrapText="1"/>
    </xf>
    <xf numFmtId="0" fontId="62" fillId="24" borderId="35" xfId="0" applyFont="1" applyFill="1" applyBorder="1" applyAlignment="1">
      <alignment vertical="top" wrapText="1"/>
    </xf>
    <xf numFmtId="0" fontId="139" fillId="24" borderId="28" xfId="0" applyFont="1" applyFill="1" applyBorder="1" applyAlignment="1">
      <alignment horizontal="left" vertical="top" wrapText="1"/>
    </xf>
    <xf numFmtId="0" fontId="126" fillId="47" borderId="165" xfId="0" applyFont="1" applyFill="1" applyBorder="1" applyAlignment="1">
      <alignment horizontal="center" vertical="top" wrapText="1"/>
    </xf>
    <xf numFmtId="0" fontId="73" fillId="47" borderId="166" xfId="0" applyFont="1" applyFill="1" applyBorder="1" applyAlignment="1">
      <alignment horizontal="center" vertical="top" wrapText="1"/>
    </xf>
    <xf numFmtId="0" fontId="138" fillId="2" borderId="167" xfId="0" applyFont="1" applyFill="1" applyBorder="1" applyAlignment="1">
      <alignment horizontal="left" vertical="top" wrapText="1"/>
    </xf>
    <xf numFmtId="0" fontId="138" fillId="2" borderId="49" xfId="0" applyFont="1" applyFill="1" applyBorder="1" applyAlignment="1">
      <alignment horizontal="center" vertical="top" wrapText="1"/>
    </xf>
    <xf numFmtId="0" fontId="146" fillId="2" borderId="49" xfId="0" applyFont="1" applyFill="1" applyBorder="1" applyAlignment="1">
      <alignment horizontal="center" vertical="top" wrapText="1"/>
    </xf>
    <xf numFmtId="0" fontId="120" fillId="2" borderId="49" xfId="0" applyFont="1" applyFill="1" applyBorder="1" applyAlignment="1">
      <alignment horizontal="center" vertical="top" wrapText="1"/>
    </xf>
    <xf numFmtId="0" fontId="61" fillId="2" borderId="49" xfId="0" applyFont="1" applyFill="1" applyBorder="1" applyAlignment="1">
      <alignment horizontal="center" vertical="top" wrapText="1"/>
    </xf>
    <xf numFmtId="0" fontId="47" fillId="2" borderId="49" xfId="0" applyFont="1" applyFill="1" applyBorder="1" applyAlignment="1">
      <alignment horizontal="left" vertical="top" wrapText="1"/>
    </xf>
    <xf numFmtId="0" fontId="139" fillId="2" borderId="168" xfId="0" applyFont="1" applyFill="1" applyBorder="1" applyAlignment="1">
      <alignment horizontal="left" vertical="top" wrapText="1"/>
    </xf>
    <xf numFmtId="0" fontId="116" fillId="66" borderId="167" xfId="0" applyFont="1" applyFill="1" applyBorder="1" applyAlignment="1">
      <alignment horizontal="left" vertical="top" wrapText="1"/>
    </xf>
    <xf numFmtId="0" fontId="146" fillId="66" borderId="49" xfId="0" applyFont="1" applyFill="1" applyBorder="1" applyAlignment="1">
      <alignment horizontal="center" vertical="top" wrapText="1"/>
    </xf>
    <xf numFmtId="0" fontId="120" fillId="66" borderId="49" xfId="0" applyFont="1" applyFill="1" applyBorder="1" applyAlignment="1">
      <alignment horizontal="center" vertical="top" wrapText="1"/>
    </xf>
    <xf numFmtId="0" fontId="61" fillId="66" borderId="49" xfId="0" applyFont="1" applyFill="1" applyBorder="1" applyAlignment="1">
      <alignment horizontal="center" vertical="top" wrapText="1"/>
    </xf>
    <xf numFmtId="0" fontId="47" fillId="66" borderId="49" xfId="0" applyFont="1" applyFill="1" applyBorder="1" applyAlignment="1">
      <alignment horizontal="left" vertical="top" wrapText="1"/>
    </xf>
    <xf numFmtId="0" fontId="139" fillId="66" borderId="168" xfId="0" applyFont="1" applyFill="1" applyBorder="1" applyAlignment="1">
      <alignment horizontal="left" vertical="top" wrapText="1"/>
    </xf>
    <xf numFmtId="0" fontId="116" fillId="2" borderId="167" xfId="0" applyFont="1" applyFill="1" applyBorder="1" applyAlignment="1">
      <alignment horizontal="left" vertical="top" wrapText="1"/>
    </xf>
    <xf numFmtId="0" fontId="140" fillId="66" borderId="168" xfId="0" applyFont="1" applyFill="1" applyBorder="1" applyAlignment="1">
      <alignment horizontal="left" vertical="top" wrapText="1"/>
    </xf>
    <xf numFmtId="0" fontId="138" fillId="66" borderId="49" xfId="0" applyFont="1" applyFill="1" applyBorder="1" applyAlignment="1">
      <alignment horizontal="center" vertical="top" wrapText="1"/>
    </xf>
    <xf numFmtId="0" fontId="140" fillId="2" borderId="168" xfId="0" applyFont="1" applyFill="1" applyBorder="1" applyAlignment="1">
      <alignment horizontal="left" vertical="top" wrapText="1"/>
    </xf>
    <xf numFmtId="0" fontId="60" fillId="2" borderId="49" xfId="0" applyFont="1" applyFill="1" applyBorder="1" applyAlignment="1">
      <alignment horizontal="center" wrapText="1"/>
    </xf>
    <xf numFmtId="0" fontId="62" fillId="2" borderId="168" xfId="0" applyFont="1" applyFill="1" applyBorder="1" applyAlignment="1">
      <alignment wrapText="1"/>
    </xf>
    <xf numFmtId="0" fontId="126" fillId="47" borderId="49" xfId="0" applyFont="1" applyFill="1" applyBorder="1" applyAlignment="1">
      <alignment horizontal="center" vertical="center" wrapText="1"/>
    </xf>
    <xf numFmtId="0" fontId="61" fillId="66" borderId="49" xfId="0" applyFont="1" applyFill="1" applyBorder="1" applyAlignment="1">
      <alignment horizontal="center" vertical="center" wrapText="1"/>
    </xf>
    <xf numFmtId="0" fontId="47" fillId="66" borderId="49" xfId="0" applyFont="1" applyFill="1" applyBorder="1" applyAlignment="1">
      <alignment horizontal="center" vertical="center" wrapText="1"/>
    </xf>
    <xf numFmtId="0" fontId="47" fillId="66" borderId="168" xfId="0" applyFont="1" applyFill="1" applyBorder="1" applyAlignment="1">
      <alignment horizontal="center" vertical="center" wrapText="1"/>
    </xf>
    <xf numFmtId="0" fontId="139" fillId="2" borderId="49" xfId="0" applyFont="1" applyFill="1" applyBorder="1" applyAlignment="1">
      <alignment horizontal="left" vertical="top" wrapText="1"/>
    </xf>
    <xf numFmtId="0" fontId="47" fillId="2" borderId="168" xfId="0" applyFont="1" applyFill="1" applyBorder="1" applyAlignment="1">
      <alignment vertical="top" wrapText="1"/>
    </xf>
    <xf numFmtId="0" fontId="139" fillId="66" borderId="49" xfId="0" applyFont="1" applyFill="1" applyBorder="1" applyAlignment="1">
      <alignment horizontal="left" vertical="top" wrapText="1"/>
    </xf>
    <xf numFmtId="0" fontId="47" fillId="66" borderId="168" xfId="0" applyFont="1" applyFill="1" applyBorder="1" applyAlignment="1">
      <alignment vertical="top" wrapText="1"/>
    </xf>
    <xf numFmtId="0" fontId="61" fillId="66" borderId="170" xfId="0" applyFont="1" applyFill="1" applyBorder="1" applyAlignment="1">
      <alignment horizontal="center" vertical="top" wrapText="1"/>
    </xf>
    <xf numFmtId="0" fontId="139" fillId="66" borderId="170" xfId="0" applyFont="1" applyFill="1" applyBorder="1" applyAlignment="1">
      <alignment horizontal="left" vertical="top" wrapText="1"/>
    </xf>
    <xf numFmtId="0" fontId="47" fillId="66" borderId="171" xfId="0" applyFont="1" applyFill="1" applyBorder="1" applyAlignment="1">
      <alignment vertical="top" wrapText="1"/>
    </xf>
    <xf numFmtId="0" fontId="120" fillId="66" borderId="133" xfId="0" applyFont="1" applyFill="1" applyBorder="1" applyAlignment="1">
      <alignment horizontal="center" vertical="center" wrapText="1"/>
    </xf>
    <xf numFmtId="0" fontId="120" fillId="2" borderId="133" xfId="0" applyFont="1" applyFill="1" applyBorder="1" applyAlignment="1">
      <alignment horizontal="center" vertical="top" wrapText="1"/>
    </xf>
    <xf numFmtId="0" fontId="120" fillId="66" borderId="133" xfId="0" applyFont="1" applyFill="1" applyBorder="1" applyAlignment="1">
      <alignment horizontal="center" vertical="top" wrapText="1"/>
    </xf>
    <xf numFmtId="0" fontId="120" fillId="66" borderId="172" xfId="0" applyFont="1" applyFill="1" applyBorder="1" applyAlignment="1">
      <alignment horizontal="center" vertical="top" wrapText="1"/>
    </xf>
    <xf numFmtId="0" fontId="116" fillId="24" borderId="39" xfId="0" applyFont="1" applyFill="1" applyBorder="1" applyAlignment="1">
      <alignment vertical="top" wrapText="1"/>
    </xf>
    <xf numFmtId="0" fontId="62" fillId="2" borderId="173" xfId="0" applyFont="1" applyFill="1" applyBorder="1" applyAlignment="1">
      <alignment wrapText="1"/>
    </xf>
    <xf numFmtId="0" fontId="62" fillId="2" borderId="108" xfId="0" applyFont="1" applyFill="1" applyBorder="1" applyAlignment="1">
      <alignment wrapText="1"/>
    </xf>
    <xf numFmtId="0" fontId="62" fillId="2" borderId="108" xfId="0" applyFont="1" applyFill="1" applyBorder="1" applyAlignment="1">
      <alignment horizontal="center" wrapText="1"/>
    </xf>
    <xf numFmtId="0" fontId="66" fillId="2" borderId="108" xfId="0" applyFont="1" applyFill="1" applyBorder="1" applyAlignment="1">
      <alignment horizontal="center" wrapText="1"/>
    </xf>
    <xf numFmtId="0" fontId="126" fillId="47" borderId="48" xfId="0" applyFont="1" applyFill="1" applyBorder="1" applyAlignment="1">
      <alignment horizontal="center" vertical="center" wrapText="1"/>
    </xf>
    <xf numFmtId="0" fontId="126" fillId="2" borderId="48" xfId="0" applyFont="1" applyFill="1" applyBorder="1" applyAlignment="1">
      <alignment horizontal="center" vertical="center" wrapText="1"/>
    </xf>
    <xf numFmtId="0" fontId="126" fillId="66" borderId="48" xfId="0" applyFont="1" applyFill="1" applyBorder="1" applyAlignment="1">
      <alignment horizontal="center" vertical="center" wrapText="1"/>
    </xf>
    <xf numFmtId="0" fontId="126" fillId="47" borderId="103" xfId="0" applyFont="1" applyFill="1" applyBorder="1" applyAlignment="1">
      <alignment horizontal="center" vertical="center" wrapText="1"/>
    </xf>
    <xf numFmtId="0" fontId="146" fillId="2" borderId="103" xfId="0" applyFont="1" applyFill="1" applyBorder="1" applyAlignment="1">
      <alignment horizontal="center" vertical="center" wrapText="1"/>
    </xf>
    <xf numFmtId="0" fontId="146" fillId="66" borderId="103" xfId="0" applyFont="1" applyFill="1" applyBorder="1" applyAlignment="1">
      <alignment horizontal="center" vertical="center" wrapText="1"/>
    </xf>
    <xf numFmtId="0" fontId="126" fillId="2" borderId="104" xfId="0" applyFont="1" applyFill="1" applyBorder="1" applyAlignment="1">
      <alignment horizontal="center" vertical="center" wrapText="1"/>
    </xf>
    <xf numFmtId="0" fontId="116" fillId="2" borderId="105" xfId="0" applyFont="1" applyFill="1" applyBorder="1" applyAlignment="1">
      <alignment horizontal="left" vertical="top" wrapText="1"/>
    </xf>
    <xf numFmtId="0" fontId="138" fillId="2" borderId="105" xfId="0" applyFont="1" applyFill="1" applyBorder="1" applyAlignment="1">
      <alignment horizontal="left" vertical="top" wrapText="1"/>
    </xf>
    <xf numFmtId="0" fontId="116" fillId="2" borderId="105" xfId="0" applyFont="1" applyFill="1" applyBorder="1" applyAlignment="1">
      <alignment horizontal="center" vertical="top" wrapText="1"/>
    </xf>
    <xf numFmtId="0" fontId="116" fillId="2" borderId="105" xfId="0" applyFont="1" applyFill="1" applyBorder="1" applyAlignment="1">
      <alignment vertical="top" wrapText="1"/>
    </xf>
    <xf numFmtId="0" fontId="103" fillId="2" borderId="106" xfId="0" applyFont="1" applyFill="1" applyBorder="1" applyAlignment="1">
      <alignment horizontal="center" vertical="center" wrapText="1"/>
    </xf>
    <xf numFmtId="0" fontId="103" fillId="61" borderId="40" xfId="0" applyFont="1" applyFill="1" applyBorder="1" applyAlignment="1">
      <alignment horizontal="left" vertical="top" wrapText="1"/>
    </xf>
    <xf numFmtId="0" fontId="116" fillId="32" borderId="40" xfId="0" applyFont="1" applyFill="1" applyBorder="1" applyAlignment="1">
      <alignment vertical="top" wrapText="1"/>
    </xf>
    <xf numFmtId="0" fontId="116" fillId="2" borderId="40" xfId="0" applyFont="1" applyFill="1" applyBorder="1" applyAlignment="1">
      <alignment vertical="top" wrapText="1"/>
    </xf>
    <xf numFmtId="0" fontId="103" fillId="61" borderId="179" xfId="0" applyFont="1" applyFill="1" applyBorder="1" applyAlignment="1">
      <alignment horizontal="left" vertical="center" wrapText="1"/>
    </xf>
    <xf numFmtId="0" fontId="103" fillId="61" borderId="180" xfId="0" applyFont="1" applyFill="1" applyBorder="1" applyAlignment="1">
      <alignment horizontal="left" vertical="center" wrapText="1"/>
    </xf>
    <xf numFmtId="0" fontId="103" fillId="61" borderId="181" xfId="0" applyFont="1" applyFill="1" applyBorder="1" applyAlignment="1">
      <alignment horizontal="left" vertical="center" wrapText="1"/>
    </xf>
    <xf numFmtId="0" fontId="147" fillId="47" borderId="101" xfId="0" applyFont="1" applyFill="1" applyBorder="1" applyAlignment="1">
      <alignment horizontal="center" vertical="top" wrapText="1"/>
    </xf>
    <xf numFmtId="0" fontId="116" fillId="2" borderId="153" xfId="0" applyFont="1" applyFill="1" applyBorder="1" applyAlignment="1">
      <alignment horizontal="left" vertical="top" wrapText="1"/>
    </xf>
    <xf numFmtId="0" fontId="148" fillId="2" borderId="49" xfId="0" applyFont="1" applyFill="1" applyBorder="1" applyAlignment="1">
      <alignment horizontal="center" vertical="top" wrapText="1"/>
    </xf>
    <xf numFmtId="0" fontId="116" fillId="2" borderId="154" xfId="0" applyFont="1" applyFill="1" applyBorder="1" applyAlignment="1">
      <alignment vertical="top" wrapText="1"/>
    </xf>
    <xf numFmtId="0" fontId="116" fillId="66" borderId="153" xfId="0" applyFont="1" applyFill="1" applyBorder="1" applyAlignment="1">
      <alignment horizontal="left" vertical="top" wrapText="1"/>
    </xf>
    <xf numFmtId="0" fontId="148" fillId="66" borderId="49" xfId="0" applyFont="1" applyFill="1" applyBorder="1" applyAlignment="1">
      <alignment horizontal="center" vertical="top" wrapText="1"/>
    </xf>
    <xf numFmtId="0" fontId="103" fillId="34" borderId="40" xfId="0" applyFont="1" applyFill="1" applyBorder="1" applyAlignment="1">
      <alignment horizontal="left" vertical="top" wrapText="1"/>
    </xf>
    <xf numFmtId="0" fontId="81" fillId="32" borderId="40" xfId="0" applyFont="1" applyFill="1" applyBorder="1" applyAlignment="1">
      <alignment vertical="top" wrapText="1"/>
    </xf>
    <xf numFmtId="0" fontId="62" fillId="24" borderId="28" xfId="0" applyFont="1" applyFill="1" applyBorder="1" applyAlignment="1">
      <alignment wrapText="1"/>
    </xf>
    <xf numFmtId="0" fontId="103" fillId="34" borderId="184" xfId="0" applyFont="1" applyFill="1" applyBorder="1" applyAlignment="1">
      <alignment horizontal="left" vertical="top" wrapText="1"/>
    </xf>
    <xf numFmtId="0" fontId="81" fillId="32" borderId="185" xfId="0" applyFont="1" applyFill="1" applyBorder="1" applyAlignment="1">
      <alignment vertical="top" wrapText="1"/>
    </xf>
    <xf numFmtId="0" fontId="103" fillId="34" borderId="186" xfId="0" applyFont="1" applyFill="1" applyBorder="1" applyAlignment="1">
      <alignment horizontal="left" vertical="top" wrapText="1"/>
    </xf>
    <xf numFmtId="0" fontId="106" fillId="64" borderId="187" xfId="0" applyFont="1" applyFill="1" applyBorder="1" applyAlignment="1">
      <alignment horizontal="center" vertical="top" wrapText="1"/>
    </xf>
    <xf numFmtId="0" fontId="81" fillId="32" borderId="189" xfId="0" applyFont="1" applyFill="1" applyBorder="1" applyAlignment="1">
      <alignment vertical="top" wrapText="1"/>
    </xf>
    <xf numFmtId="0" fontId="103" fillId="34" borderId="190" xfId="0" applyFont="1" applyFill="1" applyBorder="1" applyAlignment="1">
      <alignment horizontal="left" vertical="top" wrapText="1"/>
    </xf>
    <xf numFmtId="0" fontId="106" fillId="64" borderId="191" xfId="0" applyFont="1" applyFill="1" applyBorder="1" applyAlignment="1">
      <alignment horizontal="center" vertical="top" wrapText="1"/>
    </xf>
    <xf numFmtId="0" fontId="81" fillId="32" borderId="193" xfId="0" applyFont="1" applyFill="1" applyBorder="1" applyAlignment="1">
      <alignment vertical="top" wrapText="1"/>
    </xf>
    <xf numFmtId="0" fontId="47" fillId="32" borderId="41" xfId="0" applyFont="1" applyFill="1" applyBorder="1" applyAlignment="1">
      <alignment wrapText="1"/>
    </xf>
    <xf numFmtId="0" fontId="62" fillId="24" borderId="194" xfId="0" applyFont="1" applyFill="1" applyBorder="1"/>
    <xf numFmtId="0" fontId="62" fillId="24" borderId="139" xfId="0" applyFont="1" applyFill="1" applyBorder="1" applyAlignment="1">
      <alignment wrapText="1"/>
    </xf>
    <xf numFmtId="0" fontId="73" fillId="47" borderId="100" xfId="0" applyFont="1" applyFill="1" applyBorder="1" applyAlignment="1">
      <alignment horizontal="center"/>
    </xf>
    <xf numFmtId="0" fontId="73" fillId="47" borderId="102" xfId="0" applyFont="1" applyFill="1" applyBorder="1" applyAlignment="1">
      <alignment horizontal="center" wrapText="1"/>
    </xf>
    <xf numFmtId="0" fontId="47" fillId="66" borderId="48" xfId="0" applyFont="1" applyFill="1" applyBorder="1"/>
    <xf numFmtId="0" fontId="61" fillId="66" borderId="49" xfId="0" applyFont="1" applyFill="1" applyBorder="1" applyAlignment="1">
      <alignment horizontal="center" wrapText="1"/>
    </xf>
    <xf numFmtId="0" fontId="47" fillId="66" borderId="49" xfId="0" applyFont="1" applyFill="1" applyBorder="1" applyAlignment="1">
      <alignment horizontal="center" wrapText="1"/>
    </xf>
    <xf numFmtId="0" fontId="47" fillId="66" borderId="103" xfId="0" applyFont="1" applyFill="1" applyBorder="1" applyAlignment="1">
      <alignment wrapText="1"/>
    </xf>
    <xf numFmtId="0" fontId="47" fillId="2" borderId="48" xfId="0" applyFont="1" applyFill="1" applyBorder="1"/>
    <xf numFmtId="0" fontId="61" fillId="2" borderId="49" xfId="0" applyFont="1" applyFill="1" applyBorder="1" applyAlignment="1">
      <alignment horizontal="center" wrapText="1"/>
    </xf>
    <xf numFmtId="0" fontId="47" fillId="2" borderId="49" xfId="0" applyFont="1" applyFill="1" applyBorder="1" applyAlignment="1">
      <alignment horizontal="center" wrapText="1"/>
    </xf>
    <xf numFmtId="0" fontId="58" fillId="2" borderId="49" xfId="0" applyFont="1" applyFill="1" applyBorder="1" applyAlignment="1">
      <alignment horizontal="center" wrapText="1"/>
    </xf>
    <xf numFmtId="0" fontId="47" fillId="2" borderId="103" xfId="0" applyFont="1" applyFill="1" applyBorder="1" applyAlignment="1">
      <alignment wrapText="1"/>
    </xf>
    <xf numFmtId="0" fontId="47" fillId="66" borderId="104" xfId="0" applyFont="1" applyFill="1" applyBorder="1"/>
    <xf numFmtId="0" fontId="61" fillId="66" borderId="105" xfId="0" applyFont="1" applyFill="1" applyBorder="1" applyAlignment="1">
      <alignment horizontal="center" wrapText="1"/>
    </xf>
    <xf numFmtId="0" fontId="47" fillId="66" borderId="105" xfId="0" applyFont="1" applyFill="1" applyBorder="1" applyAlignment="1">
      <alignment horizontal="center" wrapText="1"/>
    </xf>
    <xf numFmtId="0" fontId="61" fillId="66" borderId="105" xfId="0" applyFont="1" applyFill="1" applyBorder="1" applyAlignment="1">
      <alignment horizontal="center" vertical="top" wrapText="1"/>
    </xf>
    <xf numFmtId="0" fontId="47" fillId="66" borderId="105" xfId="0" applyFont="1" applyFill="1" applyBorder="1" applyAlignment="1">
      <alignment wrapText="1"/>
    </xf>
    <xf numFmtId="0" fontId="47" fillId="66" borderId="106" xfId="0" applyFont="1" applyFill="1" applyBorder="1" applyAlignment="1">
      <alignment wrapText="1"/>
    </xf>
    <xf numFmtId="0" fontId="58" fillId="67" borderId="195" xfId="0" applyFont="1" applyFill="1" applyBorder="1" applyAlignment="1">
      <alignment horizontal="center"/>
    </xf>
    <xf numFmtId="0" fontId="58" fillId="67" borderId="196" xfId="0" applyFont="1" applyFill="1" applyBorder="1" applyAlignment="1">
      <alignment horizontal="center" wrapText="1"/>
    </xf>
    <xf numFmtId="0" fontId="58" fillId="67" borderId="197" xfId="0" applyFont="1" applyFill="1" applyBorder="1" applyAlignment="1">
      <alignment horizontal="center" wrapText="1"/>
    </xf>
    <xf numFmtId="0" fontId="58" fillId="67" borderId="200" xfId="0" applyFont="1" applyFill="1" applyBorder="1" applyAlignment="1">
      <alignment horizontal="center"/>
    </xf>
    <xf numFmtId="0" fontId="58" fillId="67" borderId="201" xfId="0" applyFont="1" applyFill="1" applyBorder="1" applyAlignment="1">
      <alignment horizontal="center" wrapText="1"/>
    </xf>
    <xf numFmtId="0" fontId="58" fillId="67" borderId="202" xfId="0" applyFont="1" applyFill="1" applyBorder="1" applyAlignment="1">
      <alignment horizontal="center" wrapText="1"/>
    </xf>
    <xf numFmtId="0" fontId="78" fillId="66" borderId="167" xfId="0" applyFont="1" applyFill="1" applyBorder="1" applyAlignment="1">
      <alignment horizontal="center"/>
    </xf>
    <xf numFmtId="0" fontId="61" fillId="66" borderId="49" xfId="0" applyFont="1" applyFill="1" applyBorder="1" applyAlignment="1">
      <alignment wrapText="1"/>
    </xf>
    <xf numFmtId="0" fontId="143" fillId="66" borderId="49" xfId="0" applyFont="1" applyFill="1" applyBorder="1" applyAlignment="1">
      <alignment horizontal="center" wrapText="1"/>
    </xf>
    <xf numFmtId="0" fontId="151" fillId="66" borderId="49" xfId="0" applyFont="1" applyFill="1" applyBorder="1" applyAlignment="1">
      <alignment wrapText="1"/>
    </xf>
    <xf numFmtId="0" fontId="58" fillId="66" borderId="168" xfId="0" applyFont="1" applyFill="1" applyBorder="1" applyAlignment="1">
      <alignment horizontal="center" wrapText="1"/>
    </xf>
    <xf numFmtId="0" fontId="78" fillId="2" borderId="167" xfId="0" applyFont="1" applyFill="1" applyBorder="1" applyAlignment="1">
      <alignment horizontal="center"/>
    </xf>
    <xf numFmtId="0" fontId="61" fillId="2" borderId="49" xfId="0" applyFont="1" applyFill="1" applyBorder="1" applyAlignment="1">
      <alignment wrapText="1"/>
    </xf>
    <xf numFmtId="0" fontId="143" fillId="2" borderId="49" xfId="0" applyFont="1" applyFill="1" applyBorder="1" applyAlignment="1">
      <alignment horizontal="center" wrapText="1"/>
    </xf>
    <xf numFmtId="0" fontId="151" fillId="2" borderId="49" xfId="0" applyFont="1" applyFill="1" applyBorder="1" applyAlignment="1">
      <alignment wrapText="1"/>
    </xf>
    <xf numFmtId="0" fontId="58" fillId="2" borderId="168" xfId="0" applyFont="1" applyFill="1" applyBorder="1" applyAlignment="1">
      <alignment horizontal="center" wrapText="1"/>
    </xf>
    <xf numFmtId="0" fontId="78" fillId="2" borderId="169" xfId="0" applyFont="1" applyFill="1" applyBorder="1" applyAlignment="1">
      <alignment horizontal="center"/>
    </xf>
    <xf numFmtId="0" fontId="61" fillId="2" borderId="170" xfId="0" applyFont="1" applyFill="1" applyBorder="1" applyAlignment="1">
      <alignment wrapText="1"/>
    </xf>
    <xf numFmtId="0" fontId="143" fillId="2" borderId="170" xfId="0" applyFont="1" applyFill="1" applyBorder="1" applyAlignment="1">
      <alignment horizontal="center" wrapText="1"/>
    </xf>
    <xf numFmtId="0" fontId="61" fillId="2" borderId="170" xfId="0" applyFont="1" applyFill="1" applyBorder="1" applyAlignment="1">
      <alignment horizontal="center" wrapText="1"/>
    </xf>
    <xf numFmtId="0" fontId="151" fillId="2" borderId="170" xfId="0" applyFont="1" applyFill="1" applyBorder="1" applyAlignment="1">
      <alignment wrapText="1"/>
    </xf>
    <xf numFmtId="0" fontId="58" fillId="2" borderId="171" xfId="0" applyFont="1" applyFill="1" applyBorder="1" applyAlignment="1">
      <alignment horizontal="center" wrapText="1"/>
    </xf>
    <xf numFmtId="0" fontId="77" fillId="34" borderId="15" xfId="0" applyFont="1" applyFill="1" applyBorder="1" applyAlignment="1">
      <alignment horizontal="center" vertical="top" wrapText="1"/>
    </xf>
    <xf numFmtId="0" fontId="152" fillId="34" borderId="15" xfId="0" applyFont="1" applyFill="1" applyBorder="1" applyAlignment="1">
      <alignment vertical="top" wrapText="1"/>
    </xf>
    <xf numFmtId="0" fontId="77" fillId="35" borderId="15" xfId="0" applyFont="1" applyFill="1" applyBorder="1" applyAlignment="1">
      <alignment horizontal="center" vertical="top" wrapText="1"/>
    </xf>
    <xf numFmtId="0" fontId="152" fillId="35" borderId="15" xfId="0" applyFont="1" applyFill="1" applyBorder="1" applyAlignment="1">
      <alignment vertical="top" wrapText="1"/>
    </xf>
    <xf numFmtId="0" fontId="56" fillId="32" borderId="28" xfId="0" applyFont="1" applyFill="1" applyBorder="1" applyAlignment="1">
      <alignment horizontal="center" vertical="center" wrapText="1"/>
    </xf>
    <xf numFmtId="0" fontId="56" fillId="32" borderId="29" xfId="0" applyFont="1" applyFill="1" applyBorder="1" applyAlignment="1">
      <alignment horizontal="center" vertical="center" wrapText="1"/>
    </xf>
    <xf numFmtId="0" fontId="62" fillId="0" borderId="15" xfId="0" applyFont="1" applyBorder="1" applyAlignment="1">
      <alignment wrapText="1"/>
    </xf>
    <xf numFmtId="0" fontId="62" fillId="0" borderId="16" xfId="0" applyFont="1" applyBorder="1" applyAlignment="1">
      <alignment wrapText="1"/>
    </xf>
    <xf numFmtId="0" fontId="62" fillId="0" borderId="17" xfId="0" applyFont="1" applyBorder="1" applyAlignment="1">
      <alignment wrapText="1"/>
    </xf>
    <xf numFmtId="0" fontId="62" fillId="0" borderId="18" xfId="0" applyFont="1" applyBorder="1" applyAlignment="1">
      <alignment wrapText="1"/>
    </xf>
    <xf numFmtId="0" fontId="153" fillId="32" borderId="28" xfId="0" applyFont="1" applyFill="1" applyBorder="1" applyAlignment="1">
      <alignment horizontal="center" vertical="center" wrapText="1"/>
    </xf>
    <xf numFmtId="0" fontId="101" fillId="31" borderId="15" xfId="0" applyFont="1" applyFill="1" applyBorder="1" applyAlignment="1">
      <alignment horizontal="center" vertical="center" wrapText="1"/>
    </xf>
    <xf numFmtId="0" fontId="76" fillId="2" borderId="15" xfId="0" applyFont="1" applyFill="1" applyBorder="1" applyAlignment="1">
      <alignment vertical="center" wrapText="1"/>
    </xf>
    <xf numFmtId="0" fontId="56" fillId="72" borderId="28" xfId="0" applyFont="1" applyFill="1" applyBorder="1" applyAlignment="1">
      <alignment horizontal="center" vertical="center" wrapText="1"/>
    </xf>
    <xf numFmtId="0" fontId="56" fillId="72" borderId="29" xfId="0" applyFont="1" applyFill="1" applyBorder="1" applyAlignment="1">
      <alignment horizontal="center" vertical="center" wrapText="1"/>
    </xf>
    <xf numFmtId="0" fontId="62" fillId="72" borderId="40" xfId="0" applyFont="1" applyFill="1" applyBorder="1" applyAlignment="1">
      <alignment wrapText="1"/>
    </xf>
    <xf numFmtId="0" fontId="56" fillId="72" borderId="39" xfId="0" applyFont="1" applyFill="1" applyBorder="1" applyAlignment="1">
      <alignment horizontal="center" vertical="center" wrapText="1"/>
    </xf>
    <xf numFmtId="0" fontId="62" fillId="72" borderId="41" xfId="0" applyFont="1" applyFill="1" applyBorder="1" applyAlignment="1">
      <alignment wrapText="1"/>
    </xf>
    <xf numFmtId="0" fontId="155" fillId="32" borderId="206" xfId="0" applyFont="1" applyFill="1" applyBorder="1" applyAlignment="1">
      <alignment horizontal="center" vertical="center" wrapText="1"/>
    </xf>
    <xf numFmtId="0" fontId="56" fillId="32" borderId="207" xfId="0" applyFont="1" applyFill="1" applyBorder="1" applyAlignment="1">
      <alignment horizontal="center" vertical="center" wrapText="1"/>
    </xf>
    <xf numFmtId="0" fontId="156" fillId="32" borderId="207" xfId="0" applyFont="1" applyFill="1" applyBorder="1" applyAlignment="1">
      <alignment horizontal="center" vertical="center" wrapText="1"/>
    </xf>
    <xf numFmtId="0" fontId="153" fillId="32" borderId="207" xfId="0" applyFont="1" applyFill="1" applyBorder="1" applyAlignment="1">
      <alignment horizontal="center" vertical="center" wrapText="1"/>
    </xf>
    <xf numFmtId="165" fontId="56" fillId="32" borderId="207" xfId="0" applyNumberFormat="1" applyFont="1" applyFill="1" applyBorder="1" applyAlignment="1">
      <alignment horizontal="right" vertical="center" wrapText="1"/>
    </xf>
    <xf numFmtId="0" fontId="155" fillId="32" borderId="208" xfId="0" applyFont="1" applyFill="1" applyBorder="1" applyAlignment="1">
      <alignment horizontal="center" vertical="center" wrapText="1"/>
    </xf>
    <xf numFmtId="0" fontId="58" fillId="19" borderId="93" xfId="0" applyFont="1" applyFill="1" applyBorder="1" applyAlignment="1">
      <alignment vertical="center"/>
    </xf>
    <xf numFmtId="0" fontId="58" fillId="19" borderId="94" xfId="0" applyFont="1" applyFill="1" applyBorder="1" applyAlignment="1">
      <alignment vertical="center" wrapText="1"/>
    </xf>
    <xf numFmtId="165" fontId="58" fillId="19" borderId="94" xfId="0" applyNumberFormat="1" applyFont="1" applyFill="1" applyBorder="1" applyAlignment="1">
      <alignment horizontal="right" vertical="center" wrapText="1"/>
    </xf>
    <xf numFmtId="0" fontId="58" fillId="19" borderId="95" xfId="0" applyFont="1" applyFill="1" applyBorder="1" applyAlignment="1">
      <alignment vertical="center" wrapText="1"/>
    </xf>
    <xf numFmtId="0" fontId="77" fillId="45" borderId="28" xfId="0" applyFont="1" applyFill="1" applyBorder="1" applyAlignment="1">
      <alignment horizontal="center" vertical="center" wrapText="1"/>
    </xf>
    <xf numFmtId="0" fontId="90" fillId="71" borderId="15" xfId="0" applyFont="1" applyFill="1" applyBorder="1" applyAlignment="1">
      <alignment horizontal="center" vertical="center" wrapText="1"/>
    </xf>
    <xf numFmtId="0" fontId="89" fillId="29" borderId="15" xfId="0" applyFont="1" applyFill="1" applyBorder="1" applyAlignment="1">
      <alignment vertical="center" wrapText="1"/>
    </xf>
    <xf numFmtId="0" fontId="102" fillId="70" borderId="15" xfId="0" applyFont="1" applyFill="1" applyBorder="1" applyAlignment="1">
      <alignment vertical="center" wrapText="1"/>
    </xf>
    <xf numFmtId="0" fontId="84" fillId="69" borderId="15" xfId="0" applyFont="1" applyFill="1" applyBorder="1" applyAlignment="1">
      <alignment vertical="center" wrapText="1"/>
    </xf>
    <xf numFmtId="0" fontId="91" fillId="71" borderId="15" xfId="0" applyFont="1" applyFill="1" applyBorder="1" applyAlignment="1">
      <alignment vertical="center" wrapText="1"/>
    </xf>
    <xf numFmtId="0" fontId="90" fillId="71" borderId="15" xfId="0" applyFont="1" applyFill="1" applyBorder="1" applyAlignment="1">
      <alignment horizontal="left" vertical="center" wrapText="1"/>
    </xf>
    <xf numFmtId="0" fontId="87" fillId="29" borderId="15" xfId="0" applyFont="1" applyFill="1" applyBorder="1" applyAlignment="1">
      <alignment horizontal="left" vertical="center" wrapText="1"/>
    </xf>
    <xf numFmtId="0" fontId="85" fillId="70" borderId="15" xfId="0" applyFont="1" applyFill="1" applyBorder="1" applyAlignment="1">
      <alignment horizontal="left" vertical="center" wrapText="1"/>
    </xf>
    <xf numFmtId="0" fontId="83" fillId="69" borderId="15" xfId="0" applyFont="1" applyFill="1" applyBorder="1" applyAlignment="1">
      <alignment horizontal="left" vertical="center" wrapText="1"/>
    </xf>
    <xf numFmtId="0" fontId="9" fillId="25" borderId="91" xfId="0" applyFont="1" applyFill="1" applyBorder="1" applyAlignment="1">
      <alignment vertical="center" wrapText="1"/>
    </xf>
    <xf numFmtId="0" fontId="9" fillId="18" borderId="91" xfId="0" applyFont="1" applyFill="1" applyBorder="1" applyAlignment="1">
      <alignment vertical="center" wrapText="1"/>
    </xf>
    <xf numFmtId="0" fontId="158" fillId="8" borderId="91" xfId="0" applyFont="1" applyFill="1" applyBorder="1" applyAlignment="1">
      <alignment vertical="center" wrapText="1"/>
    </xf>
    <xf numFmtId="0" fontId="9" fillId="2" borderId="91" xfId="0" applyFont="1" applyFill="1" applyBorder="1" applyAlignment="1">
      <alignment vertical="center" wrapText="1"/>
    </xf>
    <xf numFmtId="0" fontId="159" fillId="7" borderId="91" xfId="0" applyFont="1" applyFill="1" applyBorder="1" applyAlignment="1">
      <alignment vertical="center" wrapText="1"/>
    </xf>
    <xf numFmtId="0" fontId="9" fillId="7" borderId="91" xfId="0" applyFont="1" applyFill="1" applyBorder="1" applyAlignment="1">
      <alignment vertical="center" wrapText="1"/>
    </xf>
    <xf numFmtId="0" fontId="160" fillId="31" borderId="90" xfId="0" applyFont="1" applyFill="1" applyBorder="1" applyAlignment="1">
      <alignment horizontal="center" vertical="center" wrapText="1"/>
    </xf>
    <xf numFmtId="0" fontId="31" fillId="31" borderId="91" xfId="0" applyFont="1" applyFill="1" applyBorder="1" applyAlignment="1">
      <alignment horizontal="center" vertical="center" wrapText="1"/>
    </xf>
    <xf numFmtId="0" fontId="161" fillId="31" borderId="91" xfId="0" applyFont="1" applyFill="1" applyBorder="1" applyAlignment="1">
      <alignment horizontal="center" vertical="center" wrapText="1"/>
    </xf>
    <xf numFmtId="0" fontId="162" fillId="31" borderId="91" xfId="0" applyFont="1" applyFill="1" applyBorder="1" applyAlignment="1">
      <alignment horizontal="center" vertical="center" wrapText="1"/>
    </xf>
    <xf numFmtId="165" fontId="31" fillId="31" borderId="91" xfId="0" applyNumberFormat="1" applyFont="1" applyFill="1" applyBorder="1" applyAlignment="1">
      <alignment horizontal="right" vertical="center" wrapText="1"/>
    </xf>
    <xf numFmtId="0" fontId="160" fillId="31" borderId="92" xfId="0" applyFont="1" applyFill="1" applyBorder="1" applyAlignment="1">
      <alignment horizontal="center" vertical="center" wrapText="1"/>
    </xf>
    <xf numFmtId="0" fontId="160" fillId="25" borderId="90" xfId="0" applyFont="1" applyFill="1" applyBorder="1" applyAlignment="1">
      <alignment horizontal="center" vertical="center"/>
    </xf>
    <xf numFmtId="0" fontId="163" fillId="26" borderId="91" xfId="0" applyFont="1" applyFill="1" applyBorder="1" applyAlignment="1">
      <alignment horizontal="center" vertical="center" wrapText="1"/>
    </xf>
    <xf numFmtId="0" fontId="164" fillId="26" borderId="91" xfId="0" applyFont="1" applyFill="1" applyBorder="1" applyAlignment="1">
      <alignment horizontal="center" vertical="center" wrapText="1"/>
    </xf>
    <xf numFmtId="0" fontId="165" fillId="25" borderId="91" xfId="0" applyFont="1" applyFill="1" applyBorder="1" applyAlignment="1">
      <alignment vertical="center" wrapText="1"/>
    </xf>
    <xf numFmtId="165" fontId="166" fillId="25" borderId="91" xfId="0" applyNumberFormat="1" applyFont="1" applyFill="1" applyBorder="1" applyAlignment="1">
      <alignment horizontal="right" vertical="center" wrapText="1"/>
    </xf>
    <xf numFmtId="0" fontId="165" fillId="26" borderId="91" xfId="0" applyFont="1" applyFill="1" applyBorder="1" applyAlignment="1">
      <alignment vertical="center" wrapText="1"/>
    </xf>
    <xf numFmtId="0" fontId="160" fillId="25" borderId="92" xfId="0" applyFont="1" applyFill="1" applyBorder="1" applyAlignment="1">
      <alignment vertical="center" wrapText="1"/>
    </xf>
    <xf numFmtId="0" fontId="27" fillId="25" borderId="91" xfId="0" applyFont="1" applyFill="1" applyBorder="1" applyAlignment="1">
      <alignment horizontal="center" vertical="center" wrapText="1"/>
    </xf>
    <xf numFmtId="0" fontId="167" fillId="17" borderId="91" xfId="0" applyFont="1" applyFill="1" applyBorder="1" applyAlignment="1">
      <alignment horizontal="center" vertical="center" wrapText="1"/>
    </xf>
    <xf numFmtId="0" fontId="168" fillId="25" borderId="91" xfId="0" applyFont="1" applyFill="1" applyBorder="1" applyAlignment="1">
      <alignment vertical="center" wrapText="1"/>
    </xf>
    <xf numFmtId="0" fontId="160" fillId="18" borderId="90" xfId="0" applyFont="1" applyFill="1" applyBorder="1" applyAlignment="1">
      <alignment horizontal="center" vertical="center"/>
    </xf>
    <xf numFmtId="0" fontId="27" fillId="18" borderId="91" xfId="0" applyFont="1" applyFill="1" applyBorder="1" applyAlignment="1">
      <alignment horizontal="center" vertical="center" wrapText="1"/>
    </xf>
    <xf numFmtId="165" fontId="27" fillId="18" borderId="91" xfId="0" applyNumberFormat="1" applyFont="1" applyFill="1" applyBorder="1" applyAlignment="1">
      <alignment horizontal="right" vertical="center" wrapText="1"/>
    </xf>
    <xf numFmtId="0" fontId="160" fillId="18" borderId="92" xfId="0" applyFont="1" applyFill="1" applyBorder="1" applyAlignment="1">
      <alignment vertical="center" wrapText="1"/>
    </xf>
    <xf numFmtId="0" fontId="160" fillId="2" borderId="90" xfId="0" applyFont="1" applyFill="1" applyBorder="1" applyAlignment="1">
      <alignment horizontal="center" vertical="center"/>
    </xf>
    <xf numFmtId="0" fontId="27" fillId="2" borderId="91" xfId="0" applyFont="1" applyFill="1" applyBorder="1" applyAlignment="1">
      <alignment horizontal="center" vertical="center" wrapText="1"/>
    </xf>
    <xf numFmtId="165" fontId="27" fillId="2" borderId="91" xfId="0" applyNumberFormat="1" applyFont="1" applyFill="1" applyBorder="1" applyAlignment="1">
      <alignment horizontal="right" vertical="center" wrapText="1"/>
    </xf>
    <xf numFmtId="0" fontId="160" fillId="2" borderId="92" xfId="0" applyFont="1" applyFill="1" applyBorder="1" applyAlignment="1">
      <alignment vertical="center" wrapText="1"/>
    </xf>
    <xf numFmtId="0" fontId="160" fillId="7" borderId="90" xfId="0" applyFont="1" applyFill="1" applyBorder="1" applyAlignment="1">
      <alignment horizontal="center" vertical="center"/>
    </xf>
    <xf numFmtId="0" fontId="30" fillId="7" borderId="91" xfId="0" applyFont="1" applyFill="1" applyBorder="1" applyAlignment="1">
      <alignment horizontal="center" vertical="center" wrapText="1"/>
    </xf>
    <xf numFmtId="165" fontId="169" fillId="7" borderId="91" xfId="0" applyNumberFormat="1" applyFont="1" applyFill="1" applyBorder="1" applyAlignment="1">
      <alignment horizontal="right" vertical="center" wrapText="1"/>
    </xf>
    <xf numFmtId="0" fontId="170" fillId="7" borderId="91" xfId="0" applyFont="1" applyFill="1" applyBorder="1" applyAlignment="1">
      <alignment vertical="center" wrapText="1"/>
    </xf>
    <xf numFmtId="0" fontId="160" fillId="7" borderId="92" xfId="0" applyFont="1" applyFill="1" applyBorder="1" applyAlignment="1">
      <alignment vertical="center" wrapText="1"/>
    </xf>
    <xf numFmtId="0" fontId="27" fillId="7" borderId="91" xfId="0" applyFont="1" applyFill="1" applyBorder="1" applyAlignment="1">
      <alignment horizontal="center" vertical="center" wrapText="1"/>
    </xf>
    <xf numFmtId="0" fontId="171" fillId="16" borderId="91" xfId="0" applyFont="1" applyFill="1" applyBorder="1" applyAlignment="1">
      <alignment horizontal="center" vertical="center" wrapText="1"/>
    </xf>
    <xf numFmtId="165" fontId="27" fillId="7" borderId="91" xfId="0" applyNumberFormat="1" applyFont="1" applyFill="1" applyBorder="1" applyAlignment="1">
      <alignment horizontal="right" vertical="center" wrapText="1"/>
    </xf>
    <xf numFmtId="0" fontId="54" fillId="45" borderId="0" xfId="2" applyFont="1" applyFill="1" applyAlignment="1">
      <alignment horizontal="center" vertical="center" wrapText="1"/>
    </xf>
    <xf numFmtId="0" fontId="9" fillId="2" borderId="0" xfId="0" applyFont="1" applyFill="1"/>
    <xf numFmtId="0" fontId="193" fillId="65" borderId="0" xfId="2" applyFont="1" applyFill="1" applyAlignment="1">
      <alignment horizontal="center" vertical="center" wrapText="1"/>
    </xf>
    <xf numFmtId="0" fontId="9" fillId="72" borderId="0" xfId="0" applyFont="1" applyFill="1" applyAlignment="1">
      <alignment wrapText="1"/>
    </xf>
    <xf numFmtId="0" fontId="172" fillId="67" borderId="210" xfId="0" applyFont="1" applyFill="1" applyBorder="1" applyAlignment="1">
      <alignment horizontal="center" vertical="center" wrapText="1"/>
    </xf>
    <xf numFmtId="0" fontId="172" fillId="67" borderId="211" xfId="0" applyFont="1" applyFill="1" applyBorder="1" applyAlignment="1">
      <alignment horizontal="center" vertical="center" wrapText="1"/>
    </xf>
    <xf numFmtId="0" fontId="172" fillId="67" borderId="212" xfId="0" applyFont="1" applyFill="1" applyBorder="1" applyAlignment="1">
      <alignment horizontal="center" vertical="center" wrapText="1"/>
    </xf>
    <xf numFmtId="0" fontId="172" fillId="45" borderId="213" xfId="0" applyFont="1" applyFill="1" applyBorder="1" applyAlignment="1">
      <alignment horizontal="center" vertical="center" wrapText="1"/>
    </xf>
    <xf numFmtId="0" fontId="172" fillId="45" borderId="214" xfId="0" applyFont="1" applyFill="1" applyBorder="1" applyAlignment="1">
      <alignment horizontal="center" vertical="center" wrapText="1"/>
    </xf>
    <xf numFmtId="0" fontId="172" fillId="45" borderId="215" xfId="0" applyFont="1" applyFill="1" applyBorder="1" applyAlignment="1">
      <alignment horizontal="center" vertical="center" wrapText="1"/>
    </xf>
    <xf numFmtId="0" fontId="173" fillId="2" borderId="48" xfId="0" applyFont="1" applyFill="1" applyBorder="1" applyAlignment="1">
      <alignment horizontal="center" vertical="center" wrapText="1"/>
    </xf>
    <xf numFmtId="0" fontId="172" fillId="2" borderId="49" xfId="0" applyFont="1" applyFill="1" applyBorder="1" applyAlignment="1">
      <alignment horizontal="center" vertical="center" wrapText="1"/>
    </xf>
    <xf numFmtId="0" fontId="174" fillId="2" borderId="103" xfId="0" applyFont="1" applyFill="1" applyBorder="1" applyAlignment="1">
      <alignment horizontal="center" vertical="center" wrapText="1"/>
    </xf>
    <xf numFmtId="0" fontId="173" fillId="66" borderId="48" xfId="0" applyFont="1" applyFill="1" applyBorder="1" applyAlignment="1">
      <alignment horizontal="center" vertical="center" wrapText="1"/>
    </xf>
    <xf numFmtId="0" fontId="175" fillId="66" borderId="49" xfId="0" applyFont="1" applyFill="1" applyBorder="1" applyAlignment="1">
      <alignment horizontal="center" vertical="center" wrapText="1"/>
    </xf>
    <xf numFmtId="0" fontId="172" fillId="66" borderId="49" xfId="0" applyFont="1" applyFill="1" applyBorder="1" applyAlignment="1">
      <alignment horizontal="center" vertical="center" wrapText="1"/>
    </xf>
    <xf numFmtId="0" fontId="176" fillId="66" borderId="49" xfId="0" applyFont="1" applyFill="1" applyBorder="1" applyAlignment="1">
      <alignment horizontal="center" vertical="center" wrapText="1"/>
    </xf>
    <xf numFmtId="0" fontId="177" fillId="66" borderId="49" xfId="0" applyFont="1" applyFill="1" applyBorder="1" applyAlignment="1">
      <alignment horizontal="center" wrapText="1"/>
    </xf>
    <xf numFmtId="9" fontId="172" fillId="66" borderId="49" xfId="0" applyNumberFormat="1" applyFont="1" applyFill="1" applyBorder="1" applyAlignment="1">
      <alignment horizontal="center" wrapText="1"/>
    </xf>
    <xf numFmtId="0" fontId="174" fillId="66" borderId="103" xfId="0" applyFont="1" applyFill="1" applyBorder="1" applyAlignment="1">
      <alignment horizontal="center" wrapText="1"/>
    </xf>
    <xf numFmtId="0" fontId="175" fillId="2" borderId="49" xfId="0" applyFont="1" applyFill="1" applyBorder="1" applyAlignment="1">
      <alignment horizontal="center" vertical="center" wrapText="1"/>
    </xf>
    <xf numFmtId="0" fontId="178" fillId="2" borderId="49" xfId="0" applyFont="1" applyFill="1" applyBorder="1" applyAlignment="1">
      <alignment horizontal="center" vertical="center" wrapText="1"/>
    </xf>
    <xf numFmtId="0" fontId="176" fillId="2" borderId="49" xfId="0" applyFont="1" applyFill="1" applyBorder="1" applyAlignment="1">
      <alignment horizontal="center" vertical="center" wrapText="1"/>
    </xf>
    <xf numFmtId="0" fontId="177" fillId="2" borderId="49" xfId="0" applyFont="1" applyFill="1" applyBorder="1" applyAlignment="1">
      <alignment horizontal="center" wrapText="1"/>
    </xf>
    <xf numFmtId="9" fontId="172" fillId="2" borderId="49" xfId="0" applyNumberFormat="1" applyFont="1" applyFill="1" applyBorder="1" applyAlignment="1">
      <alignment horizontal="center" wrapText="1"/>
    </xf>
    <xf numFmtId="0" fontId="179" fillId="2" borderId="103" xfId="0" applyFont="1" applyFill="1" applyBorder="1" applyAlignment="1">
      <alignment horizontal="center" wrapText="1"/>
    </xf>
    <xf numFmtId="0" fontId="180" fillId="2" borderId="103" xfId="0" applyFont="1" applyFill="1" applyBorder="1" applyAlignment="1">
      <alignment horizontal="center" wrapText="1"/>
    </xf>
    <xf numFmtId="0" fontId="183" fillId="2" borderId="49" xfId="0" applyFont="1" applyFill="1" applyBorder="1" applyAlignment="1">
      <alignment horizontal="center" vertical="center" wrapText="1"/>
    </xf>
    <xf numFmtId="0" fontId="174" fillId="2" borderId="103" xfId="0" applyFont="1" applyFill="1" applyBorder="1" applyAlignment="1">
      <alignment horizontal="center" wrapText="1"/>
    </xf>
    <xf numFmtId="0" fontId="178" fillId="66" borderId="49" xfId="0" applyFont="1" applyFill="1" applyBorder="1" applyAlignment="1">
      <alignment horizontal="center" vertical="center" wrapText="1"/>
    </xf>
    <xf numFmtId="0" fontId="179" fillId="66" borderId="103" xfId="0" applyFont="1" applyFill="1" applyBorder="1" applyAlignment="1">
      <alignment horizontal="center" wrapText="1"/>
    </xf>
    <xf numFmtId="0" fontId="173" fillId="66" borderId="107" xfId="0" applyFont="1" applyFill="1" applyBorder="1" applyAlignment="1">
      <alignment horizontal="center" vertical="center" wrapText="1"/>
    </xf>
    <xf numFmtId="0" fontId="175" fillId="66" borderId="108" xfId="0" applyFont="1" applyFill="1" applyBorder="1" applyAlignment="1">
      <alignment horizontal="center" vertical="center" wrapText="1"/>
    </xf>
    <xf numFmtId="0" fontId="176" fillId="66" borderId="108" xfId="0" applyFont="1" applyFill="1" applyBorder="1" applyAlignment="1">
      <alignment horizontal="center" vertical="center" wrapText="1"/>
    </xf>
    <xf numFmtId="0" fontId="177" fillId="66" borderId="108" xfId="0" applyFont="1" applyFill="1" applyBorder="1" applyAlignment="1">
      <alignment horizontal="center" wrapText="1"/>
    </xf>
    <xf numFmtId="9" fontId="172" fillId="66" borderId="108" xfId="0" applyNumberFormat="1" applyFont="1" applyFill="1" applyBorder="1" applyAlignment="1">
      <alignment horizontal="center" wrapText="1"/>
    </xf>
    <xf numFmtId="0" fontId="173" fillId="32" borderId="216" xfId="0" applyFont="1" applyFill="1" applyBorder="1" applyAlignment="1">
      <alignment horizontal="center" vertical="center" wrapText="1"/>
    </xf>
    <xf numFmtId="0" fontId="173" fillId="32" borderId="217" xfId="0" applyFont="1" applyFill="1" applyBorder="1" applyAlignment="1">
      <alignment horizontal="center" vertical="center" wrapText="1"/>
    </xf>
    <xf numFmtId="0" fontId="173" fillId="32" borderId="217" xfId="0" applyFont="1" applyFill="1" applyBorder="1" applyAlignment="1">
      <alignment horizontal="center" wrapText="1"/>
    </xf>
    <xf numFmtId="0" fontId="173" fillId="32" borderId="218" xfId="0" applyFont="1" applyFill="1" applyBorder="1" applyAlignment="1">
      <alignment horizontal="center" wrapText="1"/>
    </xf>
    <xf numFmtId="0" fontId="184" fillId="64" borderId="219" xfId="0" applyFont="1" applyFill="1" applyBorder="1" applyAlignment="1">
      <alignment horizontal="center" vertical="center" wrapText="1"/>
    </xf>
    <xf numFmtId="0" fontId="184" fillId="64" borderId="214" xfId="0" applyFont="1" applyFill="1" applyBorder="1" applyAlignment="1">
      <alignment horizontal="center" vertical="center" wrapText="1"/>
    </xf>
    <xf numFmtId="0" fontId="184" fillId="64" borderId="214" xfId="0" applyFont="1" applyFill="1" applyBorder="1" applyAlignment="1">
      <alignment horizontal="center" wrapText="1"/>
    </xf>
    <xf numFmtId="0" fontId="184" fillId="64" borderId="220" xfId="0" applyFont="1" applyFill="1" applyBorder="1" applyAlignment="1">
      <alignment horizontal="center" wrapText="1"/>
    </xf>
    <xf numFmtId="0" fontId="172" fillId="45" borderId="153" xfId="0" applyFont="1" applyFill="1" applyBorder="1" applyAlignment="1">
      <alignment horizontal="center" vertical="center" wrapText="1"/>
    </xf>
    <xf numFmtId="0" fontId="172" fillId="45" borderId="49" xfId="0" applyFont="1" applyFill="1" applyBorder="1" applyAlignment="1">
      <alignment horizontal="center" vertical="center" wrapText="1"/>
    </xf>
    <xf numFmtId="0" fontId="172" fillId="45" borderId="49" xfId="0" applyFont="1" applyFill="1" applyBorder="1" applyAlignment="1">
      <alignment horizontal="center" wrapText="1"/>
    </xf>
    <xf numFmtId="0" fontId="172" fillId="45" borderId="154" xfId="0" applyFont="1" applyFill="1" applyBorder="1" applyAlignment="1">
      <alignment horizontal="center" wrapText="1"/>
    </xf>
    <xf numFmtId="0" fontId="173" fillId="2" borderId="153" xfId="0" applyFont="1" applyFill="1" applyBorder="1" applyAlignment="1">
      <alignment horizontal="center" vertical="center" wrapText="1"/>
    </xf>
    <xf numFmtId="0" fontId="186" fillId="2" borderId="49" xfId="0" applyFont="1" applyFill="1" applyBorder="1" applyAlignment="1">
      <alignment horizontal="center" vertical="center" wrapText="1"/>
    </xf>
    <xf numFmtId="0" fontId="186" fillId="2" borderId="49" xfId="0" applyFont="1" applyFill="1" applyBorder="1" applyAlignment="1">
      <alignment horizontal="center" wrapText="1"/>
    </xf>
    <xf numFmtId="0" fontId="187" fillId="2" borderId="49" xfId="0" applyFont="1" applyFill="1" applyBorder="1" applyAlignment="1">
      <alignment horizontal="center" wrapText="1"/>
    </xf>
    <xf numFmtId="0" fontId="186" fillId="2" borderId="154" xfId="0" applyFont="1" applyFill="1" applyBorder="1" applyAlignment="1">
      <alignment horizontal="center" wrapText="1"/>
    </xf>
    <xf numFmtId="0" fontId="173" fillId="66" borderId="153" xfId="0" applyFont="1" applyFill="1" applyBorder="1" applyAlignment="1">
      <alignment horizontal="center" vertical="center" wrapText="1"/>
    </xf>
    <xf numFmtId="0" fontId="180" fillId="66" borderId="49" xfId="0" applyFont="1" applyFill="1" applyBorder="1" applyAlignment="1">
      <alignment horizontal="center" vertical="center" wrapText="1"/>
    </xf>
    <xf numFmtId="0" fontId="180" fillId="66" borderId="49" xfId="0" applyFont="1" applyFill="1" applyBorder="1" applyAlignment="1">
      <alignment horizontal="center" wrapText="1"/>
    </xf>
    <xf numFmtId="0" fontId="188" fillId="66" borderId="49" xfId="0" applyFont="1" applyFill="1" applyBorder="1" applyAlignment="1">
      <alignment horizontal="center" wrapText="1"/>
    </xf>
    <xf numFmtId="0" fontId="180" fillId="66" borderId="154" xfId="0" applyFont="1" applyFill="1" applyBorder="1" applyAlignment="1">
      <alignment horizontal="center" wrapText="1"/>
    </xf>
    <xf numFmtId="0" fontId="173" fillId="2" borderId="182" xfId="0" applyFont="1" applyFill="1" applyBorder="1" applyAlignment="1">
      <alignment horizontal="center" vertical="center" wrapText="1"/>
    </xf>
    <xf numFmtId="0" fontId="189" fillId="2" borderId="108" xfId="0" applyFont="1" applyFill="1" applyBorder="1" applyAlignment="1">
      <alignment horizontal="center" vertical="center" wrapText="1"/>
    </xf>
    <xf numFmtId="0" fontId="190" fillId="2" borderId="108" xfId="0" applyFont="1" applyFill="1" applyBorder="1" applyAlignment="1">
      <alignment horizontal="center" wrapText="1"/>
    </xf>
    <xf numFmtId="0" fontId="185" fillId="2" borderId="108" xfId="0" applyFont="1" applyFill="1" applyBorder="1" applyAlignment="1">
      <alignment horizontal="center" wrapText="1"/>
    </xf>
    <xf numFmtId="0" fontId="190" fillId="2" borderId="183" xfId="0" applyFont="1" applyFill="1" applyBorder="1" applyAlignment="1">
      <alignment horizontal="center" wrapText="1"/>
    </xf>
    <xf numFmtId="0" fontId="4" fillId="45" borderId="0" xfId="0" applyFont="1" applyFill="1" applyAlignment="1">
      <alignment horizontal="center" wrapText="1"/>
    </xf>
    <xf numFmtId="0" fontId="197" fillId="30" borderId="0" xfId="0" applyFont="1" applyFill="1" applyAlignment="1">
      <alignment horizontal="center" vertical="center" wrapText="1"/>
    </xf>
    <xf numFmtId="0" fontId="199" fillId="70" borderId="0" xfId="0" applyFont="1" applyFill="1" applyAlignment="1">
      <alignment horizontal="center" vertical="center" wrapText="1"/>
    </xf>
    <xf numFmtId="0" fontId="201" fillId="71" borderId="0" xfId="0" applyFont="1" applyFill="1" applyAlignment="1">
      <alignment horizontal="center" vertical="center" wrapText="1"/>
    </xf>
    <xf numFmtId="0" fontId="199" fillId="64" borderId="0" xfId="0" applyFont="1" applyFill="1" applyAlignment="1">
      <alignment horizontal="center" vertical="center" wrapText="1"/>
    </xf>
    <xf numFmtId="0" fontId="202" fillId="66" borderId="48" xfId="0" applyFont="1" applyFill="1" applyBorder="1" applyAlignment="1">
      <alignment horizontal="center" vertical="center" wrapText="1"/>
    </xf>
    <xf numFmtId="0" fontId="203" fillId="66" borderId="49" xfId="0" applyFont="1" applyFill="1" applyBorder="1" applyAlignment="1">
      <alignment horizontal="center" vertical="center" wrapText="1"/>
    </xf>
    <xf numFmtId="9" fontId="203" fillId="66" borderId="49" xfId="0" applyNumberFormat="1" applyFont="1" applyFill="1" applyBorder="1" applyAlignment="1">
      <alignment horizontal="center" wrapText="1"/>
    </xf>
    <xf numFmtId="0" fontId="202" fillId="2" borderId="48" xfId="0" applyFont="1" applyFill="1" applyBorder="1" applyAlignment="1">
      <alignment horizontal="center" vertical="center" wrapText="1"/>
    </xf>
    <xf numFmtId="0" fontId="203" fillId="2" borderId="49" xfId="0" applyFont="1" applyFill="1" applyBorder="1" applyAlignment="1">
      <alignment horizontal="center" vertical="center" wrapText="1"/>
    </xf>
    <xf numFmtId="9" fontId="203" fillId="2" borderId="49" xfId="0" applyNumberFormat="1" applyFont="1" applyFill="1" applyBorder="1" applyAlignment="1">
      <alignment horizontal="center" wrapText="1"/>
    </xf>
    <xf numFmtId="0" fontId="204" fillId="2" borderId="103" xfId="0" applyFont="1" applyFill="1" applyBorder="1" applyAlignment="1">
      <alignment horizontal="center" wrapText="1"/>
    </xf>
    <xf numFmtId="0" fontId="205" fillId="66" borderId="49" xfId="0" applyFont="1" applyFill="1" applyBorder="1" applyAlignment="1">
      <alignment horizontal="center" vertical="center" wrapText="1"/>
    </xf>
    <xf numFmtId="0" fontId="205" fillId="2" borderId="49" xfId="0" applyFont="1" applyFill="1" applyBorder="1" applyAlignment="1">
      <alignment horizontal="center" vertical="center" wrapText="1"/>
    </xf>
    <xf numFmtId="0" fontId="206" fillId="2" borderId="49" xfId="0" applyFont="1" applyFill="1" applyBorder="1" applyAlignment="1">
      <alignment horizontal="center" vertical="center" wrapText="1"/>
    </xf>
    <xf numFmtId="0" fontId="177" fillId="2" borderId="49" xfId="0" applyFont="1" applyFill="1" applyBorder="1" applyAlignment="1">
      <alignment horizontal="center" vertical="center" wrapText="1"/>
    </xf>
    <xf numFmtId="9" fontId="203" fillId="2" borderId="49" xfId="0" applyNumberFormat="1" applyFont="1" applyFill="1" applyBorder="1" applyAlignment="1">
      <alignment horizontal="center" vertical="center" wrapText="1"/>
    </xf>
    <xf numFmtId="0" fontId="208" fillId="56" borderId="0" xfId="0" applyFont="1" applyFill="1" applyAlignment="1">
      <alignment horizontal="left" wrapText="1"/>
    </xf>
    <xf numFmtId="0" fontId="173" fillId="2" borderId="107" xfId="0" applyFont="1" applyFill="1" applyBorder="1" applyAlignment="1">
      <alignment horizontal="center" vertical="center" wrapText="1"/>
    </xf>
    <xf numFmtId="0" fontId="175" fillId="2" borderId="108" xfId="0" applyFont="1" applyFill="1" applyBorder="1" applyAlignment="1">
      <alignment horizontal="center" vertical="center" wrapText="1"/>
    </xf>
    <xf numFmtId="0" fontId="172" fillId="2" borderId="108" xfId="0" applyFont="1" applyFill="1" applyBorder="1" applyAlignment="1">
      <alignment horizontal="center" vertical="center" wrapText="1"/>
    </xf>
    <xf numFmtId="0" fontId="176" fillId="2" borderId="108" xfId="0" applyFont="1" applyFill="1" applyBorder="1" applyAlignment="1">
      <alignment horizontal="center" vertical="center" wrapText="1"/>
    </xf>
    <xf numFmtId="0" fontId="177" fillId="2" borderId="108" xfId="0" applyFont="1" applyFill="1" applyBorder="1" applyAlignment="1">
      <alignment horizontal="center" wrapText="1"/>
    </xf>
    <xf numFmtId="9" fontId="172" fillId="2" borderId="108" xfId="0" applyNumberFormat="1" applyFont="1" applyFill="1" applyBorder="1" applyAlignment="1">
      <alignment horizontal="center" wrapText="1"/>
    </xf>
    <xf numFmtId="0" fontId="208" fillId="76" borderId="0" xfId="0" applyFont="1" applyFill="1" applyAlignment="1">
      <alignment horizontal="left" wrapText="1"/>
    </xf>
    <xf numFmtId="0" fontId="208" fillId="77" borderId="0" xfId="0" applyFont="1" applyFill="1" applyAlignment="1">
      <alignment horizontal="left" wrapText="1"/>
    </xf>
    <xf numFmtId="0" fontId="183" fillId="66" borderId="108" xfId="0" applyFont="1" applyFill="1" applyBorder="1" applyAlignment="1">
      <alignment horizontal="center" vertical="center" wrapText="1"/>
    </xf>
    <xf numFmtId="0" fontId="174" fillId="66" borderId="178" xfId="0" applyFont="1" applyFill="1" applyBorder="1" applyAlignment="1">
      <alignment horizontal="center" wrapText="1"/>
    </xf>
    <xf numFmtId="0" fontId="173" fillId="66" borderId="176" xfId="0" applyFont="1" applyFill="1" applyBorder="1" applyAlignment="1">
      <alignment horizontal="center" vertical="center" wrapText="1"/>
    </xf>
    <xf numFmtId="0" fontId="175" fillId="66" borderId="174" xfId="0" applyFont="1" applyFill="1" applyBorder="1" applyAlignment="1">
      <alignment horizontal="center" vertical="center" wrapText="1"/>
    </xf>
    <xf numFmtId="0" fontId="183" fillId="66" borderId="174" xfId="0" applyFont="1" applyFill="1" applyBorder="1" applyAlignment="1">
      <alignment horizontal="center" vertical="center" wrapText="1"/>
    </xf>
    <xf numFmtId="0" fontId="176" fillId="66" borderId="174" xfId="0" applyFont="1" applyFill="1" applyBorder="1" applyAlignment="1">
      <alignment horizontal="center" vertical="center" wrapText="1"/>
    </xf>
    <xf numFmtId="0" fontId="177" fillId="66" borderId="174" xfId="0" applyFont="1" applyFill="1" applyBorder="1" applyAlignment="1">
      <alignment horizontal="center" wrapText="1"/>
    </xf>
    <xf numFmtId="9" fontId="172" fillId="66" borderId="174" xfId="0" applyNumberFormat="1" applyFont="1" applyFill="1" applyBorder="1" applyAlignment="1">
      <alignment horizontal="center" wrapText="1"/>
    </xf>
    <xf numFmtId="0" fontId="174" fillId="66" borderId="177" xfId="0" applyFont="1" applyFill="1" applyBorder="1" applyAlignment="1">
      <alignment horizontal="center" wrapText="1"/>
    </xf>
    <xf numFmtId="0" fontId="173" fillId="2" borderId="104" xfId="0" applyFont="1" applyFill="1" applyBorder="1" applyAlignment="1">
      <alignment horizontal="center" vertical="center" wrapText="1"/>
    </xf>
    <xf numFmtId="0" fontId="175" fillId="2" borderId="105" xfId="0" applyFont="1" applyFill="1" applyBorder="1" applyAlignment="1">
      <alignment horizontal="center" vertical="center" wrapText="1"/>
    </xf>
    <xf numFmtId="0" fontId="177" fillId="2" borderId="105" xfId="0" applyFont="1" applyFill="1" applyBorder="1" applyAlignment="1">
      <alignment horizontal="center" wrapText="1"/>
    </xf>
    <xf numFmtId="9" fontId="172" fillId="2" borderId="105" xfId="0" applyNumberFormat="1" applyFont="1" applyFill="1" applyBorder="1" applyAlignment="1">
      <alignment horizontal="center" wrapText="1"/>
    </xf>
    <xf numFmtId="0" fontId="172" fillId="66" borderId="174" xfId="0" applyFont="1" applyFill="1" applyBorder="1" applyAlignment="1">
      <alignment horizontal="center" vertical="center" wrapText="1"/>
    </xf>
    <xf numFmtId="0" fontId="180" fillId="66" borderId="177" xfId="0" applyFont="1" applyFill="1" applyBorder="1" applyAlignment="1">
      <alignment horizontal="center" wrapText="1"/>
    </xf>
    <xf numFmtId="0" fontId="172" fillId="2" borderId="105" xfId="0" applyFont="1" applyFill="1" applyBorder="1" applyAlignment="1">
      <alignment horizontal="center" vertical="center" wrapText="1"/>
    </xf>
    <xf numFmtId="0" fontId="173" fillId="2" borderId="176" xfId="0" applyFont="1" applyFill="1" applyBorder="1" applyAlignment="1">
      <alignment horizontal="center" vertical="center" wrapText="1"/>
    </xf>
    <xf numFmtId="0" fontId="175" fillId="2" borderId="174" xfId="0" applyFont="1" applyFill="1" applyBorder="1" applyAlignment="1">
      <alignment horizontal="center" vertical="center" wrapText="1"/>
    </xf>
    <xf numFmtId="0" fontId="172" fillId="2" borderId="174" xfId="0" applyFont="1" applyFill="1" applyBorder="1" applyAlignment="1">
      <alignment horizontal="center" vertical="center" wrapText="1"/>
    </xf>
    <xf numFmtId="0" fontId="176" fillId="2" borderId="174" xfId="0" applyFont="1" applyFill="1" applyBorder="1" applyAlignment="1">
      <alignment horizontal="center" vertical="center" wrapText="1"/>
    </xf>
    <xf numFmtId="0" fontId="177" fillId="2" borderId="174" xfId="0" applyFont="1" applyFill="1" applyBorder="1" applyAlignment="1">
      <alignment horizontal="center" wrapText="1"/>
    </xf>
    <xf numFmtId="9" fontId="172" fillId="2" borderId="174" xfId="0" applyNumberFormat="1" applyFont="1" applyFill="1" applyBorder="1" applyAlignment="1">
      <alignment horizontal="center" wrapText="1"/>
    </xf>
    <xf numFmtId="0" fontId="174" fillId="2" borderId="177" xfId="0" applyFont="1" applyFill="1" applyBorder="1" applyAlignment="1">
      <alignment horizontal="center" wrapText="1"/>
    </xf>
    <xf numFmtId="0" fontId="179" fillId="2" borderId="106" xfId="0" applyFont="1" applyFill="1" applyBorder="1" applyAlignment="1">
      <alignment horizontal="center" wrapText="1"/>
    </xf>
    <xf numFmtId="0" fontId="202" fillId="2" borderId="49" xfId="0" applyFont="1" applyFill="1" applyBorder="1" applyAlignment="1">
      <alignment horizontal="left" vertical="center" wrapText="1"/>
    </xf>
    <xf numFmtId="0" fontId="202" fillId="2" borderId="49" xfId="0" applyFont="1" applyFill="1" applyBorder="1" applyAlignment="1">
      <alignment horizontal="left" wrapText="1"/>
    </xf>
    <xf numFmtId="9" fontId="202" fillId="2" borderId="49" xfId="0" applyNumberFormat="1" applyFont="1" applyFill="1" applyBorder="1" applyAlignment="1">
      <alignment horizontal="left" wrapText="1"/>
    </xf>
    <xf numFmtId="0" fontId="202" fillId="2" borderId="103" xfId="0" applyFont="1" applyFill="1" applyBorder="1" applyAlignment="1">
      <alignment horizontal="left" wrapText="1"/>
    </xf>
    <xf numFmtId="0" fontId="173" fillId="66" borderId="224" xfId="0" applyFont="1" applyFill="1" applyBorder="1" applyAlignment="1">
      <alignment horizontal="center" vertical="center" wrapText="1"/>
    </xf>
    <xf numFmtId="0" fontId="175" fillId="66" borderId="225" xfId="0" applyFont="1" applyFill="1" applyBorder="1" applyAlignment="1">
      <alignment horizontal="center" vertical="center" wrapText="1"/>
    </xf>
    <xf numFmtId="0" fontId="172" fillId="66" borderId="225" xfId="0" applyFont="1" applyFill="1" applyBorder="1" applyAlignment="1">
      <alignment horizontal="center" vertical="center" wrapText="1"/>
    </xf>
    <xf numFmtId="0" fontId="176" fillId="66" borderId="225" xfId="0" applyFont="1" applyFill="1" applyBorder="1" applyAlignment="1">
      <alignment horizontal="center" vertical="center" wrapText="1"/>
    </xf>
    <xf numFmtId="0" fontId="177" fillId="66" borderId="225" xfId="0" applyFont="1" applyFill="1" applyBorder="1" applyAlignment="1">
      <alignment horizontal="center" wrapText="1"/>
    </xf>
    <xf numFmtId="9" fontId="195" fillId="66" borderId="225" xfId="0" applyNumberFormat="1" applyFont="1" applyFill="1" applyBorder="1" applyAlignment="1">
      <alignment horizontal="center" wrapText="1"/>
    </xf>
    <xf numFmtId="0" fontId="182" fillId="66" borderId="226" xfId="0" applyFont="1" applyFill="1" applyBorder="1" applyAlignment="1">
      <alignment horizontal="center" wrapText="1"/>
    </xf>
    <xf numFmtId="0" fontId="183" fillId="2" borderId="108" xfId="0" applyFont="1" applyFill="1" applyBorder="1" applyAlignment="1">
      <alignment horizontal="center" vertical="center" wrapText="1"/>
    </xf>
    <xf numFmtId="0" fontId="174" fillId="2" borderId="178" xfId="0" applyFont="1" applyFill="1" applyBorder="1" applyAlignment="1">
      <alignment horizontal="center" wrapText="1"/>
    </xf>
    <xf numFmtId="0" fontId="202" fillId="66" borderId="49" xfId="0" applyFont="1" applyFill="1" applyBorder="1" applyAlignment="1">
      <alignment horizontal="left" vertical="center" wrapText="1"/>
    </xf>
    <xf numFmtId="0" fontId="202" fillId="66" borderId="49" xfId="0" applyFont="1" applyFill="1" applyBorder="1" applyAlignment="1">
      <alignment horizontal="left" wrapText="1"/>
    </xf>
    <xf numFmtId="9" fontId="202" fillId="66" borderId="49" xfId="0" applyNumberFormat="1" applyFont="1" applyFill="1" applyBorder="1" applyAlignment="1">
      <alignment horizontal="left" wrapText="1"/>
    </xf>
    <xf numFmtId="0" fontId="202" fillId="66" borderId="103" xfId="0" applyFont="1" applyFill="1" applyBorder="1" applyAlignment="1">
      <alignment horizontal="left" wrapText="1"/>
    </xf>
    <xf numFmtId="0" fontId="173" fillId="2" borderId="234" xfId="0" applyFont="1" applyFill="1" applyBorder="1" applyAlignment="1">
      <alignment horizontal="center" vertical="center" wrapText="1"/>
    </xf>
    <xf numFmtId="0" fontId="175" fillId="2" borderId="134" xfId="0" applyFont="1" applyFill="1" applyBorder="1" applyAlignment="1">
      <alignment horizontal="center" vertical="center" wrapText="1"/>
    </xf>
    <xf numFmtId="0" fontId="172" fillId="2" borderId="134" xfId="0" applyFont="1" applyFill="1" applyBorder="1" applyAlignment="1">
      <alignment horizontal="center" vertical="center" wrapText="1"/>
    </xf>
    <xf numFmtId="0" fontId="176" fillId="2" borderId="134" xfId="0" applyFont="1" applyFill="1" applyBorder="1" applyAlignment="1">
      <alignment horizontal="center" vertical="center" wrapText="1"/>
    </xf>
    <xf numFmtId="0" fontId="177" fillId="2" borderId="134" xfId="0" applyFont="1" applyFill="1" applyBorder="1" applyAlignment="1">
      <alignment horizontal="center" wrapText="1"/>
    </xf>
    <xf numFmtId="9" fontId="172" fillId="2" borderId="134" xfId="0" applyNumberFormat="1" applyFont="1" applyFill="1" applyBorder="1" applyAlignment="1">
      <alignment horizontal="center" wrapText="1"/>
    </xf>
    <xf numFmtId="0" fontId="179" fillId="2" borderId="235" xfId="0" applyFont="1" applyFill="1" applyBorder="1" applyAlignment="1">
      <alignment horizontal="center" wrapText="1"/>
    </xf>
    <xf numFmtId="0" fontId="209" fillId="2" borderId="48" xfId="0" applyFont="1" applyFill="1" applyBorder="1" applyAlignment="1">
      <alignment horizontal="left" vertical="center" wrapText="1"/>
    </xf>
    <xf numFmtId="0" fontId="209" fillId="66" borderId="48" xfId="0" applyFont="1" applyFill="1" applyBorder="1" applyAlignment="1">
      <alignment horizontal="left" vertical="center" wrapText="1"/>
    </xf>
    <xf numFmtId="0" fontId="205" fillId="66" borderId="49" xfId="0" applyFont="1" applyFill="1" applyBorder="1" applyAlignment="1">
      <alignment horizontal="left" vertical="center" wrapText="1"/>
    </xf>
    <xf numFmtId="0" fontId="205" fillId="2" borderId="49" xfId="0" applyFont="1" applyFill="1" applyBorder="1" applyAlignment="1">
      <alignment horizontal="left" vertical="center" wrapText="1"/>
    </xf>
    <xf numFmtId="0" fontId="205" fillId="2" borderId="105" xfId="0" applyFont="1" applyFill="1" applyBorder="1" applyAlignment="1">
      <alignment horizontal="left" vertical="center" wrapText="1"/>
    </xf>
    <xf numFmtId="0" fontId="9" fillId="24" borderId="0" xfId="0" applyFont="1" applyFill="1"/>
    <xf numFmtId="0" fontId="51" fillId="72" borderId="0" xfId="0" applyFont="1" applyFill="1" applyAlignment="1">
      <alignment horizontal="center"/>
    </xf>
    <xf numFmtId="0" fontId="214" fillId="72" borderId="0" xfId="0" applyFont="1" applyFill="1"/>
    <xf numFmtId="0" fontId="5" fillId="72" borderId="0" xfId="0" applyFont="1" applyFill="1" applyAlignment="1">
      <alignment horizontal="center" wrapText="1"/>
    </xf>
    <xf numFmtId="0" fontId="9" fillId="72" borderId="0" xfId="0" applyFont="1" applyFill="1"/>
    <xf numFmtId="0" fontId="5" fillId="56" borderId="236" xfId="0" applyFont="1" applyFill="1" applyBorder="1" applyAlignment="1">
      <alignment horizontal="left"/>
    </xf>
    <xf numFmtId="0" fontId="5" fillId="56" borderId="237" xfId="0" applyFont="1" applyFill="1" applyBorder="1" applyAlignment="1">
      <alignment horizontal="left"/>
    </xf>
    <xf numFmtId="0" fontId="5" fillId="56" borderId="238" xfId="0" applyFont="1" applyFill="1" applyBorder="1" applyAlignment="1">
      <alignment horizontal="left"/>
    </xf>
    <xf numFmtId="0" fontId="4" fillId="60" borderId="239" xfId="0" applyFont="1" applyFill="1" applyBorder="1" applyAlignment="1">
      <alignment horizontal="center"/>
    </xf>
    <xf numFmtId="0" fontId="4" fillId="60" borderId="49" xfId="0" applyFont="1" applyFill="1" applyBorder="1" applyAlignment="1">
      <alignment horizontal="center"/>
    </xf>
    <xf numFmtId="0" fontId="4" fillId="60" borderId="240" xfId="0" applyFont="1" applyFill="1" applyBorder="1" applyAlignment="1">
      <alignment horizontal="center"/>
    </xf>
    <xf numFmtId="0" fontId="9" fillId="64" borderId="239" xfId="0" applyFont="1" applyFill="1" applyBorder="1" applyAlignment="1">
      <alignment wrapText="1"/>
    </xf>
    <xf numFmtId="175" fontId="210" fillId="64" borderId="49" xfId="0" applyNumberFormat="1" applyFont="1" applyFill="1" applyBorder="1" applyAlignment="1">
      <alignment wrapText="1"/>
    </xf>
    <xf numFmtId="21" fontId="210" fillId="64" borderId="49" xfId="0" applyNumberFormat="1" applyFont="1" applyFill="1" applyBorder="1" applyAlignment="1">
      <alignment wrapText="1"/>
    </xf>
    <xf numFmtId="0" fontId="9" fillId="64" borderId="49" xfId="0" applyFont="1" applyFill="1" applyBorder="1" applyAlignment="1">
      <alignment wrapText="1"/>
    </xf>
    <xf numFmtId="1" fontId="9" fillId="64" borderId="49" xfId="0" applyNumberFormat="1" applyFont="1" applyFill="1" applyBorder="1" applyAlignment="1">
      <alignment wrapText="1"/>
    </xf>
    <xf numFmtId="0" fontId="9" fillId="64" borderId="240" xfId="0" applyFont="1" applyFill="1" applyBorder="1" applyAlignment="1">
      <alignment wrapText="1"/>
    </xf>
    <xf numFmtId="0" fontId="9" fillId="57" borderId="239" xfId="0" applyFont="1" applyFill="1" applyBorder="1" applyAlignment="1">
      <alignment wrapText="1"/>
    </xf>
    <xf numFmtId="175" fontId="210" fillId="57" borderId="49" xfId="0" applyNumberFormat="1" applyFont="1" applyFill="1" applyBorder="1" applyAlignment="1">
      <alignment wrapText="1"/>
    </xf>
    <xf numFmtId="21" fontId="210" fillId="57" borderId="49" xfId="0" applyNumberFormat="1" applyFont="1" applyFill="1" applyBorder="1" applyAlignment="1">
      <alignment wrapText="1"/>
    </xf>
    <xf numFmtId="0" fontId="10" fillId="57" borderId="49" xfId="0" applyFont="1" applyFill="1" applyBorder="1" applyAlignment="1">
      <alignment wrapText="1"/>
    </xf>
    <xf numFmtId="0" fontId="9" fillId="57" borderId="49" xfId="0" applyFont="1" applyFill="1" applyBorder="1" applyAlignment="1">
      <alignment wrapText="1"/>
    </xf>
    <xf numFmtId="1" fontId="9" fillId="57" borderId="49" xfId="0" applyNumberFormat="1" applyFont="1" applyFill="1" applyBorder="1" applyAlignment="1">
      <alignment wrapText="1"/>
    </xf>
    <xf numFmtId="0" fontId="9" fillId="57" borderId="240" xfId="0" applyFont="1" applyFill="1" applyBorder="1" applyAlignment="1">
      <alignment wrapText="1"/>
    </xf>
    <xf numFmtId="0" fontId="9" fillId="53" borderId="239" xfId="0" applyFont="1" applyFill="1" applyBorder="1" applyAlignment="1">
      <alignment wrapText="1"/>
    </xf>
    <xf numFmtId="175" fontId="211" fillId="53" borderId="49" xfId="0" applyNumberFormat="1" applyFont="1" applyFill="1" applyBorder="1" applyAlignment="1">
      <alignment wrapText="1"/>
    </xf>
    <xf numFmtId="21" fontId="211" fillId="53" borderId="49" xfId="0" applyNumberFormat="1" applyFont="1" applyFill="1" applyBorder="1" applyAlignment="1">
      <alignment wrapText="1"/>
    </xf>
    <xf numFmtId="0" fontId="9" fillId="53" borderId="49" xfId="0" applyFont="1" applyFill="1" applyBorder="1" applyAlignment="1">
      <alignment wrapText="1"/>
    </xf>
    <xf numFmtId="1" fontId="9" fillId="53" borderId="49" xfId="0" applyNumberFormat="1" applyFont="1" applyFill="1" applyBorder="1" applyAlignment="1">
      <alignment wrapText="1"/>
    </xf>
    <xf numFmtId="0" fontId="9" fillId="53" borderId="240" xfId="0" applyFont="1" applyFill="1" applyBorder="1" applyAlignment="1">
      <alignment wrapText="1"/>
    </xf>
    <xf numFmtId="0" fontId="4" fillId="36" borderId="241" xfId="0" applyFont="1" applyFill="1" applyBorder="1"/>
    <xf numFmtId="0" fontId="4" fillId="36" borderId="242" xfId="0" applyFont="1" applyFill="1" applyBorder="1"/>
    <xf numFmtId="0" fontId="4" fillId="36" borderId="243" xfId="0" applyFont="1" applyFill="1" applyBorder="1"/>
    <xf numFmtId="0" fontId="5" fillId="61" borderId="244" xfId="0" applyFont="1" applyFill="1" applyBorder="1" applyAlignment="1">
      <alignment horizontal="left"/>
    </xf>
    <xf numFmtId="0" fontId="5" fillId="61" borderId="245" xfId="0" applyFont="1" applyFill="1" applyBorder="1" applyAlignment="1">
      <alignment horizontal="left"/>
    </xf>
    <xf numFmtId="0" fontId="5" fillId="61" borderId="246" xfId="0" applyFont="1" applyFill="1" applyBorder="1" applyAlignment="1">
      <alignment horizontal="left"/>
    </xf>
    <xf numFmtId="0" fontId="4" fillId="59" borderId="153" xfId="0" applyFont="1" applyFill="1" applyBorder="1" applyAlignment="1">
      <alignment horizontal="center"/>
    </xf>
    <xf numFmtId="0" fontId="4" fillId="59" borderId="49" xfId="0" applyFont="1" applyFill="1" applyBorder="1" applyAlignment="1">
      <alignment horizontal="center"/>
    </xf>
    <xf numFmtId="0" fontId="4" fillId="59" borderId="154" xfId="0" applyFont="1" applyFill="1" applyBorder="1" applyAlignment="1">
      <alignment horizontal="center"/>
    </xf>
    <xf numFmtId="0" fontId="9" fillId="57" borderId="153" xfId="0" applyFont="1" applyFill="1" applyBorder="1" applyAlignment="1">
      <alignment wrapText="1"/>
    </xf>
    <xf numFmtId="175" fontId="50" fillId="57" borderId="49" xfId="0" applyNumberFormat="1" applyFont="1" applyFill="1" applyBorder="1" applyAlignment="1">
      <alignment wrapText="1"/>
    </xf>
    <xf numFmtId="21" fontId="50" fillId="57" borderId="49" xfId="0" applyNumberFormat="1" applyFont="1" applyFill="1" applyBorder="1" applyAlignment="1">
      <alignment wrapText="1"/>
    </xf>
    <xf numFmtId="0" fontId="9" fillId="57" borderId="154" xfId="0" applyFont="1" applyFill="1" applyBorder="1" applyAlignment="1">
      <alignment wrapText="1"/>
    </xf>
    <xf numFmtId="0" fontId="4" fillId="61" borderId="155" xfId="0" applyFont="1" applyFill="1" applyBorder="1"/>
    <xf numFmtId="0" fontId="4" fillId="61" borderId="156" xfId="0" applyFont="1" applyFill="1" applyBorder="1"/>
    <xf numFmtId="0" fontId="4" fillId="61" borderId="157" xfId="0" applyFont="1" applyFill="1" applyBorder="1"/>
    <xf numFmtId="0" fontId="23" fillId="45" borderId="176" xfId="0" applyFont="1" applyFill="1" applyBorder="1" applyAlignment="1">
      <alignment horizontal="left"/>
    </xf>
    <xf numFmtId="0" fontId="23" fillId="45" borderId="174" xfId="0" applyFont="1" applyFill="1" applyBorder="1" applyAlignment="1">
      <alignment horizontal="left"/>
    </xf>
    <xf numFmtId="0" fontId="23" fillId="45" borderId="177" xfId="0" applyFont="1" applyFill="1" applyBorder="1" applyAlignment="1">
      <alignment horizontal="left"/>
    </xf>
    <xf numFmtId="0" fontId="4" fillId="62" borderId="48" xfId="0" applyFont="1" applyFill="1" applyBorder="1" applyAlignment="1">
      <alignment horizontal="center"/>
    </xf>
    <xf numFmtId="0" fontId="4" fillId="62" borderId="49" xfId="0" applyFont="1" applyFill="1" applyBorder="1" applyAlignment="1">
      <alignment horizontal="center"/>
    </xf>
    <xf numFmtId="0" fontId="4" fillId="62" borderId="103" xfId="0" applyFont="1" applyFill="1" applyBorder="1" applyAlignment="1">
      <alignment horizontal="center"/>
    </xf>
    <xf numFmtId="0" fontId="9" fillId="57" borderId="48" xfId="0" applyFont="1" applyFill="1" applyBorder="1" applyAlignment="1">
      <alignment wrapText="1"/>
    </xf>
    <xf numFmtId="0" fontId="9" fillId="57" borderId="103" xfId="0" applyFont="1" applyFill="1" applyBorder="1" applyAlignment="1">
      <alignment wrapText="1"/>
    </xf>
    <xf numFmtId="0" fontId="9" fillId="2" borderId="48" xfId="0" applyFont="1" applyFill="1" applyBorder="1" applyAlignment="1">
      <alignment wrapText="1"/>
    </xf>
    <xf numFmtId="0" fontId="9" fillId="2" borderId="49" xfId="0" applyFont="1" applyFill="1" applyBorder="1" applyAlignment="1">
      <alignment wrapText="1"/>
    </xf>
    <xf numFmtId="0" fontId="9" fillId="2" borderId="103" xfId="0" applyFont="1" applyFill="1" applyBorder="1" applyAlignment="1">
      <alignment wrapText="1"/>
    </xf>
    <xf numFmtId="0" fontId="9" fillId="57" borderId="104" xfId="0" applyFont="1" applyFill="1" applyBorder="1" applyAlignment="1">
      <alignment wrapText="1"/>
    </xf>
    <xf numFmtId="0" fontId="9" fillId="57" borderId="105" xfId="0" applyFont="1" applyFill="1" applyBorder="1" applyAlignment="1">
      <alignment wrapText="1"/>
    </xf>
    <xf numFmtId="0" fontId="213" fillId="57" borderId="106" xfId="0" applyFont="1" applyFill="1" applyBorder="1" applyAlignment="1">
      <alignment wrapText="1"/>
    </xf>
    <xf numFmtId="0" fontId="4" fillId="45" borderId="0" xfId="0" applyFont="1" applyFill="1" applyAlignment="1">
      <alignment horizontal="center"/>
    </xf>
    <xf numFmtId="0" fontId="200" fillId="71" borderId="0" xfId="0" applyFont="1" applyFill="1" applyAlignment="1">
      <alignment horizontal="left"/>
    </xf>
    <xf numFmtId="0" fontId="215" fillId="29" borderId="0" xfId="0" applyFont="1" applyFill="1" applyAlignment="1">
      <alignment horizontal="left"/>
    </xf>
    <xf numFmtId="0" fontId="216" fillId="69" borderId="0" xfId="0" applyFont="1" applyFill="1" applyAlignment="1">
      <alignment horizontal="left"/>
    </xf>
    <xf numFmtId="0" fontId="196" fillId="30" borderId="0" xfId="0" applyFont="1" applyFill="1" applyAlignment="1">
      <alignment horizontal="left"/>
    </xf>
    <xf numFmtId="0" fontId="201" fillId="71" borderId="0" xfId="0" applyFont="1" applyFill="1" applyAlignment="1">
      <alignment horizontal="left"/>
    </xf>
    <xf numFmtId="0" fontId="4" fillId="61" borderId="156" xfId="0" applyFont="1" applyFill="1" applyBorder="1" applyAlignment="1">
      <alignment wrapText="1"/>
    </xf>
    <xf numFmtId="0" fontId="21" fillId="2" borderId="0" xfId="0" applyFont="1" applyFill="1" applyAlignment="1">
      <alignment horizontal="center" vertical="center" wrapText="1"/>
    </xf>
    <xf numFmtId="0" fontId="157" fillId="31" borderId="17" xfId="0" applyFont="1" applyFill="1" applyBorder="1" applyAlignment="1">
      <alignment horizontal="center" vertical="center" wrapText="1"/>
    </xf>
    <xf numFmtId="0" fontId="157" fillId="31" borderId="18" xfId="0" applyFont="1" applyFill="1" applyBorder="1" applyAlignment="1">
      <alignment horizontal="center" vertical="center" wrapText="1"/>
    </xf>
    <xf numFmtId="0" fontId="54" fillId="45" borderId="0" xfId="2" applyFont="1" applyFill="1" applyAlignment="1">
      <alignment horizontal="center" vertical="center"/>
    </xf>
    <xf numFmtId="0" fontId="218" fillId="72" borderId="28" xfId="0" applyFont="1" applyFill="1" applyBorder="1" applyAlignment="1">
      <alignment horizontal="center" vertical="center" wrapText="1"/>
    </xf>
    <xf numFmtId="0" fontId="157" fillId="72" borderId="17" xfId="0" applyFont="1" applyFill="1" applyBorder="1" applyAlignment="1">
      <alignment horizontal="center" vertical="center" wrapText="1"/>
    </xf>
    <xf numFmtId="0" fontId="9" fillId="72" borderId="0" xfId="0" applyFont="1" applyFill="1" applyAlignment="1">
      <alignment horizontal="center"/>
    </xf>
    <xf numFmtId="0" fontId="218" fillId="72" borderId="39" xfId="0" applyFont="1" applyFill="1" applyBorder="1" applyAlignment="1">
      <alignment horizontal="center" vertical="center" wrapText="1"/>
    </xf>
    <xf numFmtId="0" fontId="157" fillId="72" borderId="41" xfId="0" applyFont="1" applyFill="1" applyBorder="1" applyAlignment="1">
      <alignment horizontal="center" vertical="center" wrapText="1"/>
    </xf>
    <xf numFmtId="0" fontId="4" fillId="56" borderId="176" xfId="0" applyFont="1" applyFill="1" applyBorder="1" applyAlignment="1">
      <alignment horizontal="center" vertical="center" wrapText="1"/>
    </xf>
    <xf numFmtId="0" fontId="4" fillId="56" borderId="174" xfId="0" applyFont="1" applyFill="1" applyBorder="1" applyAlignment="1">
      <alignment horizontal="center" vertical="center" wrapText="1"/>
    </xf>
    <xf numFmtId="0" fontId="4" fillId="56" borderId="177" xfId="0" applyFont="1" applyFill="1" applyBorder="1" applyAlignment="1">
      <alignment horizontal="center" vertical="center" wrapText="1"/>
    </xf>
    <xf numFmtId="0" fontId="196" fillId="32" borderId="48" xfId="0" applyFont="1" applyFill="1" applyBorder="1" applyAlignment="1">
      <alignment horizontal="left" vertical="center" wrapText="1"/>
    </xf>
    <xf numFmtId="164" fontId="196" fillId="32" borderId="49" xfId="0" applyNumberFormat="1" applyFont="1" applyFill="1" applyBorder="1" applyAlignment="1">
      <alignment horizontal="center" vertical="center" wrapText="1"/>
    </xf>
    <xf numFmtId="183" fontId="196" fillId="32" borderId="49" xfId="0" applyNumberFormat="1" applyFont="1" applyFill="1" applyBorder="1" applyAlignment="1">
      <alignment horizontal="center" vertical="center" wrapText="1"/>
    </xf>
    <xf numFmtId="0" fontId="196" fillId="32" borderId="49" xfId="0" applyFont="1" applyFill="1" applyBorder="1" applyAlignment="1">
      <alignment horizontal="center" vertical="center" wrapText="1"/>
    </xf>
    <xf numFmtId="166" fontId="196" fillId="32" borderId="49" xfId="0" applyNumberFormat="1" applyFont="1" applyFill="1" applyBorder="1" applyAlignment="1">
      <alignment horizontal="center" vertical="center" wrapText="1"/>
    </xf>
    <xf numFmtId="170" fontId="196" fillId="32" borderId="49" xfId="0" applyNumberFormat="1" applyFont="1" applyFill="1" applyBorder="1" applyAlignment="1">
      <alignment horizontal="center" vertical="center" wrapText="1"/>
    </xf>
    <xf numFmtId="183" fontId="196" fillId="32" borderId="103" xfId="0" applyNumberFormat="1" applyFont="1" applyFill="1" applyBorder="1" applyAlignment="1">
      <alignment horizontal="center" vertical="center" wrapText="1"/>
    </xf>
    <xf numFmtId="0" fontId="200" fillId="57" borderId="48" xfId="0" applyFont="1" applyFill="1" applyBorder="1" applyAlignment="1">
      <alignment horizontal="left"/>
    </xf>
    <xf numFmtId="164" fontId="200" fillId="57" borderId="49" xfId="0" applyNumberFormat="1" applyFont="1" applyFill="1" applyBorder="1" applyAlignment="1">
      <alignment horizontal="center" vertical="center"/>
    </xf>
    <xf numFmtId="183" fontId="200" fillId="57" borderId="49" xfId="0" applyNumberFormat="1" applyFont="1" applyFill="1" applyBorder="1" applyAlignment="1">
      <alignment horizontal="center" vertical="center"/>
    </xf>
    <xf numFmtId="0" fontId="200" fillId="57" borderId="49" xfId="0" applyFont="1" applyFill="1" applyBorder="1" applyAlignment="1">
      <alignment horizontal="center" vertical="center"/>
    </xf>
    <xf numFmtId="166" fontId="200" fillId="57" borderId="49" xfId="0" applyNumberFormat="1" applyFont="1" applyFill="1" applyBorder="1" applyAlignment="1">
      <alignment horizontal="center" vertical="center"/>
    </xf>
    <xf numFmtId="170" fontId="200" fillId="57" borderId="49" xfId="0" applyNumberFormat="1" applyFont="1" applyFill="1" applyBorder="1" applyAlignment="1">
      <alignment horizontal="center" vertical="center"/>
    </xf>
    <xf numFmtId="183" fontId="200" fillId="57" borderId="103" xfId="0" applyNumberFormat="1" applyFont="1" applyFill="1" applyBorder="1" applyAlignment="1">
      <alignment horizontal="center" vertical="center"/>
    </xf>
    <xf numFmtId="0" fontId="4" fillId="36" borderId="48" xfId="0" applyFont="1" applyFill="1" applyBorder="1" applyAlignment="1">
      <alignment horizontal="center" wrapText="1"/>
    </xf>
    <xf numFmtId="0" fontId="4" fillId="36" borderId="49" xfId="0" applyFont="1" applyFill="1" applyBorder="1" applyAlignment="1">
      <alignment horizontal="center" wrapText="1"/>
    </xf>
    <xf numFmtId="0" fontId="4" fillId="36" borderId="103" xfId="0" applyFont="1" applyFill="1" applyBorder="1" applyAlignment="1">
      <alignment horizontal="center" wrapText="1"/>
    </xf>
    <xf numFmtId="0" fontId="201" fillId="57" borderId="104" xfId="0" applyFont="1" applyFill="1" applyBorder="1" applyAlignment="1">
      <alignment horizontal="left" wrapText="1"/>
    </xf>
    <xf numFmtId="164" fontId="201" fillId="57" borderId="105" xfId="0" applyNumberFormat="1" applyFont="1" applyFill="1" applyBorder="1" applyAlignment="1">
      <alignment horizontal="center" wrapText="1"/>
    </xf>
    <xf numFmtId="183" fontId="201" fillId="57" borderId="105" xfId="0" applyNumberFormat="1" applyFont="1" applyFill="1" applyBorder="1" applyAlignment="1">
      <alignment horizontal="center" wrapText="1"/>
    </xf>
    <xf numFmtId="0" fontId="201" fillId="57" borderId="105" xfId="0" applyFont="1" applyFill="1" applyBorder="1" applyAlignment="1">
      <alignment horizontal="center" wrapText="1"/>
    </xf>
    <xf numFmtId="166" fontId="201" fillId="57" borderId="105" xfId="0" applyNumberFormat="1" applyFont="1" applyFill="1" applyBorder="1" applyAlignment="1">
      <alignment horizontal="center" wrapText="1"/>
    </xf>
    <xf numFmtId="170" fontId="201" fillId="57" borderId="105" xfId="0" applyNumberFormat="1" applyFont="1" applyFill="1" applyBorder="1" applyAlignment="1">
      <alignment horizontal="center" wrapText="1"/>
    </xf>
    <xf numFmtId="183" fontId="201" fillId="57" borderId="106" xfId="0" applyNumberFormat="1" applyFont="1" applyFill="1" applyBorder="1" applyAlignment="1">
      <alignment horizontal="center" wrapText="1"/>
    </xf>
    <xf numFmtId="0" fontId="0" fillId="49" borderId="0" xfId="0" applyFill="1"/>
    <xf numFmtId="0" fontId="4" fillId="72" borderId="28" xfId="0" applyFont="1" applyFill="1" applyBorder="1" applyAlignment="1">
      <alignment horizontal="center" vertical="center" wrapText="1"/>
    </xf>
    <xf numFmtId="0" fontId="4" fillId="45" borderId="28" xfId="0" applyFont="1" applyFill="1" applyBorder="1" applyAlignment="1">
      <alignment horizontal="center" vertical="center" wrapText="1"/>
    </xf>
    <xf numFmtId="0" fontId="196" fillId="30" borderId="17" xfId="0" applyFont="1" applyFill="1" applyBorder="1" applyAlignment="1">
      <alignment horizontal="left" vertical="center" wrapText="1"/>
    </xf>
    <xf numFmtId="0" fontId="198" fillId="70" borderId="0" xfId="0" applyFont="1" applyFill="1" applyAlignment="1">
      <alignment horizontal="left"/>
    </xf>
    <xf numFmtId="0" fontId="157" fillId="31" borderId="15" xfId="0" applyFont="1" applyFill="1" applyBorder="1" applyAlignment="1">
      <alignment horizontal="center" vertical="center" wrapText="1"/>
    </xf>
    <xf numFmtId="0" fontId="157" fillId="31" borderId="16" xfId="0" applyFont="1" applyFill="1" applyBorder="1" applyAlignment="1">
      <alignment horizontal="center" vertical="center" wrapText="1"/>
    </xf>
    <xf numFmtId="0" fontId="9" fillId="0" borderId="15" xfId="0" applyFont="1" applyBorder="1" applyAlignment="1">
      <alignment wrapText="1"/>
    </xf>
    <xf numFmtId="0" fontId="9" fillId="0" borderId="16" xfId="0" applyFont="1" applyBorder="1" applyAlignment="1">
      <alignment wrapText="1"/>
    </xf>
    <xf numFmtId="0" fontId="9" fillId="0" borderId="15" xfId="0" applyFont="1" applyBorder="1"/>
    <xf numFmtId="0" fontId="9" fillId="0" borderId="16" xfId="0" applyFont="1" applyBorder="1"/>
    <xf numFmtId="0" fontId="9" fillId="0" borderId="17" xfId="0" applyFont="1" applyBorder="1"/>
    <xf numFmtId="0" fontId="9" fillId="0" borderId="18" xfId="0" applyFont="1" applyBorder="1"/>
    <xf numFmtId="0" fontId="9" fillId="24" borderId="0" xfId="0" applyFont="1" applyFill="1" applyAlignment="1">
      <alignment wrapText="1"/>
    </xf>
    <xf numFmtId="0" fontId="23" fillId="45" borderId="0" xfId="0" applyFont="1" applyFill="1" applyAlignment="1">
      <alignment horizontal="left" wrapText="1"/>
    </xf>
    <xf numFmtId="0" fontId="157" fillId="72" borderId="15" xfId="0" applyFont="1" applyFill="1" applyBorder="1" applyAlignment="1">
      <alignment horizontal="center" vertical="center" wrapText="1"/>
    </xf>
    <xf numFmtId="0" fontId="9" fillId="72" borderId="15" xfId="0" applyFont="1" applyFill="1" applyBorder="1" applyAlignment="1">
      <alignment wrapText="1"/>
    </xf>
    <xf numFmtId="0" fontId="9" fillId="72" borderId="15" xfId="0" applyFont="1" applyFill="1" applyBorder="1"/>
    <xf numFmtId="0" fontId="212" fillId="72" borderId="15" xfId="0" applyFont="1" applyFill="1" applyBorder="1" applyAlignment="1">
      <alignment horizontal="left" wrapText="1"/>
    </xf>
    <xf numFmtId="0" fontId="4" fillId="72" borderId="39" xfId="0" applyFont="1" applyFill="1" applyBorder="1" applyAlignment="1">
      <alignment horizontal="center" vertical="center" wrapText="1"/>
    </xf>
    <xf numFmtId="0" fontId="157" fillId="72" borderId="40" xfId="0" applyFont="1" applyFill="1" applyBorder="1" applyAlignment="1">
      <alignment horizontal="center" vertical="center" wrapText="1"/>
    </xf>
    <xf numFmtId="0" fontId="9" fillId="72" borderId="40" xfId="0" applyFont="1" applyFill="1" applyBorder="1" applyAlignment="1">
      <alignment wrapText="1"/>
    </xf>
    <xf numFmtId="0" fontId="172" fillId="55" borderId="125" xfId="0" applyFont="1" applyFill="1" applyBorder="1" applyAlignment="1">
      <alignment horizontal="center"/>
    </xf>
    <xf numFmtId="0" fontId="172" fillId="55" borderId="49" xfId="0" applyFont="1" applyFill="1" applyBorder="1" applyAlignment="1">
      <alignment horizontal="center" wrapText="1"/>
    </xf>
    <xf numFmtId="0" fontId="172" fillId="55" borderId="126" xfId="0" applyFont="1" applyFill="1" applyBorder="1" applyAlignment="1">
      <alignment horizontal="center" wrapText="1"/>
    </xf>
    <xf numFmtId="0" fontId="220" fillId="39" borderId="125" xfId="0" applyFont="1" applyFill="1" applyBorder="1" applyAlignment="1">
      <alignment horizontal="center" wrapText="1"/>
    </xf>
    <xf numFmtId="0" fontId="181" fillId="39" borderId="49" xfId="0" applyFont="1" applyFill="1" applyBorder="1" applyAlignment="1">
      <alignment wrapText="1"/>
    </xf>
    <xf numFmtId="0" fontId="181" fillId="39" borderId="126" xfId="0" applyFont="1" applyFill="1" applyBorder="1" applyAlignment="1">
      <alignment wrapText="1"/>
    </xf>
    <xf numFmtId="0" fontId="221" fillId="2" borderId="125" xfId="0" applyFont="1" applyFill="1" applyBorder="1" applyAlignment="1">
      <alignment horizontal="center" wrapText="1"/>
    </xf>
    <xf numFmtId="0" fontId="181" fillId="2" borderId="49" xfId="0" applyFont="1" applyFill="1" applyBorder="1" applyAlignment="1">
      <alignment wrapText="1"/>
    </xf>
    <xf numFmtId="0" fontId="181" fillId="2" borderId="126" xfId="0" applyFont="1" applyFill="1" applyBorder="1" applyAlignment="1">
      <alignment wrapText="1"/>
    </xf>
    <xf numFmtId="0" fontId="222" fillId="41" borderId="125" xfId="0" applyFont="1" applyFill="1" applyBorder="1" applyAlignment="1">
      <alignment horizontal="center" wrapText="1"/>
    </xf>
    <xf numFmtId="0" fontId="181" fillId="41" borderId="49" xfId="0" applyFont="1" applyFill="1" applyBorder="1" applyAlignment="1">
      <alignment wrapText="1"/>
    </xf>
    <xf numFmtId="0" fontId="181" fillId="41" borderId="126" xfId="0" applyFont="1" applyFill="1" applyBorder="1" applyAlignment="1">
      <alignment wrapText="1"/>
    </xf>
    <xf numFmtId="0" fontId="223" fillId="42" borderId="125" xfId="0" applyFont="1" applyFill="1" applyBorder="1" applyAlignment="1">
      <alignment horizontal="center" wrapText="1"/>
    </xf>
    <xf numFmtId="0" fontId="181" fillId="42" borderId="49" xfId="0" applyFont="1" applyFill="1" applyBorder="1" applyAlignment="1">
      <alignment wrapText="1"/>
    </xf>
    <xf numFmtId="0" fontId="181" fillId="42" borderId="126" xfId="0" applyFont="1" applyFill="1" applyBorder="1" applyAlignment="1">
      <alignment wrapText="1"/>
    </xf>
    <xf numFmtId="0" fontId="221" fillId="2" borderId="127" xfId="0" applyFont="1" applyFill="1" applyBorder="1" applyAlignment="1">
      <alignment horizontal="center" wrapText="1"/>
    </xf>
    <xf numFmtId="0" fontId="181" fillId="2" borderId="128" xfId="0" applyFont="1" applyFill="1" applyBorder="1" applyAlignment="1">
      <alignment wrapText="1"/>
    </xf>
    <xf numFmtId="0" fontId="181" fillId="2" borderId="129" xfId="0" applyFont="1" applyFill="1" applyBorder="1" applyAlignment="1">
      <alignment wrapText="1"/>
    </xf>
    <xf numFmtId="0" fontId="224" fillId="42" borderId="266" xfId="0" applyFont="1" applyFill="1" applyBorder="1" applyAlignment="1">
      <alignment wrapText="1"/>
    </xf>
    <xf numFmtId="0" fontId="224" fillId="42" borderId="49" xfId="0" applyFont="1" applyFill="1" applyBorder="1" applyAlignment="1">
      <alignment wrapText="1"/>
    </xf>
    <xf numFmtId="0" fontId="224" fillId="42" borderId="267" xfId="0" applyFont="1" applyFill="1" applyBorder="1" applyAlignment="1">
      <alignment wrapText="1"/>
    </xf>
    <xf numFmtId="0" fontId="225" fillId="2" borderId="266" xfId="0" applyFont="1" applyFill="1" applyBorder="1" applyAlignment="1">
      <alignment wrapText="1"/>
    </xf>
    <xf numFmtId="0" fontId="225" fillId="2" borderId="49" xfId="0" applyFont="1" applyFill="1" applyBorder="1" applyAlignment="1">
      <alignment wrapText="1"/>
    </xf>
    <xf numFmtId="0" fontId="225" fillId="2" borderId="267" xfId="0" applyFont="1" applyFill="1" applyBorder="1" applyAlignment="1">
      <alignment wrapText="1"/>
    </xf>
    <xf numFmtId="0" fontId="225" fillId="42" borderId="266" xfId="0" applyFont="1" applyFill="1" applyBorder="1" applyAlignment="1">
      <alignment wrapText="1"/>
    </xf>
    <xf numFmtId="0" fontId="225" fillId="42" borderId="49" xfId="0" applyFont="1" applyFill="1" applyBorder="1" applyAlignment="1">
      <alignment wrapText="1"/>
    </xf>
    <xf numFmtId="0" fontId="225" fillId="42" borderId="267" xfId="0" applyFont="1" applyFill="1" applyBorder="1" applyAlignment="1">
      <alignment wrapText="1"/>
    </xf>
    <xf numFmtId="0" fontId="187" fillId="29" borderId="268" xfId="0" applyFont="1" applyFill="1" applyBorder="1"/>
    <xf numFmtId="0" fontId="187" fillId="29" borderId="269" xfId="0" applyFont="1" applyFill="1" applyBorder="1" applyAlignment="1">
      <alignment wrapText="1"/>
    </xf>
    <xf numFmtId="0" fontId="187" fillId="29" borderId="270" xfId="0" applyFont="1" applyFill="1" applyBorder="1" applyAlignment="1">
      <alignment wrapText="1"/>
    </xf>
    <xf numFmtId="0" fontId="23" fillId="45" borderId="176" xfId="0" applyFont="1" applyFill="1" applyBorder="1" applyAlignment="1">
      <alignment horizontal="left" wrapText="1"/>
    </xf>
    <xf numFmtId="0" fontId="23" fillId="45" borderId="174" xfId="0" applyFont="1" applyFill="1" applyBorder="1" applyAlignment="1">
      <alignment horizontal="left" wrapText="1"/>
    </xf>
    <xf numFmtId="0" fontId="23" fillId="45" borderId="177" xfId="0" applyFont="1" applyFill="1" applyBorder="1" applyAlignment="1">
      <alignment horizontal="left" wrapText="1"/>
    </xf>
    <xf numFmtId="0" fontId="9" fillId="63" borderId="48" xfId="0" applyFont="1" applyFill="1" applyBorder="1"/>
    <xf numFmtId="0" fontId="226" fillId="63" borderId="49" xfId="0" applyFont="1" applyFill="1" applyBorder="1" applyAlignment="1">
      <alignment horizontal="center"/>
    </xf>
    <xf numFmtId="0" fontId="9" fillId="63" borderId="49" xfId="0" applyFont="1" applyFill="1" applyBorder="1"/>
    <xf numFmtId="0" fontId="9" fillId="63" borderId="49" xfId="0" applyFont="1" applyFill="1" applyBorder="1" applyAlignment="1">
      <alignment horizontal="center"/>
    </xf>
    <xf numFmtId="0" fontId="9" fillId="63" borderId="103" xfId="0" applyFont="1" applyFill="1" applyBorder="1"/>
    <xf numFmtId="0" fontId="9" fillId="57" borderId="48" xfId="0" applyFont="1" applyFill="1" applyBorder="1"/>
    <xf numFmtId="0" fontId="52" fillId="57" borderId="49" xfId="0" applyFont="1" applyFill="1" applyBorder="1" applyAlignment="1">
      <alignment horizontal="center"/>
    </xf>
    <xf numFmtId="0" fontId="9" fillId="57" borderId="49" xfId="0" applyFont="1" applyFill="1" applyBorder="1"/>
    <xf numFmtId="0" fontId="9" fillId="57" borderId="49" xfId="0" applyFont="1" applyFill="1" applyBorder="1" applyAlignment="1">
      <alignment horizontal="center"/>
    </xf>
    <xf numFmtId="0" fontId="9" fillId="57" borderId="103" xfId="0" applyFont="1" applyFill="1" applyBorder="1"/>
    <xf numFmtId="0" fontId="9" fillId="32" borderId="104" xfId="0" applyFont="1" applyFill="1" applyBorder="1"/>
    <xf numFmtId="170" fontId="53" fillId="32" borderId="105" xfId="0" applyNumberFormat="1" applyFont="1" applyFill="1" applyBorder="1" applyAlignment="1">
      <alignment horizontal="center"/>
    </xf>
    <xf numFmtId="0" fontId="9" fillId="32" borderId="105" xfId="0" applyFont="1" applyFill="1" applyBorder="1"/>
    <xf numFmtId="0" fontId="9" fillId="32" borderId="105" xfId="0" applyFont="1" applyFill="1" applyBorder="1" applyAlignment="1">
      <alignment horizontal="center"/>
    </xf>
    <xf numFmtId="0" fontId="9" fillId="32" borderId="106" xfId="0" applyFont="1" applyFill="1" applyBorder="1"/>
    <xf numFmtId="0" fontId="9" fillId="49" borderId="0" xfId="0" applyFont="1" applyFill="1"/>
    <xf numFmtId="0" fontId="9" fillId="49" borderId="15" xfId="0" applyFont="1" applyFill="1" applyBorder="1"/>
    <xf numFmtId="0" fontId="9" fillId="49" borderId="17" xfId="0" applyFont="1" applyFill="1" applyBorder="1"/>
    <xf numFmtId="0" fontId="4" fillId="19" borderId="28" xfId="0" applyFont="1" applyFill="1" applyBorder="1" applyAlignment="1">
      <alignment horizontal="center" vertical="center" wrapText="1"/>
    </xf>
    <xf numFmtId="0" fontId="227" fillId="39" borderId="15" xfId="0" applyFont="1" applyFill="1" applyBorder="1" applyAlignment="1">
      <alignment horizontal="left" vertical="center" wrapText="1"/>
    </xf>
    <xf numFmtId="0" fontId="162" fillId="2" borderId="15" xfId="0" applyFont="1" applyFill="1" applyBorder="1" applyAlignment="1">
      <alignment horizontal="left" wrapText="1"/>
    </xf>
    <xf numFmtId="0" fontId="216" fillId="69" borderId="15" xfId="0" applyFont="1" applyFill="1" applyBorder="1" applyAlignment="1">
      <alignment horizontal="left" wrapText="1"/>
    </xf>
    <xf numFmtId="0" fontId="215" fillId="29" borderId="15" xfId="0" applyFont="1" applyFill="1" applyBorder="1" applyAlignment="1">
      <alignment horizontal="left" wrapText="1"/>
    </xf>
    <xf numFmtId="0" fontId="231" fillId="0" borderId="0" xfId="2" applyFont="1" applyAlignment="1">
      <alignment horizontal="center" vertical="center"/>
    </xf>
    <xf numFmtId="0" fontId="153" fillId="2" borderId="0" xfId="0" applyFont="1" applyFill="1" applyAlignment="1">
      <alignment horizontal="center" vertical="center" wrapText="1"/>
    </xf>
    <xf numFmtId="0" fontId="101" fillId="32" borderId="15" xfId="0" applyFont="1" applyFill="1" applyBorder="1" applyAlignment="1">
      <alignment horizontal="center" vertical="center" wrapText="1"/>
    </xf>
    <xf numFmtId="0" fontId="232" fillId="0" borderId="0" xfId="2" applyFont="1" applyAlignment="1">
      <alignment wrapText="1"/>
    </xf>
    <xf numFmtId="0" fontId="101" fillId="32" borderId="16" xfId="0" applyFont="1" applyFill="1" applyBorder="1" applyAlignment="1">
      <alignment horizontal="center" vertical="center" wrapText="1"/>
    </xf>
    <xf numFmtId="0" fontId="76" fillId="2" borderId="15" xfId="0" applyFont="1" applyFill="1" applyBorder="1" applyAlignment="1">
      <alignment wrapText="1"/>
    </xf>
    <xf numFmtId="166" fontId="234" fillId="2" borderId="15" xfId="0" applyNumberFormat="1" applyFont="1" applyFill="1" applyBorder="1" applyAlignment="1">
      <alignment horizontal="right" wrapText="1"/>
    </xf>
    <xf numFmtId="179" fontId="234" fillId="2" borderId="15" xfId="0" applyNumberFormat="1" applyFont="1" applyFill="1" applyBorder="1" applyAlignment="1">
      <alignment horizontal="right" wrapText="1"/>
    </xf>
    <xf numFmtId="0" fontId="77" fillId="37" borderId="15" xfId="0" applyFont="1" applyFill="1" applyBorder="1" applyAlignment="1">
      <alignment horizontal="center" wrapText="1"/>
    </xf>
    <xf numFmtId="1" fontId="235" fillId="2" borderId="15" xfId="0" applyNumberFormat="1" applyFont="1" applyFill="1" applyBorder="1" applyAlignment="1">
      <alignment horizontal="right" wrapText="1"/>
    </xf>
    <xf numFmtId="179" fontId="236" fillId="2" borderId="15" xfId="0" applyNumberFormat="1" applyFont="1" applyFill="1" applyBorder="1" applyAlignment="1">
      <alignment horizontal="right" wrapText="1"/>
    </xf>
    <xf numFmtId="0" fontId="76" fillId="2" borderId="16" xfId="0" applyFont="1" applyFill="1" applyBorder="1" applyAlignment="1">
      <alignment wrapText="1"/>
    </xf>
    <xf numFmtId="0" fontId="77" fillId="33" borderId="15" xfId="0" applyFont="1" applyFill="1" applyBorder="1" applyAlignment="1">
      <alignment horizontal="center" wrapText="1"/>
    </xf>
    <xf numFmtId="0" fontId="76" fillId="32" borderId="15" xfId="0" applyFont="1" applyFill="1" applyBorder="1" applyAlignment="1">
      <alignment wrapText="1"/>
    </xf>
    <xf numFmtId="166" fontId="234" fillId="32" borderId="15" xfId="0" applyNumberFormat="1" applyFont="1" applyFill="1" applyBorder="1" applyAlignment="1">
      <alignment horizontal="right" wrapText="1"/>
    </xf>
    <xf numFmtId="179" fontId="234" fillId="32" borderId="15" xfId="0" applyNumberFormat="1" applyFont="1" applyFill="1" applyBorder="1" applyAlignment="1">
      <alignment horizontal="right" wrapText="1"/>
    </xf>
    <xf numFmtId="1" fontId="235" fillId="32" borderId="15" xfId="0" applyNumberFormat="1" applyFont="1" applyFill="1" applyBorder="1" applyAlignment="1">
      <alignment horizontal="right" wrapText="1"/>
    </xf>
    <xf numFmtId="179" fontId="236" fillId="32" borderId="15" xfId="0" applyNumberFormat="1" applyFont="1" applyFill="1" applyBorder="1" applyAlignment="1">
      <alignment horizontal="right" wrapText="1"/>
    </xf>
    <xf numFmtId="0" fontId="76" fillId="32" borderId="16" xfId="0" applyFont="1" applyFill="1" applyBorder="1" applyAlignment="1">
      <alignment wrapText="1"/>
    </xf>
    <xf numFmtId="0" fontId="149" fillId="38" borderId="15" xfId="0" applyFont="1" applyFill="1" applyBorder="1" applyAlignment="1">
      <alignment horizontal="center" wrapText="1"/>
    </xf>
    <xf numFmtId="166" fontId="238" fillId="2" borderId="15" xfId="0" applyNumberFormat="1" applyFont="1" applyFill="1" applyBorder="1" applyAlignment="1">
      <alignment horizontal="right" wrapText="1"/>
    </xf>
    <xf numFmtId="179" fontId="238" fillId="2" borderId="15" xfId="0" applyNumberFormat="1" applyFont="1" applyFill="1" applyBorder="1" applyAlignment="1">
      <alignment horizontal="right" wrapText="1"/>
    </xf>
    <xf numFmtId="1" fontId="238" fillId="2" borderId="15" xfId="0" applyNumberFormat="1" applyFont="1" applyFill="1" applyBorder="1" applyAlignment="1">
      <alignment horizontal="right" wrapText="1"/>
    </xf>
    <xf numFmtId="0" fontId="238" fillId="32" borderId="15" xfId="0" applyFont="1" applyFill="1" applyBorder="1" applyAlignment="1">
      <alignment horizontal="center" wrapText="1"/>
    </xf>
    <xf numFmtId="0" fontId="98" fillId="2" borderId="15" xfId="0" applyFont="1" applyFill="1" applyBorder="1" applyAlignment="1">
      <alignment wrapText="1"/>
    </xf>
    <xf numFmtId="0" fontId="242" fillId="38" borderId="15" xfId="0" applyFont="1" applyFill="1" applyBorder="1" applyAlignment="1">
      <alignment horizontal="left" wrapText="1"/>
    </xf>
    <xf numFmtId="0" fontId="238" fillId="2" borderId="15" xfId="0" applyFont="1" applyFill="1" applyBorder="1" applyAlignment="1">
      <alignment horizontal="center" wrapText="1"/>
    </xf>
    <xf numFmtId="170" fontId="238" fillId="32" borderId="15" xfId="0" applyNumberFormat="1" applyFont="1" applyFill="1" applyBorder="1" applyAlignment="1">
      <alignment horizontal="right" wrapText="1"/>
    </xf>
    <xf numFmtId="10" fontId="246" fillId="32" borderId="15" xfId="0" applyNumberFormat="1" applyFont="1" applyFill="1" applyBorder="1" applyAlignment="1">
      <alignment horizontal="right" wrapText="1"/>
    </xf>
    <xf numFmtId="0" fontId="76" fillId="2" borderId="17" xfId="0" applyFont="1" applyFill="1" applyBorder="1" applyAlignment="1">
      <alignment wrapText="1"/>
    </xf>
    <xf numFmtId="0" fontId="76" fillId="2" borderId="18" xfId="0" applyFont="1" applyFill="1" applyBorder="1" applyAlignment="1">
      <alignment wrapText="1"/>
    </xf>
    <xf numFmtId="0" fontId="250" fillId="45" borderId="0" xfId="2" applyFont="1" applyFill="1" applyAlignment="1">
      <alignment horizontal="center" vertical="center"/>
    </xf>
    <xf numFmtId="0" fontId="250" fillId="45" borderId="0" xfId="2" applyFont="1" applyFill="1" applyAlignment="1">
      <alignment horizontal="center" vertical="center" wrapText="1"/>
    </xf>
    <xf numFmtId="0" fontId="98" fillId="32" borderId="15" xfId="0" applyFont="1" applyFill="1" applyBorder="1" applyAlignment="1">
      <alignment wrapText="1"/>
    </xf>
    <xf numFmtId="170" fontId="233" fillId="2" borderId="40" xfId="0" applyNumberFormat="1" applyFont="1" applyFill="1" applyBorder="1" applyAlignment="1">
      <alignment horizontal="right" wrapText="1"/>
    </xf>
    <xf numFmtId="170" fontId="233" fillId="32" borderId="40" xfId="0" applyNumberFormat="1" applyFont="1" applyFill="1" applyBorder="1" applyAlignment="1">
      <alignment horizontal="right" wrapText="1"/>
    </xf>
    <xf numFmtId="170" fontId="238" fillId="2" borderId="40" xfId="0" applyNumberFormat="1" applyFont="1" applyFill="1" applyBorder="1" applyAlignment="1">
      <alignment horizontal="right" wrapText="1"/>
    </xf>
    <xf numFmtId="0" fontId="77" fillId="56" borderId="176" xfId="0" applyFont="1" applyFill="1" applyBorder="1" applyAlignment="1">
      <alignment horizontal="center" vertical="center" wrapText="1"/>
    </xf>
    <xf numFmtId="0" fontId="77" fillId="56" borderId="174" xfId="0" applyFont="1" applyFill="1" applyBorder="1" applyAlignment="1">
      <alignment horizontal="center" vertical="center" wrapText="1"/>
    </xf>
    <xf numFmtId="0" fontId="77" fillId="56" borderId="177" xfId="0" applyFont="1" applyFill="1" applyBorder="1" applyAlignment="1">
      <alignment horizontal="center" vertical="center" wrapText="1"/>
    </xf>
    <xf numFmtId="0" fontId="238" fillId="66" borderId="48" xfId="0" applyFont="1" applyFill="1" applyBorder="1" applyAlignment="1">
      <alignment horizontal="center"/>
    </xf>
    <xf numFmtId="0" fontId="252" fillId="66" borderId="49" xfId="0" applyFont="1" applyFill="1" applyBorder="1" applyAlignment="1">
      <alignment wrapText="1"/>
    </xf>
    <xf numFmtId="166" fontId="252" fillId="66" borderId="49" xfId="0" applyNumberFormat="1" applyFont="1" applyFill="1" applyBorder="1" applyAlignment="1">
      <alignment horizontal="right" wrapText="1"/>
    </xf>
    <xf numFmtId="0" fontId="252" fillId="66" borderId="49" xfId="0" applyFont="1" applyFill="1" applyBorder="1" applyAlignment="1">
      <alignment horizontal="right" wrapText="1"/>
    </xf>
    <xf numFmtId="173" fontId="252" fillId="66" borderId="49" xfId="0" applyNumberFormat="1" applyFont="1" applyFill="1" applyBorder="1" applyAlignment="1">
      <alignment horizontal="right" wrapText="1"/>
    </xf>
    <xf numFmtId="169" fontId="252" fillId="66" borderId="49" xfId="0" applyNumberFormat="1" applyFont="1" applyFill="1" applyBorder="1" applyAlignment="1">
      <alignment horizontal="right" wrapText="1"/>
    </xf>
    <xf numFmtId="166" fontId="238" fillId="66" borderId="103" xfId="0" applyNumberFormat="1" applyFont="1" applyFill="1" applyBorder="1" applyAlignment="1">
      <alignment horizontal="right" wrapText="1"/>
    </xf>
    <xf numFmtId="0" fontId="238" fillId="2" borderId="48" xfId="0" applyFont="1" applyFill="1" applyBorder="1" applyAlignment="1">
      <alignment horizontal="center"/>
    </xf>
    <xf numFmtId="0" fontId="252" fillId="2" borderId="49" xfId="0" applyFont="1" applyFill="1" applyBorder="1" applyAlignment="1">
      <alignment wrapText="1"/>
    </xf>
    <xf numFmtId="166" fontId="252" fillId="2" borderId="49" xfId="0" applyNumberFormat="1" applyFont="1" applyFill="1" applyBorder="1" applyAlignment="1">
      <alignment horizontal="right" wrapText="1"/>
    </xf>
    <xf numFmtId="0" fontId="252" fillId="2" borderId="49" xfId="0" applyFont="1" applyFill="1" applyBorder="1" applyAlignment="1">
      <alignment horizontal="right" wrapText="1"/>
    </xf>
    <xf numFmtId="173" fontId="252" fillId="2" borderId="49" xfId="0" applyNumberFormat="1" applyFont="1" applyFill="1" applyBorder="1" applyAlignment="1">
      <alignment horizontal="right" wrapText="1"/>
    </xf>
    <xf numFmtId="169" fontId="252" fillId="2" borderId="49" xfId="0" applyNumberFormat="1" applyFont="1" applyFill="1" applyBorder="1" applyAlignment="1">
      <alignment horizontal="right" wrapText="1"/>
    </xf>
    <xf numFmtId="0" fontId="238" fillId="2" borderId="49" xfId="0" applyFont="1" applyFill="1" applyBorder="1" applyAlignment="1">
      <alignment horizontal="center" wrapText="1"/>
    </xf>
    <xf numFmtId="166" fontId="238" fillId="2" borderId="103" xfId="0" applyNumberFormat="1" applyFont="1" applyFill="1" applyBorder="1" applyAlignment="1">
      <alignment horizontal="right" wrapText="1"/>
    </xf>
    <xf numFmtId="0" fontId="238" fillId="66" borderId="49" xfId="0" applyFont="1" applyFill="1" applyBorder="1" applyAlignment="1">
      <alignment horizontal="center" wrapText="1"/>
    </xf>
    <xf numFmtId="0" fontId="252" fillId="2" borderId="49" xfId="0" applyFont="1" applyFill="1" applyBorder="1" applyAlignment="1">
      <alignment horizontal="center" wrapText="1"/>
    </xf>
    <xf numFmtId="0" fontId="252" fillId="66" borderId="49" xfId="0" applyFont="1" applyFill="1" applyBorder="1" applyAlignment="1">
      <alignment horizontal="center" wrapText="1"/>
    </xf>
    <xf numFmtId="0" fontId="77" fillId="36" borderId="104" xfId="0" applyFont="1" applyFill="1" applyBorder="1" applyAlignment="1">
      <alignment horizontal="center"/>
    </xf>
    <xf numFmtId="0" fontId="77" fillId="36" borderId="105" xfId="0" applyFont="1" applyFill="1" applyBorder="1" applyAlignment="1">
      <alignment wrapText="1"/>
    </xf>
    <xf numFmtId="166" fontId="77" fillId="36" borderId="105" xfId="0" applyNumberFormat="1" applyFont="1" applyFill="1" applyBorder="1" applyAlignment="1">
      <alignment horizontal="right" wrapText="1"/>
    </xf>
    <xf numFmtId="0" fontId="77" fillId="36" borderId="105" xfId="0" applyFont="1" applyFill="1" applyBorder="1" applyAlignment="1">
      <alignment horizontal="right" wrapText="1"/>
    </xf>
    <xf numFmtId="166" fontId="77" fillId="36" borderId="106" xfId="0" applyNumberFormat="1" applyFont="1" applyFill="1" applyBorder="1" applyAlignment="1">
      <alignment horizontal="right" wrapText="1"/>
    </xf>
    <xf numFmtId="0" fontId="76" fillId="2" borderId="40" xfId="0" applyFont="1" applyFill="1" applyBorder="1" applyAlignment="1">
      <alignment wrapText="1"/>
    </xf>
    <xf numFmtId="0" fontId="76" fillId="32" borderId="40" xfId="0" applyFont="1" applyFill="1" applyBorder="1" applyAlignment="1">
      <alignment wrapText="1"/>
    </xf>
    <xf numFmtId="0" fontId="238" fillId="79" borderId="49" xfId="0" applyFont="1" applyFill="1" applyBorder="1" applyAlignment="1">
      <alignment horizontal="center" wrapText="1"/>
    </xf>
    <xf numFmtId="0" fontId="81" fillId="32" borderId="114" xfId="0" applyFont="1" applyFill="1" applyBorder="1"/>
    <xf numFmtId="0" fontId="81" fillId="32" borderId="49" xfId="0" applyFont="1" applyFill="1" applyBorder="1" applyAlignment="1">
      <alignment wrapText="1"/>
    </xf>
    <xf numFmtId="0" fontId="82" fillId="32" borderId="49" xfId="0" applyFont="1" applyFill="1" applyBorder="1" applyAlignment="1">
      <alignment wrapText="1"/>
    </xf>
    <xf numFmtId="0" fontId="82" fillId="32" borderId="115" xfId="0" applyFont="1" applyFill="1" applyBorder="1" applyAlignment="1">
      <alignment wrapText="1"/>
    </xf>
    <xf numFmtId="0" fontId="83" fillId="80" borderId="114" xfId="0" applyFont="1" applyFill="1" applyBorder="1"/>
    <xf numFmtId="0" fontId="83" fillId="80" borderId="49" xfId="0" applyFont="1" applyFill="1" applyBorder="1" applyAlignment="1">
      <alignment wrapText="1"/>
    </xf>
    <xf numFmtId="0" fontId="84" fillId="80" borderId="49" xfId="0" applyFont="1" applyFill="1" applyBorder="1" applyAlignment="1">
      <alignment wrapText="1"/>
    </xf>
    <xf numFmtId="0" fontId="84" fillId="80" borderId="115" xfId="0" applyFont="1" applyFill="1" applyBorder="1" applyAlignment="1">
      <alignment wrapText="1"/>
    </xf>
    <xf numFmtId="0" fontId="85" fillId="81" borderId="114" xfId="0" applyFont="1" applyFill="1" applyBorder="1"/>
    <xf numFmtId="0" fontId="85" fillId="81" borderId="49" xfId="0" applyFont="1" applyFill="1" applyBorder="1" applyAlignment="1">
      <alignment wrapText="1"/>
    </xf>
    <xf numFmtId="0" fontId="102" fillId="81" borderId="49" xfId="0" applyFont="1" applyFill="1" applyBorder="1" applyAlignment="1">
      <alignment wrapText="1"/>
    </xf>
    <xf numFmtId="0" fontId="102" fillId="81" borderId="115" xfId="0" applyFont="1" applyFill="1" applyBorder="1" applyAlignment="1">
      <alignment wrapText="1"/>
    </xf>
    <xf numFmtId="0" fontId="254" fillId="57" borderId="114" xfId="0" applyFont="1" applyFill="1" applyBorder="1"/>
    <xf numFmtId="0" fontId="254" fillId="57" borderId="49" xfId="0" applyFont="1" applyFill="1" applyBorder="1" applyAlignment="1">
      <alignment wrapText="1"/>
    </xf>
    <xf numFmtId="0" fontId="255" fillId="57" borderId="49" xfId="0" applyFont="1" applyFill="1" applyBorder="1" applyAlignment="1">
      <alignment wrapText="1"/>
    </xf>
    <xf numFmtId="0" fontId="255" fillId="57" borderId="115" xfId="0" applyFont="1" applyFill="1" applyBorder="1" applyAlignment="1">
      <alignment wrapText="1"/>
    </xf>
    <xf numFmtId="0" fontId="256" fillId="31" borderId="116" xfId="0" applyFont="1" applyFill="1" applyBorder="1"/>
    <xf numFmtId="0" fontId="256" fillId="31" borderId="117" xfId="0" applyFont="1" applyFill="1" applyBorder="1" applyAlignment="1">
      <alignment wrapText="1"/>
    </xf>
    <xf numFmtId="0" fontId="257" fillId="31" borderId="117" xfId="0" applyFont="1" applyFill="1" applyBorder="1" applyAlignment="1">
      <alignment wrapText="1"/>
    </xf>
    <xf numFmtId="0" fontId="257" fillId="31" borderId="118" xfId="0" applyFont="1" applyFill="1" applyBorder="1" applyAlignment="1">
      <alignment wrapText="1"/>
    </xf>
    <xf numFmtId="0" fontId="238" fillId="2" borderId="40" xfId="0" applyFont="1" applyFill="1" applyBorder="1" applyAlignment="1">
      <alignment horizontal="center" wrapText="1"/>
    </xf>
    <xf numFmtId="180" fontId="245" fillId="32" borderId="40" xfId="0" applyNumberFormat="1" applyFont="1" applyFill="1" applyBorder="1" applyAlignment="1">
      <alignment horizontal="right" wrapText="1"/>
    </xf>
    <xf numFmtId="0" fontId="239" fillId="24" borderId="158" xfId="0" applyFont="1" applyFill="1" applyBorder="1" applyAlignment="1">
      <alignment wrapText="1"/>
    </xf>
    <xf numFmtId="0" fontId="76" fillId="24" borderId="35" xfId="0" applyFont="1" applyFill="1" applyBorder="1" applyAlignment="1">
      <alignment wrapText="1"/>
    </xf>
    <xf numFmtId="0" fontId="239" fillId="58" borderId="30" xfId="0" applyFont="1" applyFill="1" applyBorder="1" applyAlignment="1">
      <alignment wrapText="1"/>
    </xf>
    <xf numFmtId="0" fontId="140" fillId="36" borderId="275" xfId="0" applyFont="1" applyFill="1" applyBorder="1" applyAlignment="1">
      <alignment horizontal="center" wrapText="1"/>
    </xf>
    <xf numFmtId="0" fontId="240" fillId="32" borderId="278" xfId="0" applyFont="1" applyFill="1" applyBorder="1" applyAlignment="1">
      <alignment horizontal="center" wrapText="1"/>
    </xf>
    <xf numFmtId="0" fontId="240" fillId="32" borderId="49" xfId="0" applyFont="1" applyFill="1" applyBorder="1" applyAlignment="1">
      <alignment wrapText="1"/>
    </xf>
    <xf numFmtId="0" fontId="240" fillId="32" borderId="279" xfId="0" applyFont="1" applyFill="1" applyBorder="1" applyAlignment="1">
      <alignment wrapText="1"/>
    </xf>
    <xf numFmtId="0" fontId="150" fillId="67" borderId="278" xfId="0" applyFont="1" applyFill="1" applyBorder="1" applyAlignment="1">
      <alignment horizontal="center" wrapText="1"/>
    </xf>
    <xf numFmtId="0" fontId="150" fillId="67" borderId="49" xfId="0" applyFont="1" applyFill="1" applyBorder="1" applyAlignment="1">
      <alignment horizontal="left" wrapText="1"/>
    </xf>
    <xf numFmtId="0" fontId="77" fillId="67" borderId="49" xfId="0" applyFont="1" applyFill="1" applyBorder="1" applyAlignment="1">
      <alignment wrapText="1"/>
    </xf>
    <xf numFmtId="0" fontId="77" fillId="67" borderId="49" xfId="0" applyFont="1" applyFill="1" applyBorder="1" applyAlignment="1">
      <alignment horizontal="center" wrapText="1"/>
    </xf>
    <xf numFmtId="0" fontId="150" fillId="67" borderId="279" xfId="0" applyFont="1" applyFill="1" applyBorder="1" applyAlignment="1">
      <alignment horizontal="left" wrapText="1"/>
    </xf>
    <xf numFmtId="0" fontId="241" fillId="79" borderId="278" xfId="0" applyFont="1" applyFill="1" applyBorder="1" applyAlignment="1">
      <alignment horizontal="center" wrapText="1"/>
    </xf>
    <xf numFmtId="0" fontId="238" fillId="79" borderId="49" xfId="0" applyFont="1" applyFill="1" applyBorder="1" applyAlignment="1">
      <alignment wrapText="1"/>
    </xf>
    <xf numFmtId="0" fontId="238" fillId="79" borderId="279" xfId="0" applyFont="1" applyFill="1" applyBorder="1" applyAlignment="1">
      <alignment horizontal="center" wrapText="1"/>
    </xf>
    <xf numFmtId="1" fontId="243" fillId="32" borderId="280" xfId="0" applyNumberFormat="1" applyFont="1" applyFill="1" applyBorder="1" applyAlignment="1">
      <alignment horizontal="right" wrapText="1"/>
    </xf>
    <xf numFmtId="0" fontId="244" fillId="32" borderId="281" xfId="0" applyFont="1" applyFill="1" applyBorder="1" applyAlignment="1">
      <alignment horizontal="center" wrapText="1"/>
    </xf>
    <xf numFmtId="0" fontId="244" fillId="32" borderId="281" xfId="0" applyFont="1" applyFill="1" applyBorder="1" applyAlignment="1">
      <alignment horizontal="left" wrapText="1"/>
    </xf>
    <xf numFmtId="179" fontId="77" fillId="32" borderId="281" xfId="0" applyNumberFormat="1" applyFont="1" applyFill="1" applyBorder="1" applyAlignment="1">
      <alignment horizontal="center" wrapText="1"/>
    </xf>
    <xf numFmtId="0" fontId="80" fillId="32" borderId="281" xfId="0" applyFont="1" applyFill="1" applyBorder="1" applyAlignment="1">
      <alignment wrapText="1"/>
    </xf>
    <xf numFmtId="0" fontId="236" fillId="32" borderId="281" xfId="0" applyFont="1" applyFill="1" applyBorder="1" applyAlignment="1">
      <alignment horizontal="center" wrapText="1"/>
    </xf>
    <xf numFmtId="179" fontId="236" fillId="32" borderId="281" xfId="0" applyNumberFormat="1" applyFont="1" applyFill="1" applyBorder="1" applyAlignment="1">
      <alignment horizontal="right" wrapText="1"/>
    </xf>
    <xf numFmtId="169" fontId="236" fillId="32" borderId="281" xfId="0" applyNumberFormat="1" applyFont="1" applyFill="1" applyBorder="1" applyAlignment="1">
      <alignment horizontal="right" wrapText="1"/>
    </xf>
    <xf numFmtId="1" fontId="235" fillId="32" borderId="281" xfId="0" applyNumberFormat="1" applyFont="1" applyFill="1" applyBorder="1" applyAlignment="1">
      <alignment horizontal="right" wrapText="1"/>
    </xf>
    <xf numFmtId="180" fontId="235" fillId="32" borderId="282" xfId="0" applyNumberFormat="1" applyFont="1" applyFill="1" applyBorder="1" applyAlignment="1">
      <alignment horizontal="right" wrapText="1"/>
    </xf>
    <xf numFmtId="0" fontId="76" fillId="2" borderId="41" xfId="0" applyFont="1" applyFill="1" applyBorder="1" applyAlignment="1">
      <alignment wrapText="1"/>
    </xf>
    <xf numFmtId="0" fontId="150" fillId="33" borderId="158" xfId="0" applyFont="1" applyFill="1" applyBorder="1" applyAlignment="1">
      <alignment wrapText="1"/>
    </xf>
    <xf numFmtId="0" fontId="241" fillId="79" borderId="48" xfId="0" applyFont="1" applyFill="1" applyBorder="1" applyAlignment="1">
      <alignment horizontal="center" wrapText="1"/>
    </xf>
    <xf numFmtId="0" fontId="238" fillId="79" borderId="103" xfId="0" applyFont="1" applyFill="1" applyBorder="1" applyAlignment="1">
      <alignment horizontal="center" wrapText="1"/>
    </xf>
    <xf numFmtId="0" fontId="243" fillId="68" borderId="48" xfId="0" applyFont="1" applyFill="1" applyBorder="1" applyAlignment="1">
      <alignment horizontal="center" wrapText="1"/>
    </xf>
    <xf numFmtId="0" fontId="247" fillId="68" borderId="49" xfId="0" applyFont="1" applyFill="1" applyBorder="1" applyAlignment="1">
      <alignment horizontal="center" wrapText="1"/>
    </xf>
    <xf numFmtId="0" fontId="247" fillId="68" borderId="49" xfId="0" applyFont="1" applyFill="1" applyBorder="1" applyAlignment="1">
      <alignment wrapText="1"/>
    </xf>
    <xf numFmtId="179" fontId="247" fillId="68" borderId="49" xfId="0" applyNumberFormat="1" applyFont="1" applyFill="1" applyBorder="1" applyAlignment="1">
      <alignment horizontal="right" wrapText="1"/>
    </xf>
    <xf numFmtId="169" fontId="247" fillId="68" borderId="49" xfId="0" applyNumberFormat="1" applyFont="1" applyFill="1" applyBorder="1" applyAlignment="1">
      <alignment horizontal="right" wrapText="1"/>
    </xf>
    <xf numFmtId="179" fontId="244" fillId="68" borderId="49" xfId="0" applyNumberFormat="1" applyFont="1" applyFill="1" applyBorder="1" applyAlignment="1">
      <alignment horizontal="right" wrapText="1"/>
    </xf>
    <xf numFmtId="1" fontId="244" fillId="68" borderId="49" xfId="0" applyNumberFormat="1" applyFont="1" applyFill="1" applyBorder="1" applyAlignment="1">
      <alignment horizontal="right" wrapText="1"/>
    </xf>
    <xf numFmtId="0" fontId="244" fillId="68" borderId="49" xfId="0" applyFont="1" applyFill="1" applyBorder="1" applyAlignment="1">
      <alignment horizontal="center" wrapText="1"/>
    </xf>
    <xf numFmtId="0" fontId="247" fillId="68" borderId="103" xfId="0" applyFont="1" applyFill="1" applyBorder="1" applyAlignment="1">
      <alignment wrapText="1"/>
    </xf>
    <xf numFmtId="0" fontId="259" fillId="31" borderId="48" xfId="0" applyFont="1" applyFill="1" applyBorder="1" applyAlignment="1">
      <alignment horizontal="center" wrapText="1"/>
    </xf>
    <xf numFmtId="0" fontId="257" fillId="31" borderId="49" xfId="0" applyFont="1" applyFill="1" applyBorder="1" applyAlignment="1">
      <alignment horizontal="center" wrapText="1"/>
    </xf>
    <xf numFmtId="0" fontId="257" fillId="31" borderId="49" xfId="0" applyFont="1" applyFill="1" applyBorder="1" applyAlignment="1">
      <alignment wrapText="1"/>
    </xf>
    <xf numFmtId="179" fontId="257" fillId="31" borderId="49" xfId="0" applyNumberFormat="1" applyFont="1" applyFill="1" applyBorder="1" applyAlignment="1">
      <alignment horizontal="right" wrapText="1"/>
    </xf>
    <xf numFmtId="169" fontId="257" fillId="31" borderId="49" xfId="0" applyNumberFormat="1" applyFont="1" applyFill="1" applyBorder="1" applyAlignment="1">
      <alignment horizontal="right" wrapText="1"/>
    </xf>
    <xf numFmtId="179" fontId="256" fillId="31" borderId="49" xfId="0" applyNumberFormat="1" applyFont="1" applyFill="1" applyBorder="1" applyAlignment="1">
      <alignment horizontal="right" wrapText="1"/>
    </xf>
    <xf numFmtId="1" fontId="256" fillId="31" borderId="49" xfId="0" applyNumberFormat="1" applyFont="1" applyFill="1" applyBorder="1" applyAlignment="1">
      <alignment horizontal="right" wrapText="1"/>
    </xf>
    <xf numFmtId="0" fontId="256" fillId="31" borderId="49" xfId="0" applyFont="1" applyFill="1" applyBorder="1" applyAlignment="1">
      <alignment horizontal="center" wrapText="1"/>
    </xf>
    <xf numFmtId="0" fontId="257" fillId="31" borderId="103" xfId="0" applyFont="1" applyFill="1" applyBorder="1" applyAlignment="1">
      <alignment wrapText="1"/>
    </xf>
    <xf numFmtId="0" fontId="260" fillId="82" borderId="48" xfId="0" applyFont="1" applyFill="1" applyBorder="1" applyAlignment="1">
      <alignment horizontal="center" wrapText="1"/>
    </xf>
    <xf numFmtId="0" fontId="248" fillId="82" borderId="49" xfId="0" applyFont="1" applyFill="1" applyBorder="1" applyAlignment="1">
      <alignment horizontal="center" wrapText="1"/>
    </xf>
    <xf numFmtId="0" fontId="248" fillId="82" borderId="49" xfId="0" applyFont="1" applyFill="1" applyBorder="1" applyAlignment="1">
      <alignment wrapText="1"/>
    </xf>
    <xf numFmtId="179" fontId="248" fillId="82" borderId="49" xfId="0" applyNumberFormat="1" applyFont="1" applyFill="1" applyBorder="1" applyAlignment="1">
      <alignment horizontal="right" wrapText="1"/>
    </xf>
    <xf numFmtId="169" fontId="248" fillId="82" borderId="49" xfId="0" applyNumberFormat="1" applyFont="1" applyFill="1" applyBorder="1" applyAlignment="1">
      <alignment horizontal="right" wrapText="1"/>
    </xf>
    <xf numFmtId="179" fontId="249" fillId="82" borderId="49" xfId="0" applyNumberFormat="1" applyFont="1" applyFill="1" applyBorder="1" applyAlignment="1">
      <alignment horizontal="right" wrapText="1"/>
    </xf>
    <xf numFmtId="1" fontId="249" fillId="82" borderId="49" xfId="0" applyNumberFormat="1" applyFont="1" applyFill="1" applyBorder="1" applyAlignment="1">
      <alignment horizontal="right" wrapText="1"/>
    </xf>
    <xf numFmtId="0" fontId="249" fillId="82" borderId="49" xfId="0" applyFont="1" applyFill="1" applyBorder="1" applyAlignment="1">
      <alignment horizontal="center" wrapText="1"/>
    </xf>
    <xf numFmtId="0" fontId="248" fillId="82" borderId="103" xfId="0" applyFont="1" applyFill="1" applyBorder="1" applyAlignment="1">
      <alignment wrapText="1"/>
    </xf>
    <xf numFmtId="1" fontId="257" fillId="31" borderId="49" xfId="0" applyNumberFormat="1" applyFont="1" applyFill="1" applyBorder="1" applyAlignment="1">
      <alignment horizontal="right" wrapText="1"/>
    </xf>
    <xf numFmtId="0" fontId="256" fillId="58" borderId="104" xfId="0" applyFont="1" applyFill="1" applyBorder="1" applyAlignment="1">
      <alignment horizontal="center"/>
    </xf>
    <xf numFmtId="0" fontId="257" fillId="58" borderId="105" xfId="0" applyFont="1" applyFill="1" applyBorder="1" applyAlignment="1">
      <alignment horizontal="center" wrapText="1"/>
    </xf>
    <xf numFmtId="0" fontId="257" fillId="58" borderId="105" xfId="0" applyFont="1" applyFill="1" applyBorder="1" applyAlignment="1">
      <alignment wrapText="1"/>
    </xf>
    <xf numFmtId="179" fontId="257" fillId="58" borderId="105" xfId="0" applyNumberFormat="1" applyFont="1" applyFill="1" applyBorder="1" applyAlignment="1">
      <alignment horizontal="right" wrapText="1"/>
    </xf>
    <xf numFmtId="169" fontId="257" fillId="58" borderId="105" xfId="0" applyNumberFormat="1" applyFont="1" applyFill="1" applyBorder="1" applyAlignment="1">
      <alignment horizontal="right" wrapText="1"/>
    </xf>
    <xf numFmtId="179" fontId="256" fillId="58" borderId="105" xfId="0" applyNumberFormat="1" applyFont="1" applyFill="1" applyBorder="1" applyAlignment="1">
      <alignment horizontal="right" wrapText="1"/>
    </xf>
    <xf numFmtId="1" fontId="257" fillId="58" borderId="105" xfId="0" applyNumberFormat="1" applyFont="1" applyFill="1" applyBorder="1" applyAlignment="1">
      <alignment horizontal="right" wrapText="1"/>
    </xf>
    <xf numFmtId="0" fontId="256" fillId="58" borderId="105" xfId="0" applyFont="1" applyFill="1" applyBorder="1" applyAlignment="1">
      <alignment horizontal="center" wrapText="1"/>
    </xf>
    <xf numFmtId="0" fontId="257" fillId="58" borderId="106" xfId="0" applyFont="1" applyFill="1" applyBorder="1" applyAlignment="1">
      <alignment wrapText="1"/>
    </xf>
    <xf numFmtId="0" fontId="77" fillId="45" borderId="40" xfId="0" applyFont="1" applyFill="1" applyBorder="1" applyAlignment="1">
      <alignment horizontal="center" vertical="center" wrapText="1"/>
    </xf>
    <xf numFmtId="170" fontId="84" fillId="69" borderId="40" xfId="0" applyNumberFormat="1" applyFont="1" applyFill="1" applyBorder="1" applyAlignment="1">
      <alignment horizontal="left" wrapText="1"/>
    </xf>
    <xf numFmtId="170" fontId="102" fillId="70" borderId="40" xfId="0" applyNumberFormat="1" applyFont="1" applyFill="1" applyBorder="1" applyAlignment="1">
      <alignment horizontal="left" wrapText="1"/>
    </xf>
    <xf numFmtId="170" fontId="255" fillId="71" borderId="40" xfId="0" applyNumberFormat="1" applyFont="1" applyFill="1" applyBorder="1" applyAlignment="1">
      <alignment horizontal="left" wrapText="1"/>
    </xf>
    <xf numFmtId="170" fontId="82" fillId="79" borderId="40" xfId="0" applyNumberFormat="1" applyFont="1" applyFill="1" applyBorder="1" applyAlignment="1">
      <alignment horizontal="left" wrapText="1"/>
    </xf>
    <xf numFmtId="170" fontId="261" fillId="31" borderId="40" xfId="0" applyNumberFormat="1" applyFont="1" applyFill="1" applyBorder="1" applyAlignment="1">
      <alignment horizontal="left" wrapText="1"/>
    </xf>
    <xf numFmtId="170" fontId="77" fillId="60" borderId="40" xfId="0" applyNumberFormat="1" applyFont="1" applyFill="1" applyBorder="1" applyAlignment="1">
      <alignment horizontal="left" wrapText="1"/>
    </xf>
    <xf numFmtId="0" fontId="108" fillId="0" borderId="0" xfId="0" applyFont="1" applyAlignment="1">
      <alignment wrapText="1"/>
    </xf>
    <xf numFmtId="0" fontId="104" fillId="46" borderId="0" xfId="0" applyFont="1" applyFill="1" applyAlignment="1">
      <alignment wrapText="1"/>
    </xf>
    <xf numFmtId="0" fontId="55" fillId="72" borderId="0" xfId="2" applyFont="1" applyFill="1" applyAlignment="1">
      <alignment horizontal="center" vertical="center" wrapText="1"/>
    </xf>
    <xf numFmtId="0" fontId="60" fillId="72" borderId="0" xfId="0" applyFont="1" applyFill="1" applyAlignment="1">
      <alignment horizontal="center" vertical="center" wrapText="1"/>
    </xf>
    <xf numFmtId="0" fontId="230" fillId="72" borderId="0" xfId="0" applyFont="1" applyFill="1" applyAlignment="1">
      <alignment vertical="top" wrapText="1"/>
    </xf>
    <xf numFmtId="0" fontId="231" fillId="47" borderId="0" xfId="2" applyFont="1" applyFill="1" applyAlignment="1">
      <alignment horizontal="center" vertical="center"/>
    </xf>
    <xf numFmtId="0" fontId="231" fillId="47" borderId="0" xfId="2" applyFont="1" applyFill="1" applyAlignment="1">
      <alignment horizontal="center" vertical="center" wrapText="1"/>
    </xf>
    <xf numFmtId="0" fontId="103" fillId="45" borderId="0" xfId="0" applyFont="1" applyFill="1" applyAlignment="1">
      <alignment horizontal="left" wrapText="1"/>
    </xf>
    <xf numFmtId="0" fontId="76" fillId="0" borderId="0" xfId="0" applyFont="1" applyAlignment="1">
      <alignment wrapText="1"/>
    </xf>
    <xf numFmtId="0" fontId="104" fillId="56" borderId="0" xfId="0" applyFont="1" applyFill="1" applyAlignment="1">
      <alignment wrapText="1"/>
    </xf>
    <xf numFmtId="0" fontId="77" fillId="56" borderId="0" xfId="0" applyFont="1" applyFill="1" applyAlignment="1">
      <alignment wrapText="1"/>
    </xf>
    <xf numFmtId="0" fontId="263" fillId="24" borderId="0" xfId="0" applyFont="1" applyFill="1" applyAlignment="1">
      <alignment wrapText="1"/>
    </xf>
    <xf numFmtId="0" fontId="264" fillId="24" borderId="0" xfId="0" applyFont="1" applyFill="1" applyAlignment="1">
      <alignment wrapText="1"/>
    </xf>
    <xf numFmtId="0" fontId="153" fillId="0" borderId="0" xfId="0" applyFont="1" applyAlignment="1">
      <alignment wrapText="1"/>
    </xf>
    <xf numFmtId="0" fontId="153" fillId="47" borderId="0" xfId="0" applyFont="1" applyFill="1" applyAlignment="1">
      <alignment horizontal="center" wrapText="1"/>
    </xf>
    <xf numFmtId="0" fontId="77" fillId="46" borderId="0" xfId="0" applyFont="1" applyFill="1" applyAlignment="1">
      <alignment wrapText="1"/>
    </xf>
    <xf numFmtId="0" fontId="265" fillId="47" borderId="285" xfId="0" applyFont="1" applyFill="1" applyBorder="1" applyAlignment="1">
      <alignment horizontal="center" wrapText="1"/>
    </xf>
    <xf numFmtId="0" fontId="265" fillId="2" borderId="286" xfId="0" applyFont="1" applyFill="1" applyBorder="1" applyAlignment="1">
      <alignment wrapText="1"/>
    </xf>
    <xf numFmtId="0" fontId="265" fillId="47" borderId="287" xfId="0" applyFont="1" applyFill="1" applyBorder="1" applyAlignment="1">
      <alignment horizontal="center" wrapText="1"/>
    </xf>
    <xf numFmtId="0" fontId="106" fillId="2" borderId="288" xfId="0" applyFont="1" applyFill="1" applyBorder="1" applyAlignment="1">
      <alignment wrapText="1"/>
    </xf>
    <xf numFmtId="0" fontId="104" fillId="36" borderId="286" xfId="0" applyFont="1" applyFill="1" applyBorder="1" applyAlignment="1">
      <alignment wrapText="1"/>
    </xf>
    <xf numFmtId="0" fontId="104" fillId="36" borderId="288" xfId="0" applyFont="1" applyFill="1" applyBorder="1" applyAlignment="1">
      <alignment wrapText="1"/>
    </xf>
    <xf numFmtId="0" fontId="106" fillId="2" borderId="286" xfId="0" applyFont="1" applyFill="1" applyBorder="1" applyAlignment="1">
      <alignment wrapText="1"/>
    </xf>
    <xf numFmtId="0" fontId="106" fillId="66" borderId="286" xfId="0" applyFont="1" applyFill="1" applyBorder="1" applyAlignment="1">
      <alignment wrapText="1"/>
    </xf>
    <xf numFmtId="0" fontId="106" fillId="66" borderId="288" xfId="0" applyFont="1" applyFill="1" applyBorder="1" applyAlignment="1">
      <alignment wrapText="1"/>
    </xf>
    <xf numFmtId="0" fontId="108" fillId="0" borderId="287" xfId="0" applyFont="1" applyBorder="1" applyAlignment="1">
      <alignment wrapText="1"/>
    </xf>
    <xf numFmtId="0" fontId="104" fillId="46" borderId="289" xfId="0" applyFont="1" applyFill="1" applyBorder="1" applyAlignment="1">
      <alignment wrapText="1"/>
    </xf>
    <xf numFmtId="0" fontId="269" fillId="83" borderId="290" xfId="0" applyFont="1" applyFill="1" applyBorder="1" applyAlignment="1">
      <alignment wrapText="1"/>
    </xf>
    <xf numFmtId="0" fontId="104" fillId="46" borderId="291" xfId="0" applyFont="1" applyFill="1" applyBorder="1" applyAlignment="1">
      <alignment wrapText="1"/>
    </xf>
    <xf numFmtId="0" fontId="269" fillId="83" borderId="293" xfId="0" applyFont="1" applyFill="1" applyBorder="1" applyAlignment="1">
      <alignment wrapText="1"/>
    </xf>
    <xf numFmtId="0" fontId="104" fillId="46" borderId="294" xfId="0" applyFont="1" applyFill="1" applyBorder="1" applyAlignment="1">
      <alignment wrapText="1"/>
    </xf>
    <xf numFmtId="0" fontId="269" fillId="83" borderId="296" xfId="0" applyFont="1" applyFill="1" applyBorder="1" applyAlignment="1">
      <alignment wrapText="1"/>
    </xf>
    <xf numFmtId="0" fontId="153" fillId="47" borderId="247" xfId="0" applyFont="1" applyFill="1" applyBorder="1" applyAlignment="1">
      <alignment horizontal="center" wrapText="1"/>
    </xf>
    <xf numFmtId="0" fontId="98" fillId="71" borderId="248" xfId="0" applyFont="1" applyFill="1" applyBorder="1" applyAlignment="1">
      <alignment wrapText="1"/>
    </xf>
    <xf numFmtId="0" fontId="106" fillId="71" borderId="286" xfId="0" applyFont="1" applyFill="1" applyBorder="1" applyAlignment="1">
      <alignment wrapText="1"/>
    </xf>
    <xf numFmtId="0" fontId="153" fillId="47" borderId="287" xfId="0" applyFont="1" applyFill="1" applyBorder="1" applyAlignment="1">
      <alignment horizontal="center" wrapText="1"/>
    </xf>
    <xf numFmtId="0" fontId="98" fillId="71" borderId="288" xfId="0" applyFont="1" applyFill="1" applyBorder="1" applyAlignment="1">
      <alignment wrapText="1"/>
    </xf>
    <xf numFmtId="0" fontId="106" fillId="2" borderId="302" xfId="0" applyFont="1" applyFill="1" applyBorder="1" applyAlignment="1">
      <alignment wrapText="1"/>
    </xf>
    <xf numFmtId="0" fontId="265" fillId="2" borderId="303" xfId="0" applyFont="1" applyFill="1" applyBorder="1" applyAlignment="1">
      <alignment wrapText="1"/>
    </xf>
    <xf numFmtId="0" fontId="106" fillId="2" borderId="304" xfId="0" applyFont="1" applyFill="1" applyBorder="1" applyAlignment="1">
      <alignment wrapText="1"/>
    </xf>
    <xf numFmtId="0" fontId="265" fillId="66" borderId="301" xfId="0" applyFont="1" applyFill="1" applyBorder="1" applyAlignment="1">
      <alignment wrapText="1"/>
    </xf>
    <xf numFmtId="0" fontId="106" fillId="66" borderId="302" xfId="0" applyFont="1" applyFill="1" applyBorder="1" applyAlignment="1">
      <alignment wrapText="1"/>
    </xf>
    <xf numFmtId="0" fontId="265" fillId="66" borderId="303" xfId="0" applyFont="1" applyFill="1" applyBorder="1" applyAlignment="1">
      <alignment wrapText="1"/>
    </xf>
    <xf numFmtId="0" fontId="106" fillId="66" borderId="304" xfId="0" applyFont="1" applyFill="1" applyBorder="1" applyAlignment="1">
      <alignment wrapText="1"/>
    </xf>
    <xf numFmtId="0" fontId="266" fillId="66" borderId="303" xfId="0" applyFont="1" applyFill="1" applyBorder="1" applyAlignment="1">
      <alignment wrapText="1"/>
    </xf>
    <xf numFmtId="0" fontId="135" fillId="2" borderId="303" xfId="0" applyFont="1" applyFill="1" applyBorder="1" applyAlignment="1">
      <alignment wrapText="1"/>
    </xf>
    <xf numFmtId="0" fontId="135" fillId="66" borderId="303" xfId="0" applyFont="1" applyFill="1" applyBorder="1" applyAlignment="1">
      <alignment wrapText="1"/>
    </xf>
    <xf numFmtId="0" fontId="134" fillId="2" borderId="303" xfId="0" applyFont="1" applyFill="1" applyBorder="1" applyAlignment="1">
      <alignment wrapText="1"/>
    </xf>
    <xf numFmtId="0" fontId="267" fillId="66" borderId="301" xfId="0" applyFont="1" applyFill="1" applyBorder="1" applyAlignment="1">
      <alignment wrapText="1"/>
    </xf>
    <xf numFmtId="0" fontId="106" fillId="2" borderId="301" xfId="0" applyFont="1" applyFill="1" applyBorder="1" applyAlignment="1">
      <alignment wrapText="1"/>
    </xf>
    <xf numFmtId="0" fontId="106" fillId="2" borderId="303" xfId="0" applyFont="1" applyFill="1" applyBorder="1" applyAlignment="1">
      <alignment wrapText="1"/>
    </xf>
    <xf numFmtId="0" fontId="106" fillId="66" borderId="301" xfId="0" applyFont="1" applyFill="1" applyBorder="1" applyAlignment="1">
      <alignment wrapText="1"/>
    </xf>
    <xf numFmtId="0" fontId="106" fillId="66" borderId="303" xfId="0" applyFont="1" applyFill="1" applyBorder="1" applyAlignment="1">
      <alignment wrapText="1"/>
    </xf>
    <xf numFmtId="0" fontId="268" fillId="47" borderId="303" xfId="0" applyFont="1" applyFill="1" applyBorder="1" applyAlignment="1">
      <alignment wrapText="1"/>
    </xf>
    <xf numFmtId="0" fontId="268" fillId="47" borderId="304" xfId="0" applyFont="1" applyFill="1" applyBorder="1" applyAlignment="1">
      <alignment wrapText="1"/>
    </xf>
    <xf numFmtId="0" fontId="109" fillId="2" borderId="303" xfId="0" applyFont="1" applyFill="1" applyBorder="1" applyAlignment="1">
      <alignment wrapText="1"/>
    </xf>
    <xf numFmtId="0" fontId="269" fillId="83" borderId="307" xfId="0" applyFont="1" applyFill="1" applyBorder="1" applyAlignment="1">
      <alignment wrapText="1"/>
    </xf>
    <xf numFmtId="0" fontId="262" fillId="83" borderId="259" xfId="0" applyFont="1" applyFill="1" applyBorder="1" applyAlignment="1">
      <alignment wrapText="1"/>
    </xf>
    <xf numFmtId="0" fontId="269" fillId="83" borderId="308" xfId="0" applyFont="1" applyFill="1" applyBorder="1" applyAlignment="1">
      <alignment wrapText="1"/>
    </xf>
    <xf numFmtId="0" fontId="269" fillId="58" borderId="305" xfId="0" applyFont="1" applyFill="1" applyBorder="1" applyAlignment="1">
      <alignment wrapText="1"/>
    </xf>
    <xf numFmtId="0" fontId="269" fillId="58" borderId="164" xfId="0" applyFont="1" applyFill="1" applyBorder="1" applyAlignment="1">
      <alignment wrapText="1"/>
    </xf>
    <xf numFmtId="0" fontId="269" fillId="58" borderId="306" xfId="0" applyFont="1" applyFill="1" applyBorder="1" applyAlignment="1">
      <alignment wrapText="1"/>
    </xf>
    <xf numFmtId="0" fontId="269" fillId="58" borderId="307" xfId="0" applyFont="1" applyFill="1" applyBorder="1" applyAlignment="1">
      <alignment wrapText="1"/>
    </xf>
    <xf numFmtId="0" fontId="269" fillId="58" borderId="259" xfId="0" applyFont="1" applyFill="1" applyBorder="1" applyAlignment="1">
      <alignment wrapText="1"/>
    </xf>
    <xf numFmtId="0" fontId="269" fillId="58" borderId="308" xfId="0" applyFont="1" applyFill="1" applyBorder="1" applyAlignment="1">
      <alignment wrapText="1"/>
    </xf>
    <xf numFmtId="0" fontId="269" fillId="83" borderId="259" xfId="0" applyFont="1" applyFill="1" applyBorder="1" applyAlignment="1">
      <alignment wrapText="1"/>
    </xf>
    <xf numFmtId="0" fontId="106" fillId="30" borderId="303" xfId="0" applyFont="1" applyFill="1" applyBorder="1" applyAlignment="1">
      <alignment wrapText="1"/>
    </xf>
    <xf numFmtId="0" fontId="98" fillId="30" borderId="304" xfId="0" applyFont="1" applyFill="1" applyBorder="1" applyAlignment="1">
      <alignment wrapText="1"/>
    </xf>
    <xf numFmtId="0" fontId="109" fillId="69" borderId="303" xfId="0" applyFont="1" applyFill="1" applyBorder="1" applyAlignment="1">
      <alignment wrapText="1"/>
    </xf>
    <xf numFmtId="0" fontId="149" fillId="69" borderId="304" xfId="0" applyFont="1" applyFill="1" applyBorder="1" applyAlignment="1">
      <alignment wrapText="1"/>
    </xf>
    <xf numFmtId="0" fontId="106" fillId="70" borderId="301" xfId="0" applyFont="1" applyFill="1" applyBorder="1" applyAlignment="1">
      <alignment wrapText="1"/>
    </xf>
    <xf numFmtId="0" fontId="98" fillId="70" borderId="302" xfId="0" applyFont="1" applyFill="1" applyBorder="1" applyAlignment="1">
      <alignment wrapText="1"/>
    </xf>
    <xf numFmtId="0" fontId="265" fillId="47" borderId="313" xfId="0" applyFont="1" applyFill="1" applyBorder="1" applyAlignment="1">
      <alignment horizontal="center" wrapText="1"/>
    </xf>
    <xf numFmtId="0" fontId="106" fillId="2" borderId="108" xfId="0" applyFont="1" applyFill="1" applyBorder="1" applyAlignment="1">
      <alignment wrapText="1"/>
    </xf>
    <xf numFmtId="0" fontId="106" fillId="66" borderId="108" xfId="0" applyFont="1" applyFill="1" applyBorder="1" applyAlignment="1">
      <alignment wrapText="1"/>
    </xf>
    <xf numFmtId="0" fontId="106" fillId="66" borderId="49" xfId="0" applyFont="1" applyFill="1" applyBorder="1" applyAlignment="1">
      <alignment wrapText="1"/>
    </xf>
    <xf numFmtId="0" fontId="106" fillId="2" borderId="314" xfId="0" applyFont="1" applyFill="1" applyBorder="1" applyAlignment="1">
      <alignment wrapText="1"/>
    </xf>
    <xf numFmtId="0" fontId="265" fillId="47" borderId="315" xfId="0" applyFont="1" applyFill="1" applyBorder="1" applyAlignment="1">
      <alignment horizontal="center" wrapText="1"/>
    </xf>
    <xf numFmtId="0" fontId="106" fillId="2" borderId="316" xfId="0" applyFont="1" applyFill="1" applyBorder="1" applyAlignment="1">
      <alignment wrapText="1"/>
    </xf>
    <xf numFmtId="0" fontId="106" fillId="66" borderId="316" xfId="0" applyFont="1" applyFill="1" applyBorder="1" applyAlignment="1">
      <alignment wrapText="1"/>
    </xf>
    <xf numFmtId="0" fontId="106" fillId="66" borderId="131" xfId="0" applyFont="1" applyFill="1" applyBorder="1" applyAlignment="1">
      <alignment wrapText="1"/>
    </xf>
    <xf numFmtId="0" fontId="106" fillId="2" borderId="317" xfId="0" applyFont="1" applyFill="1" applyBorder="1" applyAlignment="1">
      <alignment wrapText="1"/>
    </xf>
    <xf numFmtId="0" fontId="104" fillId="36" borderId="314" xfId="0" applyFont="1" applyFill="1" applyBorder="1" applyAlignment="1">
      <alignment wrapText="1"/>
    </xf>
    <xf numFmtId="0" fontId="104" fillId="36" borderId="317" xfId="0" applyFont="1" applyFill="1" applyBorder="1" applyAlignment="1">
      <alignment wrapText="1"/>
    </xf>
    <xf numFmtId="0" fontId="106" fillId="2" borderId="49" xfId="0" applyFont="1" applyFill="1" applyBorder="1" applyAlignment="1">
      <alignment wrapText="1"/>
    </xf>
    <xf numFmtId="0" fontId="106" fillId="66" borderId="314" xfId="0" applyFont="1" applyFill="1" applyBorder="1" applyAlignment="1">
      <alignment wrapText="1"/>
    </xf>
    <xf numFmtId="0" fontId="106" fillId="2" borderId="131" xfId="0" applyFont="1" applyFill="1" applyBorder="1" applyAlignment="1">
      <alignment wrapText="1"/>
    </xf>
    <xf numFmtId="0" fontId="106" fillId="66" borderId="317" xfId="0" applyFont="1" applyFill="1" applyBorder="1" applyAlignment="1">
      <alignment wrapText="1"/>
    </xf>
    <xf numFmtId="0" fontId="268" fillId="47" borderId="108" xfId="0" applyFont="1" applyFill="1" applyBorder="1" applyAlignment="1">
      <alignment wrapText="1"/>
    </xf>
    <xf numFmtId="0" fontId="109" fillId="2" borderId="108" xfId="0" applyFont="1" applyFill="1" applyBorder="1" applyAlignment="1">
      <alignment wrapText="1"/>
    </xf>
    <xf numFmtId="0" fontId="106" fillId="30" borderId="108" xfId="0" applyFont="1" applyFill="1" applyBorder="1" applyAlignment="1">
      <alignment wrapText="1"/>
    </xf>
    <xf numFmtId="0" fontId="109" fillId="69" borderId="108" xfId="0" applyFont="1" applyFill="1" applyBorder="1" applyAlignment="1">
      <alignment wrapText="1"/>
    </xf>
    <xf numFmtId="0" fontId="106" fillId="70" borderId="49" xfId="0" applyFont="1" applyFill="1" applyBorder="1" applyAlignment="1">
      <alignment wrapText="1"/>
    </xf>
    <xf numFmtId="0" fontId="106" fillId="71" borderId="314" xfId="0" applyFont="1" applyFill="1" applyBorder="1" applyAlignment="1">
      <alignment wrapText="1"/>
    </xf>
    <xf numFmtId="0" fontId="106" fillId="30" borderId="316" xfId="0" applyFont="1" applyFill="1" applyBorder="1" applyAlignment="1">
      <alignment wrapText="1"/>
    </xf>
    <xf numFmtId="0" fontId="109" fillId="69" borderId="316" xfId="0" applyFont="1" applyFill="1" applyBorder="1" applyAlignment="1">
      <alignment wrapText="1"/>
    </xf>
    <xf numFmtId="0" fontId="106" fillId="70" borderId="131" xfId="0" applyFont="1" applyFill="1" applyBorder="1" applyAlignment="1">
      <alignment wrapText="1"/>
    </xf>
    <xf numFmtId="0" fontId="106" fillId="71" borderId="317" xfId="0" applyFont="1" applyFill="1" applyBorder="1" applyAlignment="1">
      <alignment wrapText="1"/>
    </xf>
    <xf numFmtId="0" fontId="270" fillId="55" borderId="0" xfId="0" applyFont="1" applyFill="1" applyAlignment="1">
      <alignment horizontal="center" vertical="center" wrapText="1"/>
    </xf>
    <xf numFmtId="0" fontId="58" fillId="45" borderId="0" xfId="0" applyFont="1" applyFill="1" applyAlignment="1">
      <alignment wrapText="1"/>
    </xf>
    <xf numFmtId="16" fontId="62" fillId="0" borderId="0" xfId="0" applyNumberFormat="1" applyFont="1" applyAlignment="1">
      <alignment wrapText="1"/>
    </xf>
    <xf numFmtId="14" fontId="62" fillId="0" borderId="0" xfId="0" applyNumberFormat="1" applyFont="1" applyAlignment="1">
      <alignment wrapText="1"/>
    </xf>
    <xf numFmtId="0" fontId="36" fillId="72" borderId="0" xfId="0" applyFont="1" applyFill="1" applyAlignment="1">
      <alignment horizontal="center" vertical="center" wrapText="1"/>
    </xf>
    <xf numFmtId="0" fontId="33" fillId="72" borderId="0" xfId="2" applyFont="1" applyFill="1" applyAlignment="1">
      <alignment horizontal="center" vertical="center" wrapText="1"/>
    </xf>
    <xf numFmtId="0" fontId="14" fillId="72" borderId="0" xfId="0" applyFont="1" applyFill="1" applyAlignment="1">
      <alignment horizontal="center" vertical="center" wrapText="1"/>
    </xf>
    <xf numFmtId="0" fontId="27" fillId="72" borderId="0" xfId="0" applyFont="1" applyFill="1" applyAlignment="1">
      <alignment wrapText="1"/>
    </xf>
    <xf numFmtId="0" fontId="58" fillId="45" borderId="0" xfId="0" applyFont="1" applyFill="1" applyAlignment="1">
      <alignment horizontal="left" wrapText="1"/>
    </xf>
    <xf numFmtId="0" fontId="98" fillId="66" borderId="0" xfId="0" applyFont="1" applyFill="1" applyAlignment="1">
      <alignment wrapText="1"/>
    </xf>
    <xf numFmtId="0" fontId="149" fillId="66" borderId="0" xfId="0" applyFont="1" applyFill="1" applyAlignment="1">
      <alignment wrapText="1"/>
    </xf>
    <xf numFmtId="0" fontId="98" fillId="2" borderId="0" xfId="0" applyFont="1" applyFill="1" applyAlignment="1">
      <alignment wrapText="1"/>
    </xf>
    <xf numFmtId="0" fontId="149" fillId="2" borderId="0" xfId="0" applyFont="1" applyFill="1" applyAlignment="1">
      <alignment wrapText="1"/>
    </xf>
    <xf numFmtId="0" fontId="81" fillId="66" borderId="0" xfId="0" applyFont="1" applyFill="1" applyAlignment="1">
      <alignment wrapText="1"/>
    </xf>
    <xf numFmtId="0" fontId="81" fillId="2" borderId="0" xfId="0" applyFont="1" applyFill="1" applyAlignment="1">
      <alignment wrapText="1"/>
    </xf>
    <xf numFmtId="0" fontId="77" fillId="46" borderId="0" xfId="0" applyFont="1" applyFill="1" applyAlignment="1">
      <alignment horizontal="center" wrapText="1"/>
    </xf>
    <xf numFmtId="0" fontId="77" fillId="36" borderId="0" xfId="0" applyFont="1" applyFill="1" applyAlignment="1">
      <alignment wrapText="1"/>
    </xf>
    <xf numFmtId="0" fontId="98" fillId="58" borderId="0" xfId="0" applyFont="1" applyFill="1" applyAlignment="1">
      <alignment wrapText="1"/>
    </xf>
    <xf numFmtId="0" fontId="58" fillId="45" borderId="0" xfId="0" applyFont="1" applyFill="1" applyAlignment="1">
      <alignment horizontal="center" wrapText="1"/>
    </xf>
    <xf numFmtId="0" fontId="77" fillId="75" borderId="0" xfId="0" applyFont="1" applyFill="1" applyAlignment="1">
      <alignment horizontal="center" wrapText="1"/>
    </xf>
    <xf numFmtId="0" fontId="77" fillId="55" borderId="0" xfId="0" applyFont="1" applyFill="1" applyAlignment="1">
      <alignment wrapText="1"/>
    </xf>
    <xf numFmtId="0" fontId="276" fillId="66" borderId="0" xfId="0" applyFont="1" applyFill="1" applyAlignment="1">
      <alignment wrapText="1"/>
    </xf>
    <xf numFmtId="0" fontId="276" fillId="2" borderId="0" xfId="0" applyFont="1" applyFill="1" applyAlignment="1">
      <alignment wrapText="1"/>
    </xf>
    <xf numFmtId="0" fontId="277" fillId="24" borderId="0" xfId="0" applyFont="1" applyFill="1" applyAlignment="1">
      <alignment wrapText="1"/>
    </xf>
    <xf numFmtId="0" fontId="58" fillId="85" borderId="0" xfId="0" applyFont="1" applyFill="1"/>
    <xf numFmtId="0" fontId="275" fillId="58" borderId="0" xfId="0" applyFont="1" applyFill="1" applyAlignment="1">
      <alignment wrapText="1"/>
    </xf>
    <xf numFmtId="0" fontId="98" fillId="86" borderId="0" xfId="0" applyFont="1" applyFill="1" applyAlignment="1">
      <alignment wrapText="1"/>
    </xf>
    <xf numFmtId="0" fontId="275" fillId="86" borderId="0" xfId="0" applyFont="1" applyFill="1" applyAlignment="1">
      <alignment wrapText="1"/>
    </xf>
    <xf numFmtId="0" fontId="278" fillId="66" borderId="0" xfId="0" applyFont="1" applyFill="1" applyAlignment="1">
      <alignment wrapText="1"/>
    </xf>
    <xf numFmtId="0" fontId="278" fillId="2" borderId="0" xfId="0" applyFont="1" applyFill="1" applyAlignment="1">
      <alignment wrapText="1"/>
    </xf>
    <xf numFmtId="0" fontId="279" fillId="2" borderId="0" xfId="0" applyFont="1" applyFill="1" applyAlignment="1">
      <alignment wrapText="1"/>
    </xf>
    <xf numFmtId="0" fontId="279" fillId="66" borderId="0" xfId="0" applyFont="1" applyFill="1" applyAlignment="1">
      <alignment wrapText="1"/>
    </xf>
    <xf numFmtId="0" fontId="280" fillId="58" borderId="0" xfId="0" applyFont="1" applyFill="1" applyAlignment="1">
      <alignment wrapText="1"/>
    </xf>
    <xf numFmtId="0" fontId="62" fillId="58" borderId="0" xfId="0" applyFont="1" applyFill="1" applyAlignment="1">
      <alignment wrapText="1"/>
    </xf>
    <xf numFmtId="16" fontId="58" fillId="45" borderId="0" xfId="0" applyNumberFormat="1" applyFont="1" applyFill="1" applyAlignment="1">
      <alignment horizontal="center" wrapText="1"/>
    </xf>
    <xf numFmtId="14" fontId="98" fillId="66" borderId="0" xfId="0" applyNumberFormat="1" applyFont="1" applyFill="1" applyAlignment="1">
      <alignment wrapText="1"/>
    </xf>
    <xf numFmtId="0" fontId="98" fillId="2" borderId="248" xfId="0" applyFont="1" applyFill="1" applyBorder="1" applyAlignment="1">
      <alignment wrapText="1"/>
    </xf>
    <xf numFmtId="0" fontId="153" fillId="47" borderId="285" xfId="0" applyFont="1" applyFill="1" applyBorder="1" applyAlignment="1">
      <alignment horizontal="center" wrapText="1"/>
    </xf>
    <xf numFmtId="0" fontId="271" fillId="2" borderId="286" xfId="0" applyFont="1" applyFill="1" applyBorder="1" applyAlignment="1">
      <alignment wrapText="1"/>
    </xf>
    <xf numFmtId="0" fontId="98" fillId="66" borderId="249" xfId="0" applyFont="1" applyFill="1" applyBorder="1" applyAlignment="1">
      <alignment wrapText="1"/>
    </xf>
    <xf numFmtId="0" fontId="98" fillId="2" borderId="249" xfId="0" applyFont="1" applyFill="1" applyBorder="1" applyAlignment="1">
      <alignment wrapText="1"/>
    </xf>
    <xf numFmtId="0" fontId="98" fillId="2" borderId="288" xfId="0" applyFont="1" applyFill="1" applyBorder="1" applyAlignment="1">
      <alignment wrapText="1"/>
    </xf>
    <xf numFmtId="0" fontId="153" fillId="47" borderId="318" xfId="0" applyFont="1" applyFill="1" applyBorder="1" applyAlignment="1">
      <alignment horizontal="center" wrapText="1"/>
    </xf>
    <xf numFmtId="0" fontId="98" fillId="66" borderId="319" xfId="0" applyFont="1" applyFill="1" applyBorder="1" applyAlignment="1">
      <alignment wrapText="1"/>
    </xf>
    <xf numFmtId="0" fontId="153" fillId="47" borderId="320" xfId="0" applyFont="1" applyFill="1" applyBorder="1" applyAlignment="1">
      <alignment horizontal="center" wrapText="1"/>
    </xf>
    <xf numFmtId="0" fontId="81" fillId="66" borderId="322" xfId="0" applyFont="1" applyFill="1" applyBorder="1" applyAlignment="1">
      <alignment wrapText="1"/>
    </xf>
    <xf numFmtId="0" fontId="153" fillId="47" borderId="323" xfId="0" applyFont="1" applyFill="1" applyBorder="1" applyAlignment="1">
      <alignment horizontal="center" wrapText="1"/>
    </xf>
    <xf numFmtId="0" fontId="98" fillId="66" borderId="325" xfId="0" applyFont="1" applyFill="1" applyBorder="1" applyAlignment="1">
      <alignment wrapText="1"/>
    </xf>
    <xf numFmtId="0" fontId="273" fillId="71" borderId="0" xfId="0" applyFont="1" applyFill="1" applyAlignment="1">
      <alignment wrapText="1"/>
    </xf>
    <xf numFmtId="0" fontId="87" fillId="29" borderId="0" xfId="0" applyFont="1" applyFill="1" applyAlignment="1">
      <alignment wrapText="1"/>
    </xf>
    <xf numFmtId="0" fontId="85" fillId="70" borderId="0" xfId="0" applyFont="1" applyFill="1" applyAlignment="1">
      <alignment wrapText="1"/>
    </xf>
    <xf numFmtId="0" fontId="83" fillId="69" borderId="0" xfId="0" applyFont="1" applyFill="1" applyAlignment="1">
      <alignment wrapText="1"/>
    </xf>
    <xf numFmtId="0" fontId="274" fillId="30" borderId="248" xfId="0" applyFont="1" applyFill="1" applyBorder="1" applyAlignment="1">
      <alignment wrapText="1"/>
    </xf>
    <xf numFmtId="0" fontId="273" fillId="71" borderId="72" xfId="0" applyFont="1" applyFill="1" applyBorder="1" applyAlignment="1">
      <alignment wrapText="1"/>
    </xf>
    <xf numFmtId="0" fontId="87" fillId="29" borderId="72" xfId="0" applyFont="1" applyFill="1" applyBorder="1" applyAlignment="1">
      <alignment wrapText="1"/>
    </xf>
    <xf numFmtId="0" fontId="85" fillId="70" borderId="72" xfId="0" applyFont="1" applyFill="1" applyBorder="1" applyAlignment="1">
      <alignment wrapText="1"/>
    </xf>
    <xf numFmtId="0" fontId="83" fillId="69" borderId="72" xfId="0" applyFont="1" applyFill="1" applyBorder="1" applyAlignment="1">
      <alignment wrapText="1"/>
    </xf>
    <xf numFmtId="0" fontId="274" fillId="30" borderId="286" xfId="0" applyFont="1" applyFill="1" applyBorder="1" applyAlignment="1">
      <alignment wrapText="1"/>
    </xf>
    <xf numFmtId="0" fontId="273" fillId="71" borderId="249" xfId="0" applyFont="1" applyFill="1" applyBorder="1" applyAlignment="1">
      <alignment wrapText="1"/>
    </xf>
    <xf numFmtId="0" fontId="87" fillId="29" borderId="249" xfId="0" applyFont="1" applyFill="1" applyBorder="1" applyAlignment="1">
      <alignment wrapText="1"/>
    </xf>
    <xf numFmtId="0" fontId="85" fillId="70" borderId="249" xfId="0" applyFont="1" applyFill="1" applyBorder="1" applyAlignment="1">
      <alignment wrapText="1"/>
    </xf>
    <xf numFmtId="0" fontId="83" fillId="69" borderId="249" xfId="0" applyFont="1" applyFill="1" applyBorder="1" applyAlignment="1">
      <alignment wrapText="1"/>
    </xf>
    <xf numFmtId="0" fontId="274" fillId="30" borderId="288" xfId="0" applyFont="1" applyFill="1" applyBorder="1" applyAlignment="1">
      <alignment wrapText="1"/>
    </xf>
    <xf numFmtId="0" fontId="83" fillId="83" borderId="289" xfId="0" applyFont="1" applyFill="1" applyBorder="1" applyAlignment="1">
      <alignment wrapText="1"/>
    </xf>
    <xf numFmtId="0" fontId="83" fillId="83" borderId="0" xfId="0" applyFont="1" applyFill="1" applyAlignment="1">
      <alignment wrapText="1"/>
    </xf>
    <xf numFmtId="0" fontId="83" fillId="83" borderId="290" xfId="0" applyFont="1" applyFill="1" applyBorder="1" applyAlignment="1">
      <alignment wrapText="1"/>
    </xf>
    <xf numFmtId="0" fontId="83" fillId="83" borderId="291" xfId="0" applyFont="1" applyFill="1" applyBorder="1" applyAlignment="1">
      <alignment wrapText="1"/>
    </xf>
    <xf numFmtId="0" fontId="83" fillId="83" borderId="292" xfId="0" applyFont="1" applyFill="1" applyBorder="1" applyAlignment="1">
      <alignment wrapText="1"/>
    </xf>
    <xf numFmtId="0" fontId="83" fillId="83" borderId="293" xfId="0" applyFont="1" applyFill="1" applyBorder="1" applyAlignment="1">
      <alignment wrapText="1"/>
    </xf>
    <xf numFmtId="0" fontId="83" fillId="83" borderId="294" xfId="0" applyFont="1" applyFill="1" applyBorder="1" applyAlignment="1">
      <alignment wrapText="1"/>
    </xf>
    <xf numFmtId="0" fontId="83" fillId="83" borderId="295" xfId="0" applyFont="1" applyFill="1" applyBorder="1" applyAlignment="1">
      <alignment wrapText="1"/>
    </xf>
    <xf numFmtId="0" fontId="83" fillId="83" borderId="296" xfId="0" applyFont="1" applyFill="1" applyBorder="1" applyAlignment="1">
      <alignment wrapText="1"/>
    </xf>
    <xf numFmtId="0" fontId="98" fillId="83" borderId="318" xfId="0" applyFont="1" applyFill="1" applyBorder="1" applyAlignment="1">
      <alignment wrapText="1"/>
    </xf>
    <xf numFmtId="0" fontId="98" fillId="83" borderId="0" xfId="0" applyFont="1" applyFill="1" applyAlignment="1">
      <alignment wrapText="1"/>
    </xf>
    <xf numFmtId="0" fontId="98" fillId="83" borderId="319" xfId="0" applyFont="1" applyFill="1" applyBorder="1" applyAlignment="1">
      <alignment wrapText="1"/>
    </xf>
    <xf numFmtId="0" fontId="81" fillId="83" borderId="320" xfId="0" applyFont="1" applyFill="1" applyBorder="1" applyAlignment="1">
      <alignment wrapText="1"/>
    </xf>
    <xf numFmtId="0" fontId="81" fillId="58" borderId="321" xfId="0" applyFont="1" applyFill="1" applyBorder="1" applyAlignment="1">
      <alignment wrapText="1"/>
    </xf>
    <xf numFmtId="0" fontId="81" fillId="83" borderId="321" xfId="0" applyFont="1" applyFill="1" applyBorder="1" applyAlignment="1">
      <alignment wrapText="1"/>
    </xf>
    <xf numFmtId="0" fontId="81" fillId="83" borderId="322" xfId="0" applyFont="1" applyFill="1" applyBorder="1" applyAlignment="1">
      <alignment wrapText="1"/>
    </xf>
    <xf numFmtId="0" fontId="98" fillId="83" borderId="323" xfId="0" applyFont="1" applyFill="1" applyBorder="1" applyAlignment="1">
      <alignment wrapText="1"/>
    </xf>
    <xf numFmtId="0" fontId="98" fillId="58" borderId="324" xfId="0" applyFont="1" applyFill="1" applyBorder="1" applyAlignment="1">
      <alignment wrapText="1"/>
    </xf>
    <xf numFmtId="0" fontId="98" fillId="83" borderId="324" xfId="0" applyFont="1" applyFill="1" applyBorder="1" applyAlignment="1">
      <alignment wrapText="1"/>
    </xf>
    <xf numFmtId="0" fontId="98" fillId="83" borderId="325" xfId="0" applyFont="1" applyFill="1" applyBorder="1" applyAlignment="1">
      <alignment wrapText="1"/>
    </xf>
    <xf numFmtId="0" fontId="98" fillId="64" borderId="0" xfId="0" applyFont="1" applyFill="1" applyAlignment="1">
      <alignment wrapText="1"/>
    </xf>
    <xf numFmtId="0" fontId="273" fillId="57" borderId="0" xfId="0" applyFont="1" applyFill="1" applyAlignment="1">
      <alignment wrapText="1"/>
    </xf>
    <xf numFmtId="0" fontId="272" fillId="57" borderId="0" xfId="0" applyFont="1" applyFill="1" applyAlignment="1">
      <alignment wrapText="1"/>
    </xf>
    <xf numFmtId="0" fontId="98" fillId="66" borderId="248" xfId="0" applyFont="1" applyFill="1" applyBorder="1" applyAlignment="1">
      <alignment wrapText="1"/>
    </xf>
    <xf numFmtId="0" fontId="98" fillId="66" borderId="72" xfId="0" applyFont="1" applyFill="1" applyBorder="1" applyAlignment="1">
      <alignment wrapText="1"/>
    </xf>
    <xf numFmtId="0" fontId="98" fillId="2" borderId="72" xfId="0" applyFont="1" applyFill="1" applyBorder="1" applyAlignment="1">
      <alignment wrapText="1"/>
    </xf>
    <xf numFmtId="0" fontId="98" fillId="64" borderId="72" xfId="0" applyFont="1" applyFill="1" applyBorder="1" applyAlignment="1">
      <alignment wrapText="1"/>
    </xf>
    <xf numFmtId="0" fontId="273" fillId="57" borderId="72" xfId="0" applyFont="1" applyFill="1" applyBorder="1" applyAlignment="1">
      <alignment wrapText="1"/>
    </xf>
    <xf numFmtId="0" fontId="272" fillId="57" borderId="72" xfId="0" applyFont="1" applyFill="1" applyBorder="1" applyAlignment="1">
      <alignment wrapText="1"/>
    </xf>
    <xf numFmtId="0" fontId="98" fillId="66" borderId="286" xfId="0" applyFont="1" applyFill="1" applyBorder="1" applyAlignment="1">
      <alignment wrapText="1"/>
    </xf>
    <xf numFmtId="0" fontId="98" fillId="64" borderId="249" xfId="0" applyFont="1" applyFill="1" applyBorder="1" applyAlignment="1">
      <alignment wrapText="1"/>
    </xf>
    <xf numFmtId="0" fontId="273" fillId="57" borderId="249" xfId="0" applyFont="1" applyFill="1" applyBorder="1" applyAlignment="1">
      <alignment wrapText="1"/>
    </xf>
    <xf numFmtId="0" fontId="272" fillId="57" borderId="249" xfId="0" applyFont="1" applyFill="1" applyBorder="1" applyAlignment="1">
      <alignment wrapText="1"/>
    </xf>
    <xf numFmtId="0" fontId="98" fillId="66" borderId="288" xfId="0" applyFont="1" applyFill="1" applyBorder="1" applyAlignment="1">
      <alignment wrapText="1"/>
    </xf>
    <xf numFmtId="0" fontId="81" fillId="66" borderId="72" xfId="0" applyFont="1" applyFill="1" applyBorder="1" applyAlignment="1">
      <alignment wrapText="1"/>
    </xf>
    <xf numFmtId="0" fontId="81" fillId="2" borderId="72" xfId="0" applyFont="1" applyFill="1" applyBorder="1" applyAlignment="1">
      <alignment wrapText="1"/>
    </xf>
    <xf numFmtId="0" fontId="81" fillId="2" borderId="286" xfId="0" applyFont="1" applyFill="1" applyBorder="1" applyAlignment="1">
      <alignment wrapText="1"/>
    </xf>
    <xf numFmtId="0" fontId="149" fillId="66" borderId="248" xfId="0" applyFont="1" applyFill="1" applyBorder="1" applyAlignment="1">
      <alignment wrapText="1"/>
    </xf>
    <xf numFmtId="0" fontId="275" fillId="66" borderId="286" xfId="0" applyFont="1" applyFill="1" applyBorder="1" applyAlignment="1">
      <alignment wrapText="1"/>
    </xf>
    <xf numFmtId="0" fontId="98" fillId="71" borderId="286" xfId="0" applyFont="1" applyFill="1" applyBorder="1" applyAlignment="1">
      <alignment wrapText="1"/>
    </xf>
    <xf numFmtId="0" fontId="271" fillId="47" borderId="0" xfId="0" applyFont="1" applyFill="1" applyAlignment="1">
      <alignment wrapText="1"/>
    </xf>
    <xf numFmtId="0" fontId="271" fillId="47" borderId="72" xfId="0" applyFont="1" applyFill="1" applyBorder="1" applyAlignment="1">
      <alignment wrapText="1"/>
    </xf>
    <xf numFmtId="14" fontId="98" fillId="66" borderId="72" xfId="0" applyNumberFormat="1" applyFont="1" applyFill="1" applyBorder="1" applyAlignment="1">
      <alignment wrapText="1"/>
    </xf>
    <xf numFmtId="0" fontId="98" fillId="2" borderId="286" xfId="0" applyFont="1" applyFill="1" applyBorder="1" applyAlignment="1">
      <alignment wrapText="1"/>
    </xf>
    <xf numFmtId="0" fontId="271" fillId="47" borderId="249" xfId="0" applyFont="1" applyFill="1" applyBorder="1" applyAlignment="1">
      <alignment wrapText="1"/>
    </xf>
    <xf numFmtId="0" fontId="271" fillId="66" borderId="301" xfId="0" applyFont="1" applyFill="1" applyBorder="1" applyAlignment="1">
      <alignment wrapText="1"/>
    </xf>
    <xf numFmtId="0" fontId="98" fillId="66" borderId="164" xfId="0" applyFont="1" applyFill="1" applyBorder="1" applyAlignment="1">
      <alignment wrapText="1"/>
    </xf>
    <xf numFmtId="0" fontId="98" fillId="66" borderId="302" xfId="0" applyFont="1" applyFill="1" applyBorder="1" applyAlignment="1">
      <alignment wrapText="1"/>
    </xf>
    <xf numFmtId="0" fontId="271" fillId="66" borderId="303" xfId="0" applyFont="1" applyFill="1" applyBorder="1" applyAlignment="1">
      <alignment wrapText="1"/>
    </xf>
    <xf numFmtId="0" fontId="98" fillId="66" borderId="259" xfId="0" applyFont="1" applyFill="1" applyBorder="1" applyAlignment="1">
      <alignment wrapText="1"/>
    </xf>
    <xf numFmtId="0" fontId="98" fillId="66" borderId="304" xfId="0" applyFont="1" applyFill="1" applyBorder="1" applyAlignment="1">
      <alignment wrapText="1"/>
    </xf>
    <xf numFmtId="0" fontId="98" fillId="2" borderId="164" xfId="0" applyFont="1" applyFill="1" applyBorder="1" applyAlignment="1">
      <alignment wrapText="1"/>
    </xf>
    <xf numFmtId="0" fontId="98" fillId="2" borderId="302" xfId="0" applyFont="1" applyFill="1" applyBorder="1" applyAlignment="1">
      <alignment wrapText="1"/>
    </xf>
    <xf numFmtId="0" fontId="271" fillId="2" borderId="303" xfId="0" applyFont="1" applyFill="1" applyBorder="1" applyAlignment="1">
      <alignment wrapText="1"/>
    </xf>
    <xf numFmtId="0" fontId="98" fillId="2" borderId="259" xfId="0" applyFont="1" applyFill="1" applyBorder="1" applyAlignment="1">
      <alignment wrapText="1"/>
    </xf>
    <xf numFmtId="0" fontId="98" fillId="2" borderId="304" xfId="0" applyFont="1" applyFill="1" applyBorder="1" applyAlignment="1">
      <alignment wrapText="1"/>
    </xf>
    <xf numFmtId="0" fontId="81" fillId="66" borderId="331" xfId="0" applyFont="1" applyFill="1" applyBorder="1" applyAlignment="1">
      <alignment wrapText="1"/>
    </xf>
    <xf numFmtId="0" fontId="98" fillId="66" borderId="332" xfId="0" applyFont="1" applyFill="1" applyBorder="1" applyAlignment="1">
      <alignment wrapText="1"/>
    </xf>
    <xf numFmtId="0" fontId="81" fillId="2" borderId="329" xfId="0" applyFont="1" applyFill="1" applyBorder="1" applyAlignment="1">
      <alignment wrapText="1"/>
    </xf>
    <xf numFmtId="0" fontId="98" fillId="2" borderId="330" xfId="0" applyFont="1" applyFill="1" applyBorder="1" applyAlignment="1">
      <alignment wrapText="1"/>
    </xf>
    <xf numFmtId="0" fontId="81" fillId="2" borderId="331" xfId="0" applyFont="1" applyFill="1" applyBorder="1" applyAlignment="1">
      <alignment wrapText="1"/>
    </xf>
    <xf numFmtId="0" fontId="98" fillId="2" borderId="332" xfId="0" applyFont="1" applyFill="1" applyBorder="1" applyAlignment="1">
      <alignment wrapText="1"/>
    </xf>
    <xf numFmtId="0" fontId="149" fillId="2" borderId="164" xfId="0" applyFont="1" applyFill="1" applyBorder="1" applyAlignment="1">
      <alignment wrapText="1"/>
    </xf>
    <xf numFmtId="0" fontId="274" fillId="2" borderId="303" xfId="0" applyFont="1" applyFill="1" applyBorder="1" applyAlignment="1">
      <alignment wrapText="1"/>
    </xf>
    <xf numFmtId="0" fontId="149" fillId="2" borderId="259" xfId="0" applyFont="1" applyFill="1" applyBorder="1" applyAlignment="1">
      <alignment wrapText="1"/>
    </xf>
    <xf numFmtId="0" fontId="274" fillId="66" borderId="303" xfId="0" applyFont="1" applyFill="1" applyBorder="1" applyAlignment="1">
      <alignment wrapText="1"/>
    </xf>
    <xf numFmtId="0" fontId="149" fillId="66" borderId="259" xfId="0" applyFont="1" applyFill="1" applyBorder="1" applyAlignment="1">
      <alignment wrapText="1"/>
    </xf>
    <xf numFmtId="0" fontId="77" fillId="76" borderId="303" xfId="0" applyFont="1" applyFill="1" applyBorder="1"/>
    <xf numFmtId="0" fontId="77" fillId="76" borderId="259" xfId="0" applyFont="1" applyFill="1" applyBorder="1"/>
    <xf numFmtId="0" fontId="77" fillId="76" borderId="304" xfId="0" applyFont="1" applyFill="1" applyBorder="1"/>
    <xf numFmtId="0" fontId="83" fillId="2" borderId="303" xfId="0" applyFont="1" applyFill="1" applyBorder="1" applyAlignment="1">
      <alignment wrapText="1"/>
    </xf>
    <xf numFmtId="0" fontId="83" fillId="66" borderId="303" xfId="0" applyFont="1" applyFill="1" applyBorder="1" applyAlignment="1">
      <alignment wrapText="1"/>
    </xf>
    <xf numFmtId="0" fontId="77" fillId="84" borderId="303" xfId="0" applyFont="1" applyFill="1" applyBorder="1" applyAlignment="1">
      <alignment wrapText="1"/>
    </xf>
    <xf numFmtId="0" fontId="77" fillId="84" borderId="259" xfId="0" applyFont="1" applyFill="1" applyBorder="1" applyAlignment="1">
      <alignment wrapText="1"/>
    </xf>
    <xf numFmtId="0" fontId="77" fillId="84" borderId="304" xfId="0" applyFont="1" applyFill="1" applyBorder="1" applyAlignment="1">
      <alignment wrapText="1"/>
    </xf>
    <xf numFmtId="0" fontId="275" fillId="2" borderId="301" xfId="0" applyFont="1" applyFill="1" applyBorder="1" applyAlignment="1">
      <alignment wrapText="1"/>
    </xf>
    <xf numFmtId="0" fontId="275" fillId="2" borderId="303" xfId="0" applyFont="1" applyFill="1" applyBorder="1" applyAlignment="1">
      <alignment wrapText="1"/>
    </xf>
    <xf numFmtId="0" fontId="275" fillId="66" borderId="303" xfId="0" applyFont="1" applyFill="1" applyBorder="1" applyAlignment="1">
      <alignment wrapText="1"/>
    </xf>
    <xf numFmtId="0" fontId="98" fillId="69" borderId="303" xfId="0" applyFont="1" applyFill="1" applyBorder="1" applyAlignment="1">
      <alignment wrapText="1"/>
    </xf>
    <xf numFmtId="0" fontId="98" fillId="69" borderId="259" xfId="0" applyFont="1" applyFill="1" applyBorder="1" applyAlignment="1">
      <alignment wrapText="1"/>
    </xf>
    <xf numFmtId="0" fontId="98" fillId="69" borderId="304" xfId="0" applyFont="1" applyFill="1" applyBorder="1" applyAlignment="1">
      <alignment wrapText="1"/>
    </xf>
    <xf numFmtId="0" fontId="149" fillId="70" borderId="303" xfId="0" applyFont="1" applyFill="1" applyBorder="1" applyAlignment="1">
      <alignment wrapText="1"/>
    </xf>
    <xf numFmtId="0" fontId="149" fillId="70" borderId="259" xfId="0" applyFont="1" applyFill="1" applyBorder="1" applyAlignment="1">
      <alignment wrapText="1"/>
    </xf>
    <xf numFmtId="0" fontId="149" fillId="70" borderId="304" xfId="0" applyFont="1" applyFill="1" applyBorder="1" applyAlignment="1">
      <alignment wrapText="1"/>
    </xf>
    <xf numFmtId="0" fontId="98" fillId="29" borderId="301" xfId="0" applyFont="1" applyFill="1" applyBorder="1" applyAlignment="1">
      <alignment wrapText="1"/>
    </xf>
    <xf numFmtId="0" fontId="98" fillId="29" borderId="164" xfId="0" applyFont="1" applyFill="1" applyBorder="1" applyAlignment="1">
      <alignment wrapText="1"/>
    </xf>
    <xf numFmtId="0" fontId="98" fillId="29" borderId="302" xfId="0" applyFont="1" applyFill="1" applyBorder="1" applyAlignment="1">
      <alignment wrapText="1"/>
    </xf>
    <xf numFmtId="0" fontId="69" fillId="32" borderId="15" xfId="0" applyFont="1" applyFill="1" applyBorder="1" applyAlignment="1">
      <alignment vertical="top" wrapText="1"/>
    </xf>
    <xf numFmtId="0" fontId="28" fillId="72" borderId="0" xfId="0" applyFont="1" applyFill="1" applyAlignment="1">
      <alignment horizontal="center" vertical="center" wrapText="1"/>
    </xf>
    <xf numFmtId="0" fontId="29" fillId="72" borderId="15" xfId="0" applyFont="1" applyFill="1" applyBorder="1" applyAlignment="1">
      <alignment horizontal="center" vertical="center" wrapText="1"/>
    </xf>
    <xf numFmtId="0" fontId="29" fillId="72" borderId="16" xfId="0" applyFont="1" applyFill="1" applyBorder="1" applyAlignment="1">
      <alignment horizontal="center" vertical="center" wrapText="1"/>
    </xf>
    <xf numFmtId="0" fontId="27" fillId="72" borderId="15" xfId="0" applyFont="1" applyFill="1" applyBorder="1" applyAlignment="1">
      <alignment vertical="top" wrapText="1"/>
    </xf>
    <xf numFmtId="0" fontId="27" fillId="72" borderId="16" xfId="0" applyFont="1" applyFill="1" applyBorder="1" applyAlignment="1">
      <alignment vertical="top" wrapText="1"/>
    </xf>
    <xf numFmtId="0" fontId="27" fillId="72" borderId="15" xfId="0" applyFont="1" applyFill="1" applyBorder="1" applyAlignment="1">
      <alignment wrapText="1"/>
    </xf>
    <xf numFmtId="0" fontId="27" fillId="72" borderId="16" xfId="0" applyFont="1" applyFill="1" applyBorder="1" applyAlignment="1">
      <alignment wrapText="1"/>
    </xf>
    <xf numFmtId="0" fontId="27" fillId="72" borderId="17" xfId="0" applyFont="1" applyFill="1" applyBorder="1" applyAlignment="1">
      <alignment wrapText="1"/>
    </xf>
    <xf numFmtId="0" fontId="27" fillId="72" borderId="18" xfId="0" applyFont="1" applyFill="1" applyBorder="1" applyAlignment="1">
      <alignment wrapText="1"/>
    </xf>
    <xf numFmtId="9" fontId="98" fillId="2" borderId="15" xfId="0" applyNumberFormat="1" applyFont="1" applyFill="1" applyBorder="1" applyAlignment="1">
      <alignment wrapText="1"/>
    </xf>
    <xf numFmtId="0" fontId="98" fillId="2" borderId="15" xfId="0" applyFont="1" applyFill="1" applyBorder="1" applyAlignment="1">
      <alignment vertical="top" wrapText="1"/>
    </xf>
    <xf numFmtId="0" fontId="98" fillId="66" borderId="15" xfId="0" applyFont="1" applyFill="1" applyBorder="1" applyAlignment="1">
      <alignment wrapText="1"/>
    </xf>
    <xf numFmtId="16" fontId="98" fillId="66" borderId="15" xfId="0" applyNumberFormat="1" applyFont="1" applyFill="1" applyBorder="1" applyAlignment="1">
      <alignment wrapText="1"/>
    </xf>
    <xf numFmtId="9" fontId="98" fillId="66" borderId="15" xfId="0" applyNumberFormat="1" applyFont="1" applyFill="1" applyBorder="1" applyAlignment="1">
      <alignment wrapText="1"/>
    </xf>
    <xf numFmtId="0" fontId="98" fillId="66" borderId="15" xfId="0" applyFont="1" applyFill="1" applyBorder="1" applyAlignment="1">
      <alignment vertical="top" wrapText="1"/>
    </xf>
    <xf numFmtId="0" fontId="281" fillId="66" borderId="15" xfId="0" applyFont="1" applyFill="1" applyBorder="1" applyAlignment="1">
      <alignment horizontal="center" wrapText="1"/>
    </xf>
    <xf numFmtId="16" fontId="98" fillId="2" borderId="15" xfId="0" applyNumberFormat="1" applyFont="1" applyFill="1" applyBorder="1" applyAlignment="1">
      <alignment vertical="top" wrapText="1"/>
    </xf>
    <xf numFmtId="0" fontId="281" fillId="2" borderId="15" xfId="0" applyFont="1" applyFill="1" applyBorder="1" applyAlignment="1">
      <alignment horizontal="center" wrapText="1"/>
    </xf>
    <xf numFmtId="0" fontId="77" fillId="2" borderId="15" xfId="0" applyFont="1" applyFill="1" applyBorder="1" applyAlignment="1">
      <alignment vertical="top" wrapText="1"/>
    </xf>
    <xf numFmtId="0" fontId="153" fillId="47" borderId="257" xfId="0" applyFont="1" applyFill="1" applyBorder="1" applyAlignment="1">
      <alignment horizontal="center" vertical="center" wrapText="1"/>
    </xf>
    <xf numFmtId="0" fontId="29" fillId="72" borderId="40" xfId="0" applyFont="1" applyFill="1" applyBorder="1" applyAlignment="1">
      <alignment horizontal="center" vertical="center" wrapText="1"/>
    </xf>
    <xf numFmtId="0" fontId="27" fillId="72" borderId="40" xfId="0" applyFont="1" applyFill="1" applyBorder="1" applyAlignment="1">
      <alignment vertical="top" wrapText="1"/>
    </xf>
    <xf numFmtId="0" fontId="47" fillId="2" borderId="30" xfId="0" applyFont="1" applyFill="1" applyBorder="1" applyAlignment="1">
      <alignment vertical="top" wrapText="1"/>
    </xf>
    <xf numFmtId="0" fontId="47" fillId="2" borderId="28" xfId="0" applyFont="1" applyFill="1" applyBorder="1" applyAlignment="1">
      <alignment vertical="top" wrapText="1"/>
    </xf>
    <xf numFmtId="0" fontId="47" fillId="32" borderId="81" xfId="0" applyFont="1" applyFill="1" applyBorder="1" applyAlignment="1">
      <alignment vertical="top" wrapText="1"/>
    </xf>
    <xf numFmtId="0" fontId="58" fillId="33" borderId="81" xfId="0" applyFont="1" applyFill="1" applyBorder="1" applyAlignment="1">
      <alignment vertical="top" wrapText="1"/>
    </xf>
    <xf numFmtId="0" fontId="153" fillId="47" borderId="335" xfId="0" applyFont="1" applyFill="1" applyBorder="1" applyAlignment="1">
      <alignment horizontal="center" vertical="center" wrapText="1"/>
    </xf>
    <xf numFmtId="0" fontId="47" fillId="32" borderId="82" xfId="0" applyFont="1" applyFill="1" applyBorder="1" applyAlignment="1">
      <alignment vertical="top" wrapText="1"/>
    </xf>
    <xf numFmtId="0" fontId="47" fillId="32" borderId="336" xfId="0" applyFont="1" applyFill="1" applyBorder="1" applyAlignment="1">
      <alignment vertical="top" wrapText="1"/>
    </xf>
    <xf numFmtId="0" fontId="153" fillId="47" borderId="337" xfId="0" applyFont="1" applyFill="1" applyBorder="1" applyAlignment="1">
      <alignment horizontal="center" vertical="center" wrapText="1"/>
    </xf>
    <xf numFmtId="0" fontId="47" fillId="2" borderId="83" xfId="0" applyFont="1" applyFill="1" applyBorder="1" applyAlignment="1">
      <alignment vertical="top" wrapText="1"/>
    </xf>
    <xf numFmtId="0" fontId="47" fillId="32" borderId="83" xfId="0" applyFont="1" applyFill="1" applyBorder="1" applyAlignment="1">
      <alignment vertical="top" wrapText="1"/>
    </xf>
    <xf numFmtId="0" fontId="47" fillId="32" borderId="338" xfId="0" applyFont="1" applyFill="1" applyBorder="1" applyAlignment="1">
      <alignment vertical="top" wrapText="1"/>
    </xf>
    <xf numFmtId="0" fontId="47" fillId="32" borderId="30" xfId="0" applyFont="1" applyFill="1" applyBorder="1" applyAlignment="1">
      <alignment vertical="top" wrapText="1"/>
    </xf>
    <xf numFmtId="0" fontId="47" fillId="32" borderId="28" xfId="0" applyFont="1" applyFill="1" applyBorder="1" applyAlignment="1">
      <alignment vertical="top" wrapText="1"/>
    </xf>
    <xf numFmtId="0" fontId="47" fillId="32" borderId="30" xfId="0" applyFont="1" applyFill="1" applyBorder="1" applyAlignment="1">
      <alignment wrapText="1"/>
    </xf>
    <xf numFmtId="0" fontId="47" fillId="32" borderId="28" xfId="0" applyFont="1" applyFill="1" applyBorder="1" applyAlignment="1">
      <alignment wrapText="1"/>
    </xf>
    <xf numFmtId="0" fontId="47" fillId="2" borderId="81" xfId="0" applyFont="1" applyFill="1" applyBorder="1" applyAlignment="1">
      <alignment wrapText="1"/>
    </xf>
    <xf numFmtId="0" fontId="47" fillId="2" borderId="81" xfId="0" applyFont="1" applyFill="1" applyBorder="1" applyAlignment="1">
      <alignment vertical="top" wrapText="1"/>
    </xf>
    <xf numFmtId="0" fontId="69" fillId="2" borderId="336" xfId="0" applyFont="1" applyFill="1" applyBorder="1" applyAlignment="1">
      <alignment wrapText="1"/>
    </xf>
    <xf numFmtId="0" fontId="58" fillId="33" borderId="338" xfId="0" applyFont="1" applyFill="1" applyBorder="1" applyAlignment="1">
      <alignment wrapText="1"/>
    </xf>
    <xf numFmtId="0" fontId="98" fillId="2" borderId="82" xfId="0" applyFont="1" applyFill="1" applyBorder="1" applyAlignment="1">
      <alignment wrapText="1"/>
    </xf>
    <xf numFmtId="0" fontId="98" fillId="66" borderId="82" xfId="0" applyFont="1" applyFill="1" applyBorder="1" applyAlignment="1">
      <alignment wrapText="1"/>
    </xf>
    <xf numFmtId="0" fontId="98" fillId="2" borderId="83" xfId="0" applyFont="1" applyFill="1" applyBorder="1" applyAlignment="1">
      <alignment wrapText="1"/>
    </xf>
    <xf numFmtId="0" fontId="98" fillId="66" borderId="83" xfId="0" applyFont="1" applyFill="1" applyBorder="1" applyAlignment="1">
      <alignment wrapText="1"/>
    </xf>
    <xf numFmtId="0" fontId="47" fillId="2" borderId="30" xfId="0" applyFont="1" applyFill="1" applyBorder="1" applyAlignment="1">
      <alignment wrapText="1"/>
    </xf>
    <xf numFmtId="16" fontId="47" fillId="2" borderId="28" xfId="0" applyNumberFormat="1" applyFont="1" applyFill="1" applyBorder="1" applyAlignment="1">
      <alignment wrapText="1"/>
    </xf>
    <xf numFmtId="9" fontId="47" fillId="2" borderId="28" xfId="0" applyNumberFormat="1" applyFont="1" applyFill="1" applyBorder="1" applyAlignment="1">
      <alignment wrapText="1"/>
    </xf>
    <xf numFmtId="0" fontId="47" fillId="2" borderId="28" xfId="0" applyFont="1" applyFill="1" applyBorder="1" applyAlignment="1">
      <alignment wrapText="1"/>
    </xf>
    <xf numFmtId="16" fontId="47" fillId="2" borderId="257" xfId="0" applyNumberFormat="1" applyFont="1" applyFill="1" applyBorder="1" applyAlignment="1">
      <alignment horizontal="center" wrapText="1"/>
    </xf>
    <xf numFmtId="9" fontId="47" fillId="2" borderId="257" xfId="0" applyNumberFormat="1" applyFont="1" applyFill="1" applyBorder="1" applyAlignment="1">
      <alignment horizontal="center" wrapText="1"/>
    </xf>
    <xf numFmtId="0" fontId="47" fillId="2" borderId="257" xfId="0" applyFont="1" applyFill="1" applyBorder="1" applyAlignment="1">
      <alignment horizontal="center" wrapText="1"/>
    </xf>
    <xf numFmtId="16" fontId="273" fillId="57" borderId="81" xfId="0" applyNumberFormat="1" applyFont="1" applyFill="1" applyBorder="1" applyAlignment="1">
      <alignment wrapText="1"/>
    </xf>
    <xf numFmtId="9" fontId="273" fillId="57" borderId="81" xfId="0" applyNumberFormat="1" applyFont="1" applyFill="1" applyBorder="1" applyAlignment="1">
      <alignment wrapText="1"/>
    </xf>
    <xf numFmtId="0" fontId="273" fillId="57" borderId="81" xfId="0" applyFont="1" applyFill="1" applyBorder="1" applyAlignment="1">
      <alignment vertical="top" wrapText="1"/>
    </xf>
    <xf numFmtId="0" fontId="273" fillId="57" borderId="81" xfId="0" applyFont="1" applyFill="1" applyBorder="1" applyAlignment="1">
      <alignment wrapText="1"/>
    </xf>
    <xf numFmtId="0" fontId="273" fillId="57" borderId="81" xfId="0" applyFont="1" applyFill="1" applyBorder="1" applyAlignment="1">
      <alignment horizontal="center" wrapText="1"/>
    </xf>
    <xf numFmtId="0" fontId="47" fillId="2" borderId="335" xfId="0" applyFont="1" applyFill="1" applyBorder="1" applyAlignment="1">
      <alignment horizontal="center" wrapText="1"/>
    </xf>
    <xf numFmtId="0" fontId="273" fillId="57" borderId="336" xfId="0" applyFont="1" applyFill="1" applyBorder="1" applyAlignment="1">
      <alignment wrapText="1"/>
    </xf>
    <xf numFmtId="0" fontId="47" fillId="2" borderId="337" xfId="0" applyFont="1" applyFill="1" applyBorder="1" applyAlignment="1">
      <alignment horizontal="center" wrapText="1"/>
    </xf>
    <xf numFmtId="0" fontId="273" fillId="57" borderId="338" xfId="0" applyFont="1" applyFill="1" applyBorder="1" applyAlignment="1">
      <alignment wrapText="1"/>
    </xf>
    <xf numFmtId="0" fontId="98" fillId="32" borderId="28" xfId="0" applyFont="1" applyFill="1" applyBorder="1" applyAlignment="1">
      <alignment vertical="top" wrapText="1"/>
    </xf>
    <xf numFmtId="0" fontId="153" fillId="47" borderId="340" xfId="0" applyFont="1" applyFill="1" applyBorder="1" applyAlignment="1">
      <alignment horizontal="center" vertical="top" wrapText="1"/>
    </xf>
    <xf numFmtId="0" fontId="153" fillId="47" borderId="341" xfId="0" applyFont="1" applyFill="1" applyBorder="1" applyAlignment="1">
      <alignment horizontal="center" vertical="top" wrapText="1"/>
    </xf>
    <xf numFmtId="0" fontId="153" fillId="47" borderId="342" xfId="0" applyFont="1" applyFill="1" applyBorder="1" applyAlignment="1">
      <alignment horizontal="center" vertical="top" wrapText="1"/>
    </xf>
    <xf numFmtId="0" fontId="149" fillId="32" borderId="343" xfId="0" applyFont="1" applyFill="1" applyBorder="1" applyAlignment="1">
      <alignment vertical="top" wrapText="1"/>
    </xf>
    <xf numFmtId="0" fontId="98" fillId="32" borderId="99" xfId="0" applyFont="1" applyFill="1" applyBorder="1" applyAlignment="1">
      <alignment vertical="top" wrapText="1"/>
    </xf>
    <xf numFmtId="169" fontId="98" fillId="32" borderId="99" xfId="0" applyNumberFormat="1" applyFont="1" applyFill="1" applyBorder="1" applyAlignment="1">
      <alignment horizontal="right" vertical="top" wrapText="1"/>
    </xf>
    <xf numFmtId="0" fontId="98" fillId="32" borderId="99" xfId="0" applyFont="1" applyFill="1" applyBorder="1" applyAlignment="1">
      <alignment horizontal="right" vertical="top" wrapText="1"/>
    </xf>
    <xf numFmtId="0" fontId="98" fillId="32" borderId="344" xfId="0" applyFont="1" applyFill="1" applyBorder="1" applyAlignment="1">
      <alignment vertical="top" wrapText="1"/>
    </xf>
    <xf numFmtId="0" fontId="149" fillId="32" borderId="345" xfId="0" applyFont="1" applyFill="1" applyBorder="1" applyAlignment="1">
      <alignment vertical="top" wrapText="1"/>
    </xf>
    <xf numFmtId="0" fontId="98" fillId="32" borderId="346" xfId="0" applyFont="1" applyFill="1" applyBorder="1" applyAlignment="1">
      <alignment vertical="top" wrapText="1"/>
    </xf>
    <xf numFmtId="169" fontId="98" fillId="32" borderId="346" xfId="0" applyNumberFormat="1" applyFont="1" applyFill="1" applyBorder="1" applyAlignment="1">
      <alignment horizontal="right" vertical="top" wrapText="1"/>
    </xf>
    <xf numFmtId="0" fontId="77" fillId="36" borderId="346" xfId="0" applyFont="1" applyFill="1" applyBorder="1" applyAlignment="1">
      <alignment horizontal="center" vertical="top" wrapText="1"/>
    </xf>
    <xf numFmtId="0" fontId="77" fillId="33" borderId="346" xfId="0" applyFont="1" applyFill="1" applyBorder="1" applyAlignment="1">
      <alignment vertical="top" wrapText="1"/>
    </xf>
    <xf numFmtId="0" fontId="77" fillId="36" borderId="346" xfId="0" applyFont="1" applyFill="1" applyBorder="1" applyAlignment="1">
      <alignment vertical="top" wrapText="1"/>
    </xf>
    <xf numFmtId="0" fontId="84" fillId="32" borderId="346" xfId="0" applyFont="1" applyFill="1" applyBorder="1" applyAlignment="1">
      <alignment vertical="top" wrapText="1"/>
    </xf>
    <xf numFmtId="0" fontId="98" fillId="32" borderId="346" xfId="0" applyFont="1" applyFill="1" applyBorder="1" applyAlignment="1">
      <alignment horizontal="right" vertical="top" wrapText="1"/>
    </xf>
    <xf numFmtId="0" fontId="98" fillId="32" borderId="347" xfId="0" applyFont="1" applyFill="1" applyBorder="1" applyAlignment="1">
      <alignment vertical="top" wrapText="1"/>
    </xf>
    <xf numFmtId="0" fontId="149" fillId="2" borderId="345" xfId="0" applyFont="1" applyFill="1" applyBorder="1" applyAlignment="1">
      <alignment vertical="top" wrapText="1"/>
    </xf>
    <xf numFmtId="0" fontId="98" fillId="2" borderId="346" xfId="0" applyFont="1" applyFill="1" applyBorder="1" applyAlignment="1">
      <alignment vertical="top" wrapText="1"/>
    </xf>
    <xf numFmtId="169" fontId="98" fillId="2" borderId="346" xfId="0" applyNumberFormat="1" applyFont="1" applyFill="1" applyBorder="1" applyAlignment="1">
      <alignment horizontal="right" vertical="top" wrapText="1"/>
    </xf>
    <xf numFmtId="0" fontId="77" fillId="33" borderId="346" xfId="0" applyFont="1" applyFill="1" applyBorder="1" applyAlignment="1">
      <alignment horizontal="center" vertical="top" wrapText="1"/>
    </xf>
    <xf numFmtId="0" fontId="237" fillId="2" borderId="346" xfId="0" applyFont="1" applyFill="1" applyBorder="1" applyAlignment="1">
      <alignment vertical="top" wrapText="1"/>
    </xf>
    <xf numFmtId="0" fontId="77" fillId="34" borderId="346" xfId="0" applyFont="1" applyFill="1" applyBorder="1" applyAlignment="1">
      <alignment vertical="top" wrapText="1"/>
    </xf>
    <xf numFmtId="0" fontId="84" fillId="2" borderId="346" xfId="0" applyFont="1" applyFill="1" applyBorder="1" applyAlignment="1">
      <alignment vertical="top" wrapText="1"/>
    </xf>
    <xf numFmtId="0" fontId="98" fillId="2" borderId="346" xfId="0" applyFont="1" applyFill="1" applyBorder="1" applyAlignment="1">
      <alignment horizontal="right" vertical="top" wrapText="1"/>
    </xf>
    <xf numFmtId="0" fontId="98" fillId="2" borderId="347" xfId="0" applyFont="1" applyFill="1" applyBorder="1" applyAlignment="1">
      <alignment vertical="top" wrapText="1"/>
    </xf>
    <xf numFmtId="0" fontId="237" fillId="32" borderId="99" xfId="0" applyFont="1" applyFill="1" applyBorder="1" applyAlignment="1">
      <alignment vertical="top" wrapText="1"/>
    </xf>
    <xf numFmtId="0" fontId="237" fillId="32" borderId="346" xfId="0" applyFont="1" applyFill="1" applyBorder="1" applyAlignment="1">
      <alignment vertical="top" wrapText="1"/>
    </xf>
    <xf numFmtId="0" fontId="237" fillId="2" borderId="346" xfId="0" applyFont="1" applyFill="1" applyBorder="1" applyAlignment="1">
      <alignment horizontal="center" vertical="top" wrapText="1"/>
    </xf>
    <xf numFmtId="0" fontId="237" fillId="32" borderId="99" xfId="0" applyFont="1" applyFill="1" applyBorder="1" applyAlignment="1">
      <alignment horizontal="center" vertical="top" wrapText="1"/>
    </xf>
    <xf numFmtId="0" fontId="237" fillId="32" borderId="346" xfId="0" applyFont="1" applyFill="1" applyBorder="1" applyAlignment="1">
      <alignment horizontal="center" vertical="top" wrapText="1"/>
    </xf>
    <xf numFmtId="0" fontId="149" fillId="2" borderId="348" xfId="0" applyFont="1" applyFill="1" applyBorder="1" applyAlignment="1">
      <alignment vertical="top" wrapText="1"/>
    </xf>
    <xf numFmtId="0" fontId="98" fillId="2" borderId="175" xfId="0" applyFont="1" applyFill="1" applyBorder="1" applyAlignment="1">
      <alignment vertical="top" wrapText="1"/>
    </xf>
    <xf numFmtId="169" fontId="98" fillId="2" borderId="175" xfId="0" applyNumberFormat="1" applyFont="1" applyFill="1" applyBorder="1" applyAlignment="1">
      <alignment horizontal="right" vertical="top" wrapText="1"/>
    </xf>
    <xf numFmtId="0" fontId="237" fillId="2" borderId="175" xfId="0" applyFont="1" applyFill="1" applyBorder="1" applyAlignment="1">
      <alignment horizontal="center" vertical="top" wrapText="1"/>
    </xf>
    <xf numFmtId="0" fontId="281" fillId="2" borderId="175" xfId="0" applyFont="1" applyFill="1" applyBorder="1" applyAlignment="1">
      <alignment vertical="top" wrapText="1"/>
    </xf>
    <xf numFmtId="0" fontId="237" fillId="2" borderId="175" xfId="0" applyFont="1" applyFill="1" applyBorder="1" applyAlignment="1">
      <alignment vertical="top" wrapText="1"/>
    </xf>
    <xf numFmtId="0" fontId="98" fillId="2" borderId="175" xfId="0" applyFont="1" applyFill="1" applyBorder="1" applyAlignment="1">
      <alignment horizontal="right" vertical="top" wrapText="1"/>
    </xf>
    <xf numFmtId="0" fontId="98" fillId="2" borderId="349" xfId="0" applyFont="1" applyFill="1" applyBorder="1" applyAlignment="1">
      <alignment vertical="top" wrapText="1"/>
    </xf>
    <xf numFmtId="0" fontId="47" fillId="32" borderId="340" xfId="0" applyFont="1" applyFill="1" applyBorder="1" applyAlignment="1">
      <alignment horizontal="center" vertical="top" wrapText="1"/>
    </xf>
    <xf numFmtId="0" fontId="47" fillId="32" borderId="341" xfId="0" applyFont="1" applyFill="1" applyBorder="1" applyAlignment="1">
      <alignment horizontal="center" vertical="top" wrapText="1"/>
    </xf>
    <xf numFmtId="0" fontId="47" fillId="32" borderId="342" xfId="0" applyFont="1" applyFill="1" applyBorder="1" applyAlignment="1">
      <alignment horizontal="center" vertical="top" wrapText="1"/>
    </xf>
    <xf numFmtId="0" fontId="47" fillId="2" borderId="344" xfId="0" applyFont="1" applyFill="1" applyBorder="1" applyAlignment="1">
      <alignment vertical="top" wrapText="1"/>
    </xf>
    <xf numFmtId="0" fontId="58" fillId="36" borderId="345" xfId="0" applyFont="1" applyFill="1" applyBorder="1" applyAlignment="1">
      <alignment vertical="top" wrapText="1"/>
    </xf>
    <xf numFmtId="0" fontId="47" fillId="2" borderId="346" xfId="0" applyFont="1" applyFill="1" applyBorder="1" applyAlignment="1">
      <alignment vertical="top" wrapText="1"/>
    </xf>
    <xf numFmtId="0" fontId="47" fillId="2" borderId="347" xfId="0" applyFont="1" applyFill="1" applyBorder="1" applyAlignment="1">
      <alignment vertical="top" wrapText="1"/>
    </xf>
    <xf numFmtId="0" fontId="58" fillId="33" borderId="343" xfId="0" applyFont="1" applyFill="1" applyBorder="1" applyAlignment="1">
      <alignment vertical="top" wrapText="1"/>
    </xf>
    <xf numFmtId="0" fontId="58" fillId="33" borderId="345" xfId="0" applyFont="1" applyFill="1" applyBorder="1" applyAlignment="1">
      <alignment vertical="top" wrapText="1"/>
    </xf>
    <xf numFmtId="0" fontId="47" fillId="32" borderId="346" xfId="0" applyFont="1" applyFill="1" applyBorder="1" applyAlignment="1">
      <alignment vertical="top" wrapText="1"/>
    </xf>
    <xf numFmtId="0" fontId="47" fillId="32" borderId="347" xfId="0" applyFont="1" applyFill="1" applyBorder="1" applyAlignment="1">
      <alignment vertical="top" wrapText="1"/>
    </xf>
    <xf numFmtId="0" fontId="95" fillId="32" borderId="203" xfId="0" applyFont="1" applyFill="1" applyBorder="1" applyAlignment="1">
      <alignment wrapText="1"/>
    </xf>
    <xf numFmtId="0" fontId="47" fillId="32" borderId="204" xfId="0" applyFont="1" applyFill="1" applyBorder="1" applyAlignment="1">
      <alignment wrapText="1"/>
    </xf>
    <xf numFmtId="0" fontId="98" fillId="66" borderId="340" xfId="0" applyFont="1" applyFill="1" applyBorder="1" applyAlignment="1">
      <alignment wrapText="1"/>
    </xf>
    <xf numFmtId="0" fontId="98" fillId="66" borderId="341" xfId="0" applyFont="1" applyFill="1" applyBorder="1" applyAlignment="1">
      <alignment horizontal="right" wrapText="1"/>
    </xf>
    <xf numFmtId="0" fontId="98" fillId="66" borderId="341" xfId="0" applyFont="1" applyFill="1" applyBorder="1" applyAlignment="1">
      <alignment wrapText="1"/>
    </xf>
    <xf numFmtId="0" fontId="98" fillId="66" borderId="342" xfId="0" applyFont="1" applyFill="1" applyBorder="1" applyAlignment="1">
      <alignment wrapText="1"/>
    </xf>
    <xf numFmtId="0" fontId="77" fillId="2" borderId="345" xfId="0" applyFont="1" applyFill="1" applyBorder="1" applyAlignment="1">
      <alignment wrapText="1"/>
    </xf>
    <xf numFmtId="0" fontId="98" fillId="2" borderId="346" xfId="0" applyFont="1" applyFill="1" applyBorder="1" applyAlignment="1">
      <alignment horizontal="right" wrapText="1"/>
    </xf>
    <xf numFmtId="181" fontId="98" fillId="2" borderId="346" xfId="0" applyNumberFormat="1" applyFont="1" applyFill="1" applyBorder="1" applyAlignment="1">
      <alignment horizontal="right" wrapText="1"/>
    </xf>
    <xf numFmtId="0" fontId="98" fillId="2" borderId="347" xfId="0" applyFont="1" applyFill="1" applyBorder="1" applyAlignment="1">
      <alignment wrapText="1"/>
    </xf>
    <xf numFmtId="0" fontId="98" fillId="66" borderId="344" xfId="0" applyFont="1" applyFill="1" applyBorder="1" applyAlignment="1">
      <alignment wrapText="1"/>
    </xf>
    <xf numFmtId="0" fontId="77" fillId="66" borderId="345" xfId="0" applyFont="1" applyFill="1" applyBorder="1" applyAlignment="1">
      <alignment wrapText="1"/>
    </xf>
    <xf numFmtId="0" fontId="98" fillId="66" borderId="346" xfId="0" applyFont="1" applyFill="1" applyBorder="1" applyAlignment="1">
      <alignment horizontal="right" wrapText="1"/>
    </xf>
    <xf numFmtId="9" fontId="98" fillId="66" borderId="346" xfId="0" applyNumberFormat="1" applyFont="1" applyFill="1" applyBorder="1" applyAlignment="1">
      <alignment horizontal="right" wrapText="1"/>
    </xf>
    <xf numFmtId="0" fontId="98" fillId="66" borderId="347" xfId="0" applyFont="1" applyFill="1" applyBorder="1" applyAlignment="1">
      <alignment wrapText="1"/>
    </xf>
    <xf numFmtId="0" fontId="77" fillId="2" borderId="347" xfId="0" applyFont="1" applyFill="1" applyBorder="1" applyAlignment="1">
      <alignment wrapText="1"/>
    </xf>
    <xf numFmtId="0" fontId="102" fillId="66" borderId="345" xfId="0" applyFont="1" applyFill="1" applyBorder="1" applyAlignment="1">
      <alignment wrapText="1"/>
    </xf>
    <xf numFmtId="0" fontId="273" fillId="57" borderId="343" xfId="0" applyFont="1" applyFill="1" applyBorder="1" applyAlignment="1">
      <alignment wrapText="1"/>
    </xf>
    <xf numFmtId="0" fontId="273" fillId="57" borderId="345" xfId="0" applyFont="1" applyFill="1" applyBorder="1" applyAlignment="1">
      <alignment wrapText="1"/>
    </xf>
    <xf numFmtId="0" fontId="273" fillId="57" borderId="346" xfId="0" applyFont="1" applyFill="1" applyBorder="1" applyAlignment="1">
      <alignment horizontal="right" wrapText="1"/>
    </xf>
    <xf numFmtId="181" fontId="273" fillId="57" borderId="346" xfId="0" applyNumberFormat="1" applyFont="1" applyFill="1" applyBorder="1" applyAlignment="1">
      <alignment horizontal="right" wrapText="1"/>
    </xf>
    <xf numFmtId="0" fontId="273" fillId="57" borderId="347" xfId="0" applyFont="1" applyFill="1" applyBorder="1" applyAlignment="1">
      <alignment vertical="top" wrapText="1"/>
    </xf>
    <xf numFmtId="0" fontId="271" fillId="47" borderId="345" xfId="0" applyFont="1" applyFill="1" applyBorder="1" applyAlignment="1">
      <alignment wrapText="1"/>
    </xf>
    <xf numFmtId="10" fontId="271" fillId="47" borderId="346" xfId="0" applyNumberFormat="1" applyFont="1" applyFill="1" applyBorder="1" applyAlignment="1">
      <alignment horizontal="right" wrapText="1"/>
    </xf>
    <xf numFmtId="0" fontId="271" fillId="47" borderId="346" xfId="0" applyFont="1" applyFill="1" applyBorder="1" applyAlignment="1">
      <alignment wrapText="1"/>
    </xf>
    <xf numFmtId="0" fontId="271" fillId="47" borderId="347" xfId="0" applyFont="1" applyFill="1" applyBorder="1" applyAlignment="1">
      <alignment wrapText="1"/>
    </xf>
    <xf numFmtId="0" fontId="98" fillId="2" borderId="345" xfId="0" applyFont="1" applyFill="1" applyBorder="1" applyAlignment="1">
      <alignment wrapText="1"/>
    </xf>
    <xf numFmtId="10" fontId="98" fillId="2" borderId="346" xfId="0" applyNumberFormat="1" applyFont="1" applyFill="1" applyBorder="1" applyAlignment="1">
      <alignment horizontal="right" wrapText="1"/>
    </xf>
    <xf numFmtId="0" fontId="98" fillId="2" borderId="346" xfId="0" applyFont="1" applyFill="1" applyBorder="1" applyAlignment="1">
      <alignment wrapText="1"/>
    </xf>
    <xf numFmtId="0" fontId="98" fillId="2" borderId="348" xfId="0" applyFont="1" applyFill="1" applyBorder="1" applyAlignment="1">
      <alignment wrapText="1"/>
    </xf>
    <xf numFmtId="16" fontId="98" fillId="2" borderId="175" xfId="0" applyNumberFormat="1" applyFont="1" applyFill="1" applyBorder="1" applyAlignment="1">
      <alignment horizontal="left" vertical="top" wrapText="1"/>
    </xf>
    <xf numFmtId="181" fontId="98" fillId="2" borderId="175" xfId="0" applyNumberFormat="1" applyFont="1" applyFill="1" applyBorder="1" applyAlignment="1">
      <alignment horizontal="right" wrapText="1"/>
    </xf>
    <xf numFmtId="0" fontId="98" fillId="2" borderId="349" xfId="0" applyFont="1" applyFill="1" applyBorder="1" applyAlignment="1">
      <alignment wrapText="1"/>
    </xf>
    <xf numFmtId="0" fontId="98" fillId="66" borderId="343" xfId="0" applyFont="1" applyFill="1" applyBorder="1" applyAlignment="1">
      <alignment wrapText="1"/>
    </xf>
    <xf numFmtId="0" fontId="98" fillId="66" borderId="99" xfId="0" applyFont="1" applyFill="1" applyBorder="1" applyAlignment="1">
      <alignment wrapText="1"/>
    </xf>
    <xf numFmtId="181" fontId="98" fillId="66" borderId="99" xfId="0" applyNumberFormat="1" applyFont="1" applyFill="1" applyBorder="1" applyAlignment="1">
      <alignment horizontal="right" wrapText="1"/>
    </xf>
    <xf numFmtId="0" fontId="153" fillId="47" borderId="340" xfId="0" applyFont="1" applyFill="1" applyBorder="1" applyAlignment="1">
      <alignment horizontal="center" wrapText="1"/>
    </xf>
    <xf numFmtId="16" fontId="153" fillId="47" borderId="341" xfId="0" applyNumberFormat="1" applyFont="1" applyFill="1" applyBorder="1" applyAlignment="1">
      <alignment horizontal="center" wrapText="1"/>
    </xf>
    <xf numFmtId="9" fontId="153" fillId="47" borderId="342" xfId="0" applyNumberFormat="1" applyFont="1" applyFill="1" applyBorder="1" applyAlignment="1">
      <alignment horizontal="center" wrapText="1"/>
    </xf>
    <xf numFmtId="0" fontId="98" fillId="66" borderId="345" xfId="0" applyFont="1" applyFill="1" applyBorder="1" applyAlignment="1">
      <alignment wrapText="1"/>
    </xf>
    <xf numFmtId="16" fontId="98" fillId="66" borderId="346" xfId="0" applyNumberFormat="1" applyFont="1" applyFill="1" applyBorder="1" applyAlignment="1">
      <alignment vertical="top" wrapText="1"/>
    </xf>
    <xf numFmtId="9" fontId="98" fillId="66" borderId="347" xfId="0" applyNumberFormat="1" applyFont="1" applyFill="1" applyBorder="1" applyAlignment="1">
      <alignment wrapText="1"/>
    </xf>
    <xf numFmtId="16" fontId="98" fillId="2" borderId="346" xfId="0" applyNumberFormat="1" applyFont="1" applyFill="1" applyBorder="1" applyAlignment="1">
      <alignment wrapText="1"/>
    </xf>
    <xf numFmtId="9" fontId="149" fillId="2" borderId="347" xfId="0" applyNumberFormat="1" applyFont="1" applyFill="1" applyBorder="1" applyAlignment="1">
      <alignment vertical="top" wrapText="1"/>
    </xf>
    <xf numFmtId="16" fontId="98" fillId="66" borderId="346" xfId="0" applyNumberFormat="1" applyFont="1" applyFill="1" applyBorder="1" applyAlignment="1">
      <alignment wrapText="1"/>
    </xf>
    <xf numFmtId="9" fontId="98" fillId="66" borderId="347" xfId="0" applyNumberFormat="1" applyFont="1" applyFill="1" applyBorder="1" applyAlignment="1">
      <alignment vertical="top" wrapText="1"/>
    </xf>
    <xf numFmtId="9" fontId="98" fillId="2" borderId="347" xfId="0" applyNumberFormat="1" applyFont="1" applyFill="1" applyBorder="1" applyAlignment="1">
      <alignment vertical="top" wrapText="1"/>
    </xf>
    <xf numFmtId="16" fontId="98" fillId="66" borderId="346" xfId="0" applyNumberFormat="1" applyFont="1" applyFill="1" applyBorder="1" applyAlignment="1">
      <alignment horizontal="left" vertical="top" wrapText="1"/>
    </xf>
    <xf numFmtId="9" fontId="77" fillId="66" borderId="347" xfId="0" applyNumberFormat="1" applyFont="1" applyFill="1" applyBorder="1" applyAlignment="1">
      <alignment vertical="top" wrapText="1"/>
    </xf>
    <xf numFmtId="0" fontId="98" fillId="66" borderId="348" xfId="0" applyFont="1" applyFill="1" applyBorder="1" applyAlignment="1">
      <alignment wrapText="1"/>
    </xf>
    <xf numFmtId="16" fontId="98" fillId="66" borderId="175" xfId="0" applyNumberFormat="1" applyFont="1" applyFill="1" applyBorder="1" applyAlignment="1">
      <alignment wrapText="1"/>
    </xf>
    <xf numFmtId="9" fontId="282" fillId="66" borderId="349" xfId="0" applyNumberFormat="1" applyFont="1" applyFill="1" applyBorder="1" applyAlignment="1">
      <alignment vertical="top" wrapText="1"/>
    </xf>
    <xf numFmtId="16" fontId="273" fillId="57" borderId="99" xfId="0" applyNumberFormat="1" applyFont="1" applyFill="1" applyBorder="1" applyAlignment="1">
      <alignment wrapText="1"/>
    </xf>
    <xf numFmtId="9" fontId="273" fillId="57" borderId="344" xfId="0" applyNumberFormat="1" applyFont="1" applyFill="1" applyBorder="1" applyAlignment="1">
      <alignment vertical="top" wrapText="1"/>
    </xf>
    <xf numFmtId="0" fontId="98" fillId="2" borderId="345" xfId="0" applyFont="1" applyFill="1" applyBorder="1" applyAlignment="1">
      <alignment vertical="top" wrapText="1"/>
    </xf>
    <xf numFmtId="0" fontId="98" fillId="32" borderId="345" xfId="0" applyFont="1" applyFill="1" applyBorder="1" applyAlignment="1">
      <alignment vertical="top" wrapText="1"/>
    </xf>
    <xf numFmtId="0" fontId="272" fillId="57" borderId="345" xfId="0" applyFont="1" applyFill="1" applyBorder="1" applyAlignment="1">
      <alignment vertical="top" wrapText="1"/>
    </xf>
    <xf numFmtId="0" fontId="272" fillId="57" borderId="346" xfId="0" applyFont="1" applyFill="1" applyBorder="1" applyAlignment="1">
      <alignment vertical="top" wrapText="1"/>
    </xf>
    <xf numFmtId="0" fontId="272" fillId="57" borderId="346" xfId="0" applyFont="1" applyFill="1" applyBorder="1" applyAlignment="1">
      <alignment horizontal="right" vertical="top" wrapText="1"/>
    </xf>
    <xf numFmtId="0" fontId="98" fillId="32" borderId="343" xfId="0" applyFont="1" applyFill="1" applyBorder="1" applyAlignment="1">
      <alignment vertical="top" wrapText="1"/>
    </xf>
    <xf numFmtId="0" fontId="98" fillId="2" borderId="348" xfId="0" applyFont="1" applyFill="1" applyBorder="1" applyAlignment="1">
      <alignment vertical="top" wrapText="1"/>
    </xf>
    <xf numFmtId="0" fontId="98" fillId="83" borderId="346" xfId="0" applyFont="1" applyFill="1" applyBorder="1" applyAlignment="1">
      <alignment vertical="top" wrapText="1"/>
    </xf>
    <xf numFmtId="0" fontId="98" fillId="83" borderId="346" xfId="0" applyFont="1" applyFill="1" applyBorder="1" applyAlignment="1">
      <alignment horizontal="right" vertical="top" wrapText="1"/>
    </xf>
    <xf numFmtId="169" fontId="98" fillId="83" borderId="346" xfId="0" applyNumberFormat="1" applyFont="1" applyFill="1" applyBorder="1" applyAlignment="1">
      <alignment horizontal="right" vertical="top" wrapText="1"/>
    </xf>
    <xf numFmtId="0" fontId="77" fillId="83" borderId="346" xfId="0" applyFont="1" applyFill="1" applyBorder="1" applyAlignment="1">
      <alignment vertical="top" wrapText="1"/>
    </xf>
    <xf numFmtId="0" fontId="98" fillId="83" borderId="346" xfId="0" applyFont="1" applyFill="1" applyBorder="1" applyAlignment="1">
      <alignment horizontal="center" vertical="top" wrapText="1"/>
    </xf>
    <xf numFmtId="0" fontId="149" fillId="80" borderId="345" xfId="0" applyFont="1" applyFill="1" applyBorder="1" applyAlignment="1">
      <alignment vertical="top" wrapText="1"/>
    </xf>
    <xf numFmtId="0" fontId="98" fillId="80" borderId="346" xfId="0" applyFont="1" applyFill="1" applyBorder="1" applyAlignment="1">
      <alignment vertical="top" wrapText="1"/>
    </xf>
    <xf numFmtId="0" fontId="98" fillId="80" borderId="346" xfId="0" applyFont="1" applyFill="1" applyBorder="1" applyAlignment="1">
      <alignment horizontal="right" vertical="top" wrapText="1"/>
    </xf>
    <xf numFmtId="169" fontId="98" fillId="80" borderId="346" xfId="0" applyNumberFormat="1" applyFont="1" applyFill="1" applyBorder="1" applyAlignment="1">
      <alignment horizontal="right" vertical="top" wrapText="1"/>
    </xf>
    <xf numFmtId="0" fontId="77" fillId="80" borderId="346" xfId="0" applyFont="1" applyFill="1" applyBorder="1" applyAlignment="1">
      <alignment vertical="top" wrapText="1"/>
    </xf>
    <xf numFmtId="0" fontId="98" fillId="80" borderId="346" xfId="0" applyFont="1" applyFill="1" applyBorder="1" applyAlignment="1">
      <alignment horizontal="center" vertical="top" wrapText="1"/>
    </xf>
    <xf numFmtId="0" fontId="149" fillId="57" borderId="345" xfId="0" applyFont="1" applyFill="1" applyBorder="1" applyAlignment="1">
      <alignment wrapText="1"/>
    </xf>
    <xf numFmtId="0" fontId="98" fillId="57" borderId="346" xfId="0" applyFont="1" applyFill="1" applyBorder="1" applyAlignment="1">
      <alignment wrapText="1"/>
    </xf>
    <xf numFmtId="0" fontId="98" fillId="57" borderId="346" xfId="0" applyFont="1" applyFill="1" applyBorder="1" applyAlignment="1">
      <alignment horizontal="right" wrapText="1"/>
    </xf>
    <xf numFmtId="169" fontId="98" fillId="57" borderId="346" xfId="0" applyNumberFormat="1" applyFont="1" applyFill="1" applyBorder="1" applyAlignment="1">
      <alignment horizontal="right" wrapText="1"/>
    </xf>
    <xf numFmtId="0" fontId="237" fillId="57" borderId="346" xfId="0" applyFont="1" applyFill="1" applyBorder="1" applyAlignment="1">
      <alignment wrapText="1"/>
    </xf>
    <xf numFmtId="0" fontId="149" fillId="57" borderId="346" xfId="0" applyFont="1" applyFill="1" applyBorder="1" applyAlignment="1">
      <alignment vertical="top" wrapText="1"/>
    </xf>
    <xf numFmtId="0" fontId="98" fillId="57" borderId="346" xfId="0" applyFont="1" applyFill="1" applyBorder="1" applyAlignment="1">
      <alignment horizontal="center" wrapText="1"/>
    </xf>
    <xf numFmtId="0" fontId="98" fillId="57" borderId="346" xfId="0" applyFont="1" applyFill="1" applyBorder="1" applyAlignment="1">
      <alignment vertical="top" wrapText="1"/>
    </xf>
    <xf numFmtId="0" fontId="77" fillId="57" borderId="346" xfId="0" applyFont="1" applyFill="1" applyBorder="1" applyAlignment="1">
      <alignment horizontal="center" wrapText="1"/>
    </xf>
    <xf numFmtId="0" fontId="77" fillId="57" borderId="346" xfId="0" applyFont="1" applyFill="1" applyBorder="1" applyAlignment="1">
      <alignment vertical="top" wrapText="1"/>
    </xf>
    <xf numFmtId="0" fontId="149" fillId="57" borderId="343" xfId="0" applyFont="1" applyFill="1" applyBorder="1" applyAlignment="1">
      <alignment wrapText="1"/>
    </xf>
    <xf numFmtId="0" fontId="98" fillId="57" borderId="99" xfId="0" applyFont="1" applyFill="1" applyBorder="1" applyAlignment="1">
      <alignment wrapText="1"/>
    </xf>
    <xf numFmtId="0" fontId="98" fillId="57" borderId="99" xfId="0" applyFont="1" applyFill="1" applyBorder="1" applyAlignment="1">
      <alignment horizontal="right" wrapText="1"/>
    </xf>
    <xf numFmtId="169" fontId="283" fillId="57" borderId="99" xfId="0" applyNumberFormat="1" applyFont="1" applyFill="1" applyBorder="1" applyAlignment="1">
      <alignment horizontal="right" wrapText="1"/>
    </xf>
    <xf numFmtId="169" fontId="284" fillId="57" borderId="99" xfId="0" applyNumberFormat="1" applyFont="1" applyFill="1" applyBorder="1" applyAlignment="1">
      <alignment horizontal="right" wrapText="1"/>
    </xf>
    <xf numFmtId="0" fontId="237" fillId="57" borderId="99" xfId="0" applyFont="1" applyFill="1" applyBorder="1" applyAlignment="1">
      <alignment wrapText="1"/>
    </xf>
    <xf numFmtId="0" fontId="282" fillId="57" borderId="99" xfId="0" applyFont="1" applyFill="1" applyBorder="1" applyAlignment="1">
      <alignment vertical="top" wrapText="1"/>
    </xf>
    <xf numFmtId="0" fontId="285" fillId="57" borderId="99" xfId="0" applyFont="1" applyFill="1" applyBorder="1" applyAlignment="1">
      <alignment horizontal="center" wrapText="1"/>
    </xf>
    <xf numFmtId="0" fontId="149" fillId="57" borderId="348" xfId="0" applyFont="1" applyFill="1" applyBorder="1" applyAlignment="1">
      <alignment wrapText="1"/>
    </xf>
    <xf numFmtId="0" fontId="98" fillId="57" borderId="175" xfId="0" applyFont="1" applyFill="1" applyBorder="1" applyAlignment="1">
      <alignment wrapText="1"/>
    </xf>
    <xf numFmtId="0" fontId="98" fillId="57" borderId="175" xfId="0" applyFont="1" applyFill="1" applyBorder="1" applyAlignment="1">
      <alignment horizontal="right" wrapText="1"/>
    </xf>
    <xf numFmtId="169" fontId="286" fillId="57" borderId="175" xfId="0" applyNumberFormat="1" applyFont="1" applyFill="1" applyBorder="1" applyAlignment="1">
      <alignment horizontal="right" wrapText="1"/>
    </xf>
    <xf numFmtId="169" fontId="284" fillId="57" borderId="175" xfId="0" applyNumberFormat="1" applyFont="1" applyFill="1" applyBorder="1" applyAlignment="1">
      <alignment horizontal="right" wrapText="1"/>
    </xf>
    <xf numFmtId="0" fontId="237" fillId="57" borderId="175" xfId="0" applyFont="1" applyFill="1" applyBorder="1" applyAlignment="1">
      <alignment wrapText="1"/>
    </xf>
    <xf numFmtId="0" fontId="98" fillId="57" borderId="175" xfId="0" applyFont="1" applyFill="1" applyBorder="1" applyAlignment="1">
      <alignment vertical="top" wrapText="1"/>
    </xf>
    <xf numFmtId="0" fontId="77" fillId="57" borderId="175" xfId="0" applyFont="1" applyFill="1" applyBorder="1" applyAlignment="1">
      <alignment horizontal="center" wrapText="1"/>
    </xf>
    <xf numFmtId="0" fontId="98" fillId="30" borderId="340" xfId="0" applyFont="1" applyFill="1" applyBorder="1" applyAlignment="1">
      <alignment wrapText="1"/>
    </xf>
    <xf numFmtId="0" fontId="149" fillId="30" borderId="341" xfId="0" applyFont="1" applyFill="1" applyBorder="1" applyAlignment="1">
      <alignment wrapText="1"/>
    </xf>
    <xf numFmtId="0" fontId="61" fillId="2" borderId="40" xfId="0" applyFont="1" applyFill="1" applyBorder="1" applyAlignment="1">
      <alignment wrapText="1"/>
    </xf>
    <xf numFmtId="0" fontId="149" fillId="69" borderId="346" xfId="0" applyFont="1" applyFill="1" applyBorder="1" applyAlignment="1">
      <alignment wrapText="1"/>
    </xf>
    <xf numFmtId="0" fontId="98" fillId="29" borderId="345" xfId="0" applyFont="1" applyFill="1" applyBorder="1" applyAlignment="1">
      <alignment wrapText="1"/>
    </xf>
    <xf numFmtId="0" fontId="149" fillId="29" borderId="346" xfId="0" applyFont="1" applyFill="1" applyBorder="1" applyAlignment="1">
      <alignment wrapText="1"/>
    </xf>
    <xf numFmtId="0" fontId="98" fillId="71" borderId="343" xfId="0" applyFont="1" applyFill="1" applyBorder="1" applyAlignment="1">
      <alignment wrapText="1"/>
    </xf>
    <xf numFmtId="0" fontId="149" fillId="71" borderId="99" xfId="0" applyFont="1" applyFill="1" applyBorder="1" applyAlignment="1">
      <alignment wrapText="1"/>
    </xf>
    <xf numFmtId="0" fontId="98" fillId="30" borderId="348" xfId="0" applyFont="1" applyFill="1" applyBorder="1" applyAlignment="1">
      <alignment wrapText="1"/>
    </xf>
    <xf numFmtId="0" fontId="149" fillId="30" borderId="175" xfId="0" applyFont="1" applyFill="1" applyBorder="1" applyAlignment="1">
      <alignment wrapText="1"/>
    </xf>
    <xf numFmtId="0" fontId="76" fillId="32" borderId="30" xfId="0" applyFont="1" applyFill="1" applyBorder="1" applyAlignment="1">
      <alignment vertical="top" wrapText="1"/>
    </xf>
    <xf numFmtId="0" fontId="76" fillId="32" borderId="28" xfId="0" applyFont="1" applyFill="1" applyBorder="1" applyAlignment="1">
      <alignment vertical="top" wrapText="1"/>
    </xf>
    <xf numFmtId="0" fontId="76" fillId="2" borderId="28" xfId="0" applyFont="1" applyFill="1" applyBorder="1" applyAlignment="1">
      <alignment wrapText="1"/>
    </xf>
    <xf numFmtId="0" fontId="149" fillId="2" borderId="40" xfId="0" applyFont="1" applyFill="1" applyBorder="1" applyAlignment="1">
      <alignment wrapText="1"/>
    </xf>
    <xf numFmtId="0" fontId="149" fillId="32" borderId="40" xfId="0" applyFont="1" applyFill="1" applyBorder="1" applyAlignment="1">
      <alignment wrapText="1"/>
    </xf>
    <xf numFmtId="0" fontId="149" fillId="32" borderId="41" xfId="0" applyFont="1" applyFill="1" applyBorder="1" applyAlignment="1">
      <alignment wrapText="1"/>
    </xf>
    <xf numFmtId="0" fontId="98" fillId="32" borderId="17" xfId="0" applyFont="1" applyFill="1" applyBorder="1" applyAlignment="1">
      <alignment wrapText="1"/>
    </xf>
    <xf numFmtId="0" fontId="76" fillId="0" borderId="0" xfId="0" applyFont="1"/>
    <xf numFmtId="0" fontId="58" fillId="83" borderId="345" xfId="0" applyFont="1" applyFill="1" applyBorder="1" applyAlignment="1">
      <alignment vertical="top" wrapText="1"/>
    </xf>
    <xf numFmtId="0" fontId="58" fillId="69" borderId="345" xfId="0" applyFont="1" applyFill="1" applyBorder="1" applyAlignment="1">
      <alignment wrapText="1"/>
    </xf>
    <xf numFmtId="0" fontId="153" fillId="2" borderId="345" xfId="0" applyFont="1" applyFill="1" applyBorder="1" applyAlignment="1">
      <alignment vertical="top" wrapText="1"/>
    </xf>
    <xf numFmtId="0" fontId="153" fillId="2" borderId="346" xfId="0" applyFont="1" applyFill="1" applyBorder="1" applyAlignment="1">
      <alignment vertical="top" wrapText="1"/>
    </xf>
    <xf numFmtId="0" fontId="153" fillId="2" borderId="346" xfId="0" applyFont="1" applyFill="1" applyBorder="1" applyAlignment="1">
      <alignment horizontal="right" vertical="top" wrapText="1"/>
    </xf>
    <xf numFmtId="0" fontId="288" fillId="47" borderId="340" xfId="0" applyFont="1" applyFill="1" applyBorder="1" applyAlignment="1">
      <alignment horizontal="center" vertical="top" wrapText="1"/>
    </xf>
    <xf numFmtId="0" fontId="288" fillId="47" borderId="341" xfId="0" applyFont="1" applyFill="1" applyBorder="1" applyAlignment="1">
      <alignment horizontal="center" vertical="top" wrapText="1"/>
    </xf>
    <xf numFmtId="0" fontId="153" fillId="80" borderId="345" xfId="0" applyFont="1" applyFill="1" applyBorder="1" applyAlignment="1">
      <alignment vertical="top" wrapText="1"/>
    </xf>
    <xf numFmtId="0" fontId="153" fillId="80" borderId="346" xfId="0" applyFont="1" applyFill="1" applyBorder="1" applyAlignment="1">
      <alignment vertical="top" wrapText="1"/>
    </xf>
    <xf numFmtId="0" fontId="153" fillId="80" borderId="346" xfId="0" applyFont="1" applyFill="1" applyBorder="1" applyAlignment="1">
      <alignment horizontal="right" vertical="top" wrapText="1"/>
    </xf>
    <xf numFmtId="169" fontId="153" fillId="80" borderId="346" xfId="0" applyNumberFormat="1" applyFont="1" applyFill="1" applyBorder="1" applyAlignment="1">
      <alignment horizontal="right" vertical="top" wrapText="1"/>
    </xf>
    <xf numFmtId="0" fontId="153" fillId="70" borderId="345" xfId="0" applyFont="1" applyFill="1" applyBorder="1" applyAlignment="1">
      <alignment wrapText="1"/>
    </xf>
    <xf numFmtId="0" fontId="153" fillId="70" borderId="346" xfId="0" applyFont="1" applyFill="1" applyBorder="1" applyAlignment="1">
      <alignment wrapText="1"/>
    </xf>
    <xf numFmtId="0" fontId="56" fillId="72" borderId="0" xfId="0" applyFont="1" applyFill="1" applyAlignment="1">
      <alignment horizontal="center" vertical="center" wrapText="1"/>
    </xf>
    <xf numFmtId="0" fontId="153" fillId="72" borderId="341" xfId="0" applyFont="1" applyFill="1" applyBorder="1" applyAlignment="1">
      <alignment horizontal="center" vertical="center" wrapText="1"/>
    </xf>
    <xf numFmtId="0" fontId="153" fillId="72" borderId="342" xfId="0" applyFont="1" applyFill="1" applyBorder="1" applyAlignment="1">
      <alignment horizontal="center" vertical="center" wrapText="1"/>
    </xf>
    <xf numFmtId="0" fontId="98" fillId="72" borderId="346" xfId="0" applyFont="1" applyFill="1" applyBorder="1" applyAlignment="1">
      <alignment horizontal="right" vertical="top" wrapText="1"/>
    </xf>
    <xf numFmtId="0" fontId="98" fillId="72" borderId="347" xfId="0" applyFont="1" applyFill="1" applyBorder="1" applyAlignment="1">
      <alignment vertical="top" wrapText="1"/>
    </xf>
    <xf numFmtId="0" fontId="272" fillId="72" borderId="346" xfId="0" applyFont="1" applyFill="1" applyBorder="1" applyAlignment="1">
      <alignment horizontal="right" vertical="top" wrapText="1"/>
    </xf>
    <xf numFmtId="0" fontId="272" fillId="72" borderId="347" xfId="0" applyFont="1" applyFill="1" applyBorder="1" applyAlignment="1">
      <alignment vertical="top" wrapText="1"/>
    </xf>
    <xf numFmtId="0" fontId="98" fillId="72" borderId="99" xfId="0" applyFont="1" applyFill="1" applyBorder="1" applyAlignment="1">
      <alignment horizontal="right" vertical="top" wrapText="1"/>
    </xf>
    <xf numFmtId="0" fontId="98" fillId="72" borderId="344" xfId="0" applyFont="1" applyFill="1" applyBorder="1" applyAlignment="1">
      <alignment vertical="top" wrapText="1"/>
    </xf>
    <xf numFmtId="0" fontId="98" fillId="72" borderId="175" xfId="0" applyFont="1" applyFill="1" applyBorder="1" applyAlignment="1">
      <alignment horizontal="right" vertical="top" wrapText="1"/>
    </xf>
    <xf numFmtId="0" fontId="98" fillId="72" borderId="349" xfId="0" applyFont="1" applyFill="1" applyBorder="1" applyAlignment="1">
      <alignment vertical="top" wrapText="1"/>
    </xf>
    <xf numFmtId="0" fontId="62" fillId="72" borderId="28" xfId="0" applyFont="1" applyFill="1" applyBorder="1" applyAlignment="1">
      <alignment vertical="top" wrapText="1"/>
    </xf>
    <xf numFmtId="0" fontId="153" fillId="72" borderId="341" xfId="0" applyFont="1" applyFill="1" applyBorder="1" applyAlignment="1">
      <alignment horizontal="center" vertical="top" wrapText="1"/>
    </xf>
    <xf numFmtId="0" fontId="153" fillId="72" borderId="342" xfId="0" applyFont="1" applyFill="1" applyBorder="1" applyAlignment="1">
      <alignment horizontal="center" vertical="top" wrapText="1"/>
    </xf>
    <xf numFmtId="0" fontId="98" fillId="72" borderId="346" xfId="0" applyFont="1" applyFill="1" applyBorder="1" applyAlignment="1">
      <alignment vertical="top" wrapText="1"/>
    </xf>
    <xf numFmtId="0" fontId="77" fillId="72" borderId="347" xfId="0" applyFont="1" applyFill="1" applyBorder="1" applyAlignment="1">
      <alignment vertical="top" wrapText="1"/>
    </xf>
    <xf numFmtId="0" fontId="98" fillId="72" borderId="346" xfId="0" applyFont="1" applyFill="1" applyBorder="1" applyAlignment="1">
      <alignment wrapText="1"/>
    </xf>
    <xf numFmtId="0" fontId="98" fillId="72" borderId="347" xfId="0" applyFont="1" applyFill="1" applyBorder="1" applyAlignment="1">
      <alignment wrapText="1"/>
    </xf>
    <xf numFmtId="6" fontId="98" fillId="72" borderId="346" xfId="0" applyNumberFormat="1" applyFont="1" applyFill="1" applyBorder="1" applyAlignment="1">
      <alignment horizontal="right" wrapText="1"/>
    </xf>
    <xf numFmtId="0" fontId="98" fillId="72" borderId="99" xfId="0" applyFont="1" applyFill="1" applyBorder="1" applyAlignment="1">
      <alignment wrapText="1"/>
    </xf>
    <xf numFmtId="0" fontId="98" fillId="72" borderId="175" xfId="0" applyFont="1" applyFill="1" applyBorder="1" applyAlignment="1">
      <alignment wrapText="1"/>
    </xf>
    <xf numFmtId="0" fontId="77" fillId="72" borderId="349" xfId="0" applyFont="1" applyFill="1" applyBorder="1" applyAlignment="1">
      <alignment vertical="top" wrapText="1"/>
    </xf>
    <xf numFmtId="0" fontId="62" fillId="72" borderId="28" xfId="0" applyFont="1" applyFill="1" applyBorder="1" applyAlignment="1">
      <alignment wrapText="1"/>
    </xf>
    <xf numFmtId="0" fontId="230" fillId="72" borderId="0" xfId="0" applyFont="1" applyFill="1"/>
    <xf numFmtId="0" fontId="76" fillId="2" borderId="30" xfId="0" applyFont="1" applyFill="1" applyBorder="1" applyAlignment="1">
      <alignment wrapText="1"/>
    </xf>
    <xf numFmtId="0" fontId="56" fillId="2" borderId="0" xfId="0" applyFont="1" applyFill="1" applyAlignment="1">
      <alignment horizontal="center" vertical="center"/>
    </xf>
    <xf numFmtId="0" fontId="58" fillId="47" borderId="340" xfId="0" applyFont="1" applyFill="1" applyBorder="1" applyAlignment="1">
      <alignment horizontal="center" vertical="center"/>
    </xf>
    <xf numFmtId="0" fontId="153" fillId="47" borderId="341" xfId="0" applyFont="1" applyFill="1" applyBorder="1" applyAlignment="1">
      <alignment horizontal="center" vertical="center"/>
    </xf>
    <xf numFmtId="0" fontId="290" fillId="45" borderId="0" xfId="2" applyFont="1" applyFill="1" applyAlignment="1">
      <alignment horizontal="center" vertical="center" wrapText="1"/>
    </xf>
    <xf numFmtId="0" fontId="72" fillId="2" borderId="0" xfId="2" applyFont="1" applyFill="1" applyAlignment="1">
      <alignment horizontal="center" vertical="center"/>
    </xf>
    <xf numFmtId="0" fontId="72" fillId="2" borderId="0" xfId="2" applyFont="1" applyFill="1" applyAlignment="1">
      <alignment horizontal="center" vertical="center" wrapText="1"/>
    </xf>
    <xf numFmtId="0" fontId="108" fillId="72" borderId="15" xfId="0" applyFont="1" applyFill="1" applyBorder="1" applyAlignment="1">
      <alignment horizontal="center" vertical="top" wrapText="1"/>
    </xf>
    <xf numFmtId="0" fontId="108" fillId="72" borderId="15" xfId="0" applyFont="1" applyFill="1" applyBorder="1" applyAlignment="1">
      <alignment horizontal="center" wrapText="1"/>
    </xf>
    <xf numFmtId="0" fontId="292" fillId="72" borderId="14" xfId="0" applyFont="1" applyFill="1" applyBorder="1" applyAlignment="1">
      <alignment horizontal="left" vertical="center" wrapText="1"/>
    </xf>
    <xf numFmtId="0" fontId="106" fillId="72" borderId="15" xfId="0" applyFont="1" applyFill="1" applyBorder="1" applyAlignment="1">
      <alignment horizontal="center" vertical="top" wrapText="1"/>
    </xf>
    <xf numFmtId="0" fontId="112" fillId="72" borderId="15" xfId="0" applyFont="1" applyFill="1" applyBorder="1" applyAlignment="1">
      <alignment horizontal="center" vertical="top" wrapText="1"/>
    </xf>
    <xf numFmtId="0" fontId="106" fillId="72" borderId="15" xfId="0" applyFont="1" applyFill="1" applyBorder="1" applyAlignment="1">
      <alignment horizontal="center" wrapText="1"/>
    </xf>
    <xf numFmtId="0" fontId="104" fillId="72" borderId="15" xfId="0" applyFont="1" applyFill="1" applyBorder="1" applyAlignment="1">
      <alignment horizontal="center" wrapText="1"/>
    </xf>
    <xf numFmtId="0" fontId="73" fillId="2" borderId="0" xfId="0" applyFont="1" applyFill="1" applyAlignment="1">
      <alignment horizontal="center" vertical="center"/>
    </xf>
    <xf numFmtId="0" fontId="265" fillId="47" borderId="15" xfId="0" applyFont="1" applyFill="1" applyBorder="1" applyAlignment="1">
      <alignment horizontal="center" vertical="center" wrapText="1"/>
    </xf>
    <xf numFmtId="0" fontId="106" fillId="49" borderId="15" xfId="0" applyFont="1" applyFill="1" applyBorder="1" applyAlignment="1">
      <alignment horizontal="center" vertical="center" wrapText="1"/>
    </xf>
    <xf numFmtId="0" fontId="108" fillId="49" borderId="15" xfId="0" applyFont="1" applyFill="1" applyBorder="1" applyAlignment="1">
      <alignment horizontal="center" vertical="center" wrapText="1"/>
    </xf>
    <xf numFmtId="0" fontId="104" fillId="2" borderId="15" xfId="0" applyFont="1" applyFill="1" applyBorder="1" applyAlignment="1">
      <alignment horizontal="center" vertical="center" wrapText="1"/>
    </xf>
    <xf numFmtId="0" fontId="104" fillId="49" borderId="15" xfId="0" applyFont="1" applyFill="1" applyBorder="1" applyAlignment="1">
      <alignment horizontal="center" vertical="center" wrapText="1"/>
    </xf>
    <xf numFmtId="0" fontId="108" fillId="72" borderId="28" xfId="0" applyFont="1" applyFill="1" applyBorder="1" applyAlignment="1">
      <alignment horizontal="center" vertical="center" wrapText="1"/>
    </xf>
    <xf numFmtId="0" fontId="106" fillId="72" borderId="40" xfId="0" applyFont="1" applyFill="1" applyBorder="1" applyAlignment="1">
      <alignment horizontal="center" vertical="top" wrapText="1"/>
    </xf>
    <xf numFmtId="0" fontId="265" fillId="47" borderId="55" xfId="0" applyFont="1" applyFill="1" applyBorder="1" applyAlignment="1">
      <alignment horizontal="center" vertical="center" wrapText="1"/>
    </xf>
    <xf numFmtId="0" fontId="265" fillId="47" borderId="49" xfId="0" applyFont="1" applyFill="1" applyBorder="1" applyAlignment="1">
      <alignment horizontal="center" vertical="center" wrapText="1"/>
    </xf>
    <xf numFmtId="0" fontId="265" fillId="47" borderId="50" xfId="0" applyFont="1" applyFill="1" applyBorder="1" applyAlignment="1">
      <alignment horizontal="center" vertical="center" wrapText="1"/>
    </xf>
    <xf numFmtId="0" fontId="106" fillId="32" borderId="55" xfId="0" applyFont="1" applyFill="1" applyBorder="1" applyAlignment="1">
      <alignment horizontal="center" vertical="center" wrapText="1"/>
    </xf>
    <xf numFmtId="0" fontId="106" fillId="32" borderId="49" xfId="0" applyFont="1" applyFill="1" applyBorder="1" applyAlignment="1">
      <alignment horizontal="center" vertical="center" wrapText="1"/>
    </xf>
    <xf numFmtId="0" fontId="106" fillId="32" borderId="50" xfId="0" applyFont="1" applyFill="1" applyBorder="1" applyAlignment="1">
      <alignment horizontal="center" vertical="center" wrapText="1"/>
    </xf>
    <xf numFmtId="0" fontId="106" fillId="2" borderId="55" xfId="0" applyFont="1" applyFill="1" applyBorder="1" applyAlignment="1">
      <alignment horizontal="center" vertical="center" wrapText="1"/>
    </xf>
    <xf numFmtId="0" fontId="106" fillId="2" borderId="49" xfId="0" applyFont="1" applyFill="1" applyBorder="1" applyAlignment="1">
      <alignment horizontal="center" vertical="center" wrapText="1"/>
    </xf>
    <xf numFmtId="0" fontId="106" fillId="2" borderId="50" xfId="0" applyFont="1" applyFill="1" applyBorder="1" applyAlignment="1">
      <alignment horizontal="center" vertical="center" wrapText="1"/>
    </xf>
    <xf numFmtId="0" fontId="106" fillId="2" borderId="56" xfId="0" applyFont="1" applyFill="1" applyBorder="1" applyAlignment="1">
      <alignment horizontal="center" vertical="center" wrapText="1"/>
    </xf>
    <xf numFmtId="0" fontId="106" fillId="2" borderId="52" xfId="0" applyFont="1" applyFill="1" applyBorder="1" applyAlignment="1">
      <alignment horizontal="center" vertical="center" wrapText="1"/>
    </xf>
    <xf numFmtId="0" fontId="106" fillId="2" borderId="40" xfId="0" applyFont="1" applyFill="1" applyBorder="1" applyAlignment="1">
      <alignment horizontal="center" vertical="center" wrapText="1"/>
    </xf>
    <xf numFmtId="0" fontId="106" fillId="49" borderId="40" xfId="0" applyFont="1" applyFill="1" applyBorder="1" applyAlignment="1">
      <alignment horizontal="center" vertical="center" wrapText="1"/>
    </xf>
    <xf numFmtId="0" fontId="268" fillId="72" borderId="138" xfId="0" applyFont="1" applyFill="1" applyBorder="1" applyAlignment="1">
      <alignment horizontal="center" vertical="center" wrapText="1"/>
    </xf>
    <xf numFmtId="0" fontId="108" fillId="72" borderId="139" xfId="0" applyFont="1" applyFill="1" applyBorder="1" applyAlignment="1">
      <alignment horizontal="center" vertical="center" wrapText="1"/>
    </xf>
    <xf numFmtId="0" fontId="268" fillId="32" borderId="55" xfId="0" applyFont="1" applyFill="1" applyBorder="1" applyAlignment="1">
      <alignment horizontal="center" vertical="center" wrapText="1"/>
    </xf>
    <xf numFmtId="0" fontId="268" fillId="2" borderId="55" xfId="0" applyFont="1" applyFill="1" applyBorder="1" applyAlignment="1">
      <alignment horizontal="center" vertical="center" wrapText="1"/>
    </xf>
    <xf numFmtId="0" fontId="268" fillId="32" borderId="56" xfId="0" applyFont="1" applyFill="1" applyBorder="1" applyAlignment="1">
      <alignment horizontal="center" vertical="center" wrapText="1"/>
    </xf>
    <xf numFmtId="0" fontId="106" fillId="32" borderId="52" xfId="0" applyFont="1" applyFill="1" applyBorder="1" applyAlignment="1">
      <alignment horizontal="center" vertical="center" wrapText="1"/>
    </xf>
    <xf numFmtId="0" fontId="104" fillId="2" borderId="40" xfId="0" applyFont="1" applyFill="1" applyBorder="1" applyAlignment="1">
      <alignment horizontal="center" vertical="center" wrapText="1"/>
    </xf>
    <xf numFmtId="0" fontId="104" fillId="49" borderId="40" xfId="0" applyFont="1" applyFill="1" applyBorder="1" applyAlignment="1">
      <alignment horizontal="center" vertical="center" wrapText="1"/>
    </xf>
    <xf numFmtId="0" fontId="268" fillId="32" borderId="310" xfId="0" applyFont="1" applyFill="1" applyBorder="1" applyAlignment="1">
      <alignment horizontal="center" vertical="center" wrapText="1"/>
    </xf>
    <xf numFmtId="0" fontId="106" fillId="32" borderId="108" xfId="0" applyFont="1" applyFill="1" applyBorder="1" applyAlignment="1">
      <alignment horizontal="center" vertical="center" wrapText="1"/>
    </xf>
    <xf numFmtId="0" fontId="106" fillId="32" borderId="350" xfId="0" applyFont="1" applyFill="1" applyBorder="1" applyAlignment="1">
      <alignment horizontal="center" vertical="center" wrapText="1"/>
    </xf>
    <xf numFmtId="9" fontId="106" fillId="32" borderId="49" xfId="0" applyNumberFormat="1" applyFont="1" applyFill="1" applyBorder="1" applyAlignment="1">
      <alignment horizontal="center" vertical="center" wrapText="1"/>
    </xf>
    <xf numFmtId="0" fontId="104" fillId="2" borderId="49" xfId="0" applyFont="1" applyFill="1" applyBorder="1" applyAlignment="1">
      <alignment horizontal="center" vertical="center" wrapText="1"/>
    </xf>
    <xf numFmtId="9" fontId="104" fillId="2" borderId="49" xfId="0" applyNumberFormat="1" applyFont="1" applyFill="1" applyBorder="1" applyAlignment="1">
      <alignment horizontal="center" vertical="center" wrapText="1"/>
    </xf>
    <xf numFmtId="0" fontId="104" fillId="2" borderId="50" xfId="0" applyFont="1" applyFill="1" applyBorder="1" applyAlignment="1">
      <alignment horizontal="center" vertical="center" wrapText="1"/>
    </xf>
    <xf numFmtId="0" fontId="104" fillId="32" borderId="49" xfId="0" applyFont="1" applyFill="1" applyBorder="1" applyAlignment="1">
      <alignment horizontal="center" vertical="center" wrapText="1"/>
    </xf>
    <xf numFmtId="9" fontId="104" fillId="32" borderId="49" xfId="0" applyNumberFormat="1" applyFont="1" applyFill="1" applyBorder="1" applyAlignment="1">
      <alignment horizontal="center" vertical="center" wrapText="1"/>
    </xf>
    <xf numFmtId="0" fontId="104" fillId="32" borderId="50" xfId="0" applyFont="1" applyFill="1" applyBorder="1" applyAlignment="1">
      <alignment horizontal="center" vertical="center" wrapText="1"/>
    </xf>
    <xf numFmtId="169" fontId="106" fillId="32" borderId="49" xfId="0" applyNumberFormat="1" applyFont="1" applyFill="1" applyBorder="1" applyAlignment="1">
      <alignment horizontal="center" vertical="center" wrapText="1"/>
    </xf>
    <xf numFmtId="169" fontId="106" fillId="2" borderId="49" xfId="0" applyNumberFormat="1" applyFont="1" applyFill="1" applyBorder="1" applyAlignment="1">
      <alignment horizontal="center" vertical="center" wrapText="1"/>
    </xf>
    <xf numFmtId="169" fontId="106" fillId="2" borderId="52" xfId="0" applyNumberFormat="1" applyFont="1" applyFill="1" applyBorder="1" applyAlignment="1">
      <alignment horizontal="center" vertical="center" wrapText="1"/>
    </xf>
    <xf numFmtId="178" fontId="106" fillId="32" borderId="49" xfId="0" applyNumberFormat="1" applyFont="1" applyFill="1" applyBorder="1" applyAlignment="1">
      <alignment horizontal="center" vertical="center" wrapText="1"/>
    </xf>
    <xf numFmtId="178" fontId="106" fillId="2" borderId="49" xfId="0" applyNumberFormat="1" applyFont="1" applyFill="1" applyBorder="1" applyAlignment="1">
      <alignment horizontal="center" vertical="center" wrapText="1"/>
    </xf>
    <xf numFmtId="178" fontId="106" fillId="2" borderId="52" xfId="0" applyNumberFormat="1" applyFont="1" applyFill="1" applyBorder="1" applyAlignment="1">
      <alignment horizontal="center" vertical="center" wrapText="1"/>
    </xf>
    <xf numFmtId="173" fontId="106" fillId="32" borderId="49" xfId="0" applyNumberFormat="1" applyFont="1" applyFill="1" applyBorder="1" applyAlignment="1">
      <alignment horizontal="center" vertical="center" wrapText="1"/>
    </xf>
    <xf numFmtId="173" fontId="106" fillId="2" borderId="49" xfId="0" applyNumberFormat="1" applyFont="1" applyFill="1" applyBorder="1" applyAlignment="1">
      <alignment horizontal="center" vertical="center" wrapText="1"/>
    </xf>
    <xf numFmtId="173" fontId="106" fillId="2" borderId="52" xfId="0" applyNumberFormat="1" applyFont="1" applyFill="1" applyBorder="1" applyAlignment="1">
      <alignment horizontal="center" vertical="center" wrapText="1"/>
    </xf>
    <xf numFmtId="2" fontId="106" fillId="32" borderId="49" xfId="0" applyNumberFormat="1" applyFont="1" applyFill="1" applyBorder="1" applyAlignment="1">
      <alignment horizontal="center" vertical="center" wrapText="1"/>
    </xf>
    <xf numFmtId="2" fontId="106" fillId="2" borderId="49" xfId="0" applyNumberFormat="1" applyFont="1" applyFill="1" applyBorder="1" applyAlignment="1">
      <alignment horizontal="center" vertical="center" wrapText="1"/>
    </xf>
    <xf numFmtId="2" fontId="106" fillId="2" borderId="52" xfId="0" applyNumberFormat="1" applyFont="1" applyFill="1" applyBorder="1" applyAlignment="1">
      <alignment horizontal="center" vertical="center" wrapText="1"/>
    </xf>
    <xf numFmtId="0" fontId="291" fillId="2" borderId="49" xfId="0" applyFont="1" applyFill="1" applyBorder="1" applyAlignment="1">
      <alignment horizontal="center" vertical="center" wrapText="1"/>
    </xf>
    <xf numFmtId="0" fontId="291" fillId="2" borderId="52" xfId="0" applyFont="1" applyFill="1" applyBorder="1" applyAlignment="1">
      <alignment horizontal="center" vertical="center" wrapText="1"/>
    </xf>
    <xf numFmtId="0" fontId="268" fillId="32" borderId="49" xfId="0" applyFont="1" applyFill="1" applyBorder="1" applyAlignment="1">
      <alignment horizontal="center" vertical="center" wrapText="1"/>
    </xf>
    <xf numFmtId="0" fontId="268" fillId="2" borderId="49" xfId="0" applyFont="1" applyFill="1" applyBorder="1" applyAlignment="1">
      <alignment horizontal="center" vertical="center" wrapText="1"/>
    </xf>
    <xf numFmtId="0" fontId="268" fillId="2" borderId="52" xfId="0" applyFont="1" applyFill="1" applyBorder="1" applyAlignment="1">
      <alignment horizontal="center" vertical="center" wrapText="1"/>
    </xf>
    <xf numFmtId="0" fontId="106" fillId="32" borderId="55" xfId="0" applyFont="1" applyFill="1" applyBorder="1" applyAlignment="1">
      <alignment horizontal="left" vertical="center" wrapText="1"/>
    </xf>
    <xf numFmtId="0" fontId="106" fillId="2" borderId="55" xfId="0" applyFont="1" applyFill="1" applyBorder="1" applyAlignment="1">
      <alignment horizontal="left" vertical="center" wrapText="1"/>
    </xf>
    <xf numFmtId="0" fontId="106" fillId="2" borderId="56" xfId="0" applyFont="1" applyFill="1" applyBorder="1" applyAlignment="1">
      <alignment horizontal="left" vertical="center" wrapText="1"/>
    </xf>
    <xf numFmtId="0" fontId="106" fillId="32" borderId="49" xfId="0" applyFont="1" applyFill="1" applyBorder="1" applyAlignment="1">
      <alignment horizontal="left" vertical="center" wrapText="1"/>
    </xf>
    <xf numFmtId="0" fontId="106" fillId="2" borderId="49" xfId="0" applyFont="1" applyFill="1" applyBorder="1" applyAlignment="1">
      <alignment horizontal="left" vertical="center" wrapText="1"/>
    </xf>
    <xf numFmtId="0" fontId="106" fillId="2" borderId="52" xfId="0" applyFont="1" applyFill="1" applyBorder="1" applyAlignment="1">
      <alignment horizontal="left" vertical="center" wrapText="1"/>
    </xf>
    <xf numFmtId="0" fontId="106" fillId="32" borderId="50" xfId="0" applyFont="1" applyFill="1" applyBorder="1" applyAlignment="1">
      <alignment horizontal="left" vertical="center" wrapText="1"/>
    </xf>
    <xf numFmtId="0" fontId="106" fillId="2" borderId="50" xfId="0" applyFont="1" applyFill="1" applyBorder="1" applyAlignment="1">
      <alignment horizontal="left" vertical="center" wrapText="1"/>
    </xf>
    <xf numFmtId="0" fontId="106" fillId="2" borderId="53" xfId="0" applyFont="1" applyFill="1" applyBorder="1" applyAlignment="1">
      <alignment horizontal="left" vertical="center" wrapText="1"/>
    </xf>
    <xf numFmtId="0" fontId="268" fillId="32" borderId="55" xfId="0" applyFont="1" applyFill="1" applyBorder="1" applyAlignment="1">
      <alignment horizontal="left" vertical="center" wrapText="1"/>
    </xf>
    <xf numFmtId="0" fontId="289" fillId="2" borderId="55" xfId="0" applyFont="1" applyFill="1" applyBorder="1" applyAlignment="1">
      <alignment horizontal="left" vertical="center" wrapText="1"/>
    </xf>
    <xf numFmtId="0" fontId="268" fillId="2" borderId="55" xfId="0" applyFont="1" applyFill="1" applyBorder="1" applyAlignment="1">
      <alignment horizontal="left" vertical="center" wrapText="1"/>
    </xf>
    <xf numFmtId="0" fontId="104" fillId="2" borderId="49" xfId="0" applyFont="1" applyFill="1" applyBorder="1" applyAlignment="1">
      <alignment horizontal="left" vertical="center" wrapText="1"/>
    </xf>
    <xf numFmtId="0" fontId="104" fillId="32" borderId="49" xfId="0" applyFont="1" applyFill="1" applyBorder="1" applyAlignment="1">
      <alignment horizontal="left" vertical="center" wrapText="1"/>
    </xf>
    <xf numFmtId="0" fontId="109" fillId="32" borderId="55" xfId="0" applyFont="1" applyFill="1" applyBorder="1" applyAlignment="1">
      <alignment horizontal="center" vertical="center" wrapText="1"/>
    </xf>
    <xf numFmtId="0" fontId="109" fillId="32" borderId="49" xfId="0" applyFont="1" applyFill="1" applyBorder="1" applyAlignment="1">
      <alignment horizontal="left" vertical="center" wrapText="1"/>
    </xf>
    <xf numFmtId="0" fontId="109" fillId="32" borderId="49" xfId="0" applyFont="1" applyFill="1" applyBorder="1" applyAlignment="1">
      <alignment horizontal="center" vertical="center" wrapText="1"/>
    </xf>
    <xf numFmtId="2" fontId="109" fillId="32" borderId="49" xfId="0" applyNumberFormat="1" applyFont="1" applyFill="1" applyBorder="1" applyAlignment="1">
      <alignment horizontal="center" vertical="center" wrapText="1"/>
    </xf>
    <xf numFmtId="169" fontId="109" fillId="32" borderId="49" xfId="0" applyNumberFormat="1" applyFont="1" applyFill="1" applyBorder="1" applyAlignment="1">
      <alignment horizontal="center" vertical="center" wrapText="1"/>
    </xf>
    <xf numFmtId="0" fontId="294" fillId="32" borderId="49" xfId="0" applyFont="1" applyFill="1" applyBorder="1" applyAlignment="1">
      <alignment horizontal="center" vertical="center" wrapText="1"/>
    </xf>
    <xf numFmtId="0" fontId="265" fillId="47" borderId="310" xfId="0" applyFont="1" applyFill="1" applyBorder="1" applyAlignment="1">
      <alignment horizontal="center" vertical="center" wrapText="1"/>
    </xf>
    <xf numFmtId="0" fontId="265" fillId="47" borderId="108" xfId="0" applyFont="1" applyFill="1" applyBorder="1" applyAlignment="1">
      <alignment horizontal="center" vertical="center" wrapText="1"/>
    </xf>
    <xf numFmtId="0" fontId="265" fillId="47" borderId="350" xfId="0" applyFont="1" applyFill="1" applyBorder="1" applyAlignment="1">
      <alignment horizontal="center" vertical="center" wrapText="1"/>
    </xf>
    <xf numFmtId="0" fontId="106" fillId="2" borderId="355" xfId="0" applyFont="1" applyFill="1" applyBorder="1" applyAlignment="1">
      <alignment horizontal="center" vertical="center" wrapText="1"/>
    </xf>
    <xf numFmtId="0" fontId="106" fillId="2" borderId="225" xfId="0" applyFont="1" applyFill="1" applyBorder="1" applyAlignment="1">
      <alignment horizontal="left" vertical="center" wrapText="1"/>
    </xf>
    <xf numFmtId="0" fontId="106" fillId="2" borderId="225" xfId="0" applyFont="1" applyFill="1" applyBorder="1" applyAlignment="1">
      <alignment horizontal="center" vertical="center" wrapText="1"/>
    </xf>
    <xf numFmtId="2" fontId="106" fillId="2" borderId="225" xfId="0" applyNumberFormat="1" applyFont="1" applyFill="1" applyBorder="1" applyAlignment="1">
      <alignment horizontal="center" vertical="center" wrapText="1"/>
    </xf>
    <xf numFmtId="173" fontId="106" fillId="2" borderId="225" xfId="0" applyNumberFormat="1" applyFont="1" applyFill="1" applyBorder="1" applyAlignment="1">
      <alignment horizontal="center" vertical="center" wrapText="1"/>
    </xf>
    <xf numFmtId="169" fontId="106" fillId="2" borderId="225" xfId="0" applyNumberFormat="1" applyFont="1" applyFill="1" applyBorder="1" applyAlignment="1">
      <alignment horizontal="center" vertical="center" wrapText="1"/>
    </xf>
    <xf numFmtId="0" fontId="268" fillId="2" borderId="225" xfId="0" applyFont="1" applyFill="1" applyBorder="1" applyAlignment="1">
      <alignment horizontal="center" vertical="center" wrapText="1"/>
    </xf>
    <xf numFmtId="0" fontId="106" fillId="2" borderId="356" xfId="0" applyFont="1" applyFill="1" applyBorder="1" applyAlignment="1">
      <alignment horizontal="left" vertical="center" wrapText="1"/>
    </xf>
    <xf numFmtId="0" fontId="292" fillId="72" borderId="11" xfId="0" applyFont="1" applyFill="1" applyBorder="1" applyAlignment="1">
      <alignment horizontal="left" vertical="center" wrapText="1"/>
    </xf>
    <xf numFmtId="0" fontId="98" fillId="32" borderId="15" xfId="0" applyFont="1" applyFill="1" applyBorder="1" applyAlignment="1">
      <alignment vertical="center" wrapText="1"/>
    </xf>
    <xf numFmtId="0" fontId="98" fillId="2" borderId="15" xfId="0" applyFont="1" applyFill="1" applyBorder="1" applyAlignment="1">
      <alignment vertical="center" wrapText="1"/>
    </xf>
    <xf numFmtId="0" fontId="153" fillId="47" borderId="15" xfId="0" applyFont="1" applyFill="1" applyBorder="1" applyAlignment="1">
      <alignment vertical="center" wrapText="1"/>
    </xf>
    <xf numFmtId="0" fontId="0" fillId="0" borderId="48" xfId="0" applyBorder="1"/>
    <xf numFmtId="0" fontId="0" fillId="0" borderId="49" xfId="0" applyBorder="1"/>
    <xf numFmtId="0" fontId="0" fillId="0" borderId="50" xfId="0" applyBorder="1"/>
    <xf numFmtId="0" fontId="0" fillId="0" borderId="51" xfId="0" applyBorder="1"/>
    <xf numFmtId="0" fontId="0" fillId="0" borderId="52" xfId="0" applyBorder="1"/>
    <xf numFmtId="0" fontId="0" fillId="0" borderId="53" xfId="0" applyBorder="1"/>
    <xf numFmtId="0" fontId="153" fillId="47" borderId="49" xfId="0" applyFont="1" applyFill="1" applyBorder="1" applyAlignment="1">
      <alignment horizontal="center" vertical="center" wrapText="1"/>
    </xf>
    <xf numFmtId="0" fontId="153" fillId="47" borderId="50" xfId="0" applyFont="1" applyFill="1" applyBorder="1" applyAlignment="1">
      <alignment horizontal="center" vertical="center" wrapText="1"/>
    </xf>
    <xf numFmtId="3" fontId="98" fillId="32" borderId="49" xfId="0" applyNumberFormat="1" applyFont="1" applyFill="1" applyBorder="1" applyAlignment="1">
      <alignment vertical="center" wrapText="1"/>
    </xf>
    <xf numFmtId="0" fontId="98" fillId="32" borderId="50" xfId="0" applyFont="1" applyFill="1" applyBorder="1" applyAlignment="1">
      <alignment vertical="center" wrapText="1"/>
    </xf>
    <xf numFmtId="0" fontId="98" fillId="2" borderId="50" xfId="0" applyFont="1" applyFill="1" applyBorder="1" applyAlignment="1">
      <alignment vertical="center" wrapText="1"/>
    </xf>
    <xf numFmtId="0" fontId="98" fillId="2" borderId="53" xfId="0" applyFont="1" applyFill="1" applyBorder="1" applyAlignment="1">
      <alignment vertical="center" wrapText="1"/>
    </xf>
    <xf numFmtId="0" fontId="106" fillId="2" borderId="310" xfId="0" applyFont="1" applyFill="1" applyBorder="1" applyAlignment="1">
      <alignment horizontal="center" vertical="center" wrapText="1"/>
    </xf>
    <xf numFmtId="0" fontId="106" fillId="2" borderId="108" xfId="0" applyFont="1" applyFill="1" applyBorder="1" applyAlignment="1">
      <alignment horizontal="center" vertical="center" wrapText="1"/>
    </xf>
    <xf numFmtId="0" fontId="106" fillId="2" borderId="108" xfId="0" applyFont="1" applyFill="1" applyBorder="1" applyAlignment="1">
      <alignment horizontal="left" vertical="center" wrapText="1"/>
    </xf>
    <xf numFmtId="0" fontId="98" fillId="2" borderId="350" xfId="0" applyFont="1" applyFill="1" applyBorder="1" applyAlignment="1">
      <alignment vertical="center" wrapText="1"/>
    </xf>
    <xf numFmtId="0" fontId="268" fillId="32" borderId="311" xfId="0" applyFont="1" applyFill="1" applyBorder="1" applyAlignment="1">
      <alignment horizontal="center" wrapText="1"/>
    </xf>
    <xf numFmtId="0" fontId="104" fillId="49" borderId="314" xfId="0" applyFont="1" applyFill="1" applyBorder="1" applyAlignment="1">
      <alignment horizontal="center" wrapText="1"/>
    </xf>
    <xf numFmtId="0" fontId="299" fillId="49" borderId="314" xfId="0" applyFont="1" applyFill="1" applyBorder="1" applyAlignment="1">
      <alignment horizontal="center" wrapText="1"/>
    </xf>
    <xf numFmtId="0" fontId="300" fillId="49" borderId="314" xfId="0" applyFont="1" applyFill="1" applyBorder="1" applyAlignment="1">
      <alignment horizontal="center" wrapText="1"/>
    </xf>
    <xf numFmtId="0" fontId="104" fillId="49" borderId="362" xfId="0" applyFont="1" applyFill="1" applyBorder="1" applyAlignment="1">
      <alignment horizontal="center" vertical="top" wrapText="1"/>
    </xf>
    <xf numFmtId="3" fontId="77" fillId="2" borderId="363" xfId="0" applyNumberFormat="1" applyFont="1" applyFill="1" applyBorder="1" applyAlignment="1">
      <alignment wrapText="1"/>
    </xf>
    <xf numFmtId="0" fontId="77" fillId="2" borderId="364" xfId="0" applyFont="1" applyFill="1" applyBorder="1" applyAlignment="1">
      <alignment wrapText="1"/>
    </xf>
    <xf numFmtId="0" fontId="106" fillId="32" borderId="56" xfId="0" applyFont="1" applyFill="1" applyBorder="1" applyAlignment="1">
      <alignment horizontal="left" vertical="center" wrapText="1"/>
    </xf>
    <xf numFmtId="0" fontId="106" fillId="32" borderId="52" xfId="0" applyFont="1" applyFill="1" applyBorder="1" applyAlignment="1">
      <alignment horizontal="left" vertical="center" wrapText="1"/>
    </xf>
    <xf numFmtId="3" fontId="98" fillId="32" borderId="49" xfId="0" applyNumberFormat="1" applyFont="1" applyFill="1" applyBorder="1" applyAlignment="1">
      <alignment horizontal="left" vertical="center" wrapText="1"/>
    </xf>
    <xf numFmtId="0" fontId="98" fillId="32" borderId="50" xfId="0" applyFont="1" applyFill="1" applyBorder="1" applyAlignment="1">
      <alignment horizontal="left" vertical="center" wrapText="1"/>
    </xf>
    <xf numFmtId="3" fontId="98" fillId="2" borderId="49" xfId="0" applyNumberFormat="1" applyFont="1" applyFill="1" applyBorder="1" applyAlignment="1">
      <alignment horizontal="left" vertical="center" wrapText="1"/>
    </xf>
    <xf numFmtId="0" fontId="98" fillId="2" borderId="50" xfId="0" applyFont="1" applyFill="1" applyBorder="1" applyAlignment="1">
      <alignment horizontal="left" vertical="center" wrapText="1"/>
    </xf>
    <xf numFmtId="3" fontId="98" fillId="32" borderId="52" xfId="0" applyNumberFormat="1" applyFont="1" applyFill="1" applyBorder="1" applyAlignment="1">
      <alignment horizontal="left" vertical="center" wrapText="1"/>
    </xf>
    <xf numFmtId="0" fontId="98" fillId="32" borderId="53" xfId="0" applyFont="1" applyFill="1" applyBorder="1" applyAlignment="1">
      <alignment horizontal="left" vertical="center" wrapText="1"/>
    </xf>
    <xf numFmtId="178" fontId="98" fillId="32" borderId="49" xfId="0" applyNumberFormat="1" applyFont="1" applyFill="1" applyBorder="1" applyAlignment="1">
      <alignment vertical="center" wrapText="1"/>
    </xf>
    <xf numFmtId="178" fontId="98" fillId="2" borderId="49" xfId="0" applyNumberFormat="1" applyFont="1" applyFill="1" applyBorder="1" applyAlignment="1">
      <alignment vertical="center" wrapText="1"/>
    </xf>
    <xf numFmtId="178" fontId="98" fillId="32" borderId="49" xfId="0" applyNumberFormat="1" applyFont="1" applyFill="1" applyBorder="1" applyAlignment="1">
      <alignment horizontal="center" vertical="center" wrapText="1"/>
    </xf>
    <xf numFmtId="178" fontId="98" fillId="2" borderId="108" xfId="0" applyNumberFormat="1" applyFont="1" applyFill="1" applyBorder="1" applyAlignment="1">
      <alignment horizontal="center" vertical="center" wrapText="1"/>
    </xf>
    <xf numFmtId="169" fontId="106" fillId="32" borderId="52" xfId="0" applyNumberFormat="1" applyFont="1" applyFill="1" applyBorder="1" applyAlignment="1">
      <alignment horizontal="center" vertical="center" wrapText="1"/>
    </xf>
    <xf numFmtId="0" fontId="109" fillId="2" borderId="49" xfId="0" applyFont="1" applyFill="1" applyBorder="1" applyAlignment="1">
      <alignment horizontal="center" vertical="center" wrapText="1"/>
    </xf>
    <xf numFmtId="0" fontId="109" fillId="2" borderId="108" xfId="0" applyFont="1" applyFill="1" applyBorder="1" applyAlignment="1">
      <alignment horizontal="center" vertical="center" wrapText="1"/>
    </xf>
    <xf numFmtId="0" fontId="109" fillId="32" borderId="52" xfId="0" applyFont="1" applyFill="1" applyBorder="1" applyAlignment="1">
      <alignment horizontal="center" vertical="center" wrapText="1"/>
    </xf>
    <xf numFmtId="0" fontId="135" fillId="32" borderId="49" xfId="0" applyFont="1" applyFill="1" applyBorder="1" applyAlignment="1">
      <alignment horizontal="center" vertical="center" wrapText="1"/>
    </xf>
    <xf numFmtId="0" fontId="135" fillId="2" borderId="49" xfId="0" applyFont="1" applyFill="1" applyBorder="1" applyAlignment="1">
      <alignment horizontal="center" vertical="center" wrapText="1"/>
    </xf>
    <xf numFmtId="0" fontId="135" fillId="32" borderId="52" xfId="0" applyFont="1" applyFill="1" applyBorder="1" applyAlignment="1">
      <alignment horizontal="center" vertical="center" wrapText="1"/>
    </xf>
    <xf numFmtId="0" fontId="265" fillId="32" borderId="49" xfId="0" applyFont="1" applyFill="1" applyBorder="1" applyAlignment="1">
      <alignment horizontal="center" vertical="center" wrapText="1"/>
    </xf>
    <xf numFmtId="0" fontId="265" fillId="2" borderId="49" xfId="0" applyFont="1" applyFill="1" applyBorder="1" applyAlignment="1">
      <alignment horizontal="center" vertical="center" wrapText="1"/>
    </xf>
    <xf numFmtId="0" fontId="265" fillId="2" borderId="108" xfId="0" applyFont="1" applyFill="1" applyBorder="1" applyAlignment="1">
      <alignment horizontal="center" vertical="center" wrapText="1"/>
    </xf>
    <xf numFmtId="3" fontId="153" fillId="47" borderId="108" xfId="0" applyNumberFormat="1" applyFont="1" applyFill="1" applyBorder="1" applyAlignment="1">
      <alignment vertical="center" wrapText="1"/>
    </xf>
    <xf numFmtId="0" fontId="153" fillId="47" borderId="350" xfId="0" applyFont="1" applyFill="1" applyBorder="1" applyAlignment="1">
      <alignment vertical="center" wrapText="1"/>
    </xf>
    <xf numFmtId="0" fontId="106" fillId="32" borderId="355" xfId="0" applyFont="1" applyFill="1" applyBorder="1" applyAlignment="1">
      <alignment horizontal="left" vertical="center" wrapText="1"/>
    </xf>
    <xf numFmtId="0" fontId="106" fillId="32" borderId="225" xfId="0" applyFont="1" applyFill="1" applyBorder="1" applyAlignment="1">
      <alignment horizontal="left" vertical="center" wrapText="1"/>
    </xf>
    <xf numFmtId="169" fontId="106" fillId="32" borderId="225" xfId="0" applyNumberFormat="1" applyFont="1" applyFill="1" applyBorder="1" applyAlignment="1">
      <alignment horizontal="center" vertical="center" wrapText="1"/>
    </xf>
    <xf numFmtId="0" fontId="109" fillId="32" borderId="225" xfId="0" applyFont="1" applyFill="1" applyBorder="1" applyAlignment="1">
      <alignment horizontal="center" vertical="center" wrapText="1"/>
    </xf>
    <xf numFmtId="0" fontId="135" fillId="32" borderId="225" xfId="0" applyFont="1" applyFill="1" applyBorder="1" applyAlignment="1">
      <alignment horizontal="center" vertical="center" wrapText="1"/>
    </xf>
    <xf numFmtId="3" fontId="98" fillId="32" borderId="225" xfId="0" applyNumberFormat="1" applyFont="1" applyFill="1" applyBorder="1" applyAlignment="1">
      <alignment horizontal="left" vertical="center" wrapText="1"/>
    </xf>
    <xf numFmtId="0" fontId="98" fillId="32" borderId="356" xfId="0" applyFont="1" applyFill="1" applyBorder="1" applyAlignment="1">
      <alignment horizontal="left" vertical="center" wrapText="1"/>
    </xf>
    <xf numFmtId="0" fontId="106" fillId="32" borderId="48" xfId="0" applyFont="1" applyFill="1" applyBorder="1" applyAlignment="1">
      <alignment horizontal="left" vertical="center" wrapText="1"/>
    </xf>
    <xf numFmtId="0" fontId="302" fillId="32" borderId="49" xfId="0" applyFont="1" applyFill="1" applyBorder="1" applyAlignment="1">
      <alignment vertical="center" wrapText="1"/>
    </xf>
    <xf numFmtId="0" fontId="302" fillId="32" borderId="49" xfId="0" applyFont="1" applyFill="1" applyBorder="1" applyAlignment="1">
      <alignment horizontal="center" vertical="center" wrapText="1"/>
    </xf>
    <xf numFmtId="0" fontId="106" fillId="2" borderId="48" xfId="0" applyFont="1" applyFill="1" applyBorder="1" applyAlignment="1">
      <alignment horizontal="left" vertical="center" wrapText="1"/>
    </xf>
    <xf numFmtId="0" fontId="302" fillId="2" borderId="49" xfId="0" applyFont="1" applyFill="1" applyBorder="1" applyAlignment="1">
      <alignment vertical="center" wrapText="1"/>
    </xf>
    <xf numFmtId="0" fontId="106" fillId="2" borderId="49" xfId="0" applyFont="1" applyFill="1" applyBorder="1" applyAlignment="1">
      <alignment vertical="center" wrapText="1"/>
    </xf>
    <xf numFmtId="0" fontId="302" fillId="2" borderId="49" xfId="0" applyFont="1" applyFill="1" applyBorder="1" applyAlignment="1">
      <alignment horizontal="center" vertical="center" wrapText="1"/>
    </xf>
    <xf numFmtId="0" fontId="109" fillId="2" borderId="49" xfId="0" applyFont="1" applyFill="1" applyBorder="1" applyAlignment="1">
      <alignment horizontal="left" vertical="center" wrapText="1"/>
    </xf>
    <xf numFmtId="0" fontId="153" fillId="47" borderId="49" xfId="0" applyFont="1" applyFill="1" applyBorder="1" applyAlignment="1">
      <alignment wrapText="1"/>
    </xf>
    <xf numFmtId="0" fontId="294" fillId="32" borderId="49" xfId="0" applyFont="1" applyFill="1" applyBorder="1" applyAlignment="1">
      <alignment vertical="center" wrapText="1"/>
    </xf>
    <xf numFmtId="0" fontId="47" fillId="72" borderId="16" xfId="0" applyFont="1" applyFill="1" applyBorder="1" applyAlignment="1">
      <alignment vertical="top" wrapText="1"/>
    </xf>
    <xf numFmtId="0" fontId="47" fillId="72" borderId="40" xfId="0" applyFont="1" applyFill="1" applyBorder="1" applyAlignment="1">
      <alignment wrapText="1"/>
    </xf>
    <xf numFmtId="0" fontId="47" fillId="72" borderId="16" xfId="0" applyFont="1" applyFill="1" applyBorder="1" applyAlignment="1">
      <alignment wrapText="1"/>
    </xf>
    <xf numFmtId="0" fontId="106" fillId="32" borderId="48" xfId="0" applyFont="1" applyFill="1" applyBorder="1" applyAlignment="1">
      <alignment vertical="center" wrapText="1"/>
    </xf>
    <xf numFmtId="0" fontId="106" fillId="32" borderId="49" xfId="0" applyFont="1" applyFill="1" applyBorder="1" applyAlignment="1">
      <alignment vertical="center" wrapText="1"/>
    </xf>
    <xf numFmtId="0" fontId="106" fillId="2" borderId="48" xfId="0" applyFont="1" applyFill="1" applyBorder="1" applyAlignment="1">
      <alignment vertical="center" wrapText="1"/>
    </xf>
    <xf numFmtId="0" fontId="308" fillId="72" borderId="48" xfId="0" applyFont="1" applyFill="1" applyBorder="1" applyAlignment="1">
      <alignment vertical="center" wrapText="1"/>
    </xf>
    <xf numFmtId="0" fontId="308" fillId="72" borderId="49" xfId="0" applyFont="1" applyFill="1" applyBorder="1" applyAlignment="1">
      <alignment vertical="center" wrapText="1"/>
    </xf>
    <xf numFmtId="178" fontId="309" fillId="72" borderId="49" xfId="0" applyNumberFormat="1" applyFont="1" applyFill="1" applyBorder="1" applyAlignment="1">
      <alignment vertical="center" wrapText="1"/>
    </xf>
    <xf numFmtId="0" fontId="309" fillId="72" borderId="50" xfId="0" applyFont="1" applyFill="1" applyBorder="1" applyAlignment="1">
      <alignment vertical="center" wrapText="1"/>
    </xf>
    <xf numFmtId="0" fontId="106" fillId="72" borderId="48" xfId="0" applyFont="1" applyFill="1" applyBorder="1" applyAlignment="1">
      <alignment vertical="center" wrapText="1"/>
    </xf>
    <xf numFmtId="0" fontId="106" fillId="72" borderId="49" xfId="0" applyFont="1" applyFill="1" applyBorder="1" applyAlignment="1">
      <alignment vertical="center" wrapText="1"/>
    </xf>
    <xf numFmtId="178" fontId="98" fillId="72" borderId="49" xfId="0" applyNumberFormat="1" applyFont="1" applyFill="1" applyBorder="1" applyAlignment="1">
      <alignment vertical="center" wrapText="1"/>
    </xf>
    <xf numFmtId="0" fontId="98" fillId="72" borderId="50" xfId="0" applyFont="1" applyFill="1" applyBorder="1" applyAlignment="1">
      <alignment vertical="center" wrapText="1"/>
    </xf>
    <xf numFmtId="0" fontId="268" fillId="72" borderId="49" xfId="0" applyFont="1" applyFill="1" applyBorder="1" applyAlignment="1">
      <alignment vertical="center" wrapText="1"/>
    </xf>
    <xf numFmtId="0" fontId="106" fillId="72" borderId="107" xfId="0" applyFont="1" applyFill="1" applyBorder="1" applyAlignment="1">
      <alignment vertical="center" wrapText="1"/>
    </xf>
    <xf numFmtId="0" fontId="106" fillId="72" borderId="108" xfId="0" applyFont="1" applyFill="1" applyBorder="1" applyAlignment="1">
      <alignment vertical="center" wrapText="1"/>
    </xf>
    <xf numFmtId="178" fontId="98" fillId="72" borderId="108" xfId="0" applyNumberFormat="1" applyFont="1" applyFill="1" applyBorder="1" applyAlignment="1">
      <alignment vertical="center" wrapText="1"/>
    </xf>
    <xf numFmtId="0" fontId="98" fillId="72" borderId="350" xfId="0" applyFont="1" applyFill="1" applyBorder="1" applyAlignment="1">
      <alignment vertical="center" wrapText="1"/>
    </xf>
    <xf numFmtId="0" fontId="106" fillId="32" borderId="48" xfId="0" applyFont="1" applyFill="1" applyBorder="1" applyAlignment="1">
      <alignment horizontal="center" vertical="center" wrapText="1"/>
    </xf>
    <xf numFmtId="0" fontId="109" fillId="32" borderId="49" xfId="0" applyFont="1" applyFill="1" applyBorder="1" applyAlignment="1">
      <alignment vertical="center" wrapText="1"/>
    </xf>
    <xf numFmtId="0" fontId="98" fillId="32" borderId="49" xfId="0" applyFont="1" applyFill="1" applyBorder="1" applyAlignment="1">
      <alignment vertical="center" wrapText="1"/>
    </xf>
    <xf numFmtId="0" fontId="109" fillId="2" borderId="49" xfId="0" applyFont="1" applyFill="1" applyBorder="1" applyAlignment="1">
      <alignment vertical="center" wrapText="1"/>
    </xf>
    <xf numFmtId="0" fontId="98" fillId="2" borderId="49" xfId="0" applyFont="1" applyFill="1" applyBorder="1" applyAlignment="1">
      <alignment vertical="center" wrapText="1"/>
    </xf>
    <xf numFmtId="0" fontId="306" fillId="2" borderId="48" xfId="0" applyFont="1" applyFill="1" applyBorder="1" applyAlignment="1">
      <alignment horizontal="left" vertical="center" wrapText="1"/>
    </xf>
    <xf numFmtId="0" fontId="265" fillId="47" borderId="58" xfId="0" applyFont="1" applyFill="1" applyBorder="1" applyAlignment="1">
      <alignment horizontal="center" vertical="center" wrapText="1"/>
    </xf>
    <xf numFmtId="0" fontId="153" fillId="47" borderId="58" xfId="0" applyFont="1" applyFill="1" applyBorder="1" applyAlignment="1">
      <alignment horizontal="center" vertical="center" wrapText="1"/>
    </xf>
    <xf numFmtId="0" fontId="153" fillId="47" borderId="59" xfId="0" applyFont="1" applyFill="1" applyBorder="1" applyAlignment="1">
      <alignment horizontal="center" vertical="center" wrapText="1"/>
    </xf>
    <xf numFmtId="0" fontId="106" fillId="32" borderId="107" xfId="0" applyFont="1" applyFill="1" applyBorder="1" applyAlignment="1">
      <alignment vertical="center" wrapText="1"/>
    </xf>
    <xf numFmtId="0" fontId="302" fillId="32" borderId="108" xfId="0" applyFont="1" applyFill="1" applyBorder="1" applyAlignment="1">
      <alignment horizontal="center" vertical="center" wrapText="1"/>
    </xf>
    <xf numFmtId="178" fontId="98" fillId="32" borderId="108" xfId="0" applyNumberFormat="1" applyFont="1" applyFill="1" applyBorder="1" applyAlignment="1">
      <alignment vertical="center" wrapText="1"/>
    </xf>
    <xf numFmtId="0" fontId="98" fillId="32" borderId="350" xfId="0" applyFont="1" applyFill="1" applyBorder="1" applyAlignment="1">
      <alignment vertical="center" wrapText="1"/>
    </xf>
    <xf numFmtId="0" fontId="106" fillId="72" borderId="227" xfId="0" applyFont="1" applyFill="1" applyBorder="1" applyAlignment="1">
      <alignment vertical="center" wrapText="1"/>
    </xf>
    <xf numFmtId="0" fontId="106" fillId="72" borderId="228" xfId="0" applyFont="1" applyFill="1" applyBorder="1" applyAlignment="1">
      <alignment vertical="center" wrapText="1"/>
    </xf>
    <xf numFmtId="178" fontId="98" fillId="72" borderId="228" xfId="0" applyNumberFormat="1" applyFont="1" applyFill="1" applyBorder="1" applyAlignment="1">
      <alignment vertical="center" wrapText="1"/>
    </xf>
    <xf numFmtId="0" fontId="98" fillId="72" borderId="367" xfId="0" applyFont="1" applyFill="1" applyBorder="1" applyAlignment="1">
      <alignment vertical="center" wrapText="1"/>
    </xf>
    <xf numFmtId="0" fontId="106" fillId="2" borderId="51" xfId="0" applyFont="1" applyFill="1" applyBorder="1" applyAlignment="1">
      <alignment vertical="center" wrapText="1"/>
    </xf>
    <xf numFmtId="0" fontId="302" fillId="2" borderId="52" xfId="0" applyFont="1" applyFill="1" applyBorder="1" applyAlignment="1">
      <alignment horizontal="center" vertical="center" wrapText="1"/>
    </xf>
    <xf numFmtId="0" fontId="109" fillId="2" borderId="52" xfId="0" applyFont="1" applyFill="1" applyBorder="1" applyAlignment="1">
      <alignment horizontal="center" vertical="center" wrapText="1"/>
    </xf>
    <xf numFmtId="178" fontId="98" fillId="2" borderId="52" xfId="0" applyNumberFormat="1" applyFont="1" applyFill="1" applyBorder="1" applyAlignment="1">
      <alignment vertical="center" wrapText="1"/>
    </xf>
    <xf numFmtId="0" fontId="106" fillId="2" borderId="51" xfId="0" applyFont="1" applyFill="1" applyBorder="1" applyAlignment="1">
      <alignment horizontal="center" vertical="center" wrapText="1"/>
    </xf>
    <xf numFmtId="0" fontId="106" fillId="2" borderId="52" xfId="0" applyFont="1" applyFill="1" applyBorder="1" applyAlignment="1">
      <alignment vertical="center" wrapText="1"/>
    </xf>
    <xf numFmtId="0" fontId="109" fillId="2" borderId="52" xfId="0" applyFont="1" applyFill="1" applyBorder="1" applyAlignment="1">
      <alignment vertical="center" wrapText="1"/>
    </xf>
    <xf numFmtId="0" fontId="294" fillId="2" borderId="52" xfId="0" applyFont="1" applyFill="1" applyBorder="1" applyAlignment="1">
      <alignment vertical="center" wrapText="1"/>
    </xf>
    <xf numFmtId="0" fontId="98" fillId="2" borderId="52" xfId="0" applyFont="1" applyFill="1" applyBorder="1" applyAlignment="1">
      <alignment vertical="center" wrapText="1"/>
    </xf>
    <xf numFmtId="0" fontId="265" fillId="47" borderId="224" xfId="0" applyFont="1" applyFill="1" applyBorder="1" applyAlignment="1">
      <alignment horizontal="center" vertical="center" wrapText="1"/>
    </xf>
    <xf numFmtId="0" fontId="265" fillId="47" borderId="225" xfId="0" applyFont="1" applyFill="1" applyBorder="1" applyAlignment="1">
      <alignment horizontal="center" vertical="center" wrapText="1"/>
    </xf>
    <xf numFmtId="0" fontId="153" fillId="47" borderId="225" xfId="0" applyFont="1" applyFill="1" applyBorder="1" applyAlignment="1">
      <alignment horizontal="center" vertical="center" wrapText="1"/>
    </xf>
    <xf numFmtId="0" fontId="153" fillId="47" borderId="356" xfId="0" applyFont="1" applyFill="1" applyBorder="1" applyAlignment="1">
      <alignment horizontal="center" vertical="center" wrapText="1"/>
    </xf>
    <xf numFmtId="0" fontId="268" fillId="72" borderId="108" xfId="0" applyFont="1" applyFill="1" applyBorder="1" applyAlignment="1">
      <alignment vertical="center" wrapText="1"/>
    </xf>
    <xf numFmtId="178" fontId="153" fillId="47" borderId="225" xfId="0" applyNumberFormat="1" applyFont="1" applyFill="1" applyBorder="1" applyAlignment="1">
      <alignment vertical="center" wrapText="1"/>
    </xf>
    <xf numFmtId="0" fontId="153" fillId="47" borderId="356" xfId="0" applyFont="1" applyFill="1" applyBorder="1" applyAlignment="1">
      <alignment vertical="center" wrapText="1"/>
    </xf>
    <xf numFmtId="0" fontId="153" fillId="47" borderId="225" xfId="0" applyFont="1" applyFill="1" applyBorder="1" applyAlignment="1">
      <alignment vertical="center" wrapText="1"/>
    </xf>
    <xf numFmtId="0" fontId="98" fillId="72" borderId="228" xfId="0" applyFont="1" applyFill="1" applyBorder="1" applyAlignment="1">
      <alignment vertical="center" wrapText="1"/>
    </xf>
    <xf numFmtId="0" fontId="106" fillId="2" borderId="107" xfId="0" applyFont="1" applyFill="1" applyBorder="1" applyAlignment="1">
      <alignment horizontal="left" vertical="center" wrapText="1"/>
    </xf>
    <xf numFmtId="0" fontId="302" fillId="2" borderId="108" xfId="0" applyFont="1" applyFill="1" applyBorder="1" applyAlignment="1">
      <alignment horizontal="center" vertical="center" wrapText="1"/>
    </xf>
    <xf numFmtId="0" fontId="109" fillId="2" borderId="108" xfId="0" applyFont="1" applyFill="1" applyBorder="1" applyAlignment="1">
      <alignment vertical="center" wrapText="1"/>
    </xf>
    <xf numFmtId="0" fontId="106" fillId="2" borderId="108" xfId="0" applyFont="1" applyFill="1" applyBorder="1" applyAlignment="1">
      <alignment vertical="center" wrapText="1"/>
    </xf>
    <xf numFmtId="0" fontId="98" fillId="2" borderId="108" xfId="0" applyFont="1" applyFill="1" applyBorder="1" applyAlignment="1">
      <alignment vertical="center" wrapText="1"/>
    </xf>
    <xf numFmtId="0" fontId="0" fillId="0" borderId="224" xfId="0" applyBorder="1"/>
    <xf numFmtId="0" fontId="0" fillId="0" borderId="225" xfId="0" applyBorder="1"/>
    <xf numFmtId="0" fontId="0" fillId="0" borderId="356" xfId="0" applyBorder="1"/>
    <xf numFmtId="0" fontId="306" fillId="32" borderId="51" xfId="0" applyFont="1" applyFill="1" applyBorder="1" applyAlignment="1">
      <alignment horizontal="left" vertical="center" wrapText="1"/>
    </xf>
    <xf numFmtId="173" fontId="106" fillId="32" borderId="108" xfId="0" applyNumberFormat="1" applyFont="1" applyFill="1" applyBorder="1" applyAlignment="1">
      <alignment horizontal="center" vertical="center" wrapText="1"/>
    </xf>
    <xf numFmtId="0" fontId="105" fillId="31" borderId="15" xfId="0" applyFont="1" applyFill="1" applyBorder="1" applyAlignment="1">
      <alignment horizontal="center" vertical="center" wrapText="1"/>
    </xf>
    <xf numFmtId="0" fontId="76" fillId="0" borderId="15" xfId="0" applyFont="1" applyBorder="1" applyAlignment="1">
      <alignment wrapText="1"/>
    </xf>
    <xf numFmtId="0" fontId="76" fillId="0" borderId="15" xfId="0" applyFont="1" applyBorder="1" applyAlignment="1">
      <alignment vertical="top" wrapText="1"/>
    </xf>
    <xf numFmtId="0" fontId="76" fillId="0" borderId="17" xfId="0" applyFont="1" applyBorder="1" applyAlignment="1">
      <alignment vertical="top" wrapText="1"/>
    </xf>
    <xf numFmtId="0" fontId="314" fillId="72" borderId="15" xfId="0" applyFont="1" applyFill="1" applyBorder="1" applyAlignment="1">
      <alignment vertical="top" wrapText="1"/>
    </xf>
    <xf numFmtId="0" fontId="314" fillId="72" borderId="16" xfId="0" applyFont="1" applyFill="1" applyBorder="1" applyAlignment="1">
      <alignment vertical="top" wrapText="1"/>
    </xf>
    <xf numFmtId="0" fontId="62" fillId="72" borderId="17" xfId="0" applyFont="1" applyFill="1" applyBorder="1" applyAlignment="1">
      <alignment vertical="top" wrapText="1"/>
    </xf>
    <xf numFmtId="0" fontId="62" fillId="72" borderId="18" xfId="0" applyFont="1" applyFill="1" applyBorder="1" applyAlignment="1">
      <alignment vertical="top" wrapText="1"/>
    </xf>
    <xf numFmtId="0" fontId="109" fillId="2" borderId="55" xfId="0" applyFont="1" applyFill="1" applyBorder="1" applyAlignment="1">
      <alignment horizontal="center" vertical="center" wrapText="1"/>
    </xf>
    <xf numFmtId="2" fontId="109" fillId="2" borderId="49" xfId="0" applyNumberFormat="1" applyFont="1" applyFill="1" applyBorder="1" applyAlignment="1">
      <alignment horizontal="center" vertical="center" wrapText="1"/>
    </xf>
    <xf numFmtId="0" fontId="265" fillId="47" borderId="370" xfId="0" applyFont="1" applyFill="1" applyBorder="1" applyAlignment="1">
      <alignment horizontal="center" vertical="center" wrapText="1"/>
    </xf>
    <xf numFmtId="0" fontId="153" fillId="47" borderId="370" xfId="0" applyFont="1" applyFill="1" applyBorder="1" applyAlignment="1">
      <alignment horizontal="center" vertical="center" wrapText="1"/>
    </xf>
    <xf numFmtId="0" fontId="153" fillId="47" borderId="371" xfId="0" applyFont="1" applyFill="1" applyBorder="1" applyAlignment="1">
      <alignment horizontal="center" vertical="center" wrapText="1"/>
    </xf>
    <xf numFmtId="0" fontId="109" fillId="32" borderId="372" xfId="0" applyFont="1" applyFill="1" applyBorder="1" applyAlignment="1">
      <alignment horizontal="center" vertical="center" wrapText="1"/>
    </xf>
    <xf numFmtId="0" fontId="98" fillId="32" borderId="373" xfId="0" applyFont="1" applyFill="1" applyBorder="1" applyAlignment="1">
      <alignment vertical="center" wrapText="1"/>
    </xf>
    <xf numFmtId="0" fontId="109" fillId="2" borderId="372" xfId="0" applyFont="1" applyFill="1" applyBorder="1" applyAlignment="1">
      <alignment horizontal="center" vertical="center" wrapText="1"/>
    </xf>
    <xf numFmtId="0" fontId="98" fillId="2" borderId="373" xfId="0" applyFont="1" applyFill="1" applyBorder="1" applyAlignment="1">
      <alignment vertical="center" wrapText="1"/>
    </xf>
    <xf numFmtId="0" fontId="62" fillId="72" borderId="41" xfId="0" applyFont="1" applyFill="1" applyBorder="1" applyAlignment="1">
      <alignment vertical="top" wrapText="1"/>
    </xf>
    <xf numFmtId="0" fontId="265" fillId="47" borderId="377" xfId="0" applyFont="1" applyFill="1" applyBorder="1" applyAlignment="1">
      <alignment horizontal="center" vertical="center" wrapText="1"/>
    </xf>
    <xf numFmtId="0" fontId="109" fillId="32" borderId="379" xfId="0" applyFont="1" applyFill="1" applyBorder="1" applyAlignment="1">
      <alignment horizontal="center" vertical="center" wrapText="1"/>
    </xf>
    <xf numFmtId="0" fontId="98" fillId="32" borderId="380" xfId="0" applyFont="1" applyFill="1" applyBorder="1" applyAlignment="1">
      <alignment vertical="center" wrapText="1"/>
    </xf>
    <xf numFmtId="0" fontId="109" fillId="2" borderId="379" xfId="0" applyFont="1" applyFill="1" applyBorder="1" applyAlignment="1">
      <alignment horizontal="center" vertical="center" wrapText="1"/>
    </xf>
    <xf numFmtId="0" fontId="98" fillId="2" borderId="380" xfId="0" applyFont="1" applyFill="1" applyBorder="1" applyAlignment="1">
      <alignment vertical="center" wrapText="1"/>
    </xf>
    <xf numFmtId="0" fontId="265" fillId="47" borderId="355" xfId="0" applyFont="1" applyFill="1" applyBorder="1" applyAlignment="1">
      <alignment horizontal="center" vertical="center" wrapText="1"/>
    </xf>
    <xf numFmtId="0" fontId="109" fillId="2" borderId="310" xfId="0" applyFont="1" applyFill="1" applyBorder="1" applyAlignment="1">
      <alignment horizontal="center" vertical="center" wrapText="1"/>
    </xf>
    <xf numFmtId="2" fontId="106" fillId="2" borderId="108" xfId="0" applyNumberFormat="1" applyFont="1" applyFill="1" applyBorder="1" applyAlignment="1">
      <alignment horizontal="center" vertical="center" wrapText="1"/>
    </xf>
    <xf numFmtId="2" fontId="109" fillId="2" borderId="108" xfId="0" applyNumberFormat="1" applyFont="1" applyFill="1" applyBorder="1" applyAlignment="1">
      <alignment horizontal="center" vertical="center" wrapText="1"/>
    </xf>
    <xf numFmtId="0" fontId="265" fillId="47" borderId="383" xfId="0" applyFont="1" applyFill="1" applyBorder="1" applyAlignment="1">
      <alignment horizontal="center" vertical="center" wrapText="1"/>
    </xf>
    <xf numFmtId="0" fontId="153" fillId="47" borderId="384" xfId="0" applyFont="1" applyFill="1" applyBorder="1" applyAlignment="1">
      <alignment horizontal="center" vertical="center" wrapText="1"/>
    </xf>
    <xf numFmtId="0" fontId="314" fillId="72" borderId="40" xfId="0" applyFont="1" applyFill="1" applyBorder="1" applyAlignment="1">
      <alignment vertical="top" wrapText="1"/>
    </xf>
    <xf numFmtId="0" fontId="265" fillId="47" borderId="387" xfId="0" applyFont="1" applyFill="1" applyBorder="1" applyAlignment="1">
      <alignment horizontal="center" vertical="center" wrapText="1"/>
    </xf>
    <xf numFmtId="0" fontId="153" fillId="47" borderId="388" xfId="0" applyFont="1" applyFill="1" applyBorder="1" applyAlignment="1">
      <alignment horizontal="center" vertical="center" wrapText="1"/>
    </xf>
    <xf numFmtId="0" fontId="109" fillId="2" borderId="391" xfId="0" applyFont="1" applyFill="1" applyBorder="1" applyAlignment="1">
      <alignment horizontal="center" vertical="center" wrapText="1"/>
    </xf>
    <xf numFmtId="0" fontId="98" fillId="2" borderId="392" xfId="0" applyFont="1" applyFill="1" applyBorder="1" applyAlignment="1">
      <alignment vertical="center" wrapText="1"/>
    </xf>
    <xf numFmtId="0" fontId="109" fillId="74" borderId="393" xfId="0" applyFont="1" applyFill="1" applyBorder="1" applyAlignment="1">
      <alignment horizontal="center" vertical="center" wrapText="1"/>
    </xf>
    <xf numFmtId="0" fontId="109" fillId="74" borderId="394" xfId="0" applyFont="1" applyFill="1" applyBorder="1" applyAlignment="1">
      <alignment horizontal="center" vertical="center" wrapText="1"/>
    </xf>
    <xf numFmtId="0" fontId="106" fillId="74" borderId="394" xfId="0" applyFont="1" applyFill="1" applyBorder="1" applyAlignment="1">
      <alignment vertical="center" wrapText="1"/>
    </xf>
    <xf numFmtId="0" fontId="98" fillId="74" borderId="394" xfId="0" applyFont="1" applyFill="1" applyBorder="1" applyAlignment="1">
      <alignment vertical="center" wrapText="1"/>
    </xf>
    <xf numFmtId="0" fontId="98" fillId="74" borderId="395" xfId="0" applyFont="1" applyFill="1" applyBorder="1" applyAlignment="1">
      <alignment vertical="center" wrapText="1"/>
    </xf>
    <xf numFmtId="0" fontId="109" fillId="32" borderId="385" xfId="0" applyFont="1" applyFill="1" applyBorder="1" applyAlignment="1">
      <alignment horizontal="center" vertical="center" wrapText="1"/>
    </xf>
    <xf numFmtId="0" fontId="109" fillId="32" borderId="108" xfId="0" applyFont="1" applyFill="1" applyBorder="1" applyAlignment="1">
      <alignment horizontal="left" vertical="center" wrapText="1"/>
    </xf>
    <xf numFmtId="0" fontId="106" fillId="32" borderId="108" xfId="0" applyFont="1" applyFill="1" applyBorder="1" applyAlignment="1">
      <alignment vertical="center" wrapText="1"/>
    </xf>
    <xf numFmtId="0" fontId="98" fillId="32" borderId="108" xfId="0" applyFont="1" applyFill="1" applyBorder="1" applyAlignment="1">
      <alignment vertical="center" wrapText="1"/>
    </xf>
    <xf numFmtId="0" fontId="98" fillId="32" borderId="386" xfId="0" applyFont="1" applyFill="1" applyBorder="1" applyAlignment="1">
      <alignment vertical="center" wrapText="1"/>
    </xf>
    <xf numFmtId="0" fontId="103" fillId="84" borderId="396" xfId="0" applyFont="1" applyFill="1" applyBorder="1" applyAlignment="1">
      <alignment horizontal="center" vertical="center" wrapText="1"/>
    </xf>
    <xf numFmtId="0" fontId="103" fillId="84" borderId="397" xfId="0" applyFont="1" applyFill="1" applyBorder="1" applyAlignment="1">
      <alignment horizontal="left" vertical="center" wrapText="1"/>
    </xf>
    <xf numFmtId="0" fontId="58" fillId="84" borderId="397" xfId="0" applyFont="1" applyFill="1" applyBorder="1" applyAlignment="1">
      <alignment horizontal="left" vertical="center" wrapText="1"/>
    </xf>
    <xf numFmtId="0" fontId="58" fillId="84" borderId="398" xfId="0" applyFont="1" applyFill="1" applyBorder="1" applyAlignment="1">
      <alignment horizontal="left" vertical="center" wrapText="1"/>
    </xf>
    <xf numFmtId="0" fontId="109" fillId="2" borderId="399" xfId="0" applyFont="1" applyFill="1" applyBorder="1" applyAlignment="1">
      <alignment horizontal="center" vertical="center" wrapText="1"/>
    </xf>
    <xf numFmtId="0" fontId="109" fillId="2" borderId="400" xfId="0" applyFont="1" applyFill="1" applyBorder="1" applyAlignment="1">
      <alignment horizontal="left" vertical="center" wrapText="1"/>
    </xf>
    <xf numFmtId="0" fontId="109" fillId="2" borderId="400" xfId="0" applyFont="1" applyFill="1" applyBorder="1" applyAlignment="1">
      <alignment horizontal="center" vertical="center" wrapText="1"/>
    </xf>
    <xf numFmtId="0" fontId="106" fillId="2" borderId="400" xfId="0" applyFont="1" applyFill="1" applyBorder="1" applyAlignment="1">
      <alignment vertical="center" wrapText="1"/>
    </xf>
    <xf numFmtId="0" fontId="98" fillId="2" borderId="400" xfId="0" applyFont="1" applyFill="1" applyBorder="1" applyAlignment="1">
      <alignment vertical="center" wrapText="1"/>
    </xf>
    <xf numFmtId="0" fontId="98" fillId="2" borderId="401" xfId="0" applyFont="1" applyFill="1" applyBorder="1" applyAlignment="1">
      <alignment vertical="center" wrapText="1"/>
    </xf>
    <xf numFmtId="0" fontId="110" fillId="14" borderId="15" xfId="0" applyFont="1" applyFill="1" applyBorder="1" applyAlignment="1">
      <alignment vertical="center" wrapText="1"/>
    </xf>
    <xf numFmtId="0" fontId="110" fillId="24" borderId="15" xfId="0" applyFont="1" applyFill="1" applyBorder="1" applyAlignment="1">
      <alignment vertical="center" wrapText="1"/>
    </xf>
    <xf numFmtId="0" fontId="88" fillId="14" borderId="15" xfId="0" applyFont="1" applyFill="1" applyBorder="1" applyAlignment="1">
      <alignment horizontal="center" vertical="center" wrapText="1"/>
    </xf>
    <xf numFmtId="0" fontId="88" fillId="24" borderId="15" xfId="0" applyFont="1" applyFill="1" applyBorder="1" applyAlignment="1">
      <alignment horizontal="center" vertical="center" wrapText="1"/>
    </xf>
    <xf numFmtId="0" fontId="88" fillId="14" borderId="15" xfId="0" applyFont="1" applyFill="1" applyBorder="1" applyAlignment="1">
      <alignment vertical="center" wrapText="1"/>
    </xf>
    <xf numFmtId="0" fontId="88" fillId="24" borderId="15" xfId="0" applyFont="1" applyFill="1" applyBorder="1" applyAlignment="1">
      <alignment vertical="center" wrapText="1"/>
    </xf>
    <xf numFmtId="0" fontId="103" fillId="45" borderId="15" xfId="0" applyFont="1" applyFill="1" applyBorder="1" applyAlignment="1">
      <alignment horizontal="center" vertical="center" wrapText="1"/>
    </xf>
    <xf numFmtId="0" fontId="106" fillId="74" borderId="15" xfId="0" applyFont="1" applyFill="1" applyBorder="1" applyAlignment="1">
      <alignment horizontal="center" vertical="center" wrapText="1"/>
    </xf>
    <xf numFmtId="0" fontId="58" fillId="72" borderId="15" xfId="0" applyFont="1" applyFill="1" applyBorder="1" applyAlignment="1">
      <alignment vertical="top" wrapText="1"/>
    </xf>
    <xf numFmtId="0" fontId="58" fillId="72" borderId="16" xfId="0" applyFont="1" applyFill="1" applyBorder="1" applyAlignment="1">
      <alignment vertical="top" wrapText="1"/>
    </xf>
    <xf numFmtId="0" fontId="65" fillId="72" borderId="15" xfId="0" applyFont="1" applyFill="1" applyBorder="1" applyAlignment="1">
      <alignment vertical="top" wrapText="1"/>
    </xf>
    <xf numFmtId="0" fontId="77" fillId="12" borderId="15" xfId="0" applyFont="1" applyFill="1" applyBorder="1" applyAlignment="1">
      <alignment vertical="center" wrapText="1"/>
    </xf>
    <xf numFmtId="0" fontId="108" fillId="72" borderId="15" xfId="0" applyFont="1" applyFill="1" applyBorder="1" applyAlignment="1">
      <alignment vertical="center" wrapText="1"/>
    </xf>
    <xf numFmtId="0" fontId="76" fillId="72" borderId="15" xfId="0" applyFont="1" applyFill="1" applyBorder="1" applyAlignment="1">
      <alignment vertical="center" wrapText="1"/>
    </xf>
    <xf numFmtId="0" fontId="153" fillId="32" borderId="39" xfId="0" applyFont="1" applyFill="1" applyBorder="1" applyAlignment="1">
      <alignment horizontal="center" vertical="center" wrapText="1"/>
    </xf>
    <xf numFmtId="0" fontId="86" fillId="14" borderId="40" xfId="0" applyFont="1" applyFill="1" applyBorder="1" applyAlignment="1">
      <alignment horizontal="center" vertical="center" wrapText="1"/>
    </xf>
    <xf numFmtId="0" fontId="86" fillId="24" borderId="40" xfId="0" applyFont="1" applyFill="1" applyBorder="1" applyAlignment="1">
      <alignment vertical="center" wrapText="1"/>
    </xf>
    <xf numFmtId="0" fontId="86" fillId="14" borderId="40" xfId="0" applyFont="1" applyFill="1" applyBorder="1" applyAlignment="1">
      <alignment vertical="center" wrapText="1"/>
    </xf>
    <xf numFmtId="0" fontId="98" fillId="2" borderId="40" xfId="0" applyFont="1" applyFill="1" applyBorder="1" applyAlignment="1">
      <alignment vertical="center" wrapText="1"/>
    </xf>
    <xf numFmtId="173" fontId="311" fillId="78" borderId="49" xfId="0" applyNumberFormat="1" applyFont="1" applyFill="1" applyBorder="1" applyAlignment="1">
      <alignment horizontal="center" vertical="center" wrapText="1"/>
    </xf>
    <xf numFmtId="2" fontId="311" fillId="78" borderId="49" xfId="0" applyNumberFormat="1" applyFont="1" applyFill="1" applyBorder="1" applyAlignment="1">
      <alignment horizontal="center" vertical="center" wrapText="1"/>
    </xf>
    <xf numFmtId="0" fontId="311" fillId="78" borderId="49" xfId="0" applyFont="1" applyFill="1" applyBorder="1" applyAlignment="1">
      <alignment horizontal="center" vertical="center" wrapText="1"/>
    </xf>
    <xf numFmtId="0" fontId="311" fillId="78" borderId="50" xfId="0" applyFont="1" applyFill="1" applyBorder="1" applyAlignment="1">
      <alignment horizontal="center" vertical="center" wrapText="1"/>
    </xf>
    <xf numFmtId="173" fontId="312" fillId="74" borderId="49" xfId="0" applyNumberFormat="1" applyFont="1" applyFill="1" applyBorder="1" applyAlignment="1">
      <alignment horizontal="center" vertical="center" wrapText="1"/>
    </xf>
    <xf numFmtId="2" fontId="312" fillId="74" borderId="49" xfId="0" applyNumberFormat="1" applyFont="1" applyFill="1" applyBorder="1" applyAlignment="1">
      <alignment horizontal="center" vertical="center" wrapText="1"/>
    </xf>
    <xf numFmtId="0" fontId="312" fillId="74" borderId="49" xfId="0" applyFont="1" applyFill="1" applyBorder="1" applyAlignment="1">
      <alignment horizontal="center" vertical="center" wrapText="1"/>
    </xf>
    <xf numFmtId="0" fontId="312" fillId="74" borderId="50" xfId="0" applyFont="1" applyFill="1" applyBorder="1" applyAlignment="1">
      <alignment vertical="center" wrapText="1"/>
    </xf>
    <xf numFmtId="173" fontId="293" fillId="87" borderId="49" xfId="0" applyNumberFormat="1" applyFont="1" applyFill="1" applyBorder="1" applyAlignment="1">
      <alignment horizontal="center" vertical="center" wrapText="1"/>
    </xf>
    <xf numFmtId="2" fontId="293" fillId="87" borderId="49" xfId="0" applyNumberFormat="1" applyFont="1" applyFill="1" applyBorder="1" applyAlignment="1">
      <alignment horizontal="center" vertical="center" wrapText="1"/>
    </xf>
    <xf numFmtId="0" fontId="293" fillId="87" borderId="49" xfId="0" applyFont="1" applyFill="1" applyBorder="1" applyAlignment="1">
      <alignment horizontal="center" vertical="center" wrapText="1"/>
    </xf>
    <xf numFmtId="0" fontId="293" fillId="87" borderId="50" xfId="0" applyFont="1" applyFill="1" applyBorder="1" applyAlignment="1">
      <alignment vertical="center" wrapText="1"/>
    </xf>
    <xf numFmtId="173" fontId="315" fillId="88" borderId="49" xfId="0" applyNumberFormat="1" applyFont="1" applyFill="1" applyBorder="1" applyAlignment="1">
      <alignment horizontal="center" vertical="center" wrapText="1"/>
    </xf>
    <xf numFmtId="2" fontId="315" fillId="88" borderId="49" xfId="0" applyNumberFormat="1" applyFont="1" applyFill="1" applyBorder="1" applyAlignment="1">
      <alignment horizontal="center" vertical="center" wrapText="1"/>
    </xf>
    <xf numFmtId="0" fontId="315" fillId="88" borderId="49" xfId="0" applyFont="1" applyFill="1" applyBorder="1" applyAlignment="1">
      <alignment horizontal="center" vertical="center" wrapText="1"/>
    </xf>
    <xf numFmtId="0" fontId="315" fillId="88" borderId="50" xfId="0" applyFont="1" applyFill="1" applyBorder="1" applyAlignment="1">
      <alignment vertical="center" wrapText="1"/>
    </xf>
    <xf numFmtId="0" fontId="297" fillId="72" borderId="49" xfId="0" applyFont="1" applyFill="1" applyBorder="1" applyAlignment="1">
      <alignment horizontal="center" vertical="center" wrapText="1"/>
    </xf>
    <xf numFmtId="2" fontId="297" fillId="72" borderId="49" xfId="0" applyNumberFormat="1" applyFont="1" applyFill="1" applyBorder="1" applyAlignment="1">
      <alignment horizontal="center" vertical="center" wrapText="1"/>
    </xf>
    <xf numFmtId="0" fontId="297" fillId="72" borderId="50" xfId="0" applyFont="1" applyFill="1" applyBorder="1" applyAlignment="1">
      <alignment vertical="center" wrapText="1"/>
    </xf>
    <xf numFmtId="173" fontId="311" fillId="78" borderId="133" xfId="0" applyNumberFormat="1" applyFont="1" applyFill="1" applyBorder="1" applyAlignment="1">
      <alignment horizontal="center" vertical="center" wrapText="1"/>
    </xf>
    <xf numFmtId="173" fontId="312" fillId="74" borderId="133" xfId="0" applyNumberFormat="1" applyFont="1" applyFill="1" applyBorder="1" applyAlignment="1">
      <alignment horizontal="center" vertical="center" wrapText="1"/>
    </xf>
    <xf numFmtId="0" fontId="311" fillId="78" borderId="405" xfId="0" applyFont="1" applyFill="1" applyBorder="1" applyAlignment="1">
      <alignment horizontal="left" vertical="center" wrapText="1"/>
    </xf>
    <xf numFmtId="173" fontId="293" fillId="87" borderId="133" xfId="0" applyNumberFormat="1" applyFont="1" applyFill="1" applyBorder="1" applyAlignment="1">
      <alignment horizontal="center" vertical="center" wrapText="1"/>
    </xf>
    <xf numFmtId="0" fontId="312" fillId="74" borderId="406" xfId="0" applyFont="1" applyFill="1" applyBorder="1" applyAlignment="1">
      <alignment horizontal="left" vertical="center" wrapText="1"/>
    </xf>
    <xf numFmtId="173" fontId="315" fillId="88" borderId="133" xfId="0" applyNumberFormat="1" applyFont="1" applyFill="1" applyBorder="1" applyAlignment="1">
      <alignment horizontal="center" vertical="center" wrapText="1"/>
    </xf>
    <xf numFmtId="0" fontId="293" fillId="87" borderId="407" xfId="0" applyFont="1" applyFill="1" applyBorder="1" applyAlignment="1">
      <alignment horizontal="left" vertical="center" wrapText="1"/>
    </xf>
    <xf numFmtId="0" fontId="297" fillId="72" borderId="404" xfId="0" applyFont="1" applyFill="1" applyBorder="1" applyAlignment="1">
      <alignment horizontal="left" vertical="center" wrapText="1"/>
    </xf>
    <xf numFmtId="0" fontId="315" fillId="88" borderId="408" xfId="0" applyFont="1" applyFill="1" applyBorder="1" applyAlignment="1">
      <alignment horizontal="left" vertical="center" wrapText="1"/>
    </xf>
    <xf numFmtId="0" fontId="103" fillId="45" borderId="409" xfId="0" applyFont="1" applyFill="1" applyBorder="1" applyAlignment="1">
      <alignment horizontal="left" vertical="center" wrapText="1"/>
    </xf>
    <xf numFmtId="173" fontId="103" fillId="45" borderId="108" xfId="0" applyNumberFormat="1" applyFont="1" applyFill="1" applyBorder="1" applyAlignment="1">
      <alignment horizontal="center" vertical="center" wrapText="1"/>
    </xf>
    <xf numFmtId="2" fontId="103" fillId="45" borderId="108" xfId="0" applyNumberFormat="1" applyFont="1" applyFill="1" applyBorder="1" applyAlignment="1">
      <alignment horizontal="center" vertical="center" wrapText="1"/>
    </xf>
    <xf numFmtId="10" fontId="103" fillId="45" borderId="108" xfId="0" applyNumberFormat="1" applyFont="1" applyFill="1" applyBorder="1" applyAlignment="1">
      <alignment horizontal="center" vertical="center" wrapText="1"/>
    </xf>
    <xf numFmtId="0" fontId="103" fillId="45" borderId="108" xfId="0" applyFont="1" applyFill="1" applyBorder="1" applyAlignment="1">
      <alignment horizontal="center" vertical="center" wrapText="1"/>
    </xf>
    <xf numFmtId="0" fontId="103" fillId="45" borderId="350" xfId="0" applyFont="1" applyFill="1" applyBorder="1" applyAlignment="1">
      <alignment vertical="center" wrapText="1"/>
    </xf>
    <xf numFmtId="0" fontId="316" fillId="80" borderId="410" xfId="0" applyFont="1" applyFill="1" applyBorder="1" applyAlignment="1">
      <alignment horizontal="center" vertical="center" wrapText="1"/>
    </xf>
    <xf numFmtId="0" fontId="317" fillId="80" borderId="346" xfId="0" applyFont="1" applyFill="1" applyBorder="1" applyAlignment="1">
      <alignment horizontal="center" vertical="center" wrapText="1"/>
    </xf>
    <xf numFmtId="0" fontId="316" fillId="80" borderId="346" xfId="0" applyFont="1" applyFill="1" applyBorder="1" applyAlignment="1">
      <alignment horizontal="center" vertical="center" wrapText="1"/>
    </xf>
    <xf numFmtId="0" fontId="316" fillId="80" borderId="347" xfId="0" applyFont="1" applyFill="1" applyBorder="1" applyAlignment="1">
      <alignment vertical="center" wrapText="1"/>
    </xf>
    <xf numFmtId="0" fontId="88" fillId="14" borderId="141" xfId="0" applyFont="1" applyFill="1" applyBorder="1" applyAlignment="1">
      <alignment vertical="center" wrapText="1"/>
    </xf>
    <xf numFmtId="0" fontId="98" fillId="2" borderId="35" xfId="0" applyFont="1" applyFill="1" applyBorder="1" applyAlignment="1">
      <alignment vertical="center" wrapText="1"/>
    </xf>
    <xf numFmtId="0" fontId="88" fillId="14" borderId="28" xfId="0" applyFont="1" applyFill="1" applyBorder="1" applyAlignment="1">
      <alignment horizontal="center" vertical="center" wrapText="1"/>
    </xf>
    <xf numFmtId="0" fontId="88" fillId="14" borderId="28" xfId="0" applyFont="1" applyFill="1" applyBorder="1" applyAlignment="1">
      <alignment vertical="center" wrapText="1"/>
    </xf>
    <xf numFmtId="0" fontId="88" fillId="14" borderId="39" xfId="0" applyFont="1" applyFill="1" applyBorder="1" applyAlignment="1">
      <alignment horizontal="center" vertical="center" wrapText="1"/>
    </xf>
    <xf numFmtId="0" fontId="88" fillId="24" borderId="40" xfId="0" applyFont="1" applyFill="1" applyBorder="1" applyAlignment="1">
      <alignment horizontal="center" vertical="center" wrapText="1"/>
    </xf>
    <xf numFmtId="0" fontId="88" fillId="14" borderId="40" xfId="0" applyFont="1" applyFill="1" applyBorder="1" applyAlignment="1">
      <alignment horizontal="center" vertical="center" wrapText="1"/>
    </xf>
    <xf numFmtId="0" fontId="106" fillId="32" borderId="412" xfId="0" applyFont="1" applyFill="1" applyBorder="1" applyAlignment="1">
      <alignment horizontal="left" vertical="center" wrapText="1"/>
    </xf>
    <xf numFmtId="0" fontId="109" fillId="32" borderId="370" xfId="0" applyFont="1" applyFill="1" applyBorder="1" applyAlignment="1">
      <alignment horizontal="left" vertical="center" wrapText="1"/>
    </xf>
    <xf numFmtId="0" fontId="106" fillId="32" borderId="371" xfId="0" applyFont="1" applyFill="1" applyBorder="1" applyAlignment="1">
      <alignment horizontal="center" vertical="center" wrapText="1"/>
    </xf>
    <xf numFmtId="0" fontId="106" fillId="2" borderId="415" xfId="0" applyFont="1" applyFill="1" applyBorder="1" applyAlignment="1">
      <alignment horizontal="left" vertical="center" wrapText="1"/>
    </xf>
    <xf numFmtId="0" fontId="106" fillId="2" borderId="386" xfId="0" applyFont="1" applyFill="1" applyBorder="1" applyAlignment="1">
      <alignment horizontal="center" vertical="center" wrapText="1"/>
    </xf>
    <xf numFmtId="0" fontId="312" fillId="80" borderId="416" xfId="0" applyFont="1" applyFill="1" applyBorder="1" applyAlignment="1">
      <alignment horizontal="left" vertical="center" wrapText="1"/>
    </xf>
    <xf numFmtId="0" fontId="312" fillId="80" borderId="394" xfId="0" applyFont="1" applyFill="1" applyBorder="1" applyAlignment="1">
      <alignment horizontal="left" vertical="center" wrapText="1"/>
    </xf>
    <xf numFmtId="0" fontId="312" fillId="80" borderId="417" xfId="0" applyFont="1" applyFill="1" applyBorder="1" applyAlignment="1">
      <alignment horizontal="center" vertical="center" wrapText="1"/>
    </xf>
    <xf numFmtId="0" fontId="108" fillId="72" borderId="418" xfId="0" applyFont="1" applyFill="1" applyBorder="1" applyAlignment="1">
      <alignment vertical="center" wrapText="1"/>
    </xf>
    <xf numFmtId="0" fontId="108" fillId="72" borderId="139" xfId="0" applyFont="1" applyFill="1" applyBorder="1" applyAlignment="1">
      <alignment vertical="center" wrapText="1"/>
    </xf>
    <xf numFmtId="0" fontId="76" fillId="72" borderId="35" xfId="0" applyFont="1" applyFill="1" applyBorder="1" applyAlignment="1">
      <alignment vertical="center" wrapText="1"/>
    </xf>
    <xf numFmtId="0" fontId="110" fillId="14" borderId="28" xfId="0" applyFont="1" applyFill="1" applyBorder="1" applyAlignment="1">
      <alignment vertical="center" wrapText="1"/>
    </xf>
    <xf numFmtId="0" fontId="110" fillId="24" borderId="40" xfId="0" applyFont="1" applyFill="1" applyBorder="1" applyAlignment="1">
      <alignment vertical="center" wrapText="1"/>
    </xf>
    <xf numFmtId="0" fontId="110" fillId="14" borderId="40" xfId="0" applyFont="1" applyFill="1" applyBorder="1" applyAlignment="1">
      <alignment vertical="center" wrapText="1"/>
    </xf>
    <xf numFmtId="0" fontId="11" fillId="2" borderId="33" xfId="0" applyFont="1" applyFill="1" applyBorder="1" applyAlignment="1">
      <alignment vertical="top" wrapText="1"/>
    </xf>
    <xf numFmtId="0" fontId="11" fillId="2" borderId="28" xfId="0" applyFont="1" applyFill="1" applyBorder="1" applyAlignment="1">
      <alignment vertical="top" wrapText="1"/>
    </xf>
    <xf numFmtId="0" fontId="106" fillId="88" borderId="49" xfId="0" applyFont="1" applyFill="1" applyBorder="1" applyAlignment="1">
      <alignment horizontal="center" vertical="center" wrapText="1"/>
    </xf>
    <xf numFmtId="0" fontId="106" fillId="79" borderId="49" xfId="0" applyFont="1" applyFill="1" applyBorder="1" applyAlignment="1">
      <alignment horizontal="center" vertical="center" wrapText="1"/>
    </xf>
    <xf numFmtId="0" fontId="106" fillId="74" borderId="49" xfId="0" applyFont="1" applyFill="1" applyBorder="1" applyAlignment="1">
      <alignment horizontal="center" vertical="center" wrapText="1"/>
    </xf>
    <xf numFmtId="0" fontId="106" fillId="87" borderId="49" xfId="0" applyFont="1" applyFill="1" applyBorder="1" applyAlignment="1">
      <alignment horizontal="center" vertical="center" wrapText="1"/>
    </xf>
    <xf numFmtId="0" fontId="106" fillId="87" borderId="380" xfId="0" applyFont="1" applyFill="1" applyBorder="1" applyAlignment="1">
      <alignment horizontal="left" vertical="center" wrapText="1"/>
    </xf>
    <xf numFmtId="0" fontId="106" fillId="78" borderId="381" xfId="0" applyFont="1" applyFill="1" applyBorder="1" applyAlignment="1">
      <alignment horizontal="center" vertical="center" wrapText="1"/>
    </xf>
    <xf numFmtId="0" fontId="106" fillId="78" borderId="382" xfId="0" applyFont="1" applyFill="1" applyBorder="1" applyAlignment="1">
      <alignment horizontal="left" vertical="center" wrapText="1"/>
    </xf>
    <xf numFmtId="0" fontId="106" fillId="88" borderId="133" xfId="0" applyFont="1" applyFill="1" applyBorder="1" applyAlignment="1">
      <alignment horizontal="center" vertical="center" wrapText="1"/>
    </xf>
    <xf numFmtId="0" fontId="265" fillId="47" borderId="423" xfId="0" applyFont="1" applyFill="1" applyBorder="1" applyAlignment="1">
      <alignment horizontal="center" vertical="center" wrapText="1"/>
    </xf>
    <xf numFmtId="0" fontId="106" fillId="79" borderId="133" xfId="0" applyFont="1" applyFill="1" applyBorder="1" applyAlignment="1">
      <alignment horizontal="center" vertical="center" wrapText="1"/>
    </xf>
    <xf numFmtId="0" fontId="106" fillId="88" borderId="424" xfId="0" applyFont="1" applyFill="1" applyBorder="1" applyAlignment="1">
      <alignment horizontal="center" vertical="center" wrapText="1"/>
    </xf>
    <xf numFmtId="0" fontId="106" fillId="74" borderId="133" xfId="0" applyFont="1" applyFill="1" applyBorder="1" applyAlignment="1">
      <alignment horizontal="center" vertical="center" wrapText="1"/>
    </xf>
    <xf numFmtId="0" fontId="106" fillId="79" borderId="425" xfId="0" applyFont="1" applyFill="1" applyBorder="1" applyAlignment="1">
      <alignment horizontal="center" vertical="center" wrapText="1"/>
    </xf>
    <xf numFmtId="0" fontId="106" fillId="87" borderId="133" xfId="0" applyFont="1" applyFill="1" applyBorder="1" applyAlignment="1">
      <alignment horizontal="center" vertical="center" wrapText="1"/>
    </xf>
    <xf numFmtId="0" fontId="106" fillId="74" borderId="406" xfId="0" applyFont="1" applyFill="1" applyBorder="1" applyAlignment="1">
      <alignment horizontal="center" vertical="center" wrapText="1"/>
    </xf>
    <xf numFmtId="0" fontId="106" fillId="78" borderId="426" xfId="0" applyFont="1" applyFill="1" applyBorder="1" applyAlignment="1">
      <alignment horizontal="center" vertical="center" wrapText="1"/>
    </xf>
    <xf numFmtId="0" fontId="106" fillId="87" borderId="407" xfId="0" applyFont="1" applyFill="1" applyBorder="1" applyAlignment="1">
      <alignment horizontal="center" vertical="center" wrapText="1"/>
    </xf>
    <xf numFmtId="0" fontId="109" fillId="78" borderId="427" xfId="0" applyFont="1" applyFill="1" applyBorder="1" applyAlignment="1">
      <alignment horizontal="center" vertical="center" wrapText="1"/>
    </xf>
    <xf numFmtId="0" fontId="265" fillId="79" borderId="428" xfId="0" applyFont="1" applyFill="1" applyBorder="1" applyAlignment="1">
      <alignment horizontal="left" vertical="center" wrapText="1"/>
    </xf>
    <xf numFmtId="173" fontId="265" fillId="79" borderId="429" xfId="0" applyNumberFormat="1" applyFont="1" applyFill="1" applyBorder="1" applyAlignment="1">
      <alignment horizontal="center" vertical="center" wrapText="1"/>
    </xf>
    <xf numFmtId="173" fontId="265" fillId="79" borderId="225" xfId="0" applyNumberFormat="1" applyFont="1" applyFill="1" applyBorder="1" applyAlignment="1">
      <alignment horizontal="center" vertical="center" wrapText="1"/>
    </xf>
    <xf numFmtId="2" fontId="265" fillId="79" borderId="225" xfId="0" applyNumberFormat="1" applyFont="1" applyFill="1" applyBorder="1" applyAlignment="1">
      <alignment horizontal="center" vertical="center" wrapText="1"/>
    </xf>
    <xf numFmtId="0" fontId="265" fillId="79" borderId="225" xfId="0" applyFont="1" applyFill="1" applyBorder="1" applyAlignment="1">
      <alignment horizontal="center" vertical="center" wrapText="1"/>
    </xf>
    <xf numFmtId="0" fontId="265" fillId="79" borderId="356" xfId="0" applyFont="1" applyFill="1" applyBorder="1" applyAlignment="1">
      <alignment horizontal="center" vertical="center" wrapText="1"/>
    </xf>
    <xf numFmtId="0" fontId="318" fillId="5" borderId="21" xfId="0" applyFont="1" applyFill="1" applyBorder="1" applyAlignment="1">
      <alignment horizontal="center" vertical="center" wrapText="1"/>
    </xf>
    <xf numFmtId="0" fontId="265" fillId="47" borderId="430" xfId="0" applyFont="1" applyFill="1" applyBorder="1" applyAlignment="1">
      <alignment horizontal="center" vertical="center" wrapText="1"/>
    </xf>
    <xf numFmtId="0" fontId="107" fillId="32" borderId="402" xfId="0" applyFont="1" applyFill="1" applyBorder="1" applyAlignment="1">
      <alignment horizontal="center" vertical="center" wrapText="1"/>
    </xf>
    <xf numFmtId="0" fontId="107" fillId="32" borderId="49" xfId="0" applyFont="1" applyFill="1" applyBorder="1" applyAlignment="1">
      <alignment horizontal="center" vertical="center" wrapText="1"/>
    </xf>
    <xf numFmtId="165" fontId="107" fillId="32" borderId="49" xfId="0" applyNumberFormat="1" applyFont="1" applyFill="1" applyBorder="1" applyAlignment="1">
      <alignment horizontal="right" vertical="center" wrapText="1"/>
    </xf>
    <xf numFmtId="169" fontId="107" fillId="32" borderId="49" xfId="0" applyNumberFormat="1" applyFont="1" applyFill="1" applyBorder="1" applyAlignment="1">
      <alignment horizontal="center" vertical="center" wrapText="1"/>
    </xf>
    <xf numFmtId="1" fontId="107" fillId="32" borderId="49" xfId="0" applyNumberFormat="1" applyFont="1" applyFill="1" applyBorder="1" applyAlignment="1">
      <alignment horizontal="center" vertical="center" wrapText="1"/>
    </xf>
    <xf numFmtId="173" fontId="107" fillId="32" borderId="49" xfId="0" applyNumberFormat="1" applyFont="1" applyFill="1" applyBorder="1" applyAlignment="1">
      <alignment horizontal="center" vertical="center" wrapText="1"/>
    </xf>
    <xf numFmtId="10" fontId="107" fillId="32" borderId="49" xfId="0" applyNumberFormat="1" applyFont="1" applyFill="1" applyBorder="1" applyAlignment="1">
      <alignment horizontal="center" vertical="center" wrapText="1"/>
    </xf>
    <xf numFmtId="0" fontId="76" fillId="32" borderId="49" xfId="0" applyFont="1" applyFill="1" applyBorder="1" applyAlignment="1">
      <alignment vertical="center" wrapText="1"/>
    </xf>
    <xf numFmtId="0" fontId="76" fillId="32" borderId="50" xfId="0" applyFont="1" applyFill="1" applyBorder="1" applyAlignment="1">
      <alignment vertical="center" wrapText="1"/>
    </xf>
    <xf numFmtId="0" fontId="110" fillId="2" borderId="402" xfId="0" applyFont="1" applyFill="1" applyBorder="1" applyAlignment="1">
      <alignment horizontal="center" vertical="center" wrapText="1"/>
    </xf>
    <xf numFmtId="0" fontId="110" fillId="2" borderId="49" xfId="0" applyFont="1" applyFill="1" applyBorder="1" applyAlignment="1">
      <alignment horizontal="center" vertical="center" wrapText="1"/>
    </xf>
    <xf numFmtId="165" fontId="110" fillId="2" borderId="49" xfId="0" applyNumberFormat="1" applyFont="1" applyFill="1" applyBorder="1" applyAlignment="1">
      <alignment horizontal="right" vertical="center" wrapText="1"/>
    </xf>
    <xf numFmtId="169" fontId="110" fillId="2" borderId="49" xfId="0" applyNumberFormat="1" applyFont="1" applyFill="1" applyBorder="1" applyAlignment="1">
      <alignment horizontal="center" vertical="center" wrapText="1"/>
    </xf>
    <xf numFmtId="1" fontId="107" fillId="2" borderId="49" xfId="0" applyNumberFormat="1" applyFont="1" applyFill="1" applyBorder="1" applyAlignment="1">
      <alignment horizontal="center" vertical="center" wrapText="1"/>
    </xf>
    <xf numFmtId="173" fontId="110" fillId="2" borderId="49" xfId="0" applyNumberFormat="1" applyFont="1" applyFill="1" applyBorder="1" applyAlignment="1">
      <alignment horizontal="center" vertical="center" wrapText="1"/>
    </xf>
    <xf numFmtId="10" fontId="110" fillId="2" borderId="49" xfId="0" applyNumberFormat="1" applyFont="1" applyFill="1" applyBorder="1" applyAlignment="1">
      <alignment horizontal="center" vertical="center" wrapText="1"/>
    </xf>
    <xf numFmtId="0" fontId="76" fillId="2" borderId="49" xfId="0" applyFont="1" applyFill="1" applyBorder="1" applyAlignment="1">
      <alignment vertical="center" wrapText="1"/>
    </xf>
    <xf numFmtId="0" fontId="76" fillId="2" borderId="50" xfId="0" applyFont="1" applyFill="1" applyBorder="1" applyAlignment="1">
      <alignment vertical="center" wrapText="1"/>
    </xf>
    <xf numFmtId="0" fontId="110" fillId="32" borderId="402" xfId="0" applyFont="1" applyFill="1" applyBorder="1" applyAlignment="1">
      <alignment horizontal="center" vertical="center" wrapText="1"/>
    </xf>
    <xf numFmtId="0" fontId="110" fillId="32" borderId="49" xfId="0" applyFont="1" applyFill="1" applyBorder="1" applyAlignment="1">
      <alignment horizontal="center" vertical="center" wrapText="1"/>
    </xf>
    <xf numFmtId="165" fontId="110" fillId="32" borderId="49" xfId="0" applyNumberFormat="1" applyFont="1" applyFill="1" applyBorder="1" applyAlignment="1">
      <alignment horizontal="right" vertical="center" wrapText="1"/>
    </xf>
    <xf numFmtId="169" fontId="110" fillId="32" borderId="49" xfId="0" applyNumberFormat="1" applyFont="1" applyFill="1" applyBorder="1" applyAlignment="1">
      <alignment horizontal="center" vertical="center" wrapText="1"/>
    </xf>
    <xf numFmtId="173" fontId="110" fillId="32" borderId="49" xfId="0" applyNumberFormat="1" applyFont="1" applyFill="1" applyBorder="1" applyAlignment="1">
      <alignment horizontal="center" vertical="center" wrapText="1"/>
    </xf>
    <xf numFmtId="10" fontId="110" fillId="32" borderId="49" xfId="0" applyNumberFormat="1" applyFont="1" applyFill="1" applyBorder="1" applyAlignment="1">
      <alignment horizontal="center" vertical="center" wrapText="1"/>
    </xf>
    <xf numFmtId="174" fontId="110" fillId="2" borderId="402" xfId="0" applyNumberFormat="1" applyFont="1" applyFill="1" applyBorder="1" applyAlignment="1">
      <alignment horizontal="center" vertical="center" wrapText="1"/>
    </xf>
    <xf numFmtId="168" fontId="110" fillId="2" borderId="49" xfId="0" applyNumberFormat="1" applyFont="1" applyFill="1" applyBorder="1" applyAlignment="1">
      <alignment horizontal="center" vertical="center" wrapText="1"/>
    </xf>
    <xf numFmtId="0" fontId="110" fillId="32" borderId="409" xfId="0" applyFont="1" applyFill="1" applyBorder="1" applyAlignment="1">
      <alignment horizontal="center" vertical="center" wrapText="1"/>
    </xf>
    <xf numFmtId="0" fontId="110" fillId="32" borderId="108" xfId="0" applyFont="1" applyFill="1" applyBorder="1" applyAlignment="1">
      <alignment horizontal="center" vertical="center" wrapText="1"/>
    </xf>
    <xf numFmtId="165" fontId="110" fillId="32" borderId="108" xfId="0" applyNumberFormat="1" applyFont="1" applyFill="1" applyBorder="1" applyAlignment="1">
      <alignment horizontal="right" vertical="center" wrapText="1"/>
    </xf>
    <xf numFmtId="169" fontId="110" fillId="32" borderId="108" xfId="0" applyNumberFormat="1" applyFont="1" applyFill="1" applyBorder="1" applyAlignment="1">
      <alignment horizontal="center" vertical="center" wrapText="1"/>
    </xf>
    <xf numFmtId="1" fontId="107" fillId="32" borderId="108" xfId="0" applyNumberFormat="1" applyFont="1" applyFill="1" applyBorder="1" applyAlignment="1">
      <alignment horizontal="center" vertical="center" wrapText="1"/>
    </xf>
    <xf numFmtId="173" fontId="110" fillId="32" borderId="108" xfId="0" applyNumberFormat="1" applyFont="1" applyFill="1" applyBorder="1" applyAlignment="1">
      <alignment horizontal="center" vertical="center" wrapText="1"/>
    </xf>
    <xf numFmtId="10" fontId="110" fillId="32" borderId="108" xfId="0" applyNumberFormat="1" applyFont="1" applyFill="1" applyBorder="1" applyAlignment="1">
      <alignment horizontal="center" vertical="center" wrapText="1"/>
    </xf>
    <xf numFmtId="0" fontId="76" fillId="32" borderId="108" xfId="0" applyFont="1" applyFill="1" applyBorder="1" applyAlignment="1">
      <alignment vertical="center" wrapText="1"/>
    </xf>
    <xf numFmtId="0" fontId="76" fillId="32" borderId="350" xfId="0" applyFont="1" applyFill="1" applyBorder="1" applyAlignment="1">
      <alignment vertical="center" wrapText="1"/>
    </xf>
    <xf numFmtId="0" fontId="320" fillId="72" borderId="256" xfId="0" applyFont="1" applyFill="1" applyBorder="1" applyAlignment="1">
      <alignment horizontal="center" vertical="center" wrapText="1"/>
    </xf>
    <xf numFmtId="165" fontId="320" fillId="72" borderId="256" xfId="0" applyNumberFormat="1" applyFont="1" applyFill="1" applyBorder="1" applyAlignment="1">
      <alignment horizontal="right" vertical="center" wrapText="1"/>
    </xf>
    <xf numFmtId="169" fontId="320" fillId="72" borderId="256" xfId="0" applyNumberFormat="1" applyFont="1" applyFill="1" applyBorder="1" applyAlignment="1">
      <alignment horizontal="center" vertical="center" wrapText="1"/>
    </xf>
    <xf numFmtId="10" fontId="321" fillId="72" borderId="256" xfId="0" applyNumberFormat="1" applyFont="1" applyFill="1" applyBorder="1" applyAlignment="1">
      <alignment horizontal="center" vertical="center" wrapText="1"/>
    </xf>
    <xf numFmtId="10" fontId="320" fillId="72" borderId="256" xfId="0" applyNumberFormat="1" applyFont="1" applyFill="1" applyBorder="1" applyAlignment="1">
      <alignment horizontal="center" vertical="center" wrapText="1"/>
    </xf>
    <xf numFmtId="0" fontId="322" fillId="72" borderId="256" xfId="0" applyFont="1" applyFill="1" applyBorder="1" applyAlignment="1">
      <alignment vertical="center" wrapText="1"/>
    </xf>
    <xf numFmtId="0" fontId="320" fillId="72" borderId="431" xfId="0" applyFont="1" applyFill="1" applyBorder="1" applyAlignment="1">
      <alignment horizontal="center" vertical="center" wrapText="1"/>
    </xf>
    <xf numFmtId="0" fontId="322" fillId="72" borderId="432" xfId="0" applyFont="1" applyFill="1" applyBorder="1" applyAlignment="1">
      <alignment vertical="center" wrapText="1"/>
    </xf>
    <xf numFmtId="0" fontId="296" fillId="72" borderId="433" xfId="0" applyFont="1" applyFill="1" applyBorder="1" applyAlignment="1">
      <alignment horizontal="center" vertical="center" wrapText="1"/>
    </xf>
    <xf numFmtId="0" fontId="296" fillId="72" borderId="35" xfId="0" applyFont="1" applyFill="1" applyBorder="1" applyAlignment="1">
      <alignment horizontal="center" vertical="center" wrapText="1"/>
    </xf>
    <xf numFmtId="165" fontId="296" fillId="72" borderId="35" xfId="0" applyNumberFormat="1" applyFont="1" applyFill="1" applyBorder="1" applyAlignment="1">
      <alignment horizontal="right" vertical="center" wrapText="1"/>
    </xf>
    <xf numFmtId="169" fontId="296" fillId="72" borderId="35" xfId="0" applyNumberFormat="1" applyFont="1" applyFill="1" applyBorder="1" applyAlignment="1">
      <alignment horizontal="center" vertical="center" wrapText="1"/>
    </xf>
    <xf numFmtId="10" fontId="295" fillId="72" borderId="35" xfId="0" applyNumberFormat="1" applyFont="1" applyFill="1" applyBorder="1" applyAlignment="1">
      <alignment horizontal="center" vertical="center" wrapText="1"/>
    </xf>
    <xf numFmtId="10" fontId="296" fillId="72" borderId="35" xfId="0" applyNumberFormat="1" applyFont="1" applyFill="1" applyBorder="1" applyAlignment="1">
      <alignment horizontal="center" vertical="center" wrapText="1"/>
    </xf>
    <xf numFmtId="0" fontId="304" fillId="72" borderId="35" xfId="0" applyFont="1" applyFill="1" applyBorder="1" applyAlignment="1">
      <alignment vertical="center" wrapText="1"/>
    </xf>
    <xf numFmtId="0" fontId="304" fillId="72" borderId="205" xfId="0" applyFont="1" applyFill="1" applyBorder="1" applyAlignment="1">
      <alignment vertical="center" wrapText="1"/>
    </xf>
    <xf numFmtId="0" fontId="103" fillId="45" borderId="434" xfId="0" applyFont="1" applyFill="1" applyBorder="1" applyAlignment="1">
      <alignment horizontal="center" vertical="center" wrapText="1"/>
    </xf>
    <xf numFmtId="0" fontId="103" fillId="45" borderId="312" xfId="0" applyFont="1" applyFill="1" applyBorder="1" applyAlignment="1">
      <alignment horizontal="center" vertical="center" wrapText="1"/>
    </xf>
    <xf numFmtId="0" fontId="103" fillId="45" borderId="435" xfId="0" applyFont="1" applyFill="1" applyBorder="1" applyAlignment="1">
      <alignment horizontal="center" vertical="center" wrapText="1"/>
    </xf>
    <xf numFmtId="0" fontId="103" fillId="45" borderId="313" xfId="0" applyFont="1" applyFill="1" applyBorder="1" applyAlignment="1">
      <alignment horizontal="center" vertical="center" wrapText="1"/>
    </xf>
    <xf numFmtId="165" fontId="103" fillId="45" borderId="313" xfId="0" applyNumberFormat="1" applyFont="1" applyFill="1" applyBorder="1" applyAlignment="1">
      <alignment horizontal="right" vertical="center" wrapText="1"/>
    </xf>
    <xf numFmtId="169" fontId="103" fillId="45" borderId="313" xfId="0" applyNumberFormat="1" applyFont="1" applyFill="1" applyBorder="1" applyAlignment="1">
      <alignment horizontal="center" vertical="center" wrapText="1"/>
    </xf>
    <xf numFmtId="10" fontId="103" fillId="45" borderId="313" xfId="0" applyNumberFormat="1" applyFont="1" applyFill="1" applyBorder="1" applyAlignment="1">
      <alignment horizontal="center" vertical="center" wrapText="1"/>
    </xf>
    <xf numFmtId="0" fontId="58" fillId="45" borderId="313" xfId="0" applyFont="1" applyFill="1" applyBorder="1" applyAlignment="1">
      <alignment vertical="center" wrapText="1"/>
    </xf>
    <xf numFmtId="0" fontId="58" fillId="45" borderId="361" xfId="0" applyFont="1" applyFill="1" applyBorder="1" applyAlignment="1">
      <alignment vertical="center" wrapText="1"/>
    </xf>
    <xf numFmtId="0" fontId="11" fillId="32" borderId="436" xfId="0" applyFont="1" applyFill="1" applyBorder="1" applyAlignment="1">
      <alignment vertical="center" wrapText="1"/>
    </xf>
    <xf numFmtId="0" fontId="13" fillId="32" borderId="364" xfId="0" applyFont="1" applyFill="1" applyBorder="1" applyAlignment="1">
      <alignment vertical="center" wrapText="1"/>
    </xf>
    <xf numFmtId="0" fontId="13" fillId="32" borderId="364" xfId="0" applyFont="1" applyFill="1" applyBorder="1"/>
    <xf numFmtId="0" fontId="12" fillId="32" borderId="364" xfId="0" applyFont="1" applyFill="1" applyBorder="1"/>
    <xf numFmtId="0" fontId="0" fillId="32" borderId="364" xfId="0" applyFill="1" applyBorder="1"/>
    <xf numFmtId="0" fontId="265" fillId="47" borderId="412" xfId="0" applyFont="1" applyFill="1" applyBorder="1" applyAlignment="1">
      <alignment horizontal="center" vertical="center" wrapText="1"/>
    </xf>
    <xf numFmtId="0" fontId="104" fillId="32" borderId="413" xfId="0" applyFont="1" applyFill="1" applyBorder="1" applyAlignment="1">
      <alignment horizontal="center" vertical="center" wrapText="1"/>
    </xf>
    <xf numFmtId="0" fontId="107" fillId="32" borderId="49" xfId="0" applyFont="1" applyFill="1" applyBorder="1" applyAlignment="1">
      <alignment vertical="center" wrapText="1"/>
    </xf>
    <xf numFmtId="166" fontId="107" fillId="32" borderId="49" xfId="0" applyNumberFormat="1" applyFont="1" applyFill="1" applyBorder="1" applyAlignment="1">
      <alignment horizontal="right" vertical="center" wrapText="1"/>
    </xf>
    <xf numFmtId="0" fontId="88" fillId="32" borderId="49" xfId="0" applyFont="1" applyFill="1" applyBorder="1" applyAlignment="1">
      <alignment vertical="center" wrapText="1"/>
    </xf>
    <xf numFmtId="0" fontId="76" fillId="32" borderId="373" xfId="0" applyFont="1" applyFill="1" applyBorder="1" applyAlignment="1">
      <alignment vertical="center" wrapText="1"/>
    </xf>
    <xf numFmtId="0" fontId="104" fillId="2" borderId="413" xfId="0" applyFont="1" applyFill="1" applyBorder="1" applyAlignment="1">
      <alignment horizontal="center" vertical="center" wrapText="1"/>
    </xf>
    <xf numFmtId="0" fontId="107" fillId="2" borderId="49" xfId="0" applyFont="1" applyFill="1" applyBorder="1" applyAlignment="1">
      <alignment vertical="center" wrapText="1"/>
    </xf>
    <xf numFmtId="166" fontId="107" fillId="2" borderId="49" xfId="0" applyNumberFormat="1" applyFont="1" applyFill="1" applyBorder="1" applyAlignment="1">
      <alignment horizontal="right" vertical="center" wrapText="1"/>
    </xf>
    <xf numFmtId="10" fontId="107" fillId="2" borderId="49" xfId="0" applyNumberFormat="1" applyFont="1" applyFill="1" applyBorder="1" applyAlignment="1">
      <alignment horizontal="center" vertical="center" wrapText="1"/>
    </xf>
    <xf numFmtId="0" fontId="88" fillId="2" borderId="49" xfId="0" applyFont="1" applyFill="1" applyBorder="1" applyAlignment="1">
      <alignment vertical="center" wrapText="1"/>
    </xf>
    <xf numFmtId="0" fontId="76" fillId="2" borderId="373" xfId="0" applyFont="1" applyFill="1" applyBorder="1" applyAlignment="1">
      <alignment vertical="center" wrapText="1"/>
    </xf>
    <xf numFmtId="0" fontId="109" fillId="32" borderId="414" xfId="0" applyFont="1" applyFill="1" applyBorder="1" applyAlignment="1">
      <alignment horizontal="center" vertical="center" wrapText="1"/>
    </xf>
    <xf numFmtId="0" fontId="110" fillId="32" borderId="374" xfId="0" applyFont="1" applyFill="1" applyBorder="1" applyAlignment="1">
      <alignment vertical="center" wrapText="1"/>
    </xf>
    <xf numFmtId="166" fontId="110" fillId="32" borderId="374" xfId="0" applyNumberFormat="1" applyFont="1" applyFill="1" applyBorder="1" applyAlignment="1">
      <alignment horizontal="right" vertical="center" wrapText="1"/>
    </xf>
    <xf numFmtId="10" fontId="110" fillId="32" borderId="374" xfId="0" applyNumberFormat="1" applyFont="1" applyFill="1" applyBorder="1" applyAlignment="1">
      <alignment horizontal="center" vertical="center" wrapText="1"/>
    </xf>
    <xf numFmtId="0" fontId="88" fillId="32" borderId="374" xfId="0" applyFont="1" applyFill="1" applyBorder="1" applyAlignment="1">
      <alignment vertical="center" wrapText="1"/>
    </xf>
    <xf numFmtId="0" fontId="76" fillId="32" borderId="375" xfId="0" applyFont="1" applyFill="1" applyBorder="1" applyAlignment="1">
      <alignment vertical="center" wrapText="1"/>
    </xf>
    <xf numFmtId="0" fontId="265" fillId="47" borderId="438" xfId="0" applyFont="1" applyFill="1" applyBorder="1" applyAlignment="1">
      <alignment horizontal="center" vertical="center" wrapText="1"/>
    </xf>
    <xf numFmtId="2" fontId="107" fillId="32" borderId="131" xfId="0" applyNumberFormat="1" applyFont="1" applyFill="1" applyBorder="1" applyAlignment="1">
      <alignment horizontal="center" vertical="center" wrapText="1"/>
    </xf>
    <xf numFmtId="2" fontId="107" fillId="2" borderId="131" xfId="0" applyNumberFormat="1" applyFont="1" applyFill="1" applyBorder="1" applyAlignment="1">
      <alignment horizontal="center" vertical="center" wrapText="1"/>
    </xf>
    <xf numFmtId="2" fontId="107" fillId="32" borderId="316" xfId="0" applyNumberFormat="1" applyFont="1" applyFill="1" applyBorder="1" applyAlignment="1">
      <alignment horizontal="center" vertical="center" wrapText="1"/>
    </xf>
    <xf numFmtId="10" fontId="321" fillId="72" borderId="439" xfId="0" applyNumberFormat="1" applyFont="1" applyFill="1" applyBorder="1" applyAlignment="1">
      <alignment horizontal="center" vertical="center" wrapText="1"/>
    </xf>
    <xf numFmtId="10" fontId="295" fillId="72" borderId="34" xfId="0" applyNumberFormat="1" applyFont="1" applyFill="1" applyBorder="1" applyAlignment="1">
      <alignment horizontal="center" vertical="center" wrapText="1"/>
    </xf>
    <xf numFmtId="0" fontId="103" fillId="45" borderId="315" xfId="0" applyFont="1" applyFill="1" applyBorder="1" applyAlignment="1">
      <alignment horizontal="center" vertical="center" wrapText="1"/>
    </xf>
    <xf numFmtId="0" fontId="265" fillId="47" borderId="443" xfId="0" applyFont="1" applyFill="1" applyBorder="1" applyAlignment="1">
      <alignment horizontal="center" vertical="center" wrapText="1"/>
    </xf>
    <xf numFmtId="0" fontId="265" fillId="47" borderId="446" xfId="0" applyFont="1" applyFill="1" applyBorder="1" applyAlignment="1">
      <alignment horizontal="center" vertical="center" wrapText="1"/>
    </xf>
    <xf numFmtId="0" fontId="107" fillId="32" borderId="447" xfId="0" applyFont="1" applyFill="1" applyBorder="1" applyAlignment="1">
      <alignment horizontal="center" vertical="center" wrapText="1"/>
    </xf>
    <xf numFmtId="0" fontId="107" fillId="2" borderId="447" xfId="0" applyFont="1" applyFill="1" applyBorder="1" applyAlignment="1">
      <alignment horizontal="center" vertical="center" wrapText="1"/>
    </xf>
    <xf numFmtId="0" fontId="107" fillId="32" borderId="254" xfId="0" applyFont="1" applyFill="1" applyBorder="1" applyAlignment="1">
      <alignment horizontal="center" vertical="center" wrapText="1"/>
    </xf>
    <xf numFmtId="0" fontId="321" fillId="72" borderId="448" xfId="0" applyFont="1" applyFill="1" applyBorder="1" applyAlignment="1">
      <alignment horizontal="center" vertical="center" wrapText="1"/>
    </xf>
    <xf numFmtId="0" fontId="295" fillId="72" borderId="339" xfId="0" applyFont="1" applyFill="1" applyBorder="1" applyAlignment="1">
      <alignment horizontal="center" vertical="center" wrapText="1"/>
    </xf>
    <xf numFmtId="0" fontId="103" fillId="45" borderId="449" xfId="0" applyFont="1" applyFill="1" applyBorder="1" applyAlignment="1">
      <alignment horizontal="center" vertical="center" wrapText="1"/>
    </xf>
    <xf numFmtId="0" fontId="104" fillId="32" borderId="444" xfId="0" applyFont="1" applyFill="1" applyBorder="1" applyAlignment="1">
      <alignment horizontal="left" vertical="center" wrapText="1"/>
    </xf>
    <xf numFmtId="0" fontId="104" fillId="2" borderId="444" xfId="0" applyFont="1" applyFill="1" applyBorder="1" applyAlignment="1">
      <alignment horizontal="left" vertical="center" wrapText="1"/>
    </xf>
    <xf numFmtId="0" fontId="106" fillId="32" borderId="444" xfId="0" applyFont="1" applyFill="1" applyBorder="1" applyAlignment="1">
      <alignment horizontal="left" vertical="center" wrapText="1"/>
    </xf>
    <xf numFmtId="0" fontId="106" fillId="2" borderId="444" xfId="0" applyFont="1" applyFill="1" applyBorder="1" applyAlignment="1">
      <alignment horizontal="left" vertical="center" wrapText="1"/>
    </xf>
    <xf numFmtId="0" fontId="103" fillId="45" borderId="442" xfId="0" applyFont="1" applyFill="1" applyBorder="1" applyAlignment="1">
      <alignment horizontal="left" vertical="center" wrapText="1"/>
    </xf>
    <xf numFmtId="0" fontId="104" fillId="32" borderId="447" xfId="0" applyFont="1" applyFill="1" applyBorder="1" applyAlignment="1">
      <alignment horizontal="left" vertical="center" wrapText="1"/>
    </xf>
    <xf numFmtId="0" fontId="104" fillId="2" borderId="447" xfId="0" applyFont="1" applyFill="1" applyBorder="1" applyAlignment="1">
      <alignment horizontal="left" vertical="center" wrapText="1"/>
    </xf>
    <xf numFmtId="0" fontId="106" fillId="32" borderId="447" xfId="0" applyFont="1" applyFill="1" applyBorder="1" applyAlignment="1">
      <alignment horizontal="left" vertical="center" wrapText="1"/>
    </xf>
    <xf numFmtId="0" fontId="106" fillId="2" borderId="447" xfId="0" applyFont="1" applyFill="1" applyBorder="1" applyAlignment="1">
      <alignment horizontal="left" vertical="center" wrapText="1"/>
    </xf>
    <xf numFmtId="0" fontId="109" fillId="2" borderId="447" xfId="0" applyFont="1" applyFill="1" applyBorder="1" applyAlignment="1">
      <alignment horizontal="left" vertical="center" wrapText="1"/>
    </xf>
    <xf numFmtId="0" fontId="109" fillId="32" borderId="447" xfId="0" applyFont="1" applyFill="1" applyBorder="1" applyAlignment="1">
      <alignment horizontal="left" vertical="center" wrapText="1"/>
    </xf>
    <xf numFmtId="168" fontId="110" fillId="2" borderId="447" xfId="0" applyNumberFormat="1" applyFont="1" applyFill="1" applyBorder="1" applyAlignment="1">
      <alignment horizontal="left" vertical="center" wrapText="1"/>
    </xf>
    <xf numFmtId="0" fontId="106" fillId="32" borderId="254" xfId="0" applyFont="1" applyFill="1" applyBorder="1" applyAlignment="1">
      <alignment horizontal="left" vertical="center" wrapText="1"/>
    </xf>
    <xf numFmtId="0" fontId="320" fillId="72" borderId="448" xfId="0" applyFont="1" applyFill="1" applyBorder="1" applyAlignment="1">
      <alignment horizontal="left" vertical="center" wrapText="1"/>
    </xf>
    <xf numFmtId="0" fontId="296" fillId="72" borderId="339" xfId="0" applyFont="1" applyFill="1" applyBorder="1" applyAlignment="1">
      <alignment horizontal="left" vertical="center" wrapText="1"/>
    </xf>
    <xf numFmtId="0" fontId="103" fillId="45" borderId="449" xfId="0" applyFont="1" applyFill="1" applyBorder="1" applyAlignment="1">
      <alignment horizontal="left" vertical="center" wrapText="1"/>
    </xf>
    <xf numFmtId="10" fontId="104" fillId="32" borderId="445" xfId="0" applyNumberFormat="1" applyFont="1" applyFill="1" applyBorder="1" applyAlignment="1">
      <alignment horizontal="left" vertical="center" wrapText="1"/>
    </xf>
    <xf numFmtId="10" fontId="321" fillId="72" borderId="255" xfId="0" applyNumberFormat="1" applyFont="1" applyFill="1" applyBorder="1" applyAlignment="1">
      <alignment horizontal="left" vertical="center" wrapText="1"/>
    </xf>
    <xf numFmtId="10" fontId="295" fillId="72" borderId="158" xfId="0" applyNumberFormat="1" applyFont="1" applyFill="1" applyBorder="1" applyAlignment="1">
      <alignment horizontal="left" vertical="center" wrapText="1"/>
    </xf>
    <xf numFmtId="0" fontId="106" fillId="70" borderId="15" xfId="0" applyFont="1" applyFill="1" applyBorder="1" applyAlignment="1">
      <alignment horizontal="center" vertical="center" wrapText="1"/>
    </xf>
    <xf numFmtId="0" fontId="106" fillId="29" borderId="15" xfId="0" applyFont="1" applyFill="1" applyBorder="1" applyAlignment="1">
      <alignment horizontal="center" vertical="center" wrapText="1"/>
    </xf>
    <xf numFmtId="0" fontId="106" fillId="71" borderId="17" xfId="0" applyFont="1" applyFill="1" applyBorder="1" applyAlignment="1">
      <alignment horizontal="center" vertical="center" wrapText="1"/>
    </xf>
    <xf numFmtId="0" fontId="105" fillId="72" borderId="16" xfId="0" applyFont="1" applyFill="1" applyBorder="1" applyAlignment="1">
      <alignment horizontal="center" vertical="center" wrapText="1"/>
    </xf>
    <xf numFmtId="0" fontId="108" fillId="72" borderId="16" xfId="0" applyFont="1" applyFill="1" applyBorder="1" applyAlignment="1">
      <alignment horizontal="center" wrapText="1"/>
    </xf>
    <xf numFmtId="0" fontId="108" fillId="72" borderId="16" xfId="0" applyFont="1" applyFill="1" applyBorder="1" applyAlignment="1">
      <alignment horizontal="center" vertical="top" wrapText="1"/>
    </xf>
    <xf numFmtId="0" fontId="108" fillId="72" borderId="17" xfId="0" applyFont="1" applyFill="1" applyBorder="1" applyAlignment="1">
      <alignment horizontal="center" wrapText="1"/>
    </xf>
    <xf numFmtId="0" fontId="108" fillId="72" borderId="18" xfId="0" applyFont="1" applyFill="1" applyBorder="1" applyAlignment="1">
      <alignment horizontal="center" wrapText="1"/>
    </xf>
    <xf numFmtId="0" fontId="265" fillId="47" borderId="40" xfId="0" applyFont="1" applyFill="1" applyBorder="1" applyAlignment="1">
      <alignment horizontal="center" vertical="center" wrapText="1"/>
    </xf>
    <xf numFmtId="0" fontId="106" fillId="32" borderId="40" xfId="0" applyFont="1" applyFill="1" applyBorder="1" applyAlignment="1">
      <alignment horizontal="center" vertical="center" wrapText="1"/>
    </xf>
    <xf numFmtId="0" fontId="106" fillId="32" borderId="402" xfId="0" applyFont="1" applyFill="1" applyBorder="1" applyAlignment="1">
      <alignment horizontal="center" vertical="center" wrapText="1"/>
    </xf>
    <xf numFmtId="0" fontId="106" fillId="2" borderId="402" xfId="0" applyFont="1" applyFill="1" applyBorder="1" applyAlignment="1">
      <alignment horizontal="center" vertical="center" wrapText="1"/>
    </xf>
    <xf numFmtId="0" fontId="103" fillId="45" borderId="40" xfId="0" applyFont="1" applyFill="1" applyBorder="1" applyAlignment="1">
      <alignment horizontal="center" vertical="center" wrapText="1"/>
    </xf>
    <xf numFmtId="0" fontId="106" fillId="32" borderId="409" xfId="0" applyFont="1" applyFill="1" applyBorder="1" applyAlignment="1">
      <alignment horizontal="center" vertical="center" wrapText="1"/>
    </xf>
    <xf numFmtId="2" fontId="106" fillId="32" borderId="108" xfId="0" applyNumberFormat="1" applyFont="1" applyFill="1" applyBorder="1" applyAlignment="1">
      <alignment horizontal="center" vertical="center" wrapText="1"/>
    </xf>
    <xf numFmtId="2" fontId="103" fillId="45" borderId="312" xfId="0" applyNumberFormat="1" applyFont="1" applyFill="1" applyBorder="1" applyAlignment="1">
      <alignment horizontal="center" vertical="center" wrapText="1"/>
    </xf>
    <xf numFmtId="0" fontId="108" fillId="72" borderId="418" xfId="0" applyFont="1" applyFill="1" applyBorder="1" applyAlignment="1">
      <alignment horizontal="center" vertical="center" wrapText="1"/>
    </xf>
    <xf numFmtId="0" fontId="110" fillId="72" borderId="139" xfId="0" applyFont="1" applyFill="1" applyBorder="1" applyAlignment="1">
      <alignment horizontal="center" vertical="center" wrapText="1"/>
    </xf>
    <xf numFmtId="0" fontId="108" fillId="72" borderId="35" xfId="0" applyFont="1" applyFill="1" applyBorder="1" applyAlignment="1">
      <alignment horizontal="center" vertical="center" wrapText="1"/>
    </xf>
    <xf numFmtId="0" fontId="106" fillId="69" borderId="28" xfId="0" applyFont="1" applyFill="1" applyBorder="1" applyAlignment="1">
      <alignment horizontal="center" vertical="center" wrapText="1"/>
    </xf>
    <xf numFmtId="0" fontId="106" fillId="69" borderId="39" xfId="0" applyFont="1" applyFill="1" applyBorder="1" applyAlignment="1">
      <alignment horizontal="center" vertical="center" wrapText="1"/>
    </xf>
    <xf numFmtId="0" fontId="106" fillId="74" borderId="40" xfId="0" applyFont="1" applyFill="1" applyBorder="1" applyAlignment="1">
      <alignment horizontal="center" vertical="center" wrapText="1"/>
    </xf>
    <xf numFmtId="0" fontId="106" fillId="70" borderId="40" xfId="0" applyFont="1" applyFill="1" applyBorder="1" applyAlignment="1">
      <alignment horizontal="center" vertical="center" wrapText="1"/>
    </xf>
    <xf numFmtId="0" fontId="106" fillId="29" borderId="40" xfId="0" applyFont="1" applyFill="1" applyBorder="1" applyAlignment="1">
      <alignment horizontal="center" vertical="center" wrapText="1"/>
    </xf>
    <xf numFmtId="0" fontId="106" fillId="71" borderId="41" xfId="0" applyFont="1" applyFill="1" applyBorder="1" applyAlignment="1">
      <alignment horizontal="center" vertical="center" wrapText="1"/>
    </xf>
    <xf numFmtId="0" fontId="106" fillId="69" borderId="412" xfId="0" applyFont="1" applyFill="1" applyBorder="1" applyAlignment="1">
      <alignment horizontal="left" vertical="center" wrapText="1"/>
    </xf>
    <xf numFmtId="0" fontId="106" fillId="69" borderId="370" xfId="0" applyFont="1" applyFill="1" applyBorder="1" applyAlignment="1">
      <alignment horizontal="center" vertical="center" wrapText="1"/>
    </xf>
    <xf numFmtId="2" fontId="106" fillId="69" borderId="370" xfId="0" applyNumberFormat="1" applyFont="1" applyFill="1" applyBorder="1" applyAlignment="1">
      <alignment horizontal="center" vertical="center" wrapText="1"/>
    </xf>
    <xf numFmtId="0" fontId="106" fillId="69" borderId="371" xfId="0" applyFont="1" applyFill="1" applyBorder="1" applyAlignment="1">
      <alignment horizontal="left" vertical="center" wrapText="1"/>
    </xf>
    <xf numFmtId="0" fontId="106" fillId="74" borderId="413" xfId="0" applyFont="1" applyFill="1" applyBorder="1" applyAlignment="1">
      <alignment horizontal="left" vertical="center" wrapText="1"/>
    </xf>
    <xf numFmtId="2" fontId="106" fillId="74" borderId="49" xfId="0" applyNumberFormat="1" applyFont="1" applyFill="1" applyBorder="1" applyAlignment="1">
      <alignment horizontal="center" vertical="center" wrapText="1"/>
    </xf>
    <xf numFmtId="0" fontId="106" fillId="74" borderId="373" xfId="0" applyFont="1" applyFill="1" applyBorder="1" applyAlignment="1">
      <alignment horizontal="left" vertical="center" wrapText="1"/>
    </xf>
    <xf numFmtId="0" fontId="106" fillId="70" borderId="413" xfId="0" applyFont="1" applyFill="1" applyBorder="1" applyAlignment="1">
      <alignment horizontal="left" vertical="center" wrapText="1"/>
    </xf>
    <xf numFmtId="0" fontId="106" fillId="70" borderId="49" xfId="0" applyFont="1" applyFill="1" applyBorder="1" applyAlignment="1">
      <alignment horizontal="center" vertical="center" wrapText="1"/>
    </xf>
    <xf numFmtId="2" fontId="106" fillId="70" borderId="49" xfId="0" applyNumberFormat="1" applyFont="1" applyFill="1" applyBorder="1" applyAlignment="1">
      <alignment horizontal="center" vertical="center" wrapText="1"/>
    </xf>
    <xf numFmtId="0" fontId="106" fillId="70" borderId="373" xfId="0" applyFont="1" applyFill="1" applyBorder="1" applyAlignment="1">
      <alignment horizontal="left" vertical="center" wrapText="1"/>
    </xf>
    <xf numFmtId="0" fontId="106" fillId="29" borderId="415" xfId="0" applyFont="1" applyFill="1" applyBorder="1" applyAlignment="1">
      <alignment horizontal="left" vertical="center" wrapText="1"/>
    </xf>
    <xf numFmtId="0" fontId="106" fillId="29" borderId="108" xfId="0" applyFont="1" applyFill="1" applyBorder="1" applyAlignment="1">
      <alignment horizontal="center" vertical="center" wrapText="1"/>
    </xf>
    <xf numFmtId="2" fontId="106" fillId="29" borderId="108" xfId="0" applyNumberFormat="1" applyFont="1" applyFill="1" applyBorder="1" applyAlignment="1">
      <alignment horizontal="center" vertical="center" wrapText="1"/>
    </xf>
    <xf numFmtId="0" fontId="106" fillId="29" borderId="386" xfId="0" applyFont="1" applyFill="1" applyBorder="1" applyAlignment="1">
      <alignment horizontal="left" vertical="center" wrapText="1"/>
    </xf>
    <xf numFmtId="0" fontId="106" fillId="71" borderId="451" xfId="0" applyFont="1" applyFill="1" applyBorder="1" applyAlignment="1">
      <alignment horizontal="left" vertical="center" wrapText="1"/>
    </xf>
    <xf numFmtId="0" fontId="106" fillId="71" borderId="400" xfId="0" applyFont="1" applyFill="1" applyBorder="1" applyAlignment="1">
      <alignment horizontal="center" vertical="center" wrapText="1"/>
    </xf>
    <xf numFmtId="2" fontId="106" fillId="71" borderId="400" xfId="0" applyNumberFormat="1" applyFont="1" applyFill="1" applyBorder="1" applyAlignment="1">
      <alignment horizontal="center" vertical="center" wrapText="1"/>
    </xf>
    <xf numFmtId="0" fontId="106" fillId="71" borderId="401" xfId="0" applyFont="1" applyFill="1" applyBorder="1" applyAlignment="1">
      <alignment horizontal="left" vertical="center" wrapText="1"/>
    </xf>
    <xf numFmtId="184" fontId="106" fillId="32" borderId="131" xfId="0" applyNumberFormat="1" applyFont="1" applyFill="1" applyBorder="1" applyAlignment="1">
      <alignment horizontal="center" vertical="center" wrapText="1"/>
    </xf>
    <xf numFmtId="184" fontId="106" fillId="2" borderId="131" xfId="0" applyNumberFormat="1" applyFont="1" applyFill="1" applyBorder="1" applyAlignment="1">
      <alignment horizontal="center" vertical="center" wrapText="1"/>
    </xf>
    <xf numFmtId="184" fontId="106" fillId="32" borderId="316" xfId="0" applyNumberFormat="1" applyFont="1" applyFill="1" applyBorder="1" applyAlignment="1">
      <alignment horizontal="center" vertical="center" wrapText="1"/>
    </xf>
    <xf numFmtId="184" fontId="103" fillId="45" borderId="452" xfId="0" applyNumberFormat="1" applyFont="1" applyFill="1" applyBorder="1" applyAlignment="1">
      <alignment horizontal="center" vertical="center" wrapText="1"/>
    </xf>
    <xf numFmtId="0" fontId="106" fillId="2" borderId="133" xfId="0" applyFont="1" applyFill="1" applyBorder="1" applyAlignment="1">
      <alignment horizontal="center" vertical="center" wrapText="1"/>
    </xf>
    <xf numFmtId="0" fontId="106" fillId="32" borderId="444" xfId="0" applyFont="1" applyFill="1" applyBorder="1" applyAlignment="1">
      <alignment horizontal="center" vertical="center" wrapText="1"/>
    </xf>
    <xf numFmtId="0" fontId="106" fillId="2" borderId="444" xfId="0" applyFont="1" applyFill="1" applyBorder="1" applyAlignment="1">
      <alignment horizontal="center" vertical="center" wrapText="1"/>
    </xf>
    <xf numFmtId="0" fontId="106" fillId="32" borderId="445" xfId="0" applyFont="1" applyFill="1" applyBorder="1" applyAlignment="1">
      <alignment horizontal="center" vertical="center" wrapText="1"/>
    </xf>
    <xf numFmtId="0" fontId="103" fillId="45" borderId="453" xfId="0" applyFont="1" applyFill="1" applyBorder="1" applyAlignment="1">
      <alignment horizontal="center" vertical="center" wrapText="1"/>
    </xf>
    <xf numFmtId="0" fontId="265" fillId="47" borderId="298" xfId="0" applyFont="1" applyFill="1" applyBorder="1" applyAlignment="1">
      <alignment horizontal="center" vertical="center" wrapText="1"/>
    </xf>
    <xf numFmtId="0" fontId="106" fillId="32" borderId="164" xfId="0" applyFont="1" applyFill="1" applyBorder="1" applyAlignment="1">
      <alignment horizontal="center" vertical="center" wrapText="1"/>
    </xf>
    <xf numFmtId="0" fontId="106" fillId="2" borderId="164" xfId="0" applyFont="1" applyFill="1" applyBorder="1" applyAlignment="1">
      <alignment horizontal="center" vertical="center" wrapText="1"/>
    </xf>
    <xf numFmtId="0" fontId="106" fillId="32" borderId="259" xfId="0" applyFont="1" applyFill="1" applyBorder="1" applyAlignment="1">
      <alignment horizontal="center" vertical="center" wrapText="1"/>
    </xf>
    <xf numFmtId="0" fontId="103" fillId="45" borderId="283" xfId="0" applyFont="1" applyFill="1" applyBorder="1" applyAlignment="1">
      <alignment horizontal="center" vertical="center" wrapText="1"/>
    </xf>
    <xf numFmtId="0" fontId="265" fillId="47" borderId="455" xfId="0" applyFont="1" applyFill="1" applyBorder="1" applyAlignment="1">
      <alignment horizontal="center" vertical="center" wrapText="1"/>
    </xf>
    <xf numFmtId="0" fontId="106" fillId="32" borderId="456" xfId="0" applyFont="1" applyFill="1" applyBorder="1" applyAlignment="1">
      <alignment horizontal="left" vertical="center" wrapText="1"/>
    </xf>
    <xf numFmtId="0" fontId="106" fillId="2" borderId="456" xfId="0" applyFont="1" applyFill="1" applyBorder="1" applyAlignment="1">
      <alignment horizontal="left" vertical="center" wrapText="1"/>
    </xf>
    <xf numFmtId="0" fontId="106" fillId="32" borderId="457" xfId="0" applyFont="1" applyFill="1" applyBorder="1" applyAlignment="1">
      <alignment horizontal="left" vertical="center" wrapText="1"/>
    </xf>
    <xf numFmtId="0" fontId="103" fillId="45" borderId="454" xfId="0" applyFont="1" applyFill="1" applyBorder="1" applyAlignment="1">
      <alignment horizontal="left" vertical="center" wrapText="1"/>
    </xf>
    <xf numFmtId="0" fontId="108" fillId="0" borderId="15" xfId="0" applyFont="1" applyBorder="1" applyAlignment="1">
      <alignment vertical="center" wrapText="1"/>
    </xf>
    <xf numFmtId="0" fontId="76" fillId="0" borderId="15" xfId="0" applyFont="1" applyBorder="1" applyAlignment="1">
      <alignment vertical="center" wrapText="1"/>
    </xf>
    <xf numFmtId="0" fontId="149" fillId="79" borderId="15" xfId="0" applyFont="1" applyFill="1" applyBorder="1" applyAlignment="1">
      <alignment vertical="center" wrapText="1"/>
    </xf>
    <xf numFmtId="0" fontId="98" fillId="78" borderId="15" xfId="0" applyFont="1" applyFill="1" applyBorder="1" applyAlignment="1">
      <alignment vertical="center" wrapText="1"/>
    </xf>
    <xf numFmtId="0" fontId="324" fillId="80" borderId="15" xfId="0" applyFont="1" applyFill="1" applyBorder="1" applyAlignment="1">
      <alignment vertical="center" wrapText="1"/>
    </xf>
    <xf numFmtId="0" fontId="254" fillId="78" borderId="15" xfId="0" applyFont="1" applyFill="1" applyBorder="1" applyAlignment="1">
      <alignment vertical="center" wrapText="1"/>
    </xf>
    <xf numFmtId="0" fontId="255" fillId="78" borderId="15" xfId="0" applyFont="1" applyFill="1" applyBorder="1" applyAlignment="1">
      <alignment vertical="center" wrapText="1"/>
    </xf>
    <xf numFmtId="0" fontId="62" fillId="72" borderId="15" xfId="0" applyFont="1" applyFill="1" applyBorder="1" applyAlignment="1">
      <alignment vertical="center" wrapText="1"/>
    </xf>
    <xf numFmtId="0" fontId="62" fillId="72" borderId="16" xfId="0" applyFont="1" applyFill="1" applyBorder="1" applyAlignment="1">
      <alignment vertical="center" wrapText="1"/>
    </xf>
    <xf numFmtId="0" fontId="149" fillId="32" borderId="28" xfId="0" applyFont="1" applyFill="1" applyBorder="1" applyAlignment="1">
      <alignment horizontal="center" vertical="center" wrapText="1"/>
    </xf>
    <xf numFmtId="0" fontId="109" fillId="32" borderId="39" xfId="0" applyFont="1" applyFill="1" applyBorder="1" applyAlignment="1">
      <alignment horizontal="center" vertical="center" wrapText="1"/>
    </xf>
    <xf numFmtId="0" fontId="106" fillId="2" borderId="40" xfId="0" applyFont="1" applyFill="1" applyBorder="1" applyAlignment="1">
      <alignment vertical="center" wrapText="1"/>
    </xf>
    <xf numFmtId="0" fontId="109" fillId="79" borderId="40" xfId="0" applyFont="1" applyFill="1" applyBorder="1" applyAlignment="1">
      <alignment vertical="center" wrapText="1"/>
    </xf>
    <xf numFmtId="0" fontId="109" fillId="32" borderId="57" xfId="0" applyFont="1" applyFill="1" applyBorder="1" applyAlignment="1">
      <alignment horizontal="left" vertical="center" wrapText="1"/>
    </xf>
    <xf numFmtId="173" fontId="109" fillId="32" borderId="58" xfId="0" applyNumberFormat="1" applyFont="1" applyFill="1" applyBorder="1" applyAlignment="1">
      <alignment horizontal="center" vertical="center" wrapText="1"/>
    </xf>
    <xf numFmtId="0" fontId="106" fillId="32" borderId="59" xfId="0" applyFont="1" applyFill="1" applyBorder="1" applyAlignment="1">
      <alignment horizontal="left" vertical="center" wrapText="1"/>
    </xf>
    <xf numFmtId="0" fontId="109" fillId="79" borderId="56" xfId="0" applyFont="1" applyFill="1" applyBorder="1" applyAlignment="1">
      <alignment horizontal="left" vertical="center" wrapText="1"/>
    </xf>
    <xf numFmtId="10" fontId="134" fillId="79" borderId="52" xfId="0" applyNumberFormat="1" applyFont="1" applyFill="1" applyBorder="1" applyAlignment="1">
      <alignment horizontal="center" vertical="center" wrapText="1"/>
    </xf>
    <xf numFmtId="0" fontId="109" fillId="79" borderId="53" xfId="0" applyFont="1" applyFill="1" applyBorder="1" applyAlignment="1">
      <alignment horizontal="left" vertical="center" wrapText="1"/>
    </xf>
    <xf numFmtId="0" fontId="106" fillId="2" borderId="310" xfId="0" applyFont="1" applyFill="1" applyBorder="1" applyAlignment="1">
      <alignment horizontal="left" vertical="center" wrapText="1"/>
    </xf>
    <xf numFmtId="173" fontId="106" fillId="2" borderId="108" xfId="0" applyNumberFormat="1" applyFont="1" applyFill="1" applyBorder="1" applyAlignment="1">
      <alignment horizontal="center" vertical="center" wrapText="1"/>
    </xf>
    <xf numFmtId="0" fontId="106" fillId="2" borderId="350" xfId="0" applyFont="1" applyFill="1" applyBorder="1" applyAlignment="1">
      <alignment horizontal="left" vertical="center" wrapText="1"/>
    </xf>
    <xf numFmtId="0" fontId="106" fillId="72" borderId="138" xfId="0" applyFont="1" applyFill="1" applyBorder="1" applyAlignment="1">
      <alignment horizontal="left" vertical="center" wrapText="1"/>
    </xf>
    <xf numFmtId="0" fontId="106" fillId="72" borderId="139" xfId="0" applyFont="1" applyFill="1" applyBorder="1" applyAlignment="1">
      <alignment horizontal="center" vertical="center" wrapText="1"/>
    </xf>
    <xf numFmtId="0" fontId="106" fillId="72" borderId="139" xfId="0" applyFont="1" applyFill="1" applyBorder="1" applyAlignment="1">
      <alignment horizontal="left" vertical="center" wrapText="1"/>
    </xf>
    <xf numFmtId="0" fontId="108" fillId="72" borderId="35" xfId="0" applyFont="1" applyFill="1" applyBorder="1" applyAlignment="1">
      <alignment vertical="center" wrapText="1"/>
    </xf>
    <xf numFmtId="0" fontId="76" fillId="0" borderId="28" xfId="0" applyFont="1" applyBorder="1" applyAlignment="1">
      <alignment vertical="center" wrapText="1"/>
    </xf>
    <xf numFmtId="0" fontId="108" fillId="0" borderId="39" xfId="0" applyFont="1" applyBorder="1" applyAlignment="1">
      <alignment vertical="center" wrapText="1"/>
    </xf>
    <xf numFmtId="0" fontId="106" fillId="32" borderId="40" xfId="0" applyFont="1" applyFill="1" applyBorder="1" applyAlignment="1">
      <alignment vertical="center" wrapText="1"/>
    </xf>
    <xf numFmtId="0" fontId="106" fillId="78" borderId="40" xfId="0" applyFont="1" applyFill="1" applyBorder="1" applyAlignment="1">
      <alignment vertical="center" wrapText="1"/>
    </xf>
    <xf numFmtId="0" fontId="305" fillId="80" borderId="40" xfId="0" applyFont="1" applyFill="1" applyBorder="1" applyAlignment="1">
      <alignment vertical="center" wrapText="1"/>
    </xf>
    <xf numFmtId="0" fontId="265" fillId="47" borderId="369" xfId="0" applyFont="1" applyFill="1" applyBorder="1" applyAlignment="1">
      <alignment horizontal="left" vertical="center" wrapText="1"/>
    </xf>
    <xf numFmtId="0" fontId="265" fillId="47" borderId="371" xfId="0" applyFont="1" applyFill="1" applyBorder="1" applyAlignment="1">
      <alignment horizontal="left" vertical="center" wrapText="1"/>
    </xf>
    <xf numFmtId="0" fontId="106" fillId="32" borderId="372" xfId="0" applyFont="1" applyFill="1" applyBorder="1" applyAlignment="1">
      <alignment horizontal="left" vertical="center" wrapText="1"/>
    </xf>
    <xf numFmtId="0" fontId="106" fillId="32" borderId="373" xfId="0" applyFont="1" applyFill="1" applyBorder="1" applyAlignment="1">
      <alignment horizontal="left" vertical="center" wrapText="1"/>
    </xf>
    <xf numFmtId="0" fontId="106" fillId="2" borderId="372" xfId="0" applyFont="1" applyFill="1" applyBorder="1" applyAlignment="1">
      <alignment horizontal="left" vertical="center" wrapText="1"/>
    </xf>
    <xf numFmtId="0" fontId="106" fillId="2" borderId="373" xfId="0" applyFont="1" applyFill="1" applyBorder="1" applyAlignment="1">
      <alignment horizontal="left" vertical="center" wrapText="1"/>
    </xf>
    <xf numFmtId="0" fontId="109" fillId="2" borderId="372" xfId="0" applyFont="1" applyFill="1" applyBorder="1" applyAlignment="1">
      <alignment horizontal="left" vertical="center" wrapText="1"/>
    </xf>
    <xf numFmtId="0" fontId="106" fillId="78" borderId="372" xfId="0" applyFont="1" applyFill="1" applyBorder="1" applyAlignment="1">
      <alignment horizontal="left" vertical="center" wrapText="1"/>
    </xf>
    <xf numFmtId="0" fontId="106" fillId="78" borderId="49" xfId="0" applyFont="1" applyFill="1" applyBorder="1" applyAlignment="1">
      <alignment horizontal="center" vertical="center" wrapText="1"/>
    </xf>
    <xf numFmtId="0" fontId="106" fillId="78" borderId="373" xfId="0" applyFont="1" applyFill="1" applyBorder="1" applyAlignment="1">
      <alignment horizontal="left" vertical="center" wrapText="1"/>
    </xf>
    <xf numFmtId="0" fontId="106" fillId="2" borderId="385" xfId="0" applyFont="1" applyFill="1" applyBorder="1" applyAlignment="1">
      <alignment horizontal="left" vertical="center" wrapText="1"/>
    </xf>
    <xf numFmtId="0" fontId="106" fillId="2" borderId="386" xfId="0" applyFont="1" applyFill="1" applyBorder="1" applyAlignment="1">
      <alignment horizontal="left" vertical="center" wrapText="1"/>
    </xf>
    <xf numFmtId="0" fontId="305" fillId="80" borderId="459" xfId="0" applyFont="1" applyFill="1" applyBorder="1" applyAlignment="1">
      <alignment horizontal="left" vertical="center" wrapText="1"/>
    </xf>
    <xf numFmtId="0" fontId="305" fillId="80" borderId="394" xfId="0" applyFont="1" applyFill="1" applyBorder="1" applyAlignment="1">
      <alignment horizontal="center" vertical="center" wrapText="1"/>
    </xf>
    <xf numFmtId="0" fontId="305" fillId="80" borderId="417" xfId="0" applyFont="1" applyFill="1" applyBorder="1" applyAlignment="1">
      <alignment horizontal="left" vertical="center" wrapText="1"/>
    </xf>
    <xf numFmtId="0" fontId="98" fillId="32" borderId="28" xfId="0" applyFont="1" applyFill="1" applyBorder="1" applyAlignment="1">
      <alignment vertical="center" wrapText="1"/>
    </xf>
    <xf numFmtId="0" fontId="106" fillId="32" borderId="39" xfId="0" applyFont="1" applyFill="1" applyBorder="1" applyAlignment="1">
      <alignment vertical="center" wrapText="1"/>
    </xf>
    <xf numFmtId="0" fontId="311" fillId="78" borderId="40" xfId="0" applyFont="1" applyFill="1" applyBorder="1" applyAlignment="1">
      <alignment vertical="center" wrapText="1"/>
    </xf>
    <xf numFmtId="167" fontId="106" fillId="32" borderId="376" xfId="0" applyNumberFormat="1" applyFont="1" applyFill="1" applyBorder="1" applyAlignment="1">
      <alignment horizontal="left" vertical="center" wrapText="1"/>
    </xf>
    <xf numFmtId="0" fontId="106" fillId="32" borderId="377" xfId="0" applyFont="1" applyFill="1" applyBorder="1" applyAlignment="1">
      <alignment horizontal="center" vertical="center" wrapText="1"/>
    </xf>
    <xf numFmtId="0" fontId="106" fillId="32" borderId="378" xfId="0" applyFont="1" applyFill="1" applyBorder="1" applyAlignment="1">
      <alignment horizontal="left" vertical="center" wrapText="1"/>
    </xf>
    <xf numFmtId="167" fontId="106" fillId="2" borderId="391" xfId="0" applyNumberFormat="1" applyFont="1" applyFill="1" applyBorder="1" applyAlignment="1">
      <alignment horizontal="left" vertical="center" wrapText="1"/>
    </xf>
    <xf numFmtId="0" fontId="106" fillId="2" borderId="392" xfId="0" applyFont="1" applyFill="1" applyBorder="1" applyAlignment="1">
      <alignment horizontal="left" vertical="center" wrapText="1"/>
    </xf>
    <xf numFmtId="0" fontId="325" fillId="78" borderId="40" xfId="0" applyFont="1" applyFill="1" applyBorder="1" applyAlignment="1">
      <alignment vertical="center" wrapText="1"/>
    </xf>
    <xf numFmtId="0" fontId="13" fillId="18" borderId="468" xfId="0" applyFont="1" applyFill="1" applyBorder="1" applyAlignment="1">
      <alignment vertical="center" wrapText="1"/>
    </xf>
    <xf numFmtId="0" fontId="13" fillId="18" borderId="364" xfId="0" applyFont="1" applyFill="1" applyBorder="1" applyAlignment="1">
      <alignment vertical="center" wrapText="1"/>
    </xf>
    <xf numFmtId="0" fontId="265" fillId="47" borderId="469" xfId="0" applyFont="1" applyFill="1" applyBorder="1" applyAlignment="1">
      <alignment horizontal="left" vertical="center" wrapText="1"/>
    </xf>
    <xf numFmtId="0" fontId="265" fillId="47" borderId="470" xfId="0" applyFont="1" applyFill="1" applyBorder="1" applyAlignment="1">
      <alignment horizontal="center" vertical="center" wrapText="1"/>
    </xf>
    <xf numFmtId="0" fontId="265" fillId="47" borderId="471" xfId="0" applyFont="1" applyFill="1" applyBorder="1" applyAlignment="1">
      <alignment horizontal="left" vertical="center" wrapText="1"/>
    </xf>
    <xf numFmtId="0" fontId="106" fillId="32" borderId="475" xfId="0" applyFont="1" applyFill="1" applyBorder="1" applyAlignment="1">
      <alignment horizontal="left" vertical="center" wrapText="1"/>
    </xf>
    <xf numFmtId="0" fontId="106" fillId="32" borderId="228" xfId="0" applyFont="1" applyFill="1" applyBorder="1" applyAlignment="1">
      <alignment horizontal="center" vertical="center" wrapText="1"/>
    </xf>
    <xf numFmtId="0" fontId="106" fillId="32" borderId="476" xfId="0" applyFont="1" applyFill="1" applyBorder="1" applyAlignment="1">
      <alignment horizontal="left" vertical="center" wrapText="1"/>
    </xf>
    <xf numFmtId="0" fontId="325" fillId="78" borderId="477" xfId="0" applyFont="1" applyFill="1" applyBorder="1" applyAlignment="1">
      <alignment horizontal="left" vertical="center" wrapText="1"/>
    </xf>
    <xf numFmtId="0" fontId="325" fillId="78" borderId="400" xfId="0" applyFont="1" applyFill="1" applyBorder="1" applyAlignment="1">
      <alignment horizontal="center" vertical="center" wrapText="1"/>
    </xf>
    <xf numFmtId="0" fontId="325" fillId="78" borderId="478" xfId="0" applyFont="1" applyFill="1" applyBorder="1" applyAlignment="1">
      <alignment horizontal="left" vertical="center" wrapText="1"/>
    </xf>
    <xf numFmtId="0" fontId="76" fillId="0" borderId="17" xfId="0" applyFont="1" applyBorder="1" applyAlignment="1">
      <alignment vertical="center" wrapText="1"/>
    </xf>
    <xf numFmtId="0" fontId="72" fillId="2" borderId="72" xfId="2" applyFont="1" applyFill="1" applyBorder="1" applyAlignment="1">
      <alignment horizontal="center" vertical="center"/>
    </xf>
    <xf numFmtId="0" fontId="72" fillId="2" borderId="249" xfId="2" applyFont="1" applyFill="1" applyBorder="1" applyAlignment="1">
      <alignment horizontal="center" vertical="center" wrapText="1"/>
    </xf>
    <xf numFmtId="0" fontId="106" fillId="72" borderId="480" xfId="0" applyFont="1" applyFill="1" applyBorder="1" applyAlignment="1">
      <alignment horizontal="center" vertical="center" wrapText="1"/>
    </xf>
    <xf numFmtId="0" fontId="106" fillId="72" borderId="139" xfId="0" applyFont="1" applyFill="1" applyBorder="1" applyAlignment="1">
      <alignment vertical="center" wrapText="1"/>
    </xf>
    <xf numFmtId="0" fontId="106" fillId="72" borderId="481" xfId="0" applyFont="1" applyFill="1" applyBorder="1" applyAlignment="1">
      <alignment vertical="center" wrapText="1"/>
    </xf>
    <xf numFmtId="0" fontId="265" fillId="47" borderId="488" xfId="0" applyFont="1" applyFill="1" applyBorder="1" applyAlignment="1">
      <alignment horizontal="left" vertical="center" wrapText="1"/>
    </xf>
    <xf numFmtId="0" fontId="265" fillId="47" borderId="489" xfId="0" applyFont="1" applyFill="1" applyBorder="1" applyAlignment="1">
      <alignment horizontal="left" vertical="center" wrapText="1"/>
    </xf>
    <xf numFmtId="0" fontId="265" fillId="47" borderId="489" xfId="0" applyFont="1" applyFill="1" applyBorder="1" applyAlignment="1">
      <alignment horizontal="center" vertical="center" wrapText="1"/>
    </xf>
    <xf numFmtId="0" fontId="265" fillId="47" borderId="490" xfId="0" applyFont="1" applyFill="1" applyBorder="1" applyAlignment="1">
      <alignment horizontal="center" vertical="center" wrapText="1"/>
    </xf>
    <xf numFmtId="0" fontId="293" fillId="87" borderId="495" xfId="0" applyFont="1" applyFill="1" applyBorder="1" applyAlignment="1">
      <alignment horizontal="left" vertical="center" wrapText="1"/>
    </xf>
    <xf numFmtId="0" fontId="293" fillId="87" borderId="496" xfId="0" applyFont="1" applyFill="1" applyBorder="1" applyAlignment="1">
      <alignment horizontal="center" vertical="center" wrapText="1"/>
    </xf>
    <xf numFmtId="0" fontId="293" fillId="87" borderId="497" xfId="0" applyFont="1" applyFill="1" applyBorder="1" applyAlignment="1">
      <alignment vertical="center" wrapText="1"/>
    </xf>
    <xf numFmtId="0" fontId="326" fillId="79" borderId="310" xfId="0" applyFont="1" applyFill="1" applyBorder="1" applyAlignment="1">
      <alignment horizontal="left" vertical="center" wrapText="1"/>
    </xf>
    <xf numFmtId="9" fontId="326" fillId="79" borderId="108" xfId="0" applyNumberFormat="1" applyFont="1" applyFill="1" applyBorder="1" applyAlignment="1">
      <alignment horizontal="center" vertical="center" wrapText="1"/>
    </xf>
    <xf numFmtId="0" fontId="326" fillId="79" borderId="108" xfId="0" applyFont="1" applyFill="1" applyBorder="1" applyAlignment="1">
      <alignment horizontal="center" vertical="center" wrapText="1"/>
    </xf>
    <xf numFmtId="0" fontId="265" fillId="79" borderId="108" xfId="0" applyFont="1" applyFill="1" applyBorder="1" applyAlignment="1">
      <alignment horizontal="center" vertical="center" wrapText="1"/>
    </xf>
    <xf numFmtId="0" fontId="311" fillId="78" borderId="310" xfId="0" applyFont="1" applyFill="1" applyBorder="1" applyAlignment="1">
      <alignment horizontal="left" vertical="center" wrapText="1"/>
    </xf>
    <xf numFmtId="0" fontId="311" fillId="78" borderId="108" xfId="0" applyFont="1" applyFill="1" applyBorder="1" applyAlignment="1">
      <alignment horizontal="center" vertical="center" wrapText="1"/>
    </xf>
    <xf numFmtId="0" fontId="311" fillId="78" borderId="350" xfId="0" applyFont="1" applyFill="1" applyBorder="1" applyAlignment="1">
      <alignment vertical="center" wrapText="1"/>
    </xf>
    <xf numFmtId="0" fontId="312" fillId="74" borderId="498" xfId="0" applyFont="1" applyFill="1" applyBorder="1" applyAlignment="1">
      <alignment horizontal="left" vertical="center" wrapText="1"/>
    </xf>
    <xf numFmtId="0" fontId="312" fillId="74" borderId="374" xfId="0" applyFont="1" applyFill="1" applyBorder="1" applyAlignment="1">
      <alignment horizontal="center" vertical="center" wrapText="1"/>
    </xf>
    <xf numFmtId="0" fontId="312" fillId="74" borderId="499" xfId="0" applyFont="1" applyFill="1" applyBorder="1" applyAlignment="1">
      <alignment vertical="center" wrapText="1"/>
    </xf>
    <xf numFmtId="0" fontId="265" fillId="47" borderId="500" xfId="0" applyFont="1" applyFill="1" applyBorder="1" applyAlignment="1">
      <alignment horizontal="center" vertical="center" wrapText="1"/>
    </xf>
    <xf numFmtId="0" fontId="265" fillId="47" borderId="501" xfId="0" applyFont="1" applyFill="1" applyBorder="1" applyAlignment="1">
      <alignment horizontal="center" vertical="center" wrapText="1"/>
    </xf>
    <xf numFmtId="0" fontId="265" fillId="47" borderId="502" xfId="0" applyFont="1" applyFill="1" applyBorder="1" applyAlignment="1">
      <alignment horizontal="center" vertical="center" wrapText="1"/>
    </xf>
    <xf numFmtId="49" fontId="293" fillId="87" borderId="496" xfId="0" applyNumberFormat="1" applyFont="1" applyFill="1" applyBorder="1" applyAlignment="1">
      <alignment horizontal="center" vertical="center" wrapText="1"/>
    </xf>
    <xf numFmtId="49" fontId="311" fillId="78" borderId="108" xfId="0" applyNumberFormat="1" applyFont="1" applyFill="1" applyBorder="1" applyAlignment="1">
      <alignment horizontal="center" vertical="center" wrapText="1"/>
    </xf>
    <xf numFmtId="49" fontId="312" fillId="74" borderId="374" xfId="0" applyNumberFormat="1" applyFont="1" applyFill="1" applyBorder="1" applyAlignment="1">
      <alignment horizontal="center" vertical="center" wrapText="1"/>
    </xf>
    <xf numFmtId="0" fontId="327" fillId="49" borderId="40" xfId="0" applyFont="1" applyFill="1" applyBorder="1" applyAlignment="1">
      <alignment horizontal="center" vertical="center" wrapText="1"/>
    </xf>
    <xf numFmtId="0" fontId="327" fillId="49" borderId="15" xfId="0" applyFont="1" applyFill="1" applyBorder="1" applyAlignment="1">
      <alignment horizontal="center" vertical="center" wrapText="1"/>
    </xf>
    <xf numFmtId="0" fontId="328" fillId="49" borderId="15" xfId="0" applyFont="1" applyFill="1" applyBorder="1" applyAlignment="1">
      <alignment horizontal="center" vertical="center" wrapText="1"/>
    </xf>
    <xf numFmtId="0" fontId="329" fillId="49" borderId="40" xfId="0" applyFont="1" applyFill="1" applyBorder="1" applyAlignment="1">
      <alignment vertical="center" wrapText="1"/>
    </xf>
    <xf numFmtId="0" fontId="329" fillId="49" borderId="15" xfId="0" applyFont="1" applyFill="1" applyBorder="1" applyAlignment="1">
      <alignment vertical="center" wrapText="1"/>
    </xf>
    <xf numFmtId="0" fontId="330" fillId="49" borderId="15" xfId="0" applyFont="1" applyFill="1" applyBorder="1" applyAlignment="1">
      <alignment vertical="center" wrapText="1"/>
    </xf>
    <xf numFmtId="0" fontId="327" fillId="49" borderId="41" xfId="0" applyFont="1" applyFill="1" applyBorder="1" applyAlignment="1">
      <alignment vertical="center" wrapText="1"/>
    </xf>
    <xf numFmtId="0" fontId="327" fillId="49" borderId="17" xfId="0" applyFont="1" applyFill="1" applyBorder="1" applyAlignment="1">
      <alignment vertical="center" wrapText="1"/>
    </xf>
    <xf numFmtId="0" fontId="329" fillId="49" borderId="17" xfId="0" applyFont="1" applyFill="1" applyBorder="1" applyAlignment="1">
      <alignment vertical="center" wrapText="1"/>
    </xf>
    <xf numFmtId="0" fontId="330" fillId="49" borderId="17" xfId="0" applyFont="1" applyFill="1" applyBorder="1" applyAlignment="1">
      <alignment vertical="center" wrapText="1"/>
    </xf>
    <xf numFmtId="0" fontId="133" fillId="90" borderId="108" xfId="0" applyFont="1" applyFill="1" applyBorder="1" applyAlignment="1">
      <alignment horizontal="center" vertical="center" wrapText="1"/>
    </xf>
    <xf numFmtId="0" fontId="133" fillId="90" borderId="108" xfId="0" applyFont="1" applyFill="1" applyBorder="1" applyAlignment="1">
      <alignment horizontal="left" vertical="center" wrapText="1"/>
    </xf>
    <xf numFmtId="176" fontId="268" fillId="91" borderId="108" xfId="0" applyNumberFormat="1" applyFont="1" applyFill="1" applyBorder="1" applyAlignment="1">
      <alignment horizontal="center" vertical="center" wrapText="1"/>
    </xf>
    <xf numFmtId="176" fontId="268" fillId="91" borderId="108" xfId="0" applyNumberFormat="1" applyFont="1" applyFill="1" applyBorder="1" applyAlignment="1" applyProtection="1">
      <alignment horizontal="left" vertical="center" wrapText="1"/>
      <protection locked="0"/>
    </xf>
    <xf numFmtId="172" fontId="291" fillId="28" borderId="108" xfId="0" applyNumberFormat="1" applyFont="1" applyFill="1" applyBorder="1" applyAlignment="1">
      <alignment horizontal="center" vertical="center" wrapText="1"/>
    </xf>
    <xf numFmtId="172" fontId="291" fillId="28" borderId="108" xfId="0" applyNumberFormat="1" applyFont="1" applyFill="1" applyBorder="1" applyAlignment="1">
      <alignment horizontal="left" vertical="center" wrapText="1"/>
    </xf>
    <xf numFmtId="0" fontId="104" fillId="89" borderId="503" xfId="0" applyFont="1" applyFill="1" applyBorder="1" applyAlignment="1">
      <alignment horizontal="center" vertical="center" wrapText="1"/>
    </xf>
    <xf numFmtId="0" fontId="104" fillId="89" borderId="504" xfId="0" applyFont="1" applyFill="1" applyBorder="1" applyAlignment="1">
      <alignment horizontal="center" vertical="center" wrapText="1"/>
    </xf>
    <xf numFmtId="0" fontId="104" fillId="89" borderId="505" xfId="0" applyFont="1" applyFill="1" applyBorder="1" applyAlignment="1">
      <alignment horizontal="center" vertical="center" wrapText="1"/>
    </xf>
    <xf numFmtId="0" fontId="133" fillId="90" borderId="506" xfId="0" applyFont="1" applyFill="1" applyBorder="1" applyAlignment="1">
      <alignment horizontal="center" vertical="center" wrapText="1"/>
    </xf>
    <xf numFmtId="0" fontId="133" fillId="90" borderId="507" xfId="0" applyFont="1" applyFill="1" applyBorder="1" applyAlignment="1">
      <alignment horizontal="center" vertical="center" wrapText="1"/>
    </xf>
    <xf numFmtId="0" fontId="133" fillId="90" borderId="508" xfId="0" applyFont="1" applyFill="1" applyBorder="1" applyAlignment="1">
      <alignment horizontal="center" vertical="center" wrapText="1"/>
    </xf>
    <xf numFmtId="176" fontId="268" fillId="91" borderId="509" xfId="0" applyNumberFormat="1" applyFont="1" applyFill="1" applyBorder="1" applyAlignment="1">
      <alignment horizontal="center" vertical="center" wrapText="1"/>
    </xf>
    <xf numFmtId="176" fontId="268" fillId="91" borderId="507" xfId="0" applyNumberFormat="1" applyFont="1" applyFill="1" applyBorder="1" applyAlignment="1">
      <alignment horizontal="center" vertical="center" wrapText="1"/>
    </xf>
    <xf numFmtId="176" fontId="268" fillId="91" borderId="510" xfId="0" applyNumberFormat="1" applyFont="1" applyFill="1" applyBorder="1" applyAlignment="1">
      <alignment horizontal="center" vertical="center" wrapText="1"/>
    </xf>
    <xf numFmtId="172" fontId="291" fillId="28" borderId="511" xfId="0" applyNumberFormat="1" applyFont="1" applyFill="1" applyBorder="1" applyAlignment="1">
      <alignment horizontal="center" vertical="center" wrapText="1"/>
    </xf>
    <xf numFmtId="172" fontId="291" fillId="28" borderId="507" xfId="0" applyNumberFormat="1" applyFont="1" applyFill="1" applyBorder="1" applyAlignment="1">
      <alignment horizontal="center" vertical="center" wrapText="1"/>
    </xf>
    <xf numFmtId="172" fontId="291" fillId="28" borderId="512" xfId="0" applyNumberFormat="1" applyFont="1" applyFill="1" applyBorder="1" applyAlignment="1">
      <alignment horizontal="center" vertical="center" wrapText="1"/>
    </xf>
    <xf numFmtId="0" fontId="133" fillId="92" borderId="513" xfId="0" applyFont="1" applyFill="1" applyBorder="1" applyAlignment="1">
      <alignment horizontal="center" vertical="center" wrapText="1"/>
    </xf>
    <xf numFmtId="0" fontId="133" fillId="92" borderId="514" xfId="0" applyFont="1" applyFill="1" applyBorder="1" applyAlignment="1">
      <alignment horizontal="center" vertical="center" wrapText="1"/>
    </xf>
    <xf numFmtId="0" fontId="133" fillId="92" borderId="514" xfId="0" applyFont="1" applyFill="1" applyBorder="1" applyAlignment="1">
      <alignment vertical="center" wrapText="1"/>
    </xf>
    <xf numFmtId="0" fontId="133" fillId="92" borderId="515" xfId="0" applyFont="1" applyFill="1" applyBorder="1" applyAlignment="1">
      <alignment vertical="center" wrapText="1"/>
    </xf>
    <xf numFmtId="0" fontId="104" fillId="89" borderId="504" xfId="0" applyFont="1" applyFill="1" applyBorder="1" applyAlignment="1">
      <alignment horizontal="left" vertical="center" wrapText="1"/>
    </xf>
    <xf numFmtId="0" fontId="104" fillId="89" borderId="505" xfId="0" applyFont="1" applyFill="1" applyBorder="1" applyAlignment="1">
      <alignment horizontal="left" vertical="center" wrapText="1"/>
    </xf>
    <xf numFmtId="0" fontId="133" fillId="90" borderId="517" xfId="0" applyFont="1" applyFill="1" applyBorder="1" applyAlignment="1">
      <alignment horizontal="center" vertical="center" wrapText="1"/>
    </xf>
    <xf numFmtId="0" fontId="133" fillId="90" borderId="518" xfId="0" applyFont="1" applyFill="1" applyBorder="1" applyAlignment="1">
      <alignment horizontal="left" vertical="center" wrapText="1"/>
    </xf>
    <xf numFmtId="177" fontId="268" fillId="91" borderId="519" xfId="0" applyNumberFormat="1" applyFont="1" applyFill="1" applyBorder="1" applyAlignment="1">
      <alignment horizontal="center" vertical="center" wrapText="1"/>
    </xf>
    <xf numFmtId="49" fontId="268" fillId="91" borderId="520" xfId="0" applyNumberFormat="1" applyFont="1" applyFill="1" applyBorder="1" applyAlignment="1">
      <alignment horizontal="left" vertical="center" wrapText="1"/>
    </xf>
    <xf numFmtId="171" fontId="291" fillId="28" borderId="521" xfId="0" applyNumberFormat="1" applyFont="1" applyFill="1" applyBorder="1" applyAlignment="1">
      <alignment horizontal="center" vertical="center" wrapText="1"/>
    </xf>
    <xf numFmtId="49" fontId="291" fillId="28" borderId="522" xfId="0" applyNumberFormat="1" applyFont="1" applyFill="1" applyBorder="1" applyAlignment="1">
      <alignment horizontal="left" vertical="center" wrapText="1"/>
    </xf>
    <xf numFmtId="0" fontId="133" fillId="92" borderId="523" xfId="0" applyFont="1" applyFill="1" applyBorder="1" applyAlignment="1">
      <alignment horizontal="center" vertical="center" wrapText="1"/>
    </xf>
    <xf numFmtId="0" fontId="133" fillId="92" borderId="524" xfId="0" applyFont="1" applyFill="1" applyBorder="1" applyAlignment="1">
      <alignment horizontal="center" vertical="center" wrapText="1"/>
    </xf>
    <xf numFmtId="0" fontId="133" fillId="92" borderId="524" xfId="0" applyFont="1" applyFill="1" applyBorder="1" applyAlignment="1">
      <alignment horizontal="left" vertical="center" wrapText="1"/>
    </xf>
    <xf numFmtId="0" fontId="133" fillId="92" borderId="525" xfId="0" applyFont="1" applyFill="1" applyBorder="1" applyAlignment="1">
      <alignment horizontal="left" vertical="center" wrapText="1"/>
    </xf>
    <xf numFmtId="0" fontId="56" fillId="72" borderId="31" xfId="0" applyFont="1" applyFill="1" applyBorder="1" applyAlignment="1">
      <alignment horizontal="center" vertical="center" wrapText="1"/>
    </xf>
    <xf numFmtId="0" fontId="56" fillId="72" borderId="32" xfId="0" applyFont="1" applyFill="1" applyBorder="1" applyAlignment="1">
      <alignment horizontal="center" vertical="center" wrapText="1"/>
    </xf>
    <xf numFmtId="0" fontId="59" fillId="72" borderId="22" xfId="0" applyFont="1" applyFill="1" applyBorder="1" applyAlignment="1">
      <alignment horizontal="center" vertical="center" wrapText="1"/>
    </xf>
    <xf numFmtId="0" fontId="59" fillId="72" borderId="23" xfId="0" applyFont="1" applyFill="1" applyBorder="1" applyAlignment="1">
      <alignment horizontal="center" vertical="center" wrapText="1"/>
    </xf>
    <xf numFmtId="0" fontId="65" fillId="72" borderId="22" xfId="0" applyFont="1" applyFill="1" applyBorder="1" applyAlignment="1">
      <alignment wrapText="1"/>
    </xf>
    <xf numFmtId="0" fontId="65" fillId="72" borderId="23" xfId="0" applyFont="1" applyFill="1" applyBorder="1" applyAlignment="1">
      <alignment wrapText="1"/>
    </xf>
    <xf numFmtId="0" fontId="65" fillId="72" borderId="24" xfId="0" applyFont="1" applyFill="1" applyBorder="1" applyAlignment="1">
      <alignment wrapText="1"/>
    </xf>
    <xf numFmtId="0" fontId="65" fillId="72" borderId="25" xfId="0" applyFont="1" applyFill="1" applyBorder="1" applyAlignment="1">
      <alignment wrapText="1"/>
    </xf>
    <xf numFmtId="0" fontId="73" fillId="2" borderId="249" xfId="0" applyFont="1" applyFill="1" applyBorder="1" applyAlignment="1">
      <alignment horizontal="center" vertical="center" wrapText="1"/>
    </xf>
    <xf numFmtId="0" fontId="56" fillId="72" borderId="526" xfId="0" applyFont="1" applyFill="1" applyBorder="1" applyAlignment="1">
      <alignment horizontal="center" vertical="center" wrapText="1"/>
    </xf>
    <xf numFmtId="0" fontId="59" fillId="72" borderId="527" xfId="0" applyFont="1" applyFill="1" applyBorder="1" applyAlignment="1">
      <alignment horizontal="center" vertical="center" wrapText="1"/>
    </xf>
    <xf numFmtId="0" fontId="65" fillId="72" borderId="527" xfId="0" applyFont="1" applyFill="1" applyBorder="1" applyAlignment="1">
      <alignment wrapText="1"/>
    </xf>
    <xf numFmtId="0" fontId="65" fillId="72" borderId="528" xfId="0" applyFont="1" applyFill="1" applyBorder="1" applyAlignment="1">
      <alignment wrapText="1"/>
    </xf>
    <xf numFmtId="0" fontId="153" fillId="47" borderId="529" xfId="0" applyFont="1" applyFill="1" applyBorder="1" applyAlignment="1">
      <alignment horizontal="center" vertical="center" wrapText="1"/>
    </xf>
    <xf numFmtId="0" fontId="153" fillId="47" borderId="530" xfId="0" applyFont="1" applyFill="1" applyBorder="1" applyAlignment="1">
      <alignment horizontal="center" vertical="center" wrapText="1"/>
    </xf>
    <xf numFmtId="49" fontId="153" fillId="47" borderId="530" xfId="0" applyNumberFormat="1" applyFont="1" applyFill="1" applyBorder="1" applyAlignment="1">
      <alignment horizontal="center" vertical="center" wrapText="1"/>
    </xf>
    <xf numFmtId="0" fontId="153" fillId="47" borderId="531" xfId="0" applyFont="1" applyFill="1" applyBorder="1" applyAlignment="1">
      <alignment horizontal="center" vertical="center" wrapText="1"/>
    </xf>
    <xf numFmtId="0" fontId="77" fillId="36" borderId="542" xfId="0" applyFont="1" applyFill="1" applyBorder="1" applyAlignment="1">
      <alignment horizontal="center" vertical="center" wrapText="1"/>
    </xf>
    <xf numFmtId="0" fontId="77" fillId="36" borderId="543" xfId="0" applyFont="1" applyFill="1" applyBorder="1" applyAlignment="1">
      <alignment horizontal="center" vertical="center" wrapText="1"/>
    </xf>
    <xf numFmtId="0" fontId="77" fillId="36" borderId="543" xfId="0" applyFont="1" applyFill="1" applyBorder="1" applyAlignment="1">
      <alignment horizontal="left" vertical="center" wrapText="1"/>
    </xf>
    <xf numFmtId="166" fontId="77" fillId="36" borderId="543" xfId="0" applyNumberFormat="1" applyFont="1" applyFill="1" applyBorder="1" applyAlignment="1">
      <alignment horizontal="right" vertical="center" wrapText="1"/>
    </xf>
    <xf numFmtId="0" fontId="77" fillId="36" borderId="544" xfId="0" applyFont="1" applyFill="1" applyBorder="1" applyAlignment="1">
      <alignment horizontal="center" vertical="center" wrapText="1"/>
    </xf>
    <xf numFmtId="0" fontId="77" fillId="45" borderId="545" xfId="0" applyFont="1" applyFill="1" applyBorder="1" applyAlignment="1">
      <alignment horizontal="center" vertical="center"/>
    </xf>
    <xf numFmtId="0" fontId="77" fillId="45" borderId="134" xfId="0" applyFont="1" applyFill="1" applyBorder="1" applyAlignment="1">
      <alignment horizontal="center" vertical="center" wrapText="1"/>
    </xf>
    <xf numFmtId="0" fontId="77" fillId="45" borderId="134" xfId="0" applyFont="1" applyFill="1" applyBorder="1" applyAlignment="1">
      <alignment horizontal="left" vertical="center" wrapText="1"/>
    </xf>
    <xf numFmtId="166" fontId="77" fillId="45" borderId="134" xfId="0" applyNumberFormat="1" applyFont="1" applyFill="1" applyBorder="1" applyAlignment="1">
      <alignment horizontal="right" vertical="center" wrapText="1"/>
    </xf>
    <xf numFmtId="0" fontId="77" fillId="45" borderId="546" xfId="0" applyFont="1" applyFill="1" applyBorder="1" applyAlignment="1">
      <alignment horizontal="center" vertical="center" wrapText="1"/>
    </xf>
    <xf numFmtId="0" fontId="333" fillId="2" borderId="547" xfId="0" applyFont="1" applyFill="1" applyBorder="1" applyAlignment="1">
      <alignment horizontal="center" vertical="center"/>
    </xf>
    <xf numFmtId="0" fontId="333" fillId="2" borderId="548" xfId="0" applyFont="1" applyFill="1" applyBorder="1" applyAlignment="1">
      <alignment horizontal="center" vertical="center" wrapText="1"/>
    </xf>
    <xf numFmtId="0" fontId="333" fillId="2" borderId="548" xfId="0" applyFont="1" applyFill="1" applyBorder="1" applyAlignment="1">
      <alignment horizontal="left" vertical="center" wrapText="1"/>
    </xf>
    <xf numFmtId="166" fontId="333" fillId="2" borderId="548" xfId="0" applyNumberFormat="1" applyFont="1" applyFill="1" applyBorder="1" applyAlignment="1">
      <alignment horizontal="right" vertical="center" wrapText="1"/>
    </xf>
    <xf numFmtId="0" fontId="333" fillId="2" borderId="549" xfId="0" applyFont="1" applyFill="1" applyBorder="1" applyAlignment="1">
      <alignment horizontal="center" vertical="center" wrapText="1"/>
    </xf>
    <xf numFmtId="0" fontId="333" fillId="32" borderId="550" xfId="0" applyFont="1" applyFill="1" applyBorder="1" applyAlignment="1">
      <alignment horizontal="center" vertical="center"/>
    </xf>
    <xf numFmtId="0" fontId="333" fillId="32" borderId="60" xfId="0" applyFont="1" applyFill="1" applyBorder="1" applyAlignment="1">
      <alignment horizontal="center" vertical="center" wrapText="1"/>
    </xf>
    <xf numFmtId="0" fontId="333" fillId="32" borderId="60" xfId="0" applyFont="1" applyFill="1" applyBorder="1" applyAlignment="1">
      <alignment horizontal="left" vertical="center" wrapText="1"/>
    </xf>
    <xf numFmtId="166" fontId="333" fillId="32" borderId="60" xfId="0" applyNumberFormat="1" applyFont="1" applyFill="1" applyBorder="1" applyAlignment="1">
      <alignment horizontal="right" vertical="center" wrapText="1"/>
    </xf>
    <xf numFmtId="0" fontId="333" fillId="32" borderId="551" xfId="0" applyFont="1" applyFill="1" applyBorder="1" applyAlignment="1">
      <alignment horizontal="center" vertical="center" wrapText="1"/>
    </xf>
    <xf numFmtId="0" fontId="333" fillId="2" borderId="550" xfId="0" applyFont="1" applyFill="1" applyBorder="1" applyAlignment="1">
      <alignment horizontal="center" vertical="center"/>
    </xf>
    <xf numFmtId="0" fontId="333" fillId="2" borderId="60" xfId="0" applyFont="1" applyFill="1" applyBorder="1" applyAlignment="1">
      <alignment horizontal="center" vertical="center" wrapText="1"/>
    </xf>
    <xf numFmtId="0" fontId="333" fillId="2" borderId="60" xfId="0" applyFont="1" applyFill="1" applyBorder="1" applyAlignment="1">
      <alignment horizontal="left" vertical="center" wrapText="1"/>
    </xf>
    <xf numFmtId="166" fontId="333" fillId="2" borderId="60" xfId="0" applyNumberFormat="1" applyFont="1" applyFill="1" applyBorder="1" applyAlignment="1">
      <alignment horizontal="right" vertical="center" wrapText="1"/>
    </xf>
    <xf numFmtId="0" fontId="332" fillId="2" borderId="551" xfId="0" applyFont="1" applyFill="1" applyBorder="1" applyAlignment="1">
      <alignment horizontal="center" vertical="center" wrapText="1"/>
    </xf>
    <xf numFmtId="0" fontId="332" fillId="32" borderId="551" xfId="0" applyFont="1" applyFill="1" applyBorder="1" applyAlignment="1">
      <alignment horizontal="center" vertical="center" wrapText="1"/>
    </xf>
    <xf numFmtId="0" fontId="333" fillId="2" borderId="551" xfId="0" applyFont="1" applyFill="1" applyBorder="1" applyAlignment="1">
      <alignment horizontal="center" vertical="center" wrapText="1"/>
    </xf>
    <xf numFmtId="0" fontId="77" fillId="36" borderId="550" xfId="0" applyFont="1" applyFill="1" applyBorder="1" applyAlignment="1">
      <alignment horizontal="center" vertical="center"/>
    </xf>
    <xf numFmtId="0" fontId="77" fillId="36" borderId="60" xfId="0" applyFont="1" applyFill="1" applyBorder="1" applyAlignment="1">
      <alignment horizontal="center" vertical="center" wrapText="1"/>
    </xf>
    <xf numFmtId="0" fontId="77" fillId="36" borderId="60" xfId="0" applyFont="1" applyFill="1" applyBorder="1" applyAlignment="1">
      <alignment horizontal="left" vertical="center" wrapText="1"/>
    </xf>
    <xf numFmtId="166" fontId="77" fillId="36" borderId="60" xfId="0" applyNumberFormat="1" applyFont="1" applyFill="1" applyBorder="1" applyAlignment="1">
      <alignment horizontal="right" vertical="center" wrapText="1"/>
    </xf>
    <xf numFmtId="0" fontId="77" fillId="36" borderId="551" xfId="0" applyFont="1" applyFill="1" applyBorder="1" applyAlignment="1">
      <alignment horizontal="center" vertical="center" wrapText="1"/>
    </xf>
    <xf numFmtId="0" fontId="333" fillId="32" borderId="552" xfId="0" applyFont="1" applyFill="1" applyBorder="1" applyAlignment="1">
      <alignment horizontal="center" vertical="center"/>
    </xf>
    <xf numFmtId="0" fontId="333" fillId="32" borderId="209" xfId="0" applyFont="1" applyFill="1" applyBorder="1" applyAlignment="1">
      <alignment horizontal="center" vertical="center" wrapText="1"/>
    </xf>
    <xf numFmtId="0" fontId="333" fillId="32" borderId="209" xfId="0" applyFont="1" applyFill="1" applyBorder="1" applyAlignment="1">
      <alignment horizontal="left" vertical="center" wrapText="1"/>
    </xf>
    <xf numFmtId="166" fontId="333" fillId="32" borderId="209" xfId="0" applyNumberFormat="1" applyFont="1" applyFill="1" applyBorder="1" applyAlignment="1">
      <alignment horizontal="right" vertical="center" wrapText="1"/>
    </xf>
    <xf numFmtId="0" fontId="333" fillId="32" borderId="553" xfId="0" applyFont="1" applyFill="1" applyBorder="1" applyAlignment="1">
      <alignment horizontal="center" vertical="center" wrapText="1"/>
    </xf>
    <xf numFmtId="0" fontId="153" fillId="47" borderId="554" xfId="0" applyFont="1" applyFill="1" applyBorder="1" applyAlignment="1">
      <alignment horizontal="center" vertical="center"/>
    </xf>
    <xf numFmtId="0" fontId="153" fillId="47" borderId="555" xfId="0" applyFont="1" applyFill="1" applyBorder="1" applyAlignment="1">
      <alignment horizontal="center" vertical="center" wrapText="1"/>
    </xf>
    <xf numFmtId="0" fontId="153" fillId="47" borderId="555" xfId="0" applyFont="1" applyFill="1" applyBorder="1" applyAlignment="1">
      <alignment horizontal="left" vertical="center" wrapText="1"/>
    </xf>
    <xf numFmtId="166" fontId="153" fillId="47" borderId="555" xfId="0" applyNumberFormat="1" applyFont="1" applyFill="1" applyBorder="1" applyAlignment="1">
      <alignment horizontal="right" vertical="center" wrapText="1"/>
    </xf>
    <xf numFmtId="0" fontId="153" fillId="47" borderId="556" xfId="0" applyFont="1" applyFill="1" applyBorder="1" applyAlignment="1">
      <alignment horizontal="center" vertical="center" wrapText="1"/>
    </xf>
    <xf numFmtId="0" fontId="333" fillId="32" borderId="557" xfId="0" applyFont="1" applyFill="1" applyBorder="1" applyAlignment="1">
      <alignment horizontal="center" vertical="center"/>
    </xf>
    <xf numFmtId="0" fontId="333" fillId="32" borderId="558" xfId="0" applyFont="1" applyFill="1" applyBorder="1" applyAlignment="1">
      <alignment horizontal="center" vertical="center" wrapText="1"/>
    </xf>
    <xf numFmtId="166" fontId="333" fillId="32" borderId="558" xfId="0" applyNumberFormat="1" applyFont="1" applyFill="1" applyBorder="1" applyAlignment="1">
      <alignment horizontal="center" vertical="center" wrapText="1"/>
    </xf>
    <xf numFmtId="166" fontId="333" fillId="32" borderId="558" xfId="0" applyNumberFormat="1" applyFont="1" applyFill="1" applyBorder="1" applyAlignment="1">
      <alignment horizontal="left" vertical="center" wrapText="1"/>
    </xf>
    <xf numFmtId="166" fontId="333" fillId="32" borderId="558" xfId="0" applyNumberFormat="1" applyFont="1" applyFill="1" applyBorder="1" applyAlignment="1">
      <alignment horizontal="right" vertical="center" wrapText="1"/>
    </xf>
    <xf numFmtId="0" fontId="333" fillId="32" borderId="558" xfId="0" applyFont="1" applyFill="1" applyBorder="1" applyAlignment="1">
      <alignment horizontal="left" vertical="center" wrapText="1"/>
    </xf>
    <xf numFmtId="0" fontId="333" fillId="32" borderId="559" xfId="0" applyFont="1" applyFill="1" applyBorder="1" applyAlignment="1">
      <alignment horizontal="center" vertical="center" wrapText="1"/>
    </xf>
    <xf numFmtId="166" fontId="333" fillId="2" borderId="60" xfId="0" applyNumberFormat="1" applyFont="1" applyFill="1" applyBorder="1" applyAlignment="1">
      <alignment horizontal="center" vertical="center" wrapText="1"/>
    </xf>
    <xf numFmtId="166" fontId="333" fillId="2" borderId="60" xfId="0" applyNumberFormat="1" applyFont="1" applyFill="1" applyBorder="1" applyAlignment="1">
      <alignment horizontal="left" vertical="center" wrapText="1"/>
    </xf>
    <xf numFmtId="166" fontId="333" fillId="32" borderId="60" xfId="0" applyNumberFormat="1" applyFont="1" applyFill="1" applyBorder="1" applyAlignment="1">
      <alignment horizontal="center" vertical="center" wrapText="1"/>
    </xf>
    <xf numFmtId="166" fontId="333" fillId="32" borderId="60" xfId="0" applyNumberFormat="1" applyFont="1" applyFill="1" applyBorder="1" applyAlignment="1">
      <alignment horizontal="left" vertical="center" wrapText="1"/>
    </xf>
    <xf numFmtId="0" fontId="333" fillId="2" borderId="560" xfId="0" applyFont="1" applyFill="1" applyBorder="1" applyAlignment="1">
      <alignment horizontal="center" vertical="center"/>
    </xf>
    <xf numFmtId="0" fontId="333" fillId="2" borderId="561" xfId="0" applyFont="1" applyFill="1" applyBorder="1" applyAlignment="1">
      <alignment horizontal="center" vertical="center" wrapText="1"/>
    </xf>
    <xf numFmtId="166" fontId="333" fillId="2" borderId="561" xfId="0" applyNumberFormat="1" applyFont="1" applyFill="1" applyBorder="1" applyAlignment="1">
      <alignment horizontal="center" vertical="center" wrapText="1"/>
    </xf>
    <xf numFmtId="166" fontId="333" fillId="2" borderId="561" xfId="0" applyNumberFormat="1" applyFont="1" applyFill="1" applyBorder="1" applyAlignment="1">
      <alignment horizontal="left" vertical="center" wrapText="1"/>
    </xf>
    <xf numFmtId="166" fontId="333" fillId="2" borderId="561" xfId="0" applyNumberFormat="1" applyFont="1" applyFill="1" applyBorder="1" applyAlignment="1">
      <alignment horizontal="right" vertical="center" wrapText="1"/>
    </xf>
    <xf numFmtId="0" fontId="333" fillId="2" borderId="561" xfId="0" applyFont="1" applyFill="1" applyBorder="1" applyAlignment="1">
      <alignment horizontal="left" vertical="center" wrapText="1"/>
    </xf>
    <xf numFmtId="0" fontId="333" fillId="2" borderId="562" xfId="0" applyFont="1" applyFill="1" applyBorder="1" applyAlignment="1">
      <alignment horizontal="center" vertical="center" wrapText="1"/>
    </xf>
    <xf numFmtId="0" fontId="105" fillId="2" borderId="49" xfId="0" applyFont="1" applyFill="1" applyBorder="1" applyAlignment="1">
      <alignment horizontal="center" vertical="center" wrapText="1"/>
    </xf>
    <xf numFmtId="10" fontId="105" fillId="2" borderId="49" xfId="0" applyNumberFormat="1" applyFont="1" applyFill="1" applyBorder="1" applyAlignment="1">
      <alignment horizontal="center" vertical="center" wrapText="1"/>
    </xf>
    <xf numFmtId="2" fontId="105" fillId="2" borderId="49" xfId="0" applyNumberFormat="1" applyFont="1" applyFill="1" applyBorder="1" applyAlignment="1">
      <alignment horizontal="center" vertical="center" wrapText="1"/>
    </xf>
    <xf numFmtId="0" fontId="105" fillId="2" borderId="50" xfId="0" applyFont="1" applyFill="1" applyBorder="1" applyAlignment="1">
      <alignment horizontal="center" vertical="center" wrapText="1"/>
    </xf>
    <xf numFmtId="0" fontId="106" fillId="49" borderId="49" xfId="0" applyFont="1" applyFill="1" applyBorder="1" applyAlignment="1">
      <alignment horizontal="center" vertical="center" wrapText="1"/>
    </xf>
    <xf numFmtId="0" fontId="106" fillId="49" borderId="50" xfId="0" applyFont="1" applyFill="1" applyBorder="1" applyAlignment="1">
      <alignment horizontal="center" vertical="center" wrapText="1"/>
    </xf>
    <xf numFmtId="0" fontId="108" fillId="2" borderId="49" xfId="0" applyFont="1" applyFill="1" applyBorder="1" applyAlignment="1">
      <alignment horizontal="center" vertical="center" wrapText="1"/>
    </xf>
    <xf numFmtId="0" fontId="106" fillId="49" borderId="52" xfId="0" applyFont="1" applyFill="1" applyBorder="1" applyAlignment="1">
      <alignment horizontal="center" vertical="center" wrapText="1"/>
    </xf>
    <xf numFmtId="0" fontId="106" fillId="49" borderId="53" xfId="0" applyFont="1" applyFill="1" applyBorder="1" applyAlignment="1">
      <alignment horizontal="center" vertical="center" wrapText="1"/>
    </xf>
    <xf numFmtId="0" fontId="76" fillId="0" borderId="0" xfId="0" applyFont="1" applyAlignment="1">
      <alignment vertical="top" wrapText="1"/>
    </xf>
    <xf numFmtId="0" fontId="73" fillId="2" borderId="3" xfId="0" applyFont="1" applyFill="1" applyBorder="1" applyAlignment="1">
      <alignment horizontal="center" vertical="center" wrapText="1"/>
    </xf>
    <xf numFmtId="0" fontId="265" fillId="49" borderId="49" xfId="0" applyFont="1" applyFill="1" applyBorder="1" applyAlignment="1">
      <alignment horizontal="center" vertical="center" wrapText="1"/>
    </xf>
    <xf numFmtId="0" fontId="265" fillId="49" borderId="50" xfId="0" applyFont="1" applyFill="1" applyBorder="1" applyAlignment="1">
      <alignment horizontal="center" vertical="center" wrapText="1"/>
    </xf>
    <xf numFmtId="10" fontId="105" fillId="32" borderId="49" xfId="0" applyNumberFormat="1" applyFont="1" applyFill="1" applyBorder="1" applyAlignment="1">
      <alignment horizontal="center" vertical="center" wrapText="1"/>
    </xf>
    <xf numFmtId="2" fontId="105" fillId="32" borderId="49" xfId="0" applyNumberFormat="1" applyFont="1" applyFill="1" applyBorder="1" applyAlignment="1">
      <alignment horizontal="center" vertical="center" wrapText="1"/>
    </xf>
    <xf numFmtId="0" fontId="104" fillId="45" borderId="49" xfId="0" applyFont="1" applyFill="1" applyBorder="1" applyAlignment="1">
      <alignment horizontal="center" vertical="center" wrapText="1"/>
    </xf>
    <xf numFmtId="0" fontId="291" fillId="91" borderId="49" xfId="0" applyFont="1" applyFill="1" applyBorder="1" applyAlignment="1">
      <alignment horizontal="center" vertical="center" wrapText="1"/>
    </xf>
    <xf numFmtId="0" fontId="268" fillId="91" borderId="49" xfId="0" applyFont="1" applyFill="1" applyBorder="1" applyAlignment="1">
      <alignment horizontal="center" vertical="center" wrapText="1"/>
    </xf>
    <xf numFmtId="1" fontId="105" fillId="2" borderId="49" xfId="0" applyNumberFormat="1" applyFont="1" applyFill="1" applyBorder="1" applyAlignment="1">
      <alignment horizontal="center" vertical="center" wrapText="1"/>
    </xf>
    <xf numFmtId="1" fontId="105" fillId="32" borderId="49" xfId="0" applyNumberFormat="1" applyFont="1" applyFill="1" applyBorder="1" applyAlignment="1">
      <alignment horizontal="center" vertical="center" wrapText="1"/>
    </xf>
    <xf numFmtId="0" fontId="56" fillId="72" borderId="3" xfId="0" applyFont="1" applyFill="1" applyBorder="1" applyAlignment="1">
      <alignment horizontal="center" vertical="center" wrapText="1"/>
    </xf>
    <xf numFmtId="0" fontId="117" fillId="72" borderId="28" xfId="0" applyFont="1" applyFill="1" applyBorder="1" applyAlignment="1">
      <alignment horizontal="center" vertical="center" wrapText="1"/>
    </xf>
    <xf numFmtId="0" fontId="116" fillId="72" borderId="15" xfId="0" applyFont="1" applyFill="1" applyBorder="1" applyAlignment="1">
      <alignment vertical="center" wrapText="1"/>
    </xf>
    <xf numFmtId="0" fontId="103" fillId="72" borderId="15" xfId="0" applyFont="1" applyFill="1" applyBorder="1" applyAlignment="1">
      <alignment vertical="center" wrapText="1"/>
    </xf>
    <xf numFmtId="0" fontId="47" fillId="72" borderId="17" xfId="0" applyFont="1" applyFill="1" applyBorder="1" applyAlignment="1">
      <alignment vertical="center" wrapText="1"/>
    </xf>
    <xf numFmtId="0" fontId="116" fillId="72" borderId="17" xfId="0" applyFont="1" applyFill="1" applyBorder="1" applyAlignment="1">
      <alignment horizontal="right" vertical="center" wrapText="1"/>
    </xf>
    <xf numFmtId="0" fontId="73" fillId="2" borderId="566" xfId="0" applyFont="1" applyFill="1" applyBorder="1" applyAlignment="1">
      <alignment horizontal="center" vertical="center" wrapText="1"/>
    </xf>
    <xf numFmtId="0" fontId="117" fillId="72" borderId="39" xfId="0" applyFont="1" applyFill="1" applyBorder="1" applyAlignment="1">
      <alignment horizontal="center" vertical="center" wrapText="1"/>
    </xf>
    <xf numFmtId="0" fontId="265" fillId="47" borderId="570" xfId="0" applyFont="1" applyFill="1" applyBorder="1" applyAlignment="1">
      <alignment horizontal="center" vertical="center" wrapText="1"/>
    </xf>
    <xf numFmtId="0" fontId="265" fillId="47" borderId="571" xfId="0" applyFont="1" applyFill="1" applyBorder="1" applyAlignment="1">
      <alignment horizontal="center" vertical="center" wrapText="1"/>
    </xf>
    <xf numFmtId="0" fontId="103" fillId="72" borderId="40" xfId="0" applyFont="1" applyFill="1" applyBorder="1" applyAlignment="1">
      <alignment vertical="center" wrapText="1"/>
    </xf>
    <xf numFmtId="0" fontId="289" fillId="32" borderId="355" xfId="0" applyFont="1" applyFill="1" applyBorder="1" applyAlignment="1">
      <alignment horizontal="center" vertical="center" wrapText="1"/>
    </xf>
    <xf numFmtId="0" fontId="289" fillId="32" borderId="225" xfId="0" applyFont="1" applyFill="1" applyBorder="1" applyAlignment="1">
      <alignment horizontal="center" vertical="center" wrapText="1"/>
    </xf>
    <xf numFmtId="173" fontId="289" fillId="32" borderId="225" xfId="0" applyNumberFormat="1" applyFont="1" applyFill="1" applyBorder="1" applyAlignment="1">
      <alignment horizontal="center" vertical="center" wrapText="1"/>
    </xf>
    <xf numFmtId="0" fontId="116" fillId="72" borderId="40" xfId="0" applyFont="1" applyFill="1" applyBorder="1" applyAlignment="1">
      <alignment vertical="center" wrapText="1"/>
    </xf>
    <xf numFmtId="0" fontId="341" fillId="49" borderId="311" xfId="0" applyFont="1" applyFill="1" applyBorder="1" applyAlignment="1">
      <alignment horizontal="center" vertical="center"/>
    </xf>
    <xf numFmtId="0" fontId="342" fillId="49" borderId="314" xfId="0" applyFont="1" applyFill="1" applyBorder="1" applyAlignment="1">
      <alignment horizontal="center" vertical="center"/>
    </xf>
    <xf numFmtId="0" fontId="339" fillId="91" borderId="573" xfId="0" applyFont="1" applyFill="1" applyBorder="1" applyAlignment="1">
      <alignment horizontal="center" vertical="center" wrapText="1"/>
    </xf>
    <xf numFmtId="0" fontId="47" fillId="72" borderId="41" xfId="0" applyFont="1" applyFill="1" applyBorder="1" applyAlignment="1">
      <alignment vertical="center" wrapText="1"/>
    </xf>
    <xf numFmtId="0" fontId="265" fillId="47" borderId="575" xfId="0" applyFont="1" applyFill="1" applyBorder="1" applyAlignment="1">
      <alignment horizontal="center" vertical="center" wrapText="1"/>
    </xf>
    <xf numFmtId="0" fontId="265" fillId="47" borderId="576" xfId="0" applyFont="1" applyFill="1" applyBorder="1" applyAlignment="1">
      <alignment horizontal="center" vertical="center" wrapText="1"/>
    </xf>
    <xf numFmtId="0" fontId="289" fillId="32" borderId="577" xfId="0" applyFont="1" applyFill="1" applyBorder="1" applyAlignment="1">
      <alignment vertical="center" wrapText="1"/>
    </xf>
    <xf numFmtId="0" fontId="289" fillId="32" borderId="578" xfId="0" applyFont="1" applyFill="1" applyBorder="1" applyAlignment="1">
      <alignment vertical="center" wrapText="1"/>
    </xf>
    <xf numFmtId="0" fontId="339" fillId="91" borderId="573" xfId="0" applyFont="1" applyFill="1" applyBorder="1" applyAlignment="1">
      <alignment vertical="center" wrapText="1"/>
    </xf>
    <xf numFmtId="0" fontId="339" fillId="91" borderId="574" xfId="0" applyFont="1" applyFill="1" applyBorder="1" applyAlignment="1">
      <alignment vertical="center" wrapText="1"/>
    </xf>
    <xf numFmtId="0" fontId="343" fillId="49" borderId="314" xfId="0" applyFont="1" applyFill="1" applyBorder="1" applyAlignment="1">
      <alignment vertical="center"/>
    </xf>
    <xf numFmtId="0" fontId="343" fillId="49" borderId="362" xfId="0" applyFont="1" applyFill="1" applyBorder="1" applyAlignment="1">
      <alignment vertical="center"/>
    </xf>
    <xf numFmtId="0" fontId="104" fillId="45" borderId="516" xfId="0" applyFont="1" applyFill="1" applyBorder="1" applyAlignment="1">
      <alignment horizontal="center" vertical="center" wrapText="1"/>
    </xf>
    <xf numFmtId="0" fontId="104" fillId="45" borderId="228" xfId="0" applyFont="1" applyFill="1" applyBorder="1" applyAlignment="1">
      <alignment horizontal="center" vertical="center" wrapText="1"/>
    </xf>
    <xf numFmtId="185" fontId="104" fillId="45" borderId="228" xfId="0" applyNumberFormat="1" applyFont="1" applyFill="1" applyBorder="1" applyAlignment="1">
      <alignment horizontal="center" vertical="center" wrapText="1"/>
    </xf>
    <xf numFmtId="173" fontId="104" fillId="45" borderId="228" xfId="0" applyNumberFormat="1" applyFont="1" applyFill="1" applyBorder="1" applyAlignment="1">
      <alignment horizontal="center" vertical="center" wrapText="1"/>
    </xf>
    <xf numFmtId="0" fontId="104" fillId="45" borderId="228" xfId="0" applyFont="1" applyFill="1" applyBorder="1" applyAlignment="1">
      <alignment vertical="center" wrapText="1"/>
    </xf>
    <xf numFmtId="0" fontId="104" fillId="45" borderId="367" xfId="0" applyFont="1" applyFill="1" applyBorder="1" applyAlignment="1">
      <alignment vertical="center" wrapText="1"/>
    </xf>
    <xf numFmtId="0" fontId="268" fillId="2" borderId="492" xfId="0" applyFont="1" applyFill="1" applyBorder="1" applyAlignment="1">
      <alignment horizontal="center" vertical="center" wrapText="1"/>
    </xf>
    <xf numFmtId="0" fontId="105" fillId="2" borderId="493" xfId="0" applyFont="1" applyFill="1" applyBorder="1" applyAlignment="1">
      <alignment horizontal="left" vertical="center" wrapText="1"/>
    </xf>
    <xf numFmtId="173" fontId="105" fillId="2" borderId="493" xfId="0" applyNumberFormat="1" applyFont="1" applyFill="1" applyBorder="1" applyAlignment="1">
      <alignment horizontal="center" vertical="center" wrapText="1"/>
    </xf>
    <xf numFmtId="169" fontId="105" fillId="2" borderId="493" xfId="0" applyNumberFormat="1" applyFont="1" applyFill="1" applyBorder="1" applyAlignment="1">
      <alignment horizontal="center" vertical="center" wrapText="1"/>
    </xf>
    <xf numFmtId="1" fontId="105" fillId="2" borderId="493" xfId="0" applyNumberFormat="1" applyFont="1" applyFill="1" applyBorder="1" applyAlignment="1">
      <alignment horizontal="center" vertical="center" wrapText="1"/>
    </xf>
    <xf numFmtId="10" fontId="105" fillId="2" borderId="493" xfId="0" applyNumberFormat="1" applyFont="1" applyFill="1" applyBorder="1" applyAlignment="1">
      <alignment horizontal="center" vertical="center" wrapText="1"/>
    </xf>
    <xf numFmtId="2" fontId="105" fillId="2" borderId="493" xfId="0" applyNumberFormat="1" applyFont="1" applyFill="1" applyBorder="1" applyAlignment="1">
      <alignment horizontal="center" vertical="center" wrapText="1"/>
    </xf>
    <xf numFmtId="0" fontId="105" fillId="2" borderId="493" xfId="0" applyFont="1" applyFill="1" applyBorder="1" applyAlignment="1">
      <alignment horizontal="center" vertical="center" wrapText="1"/>
    </xf>
    <xf numFmtId="0" fontId="105" fillId="2" borderId="494" xfId="0" applyFont="1" applyFill="1" applyBorder="1" applyAlignment="1">
      <alignment horizontal="center" vertical="center" wrapText="1"/>
    </xf>
    <xf numFmtId="0" fontId="106" fillId="32" borderId="50" xfId="0" applyFont="1" applyFill="1" applyBorder="1" applyAlignment="1">
      <alignment vertical="center" wrapText="1"/>
    </xf>
    <xf numFmtId="0" fontId="106" fillId="2" borderId="50" xfId="0" applyFont="1" applyFill="1" applyBorder="1" applyAlignment="1">
      <alignment vertical="center" wrapText="1"/>
    </xf>
    <xf numFmtId="173" fontId="106" fillId="32" borderId="52" xfId="0" applyNumberFormat="1" applyFont="1" applyFill="1" applyBorder="1" applyAlignment="1">
      <alignment horizontal="center" vertical="center" wrapText="1"/>
    </xf>
    <xf numFmtId="1" fontId="105" fillId="32" borderId="52" xfId="0" applyNumberFormat="1" applyFont="1" applyFill="1" applyBorder="1" applyAlignment="1">
      <alignment horizontal="center" vertical="center" wrapText="1"/>
    </xf>
    <xf numFmtId="10" fontId="105" fillId="32" borderId="52" xfId="0" applyNumberFormat="1" applyFont="1" applyFill="1" applyBorder="1" applyAlignment="1">
      <alignment horizontal="center" vertical="center" wrapText="1"/>
    </xf>
    <xf numFmtId="2" fontId="105" fillId="32" borderId="52" xfId="0" applyNumberFormat="1" applyFont="1" applyFill="1" applyBorder="1" applyAlignment="1">
      <alignment horizontal="center" vertical="center" wrapText="1"/>
    </xf>
    <xf numFmtId="0" fontId="106" fillId="32" borderId="52" xfId="0" applyFont="1" applyFill="1" applyBorder="1" applyAlignment="1">
      <alignment vertical="center" wrapText="1"/>
    </xf>
    <xf numFmtId="0" fontId="106" fillId="32" borderId="53" xfId="0" applyFont="1" applyFill="1" applyBorder="1" applyAlignment="1">
      <alignment vertical="center" wrapText="1"/>
    </xf>
    <xf numFmtId="173" fontId="331" fillId="78" borderId="49" xfId="0" applyNumberFormat="1" applyFont="1" applyFill="1" applyBorder="1" applyAlignment="1">
      <alignment horizontal="center" vertical="center" wrapText="1"/>
    </xf>
    <xf numFmtId="165" fontId="108" fillId="2" borderId="49" xfId="0" applyNumberFormat="1" applyFont="1" applyFill="1" applyBorder="1" applyAlignment="1">
      <alignment horizontal="center" vertical="center" wrapText="1"/>
    </xf>
    <xf numFmtId="0" fontId="108" fillId="32" borderId="49" xfId="0" applyFont="1" applyFill="1" applyBorder="1" applyAlignment="1">
      <alignment horizontal="center" vertical="center" wrapText="1"/>
    </xf>
    <xf numFmtId="165" fontId="108" fillId="32" borderId="49" xfId="0" applyNumberFormat="1" applyFont="1" applyFill="1" applyBorder="1" applyAlignment="1">
      <alignment horizontal="center" vertical="center" wrapText="1"/>
    </xf>
    <xf numFmtId="0" fontId="108" fillId="72" borderId="49" xfId="0" applyFont="1" applyFill="1" applyBorder="1" applyAlignment="1">
      <alignment horizontal="center" vertical="center" wrapText="1"/>
    </xf>
    <xf numFmtId="0" fontId="76" fillId="72" borderId="40" xfId="0" applyFont="1" applyFill="1" applyBorder="1" applyAlignment="1">
      <alignment vertical="center" wrapText="1"/>
    </xf>
    <xf numFmtId="0" fontId="268" fillId="28" borderId="55" xfId="0" applyFont="1" applyFill="1" applyBorder="1" applyAlignment="1">
      <alignment horizontal="center" vertical="center" wrapText="1"/>
    </xf>
    <xf numFmtId="0" fontId="291" fillId="28" borderId="49" xfId="0" applyFont="1" applyFill="1" applyBorder="1" applyAlignment="1">
      <alignment horizontal="center" vertical="center" wrapText="1"/>
    </xf>
    <xf numFmtId="0" fontId="268" fillId="28" borderId="49" xfId="0" applyFont="1" applyFill="1" applyBorder="1" applyAlignment="1">
      <alignment horizontal="center" vertical="center" wrapText="1"/>
    </xf>
    <xf numFmtId="0" fontId="268" fillId="91" borderId="55" xfId="0" applyFont="1" applyFill="1" applyBorder="1" applyAlignment="1">
      <alignment horizontal="center" vertical="center" wrapText="1"/>
    </xf>
    <xf numFmtId="0" fontId="104" fillId="90" borderId="56" xfId="0" applyFont="1" applyFill="1" applyBorder="1" applyAlignment="1">
      <alignment horizontal="center" vertical="center" wrapText="1"/>
    </xf>
    <xf numFmtId="0" fontId="133" fillId="90" borderId="52" xfId="0" applyFont="1" applyFill="1" applyBorder="1" applyAlignment="1">
      <alignment horizontal="center" vertical="center" wrapText="1"/>
    </xf>
    <xf numFmtId="0" fontId="68" fillId="72" borderId="0" xfId="0" applyFont="1" applyFill="1" applyAlignment="1">
      <alignment horizontal="center" vertical="center" wrapText="1"/>
    </xf>
    <xf numFmtId="0" fontId="292" fillId="72" borderId="10" xfId="0" applyFont="1" applyFill="1" applyBorder="1" applyAlignment="1">
      <alignment horizontal="left" vertical="center" wrapText="1"/>
    </xf>
    <xf numFmtId="166" fontId="346" fillId="72" borderId="15" xfId="0" applyNumberFormat="1" applyFont="1" applyFill="1" applyBorder="1" applyAlignment="1">
      <alignment horizontal="center" vertical="center" wrapText="1"/>
    </xf>
    <xf numFmtId="4" fontId="348" fillId="72" borderId="15" xfId="0" applyNumberFormat="1" applyFont="1" applyFill="1" applyBorder="1" applyAlignment="1">
      <alignment horizontal="center" vertical="center" wrapText="1"/>
    </xf>
    <xf numFmtId="0" fontId="346" fillId="72" borderId="15" xfId="0" applyFont="1" applyFill="1" applyBorder="1" applyAlignment="1">
      <alignment horizontal="center" vertical="center" wrapText="1"/>
    </xf>
    <xf numFmtId="166" fontId="60" fillId="72" borderId="15" xfId="0" applyNumberFormat="1" applyFont="1" applyFill="1" applyBorder="1" applyAlignment="1">
      <alignment horizontal="right" vertical="center" wrapText="1"/>
    </xf>
    <xf numFmtId="4" fontId="229" fillId="72" borderId="15" xfId="0" applyNumberFormat="1" applyFont="1" applyFill="1" applyBorder="1" applyAlignment="1">
      <alignment vertical="center" wrapText="1"/>
    </xf>
    <xf numFmtId="166" fontId="62" fillId="72" borderId="15" xfId="0" applyNumberFormat="1" applyFont="1" applyFill="1" applyBorder="1" applyAlignment="1">
      <alignment vertical="center" wrapText="1"/>
    </xf>
    <xf numFmtId="166" fontId="65" fillId="72" borderId="15" xfId="0" applyNumberFormat="1" applyFont="1" applyFill="1" applyBorder="1" applyAlignment="1">
      <alignment vertical="center" wrapText="1"/>
    </xf>
    <xf numFmtId="4" fontId="229" fillId="72" borderId="15" xfId="0" applyNumberFormat="1" applyFont="1" applyFill="1" applyBorder="1" applyAlignment="1">
      <alignment horizontal="right" vertical="center" wrapText="1"/>
    </xf>
    <xf numFmtId="0" fontId="60" fillId="72" borderId="15" xfId="0" applyFont="1" applyFill="1" applyBorder="1" applyAlignment="1">
      <alignment vertical="center" wrapText="1"/>
    </xf>
    <xf numFmtId="0" fontId="132" fillId="32" borderId="49" xfId="0" applyFont="1" applyFill="1" applyBorder="1" applyAlignment="1">
      <alignment horizontal="left" vertical="center" wrapText="1"/>
    </xf>
    <xf numFmtId="0" fontId="132" fillId="2" borderId="49" xfId="0" applyFont="1" applyFill="1" applyBorder="1" applyAlignment="1">
      <alignment horizontal="left" vertical="center" wrapText="1"/>
    </xf>
    <xf numFmtId="165" fontId="108" fillId="32" borderId="49" xfId="0" applyNumberFormat="1" applyFont="1" applyFill="1" applyBorder="1" applyAlignment="1">
      <alignment horizontal="right" vertical="center" wrapText="1"/>
    </xf>
    <xf numFmtId="178" fontId="108" fillId="32" borderId="49" xfId="0" applyNumberFormat="1" applyFont="1" applyFill="1" applyBorder="1" applyAlignment="1">
      <alignment horizontal="right" vertical="center" wrapText="1"/>
    </xf>
    <xf numFmtId="178" fontId="108" fillId="2" borderId="49" xfId="0" applyNumberFormat="1" applyFont="1" applyFill="1" applyBorder="1" applyAlignment="1">
      <alignment horizontal="right" vertical="center" wrapText="1"/>
    </xf>
    <xf numFmtId="165" fontId="108" fillId="2" borderId="49" xfId="0" applyNumberFormat="1" applyFont="1" applyFill="1" applyBorder="1" applyAlignment="1">
      <alignment horizontal="right" vertical="center" wrapText="1"/>
    </xf>
    <xf numFmtId="0" fontId="108" fillId="32" borderId="49" xfId="0" applyFont="1" applyFill="1" applyBorder="1" applyAlignment="1">
      <alignment horizontal="left" vertical="center" wrapText="1"/>
    </xf>
    <xf numFmtId="0" fontId="108" fillId="2" borderId="49" xfId="0" applyFont="1" applyFill="1" applyBorder="1" applyAlignment="1">
      <alignment horizontal="left" vertical="center" wrapText="1"/>
    </xf>
    <xf numFmtId="166" fontId="60" fillId="72" borderId="40" xfId="0" applyNumberFormat="1" applyFont="1" applyFill="1" applyBorder="1" applyAlignment="1">
      <alignment horizontal="right" vertical="center" wrapText="1"/>
    </xf>
    <xf numFmtId="0" fontId="62" fillId="72" borderId="40" xfId="0" applyFont="1" applyFill="1" applyBorder="1" applyAlignment="1">
      <alignment vertical="center" wrapText="1"/>
    </xf>
    <xf numFmtId="0" fontId="268" fillId="72" borderId="355" xfId="0" applyFont="1" applyFill="1" applyBorder="1" applyAlignment="1">
      <alignment horizontal="center" vertical="center" wrapText="1"/>
    </xf>
    <xf numFmtId="0" fontId="108" fillId="72" borderId="225" xfId="0" applyFont="1" applyFill="1" applyBorder="1" applyAlignment="1">
      <alignment horizontal="center" vertical="center" wrapText="1"/>
    </xf>
    <xf numFmtId="0" fontId="108" fillId="32" borderId="52" xfId="0" applyFont="1" applyFill="1" applyBorder="1" applyAlignment="1">
      <alignment horizontal="center" vertical="center" wrapText="1"/>
    </xf>
    <xf numFmtId="165" fontId="108" fillId="32" borderId="52" xfId="0" applyNumberFormat="1" applyFont="1" applyFill="1" applyBorder="1" applyAlignment="1">
      <alignment horizontal="center" vertical="center" wrapText="1"/>
    </xf>
    <xf numFmtId="0" fontId="104" fillId="92" borderId="355" xfId="0" applyFont="1" applyFill="1" applyBorder="1" applyAlignment="1">
      <alignment horizontal="center" vertical="center" wrapText="1"/>
    </xf>
    <xf numFmtId="0" fontId="133" fillId="92" borderId="225" xfId="0" applyFont="1" applyFill="1" applyBorder="1" applyAlignment="1">
      <alignment horizontal="center" vertical="center" wrapText="1"/>
    </xf>
    <xf numFmtId="166" fontId="346" fillId="72" borderId="40" xfId="0" applyNumberFormat="1" applyFont="1" applyFill="1" applyBorder="1" applyAlignment="1">
      <alignment horizontal="center" vertical="center" wrapText="1"/>
    </xf>
    <xf numFmtId="166" fontId="61" fillId="72" borderId="40" xfId="0" applyNumberFormat="1" applyFont="1" applyFill="1" applyBorder="1" applyAlignment="1">
      <alignment horizontal="right" vertical="center" wrapText="1"/>
    </xf>
    <xf numFmtId="4" fontId="60" fillId="72" borderId="40" xfId="0" applyNumberFormat="1" applyFont="1" applyFill="1" applyBorder="1" applyAlignment="1">
      <alignment horizontal="right" vertical="center" wrapText="1"/>
    </xf>
    <xf numFmtId="165" fontId="104" fillId="45" borderId="228" xfId="0" applyNumberFormat="1" applyFont="1" applyFill="1" applyBorder="1" applyAlignment="1">
      <alignment horizontal="center" vertical="center" wrapText="1"/>
    </xf>
    <xf numFmtId="178" fontId="104" fillId="45" borderId="228" xfId="0" applyNumberFormat="1" applyFont="1" applyFill="1" applyBorder="1" applyAlignment="1">
      <alignment horizontal="center" vertical="center" wrapText="1"/>
    </xf>
    <xf numFmtId="0" fontId="345" fillId="2" borderId="493" xfId="0" applyFont="1" applyFill="1" applyBorder="1" applyAlignment="1">
      <alignment horizontal="center" vertical="center" wrapText="1"/>
    </xf>
    <xf numFmtId="0" fontId="345" fillId="2" borderId="493" xfId="0" applyFont="1" applyFill="1" applyBorder="1" applyAlignment="1">
      <alignment horizontal="left" vertical="center" wrapText="1"/>
    </xf>
    <xf numFmtId="165" fontId="345" fillId="2" borderId="493" xfId="0" applyNumberFormat="1" applyFont="1" applyFill="1" applyBorder="1" applyAlignment="1">
      <alignment horizontal="right" vertical="center" wrapText="1"/>
    </xf>
    <xf numFmtId="178" fontId="345" fillId="2" borderId="493" xfId="0" applyNumberFormat="1" applyFont="1" applyFill="1" applyBorder="1" applyAlignment="1">
      <alignment horizontal="right" vertical="center" wrapText="1"/>
    </xf>
    <xf numFmtId="0" fontId="133" fillId="2" borderId="493" xfId="0" applyFont="1" applyFill="1" applyBorder="1" applyAlignment="1">
      <alignment horizontal="left" vertical="center" wrapText="1"/>
    </xf>
    <xf numFmtId="0" fontId="132" fillId="32" borderId="52" xfId="0" applyFont="1" applyFill="1" applyBorder="1" applyAlignment="1">
      <alignment horizontal="left" vertical="center" wrapText="1"/>
    </xf>
    <xf numFmtId="165" fontId="108" fillId="32" borderId="52" xfId="0" applyNumberFormat="1" applyFont="1" applyFill="1" applyBorder="1" applyAlignment="1">
      <alignment horizontal="right" vertical="center" wrapText="1"/>
    </xf>
    <xf numFmtId="178" fontId="108" fillId="32" borderId="52" xfId="0" applyNumberFormat="1" applyFont="1" applyFill="1" applyBorder="1" applyAlignment="1">
      <alignment horizontal="right" vertical="center" wrapText="1"/>
    </xf>
    <xf numFmtId="0" fontId="108" fillId="32" borderId="52" xfId="0" applyFont="1" applyFill="1" applyBorder="1" applyAlignment="1">
      <alignment horizontal="left" vertical="center" wrapText="1"/>
    </xf>
    <xf numFmtId="0" fontId="265" fillId="47" borderId="585" xfId="0" applyFont="1" applyFill="1" applyBorder="1" applyAlignment="1">
      <alignment horizontal="center" vertical="center" wrapText="1"/>
    </xf>
    <xf numFmtId="0" fontId="265" fillId="47" borderId="586" xfId="0" applyFont="1" applyFill="1" applyBorder="1" applyAlignment="1">
      <alignment horizontal="center" vertical="center" wrapText="1"/>
    </xf>
    <xf numFmtId="0" fontId="268" fillId="32" borderId="492" xfId="0" applyFont="1" applyFill="1" applyBorder="1" applyAlignment="1">
      <alignment horizontal="center" vertical="center" wrapText="1"/>
    </xf>
    <xf numFmtId="0" fontId="108" fillId="32" borderId="493" xfId="0" applyFont="1" applyFill="1" applyBorder="1" applyAlignment="1">
      <alignment horizontal="center" vertical="center" wrapText="1"/>
    </xf>
    <xf numFmtId="165" fontId="108" fillId="32" borderId="493" xfId="0" applyNumberFormat="1" applyFont="1" applyFill="1" applyBorder="1" applyAlignment="1">
      <alignment horizontal="center" vertical="center" wrapText="1"/>
    </xf>
    <xf numFmtId="0" fontId="265" fillId="47" borderId="587" xfId="0" applyFont="1" applyFill="1" applyBorder="1" applyAlignment="1">
      <alignment horizontal="center" vertical="center" wrapText="1"/>
    </xf>
    <xf numFmtId="0" fontId="345" fillId="2" borderId="588" xfId="0" applyFont="1" applyFill="1" applyBorder="1" applyAlignment="1">
      <alignment horizontal="left" vertical="center" wrapText="1"/>
    </xf>
    <xf numFmtId="0" fontId="108" fillId="32" borderId="131" xfId="0" applyFont="1" applyFill="1" applyBorder="1" applyAlignment="1">
      <alignment horizontal="left" vertical="center" wrapText="1"/>
    </xf>
    <xf numFmtId="0" fontId="108" fillId="2" borderId="131" xfId="0" applyFont="1" applyFill="1" applyBorder="1" applyAlignment="1">
      <alignment horizontal="left" vertical="center" wrapText="1"/>
    </xf>
    <xf numFmtId="0" fontId="108" fillId="32" borderId="589" xfId="0" applyFont="1" applyFill="1" applyBorder="1" applyAlignment="1">
      <alignment horizontal="left" vertical="center" wrapText="1"/>
    </xf>
    <xf numFmtId="0" fontId="104" fillId="45" borderId="590" xfId="0" applyFont="1" applyFill="1" applyBorder="1" applyAlignment="1">
      <alignment horizontal="center" vertical="center" wrapText="1"/>
    </xf>
    <xf numFmtId="0" fontId="108" fillId="72" borderId="592" xfId="0" applyFont="1" applyFill="1" applyBorder="1" applyAlignment="1">
      <alignment horizontal="center" vertical="center" wrapText="1"/>
    </xf>
    <xf numFmtId="0" fontId="153" fillId="47" borderId="593" xfId="0" applyFont="1" applyFill="1" applyBorder="1" applyAlignment="1">
      <alignment horizontal="center" vertical="center" wrapText="1"/>
    </xf>
    <xf numFmtId="0" fontId="347" fillId="2" borderId="594" xfId="0" applyFont="1" applyFill="1" applyBorder="1" applyAlignment="1">
      <alignment horizontal="left" vertical="center" wrapText="1"/>
    </xf>
    <xf numFmtId="0" fontId="76" fillId="32" borderId="302" xfId="0" applyFont="1" applyFill="1" applyBorder="1" applyAlignment="1">
      <alignment horizontal="left" vertical="center" wrapText="1"/>
    </xf>
    <xf numFmtId="0" fontId="76" fillId="2" borderId="302" xfId="0" applyFont="1" applyFill="1" applyBorder="1" applyAlignment="1">
      <alignment horizontal="left" vertical="center" wrapText="1"/>
    </xf>
    <xf numFmtId="0" fontId="76" fillId="32" borderId="352" xfId="0" applyFont="1" applyFill="1" applyBorder="1" applyAlignment="1">
      <alignment horizontal="left" vertical="center" wrapText="1"/>
    </xf>
    <xf numFmtId="0" fontId="77" fillId="45" borderId="249" xfId="0" applyFont="1" applyFill="1" applyBorder="1" applyAlignment="1">
      <alignment horizontal="center" vertical="center" wrapText="1"/>
    </xf>
    <xf numFmtId="0" fontId="76" fillId="72" borderId="484" xfId="0" applyFont="1" applyFill="1" applyBorder="1" applyAlignment="1">
      <alignment vertical="center" wrapText="1"/>
    </xf>
    <xf numFmtId="0" fontId="149" fillId="2" borderId="55" xfId="0" applyFont="1" applyFill="1" applyBorder="1" applyAlignment="1">
      <alignment horizontal="left" vertical="center" wrapText="1"/>
    </xf>
    <xf numFmtId="0" fontId="153" fillId="47" borderId="595" xfId="0" applyFont="1" applyFill="1" applyBorder="1" applyAlignment="1">
      <alignment horizontal="center" vertical="center" wrapText="1"/>
    </xf>
    <xf numFmtId="0" fontId="152" fillId="2" borderId="491" xfId="0" applyFont="1" applyFill="1" applyBorder="1" applyAlignment="1">
      <alignment horizontal="left" vertical="center" wrapText="1"/>
    </xf>
    <xf numFmtId="0" fontId="77" fillId="32" borderId="300" xfId="0" applyFont="1" applyFill="1" applyBorder="1" applyAlignment="1">
      <alignment horizontal="left" vertical="center" wrapText="1"/>
    </xf>
    <xf numFmtId="0" fontId="77" fillId="2" borderId="300" xfId="0" applyFont="1" applyFill="1" applyBorder="1" applyAlignment="1">
      <alignment horizontal="left" vertical="center" wrapText="1"/>
    </xf>
    <xf numFmtId="0" fontId="149" fillId="2" borderId="300" xfId="0" applyFont="1" applyFill="1" applyBorder="1" applyAlignment="1">
      <alignment horizontal="left" vertical="center" wrapText="1"/>
    </xf>
    <xf numFmtId="0" fontId="149" fillId="32" borderId="300" xfId="0" applyFont="1" applyFill="1" applyBorder="1" applyAlignment="1">
      <alignment horizontal="left" vertical="center" wrapText="1"/>
    </xf>
    <xf numFmtId="0" fontId="77" fillId="32" borderId="458" xfId="0" applyFont="1" applyFill="1" applyBorder="1" applyAlignment="1">
      <alignment horizontal="left" vertical="center" wrapText="1"/>
    </xf>
    <xf numFmtId="0" fontId="77" fillId="45" borderId="596" xfId="0" applyFont="1" applyFill="1" applyBorder="1" applyAlignment="1">
      <alignment horizontal="center" vertical="center" wrapText="1"/>
    </xf>
    <xf numFmtId="0" fontId="76" fillId="72" borderId="599" xfId="0" applyFont="1" applyFill="1" applyBorder="1" applyAlignment="1">
      <alignment vertical="center" wrapText="1"/>
    </xf>
    <xf numFmtId="0" fontId="153" fillId="32" borderId="29" xfId="0" applyFont="1" applyFill="1" applyBorder="1" applyAlignment="1">
      <alignment horizontal="center" vertical="center" wrapText="1"/>
    </xf>
    <xf numFmtId="0" fontId="101" fillId="31" borderId="16" xfId="0" applyFont="1" applyFill="1" applyBorder="1" applyAlignment="1">
      <alignment horizontal="center" vertical="center" wrapText="1"/>
    </xf>
    <xf numFmtId="0" fontId="98" fillId="18" borderId="15" xfId="0" applyFont="1" applyFill="1" applyBorder="1" applyAlignment="1">
      <alignment vertical="center" wrapText="1"/>
    </xf>
    <xf numFmtId="0" fontId="76" fillId="0" borderId="16" xfId="0" applyFont="1" applyBorder="1" applyAlignment="1">
      <alignment vertical="center" wrapText="1"/>
    </xf>
    <xf numFmtId="0" fontId="86" fillId="2" borderId="15" xfId="0" applyFont="1" applyFill="1" applyBorder="1" applyAlignment="1">
      <alignment horizontal="center" vertical="center" wrapText="1"/>
    </xf>
    <xf numFmtId="0" fontId="88" fillId="0" borderId="15" xfId="0" applyFont="1" applyBorder="1" applyAlignment="1">
      <alignment horizontal="center" vertical="center" wrapText="1"/>
    </xf>
    <xf numFmtId="0" fontId="88" fillId="0" borderId="16" xfId="0" applyFont="1" applyBorder="1" applyAlignment="1">
      <alignment horizontal="center" vertical="center" wrapText="1"/>
    </xf>
    <xf numFmtId="0" fontId="149" fillId="18" borderId="15" xfId="0" applyFont="1" applyFill="1" applyBorder="1" applyAlignment="1">
      <alignment horizontal="center" vertical="center" wrapText="1"/>
    </xf>
    <xf numFmtId="0" fontId="98" fillId="2" borderId="17" xfId="0" applyFont="1" applyFill="1" applyBorder="1" applyAlignment="1">
      <alignment vertical="center" wrapText="1"/>
    </xf>
    <xf numFmtId="0" fontId="76" fillId="0" borderId="18" xfId="0" applyFont="1" applyBorder="1" applyAlignment="1">
      <alignment vertical="center" wrapText="1"/>
    </xf>
    <xf numFmtId="0" fontId="72" fillId="47" borderId="0" xfId="2" applyFont="1" applyFill="1" applyAlignment="1">
      <alignment horizontal="center" vertical="center" wrapText="1"/>
    </xf>
    <xf numFmtId="0" fontId="73" fillId="47" borderId="0" xfId="0" applyFont="1" applyFill="1" applyAlignment="1">
      <alignment horizontal="center" vertical="center" wrapText="1"/>
    </xf>
    <xf numFmtId="0" fontId="98" fillId="94" borderId="15" xfId="0" applyFont="1" applyFill="1" applyBorder="1" applyAlignment="1">
      <alignment vertical="center" wrapText="1"/>
    </xf>
    <xf numFmtId="0" fontId="72" fillId="47" borderId="72" xfId="2" applyFont="1" applyFill="1" applyBorder="1" applyAlignment="1">
      <alignment horizontal="center" vertical="center"/>
    </xf>
    <xf numFmtId="0" fontId="73" fillId="47" borderId="249" xfId="0" applyFont="1" applyFill="1" applyBorder="1" applyAlignment="1">
      <alignment horizontal="center" vertical="center" wrapText="1"/>
    </xf>
    <xf numFmtId="0" fontId="101" fillId="31" borderId="40" xfId="0" applyFont="1" applyFill="1" applyBorder="1" applyAlignment="1">
      <alignment horizontal="center" vertical="center" wrapText="1"/>
    </xf>
    <xf numFmtId="0" fontId="98" fillId="18" borderId="40" xfId="0" applyFont="1" applyFill="1" applyBorder="1" applyAlignment="1">
      <alignment vertical="center" wrapText="1"/>
    </xf>
    <xf numFmtId="0" fontId="86" fillId="2" borderId="40" xfId="0" applyFont="1" applyFill="1" applyBorder="1" applyAlignment="1">
      <alignment horizontal="center" vertical="center" wrapText="1"/>
    </xf>
    <xf numFmtId="0" fontId="72" fillId="47" borderId="55" xfId="2" applyFont="1" applyFill="1" applyBorder="1" applyAlignment="1">
      <alignment horizontal="center" vertical="center"/>
    </xf>
    <xf numFmtId="0" fontId="72" fillId="47" borderId="49" xfId="2" applyFont="1" applyFill="1" applyBorder="1" applyAlignment="1">
      <alignment horizontal="center" vertical="center" wrapText="1"/>
    </xf>
    <xf numFmtId="0" fontId="73" fillId="47" borderId="49" xfId="0" applyFont="1" applyFill="1" applyBorder="1" applyAlignment="1">
      <alignment horizontal="center" vertical="center" wrapText="1"/>
    </xf>
    <xf numFmtId="0" fontId="73" fillId="47" borderId="50" xfId="0" applyFont="1" applyFill="1" applyBorder="1" applyAlignment="1">
      <alignment horizontal="center" vertical="center" wrapText="1"/>
    </xf>
    <xf numFmtId="0" fontId="153" fillId="47" borderId="55" xfId="0" applyFont="1" applyFill="1" applyBorder="1" applyAlignment="1">
      <alignment horizontal="center" vertical="center" wrapText="1"/>
    </xf>
    <xf numFmtId="166" fontId="153" fillId="47" borderId="49" xfId="0" applyNumberFormat="1" applyFont="1" applyFill="1" applyBorder="1" applyAlignment="1">
      <alignment horizontal="center" vertical="center" wrapText="1"/>
    </xf>
    <xf numFmtId="10" fontId="153" fillId="47" borderId="49" xfId="0" applyNumberFormat="1" applyFont="1" applyFill="1" applyBorder="1" applyAlignment="1">
      <alignment horizontal="center" vertical="center" wrapText="1"/>
    </xf>
    <xf numFmtId="10" fontId="153" fillId="47" borderId="50" xfId="0" applyNumberFormat="1" applyFont="1" applyFill="1" applyBorder="1" applyAlignment="1">
      <alignment horizontal="center" vertical="center" wrapText="1"/>
    </xf>
    <xf numFmtId="0" fontId="101" fillId="2" borderId="49" xfId="0" applyFont="1" applyFill="1" applyBorder="1" applyAlignment="1">
      <alignment horizontal="center" vertical="center" wrapText="1"/>
    </xf>
    <xf numFmtId="0" fontId="154" fillId="2" borderId="49" xfId="0" applyFont="1" applyFill="1" applyBorder="1" applyAlignment="1">
      <alignment horizontal="center" vertical="center" wrapText="1"/>
    </xf>
    <xf numFmtId="0" fontId="303" fillId="94" borderId="49" xfId="0" applyFont="1" applyFill="1" applyBorder="1" applyAlignment="1">
      <alignment horizontal="center" vertical="center" wrapText="1"/>
    </xf>
    <xf numFmtId="0" fontId="303" fillId="2" borderId="49" xfId="0" applyFont="1" applyFill="1" applyBorder="1" applyAlignment="1">
      <alignment horizontal="center" vertical="center" wrapText="1"/>
    </xf>
    <xf numFmtId="0" fontId="77" fillId="45" borderId="52" xfId="0" applyFont="1" applyFill="1" applyBorder="1" applyAlignment="1">
      <alignment horizontal="center" vertical="center" wrapText="1"/>
    </xf>
    <xf numFmtId="0" fontId="149" fillId="18" borderId="40" xfId="0" applyFont="1" applyFill="1" applyBorder="1" applyAlignment="1">
      <alignment horizontal="center" vertical="center" wrapText="1"/>
    </xf>
    <xf numFmtId="0" fontId="98" fillId="2" borderId="41" xfId="0" applyFont="1" applyFill="1" applyBorder="1" applyAlignment="1">
      <alignment vertical="center" wrapText="1"/>
    </xf>
    <xf numFmtId="0" fontId="77" fillId="45" borderId="310" xfId="0" applyFont="1" applyFill="1" applyBorder="1" applyAlignment="1">
      <alignment horizontal="center" vertical="center" wrapText="1"/>
    </xf>
    <xf numFmtId="0" fontId="77" fillId="45" borderId="108" xfId="0" applyFont="1" applyFill="1" applyBorder="1" applyAlignment="1">
      <alignment horizontal="center" vertical="center" wrapText="1"/>
    </xf>
    <xf numFmtId="178" fontId="77" fillId="45" borderId="108" xfId="0" applyNumberFormat="1" applyFont="1" applyFill="1" applyBorder="1" applyAlignment="1">
      <alignment horizontal="center" vertical="center" wrapText="1"/>
    </xf>
    <xf numFmtId="0" fontId="98" fillId="94" borderId="49" xfId="0" applyFont="1" applyFill="1" applyBorder="1" applyAlignment="1">
      <alignment horizontal="center" vertical="center" wrapText="1"/>
    </xf>
    <xf numFmtId="10" fontId="149" fillId="94" borderId="49" xfId="0" applyNumberFormat="1" applyFont="1" applyFill="1" applyBorder="1" applyAlignment="1">
      <alignment horizontal="center" vertical="center" wrapText="1"/>
    </xf>
    <xf numFmtId="0" fontId="98" fillId="2" borderId="49" xfId="0" applyFont="1" applyFill="1" applyBorder="1" applyAlignment="1">
      <alignment horizontal="center" vertical="center" wrapText="1"/>
    </xf>
    <xf numFmtId="186" fontId="153" fillId="47" borderId="49" xfId="0" applyNumberFormat="1" applyFont="1" applyFill="1" applyBorder="1" applyAlignment="1">
      <alignment horizontal="center" vertical="center" wrapText="1"/>
    </xf>
    <xf numFmtId="186" fontId="98" fillId="94" borderId="49" xfId="0" applyNumberFormat="1" applyFont="1" applyFill="1" applyBorder="1" applyAlignment="1">
      <alignment horizontal="right" vertical="center" wrapText="1"/>
    </xf>
    <xf numFmtId="186" fontId="98" fillId="2" borderId="49" xfId="0" applyNumberFormat="1" applyFont="1" applyFill="1" applyBorder="1" applyAlignment="1">
      <alignment horizontal="right" vertical="center" wrapText="1"/>
    </xf>
    <xf numFmtId="1" fontId="153" fillId="47" borderId="49" xfId="0" applyNumberFormat="1" applyFont="1" applyFill="1" applyBorder="1" applyAlignment="1">
      <alignment horizontal="center" vertical="center" wrapText="1"/>
    </xf>
    <xf numFmtId="1" fontId="98" fillId="94" borderId="49" xfId="0" applyNumberFormat="1" applyFont="1" applyFill="1" applyBorder="1" applyAlignment="1">
      <alignment horizontal="center" vertical="center" wrapText="1"/>
    </xf>
    <xf numFmtId="1" fontId="98" fillId="2" borderId="49" xfId="0" applyNumberFormat="1" applyFont="1" applyFill="1" applyBorder="1" applyAlignment="1">
      <alignment horizontal="center" vertical="center" wrapText="1"/>
    </xf>
    <xf numFmtId="1" fontId="98" fillId="94" borderId="52" xfId="0" applyNumberFormat="1" applyFont="1" applyFill="1" applyBorder="1" applyAlignment="1">
      <alignment horizontal="center" vertical="center" wrapText="1"/>
    </xf>
    <xf numFmtId="186" fontId="98" fillId="94" borderId="52" xfId="0" applyNumberFormat="1" applyFont="1" applyFill="1" applyBorder="1" applyAlignment="1">
      <alignment horizontal="right" vertical="center" wrapText="1"/>
    </xf>
    <xf numFmtId="10" fontId="149" fillId="94" borderId="49" xfId="0" applyNumberFormat="1" applyFont="1" applyFill="1" applyBorder="1" applyAlignment="1">
      <alignment horizontal="right" vertical="center" wrapText="1"/>
    </xf>
    <xf numFmtId="10" fontId="98" fillId="94" borderId="49" xfId="0" applyNumberFormat="1" applyFont="1" applyFill="1" applyBorder="1" applyAlignment="1">
      <alignment horizontal="right" vertical="center" wrapText="1"/>
    </xf>
    <xf numFmtId="0" fontId="101" fillId="2" borderId="55" xfId="0" applyFont="1" applyFill="1" applyBorder="1" applyAlignment="1">
      <alignment horizontal="left" vertical="center" wrapText="1"/>
    </xf>
    <xf numFmtId="0" fontId="149" fillId="94" borderId="55" xfId="0" applyFont="1" applyFill="1" applyBorder="1" applyAlignment="1">
      <alignment horizontal="left" vertical="center" wrapText="1"/>
    </xf>
    <xf numFmtId="0" fontId="149" fillId="2" borderId="55" xfId="0" applyFont="1" applyFill="1" applyBorder="1" applyAlignment="1">
      <alignment horizontal="left" vertical="center"/>
    </xf>
    <xf numFmtId="0" fontId="149" fillId="94" borderId="55" xfId="0" applyFont="1" applyFill="1" applyBorder="1" applyAlignment="1">
      <alignment horizontal="left" vertical="center"/>
    </xf>
    <xf numFmtId="0" fontId="149" fillId="94" borderId="56" xfId="0" applyFont="1" applyFill="1" applyBorder="1" applyAlignment="1">
      <alignment horizontal="left" vertical="center"/>
    </xf>
    <xf numFmtId="0" fontId="101" fillId="2" borderId="49" xfId="0" applyFont="1" applyFill="1" applyBorder="1" applyAlignment="1">
      <alignment horizontal="left" vertical="center" wrapText="1"/>
    </xf>
    <xf numFmtId="0" fontId="98" fillId="94" borderId="49" xfId="0" applyFont="1" applyFill="1" applyBorder="1" applyAlignment="1">
      <alignment horizontal="left" vertical="center" wrapText="1"/>
    </xf>
    <xf numFmtId="0" fontId="98" fillId="2" borderId="49" xfId="0" applyFont="1" applyFill="1" applyBorder="1" applyAlignment="1">
      <alignment horizontal="left" vertical="center" wrapText="1"/>
    </xf>
    <xf numFmtId="186" fontId="101" fillId="2" borderId="49" xfId="0" applyNumberFormat="1" applyFont="1" applyFill="1" applyBorder="1" applyAlignment="1">
      <alignment horizontal="right" vertical="center" wrapText="1"/>
    </xf>
    <xf numFmtId="10" fontId="101" fillId="2" borderId="49" xfId="0" applyNumberFormat="1" applyFont="1" applyFill="1" applyBorder="1" applyAlignment="1">
      <alignment horizontal="right" vertical="center" wrapText="1"/>
    </xf>
    <xf numFmtId="10" fontId="101" fillId="2" borderId="50" xfId="0" applyNumberFormat="1" applyFont="1" applyFill="1" applyBorder="1" applyAlignment="1">
      <alignment horizontal="right" vertical="center" wrapText="1"/>
    </xf>
    <xf numFmtId="10" fontId="98" fillId="94" borderId="50" xfId="0" applyNumberFormat="1" applyFont="1" applyFill="1" applyBorder="1" applyAlignment="1">
      <alignment horizontal="right" vertical="center" wrapText="1"/>
    </xf>
    <xf numFmtId="10" fontId="98" fillId="2" borderId="49" xfId="0" applyNumberFormat="1" applyFont="1" applyFill="1" applyBorder="1" applyAlignment="1">
      <alignment horizontal="right" vertical="center" wrapText="1"/>
    </xf>
    <xf numFmtId="10" fontId="98" fillId="2" borderId="50" xfId="0" applyNumberFormat="1" applyFont="1" applyFill="1" applyBorder="1" applyAlignment="1">
      <alignment horizontal="right" vertical="center" wrapText="1"/>
    </xf>
    <xf numFmtId="186" fontId="77" fillId="45" borderId="108" xfId="0" applyNumberFormat="1" applyFont="1" applyFill="1" applyBorder="1" applyAlignment="1">
      <alignment horizontal="right" vertical="center" wrapText="1"/>
    </xf>
    <xf numFmtId="10" fontId="77" fillId="45" borderId="108" xfId="0" applyNumberFormat="1" applyFont="1" applyFill="1" applyBorder="1" applyAlignment="1">
      <alignment horizontal="right" vertical="center" wrapText="1"/>
    </xf>
    <xf numFmtId="10" fontId="77" fillId="45" borderId="350" xfId="0" applyNumberFormat="1" applyFont="1" applyFill="1" applyBorder="1" applyAlignment="1">
      <alignment horizontal="right" vertical="center" wrapText="1"/>
    </xf>
    <xf numFmtId="10" fontId="149" fillId="2" borderId="49" xfId="0" applyNumberFormat="1" applyFont="1" applyFill="1" applyBorder="1" applyAlignment="1">
      <alignment horizontal="right" vertical="center" wrapText="1"/>
    </xf>
    <xf numFmtId="10" fontId="149" fillId="94" borderId="52" xfId="0" applyNumberFormat="1" applyFont="1" applyFill="1" applyBorder="1" applyAlignment="1">
      <alignment horizontal="right" vertical="center" wrapText="1"/>
    </xf>
    <xf numFmtId="10" fontId="98" fillId="94" borderId="52" xfId="0" applyNumberFormat="1" applyFont="1" applyFill="1" applyBorder="1" applyAlignment="1">
      <alignment horizontal="right" vertical="center" wrapText="1"/>
    </xf>
    <xf numFmtId="166" fontId="98" fillId="94" borderId="49" xfId="0" applyNumberFormat="1" applyFont="1" applyFill="1" applyBorder="1" applyAlignment="1">
      <alignment horizontal="center" vertical="center" wrapText="1"/>
    </xf>
    <xf numFmtId="10" fontId="98" fillId="94" borderId="50" xfId="0" applyNumberFormat="1" applyFont="1" applyFill="1" applyBorder="1" applyAlignment="1">
      <alignment horizontal="center" vertical="center" wrapText="1"/>
    </xf>
    <xf numFmtId="166" fontId="98" fillId="2" borderId="49" xfId="0" applyNumberFormat="1" applyFont="1" applyFill="1" applyBorder="1" applyAlignment="1">
      <alignment horizontal="center" vertical="center" wrapText="1"/>
    </xf>
    <xf numFmtId="10" fontId="149" fillId="2" borderId="49" xfId="0" applyNumberFormat="1" applyFont="1" applyFill="1" applyBorder="1" applyAlignment="1">
      <alignment horizontal="center" vertical="center" wrapText="1"/>
    </xf>
    <xf numFmtId="10" fontId="98" fillId="2" borderId="50" xfId="0" applyNumberFormat="1" applyFont="1" applyFill="1" applyBorder="1" applyAlignment="1">
      <alignment horizontal="center" vertical="center" wrapText="1"/>
    </xf>
    <xf numFmtId="166" fontId="98" fillId="94" borderId="52" xfId="0" applyNumberFormat="1" applyFont="1" applyFill="1" applyBorder="1" applyAlignment="1">
      <alignment horizontal="center" vertical="center" wrapText="1"/>
    </xf>
    <xf numFmtId="10" fontId="149" fillId="94" borderId="52" xfId="0" applyNumberFormat="1" applyFont="1" applyFill="1" applyBorder="1" applyAlignment="1">
      <alignment horizontal="center" vertical="center" wrapText="1"/>
    </xf>
    <xf numFmtId="10" fontId="98" fillId="94" borderId="53" xfId="0" applyNumberFormat="1" applyFont="1" applyFill="1" applyBorder="1" applyAlignment="1">
      <alignment horizontal="center" vertical="center" wrapText="1"/>
    </xf>
    <xf numFmtId="0" fontId="153" fillId="2" borderId="0" xfId="0" applyFont="1" applyFill="1" applyAlignment="1">
      <alignment horizontal="center" vertical="center"/>
    </xf>
    <xf numFmtId="0" fontId="76" fillId="0" borderId="16" xfId="0" applyFont="1" applyBorder="1" applyAlignment="1">
      <alignment vertical="top" wrapText="1"/>
    </xf>
    <xf numFmtId="0" fontId="76" fillId="0" borderId="18" xfId="0" applyFont="1" applyBorder="1" applyAlignment="1">
      <alignment vertical="top" wrapText="1"/>
    </xf>
    <xf numFmtId="0" fontId="76" fillId="0" borderId="40" xfId="0" applyFont="1" applyBorder="1" applyAlignment="1">
      <alignment vertical="top" wrapText="1"/>
    </xf>
    <xf numFmtId="0" fontId="76" fillId="0" borderId="41" xfId="0" applyFont="1" applyBorder="1" applyAlignment="1">
      <alignment vertical="top" wrapText="1"/>
    </xf>
    <xf numFmtId="0" fontId="72" fillId="47" borderId="49" xfId="2" applyFont="1" applyFill="1" applyBorder="1" applyAlignment="1">
      <alignment horizontal="center" vertical="center"/>
    </xf>
    <xf numFmtId="0" fontId="72" fillId="47" borderId="50" xfId="2" applyFont="1" applyFill="1" applyBorder="1" applyAlignment="1">
      <alignment horizontal="center" vertical="center"/>
    </xf>
    <xf numFmtId="0" fontId="291" fillId="2" borderId="55" xfId="0" applyFont="1" applyFill="1" applyBorder="1" applyAlignment="1">
      <alignment horizontal="center" vertical="center" wrapText="1"/>
    </xf>
    <xf numFmtId="0" fontId="291" fillId="2" borderId="49" xfId="0" applyFont="1" applyFill="1" applyBorder="1" applyAlignment="1">
      <alignment horizontal="left" vertical="center" wrapText="1"/>
    </xf>
    <xf numFmtId="0" fontId="291" fillId="2" borderId="50" xfId="0" applyFont="1" applyFill="1" applyBorder="1" applyAlignment="1">
      <alignment horizontal="left" vertical="center" wrapText="1"/>
    </xf>
    <xf numFmtId="0" fontId="291" fillId="94" borderId="55" xfId="0" applyFont="1" applyFill="1" applyBorder="1" applyAlignment="1">
      <alignment horizontal="center" vertical="center" wrapText="1"/>
    </xf>
    <xf numFmtId="0" fontId="291" fillId="94" borderId="49" xfId="0" applyFont="1" applyFill="1" applyBorder="1" applyAlignment="1">
      <alignment horizontal="left" vertical="center" wrapText="1"/>
    </xf>
    <xf numFmtId="0" fontId="291" fillId="94" borderId="49" xfId="0" applyFont="1" applyFill="1" applyBorder="1" applyAlignment="1">
      <alignment horizontal="center" vertical="center" wrapText="1"/>
    </xf>
    <xf numFmtId="0" fontId="291" fillId="94" borderId="50" xfId="0" applyFont="1" applyFill="1" applyBorder="1" applyAlignment="1">
      <alignment horizontal="left" vertical="center" wrapText="1"/>
    </xf>
    <xf numFmtId="0" fontId="291" fillId="94" borderId="56" xfId="0" applyFont="1" applyFill="1" applyBorder="1" applyAlignment="1">
      <alignment horizontal="center" vertical="center" wrapText="1"/>
    </xf>
    <xf numFmtId="0" fontId="291" fillId="94" borderId="52" xfId="0" applyFont="1" applyFill="1" applyBorder="1" applyAlignment="1">
      <alignment horizontal="left" vertical="center" wrapText="1"/>
    </xf>
    <xf numFmtId="0" fontId="291" fillId="94" borderId="52" xfId="0" applyFont="1" applyFill="1" applyBorder="1" applyAlignment="1">
      <alignment horizontal="center" vertical="center" wrapText="1"/>
    </xf>
    <xf numFmtId="0" fontId="291" fillId="94" borderId="53" xfId="0" applyFont="1" applyFill="1" applyBorder="1" applyAlignment="1">
      <alignment horizontal="left" vertical="center" wrapText="1"/>
    </xf>
    <xf numFmtId="9" fontId="105" fillId="2" borderId="49" xfId="0" applyNumberFormat="1" applyFont="1" applyFill="1" applyBorder="1" applyAlignment="1">
      <alignment horizontal="center" vertical="center" wrapText="1"/>
    </xf>
    <xf numFmtId="2" fontId="106" fillId="49" borderId="49" xfId="0" applyNumberFormat="1" applyFont="1" applyFill="1" applyBorder="1" applyAlignment="1">
      <alignment horizontal="center" vertical="center" wrapText="1"/>
    </xf>
    <xf numFmtId="9" fontId="106" fillId="49" borderId="49" xfId="0" applyNumberFormat="1" applyFont="1" applyFill="1" applyBorder="1" applyAlignment="1">
      <alignment horizontal="center" vertical="center" wrapText="1"/>
    </xf>
    <xf numFmtId="9" fontId="106" fillId="2" borderId="49" xfId="0" applyNumberFormat="1" applyFont="1" applyFill="1" applyBorder="1" applyAlignment="1">
      <alignment horizontal="center" vertical="center" wrapText="1"/>
    </xf>
    <xf numFmtId="0" fontId="349" fillId="49" borderId="49" xfId="0" applyFont="1" applyFill="1" applyBorder="1" applyAlignment="1">
      <alignment horizontal="center" vertical="center" wrapText="1"/>
    </xf>
    <xf numFmtId="2" fontId="106" fillId="49" borderId="52" xfId="0" applyNumberFormat="1" applyFont="1" applyFill="1" applyBorder="1" applyAlignment="1">
      <alignment horizontal="center" vertical="center" wrapText="1"/>
    </xf>
    <xf numFmtId="9" fontId="106" fillId="49" borderId="52" xfId="0" applyNumberFormat="1" applyFont="1" applyFill="1" applyBorder="1" applyAlignment="1">
      <alignment horizontal="center" vertical="center" wrapText="1"/>
    </xf>
    <xf numFmtId="0" fontId="80" fillId="3" borderId="0" xfId="0" applyFont="1" applyFill="1" applyAlignment="1">
      <alignment vertical="center"/>
    </xf>
    <xf numFmtId="0" fontId="153" fillId="2" borderId="1" xfId="0" applyFont="1" applyFill="1" applyBorder="1" applyAlignment="1">
      <alignment horizontal="center" vertical="center"/>
    </xf>
    <xf numFmtId="0" fontId="76" fillId="0" borderId="2" xfId="0" applyFont="1" applyBorder="1"/>
    <xf numFmtId="0" fontId="313" fillId="11" borderId="42" xfId="0" applyFont="1" applyFill="1" applyBorder="1" applyAlignment="1">
      <alignment horizontal="center" vertical="center" wrapText="1"/>
    </xf>
    <xf numFmtId="0" fontId="350" fillId="8" borderId="43" xfId="0" applyFont="1" applyFill="1" applyBorder="1" applyAlignment="1">
      <alignment vertical="center"/>
    </xf>
    <xf numFmtId="0" fontId="350" fillId="8" borderId="43" xfId="0" applyFont="1" applyFill="1" applyBorder="1" applyAlignment="1">
      <alignment vertical="center" wrapText="1"/>
    </xf>
    <xf numFmtId="0" fontId="344" fillId="25" borderId="43" xfId="0" applyFont="1" applyFill="1" applyBorder="1" applyAlignment="1">
      <alignment vertical="center" wrapText="1"/>
    </xf>
    <xf numFmtId="0" fontId="349" fillId="7" borderId="43" xfId="0" applyFont="1" applyFill="1" applyBorder="1" applyAlignment="1">
      <alignment vertical="center" wrapText="1"/>
    </xf>
    <xf numFmtId="0" fontId="349" fillId="16" borderId="43" xfId="0" applyFont="1" applyFill="1" applyBorder="1" applyAlignment="1">
      <alignment vertical="center" wrapText="1"/>
    </xf>
    <xf numFmtId="0" fontId="350" fillId="8" borderId="44" xfId="0" applyFont="1" applyFill="1" applyBorder="1" applyAlignment="1">
      <alignment vertical="center" wrapText="1"/>
    </xf>
    <xf numFmtId="2" fontId="291" fillId="2" borderId="49" xfId="0" applyNumberFormat="1" applyFont="1" applyFill="1" applyBorder="1" applyAlignment="1">
      <alignment horizontal="center" vertical="center" wrapText="1"/>
    </xf>
    <xf numFmtId="0" fontId="291" fillId="2" borderId="48" xfId="0" applyFont="1" applyFill="1" applyBorder="1" applyAlignment="1">
      <alignment horizontal="center" vertical="center" wrapText="1"/>
    </xf>
    <xf numFmtId="0" fontId="291" fillId="94" borderId="48" xfId="0" applyFont="1" applyFill="1" applyBorder="1" applyAlignment="1">
      <alignment horizontal="center" vertical="center" wrapText="1"/>
    </xf>
    <xf numFmtId="2" fontId="291" fillId="94" borderId="49" xfId="0" applyNumberFormat="1" applyFont="1" applyFill="1" applyBorder="1" applyAlignment="1">
      <alignment horizontal="center" vertical="center" wrapText="1"/>
    </xf>
    <xf numFmtId="0" fontId="265" fillId="49" borderId="133" xfId="0" applyFont="1" applyFill="1" applyBorder="1" applyAlignment="1">
      <alignment horizontal="center" vertical="center" wrapText="1"/>
    </xf>
    <xf numFmtId="0" fontId="105" fillId="2" borderId="133" xfId="0" applyFont="1" applyFill="1" applyBorder="1" applyAlignment="1">
      <alignment horizontal="center" vertical="center" wrapText="1"/>
    </xf>
    <xf numFmtId="0" fontId="106" fillId="49" borderId="133" xfId="0" applyFont="1" applyFill="1" applyBorder="1" applyAlignment="1">
      <alignment horizontal="center" vertical="center" wrapText="1"/>
    </xf>
    <xf numFmtId="0" fontId="106" fillId="49" borderId="602" xfId="0" applyFont="1" applyFill="1" applyBorder="1" applyAlignment="1">
      <alignment horizontal="center" vertical="center" wrapText="1"/>
    </xf>
    <xf numFmtId="0" fontId="265" fillId="47" borderId="550" xfId="0" applyFont="1" applyFill="1" applyBorder="1" applyAlignment="1">
      <alignment horizontal="center" vertical="center" wrapText="1"/>
    </xf>
    <xf numFmtId="0" fontId="265" fillId="47" borderId="60" xfId="0" applyFont="1" applyFill="1" applyBorder="1" applyAlignment="1">
      <alignment horizontal="center" vertical="center" wrapText="1"/>
    </xf>
    <xf numFmtId="0" fontId="265" fillId="47" borderId="551" xfId="0" applyFont="1" applyFill="1" applyBorder="1" applyAlignment="1">
      <alignment horizontal="center" vertical="center" wrapText="1"/>
    </xf>
    <xf numFmtId="0" fontId="291" fillId="2" borderId="550" xfId="0" applyFont="1" applyFill="1" applyBorder="1" applyAlignment="1">
      <alignment horizontal="left" vertical="center" wrapText="1"/>
    </xf>
    <xf numFmtId="0" fontId="291" fillId="2" borderId="60" xfId="0" applyFont="1" applyFill="1" applyBorder="1" applyAlignment="1">
      <alignment horizontal="center" vertical="center" wrapText="1"/>
    </xf>
    <xf numFmtId="0" fontId="291" fillId="2" borderId="60" xfId="0" applyFont="1" applyFill="1" applyBorder="1" applyAlignment="1">
      <alignment horizontal="left" vertical="center" wrapText="1"/>
    </xf>
    <xf numFmtId="10" fontId="291" fillId="2" borderId="60" xfId="0" applyNumberFormat="1" applyFont="1" applyFill="1" applyBorder="1" applyAlignment="1">
      <alignment horizontal="center" vertical="center" wrapText="1"/>
    </xf>
    <xf numFmtId="0" fontId="291" fillId="2" borderId="551" xfId="0" applyFont="1" applyFill="1" applyBorder="1" applyAlignment="1">
      <alignment horizontal="left" vertical="center" wrapText="1"/>
    </xf>
    <xf numFmtId="0" fontId="291" fillId="94" borderId="550" xfId="0" applyFont="1" applyFill="1" applyBorder="1" applyAlignment="1">
      <alignment horizontal="left" vertical="center" wrapText="1"/>
    </xf>
    <xf numFmtId="0" fontId="291" fillId="94" borderId="60" xfId="0" applyFont="1" applyFill="1" applyBorder="1" applyAlignment="1">
      <alignment horizontal="center" vertical="center" wrapText="1"/>
    </xf>
    <xf numFmtId="0" fontId="291" fillId="94" borderId="60" xfId="0" applyFont="1" applyFill="1" applyBorder="1" applyAlignment="1">
      <alignment horizontal="left" vertical="center" wrapText="1"/>
    </xf>
    <xf numFmtId="10" fontId="291" fillId="94" borderId="60" xfId="0" applyNumberFormat="1" applyFont="1" applyFill="1" applyBorder="1" applyAlignment="1">
      <alignment horizontal="center" vertical="center" wrapText="1"/>
    </xf>
    <xf numFmtId="0" fontId="291" fillId="94" borderId="551" xfId="0" applyFont="1" applyFill="1" applyBorder="1" applyAlignment="1">
      <alignment horizontal="left" vertical="center" wrapText="1"/>
    </xf>
    <xf numFmtId="0" fontId="291" fillId="94" borderId="560" xfId="0" applyFont="1" applyFill="1" applyBorder="1" applyAlignment="1">
      <alignment horizontal="left" vertical="center" wrapText="1"/>
    </xf>
    <xf numFmtId="0" fontId="291" fillId="94" borderId="561" xfId="0" applyFont="1" applyFill="1" applyBorder="1" applyAlignment="1">
      <alignment horizontal="center" vertical="center" wrapText="1"/>
    </xf>
    <xf numFmtId="0" fontId="291" fillId="94" borderId="561" xfId="0" applyFont="1" applyFill="1" applyBorder="1" applyAlignment="1">
      <alignment horizontal="left" vertical="center" wrapText="1"/>
    </xf>
    <xf numFmtId="10" fontId="291" fillId="94" borderId="561" xfId="0" applyNumberFormat="1" applyFont="1" applyFill="1" applyBorder="1" applyAlignment="1">
      <alignment horizontal="center" vertical="center" wrapText="1"/>
    </xf>
    <xf numFmtId="0" fontId="291" fillId="94" borderId="562" xfId="0" applyFont="1" applyFill="1" applyBorder="1" applyAlignment="1">
      <alignment horizontal="left" vertical="center" wrapText="1"/>
    </xf>
    <xf numFmtId="0" fontId="72" fillId="47" borderId="550" xfId="2" applyFont="1" applyFill="1" applyBorder="1" applyAlignment="1">
      <alignment horizontal="center" vertical="center"/>
    </xf>
    <xf numFmtId="0" fontId="72" fillId="47" borderId="60" xfId="2" applyFont="1" applyFill="1" applyBorder="1" applyAlignment="1">
      <alignment horizontal="center" vertical="center"/>
    </xf>
    <xf numFmtId="0" fontId="73" fillId="47" borderId="60" xfId="0" applyFont="1" applyFill="1" applyBorder="1" applyAlignment="1">
      <alignment horizontal="center" vertical="center"/>
    </xf>
    <xf numFmtId="0" fontId="73" fillId="47" borderId="551" xfId="0" applyFont="1" applyFill="1" applyBorder="1" applyAlignment="1">
      <alignment horizontal="center" vertical="center"/>
    </xf>
    <xf numFmtId="0" fontId="76" fillId="0" borderId="16" xfId="0" applyFont="1" applyBorder="1" applyAlignment="1">
      <alignment wrapText="1"/>
    </xf>
    <xf numFmtId="0" fontId="334" fillId="94" borderId="15" xfId="0" applyFont="1" applyFill="1" applyBorder="1" applyAlignment="1">
      <alignment vertical="center" wrapText="1"/>
    </xf>
    <xf numFmtId="0" fontId="334" fillId="94" borderId="15" xfId="0" applyFont="1" applyFill="1" applyBorder="1" applyAlignment="1">
      <alignment wrapText="1"/>
    </xf>
    <xf numFmtId="0" fontId="334" fillId="2" borderId="15" xfId="0" applyFont="1" applyFill="1" applyBorder="1" applyAlignment="1">
      <alignment vertical="center" wrapText="1"/>
    </xf>
    <xf numFmtId="0" fontId="334" fillId="2" borderId="15" xfId="0" applyFont="1" applyFill="1" applyBorder="1" applyAlignment="1">
      <alignment wrapText="1"/>
    </xf>
    <xf numFmtId="0" fontId="153" fillId="47" borderId="15" xfId="0" applyFont="1" applyFill="1" applyBorder="1" applyAlignment="1">
      <alignment wrapText="1"/>
    </xf>
    <xf numFmtId="0" fontId="76" fillId="0" borderId="40" xfId="0" applyFont="1" applyBorder="1" applyAlignment="1">
      <alignment wrapText="1"/>
    </xf>
    <xf numFmtId="0" fontId="334" fillId="94" borderId="49" xfId="0" applyFont="1" applyFill="1" applyBorder="1" applyAlignment="1">
      <alignment horizontal="center" vertical="center" wrapText="1"/>
    </xf>
    <xf numFmtId="0" fontId="334" fillId="94" borderId="49" xfId="0" applyFont="1" applyFill="1" applyBorder="1" applyAlignment="1">
      <alignment horizontal="left" vertical="center" wrapText="1"/>
    </xf>
    <xf numFmtId="0" fontId="334" fillId="94" borderId="49" xfId="0" applyFont="1" applyFill="1" applyBorder="1" applyAlignment="1">
      <alignment vertical="center" wrapText="1"/>
    </xf>
    <xf numFmtId="0" fontId="334" fillId="2" borderId="49" xfId="0" applyFont="1" applyFill="1" applyBorder="1" applyAlignment="1">
      <alignment horizontal="center" vertical="center" wrapText="1"/>
    </xf>
    <xf numFmtId="0" fontId="334" fillId="2" borderId="49" xfId="0" applyFont="1" applyFill="1" applyBorder="1" applyAlignment="1">
      <alignment horizontal="left" vertical="center" wrapText="1"/>
    </xf>
    <xf numFmtId="0" fontId="334" fillId="2" borderId="49" xfId="0" applyFont="1" applyFill="1" applyBorder="1" applyAlignment="1">
      <alignment vertical="center" wrapText="1"/>
    </xf>
    <xf numFmtId="0" fontId="334" fillId="94" borderId="310" xfId="0" applyFont="1" applyFill="1" applyBorder="1" applyAlignment="1">
      <alignment horizontal="center" vertical="center" wrapText="1"/>
    </xf>
    <xf numFmtId="0" fontId="334" fillId="94" borderId="108" xfId="0" applyFont="1" applyFill="1" applyBorder="1" applyAlignment="1">
      <alignment horizontal="center" vertical="center" wrapText="1"/>
    </xf>
    <xf numFmtId="0" fontId="334" fillId="94" borderId="108" xfId="0" applyFont="1" applyFill="1" applyBorder="1" applyAlignment="1">
      <alignment horizontal="left" vertical="center" wrapText="1"/>
    </xf>
    <xf numFmtId="0" fontId="334" fillId="94" borderId="108" xfId="0" applyFont="1" applyFill="1" applyBorder="1" applyAlignment="1">
      <alignment vertical="center" wrapText="1"/>
    </xf>
    <xf numFmtId="0" fontId="334" fillId="94" borderId="350" xfId="0" applyFont="1" applyFill="1" applyBorder="1" applyAlignment="1">
      <alignment vertical="center" wrapText="1"/>
    </xf>
    <xf numFmtId="0" fontId="153" fillId="47" borderId="49" xfId="0" applyFont="1" applyFill="1" applyBorder="1" applyAlignment="1">
      <alignment horizontal="center" wrapText="1"/>
    </xf>
    <xf numFmtId="0" fontId="77" fillId="45" borderId="49" xfId="0" applyFont="1" applyFill="1" applyBorder="1" applyAlignment="1">
      <alignment horizontal="center" vertical="center" wrapText="1"/>
    </xf>
    <xf numFmtId="0" fontId="153" fillId="47" borderId="133" xfId="0" applyFont="1" applyFill="1" applyBorder="1" applyAlignment="1">
      <alignment horizontal="center" vertical="center" wrapText="1"/>
    </xf>
    <xf numFmtId="0" fontId="334" fillId="94" borderId="133" xfId="0" applyFont="1" applyFill="1" applyBorder="1" applyAlignment="1">
      <alignment horizontal="center" vertical="center" wrapText="1"/>
    </xf>
    <xf numFmtId="0" fontId="153" fillId="47" borderId="310" xfId="0" applyFont="1" applyFill="1" applyBorder="1" applyAlignment="1">
      <alignment horizontal="center" vertical="center" wrapText="1"/>
    </xf>
    <xf numFmtId="0" fontId="334" fillId="2" borderId="133" xfId="0" applyFont="1" applyFill="1" applyBorder="1" applyAlignment="1">
      <alignment horizontal="center" vertical="center" wrapText="1"/>
    </xf>
    <xf numFmtId="0" fontId="334" fillId="2" borderId="310" xfId="0" applyFont="1" applyFill="1" applyBorder="1" applyAlignment="1">
      <alignment horizontal="center" vertical="center" wrapText="1"/>
    </xf>
    <xf numFmtId="0" fontId="334" fillId="94" borderId="441" xfId="0" applyFont="1" applyFill="1" applyBorder="1" applyAlignment="1">
      <alignment horizontal="center" vertical="center" wrapText="1"/>
    </xf>
    <xf numFmtId="0" fontId="334" fillId="2" borderId="133" xfId="0" applyFont="1" applyFill="1" applyBorder="1" applyAlignment="1">
      <alignment horizontal="left" vertical="center" wrapText="1"/>
    </xf>
    <xf numFmtId="0" fontId="334" fillId="94" borderId="133" xfId="0" applyFont="1" applyFill="1" applyBorder="1" applyAlignment="1">
      <alignment horizontal="left" vertical="center" wrapText="1"/>
    </xf>
    <xf numFmtId="0" fontId="334" fillId="2" borderId="310" xfId="0" applyFont="1" applyFill="1" applyBorder="1" applyAlignment="1">
      <alignment horizontal="center" vertical="center"/>
    </xf>
    <xf numFmtId="0" fontId="77" fillId="45" borderId="310" xfId="0" applyFont="1" applyFill="1" applyBorder="1" applyAlignment="1">
      <alignment horizontal="center" vertical="center"/>
    </xf>
    <xf numFmtId="0" fontId="334" fillId="2" borderId="133" xfId="0" applyFont="1" applyFill="1" applyBorder="1" applyAlignment="1">
      <alignment vertical="center" wrapText="1"/>
    </xf>
    <xf numFmtId="0" fontId="334" fillId="94" borderId="133" xfId="0" applyFont="1" applyFill="1" applyBorder="1" applyAlignment="1">
      <alignment vertical="center" wrapText="1"/>
    </xf>
    <xf numFmtId="0" fontId="271" fillId="2" borderId="310" xfId="0" applyFont="1" applyFill="1" applyBorder="1" applyAlignment="1">
      <alignment vertical="center" wrapText="1"/>
    </xf>
    <xf numFmtId="0" fontId="271" fillId="94" borderId="310" xfId="0" applyFont="1" applyFill="1" applyBorder="1" applyAlignment="1">
      <alignment vertical="center" wrapText="1"/>
    </xf>
    <xf numFmtId="0" fontId="271" fillId="2" borderId="310" xfId="0" applyFont="1" applyFill="1" applyBorder="1" applyAlignment="1">
      <alignment horizontal="left" vertical="center" wrapText="1"/>
    </xf>
    <xf numFmtId="0" fontId="153" fillId="47" borderId="131" xfId="0" applyFont="1" applyFill="1" applyBorder="1" applyAlignment="1">
      <alignment horizontal="center" vertical="center" wrapText="1"/>
    </xf>
    <xf numFmtId="0" fontId="334" fillId="94" borderId="131" xfId="0" applyFont="1" applyFill="1" applyBorder="1" applyAlignment="1">
      <alignment vertical="center" wrapText="1"/>
    </xf>
    <xf numFmtId="0" fontId="153" fillId="47" borderId="350" xfId="0" applyFont="1" applyFill="1" applyBorder="1" applyAlignment="1">
      <alignment horizontal="center" vertical="center" wrapText="1"/>
    </xf>
    <xf numFmtId="0" fontId="334" fillId="2" borderId="131" xfId="0" applyFont="1" applyFill="1" applyBorder="1" applyAlignment="1">
      <alignment vertical="center" wrapText="1"/>
    </xf>
    <xf numFmtId="0" fontId="334" fillId="2" borderId="350" xfId="0" applyFont="1" applyFill="1" applyBorder="1" applyAlignment="1">
      <alignment vertical="center" wrapText="1"/>
    </xf>
    <xf numFmtId="0" fontId="334" fillId="94" borderId="316" xfId="0" applyFont="1" applyFill="1" applyBorder="1" applyAlignment="1">
      <alignment vertical="center" wrapText="1"/>
    </xf>
    <xf numFmtId="0" fontId="153" fillId="47" borderId="131" xfId="0" applyFont="1" applyFill="1" applyBorder="1" applyAlignment="1">
      <alignment horizontal="center" wrapText="1"/>
    </xf>
    <xf numFmtId="0" fontId="153" fillId="47" borderId="350" xfId="0" applyFont="1" applyFill="1" applyBorder="1" applyAlignment="1">
      <alignment horizontal="center" wrapText="1"/>
    </xf>
    <xf numFmtId="0" fontId="77" fillId="45" borderId="350" xfId="0" applyFont="1" applyFill="1" applyBorder="1" applyAlignment="1">
      <alignment horizontal="center" vertical="center" wrapText="1"/>
    </xf>
    <xf numFmtId="0" fontId="334" fillId="2" borderId="131" xfId="0" applyFont="1" applyFill="1" applyBorder="1" applyAlignment="1">
      <alignment horizontal="left" vertical="center" wrapText="1"/>
    </xf>
    <xf numFmtId="0" fontId="334" fillId="94" borderId="131" xfId="0" applyFont="1" applyFill="1" applyBorder="1" applyAlignment="1">
      <alignment horizontal="left" vertical="center" wrapText="1"/>
    </xf>
    <xf numFmtId="0" fontId="334" fillId="2" borderId="350" xfId="0" applyFont="1" applyFill="1" applyBorder="1" applyAlignment="1">
      <alignment horizontal="left" vertical="center" wrapText="1"/>
    </xf>
    <xf numFmtId="0" fontId="334" fillId="94" borderId="350" xfId="0" applyFont="1" applyFill="1" applyBorder="1" applyAlignment="1">
      <alignment horizontal="left" vertical="center" wrapText="1"/>
    </xf>
    <xf numFmtId="0" fontId="153" fillId="47" borderId="516" xfId="0" applyFont="1" applyFill="1" applyBorder="1" applyAlignment="1">
      <alignment horizontal="center" vertical="center" wrapText="1"/>
    </xf>
    <xf numFmtId="0" fontId="153" fillId="47" borderId="429" xfId="0" applyFont="1" applyFill="1" applyBorder="1" applyAlignment="1">
      <alignment horizontal="center" vertical="center" wrapText="1"/>
    </xf>
    <xf numFmtId="0" fontId="354" fillId="47" borderId="225" xfId="2" applyFont="1" applyFill="1" applyBorder="1" applyAlignment="1">
      <alignment horizontal="center" wrapText="1"/>
    </xf>
    <xf numFmtId="0" fontId="153" fillId="47" borderId="592" xfId="0" applyFont="1" applyFill="1" applyBorder="1" applyAlignment="1">
      <alignment horizontal="center" vertical="center" wrapText="1"/>
    </xf>
    <xf numFmtId="0" fontId="153" fillId="47" borderId="367" xfId="0" applyFont="1" applyFill="1" applyBorder="1" applyAlignment="1">
      <alignment horizontal="center" vertical="center" wrapText="1"/>
    </xf>
    <xf numFmtId="0" fontId="334" fillId="2" borderId="441" xfId="0" applyFont="1" applyFill="1" applyBorder="1" applyAlignment="1">
      <alignment horizontal="center" vertical="center" wrapText="1"/>
    </xf>
    <xf numFmtId="0" fontId="334" fillId="2" borderId="108" xfId="0" applyFont="1" applyFill="1" applyBorder="1" applyAlignment="1">
      <alignment horizontal="center" vertical="center" wrapText="1"/>
    </xf>
    <xf numFmtId="0" fontId="334" fillId="2" borderId="108" xfId="0" applyFont="1" applyFill="1" applyBorder="1" applyAlignment="1">
      <alignment horizontal="left" vertical="center" wrapText="1"/>
    </xf>
    <xf numFmtId="0" fontId="334" fillId="2" borderId="108" xfId="0" applyFont="1" applyFill="1" applyBorder="1" applyAlignment="1">
      <alignment vertical="center" wrapText="1"/>
    </xf>
    <xf numFmtId="0" fontId="334" fillId="2" borderId="316" xfId="0" applyFont="1" applyFill="1" applyBorder="1" applyAlignment="1">
      <alignment vertical="center" wrapText="1"/>
    </xf>
    <xf numFmtId="0" fontId="153" fillId="47" borderId="592" xfId="0" applyFont="1" applyFill="1" applyBorder="1" applyAlignment="1">
      <alignment horizontal="center" wrapText="1"/>
    </xf>
    <xf numFmtId="0" fontId="153" fillId="47" borderId="367" xfId="0" applyFont="1" applyFill="1" applyBorder="1" applyAlignment="1">
      <alignment horizontal="center" wrapText="1"/>
    </xf>
    <xf numFmtId="0" fontId="77" fillId="45" borderId="441" xfId="0" applyFont="1" applyFill="1" applyBorder="1" applyAlignment="1">
      <alignment horizontal="center" vertical="center" wrapText="1"/>
    </xf>
    <xf numFmtId="0" fontId="77" fillId="45" borderId="316" xfId="0" applyFont="1" applyFill="1" applyBorder="1" applyAlignment="1">
      <alignment horizontal="center" vertical="center" wrapText="1"/>
    </xf>
    <xf numFmtId="0" fontId="153" fillId="47" borderId="516" xfId="0" applyFont="1" applyFill="1" applyBorder="1" applyAlignment="1">
      <alignment horizontal="center" vertical="center"/>
    </xf>
    <xf numFmtId="0" fontId="334" fillId="2" borderId="441" xfId="0" applyFont="1" applyFill="1" applyBorder="1" applyAlignment="1">
      <alignment vertical="center" wrapText="1"/>
    </xf>
    <xf numFmtId="0" fontId="270" fillId="27" borderId="11" xfId="0" applyFont="1" applyFill="1" applyBorder="1" applyAlignment="1">
      <alignment horizontal="center" vertical="center" wrapText="1"/>
    </xf>
    <xf numFmtId="0" fontId="76" fillId="0" borderId="40" xfId="0" applyFont="1" applyBorder="1" applyAlignment="1">
      <alignment vertical="center" wrapText="1"/>
    </xf>
    <xf numFmtId="0" fontId="76" fillId="0" borderId="41" xfId="0" applyFont="1" applyBorder="1" applyAlignment="1">
      <alignment vertical="center" wrapText="1"/>
    </xf>
    <xf numFmtId="0" fontId="334" fillId="94" borderId="40" xfId="0" applyFont="1" applyFill="1" applyBorder="1" applyAlignment="1">
      <alignment vertical="center" wrapText="1"/>
    </xf>
    <xf numFmtId="0" fontId="334" fillId="2" borderId="40" xfId="0" applyFont="1" applyFill="1" applyBorder="1" applyAlignment="1">
      <alignment vertical="center" wrapText="1"/>
    </xf>
    <xf numFmtId="0" fontId="291" fillId="2" borderId="56" xfId="0" applyFont="1" applyFill="1" applyBorder="1" applyAlignment="1">
      <alignment horizontal="left" vertical="center" wrapText="1"/>
    </xf>
    <xf numFmtId="0" fontId="291" fillId="2" borderId="52" xfId="0" applyFont="1" applyFill="1" applyBorder="1" applyAlignment="1">
      <alignment horizontal="left" vertical="center" wrapText="1"/>
    </xf>
    <xf numFmtId="2" fontId="291" fillId="2" borderId="52" xfId="0" applyNumberFormat="1" applyFont="1" applyFill="1" applyBorder="1" applyAlignment="1">
      <alignment horizontal="center" vertical="center" wrapText="1"/>
    </xf>
    <xf numFmtId="0" fontId="72" fillId="47" borderId="133" xfId="2" applyFont="1" applyFill="1" applyBorder="1" applyAlignment="1">
      <alignment horizontal="center" vertical="center" wrapText="1"/>
    </xf>
    <xf numFmtId="0" fontId="72" fillId="47" borderId="131" xfId="2" applyFont="1" applyFill="1" applyBorder="1" applyAlignment="1">
      <alignment horizontal="center" vertical="center" wrapText="1"/>
    </xf>
    <xf numFmtId="0" fontId="72" fillId="47" borderId="310" xfId="2" applyFont="1" applyFill="1" applyBorder="1" applyAlignment="1">
      <alignment horizontal="center" vertical="center"/>
    </xf>
    <xf numFmtId="0" fontId="72" fillId="47" borderId="350" xfId="2" applyFont="1" applyFill="1" applyBorder="1" applyAlignment="1">
      <alignment horizontal="center" vertical="center" wrapText="1"/>
    </xf>
    <xf numFmtId="0" fontId="265" fillId="47" borderId="133" xfId="0" applyFont="1" applyFill="1" applyBorder="1" applyAlignment="1">
      <alignment horizontal="center" vertical="center" wrapText="1"/>
    </xf>
    <xf numFmtId="0" fontId="265" fillId="47" borderId="131" xfId="0" applyFont="1" applyFill="1" applyBorder="1" applyAlignment="1">
      <alignment horizontal="center" vertical="center" wrapText="1"/>
    </xf>
    <xf numFmtId="0" fontId="291" fillId="2" borderId="133" xfId="0" applyFont="1" applyFill="1" applyBorder="1" applyAlignment="1">
      <alignment horizontal="center" vertical="center" wrapText="1"/>
    </xf>
    <xf numFmtId="0" fontId="291" fillId="2" borderId="131" xfId="0" applyFont="1" applyFill="1" applyBorder="1" applyAlignment="1">
      <alignment horizontal="center" vertical="center" wrapText="1"/>
    </xf>
    <xf numFmtId="0" fontId="291" fillId="94" borderId="133" xfId="0" applyFont="1" applyFill="1" applyBorder="1" applyAlignment="1">
      <alignment horizontal="center" vertical="center" wrapText="1"/>
    </xf>
    <xf numFmtId="0" fontId="291" fillId="2" borderId="310" xfId="0" applyFont="1" applyFill="1" applyBorder="1" applyAlignment="1">
      <alignment horizontal="left" vertical="center" wrapText="1"/>
    </xf>
    <xf numFmtId="0" fontId="291" fillId="94" borderId="131" xfId="0" applyFont="1" applyFill="1" applyBorder="1" applyAlignment="1">
      <alignment horizontal="center" vertical="center" wrapText="1"/>
    </xf>
    <xf numFmtId="0" fontId="291" fillId="94" borderId="310" xfId="0" applyFont="1" applyFill="1" applyBorder="1" applyAlignment="1">
      <alignment horizontal="left" vertical="center" wrapText="1"/>
    </xf>
    <xf numFmtId="0" fontId="291" fillId="2" borderId="602" xfId="0" applyFont="1" applyFill="1" applyBorder="1" applyAlignment="1">
      <alignment horizontal="center" vertical="center" wrapText="1"/>
    </xf>
    <xf numFmtId="0" fontId="291" fillId="2" borderId="589" xfId="0" applyFont="1" applyFill="1" applyBorder="1" applyAlignment="1">
      <alignment horizontal="center" vertical="center" wrapText="1"/>
    </xf>
    <xf numFmtId="0" fontId="73" fillId="72" borderId="0" xfId="0" applyFont="1" applyFill="1" applyAlignment="1">
      <alignment horizontal="center" vertical="center" wrapText="1"/>
    </xf>
    <xf numFmtId="0" fontId="334" fillId="72" borderId="40" xfId="0" applyFont="1" applyFill="1" applyBorder="1" applyAlignment="1">
      <alignment horizontal="center" vertical="center" wrapText="1"/>
    </xf>
    <xf numFmtId="0" fontId="334" fillId="72" borderId="15" xfId="0" applyFont="1" applyFill="1" applyBorder="1" applyAlignment="1">
      <alignment horizontal="center" vertical="center" wrapText="1"/>
    </xf>
    <xf numFmtId="0" fontId="334" fillId="72" borderId="40" xfId="0" applyFont="1" applyFill="1" applyBorder="1" applyAlignment="1">
      <alignment vertical="center" wrapText="1"/>
    </xf>
    <xf numFmtId="0" fontId="334" fillId="72" borderId="15" xfId="0" applyFont="1" applyFill="1" applyBorder="1" applyAlignment="1">
      <alignment vertical="center" wrapText="1"/>
    </xf>
    <xf numFmtId="0" fontId="72" fillId="47" borderId="316" xfId="2" applyFont="1" applyFill="1" applyBorder="1" applyAlignment="1">
      <alignment horizontal="center" vertical="center" wrapText="1"/>
    </xf>
    <xf numFmtId="0" fontId="265" fillId="47" borderId="316" xfId="0" applyFont="1" applyFill="1" applyBorder="1" applyAlignment="1">
      <alignment horizontal="center" vertical="center" wrapText="1"/>
    </xf>
    <xf numFmtId="1" fontId="291" fillId="2" borderId="316" xfId="0" applyNumberFormat="1" applyFont="1" applyFill="1" applyBorder="1" applyAlignment="1">
      <alignment horizontal="center" vertical="center" wrapText="1"/>
    </xf>
    <xf numFmtId="1" fontId="291" fillId="94" borderId="316" xfId="0" applyNumberFormat="1" applyFont="1" applyFill="1" applyBorder="1" applyAlignment="1">
      <alignment horizontal="center" vertical="center" wrapText="1"/>
    </xf>
    <xf numFmtId="1" fontId="291" fillId="2" borderId="589" xfId="0" applyNumberFormat="1" applyFont="1" applyFill="1" applyBorder="1" applyAlignment="1">
      <alignment horizontal="center" vertical="center" wrapText="1"/>
    </xf>
    <xf numFmtId="0" fontId="289" fillId="72" borderId="0" xfId="0" applyFont="1" applyFill="1" applyAlignment="1">
      <alignment horizontal="left" vertical="center" wrapText="1"/>
    </xf>
    <xf numFmtId="0" fontId="153" fillId="72" borderId="0" xfId="0" applyFont="1" applyFill="1" applyAlignment="1">
      <alignment horizontal="center" vertical="center" wrapText="1"/>
    </xf>
    <xf numFmtId="0" fontId="334" fillId="72" borderId="0" xfId="0" applyFont="1" applyFill="1" applyAlignment="1">
      <alignment horizontal="center" vertical="center" wrapText="1"/>
    </xf>
    <xf numFmtId="0" fontId="334" fillId="72" borderId="0" xfId="0" applyFont="1" applyFill="1" applyAlignment="1">
      <alignment vertical="center" wrapText="1"/>
    </xf>
    <xf numFmtId="0" fontId="88" fillId="14" borderId="15" xfId="0" applyFont="1" applyFill="1" applyBorder="1" applyAlignment="1">
      <alignment wrapText="1"/>
    </xf>
    <xf numFmtId="0" fontId="88" fillId="14" borderId="16" xfId="0" applyFont="1" applyFill="1" applyBorder="1" applyAlignment="1">
      <alignment wrapText="1"/>
    </xf>
    <xf numFmtId="0" fontId="72" fillId="72" borderId="0" xfId="2" applyFont="1" applyFill="1" applyAlignment="1">
      <alignment horizontal="center" vertical="center" wrapText="1"/>
    </xf>
    <xf numFmtId="0" fontId="88" fillId="14" borderId="40" xfId="0" applyFont="1" applyFill="1" applyBorder="1" applyAlignment="1">
      <alignment wrapText="1"/>
    </xf>
    <xf numFmtId="0" fontId="77" fillId="72" borderId="0" xfId="0" applyFont="1" applyFill="1" applyAlignment="1">
      <alignment horizontal="center" vertical="center" wrapText="1"/>
    </xf>
    <xf numFmtId="0" fontId="291" fillId="2" borderId="49" xfId="0" applyFont="1" applyFill="1" applyBorder="1" applyAlignment="1">
      <alignment horizontal="left" vertical="center"/>
    </xf>
    <xf numFmtId="186" fontId="291" fillId="2" borderId="49" xfId="0" applyNumberFormat="1" applyFont="1" applyFill="1" applyBorder="1" applyAlignment="1">
      <alignment horizontal="right" vertical="center" wrapText="1"/>
    </xf>
    <xf numFmtId="0" fontId="291" fillId="94" borderId="49" xfId="0" applyFont="1" applyFill="1" applyBorder="1" applyAlignment="1">
      <alignment horizontal="left" vertical="center"/>
    </xf>
    <xf numFmtId="186" fontId="291" fillId="94" borderId="49" xfId="0" applyNumberFormat="1" applyFont="1" applyFill="1" applyBorder="1" applyAlignment="1">
      <alignment horizontal="right" vertical="center" wrapText="1"/>
    </xf>
    <xf numFmtId="0" fontId="104" fillId="45" borderId="56" xfId="0" applyFont="1" applyFill="1" applyBorder="1" applyAlignment="1">
      <alignment horizontal="center" vertical="center" wrapText="1"/>
    </xf>
    <xf numFmtId="0" fontId="104" fillId="45" borderId="52" xfId="0" applyFont="1" applyFill="1" applyBorder="1" applyAlignment="1">
      <alignment horizontal="center" vertical="center" wrapText="1"/>
    </xf>
    <xf numFmtId="173" fontId="104" fillId="45" borderId="53" xfId="1" applyNumberFormat="1" applyFont="1" applyFill="1" applyBorder="1" applyAlignment="1">
      <alignment horizontal="center" vertical="center" wrapText="1"/>
    </xf>
    <xf numFmtId="0" fontId="291" fillId="2" borderId="133" xfId="0" applyFont="1" applyFill="1" applyBorder="1" applyAlignment="1">
      <alignment horizontal="left" vertical="center" wrapText="1"/>
    </xf>
    <xf numFmtId="186" fontId="291" fillId="2" borderId="131" xfId="0" applyNumberFormat="1" applyFont="1" applyFill="1" applyBorder="1" applyAlignment="1">
      <alignment horizontal="right" vertical="center" wrapText="1"/>
    </xf>
    <xf numFmtId="0" fontId="291" fillId="94" borderId="133" xfId="0" applyFont="1" applyFill="1" applyBorder="1" applyAlignment="1">
      <alignment horizontal="left" vertical="center" wrapText="1"/>
    </xf>
    <xf numFmtId="0" fontId="291" fillId="2" borderId="310" xfId="0" applyFont="1" applyFill="1" applyBorder="1" applyAlignment="1">
      <alignment horizontal="center" vertical="center" wrapText="1"/>
    </xf>
    <xf numFmtId="186" fontId="291" fillId="94" borderId="131" xfId="0" applyNumberFormat="1" applyFont="1" applyFill="1" applyBorder="1" applyAlignment="1">
      <alignment horizontal="right" vertical="center" wrapText="1"/>
    </xf>
    <xf numFmtId="173" fontId="291" fillId="2" borderId="350" xfId="1" applyNumberFormat="1" applyFont="1" applyFill="1" applyBorder="1" applyAlignment="1">
      <alignment horizontal="center" vertical="center" wrapText="1"/>
    </xf>
    <xf numFmtId="0" fontId="291" fillId="94" borderId="310" xfId="0" applyFont="1" applyFill="1" applyBorder="1" applyAlignment="1">
      <alignment horizontal="center" vertical="center" wrapText="1"/>
    </xf>
    <xf numFmtId="173" fontId="291" fillId="94" borderId="350" xfId="1" applyNumberFormat="1" applyFont="1" applyFill="1" applyBorder="1" applyAlignment="1">
      <alignment horizontal="center" vertical="center" wrapText="1"/>
    </xf>
    <xf numFmtId="0" fontId="77" fillId="45" borderId="133" xfId="0" applyFont="1" applyFill="1" applyBorder="1" applyAlignment="1">
      <alignment horizontal="center" vertical="center" wrapText="1"/>
    </xf>
    <xf numFmtId="186" fontId="77" fillId="45" borderId="131" xfId="0" applyNumberFormat="1" applyFont="1" applyFill="1" applyBorder="1" applyAlignment="1">
      <alignment horizontal="right" vertical="center" wrapText="1"/>
    </xf>
    <xf numFmtId="0" fontId="104" fillId="45" borderId="602" xfId="0" applyFont="1" applyFill="1" applyBorder="1" applyAlignment="1">
      <alignment horizontal="center" vertical="center" wrapText="1"/>
    </xf>
    <xf numFmtId="186" fontId="104" fillId="45" borderId="589" xfId="0" applyNumberFormat="1" applyFont="1" applyFill="1" applyBorder="1" applyAlignment="1">
      <alignment horizontal="right" vertical="center" wrapText="1"/>
    </xf>
    <xf numFmtId="173" fontId="77" fillId="45" borderId="350" xfId="0" applyNumberFormat="1" applyFont="1" applyFill="1" applyBorder="1" applyAlignment="1">
      <alignment horizontal="center" vertical="center" wrapText="1"/>
    </xf>
    <xf numFmtId="0" fontId="76" fillId="0" borderId="15" xfId="0" applyFont="1" applyBorder="1" applyAlignment="1">
      <alignment horizontal="center" vertical="top" wrapText="1"/>
    </xf>
    <xf numFmtId="0" fontId="76" fillId="0" borderId="16" xfId="0" applyFont="1" applyBorder="1" applyAlignment="1">
      <alignment horizontal="center" vertical="top" wrapText="1"/>
    </xf>
    <xf numFmtId="0" fontId="88" fillId="0" borderId="15" xfId="0" applyFont="1" applyBorder="1" applyAlignment="1">
      <alignment horizontal="center" wrapText="1"/>
    </xf>
    <xf numFmtId="0" fontId="88" fillId="0" borderId="16" xfId="0" applyFont="1" applyBorder="1" applyAlignment="1">
      <alignment horizontal="center" wrapText="1"/>
    </xf>
    <xf numFmtId="0" fontId="76" fillId="0" borderId="17" xfId="0" applyFont="1" applyBorder="1" applyAlignment="1">
      <alignment wrapText="1"/>
    </xf>
    <xf numFmtId="0" fontId="76" fillId="0" borderId="18" xfId="0" applyFont="1" applyBorder="1" applyAlignment="1">
      <alignment wrapText="1"/>
    </xf>
    <xf numFmtId="0" fontId="76" fillId="0" borderId="40" xfId="0" applyFont="1" applyBorder="1" applyAlignment="1">
      <alignment horizontal="center" vertical="top" wrapText="1"/>
    </xf>
    <xf numFmtId="0" fontId="88" fillId="0" borderId="40" xfId="0" applyFont="1" applyBorder="1" applyAlignment="1">
      <alignment horizontal="center" wrapText="1"/>
    </xf>
    <xf numFmtId="0" fontId="76" fillId="0" borderId="41" xfId="0" applyFont="1" applyBorder="1" applyAlignment="1">
      <alignment wrapText="1"/>
    </xf>
    <xf numFmtId="0" fontId="153" fillId="72" borderId="0" xfId="0" applyFont="1" applyFill="1" applyAlignment="1">
      <alignment horizontal="center" vertical="top" wrapText="1"/>
    </xf>
    <xf numFmtId="186" fontId="334" fillId="2" borderId="49" xfId="0" applyNumberFormat="1" applyFont="1" applyFill="1" applyBorder="1" applyAlignment="1">
      <alignment horizontal="right" vertical="center" wrapText="1"/>
    </xf>
    <xf numFmtId="173" fontId="334" fillId="2" borderId="49" xfId="0" applyNumberFormat="1" applyFont="1" applyFill="1" applyBorder="1" applyAlignment="1">
      <alignment horizontal="center" vertical="center" wrapText="1"/>
    </xf>
    <xf numFmtId="186" fontId="334" fillId="94" borderId="49" xfId="0" applyNumberFormat="1" applyFont="1" applyFill="1" applyBorder="1" applyAlignment="1">
      <alignment horizontal="right" vertical="center" wrapText="1"/>
    </xf>
    <xf numFmtId="173" fontId="334" fillId="94" borderId="49" xfId="0" applyNumberFormat="1" applyFont="1" applyFill="1" applyBorder="1" applyAlignment="1">
      <alignment horizontal="center" vertical="center" wrapText="1"/>
    </xf>
    <xf numFmtId="186" fontId="77" fillId="45" borderId="52" xfId="0" applyNumberFormat="1" applyFont="1" applyFill="1" applyBorder="1" applyAlignment="1">
      <alignment horizontal="right" vertical="center" wrapText="1"/>
    </xf>
    <xf numFmtId="173" fontId="77" fillId="45" borderId="52" xfId="0" applyNumberFormat="1" applyFont="1" applyFill="1" applyBorder="1" applyAlignment="1">
      <alignment horizontal="center" vertical="center" wrapText="1"/>
    </xf>
    <xf numFmtId="0" fontId="77" fillId="45" borderId="53" xfId="0" applyFont="1" applyFill="1" applyBorder="1" applyAlignment="1">
      <alignment horizontal="center" vertical="center" wrapText="1"/>
    </xf>
    <xf numFmtId="0" fontId="77" fillId="45" borderId="310" xfId="0" applyFont="1" applyFill="1" applyBorder="1" applyAlignment="1">
      <alignment horizontal="left" vertical="center" wrapText="1"/>
    </xf>
    <xf numFmtId="173" fontId="77" fillId="45" borderId="108" xfId="0" applyNumberFormat="1" applyFont="1" applyFill="1" applyBorder="1" applyAlignment="1">
      <alignment horizontal="center" vertical="center" wrapText="1"/>
    </xf>
    <xf numFmtId="0" fontId="153" fillId="93" borderId="49" xfId="0" applyFont="1" applyFill="1" applyBorder="1" applyAlignment="1">
      <alignment horizontal="center" vertical="center" wrapText="1"/>
    </xf>
    <xf numFmtId="1" fontId="77" fillId="45" borderId="56" xfId="0" applyNumberFormat="1" applyFont="1" applyFill="1" applyBorder="1" applyAlignment="1">
      <alignment horizontal="center" vertical="center"/>
    </xf>
    <xf numFmtId="0" fontId="334" fillId="2" borderId="131" xfId="0" applyFont="1" applyFill="1" applyBorder="1" applyAlignment="1">
      <alignment horizontal="center" vertical="center" wrapText="1"/>
    </xf>
    <xf numFmtId="0" fontId="334" fillId="2" borderId="310" xfId="0" applyFont="1" applyFill="1" applyBorder="1" applyAlignment="1">
      <alignment horizontal="left" vertical="center" wrapText="1"/>
    </xf>
    <xf numFmtId="0" fontId="334" fillId="2" borderId="350" xfId="0" applyFont="1" applyFill="1" applyBorder="1" applyAlignment="1">
      <alignment horizontal="center" vertical="center" wrapText="1"/>
    </xf>
    <xf numFmtId="0" fontId="334" fillId="94" borderId="310" xfId="0" applyFont="1" applyFill="1" applyBorder="1" applyAlignment="1">
      <alignment horizontal="left" vertical="center" wrapText="1"/>
    </xf>
    <xf numFmtId="0" fontId="334" fillId="94" borderId="350" xfId="0" applyFont="1" applyFill="1" applyBorder="1" applyAlignment="1">
      <alignment horizontal="center" vertical="center" wrapText="1"/>
    </xf>
    <xf numFmtId="0" fontId="153" fillId="93" borderId="133" xfId="0" applyFont="1" applyFill="1" applyBorder="1" applyAlignment="1">
      <alignment horizontal="center" vertical="center" wrapText="1"/>
    </xf>
    <xf numFmtId="0" fontId="153" fillId="93" borderId="131" xfId="0" applyFont="1" applyFill="1" applyBorder="1" applyAlignment="1">
      <alignment horizontal="center" vertical="center" wrapText="1"/>
    </xf>
    <xf numFmtId="10" fontId="153" fillId="93" borderId="310" xfId="0" applyNumberFormat="1" applyFont="1" applyFill="1" applyBorder="1" applyAlignment="1">
      <alignment horizontal="center" vertical="center" wrapText="1"/>
    </xf>
    <xf numFmtId="0" fontId="153" fillId="93" borderId="350" xfId="0" applyFont="1" applyFill="1" applyBorder="1" applyAlignment="1">
      <alignment horizontal="center" vertical="center" wrapText="1"/>
    </xf>
    <xf numFmtId="1" fontId="334" fillId="94" borderId="310" xfId="0" applyNumberFormat="1" applyFont="1" applyFill="1" applyBorder="1" applyAlignment="1">
      <alignment horizontal="center" vertical="center" wrapText="1"/>
    </xf>
    <xf numFmtId="1" fontId="334" fillId="2" borderId="310" xfId="0" applyNumberFormat="1" applyFont="1" applyFill="1" applyBorder="1" applyAlignment="1">
      <alignment horizontal="center" vertical="center" wrapText="1"/>
    </xf>
    <xf numFmtId="1" fontId="334" fillId="2" borderId="310" xfId="0" applyNumberFormat="1" applyFont="1" applyFill="1" applyBorder="1" applyAlignment="1">
      <alignment horizontal="center" vertical="center"/>
    </xf>
    <xf numFmtId="1" fontId="334" fillId="94" borderId="310" xfId="0" applyNumberFormat="1" applyFont="1" applyFill="1" applyBorder="1" applyAlignment="1">
      <alignment horizontal="center" vertical="center"/>
    </xf>
    <xf numFmtId="0" fontId="77" fillId="45" borderId="602" xfId="0" applyFont="1" applyFill="1" applyBorder="1" applyAlignment="1">
      <alignment horizontal="center" vertical="center" wrapText="1"/>
    </xf>
    <xf numFmtId="0" fontId="77" fillId="45" borderId="589" xfId="0" applyFont="1" applyFill="1" applyBorder="1" applyAlignment="1">
      <alignment horizontal="center" vertical="center" wrapText="1"/>
    </xf>
    <xf numFmtId="0" fontId="0" fillId="72" borderId="0" xfId="0" applyFill="1" applyAlignment="1">
      <alignment vertical="center"/>
    </xf>
    <xf numFmtId="0" fontId="2" fillId="72" borderId="0" xfId="0" applyFont="1" applyFill="1" applyAlignment="1">
      <alignment horizontal="center" vertical="center"/>
    </xf>
    <xf numFmtId="0" fontId="12" fillId="72" borderId="0" xfId="0" applyFont="1" applyFill="1" applyAlignment="1">
      <alignment vertical="center"/>
    </xf>
    <xf numFmtId="0" fontId="12" fillId="72" borderId="0" xfId="0" applyFont="1" applyFill="1" applyAlignment="1">
      <alignment vertical="center" wrapText="1"/>
    </xf>
    <xf numFmtId="0" fontId="0" fillId="72" borderId="0" xfId="0" applyFill="1" applyAlignment="1">
      <alignment vertical="center" wrapText="1"/>
    </xf>
    <xf numFmtId="0" fontId="12" fillId="72" borderId="0" xfId="0" applyFont="1" applyFill="1" applyAlignment="1">
      <alignment horizontal="center" vertical="center" wrapText="1"/>
    </xf>
    <xf numFmtId="173" fontId="291" fillId="94" borderId="60" xfId="0" applyNumberFormat="1" applyFont="1" applyFill="1" applyBorder="1" applyAlignment="1">
      <alignment horizontal="center" vertical="center" wrapText="1"/>
    </xf>
    <xf numFmtId="186" fontId="291" fillId="94" borderId="60" xfId="0" applyNumberFormat="1" applyFont="1" applyFill="1" applyBorder="1" applyAlignment="1">
      <alignment horizontal="right" vertical="center" wrapText="1"/>
    </xf>
    <xf numFmtId="173" fontId="291" fillId="2" borderId="60" xfId="0" applyNumberFormat="1" applyFont="1" applyFill="1" applyBorder="1" applyAlignment="1">
      <alignment horizontal="center" vertical="center" wrapText="1"/>
    </xf>
    <xf numFmtId="186" fontId="291" fillId="2" borderId="60" xfId="0" applyNumberFormat="1" applyFont="1" applyFill="1" applyBorder="1" applyAlignment="1">
      <alignment horizontal="right" vertical="center" wrapText="1"/>
    </xf>
    <xf numFmtId="0" fontId="72" fillId="47" borderId="60" xfId="2" applyFont="1" applyFill="1" applyBorder="1" applyAlignment="1">
      <alignment horizontal="center" vertical="center" wrapText="1"/>
    </xf>
    <xf numFmtId="0" fontId="290" fillId="45" borderId="60" xfId="2" applyFont="1" applyFill="1" applyBorder="1" applyAlignment="1">
      <alignment horizontal="center" vertical="center" wrapText="1"/>
    </xf>
    <xf numFmtId="0" fontId="72" fillId="47" borderId="610" xfId="2" applyFont="1" applyFill="1" applyBorder="1" applyAlignment="1">
      <alignment horizontal="center" vertical="center" wrapText="1"/>
    </xf>
    <xf numFmtId="0" fontId="126" fillId="47" borderId="611" xfId="2" applyFont="1" applyFill="1" applyBorder="1" applyAlignment="1">
      <alignment horizontal="center" vertical="center" wrapText="1"/>
    </xf>
    <xf numFmtId="0" fontId="72" fillId="47" borderId="612" xfId="2" applyFont="1" applyFill="1" applyBorder="1" applyAlignment="1">
      <alignment horizontal="center" vertical="center"/>
    </xf>
    <xf numFmtId="0" fontId="126" fillId="47" borderId="613" xfId="2" applyFont="1" applyFill="1" applyBorder="1" applyAlignment="1">
      <alignment horizontal="center" vertical="center" wrapText="1"/>
    </xf>
    <xf numFmtId="0" fontId="291" fillId="94" borderId="610" xfId="0" applyFont="1" applyFill="1" applyBorder="1" applyAlignment="1">
      <alignment horizontal="left" vertical="center" wrapText="1"/>
    </xf>
    <xf numFmtId="49" fontId="291" fillId="94" borderId="611" xfId="0" applyNumberFormat="1" applyFont="1" applyFill="1" applyBorder="1" applyAlignment="1">
      <alignment horizontal="left" vertical="center" wrapText="1"/>
    </xf>
    <xf numFmtId="0" fontId="291" fillId="2" borderId="610" xfId="0" applyFont="1" applyFill="1" applyBorder="1" applyAlignment="1">
      <alignment horizontal="left" vertical="center" wrapText="1"/>
    </xf>
    <xf numFmtId="0" fontId="291" fillId="94" borderId="612" xfId="0" applyFont="1" applyFill="1" applyBorder="1" applyAlignment="1">
      <alignment horizontal="center" vertical="center" wrapText="1"/>
    </xf>
    <xf numFmtId="49" fontId="291" fillId="2" borderId="611" xfId="0" applyNumberFormat="1" applyFont="1" applyFill="1" applyBorder="1" applyAlignment="1">
      <alignment horizontal="left" vertical="center" wrapText="1"/>
    </xf>
    <xf numFmtId="0" fontId="291" fillId="94" borderId="613" xfId="0" applyFont="1" applyFill="1" applyBorder="1" applyAlignment="1">
      <alignment horizontal="center" vertical="center" wrapText="1"/>
    </xf>
    <xf numFmtId="0" fontId="291" fillId="2" borderId="612" xfId="0" applyFont="1" applyFill="1" applyBorder="1" applyAlignment="1">
      <alignment horizontal="center" vertical="center" wrapText="1"/>
    </xf>
    <xf numFmtId="0" fontId="291" fillId="2" borderId="613" xfId="0" applyFont="1" applyFill="1" applyBorder="1" applyAlignment="1">
      <alignment horizontal="center" vertical="center" wrapText="1"/>
    </xf>
    <xf numFmtId="0" fontId="104" fillId="45" borderId="612" xfId="0" applyFont="1" applyFill="1" applyBorder="1" applyAlignment="1">
      <alignment horizontal="center" vertical="center" wrapText="1"/>
    </xf>
    <xf numFmtId="0" fontId="104" fillId="45" borderId="613" xfId="0" applyFont="1" applyFill="1" applyBorder="1" applyAlignment="1">
      <alignment horizontal="center" vertical="center" wrapText="1"/>
    </xf>
    <xf numFmtId="0" fontId="291" fillId="2" borderId="614" xfId="0" applyFont="1" applyFill="1" applyBorder="1" applyAlignment="1">
      <alignment horizontal="left" vertical="center" wrapText="1"/>
    </xf>
    <xf numFmtId="0" fontId="291" fillId="2" borderId="217" xfId="0" applyFont="1" applyFill="1" applyBorder="1" applyAlignment="1">
      <alignment horizontal="left" vertical="center" wrapText="1"/>
    </xf>
    <xf numFmtId="173" fontId="291" fillId="2" borderId="217" xfId="0" applyNumberFormat="1" applyFont="1" applyFill="1" applyBorder="1" applyAlignment="1">
      <alignment horizontal="center" vertical="center" wrapText="1"/>
    </xf>
    <xf numFmtId="186" fontId="291" fillId="2" borderId="217" xfId="0" applyNumberFormat="1" applyFont="1" applyFill="1" applyBorder="1" applyAlignment="1">
      <alignment horizontal="right" vertical="center" wrapText="1"/>
    </xf>
    <xf numFmtId="49" fontId="291" fillId="2" borderId="615" xfId="0" applyNumberFormat="1" applyFont="1" applyFill="1" applyBorder="1" applyAlignment="1">
      <alignment horizontal="left" vertical="center" wrapText="1"/>
    </xf>
    <xf numFmtId="0" fontId="104" fillId="45" borderId="614" xfId="0" applyFont="1" applyFill="1" applyBorder="1" applyAlignment="1">
      <alignment horizontal="center" vertical="center" wrapText="1"/>
    </xf>
    <xf numFmtId="0" fontId="104" fillId="45" borderId="217" xfId="0" applyFont="1" applyFill="1" applyBorder="1" applyAlignment="1">
      <alignment horizontal="center" vertical="center" wrapText="1"/>
    </xf>
    <xf numFmtId="173" fontId="104" fillId="45" borderId="217" xfId="0" applyNumberFormat="1" applyFont="1" applyFill="1" applyBorder="1" applyAlignment="1">
      <alignment horizontal="center" vertical="center" wrapText="1"/>
    </xf>
    <xf numFmtId="186" fontId="104" fillId="45" borderId="217" xfId="0" applyNumberFormat="1" applyFont="1" applyFill="1" applyBorder="1" applyAlignment="1">
      <alignment horizontal="right" vertical="center" wrapText="1"/>
    </xf>
    <xf numFmtId="165" fontId="104" fillId="45" borderId="615" xfId="0" applyNumberFormat="1" applyFont="1" applyFill="1" applyBorder="1" applyAlignment="1">
      <alignment horizontal="center" vertical="center" wrapText="1"/>
    </xf>
    <xf numFmtId="0" fontId="104" fillId="23" borderId="535" xfId="0" applyFont="1" applyFill="1" applyBorder="1" applyAlignment="1">
      <alignment horizontal="center" vertical="center" wrapText="1"/>
    </xf>
    <xf numFmtId="0" fontId="104" fillId="23" borderId="616" xfId="0" applyFont="1" applyFill="1" applyBorder="1" applyAlignment="1">
      <alignment horizontal="center" vertical="center" wrapText="1"/>
    </xf>
    <xf numFmtId="0" fontId="104" fillId="23" borderId="233" xfId="0" applyFont="1" applyFill="1" applyBorder="1" applyAlignment="1">
      <alignment horizontal="center" vertical="center" wrapText="1"/>
    </xf>
    <xf numFmtId="173" fontId="104" fillId="23" borderId="233" xfId="0" applyNumberFormat="1" applyFont="1" applyFill="1" applyBorder="1" applyAlignment="1">
      <alignment horizontal="center" vertical="center" wrapText="1"/>
    </xf>
    <xf numFmtId="0" fontId="104" fillId="23" borderId="233" xfId="0" applyFont="1" applyFill="1" applyBorder="1" applyAlignment="1">
      <alignment horizontal="right" vertical="center" wrapText="1"/>
    </xf>
    <xf numFmtId="0" fontId="104" fillId="23" borderId="617" xfId="0" applyFont="1" applyFill="1" applyBorder="1" applyAlignment="1">
      <alignment horizontal="center" vertical="center" wrapText="1"/>
    </xf>
    <xf numFmtId="0" fontId="104" fillId="23" borderId="536" xfId="0" applyFont="1" applyFill="1" applyBorder="1" applyAlignment="1">
      <alignment horizontal="center" vertical="center" wrapText="1"/>
    </xf>
    <xf numFmtId="0" fontId="290" fillId="45" borderId="49" xfId="2" applyFont="1" applyFill="1" applyBorder="1" applyAlignment="1">
      <alignment horizontal="center" vertical="center" wrapText="1"/>
    </xf>
    <xf numFmtId="0" fontId="357" fillId="47" borderId="50" xfId="0" applyFont="1" applyFill="1" applyBorder="1" applyAlignment="1">
      <alignment horizontal="center" vertical="center" wrapText="1"/>
    </xf>
    <xf numFmtId="0" fontId="291" fillId="2" borderId="50" xfId="0" applyFont="1" applyFill="1" applyBorder="1" applyAlignment="1">
      <alignment horizontal="center" vertical="center" wrapText="1"/>
    </xf>
    <xf numFmtId="0" fontId="291" fillId="94" borderId="50" xfId="0" applyFont="1" applyFill="1" applyBorder="1" applyAlignment="1">
      <alignment horizontal="center" vertical="center" wrapText="1"/>
    </xf>
    <xf numFmtId="0" fontId="104" fillId="45" borderId="310" xfId="0" applyFont="1" applyFill="1" applyBorder="1" applyAlignment="1">
      <alignment horizontal="center" vertical="center" wrapText="1"/>
    </xf>
    <xf numFmtId="0" fontId="104" fillId="45" borderId="108" xfId="0" applyFont="1" applyFill="1" applyBorder="1" applyAlignment="1">
      <alignment horizontal="center" vertical="center" wrapText="1"/>
    </xf>
    <xf numFmtId="186" fontId="104" fillId="45" borderId="108" xfId="0" applyNumberFormat="1" applyFont="1" applyFill="1" applyBorder="1" applyAlignment="1">
      <alignment horizontal="right" vertical="center" wrapText="1"/>
    </xf>
    <xf numFmtId="0" fontId="265" fillId="47" borderId="48" xfId="0" applyFont="1" applyFill="1" applyBorder="1" applyAlignment="1">
      <alignment horizontal="center" wrapText="1"/>
    </xf>
    <xf numFmtId="0" fontId="265" fillId="47" borderId="49" xfId="0" applyFont="1" applyFill="1" applyBorder="1" applyAlignment="1">
      <alignment horizontal="center" wrapText="1"/>
    </xf>
    <xf numFmtId="0" fontId="265" fillId="47" borderId="50" xfId="0" applyFont="1" applyFill="1" applyBorder="1" applyAlignment="1">
      <alignment horizontal="center" wrapText="1"/>
    </xf>
    <xf numFmtId="173" fontId="291" fillId="2" borderId="49" xfId="0" applyNumberFormat="1" applyFont="1" applyFill="1" applyBorder="1" applyAlignment="1">
      <alignment horizontal="center" vertical="center" wrapText="1"/>
    </xf>
    <xf numFmtId="173" fontId="291" fillId="94" borderId="49" xfId="0" applyNumberFormat="1" applyFont="1" applyFill="1" applyBorder="1" applyAlignment="1">
      <alignment horizontal="center" vertical="center" wrapText="1"/>
    </xf>
    <xf numFmtId="0" fontId="104" fillId="45" borderId="48" xfId="0" applyFont="1" applyFill="1" applyBorder="1" applyAlignment="1">
      <alignment horizontal="center" wrapText="1"/>
    </xf>
    <xf numFmtId="0" fontId="104" fillId="45" borderId="49" xfId="0" applyFont="1" applyFill="1" applyBorder="1" applyAlignment="1">
      <alignment horizontal="center" wrapText="1"/>
    </xf>
    <xf numFmtId="173" fontId="104" fillId="45" borderId="49" xfId="0" applyNumberFormat="1" applyFont="1" applyFill="1" applyBorder="1" applyAlignment="1">
      <alignment horizontal="center" wrapText="1"/>
    </xf>
    <xf numFmtId="186" fontId="104" fillId="45" borderId="49" xfId="0" applyNumberFormat="1" applyFont="1" applyFill="1" applyBorder="1" applyAlignment="1">
      <alignment horizontal="right" wrapText="1"/>
    </xf>
    <xf numFmtId="0" fontId="104" fillId="45" borderId="50" xfId="0" applyFont="1" applyFill="1" applyBorder="1" applyAlignment="1">
      <alignment horizontal="center" wrapText="1"/>
    </xf>
    <xf numFmtId="0" fontId="358" fillId="72" borderId="51" xfId="0" applyFont="1" applyFill="1" applyBorder="1" applyAlignment="1">
      <alignment horizontal="center" vertical="top" wrapText="1"/>
    </xf>
    <xf numFmtId="0" fontId="358" fillId="72" borderId="52" xfId="0" applyFont="1" applyFill="1" applyBorder="1" applyAlignment="1">
      <alignment horizontal="center" vertical="top" wrapText="1"/>
    </xf>
    <xf numFmtId="0" fontId="359" fillId="72" borderId="52" xfId="0" applyFont="1" applyFill="1" applyBorder="1" applyAlignment="1">
      <alignment horizontal="center" vertical="top" wrapText="1"/>
    </xf>
    <xf numFmtId="0" fontId="359" fillId="72" borderId="53" xfId="0" applyFont="1" applyFill="1" applyBorder="1" applyAlignment="1">
      <alignment horizontal="center" vertical="top" wrapText="1"/>
    </xf>
    <xf numFmtId="0" fontId="291" fillId="2" borderId="350" xfId="0" applyFont="1" applyFill="1" applyBorder="1" applyAlignment="1">
      <alignment horizontal="center" vertical="center" wrapText="1"/>
    </xf>
    <xf numFmtId="0" fontId="291" fillId="94" borderId="350" xfId="0" applyFont="1" applyFill="1" applyBorder="1" applyAlignment="1">
      <alignment horizontal="center" vertical="center" wrapText="1"/>
    </xf>
    <xf numFmtId="0" fontId="271" fillId="72" borderId="0" xfId="0" applyFont="1" applyFill="1" applyAlignment="1">
      <alignment horizontal="center" vertical="center" wrapText="1"/>
    </xf>
    <xf numFmtId="0" fontId="289" fillId="72" borderId="9" xfId="0" applyFont="1" applyFill="1" applyBorder="1" applyAlignment="1">
      <alignment horizontal="center" vertical="center" wrapText="1"/>
    </xf>
    <xf numFmtId="0" fontId="271" fillId="72" borderId="39" xfId="0" applyFont="1" applyFill="1" applyBorder="1" applyAlignment="1">
      <alignment horizontal="center" vertical="center" wrapText="1"/>
    </xf>
    <xf numFmtId="0" fontId="271" fillId="72" borderId="28" xfId="0" applyFont="1" applyFill="1" applyBorder="1" applyAlignment="1">
      <alignment horizontal="center" vertical="center" wrapText="1"/>
    </xf>
    <xf numFmtId="0" fontId="271" fillId="72" borderId="29" xfId="0" applyFont="1" applyFill="1" applyBorder="1" applyAlignment="1">
      <alignment horizontal="center" vertical="center" wrapText="1"/>
    </xf>
    <xf numFmtId="0" fontId="334" fillId="72" borderId="16" xfId="0" applyFont="1" applyFill="1" applyBorder="1" applyAlignment="1">
      <alignment horizontal="center" vertical="center" wrapText="1"/>
    </xf>
    <xf numFmtId="0" fontId="334" fillId="72" borderId="40" xfId="0" applyFont="1" applyFill="1" applyBorder="1" applyAlignment="1">
      <alignment wrapText="1"/>
    </xf>
    <xf numFmtId="0" fontId="334" fillId="72" borderId="15" xfId="0" applyFont="1" applyFill="1" applyBorder="1" applyAlignment="1">
      <alignment wrapText="1"/>
    </xf>
    <xf numFmtId="0" fontId="334" fillId="72" borderId="16" xfId="0" applyFont="1" applyFill="1" applyBorder="1" applyAlignment="1">
      <alignment wrapText="1"/>
    </xf>
    <xf numFmtId="0" fontId="334" fillId="72" borderId="41" xfId="0" applyFont="1" applyFill="1" applyBorder="1" applyAlignment="1">
      <alignment wrapText="1"/>
    </xf>
    <xf numFmtId="0" fontId="334" fillId="72" borderId="17" xfId="0" applyFont="1" applyFill="1" applyBorder="1" applyAlignment="1">
      <alignment wrapText="1"/>
    </xf>
    <xf numFmtId="0" fontId="334" fillId="72" borderId="18" xfId="0" applyFont="1" applyFill="1" applyBorder="1" applyAlignment="1">
      <alignment wrapText="1"/>
    </xf>
    <xf numFmtId="0" fontId="271" fillId="72" borderId="15" xfId="0" applyFont="1" applyFill="1" applyBorder="1" applyAlignment="1">
      <alignment vertical="center" wrapText="1"/>
    </xf>
    <xf numFmtId="0" fontId="284" fillId="72" borderId="15" xfId="0" applyFont="1" applyFill="1" applyBorder="1" applyAlignment="1">
      <alignment vertical="center" wrapText="1"/>
    </xf>
    <xf numFmtId="0" fontId="271" fillId="72" borderId="40" xfId="0" applyFont="1" applyFill="1" applyBorder="1" applyAlignment="1">
      <alignment vertical="center" wrapText="1"/>
    </xf>
    <xf numFmtId="0" fontId="284" fillId="72" borderId="40" xfId="0" applyFont="1" applyFill="1" applyBorder="1" applyAlignment="1">
      <alignment vertical="center" wrapText="1"/>
    </xf>
    <xf numFmtId="0" fontId="270" fillId="45" borderId="49" xfId="0" applyFont="1" applyFill="1" applyBorder="1" applyAlignment="1">
      <alignment horizontal="center" vertical="center" wrapText="1"/>
    </xf>
    <xf numFmtId="0" fontId="337" fillId="94" borderId="49" xfId="0" applyFont="1" applyFill="1" applyBorder="1" applyAlignment="1">
      <alignment vertical="center" wrapText="1"/>
    </xf>
    <xf numFmtId="0" fontId="268" fillId="94" borderId="49" xfId="0" applyFont="1" applyFill="1" applyBorder="1" applyAlignment="1">
      <alignment vertical="center" wrapText="1"/>
    </xf>
    <xf numFmtId="0" fontId="270" fillId="23" borderId="49" xfId="0" applyFont="1" applyFill="1" applyBorder="1" applyAlignment="1">
      <alignment vertical="center" wrapText="1"/>
    </xf>
    <xf numFmtId="0" fontId="104" fillId="23" borderId="49" xfId="0" applyFont="1" applyFill="1" applyBorder="1" applyAlignment="1">
      <alignment vertical="center" wrapText="1"/>
    </xf>
    <xf numFmtId="0" fontId="337" fillId="2" borderId="49" xfId="0" applyFont="1" applyFill="1" applyBorder="1" applyAlignment="1">
      <alignment vertical="center" wrapText="1"/>
    </xf>
    <xf numFmtId="0" fontId="291" fillId="2" borderId="49" xfId="0" applyFont="1" applyFill="1" applyBorder="1" applyAlignment="1">
      <alignment vertical="center" wrapText="1"/>
    </xf>
    <xf numFmtId="0" fontId="291" fillId="94" borderId="49" xfId="0" applyFont="1" applyFill="1" applyBorder="1" applyAlignment="1">
      <alignment vertical="center" wrapText="1"/>
    </xf>
    <xf numFmtId="0" fontId="268" fillId="2" borderId="49" xfId="0" applyFont="1" applyFill="1" applyBorder="1" applyAlignment="1">
      <alignment vertical="center" wrapText="1"/>
    </xf>
    <xf numFmtId="0" fontId="289" fillId="23" borderId="49" xfId="0" applyFont="1" applyFill="1" applyBorder="1" applyAlignment="1">
      <alignment vertical="center" wrapText="1"/>
    </xf>
    <xf numFmtId="0" fontId="268" fillId="23" borderId="49" xfId="0" applyFont="1" applyFill="1" applyBorder="1" applyAlignment="1">
      <alignment vertical="center" wrapText="1"/>
    </xf>
    <xf numFmtId="0" fontId="289" fillId="94" borderId="49" xfId="0" applyFont="1" applyFill="1" applyBorder="1" applyAlignment="1">
      <alignment vertical="center" wrapText="1"/>
    </xf>
    <xf numFmtId="0" fontId="268" fillId="94" borderId="49" xfId="0" applyFont="1" applyFill="1" applyBorder="1" applyAlignment="1">
      <alignment horizontal="center" vertical="center" wrapText="1"/>
    </xf>
    <xf numFmtId="0" fontId="360" fillId="15" borderId="49" xfId="0" applyFont="1" applyFill="1" applyBorder="1" applyAlignment="1">
      <alignment vertical="center" wrapText="1"/>
    </xf>
    <xf numFmtId="0" fontId="77" fillId="89" borderId="49" xfId="0" applyFont="1" applyFill="1" applyBorder="1" applyAlignment="1">
      <alignment horizontal="center" vertical="center" wrapText="1"/>
    </xf>
    <xf numFmtId="0" fontId="77" fillId="90" borderId="49" xfId="0" applyFont="1" applyFill="1" applyBorder="1" applyAlignment="1">
      <alignment horizontal="center" vertical="center" wrapText="1"/>
    </xf>
    <xf numFmtId="0" fontId="271" fillId="91" borderId="49" xfId="0" applyFont="1" applyFill="1" applyBorder="1" applyAlignment="1">
      <alignment horizontal="center" vertical="center" wrapText="1"/>
    </xf>
    <xf numFmtId="0" fontId="271" fillId="28" borderId="49" xfId="0" applyFont="1" applyFill="1" applyBorder="1" applyAlignment="1">
      <alignment horizontal="center" vertical="center" wrapText="1"/>
    </xf>
    <xf numFmtId="0" fontId="77" fillId="92" borderId="49" xfId="0" applyFont="1" applyFill="1" applyBorder="1" applyAlignment="1">
      <alignment horizontal="center" vertical="center" wrapText="1"/>
    </xf>
    <xf numFmtId="10" fontId="104" fillId="45" borderId="133" xfId="0" applyNumberFormat="1" applyFont="1" applyFill="1" applyBorder="1" applyAlignment="1">
      <alignment horizontal="center" vertical="center" wrapText="1"/>
    </xf>
    <xf numFmtId="0" fontId="104" fillId="45" borderId="131" xfId="0" applyFont="1" applyFill="1" applyBorder="1" applyAlignment="1">
      <alignment horizontal="center" vertical="center" wrapText="1"/>
    </xf>
    <xf numFmtId="9" fontId="268" fillId="94" borderId="133" xfId="0" applyNumberFormat="1" applyFont="1" applyFill="1" applyBorder="1" applyAlignment="1">
      <alignment horizontal="center" vertical="center" wrapText="1"/>
    </xf>
    <xf numFmtId="14" fontId="291" fillId="94" borderId="131" xfId="0" applyNumberFormat="1" applyFont="1" applyFill="1" applyBorder="1" applyAlignment="1">
      <alignment horizontal="center" vertical="center" wrapText="1"/>
    </xf>
    <xf numFmtId="0" fontId="104" fillId="45" borderId="350" xfId="0" applyFont="1" applyFill="1" applyBorder="1" applyAlignment="1">
      <alignment horizontal="center" vertical="center" wrapText="1"/>
    </xf>
    <xf numFmtId="164" fontId="104" fillId="23" borderId="133" xfId="0" applyNumberFormat="1" applyFont="1" applyFill="1" applyBorder="1" applyAlignment="1">
      <alignment horizontal="center" vertical="center" wrapText="1"/>
    </xf>
    <xf numFmtId="0" fontId="291" fillId="94" borderId="310" xfId="0" applyFont="1" applyFill="1" applyBorder="1" applyAlignment="1">
      <alignment vertical="center" wrapText="1"/>
    </xf>
    <xf numFmtId="0" fontId="104" fillId="23" borderId="131" xfId="0" applyFont="1" applyFill="1" applyBorder="1" applyAlignment="1">
      <alignment horizontal="center" vertical="center" wrapText="1"/>
    </xf>
    <xf numFmtId="0" fontId="291" fillId="94" borderId="350" xfId="0" applyFont="1" applyFill="1" applyBorder="1" applyAlignment="1">
      <alignment vertical="center" wrapText="1"/>
    </xf>
    <xf numFmtId="164" fontId="109" fillId="2" borderId="133" xfId="0" applyNumberFormat="1" applyFont="1" applyFill="1" applyBorder="1" applyAlignment="1">
      <alignment horizontal="center" vertical="center" wrapText="1"/>
    </xf>
    <xf numFmtId="0" fontId="104" fillId="23" borderId="310" xfId="0" applyFont="1" applyFill="1" applyBorder="1" applyAlignment="1">
      <alignment vertical="center" wrapText="1"/>
    </xf>
    <xf numFmtId="0" fontId="106" fillId="2" borderId="131" xfId="0" applyFont="1" applyFill="1" applyBorder="1" applyAlignment="1">
      <alignment horizontal="center" vertical="center" wrapText="1"/>
    </xf>
    <xf numFmtId="0" fontId="104" fillId="23" borderId="350" xfId="0" applyFont="1" applyFill="1" applyBorder="1" applyAlignment="1">
      <alignment vertical="center" wrapText="1"/>
    </xf>
    <xf numFmtId="0" fontId="106" fillId="2" borderId="310" xfId="0" applyFont="1" applyFill="1" applyBorder="1" applyAlignment="1">
      <alignment vertical="center" wrapText="1"/>
    </xf>
    <xf numFmtId="0" fontId="106" fillId="2" borderId="350" xfId="0" applyFont="1" applyFill="1" applyBorder="1" applyAlignment="1">
      <alignment vertical="center" wrapText="1"/>
    </xf>
    <xf numFmtId="173" fontId="268" fillId="2" borderId="133" xfId="0" applyNumberFormat="1" applyFont="1" applyFill="1" applyBorder="1" applyAlignment="1">
      <alignment horizontal="center" vertical="center" wrapText="1"/>
    </xf>
    <xf numFmtId="2" fontId="268" fillId="94" borderId="133" xfId="0" applyNumberFormat="1" applyFont="1" applyFill="1" applyBorder="1" applyAlignment="1">
      <alignment horizontal="center" vertical="center" wrapText="1"/>
    </xf>
    <xf numFmtId="0" fontId="291" fillId="2" borderId="310" xfId="0" applyFont="1" applyFill="1" applyBorder="1" applyAlignment="1">
      <alignment vertical="center" wrapText="1"/>
    </xf>
    <xf numFmtId="0" fontId="291" fillId="2" borderId="350" xfId="0" applyFont="1" applyFill="1" applyBorder="1" applyAlignment="1">
      <alignment vertical="center" wrapText="1"/>
    </xf>
    <xf numFmtId="173" fontId="268" fillId="94" borderId="133" xfId="0" applyNumberFormat="1" applyFont="1" applyFill="1" applyBorder="1" applyAlignment="1">
      <alignment horizontal="center" vertical="center" wrapText="1"/>
    </xf>
    <xf numFmtId="173" fontId="268" fillId="2" borderId="133" xfId="0" applyNumberFormat="1" applyFont="1" applyFill="1" applyBorder="1" applyAlignment="1">
      <alignment vertical="center" wrapText="1"/>
    </xf>
    <xf numFmtId="0" fontId="268" fillId="2" borderId="131" xfId="0" applyFont="1" applyFill="1" applyBorder="1" applyAlignment="1">
      <alignment vertical="center" wrapText="1"/>
    </xf>
    <xf numFmtId="0" fontId="268" fillId="2" borderId="310" xfId="0" applyFont="1" applyFill="1" applyBorder="1" applyAlignment="1">
      <alignment vertical="center" wrapText="1"/>
    </xf>
    <xf numFmtId="170" fontId="268" fillId="94" borderId="133" xfId="0" applyNumberFormat="1" applyFont="1" applyFill="1" applyBorder="1" applyAlignment="1">
      <alignment horizontal="center" vertical="center" wrapText="1"/>
    </xf>
    <xf numFmtId="170" fontId="268" fillId="2" borderId="133" xfId="0" applyNumberFormat="1" applyFont="1" applyFill="1" applyBorder="1" applyAlignment="1">
      <alignment horizontal="center" vertical="center" wrapText="1"/>
    </xf>
    <xf numFmtId="165" fontId="268" fillId="94" borderId="133" xfId="0" applyNumberFormat="1" applyFont="1" applyFill="1" applyBorder="1" applyAlignment="1">
      <alignment horizontal="center" vertical="center" wrapText="1"/>
    </xf>
    <xf numFmtId="14" fontId="268" fillId="94" borderId="131" xfId="0" applyNumberFormat="1" applyFont="1" applyFill="1" applyBorder="1" applyAlignment="1">
      <alignment horizontal="center" vertical="center" wrapText="1"/>
    </xf>
    <xf numFmtId="165" fontId="268" fillId="2" borderId="133" xfId="0" applyNumberFormat="1" applyFont="1" applyFill="1" applyBorder="1" applyAlignment="1">
      <alignment horizontal="center" vertical="center" wrapText="1"/>
    </xf>
    <xf numFmtId="0" fontId="268" fillId="94" borderId="310" xfId="0" applyFont="1" applyFill="1" applyBorder="1" applyAlignment="1">
      <alignment vertical="center" wrapText="1"/>
    </xf>
    <xf numFmtId="173" fontId="268" fillId="94" borderId="133" xfId="0" applyNumberFormat="1" applyFont="1" applyFill="1" applyBorder="1" applyAlignment="1">
      <alignment vertical="center" wrapText="1"/>
    </xf>
    <xf numFmtId="0" fontId="268" fillId="94" borderId="131" xfId="0" applyFont="1" applyFill="1" applyBorder="1" applyAlignment="1">
      <alignment vertical="center" wrapText="1"/>
    </xf>
    <xf numFmtId="164" fontId="268" fillId="2" borderId="133" xfId="0" applyNumberFormat="1" applyFont="1" applyFill="1" applyBorder="1" applyAlignment="1">
      <alignment horizontal="center" vertical="center" wrapText="1"/>
    </xf>
    <xf numFmtId="164" fontId="268" fillId="94" borderId="133" xfId="0" applyNumberFormat="1" applyFont="1" applyFill="1" applyBorder="1" applyAlignment="1">
      <alignment horizontal="center" vertical="center" wrapText="1"/>
    </xf>
    <xf numFmtId="164" fontId="268" fillId="23" borderId="133" xfId="0" applyNumberFormat="1" applyFont="1" applyFill="1" applyBorder="1" applyAlignment="1">
      <alignment horizontal="center" vertical="center" wrapText="1"/>
    </xf>
    <xf numFmtId="0" fontId="268" fillId="23" borderId="131" xfId="0" applyFont="1" applyFill="1" applyBorder="1" applyAlignment="1">
      <alignment horizontal="center" vertical="center" wrapText="1"/>
    </xf>
    <xf numFmtId="0" fontId="268" fillId="23" borderId="310" xfId="0" applyFont="1" applyFill="1" applyBorder="1" applyAlignment="1">
      <alignment vertical="center" wrapText="1"/>
    </xf>
    <xf numFmtId="0" fontId="268" fillId="23" borderId="350" xfId="0" applyFont="1" applyFill="1" applyBorder="1" applyAlignment="1">
      <alignment vertical="center" wrapText="1"/>
    </xf>
    <xf numFmtId="2" fontId="268" fillId="2" borderId="133" xfId="0" applyNumberFormat="1" applyFont="1" applyFill="1" applyBorder="1" applyAlignment="1">
      <alignment horizontal="center" vertical="center" wrapText="1"/>
    </xf>
    <xf numFmtId="2" fontId="268" fillId="23" borderId="133" xfId="0" applyNumberFormat="1" applyFont="1" applyFill="1" applyBorder="1" applyAlignment="1">
      <alignment horizontal="center" vertical="center" wrapText="1"/>
    </xf>
    <xf numFmtId="0" fontId="268" fillId="23" borderId="131" xfId="0" applyFont="1" applyFill="1" applyBorder="1" applyAlignment="1">
      <alignment vertical="center" wrapText="1"/>
    </xf>
    <xf numFmtId="2" fontId="268" fillId="2" borderId="133" xfId="0" applyNumberFormat="1" applyFont="1" applyFill="1" applyBorder="1" applyAlignment="1">
      <alignment vertical="center" wrapText="1"/>
    </xf>
    <xf numFmtId="0" fontId="268" fillId="94" borderId="131" xfId="0" applyFont="1" applyFill="1" applyBorder="1" applyAlignment="1">
      <alignment horizontal="center" vertical="center" wrapText="1"/>
    </xf>
    <xf numFmtId="0" fontId="268" fillId="94" borderId="350" xfId="0" applyFont="1" applyFill="1" applyBorder="1" applyAlignment="1">
      <alignment vertical="center" wrapText="1"/>
    </xf>
    <xf numFmtId="173" fontId="291" fillId="2" borderId="133" xfId="0" applyNumberFormat="1" applyFont="1" applyFill="1" applyBorder="1" applyAlignment="1">
      <alignment vertical="center" wrapText="1"/>
    </xf>
    <xf numFmtId="173" fontId="360" fillId="15" borderId="133" xfId="0" applyNumberFormat="1" applyFont="1" applyFill="1" applyBorder="1" applyAlignment="1">
      <alignment vertical="center" wrapText="1"/>
    </xf>
    <xf numFmtId="0" fontId="360" fillId="15" borderId="133" xfId="0" applyFont="1" applyFill="1" applyBorder="1" applyAlignment="1">
      <alignment vertical="center" wrapText="1"/>
    </xf>
    <xf numFmtId="0" fontId="360" fillId="15" borderId="310" xfId="0" applyFont="1" applyFill="1" applyBorder="1" applyAlignment="1">
      <alignment vertical="center" wrapText="1"/>
    </xf>
    <xf numFmtId="0" fontId="360" fillId="15" borderId="131" xfId="0" applyFont="1" applyFill="1" applyBorder="1" applyAlignment="1">
      <alignment vertical="center" wrapText="1"/>
    </xf>
    <xf numFmtId="0" fontId="360" fillId="15" borderId="310" xfId="0" applyFont="1" applyFill="1" applyBorder="1" applyAlignment="1">
      <alignment vertical="center"/>
    </xf>
    <xf numFmtId="0" fontId="360" fillId="15" borderId="350" xfId="0" applyFont="1" applyFill="1" applyBorder="1" applyAlignment="1">
      <alignment vertical="center" wrapText="1"/>
    </xf>
    <xf numFmtId="0" fontId="77" fillId="89" borderId="133" xfId="0" applyFont="1" applyFill="1" applyBorder="1" applyAlignment="1">
      <alignment horizontal="center" vertical="center" wrapText="1"/>
    </xf>
    <xf numFmtId="0" fontId="77" fillId="89" borderId="131" xfId="0" applyFont="1" applyFill="1" applyBorder="1" applyAlignment="1">
      <alignment horizontal="center" vertical="center" wrapText="1"/>
    </xf>
    <xf numFmtId="0" fontId="77" fillId="90" borderId="133" xfId="0" applyFont="1" applyFill="1" applyBorder="1" applyAlignment="1">
      <alignment horizontal="center" vertical="center" wrapText="1"/>
    </xf>
    <xf numFmtId="0" fontId="77" fillId="89" borderId="310" xfId="0" applyFont="1" applyFill="1" applyBorder="1" applyAlignment="1">
      <alignment vertical="center"/>
    </xf>
    <xf numFmtId="0" fontId="77" fillId="90" borderId="131" xfId="0" applyFont="1" applyFill="1" applyBorder="1" applyAlignment="1">
      <alignment horizontal="center" vertical="center" wrapText="1"/>
    </xf>
    <xf numFmtId="0" fontId="77" fillId="89" borderId="350" xfId="0" applyFont="1" applyFill="1" applyBorder="1" applyAlignment="1">
      <alignment horizontal="center" vertical="center" wrapText="1"/>
    </xf>
    <xf numFmtId="0" fontId="271" fillId="91" borderId="133" xfId="0" applyFont="1" applyFill="1" applyBorder="1" applyAlignment="1">
      <alignment horizontal="center" vertical="center" wrapText="1"/>
    </xf>
    <xf numFmtId="0" fontId="77" fillId="90" borderId="310" xfId="0" applyFont="1" applyFill="1" applyBorder="1" applyAlignment="1">
      <alignment vertical="center"/>
    </xf>
    <xf numFmtId="0" fontId="271" fillId="91" borderId="131" xfId="0" applyFont="1" applyFill="1" applyBorder="1" applyAlignment="1">
      <alignment horizontal="center" vertical="center" wrapText="1"/>
    </xf>
    <xf numFmtId="0" fontId="77" fillId="90" borderId="350" xfId="0" applyFont="1" applyFill="1" applyBorder="1" applyAlignment="1">
      <alignment horizontal="center" vertical="center" wrapText="1"/>
    </xf>
    <xf numFmtId="0" fontId="271" fillId="28" borderId="133" xfId="0" applyFont="1" applyFill="1" applyBorder="1" applyAlignment="1">
      <alignment horizontal="center" vertical="center" wrapText="1"/>
    </xf>
    <xf numFmtId="0" fontId="271" fillId="91" borderId="310" xfId="0" applyFont="1" applyFill="1" applyBorder="1" applyAlignment="1">
      <alignment vertical="center"/>
    </xf>
    <xf numFmtId="0" fontId="271" fillId="28" borderId="131" xfId="0" applyFont="1" applyFill="1" applyBorder="1" applyAlignment="1">
      <alignment horizontal="center" vertical="center" wrapText="1"/>
    </xf>
    <xf numFmtId="0" fontId="271" fillId="91" borderId="350" xfId="0" applyFont="1" applyFill="1" applyBorder="1" applyAlignment="1">
      <alignment horizontal="center" vertical="center" wrapText="1"/>
    </xf>
    <xf numFmtId="0" fontId="77" fillId="92" borderId="133" xfId="0" applyFont="1" applyFill="1" applyBorder="1" applyAlignment="1">
      <alignment horizontal="center" vertical="center" wrapText="1"/>
    </xf>
    <xf numFmtId="0" fontId="271" fillId="28" borderId="310" xfId="0" applyFont="1" applyFill="1" applyBorder="1" applyAlignment="1">
      <alignment vertical="center"/>
    </xf>
    <xf numFmtId="0" fontId="77" fillId="92" borderId="131" xfId="0" applyFont="1" applyFill="1" applyBorder="1" applyAlignment="1">
      <alignment horizontal="center" vertical="center" wrapText="1"/>
    </xf>
    <xf numFmtId="0" fontId="271" fillId="28" borderId="350" xfId="0" applyFont="1" applyFill="1" applyBorder="1" applyAlignment="1">
      <alignment horizontal="center" vertical="center" wrapText="1"/>
    </xf>
    <xf numFmtId="0" fontId="77" fillId="92" borderId="310" xfId="0" applyFont="1" applyFill="1" applyBorder="1" applyAlignment="1">
      <alignment vertical="center"/>
    </xf>
    <xf numFmtId="0" fontId="77" fillId="92" borderId="350" xfId="0" applyFont="1" applyFill="1" applyBorder="1" applyAlignment="1">
      <alignment horizontal="center" vertical="center" wrapText="1"/>
    </xf>
    <xf numFmtId="0" fontId="265" fillId="2" borderId="0" xfId="0" applyFont="1" applyFill="1" applyAlignment="1">
      <alignment horizontal="center" vertical="center" wrapText="1"/>
    </xf>
    <xf numFmtId="0" fontId="105" fillId="31" borderId="16" xfId="0" applyFont="1" applyFill="1" applyBorder="1" applyAlignment="1">
      <alignment horizontal="center" vertical="center" wrapText="1"/>
    </xf>
    <xf numFmtId="0" fontId="108" fillId="0" borderId="16" xfId="0" applyFont="1" applyBorder="1" applyAlignment="1">
      <alignment vertical="center" wrapText="1"/>
    </xf>
    <xf numFmtId="0" fontId="108" fillId="0" borderId="0" xfId="0" applyFont="1" applyAlignment="1">
      <alignment vertical="center"/>
    </xf>
    <xf numFmtId="0" fontId="108" fillId="0" borderId="0" xfId="0" applyFont="1" applyAlignment="1">
      <alignment horizontal="center" vertical="center"/>
    </xf>
    <xf numFmtId="0" fontId="104" fillId="89" borderId="0" xfId="0" applyFont="1" applyFill="1" applyAlignment="1">
      <alignment vertical="center"/>
    </xf>
    <xf numFmtId="0" fontId="104" fillId="90" borderId="0" xfId="0" applyFont="1" applyFill="1" applyAlignment="1">
      <alignment vertical="center"/>
    </xf>
    <xf numFmtId="0" fontId="268" fillId="91" borderId="0" xfId="0" applyFont="1" applyFill="1" applyAlignment="1">
      <alignment vertical="center"/>
    </xf>
    <xf numFmtId="0" fontId="268" fillId="28" borderId="0" xfId="0" applyFont="1" applyFill="1" applyAlignment="1">
      <alignment vertical="center"/>
    </xf>
    <xf numFmtId="0" fontId="104" fillId="92" borderId="0" xfId="0" applyFont="1" applyFill="1" applyAlignment="1">
      <alignment vertical="center"/>
    </xf>
    <xf numFmtId="0" fontId="126" fillId="72" borderId="0" xfId="0" applyFont="1" applyFill="1" applyAlignment="1">
      <alignment horizontal="center" vertical="center" wrapText="1"/>
    </xf>
    <xf numFmtId="0" fontId="105" fillId="72" borderId="40" xfId="0" applyFont="1" applyFill="1" applyBorder="1" applyAlignment="1">
      <alignment horizontal="center" vertical="center" wrapText="1"/>
    </xf>
    <xf numFmtId="0" fontId="108" fillId="72" borderId="40" xfId="0" applyFont="1" applyFill="1" applyBorder="1" applyAlignment="1">
      <alignment vertical="center" wrapText="1"/>
    </xf>
    <xf numFmtId="0" fontId="104" fillId="89" borderId="49" xfId="0" applyFont="1" applyFill="1" applyBorder="1" applyAlignment="1">
      <alignment vertical="center" wrapText="1"/>
    </xf>
    <xf numFmtId="0" fontId="104" fillId="89" borderId="49" xfId="0" applyFont="1" applyFill="1" applyBorder="1" applyAlignment="1">
      <alignment horizontal="center" vertical="center" wrapText="1"/>
    </xf>
    <xf numFmtId="0" fontId="104" fillId="90" borderId="49" xfId="0" applyFont="1" applyFill="1" applyBorder="1" applyAlignment="1">
      <alignment vertical="center" wrapText="1"/>
    </xf>
    <xf numFmtId="0" fontId="104" fillId="90" borderId="49" xfId="0" applyFont="1" applyFill="1" applyBorder="1" applyAlignment="1">
      <alignment horizontal="center" vertical="center" wrapText="1"/>
    </xf>
    <xf numFmtId="0" fontId="268" fillId="91" borderId="49" xfId="0" applyFont="1" applyFill="1" applyBorder="1" applyAlignment="1">
      <alignment vertical="center" wrapText="1"/>
    </xf>
    <xf numFmtId="0" fontId="268" fillId="28" borderId="49" xfId="0" applyFont="1" applyFill="1" applyBorder="1" applyAlignment="1">
      <alignment vertical="center" wrapText="1"/>
    </xf>
    <xf numFmtId="0" fontId="104" fillId="92" borderId="49" xfId="0" applyFont="1" applyFill="1" applyBorder="1" applyAlignment="1">
      <alignment vertical="center" wrapText="1"/>
    </xf>
    <xf numFmtId="0" fontId="104" fillId="92" borderId="49" xfId="0" applyFont="1" applyFill="1" applyBorder="1" applyAlignment="1">
      <alignment horizontal="center" vertical="center" wrapText="1"/>
    </xf>
    <xf numFmtId="0" fontId="108" fillId="72" borderId="49" xfId="0" applyFont="1" applyFill="1" applyBorder="1" applyAlignment="1">
      <alignment vertical="center" wrapText="1"/>
    </xf>
    <xf numFmtId="0" fontId="291" fillId="94" borderId="133" xfId="0" applyFont="1" applyFill="1" applyBorder="1" applyAlignment="1">
      <alignment vertical="center" wrapText="1"/>
    </xf>
    <xf numFmtId="0" fontId="291" fillId="94" borderId="131" xfId="0" applyFont="1" applyFill="1" applyBorder="1" applyAlignment="1">
      <alignment vertical="center" wrapText="1"/>
    </xf>
    <xf numFmtId="0" fontId="291" fillId="2" borderId="133" xfId="0" applyFont="1" applyFill="1" applyBorder="1" applyAlignment="1">
      <alignment vertical="center" wrapText="1"/>
    </xf>
    <xf numFmtId="0" fontId="291" fillId="2" borderId="131" xfId="0" applyFont="1" applyFill="1" applyBorder="1" applyAlignment="1">
      <alignment vertical="center" wrapText="1"/>
    </xf>
    <xf numFmtId="0" fontId="268" fillId="2" borderId="133" xfId="0" applyFont="1" applyFill="1" applyBorder="1" applyAlignment="1">
      <alignment vertical="center" wrapText="1"/>
    </xf>
    <xf numFmtId="0" fontId="268" fillId="94" borderId="133" xfId="0" applyFont="1" applyFill="1" applyBorder="1" applyAlignment="1">
      <alignment vertical="center" wrapText="1"/>
    </xf>
    <xf numFmtId="10" fontId="268" fillId="2" borderId="133" xfId="0" applyNumberFormat="1" applyFont="1" applyFill="1" applyBorder="1" applyAlignment="1">
      <alignment vertical="center" wrapText="1"/>
    </xf>
    <xf numFmtId="0" fontId="268" fillId="94" borderId="133" xfId="0" applyFont="1" applyFill="1" applyBorder="1" applyAlignment="1">
      <alignment horizontal="right" vertical="center" wrapText="1"/>
    </xf>
    <xf numFmtId="0" fontId="104" fillId="89" borderId="133" xfId="0" applyFont="1" applyFill="1" applyBorder="1" applyAlignment="1">
      <alignment vertical="center" wrapText="1"/>
    </xf>
    <xf numFmtId="0" fontId="104" fillId="89" borderId="131" xfId="0" applyFont="1" applyFill="1" applyBorder="1" applyAlignment="1">
      <alignment vertical="center" wrapText="1"/>
    </xf>
    <xf numFmtId="0" fontId="104" fillId="90" borderId="133" xfId="0" applyFont="1" applyFill="1" applyBorder="1" applyAlignment="1">
      <alignment vertical="center" wrapText="1"/>
    </xf>
    <xf numFmtId="0" fontId="104" fillId="89" borderId="310" xfId="0" applyFont="1" applyFill="1" applyBorder="1" applyAlignment="1">
      <alignment vertical="center" wrapText="1"/>
    </xf>
    <xf numFmtId="0" fontId="104" fillId="90" borderId="131" xfId="0" applyFont="1" applyFill="1" applyBorder="1" applyAlignment="1">
      <alignment vertical="center" wrapText="1"/>
    </xf>
    <xf numFmtId="0" fontId="104" fillId="89" borderId="350" xfId="0" applyFont="1" applyFill="1" applyBorder="1" applyAlignment="1">
      <alignment vertical="center" wrapText="1"/>
    </xf>
    <xf numFmtId="0" fontId="268" fillId="91" borderId="133" xfId="0" applyFont="1" applyFill="1" applyBorder="1" applyAlignment="1">
      <alignment vertical="center" wrapText="1"/>
    </xf>
    <xf numFmtId="0" fontId="104" fillId="90" borderId="310" xfId="0" applyFont="1" applyFill="1" applyBorder="1" applyAlignment="1">
      <alignment vertical="center" wrapText="1"/>
    </xf>
    <xf numFmtId="0" fontId="268" fillId="91" borderId="131" xfId="0" applyFont="1" applyFill="1" applyBorder="1" applyAlignment="1">
      <alignment vertical="center" wrapText="1"/>
    </xf>
    <xf numFmtId="0" fontId="104" fillId="90" borderId="350" xfId="0" applyFont="1" applyFill="1" applyBorder="1" applyAlignment="1">
      <alignment vertical="center" wrapText="1"/>
    </xf>
    <xf numFmtId="0" fontId="268" fillId="28" borderId="133" xfId="0" applyFont="1" applyFill="1" applyBorder="1" applyAlignment="1">
      <alignment vertical="center" wrapText="1"/>
    </xf>
    <xf numFmtId="0" fontId="268" fillId="91" borderId="310" xfId="0" applyFont="1" applyFill="1" applyBorder="1" applyAlignment="1">
      <alignment vertical="center" wrapText="1"/>
    </xf>
    <xf numFmtId="0" fontId="268" fillId="28" borderId="131" xfId="0" applyFont="1" applyFill="1" applyBorder="1" applyAlignment="1">
      <alignment vertical="center" wrapText="1"/>
    </xf>
    <xf numFmtId="0" fontId="268" fillId="91" borderId="350" xfId="0" applyFont="1" applyFill="1" applyBorder="1" applyAlignment="1">
      <alignment vertical="center" wrapText="1"/>
    </xf>
    <xf numFmtId="0" fontId="104" fillId="92" borderId="133" xfId="0" applyFont="1" applyFill="1" applyBorder="1" applyAlignment="1">
      <alignment vertical="center" wrapText="1"/>
    </xf>
    <xf numFmtId="0" fontId="268" fillId="28" borderId="310" xfId="0" applyFont="1" applyFill="1" applyBorder="1" applyAlignment="1">
      <alignment vertical="center" wrapText="1"/>
    </xf>
    <xf numFmtId="0" fontId="104" fillId="92" borderId="131" xfId="0" applyFont="1" applyFill="1" applyBorder="1" applyAlignment="1">
      <alignment vertical="center" wrapText="1"/>
    </xf>
    <xf numFmtId="0" fontId="268" fillId="28" borderId="350" xfId="0" applyFont="1" applyFill="1" applyBorder="1" applyAlignment="1">
      <alignment vertical="center" wrapText="1"/>
    </xf>
    <xf numFmtId="0" fontId="108" fillId="72" borderId="133" xfId="0" applyFont="1" applyFill="1" applyBorder="1" applyAlignment="1">
      <alignment vertical="center" wrapText="1"/>
    </xf>
    <xf numFmtId="0" fontId="104" fillId="92" borderId="310" xfId="0" applyFont="1" applyFill="1" applyBorder="1" applyAlignment="1">
      <alignment vertical="center" wrapText="1"/>
    </xf>
    <xf numFmtId="0" fontId="108" fillId="72" borderId="131" xfId="0" applyFont="1" applyFill="1" applyBorder="1" applyAlignment="1">
      <alignment vertical="center" wrapText="1"/>
    </xf>
    <xf numFmtId="0" fontId="104" fillId="92" borderId="350" xfId="0" applyFont="1" applyFill="1" applyBorder="1" applyAlignment="1">
      <alignment vertical="center" wrapText="1"/>
    </xf>
    <xf numFmtId="0" fontId="108" fillId="72" borderId="310" xfId="0" applyFont="1" applyFill="1" applyBorder="1" applyAlignment="1">
      <alignment vertical="center"/>
    </xf>
    <xf numFmtId="0" fontId="108" fillId="72" borderId="350" xfId="0" applyFont="1" applyFill="1" applyBorder="1" applyAlignment="1">
      <alignment vertical="center" wrapText="1"/>
    </xf>
    <xf numFmtId="0" fontId="268" fillId="2" borderId="310" xfId="0" applyFont="1" applyFill="1" applyBorder="1" applyAlignment="1">
      <alignment vertical="center"/>
    </xf>
    <xf numFmtId="0" fontId="268" fillId="94" borderId="310" xfId="0" applyFont="1" applyFill="1" applyBorder="1" applyAlignment="1">
      <alignment vertical="center"/>
    </xf>
    <xf numFmtId="0" fontId="291" fillId="94" borderId="310" xfId="0" applyFont="1" applyFill="1" applyBorder="1" applyAlignment="1">
      <alignment vertical="center"/>
    </xf>
    <xf numFmtId="0" fontId="103" fillId="40" borderId="61" xfId="0" applyFont="1" applyFill="1" applyBorder="1" applyAlignment="1">
      <alignment vertical="top" wrapText="1"/>
    </xf>
    <xf numFmtId="0" fontId="103" fillId="40" borderId="43" xfId="0" applyFont="1" applyFill="1" applyBorder="1" applyAlignment="1">
      <alignment vertical="top" wrapText="1"/>
    </xf>
    <xf numFmtId="0" fontId="47" fillId="18" borderId="15" xfId="0" applyFont="1" applyFill="1" applyBorder="1" applyAlignment="1">
      <alignment wrapText="1"/>
    </xf>
    <xf numFmtId="0" fontId="60" fillId="0" borderId="15" xfId="0" applyFont="1" applyBorder="1" applyAlignment="1">
      <alignment wrapText="1"/>
    </xf>
    <xf numFmtId="0" fontId="60" fillId="0" borderId="16" xfId="0" applyFont="1" applyBorder="1" applyAlignment="1">
      <alignment wrapText="1"/>
    </xf>
    <xf numFmtId="0" fontId="61" fillId="18" borderId="15" xfId="0" applyFont="1" applyFill="1" applyBorder="1" applyAlignment="1">
      <alignment wrapText="1"/>
    </xf>
    <xf numFmtId="0" fontId="270" fillId="23" borderId="0" xfId="2" applyFont="1" applyFill="1" applyAlignment="1">
      <alignment horizontal="center" vertical="center" wrapText="1"/>
    </xf>
    <xf numFmtId="0" fontId="365" fillId="45" borderId="28" xfId="0" applyFont="1" applyFill="1" applyBorder="1" applyAlignment="1">
      <alignment horizontal="center" vertical="center" wrapText="1"/>
    </xf>
    <xf numFmtId="0" fontId="103" fillId="45" borderId="61" xfId="0" applyFont="1" applyFill="1" applyBorder="1" applyAlignment="1">
      <alignment vertical="top" wrapText="1"/>
    </xf>
    <xf numFmtId="0" fontId="153" fillId="47" borderId="15" xfId="0" applyFont="1" applyFill="1" applyBorder="1" applyAlignment="1">
      <alignment horizontal="right" vertical="center" wrapText="1"/>
    </xf>
    <xf numFmtId="0" fontId="98" fillId="2" borderId="15" xfId="0" applyFont="1" applyFill="1" applyBorder="1" applyAlignment="1">
      <alignment horizontal="right" vertical="center" wrapText="1"/>
    </xf>
    <xf numFmtId="0" fontId="98" fillId="94" borderId="15" xfId="0" applyFont="1" applyFill="1" applyBorder="1" applyAlignment="1">
      <alignment horizontal="right" vertical="center" wrapText="1"/>
    </xf>
    <xf numFmtId="0" fontId="98" fillId="94" borderId="15" xfId="0" applyFont="1" applyFill="1" applyBorder="1" applyAlignment="1">
      <alignment wrapText="1"/>
    </xf>
    <xf numFmtId="0" fontId="98" fillId="94" borderId="15" xfId="0" applyFont="1" applyFill="1" applyBorder="1" applyAlignment="1">
      <alignment horizontal="right" vertical="top" wrapText="1"/>
    </xf>
    <xf numFmtId="0" fontId="334" fillId="2" borderId="15" xfId="0" applyFont="1" applyFill="1" applyBorder="1" applyAlignment="1">
      <alignment horizontal="right" vertical="center" wrapText="1"/>
    </xf>
    <xf numFmtId="0" fontId="334" fillId="94" borderId="15" xfId="0" applyFont="1" applyFill="1" applyBorder="1" applyAlignment="1">
      <alignment horizontal="right" vertical="top" wrapText="1"/>
    </xf>
    <xf numFmtId="0" fontId="58" fillId="45" borderId="15" xfId="0" applyFont="1" applyFill="1" applyBorder="1" applyAlignment="1">
      <alignment wrapText="1"/>
    </xf>
    <xf numFmtId="0" fontId="271" fillId="2" borderId="15" xfId="0" applyFont="1" applyFill="1" applyBorder="1" applyAlignment="1">
      <alignment wrapText="1"/>
    </xf>
    <xf numFmtId="0" fontId="334" fillId="94" borderId="17" xfId="0" applyFont="1" applyFill="1" applyBorder="1" applyAlignment="1">
      <alignment wrapText="1"/>
    </xf>
    <xf numFmtId="0" fontId="365" fillId="45" borderId="39" xfId="0" applyFont="1" applyFill="1" applyBorder="1" applyAlignment="1">
      <alignment horizontal="center" vertical="center" wrapText="1"/>
    </xf>
    <xf numFmtId="0" fontId="153" fillId="47" borderId="40" xfId="0" applyFont="1" applyFill="1" applyBorder="1" applyAlignment="1">
      <alignment vertical="center" wrapText="1"/>
    </xf>
    <xf numFmtId="0" fontId="98" fillId="94" borderId="40" xfId="0" applyFont="1" applyFill="1" applyBorder="1" applyAlignment="1">
      <alignment vertical="center" wrapText="1"/>
    </xf>
    <xf numFmtId="0" fontId="271" fillId="2" borderId="40" xfId="0" applyFont="1" applyFill="1" applyBorder="1" applyAlignment="1">
      <alignment vertical="center" wrapText="1"/>
    </xf>
    <xf numFmtId="0" fontId="271" fillId="94" borderId="40" xfId="0" applyFont="1" applyFill="1" applyBorder="1" applyAlignment="1">
      <alignment vertical="center" wrapText="1"/>
    </xf>
    <xf numFmtId="0" fontId="47" fillId="18" borderId="40" xfId="0" applyFont="1" applyFill="1" applyBorder="1" applyAlignment="1">
      <alignment wrapText="1"/>
    </xf>
    <xf numFmtId="0" fontId="153" fillId="47" borderId="40" xfId="0" applyFont="1" applyFill="1" applyBorder="1" applyAlignment="1">
      <alignment wrapText="1"/>
    </xf>
    <xf numFmtId="0" fontId="334" fillId="2" borderId="40" xfId="0" applyFont="1" applyFill="1" applyBorder="1" applyAlignment="1">
      <alignment wrapText="1"/>
    </xf>
    <xf numFmtId="0" fontId="58" fillId="45" borderId="40" xfId="0" applyFont="1" applyFill="1" applyBorder="1" applyAlignment="1">
      <alignment wrapText="1"/>
    </xf>
    <xf numFmtId="0" fontId="334" fillId="94" borderId="40" xfId="0" applyFont="1" applyFill="1" applyBorder="1" applyAlignment="1">
      <alignment wrapText="1"/>
    </xf>
    <xf numFmtId="0" fontId="271" fillId="2" borderId="40" xfId="0" applyFont="1" applyFill="1" applyBorder="1" applyAlignment="1">
      <alignment wrapText="1"/>
    </xf>
    <xf numFmtId="0" fontId="334" fillId="94" borderId="41" xfId="0" applyFont="1" applyFill="1" applyBorder="1" applyAlignment="1">
      <alignment wrapText="1"/>
    </xf>
    <xf numFmtId="0" fontId="103" fillId="45" borderId="49" xfId="0" applyFont="1" applyFill="1" applyBorder="1" applyAlignment="1">
      <alignment vertical="top" wrapText="1"/>
    </xf>
    <xf numFmtId="0" fontId="268" fillId="2" borderId="49" xfId="0" applyFont="1" applyFill="1" applyBorder="1" applyAlignment="1">
      <alignment horizontal="left" vertical="top" wrapText="1"/>
    </xf>
    <xf numFmtId="0" fontId="268" fillId="94" borderId="49" xfId="0" applyFont="1" applyFill="1" applyBorder="1" applyAlignment="1">
      <alignment horizontal="left" vertical="top" wrapText="1"/>
    </xf>
    <xf numFmtId="0" fontId="268" fillId="2" borderId="49" xfId="0" applyFont="1" applyFill="1" applyBorder="1" applyAlignment="1">
      <alignment horizontal="right" vertical="center" wrapText="1"/>
    </xf>
    <xf numFmtId="0" fontId="58" fillId="45" borderId="49" xfId="0" applyFont="1" applyFill="1" applyBorder="1" applyAlignment="1">
      <alignment wrapText="1"/>
    </xf>
    <xf numFmtId="0" fontId="334" fillId="94" borderId="49" xfId="0" applyFont="1" applyFill="1" applyBorder="1" applyAlignment="1">
      <alignment wrapText="1"/>
    </xf>
    <xf numFmtId="0" fontId="334" fillId="2" borderId="49" xfId="0" applyFont="1" applyFill="1" applyBorder="1" applyAlignment="1">
      <alignment wrapText="1"/>
    </xf>
    <xf numFmtId="0" fontId="271" fillId="2" borderId="49" xfId="0" applyFont="1" applyFill="1" applyBorder="1" applyAlignment="1">
      <alignment wrapText="1"/>
    </xf>
    <xf numFmtId="0" fontId="334" fillId="94" borderId="49" xfId="0" applyFont="1" applyFill="1" applyBorder="1" applyAlignment="1">
      <alignment horizontal="right" wrapText="1"/>
    </xf>
    <xf numFmtId="0" fontId="58" fillId="45" borderId="49" xfId="0" applyFont="1" applyFill="1" applyBorder="1" applyAlignment="1">
      <alignment horizontal="right" wrapText="1"/>
    </xf>
    <xf numFmtId="0" fontId="153" fillId="47" borderId="49" xfId="0" applyFont="1" applyFill="1" applyBorder="1" applyAlignment="1">
      <alignment horizontal="right" wrapText="1"/>
    </xf>
    <xf numFmtId="0" fontId="334" fillId="2" borderId="49" xfId="0" applyFont="1" applyFill="1" applyBorder="1" applyAlignment="1">
      <alignment horizontal="right" wrapText="1"/>
    </xf>
    <xf numFmtId="182" fontId="334" fillId="94" borderId="49" xfId="0" applyNumberFormat="1" applyFont="1" applyFill="1" applyBorder="1" applyAlignment="1">
      <alignment horizontal="right" wrapText="1"/>
    </xf>
    <xf numFmtId="182" fontId="334" fillId="2" borderId="49" xfId="0" applyNumberFormat="1" applyFont="1" applyFill="1" applyBorder="1" applyAlignment="1">
      <alignment horizontal="right" wrapText="1"/>
    </xf>
    <xf numFmtId="182" fontId="271" fillId="94" borderId="49" xfId="0" applyNumberFormat="1" applyFont="1" applyFill="1" applyBorder="1" applyAlignment="1">
      <alignment horizontal="center" wrapText="1"/>
    </xf>
    <xf numFmtId="182" fontId="271" fillId="2" borderId="49" xfId="0" applyNumberFormat="1" applyFont="1" applyFill="1" applyBorder="1" applyAlignment="1">
      <alignment horizontal="center" wrapText="1"/>
    </xf>
    <xf numFmtId="0" fontId="271" fillId="94" borderId="56" xfId="0" applyFont="1" applyFill="1" applyBorder="1" applyAlignment="1">
      <alignment wrapText="1"/>
    </xf>
    <xf numFmtId="182" fontId="271" fillId="94" borderId="52" xfId="0" applyNumberFormat="1" applyFont="1" applyFill="1" applyBorder="1" applyAlignment="1">
      <alignment horizontal="center" wrapText="1"/>
    </xf>
    <xf numFmtId="0" fontId="334" fillId="94" borderId="53" xfId="0" applyFont="1" applyFill="1" applyBorder="1" applyAlignment="1">
      <alignment wrapText="1"/>
    </xf>
    <xf numFmtId="0" fontId="103" fillId="45" borderId="133" xfId="0" applyFont="1" applyFill="1" applyBorder="1" applyAlignment="1">
      <alignment vertical="top" wrapText="1"/>
    </xf>
    <xf numFmtId="0" fontId="103" fillId="45" borderId="131" xfId="0" applyFont="1" applyFill="1" applyBorder="1" applyAlignment="1">
      <alignment vertical="top" wrapText="1"/>
    </xf>
    <xf numFmtId="0" fontId="365" fillId="45" borderId="350" xfId="0" applyFont="1" applyFill="1" applyBorder="1" applyAlignment="1">
      <alignment horizontal="center" vertical="center" wrapText="1"/>
    </xf>
    <xf numFmtId="0" fontId="103" fillId="45" borderId="310" xfId="0" applyFont="1" applyFill="1" applyBorder="1" applyAlignment="1">
      <alignment vertical="center" wrapText="1"/>
    </xf>
    <xf numFmtId="0" fontId="103" fillId="45" borderId="350" xfId="0" applyFont="1" applyFill="1" applyBorder="1" applyAlignment="1">
      <alignment vertical="top" wrapText="1"/>
    </xf>
    <xf numFmtId="10" fontId="268" fillId="94" borderId="133" xfId="0" applyNumberFormat="1" applyFont="1" applyFill="1" applyBorder="1" applyAlignment="1">
      <alignment horizontal="center" vertical="center" wrapText="1"/>
    </xf>
    <xf numFmtId="0" fontId="367" fillId="47" borderId="350" xfId="0" applyFont="1" applyFill="1" applyBorder="1" applyAlignment="1">
      <alignment horizontal="center" vertical="center" wrapText="1"/>
    </xf>
    <xf numFmtId="0" fontId="268" fillId="2" borderId="133" xfId="0" applyFont="1" applyFill="1" applyBorder="1" applyAlignment="1">
      <alignment horizontal="center" vertical="top" wrapText="1"/>
    </xf>
    <xf numFmtId="0" fontId="268" fillId="94" borderId="310" xfId="0" applyFont="1" applyFill="1" applyBorder="1" applyAlignment="1">
      <alignment horizontal="left" vertical="center" wrapText="1"/>
    </xf>
    <xf numFmtId="0" fontId="268" fillId="94" borderId="350" xfId="0" applyFont="1" applyFill="1" applyBorder="1" applyAlignment="1">
      <alignment horizontal="left" vertical="center" wrapText="1"/>
    </xf>
    <xf numFmtId="0" fontId="268" fillId="94" borderId="133" xfId="0" applyFont="1" applyFill="1" applyBorder="1" applyAlignment="1">
      <alignment horizontal="center" vertical="center" wrapText="1"/>
    </xf>
    <xf numFmtId="0" fontId="268" fillId="2" borderId="310" xfId="0" applyFont="1" applyFill="1" applyBorder="1" applyAlignment="1">
      <alignment horizontal="left" vertical="center" wrapText="1"/>
    </xf>
    <xf numFmtId="0" fontId="268" fillId="2" borderId="350" xfId="0" applyFont="1" applyFill="1" applyBorder="1" applyAlignment="1">
      <alignment horizontal="left" vertical="center" wrapText="1"/>
    </xf>
    <xf numFmtId="0" fontId="268" fillId="2" borderId="133" xfId="0" applyFont="1" applyFill="1" applyBorder="1" applyAlignment="1">
      <alignment horizontal="center" vertical="center" wrapText="1"/>
    </xf>
    <xf numFmtId="0" fontId="268" fillId="94" borderId="133" xfId="0" applyFont="1" applyFill="1" applyBorder="1" applyAlignment="1">
      <alignment horizontal="center" vertical="top" wrapText="1"/>
    </xf>
    <xf numFmtId="0" fontId="268" fillId="2" borderId="350" xfId="0" applyFont="1" applyFill="1" applyBorder="1" applyAlignment="1">
      <alignment vertical="center" wrapText="1"/>
    </xf>
    <xf numFmtId="0" fontId="291" fillId="2" borderId="131" xfId="0" applyFont="1" applyFill="1" applyBorder="1" applyAlignment="1">
      <alignment horizontal="center" vertical="top" wrapText="1"/>
    </xf>
    <xf numFmtId="0" fontId="291" fillId="94" borderId="131" xfId="0" applyFont="1" applyFill="1" applyBorder="1" applyAlignment="1">
      <alignment horizontal="center" vertical="top" wrapText="1"/>
    </xf>
    <xf numFmtId="0" fontId="268" fillId="2" borderId="350" xfId="0" applyFont="1" applyFill="1" applyBorder="1" applyAlignment="1">
      <alignment horizontal="left" vertical="top" wrapText="1"/>
    </xf>
    <xf numFmtId="0" fontId="268" fillId="94" borderId="350" xfId="0" applyFont="1" applyFill="1" applyBorder="1" applyAlignment="1">
      <alignment horizontal="left" vertical="top" wrapText="1"/>
    </xf>
    <xf numFmtId="0" fontId="268" fillId="2" borderId="131" xfId="0" applyFont="1" applyFill="1" applyBorder="1" applyAlignment="1">
      <alignment horizontal="left" vertical="top" wrapText="1"/>
    </xf>
    <xf numFmtId="0" fontId="268" fillId="2" borderId="310" xfId="0" applyFont="1" applyFill="1" applyBorder="1" applyAlignment="1">
      <alignment horizontal="right" vertical="center" wrapText="1"/>
    </xf>
    <xf numFmtId="0" fontId="268" fillId="94" borderId="131" xfId="0" applyFont="1" applyFill="1" applyBorder="1" applyAlignment="1">
      <alignment horizontal="left" vertical="top" wrapText="1"/>
    </xf>
    <xf numFmtId="0" fontId="291" fillId="2" borderId="350" xfId="0" applyFont="1" applyFill="1" applyBorder="1" applyAlignment="1">
      <alignment wrapText="1"/>
    </xf>
    <xf numFmtId="0" fontId="268" fillId="94" borderId="310" xfId="0" applyFont="1" applyFill="1" applyBorder="1" applyAlignment="1">
      <alignment horizontal="right" vertical="center" wrapText="1"/>
    </xf>
    <xf numFmtId="0" fontId="291" fillId="2" borderId="131" xfId="0" applyFont="1" applyFill="1" applyBorder="1" applyAlignment="1">
      <alignment horizontal="left" vertical="top" wrapText="1"/>
    </xf>
    <xf numFmtId="0" fontId="291" fillId="94" borderId="350" xfId="0" applyFont="1" applyFill="1" applyBorder="1" applyAlignment="1">
      <alignment wrapText="1"/>
    </xf>
    <xf numFmtId="0" fontId="291" fillId="94" borderId="131" xfId="0" applyFont="1" applyFill="1" applyBorder="1" applyAlignment="1">
      <alignment horizontal="left" vertical="top" wrapText="1"/>
    </xf>
    <xf numFmtId="0" fontId="47" fillId="2" borderId="131" xfId="0" applyFont="1" applyFill="1" applyBorder="1" applyAlignment="1">
      <alignment wrapText="1"/>
    </xf>
    <xf numFmtId="0" fontId="47" fillId="2" borderId="310" xfId="0" applyFont="1" applyFill="1" applyBorder="1" applyAlignment="1">
      <alignment wrapText="1"/>
    </xf>
    <xf numFmtId="0" fontId="47" fillId="2" borderId="350" xfId="0" applyFont="1" applyFill="1" applyBorder="1" applyAlignment="1">
      <alignment wrapText="1"/>
    </xf>
    <xf numFmtId="0" fontId="268" fillId="2" borderId="133" xfId="0" applyFont="1" applyFill="1" applyBorder="1" applyAlignment="1">
      <alignment horizontal="right" vertical="center" wrapText="1"/>
    </xf>
    <xf numFmtId="0" fontId="271" fillId="2" borderId="131" xfId="0" applyFont="1" applyFill="1" applyBorder="1" applyAlignment="1">
      <alignment horizontal="center" vertical="center" wrapText="1"/>
    </xf>
    <xf numFmtId="0" fontId="153" fillId="47" borderId="350" xfId="0" applyFont="1" applyFill="1" applyBorder="1" applyAlignment="1">
      <alignment wrapText="1"/>
    </xf>
    <xf numFmtId="0" fontId="334" fillId="2" borderId="350" xfId="0" applyFont="1" applyFill="1" applyBorder="1" applyAlignment="1">
      <alignment wrapText="1"/>
    </xf>
    <xf numFmtId="0" fontId="58" fillId="45" borderId="133" xfId="0" applyFont="1" applyFill="1" applyBorder="1" applyAlignment="1">
      <alignment wrapText="1"/>
    </xf>
    <xf numFmtId="0" fontId="58" fillId="45" borderId="131" xfId="0" applyFont="1" applyFill="1" applyBorder="1" applyAlignment="1">
      <alignment wrapText="1"/>
    </xf>
    <xf numFmtId="0" fontId="58" fillId="45" borderId="310" xfId="0" applyFont="1" applyFill="1" applyBorder="1" applyAlignment="1">
      <alignment wrapText="1"/>
    </xf>
    <xf numFmtId="0" fontId="58" fillId="45" borderId="350" xfId="0" applyFont="1" applyFill="1" applyBorder="1" applyAlignment="1">
      <alignment wrapText="1"/>
    </xf>
    <xf numFmtId="0" fontId="334" fillId="94" borderId="133" xfId="0" applyFont="1" applyFill="1" applyBorder="1" applyAlignment="1">
      <alignment wrapText="1"/>
    </xf>
    <xf numFmtId="0" fontId="334" fillId="94" borderId="131" xfId="0" applyFont="1" applyFill="1" applyBorder="1" applyAlignment="1">
      <alignment wrapText="1"/>
    </xf>
    <xf numFmtId="0" fontId="334" fillId="2" borderId="133" xfId="0" applyFont="1" applyFill="1" applyBorder="1" applyAlignment="1">
      <alignment wrapText="1"/>
    </xf>
    <xf numFmtId="0" fontId="334" fillId="94" borderId="310" xfId="0" applyFont="1" applyFill="1" applyBorder="1" applyAlignment="1">
      <alignment wrapText="1"/>
    </xf>
    <xf numFmtId="0" fontId="334" fillId="2" borderId="131" xfId="0" applyFont="1" applyFill="1" applyBorder="1" applyAlignment="1">
      <alignment wrapText="1"/>
    </xf>
    <xf numFmtId="0" fontId="334" fillId="94" borderId="350" xfId="0" applyFont="1" applyFill="1" applyBorder="1" applyAlignment="1">
      <alignment wrapText="1"/>
    </xf>
    <xf numFmtId="0" fontId="334" fillId="2" borderId="310" xfId="0" applyFont="1" applyFill="1" applyBorder="1" applyAlignment="1">
      <alignment wrapText="1"/>
    </xf>
    <xf numFmtId="0" fontId="271" fillId="2" borderId="133" xfId="0" applyFont="1" applyFill="1" applyBorder="1" applyAlignment="1">
      <alignment wrapText="1"/>
    </xf>
    <xf numFmtId="0" fontId="271" fillId="2" borderId="131" xfId="0" applyFont="1" applyFill="1" applyBorder="1" applyAlignment="1">
      <alignment wrapText="1"/>
    </xf>
    <xf numFmtId="0" fontId="334" fillId="94" borderId="133" xfId="0" applyFont="1" applyFill="1" applyBorder="1" applyAlignment="1">
      <alignment horizontal="right" wrapText="1"/>
    </xf>
    <xf numFmtId="0" fontId="271" fillId="2" borderId="310" xfId="0" applyFont="1" applyFill="1" applyBorder="1" applyAlignment="1">
      <alignment wrapText="1"/>
    </xf>
    <xf numFmtId="9" fontId="334" fillId="94" borderId="131" xfId="0" applyNumberFormat="1" applyFont="1" applyFill="1" applyBorder="1" applyAlignment="1">
      <alignment horizontal="right" wrapText="1"/>
    </xf>
    <xf numFmtId="0" fontId="271" fillId="2" borderId="350" xfId="0" applyFont="1" applyFill="1" applyBorder="1" applyAlignment="1">
      <alignment wrapText="1"/>
    </xf>
    <xf numFmtId="0" fontId="58" fillId="45" borderId="133" xfId="0" applyFont="1" applyFill="1" applyBorder="1" applyAlignment="1">
      <alignment horizontal="right" wrapText="1"/>
    </xf>
    <xf numFmtId="0" fontId="334" fillId="94" borderId="310" xfId="0" applyFont="1" applyFill="1" applyBorder="1" applyAlignment="1">
      <alignment horizontal="right" wrapText="1"/>
    </xf>
    <xf numFmtId="9" fontId="58" fillId="45" borderId="131" xfId="0" applyNumberFormat="1" applyFont="1" applyFill="1" applyBorder="1" applyAlignment="1">
      <alignment horizontal="right" wrapText="1"/>
    </xf>
    <xf numFmtId="0" fontId="153" fillId="47" borderId="133" xfId="0" applyFont="1" applyFill="1" applyBorder="1" applyAlignment="1">
      <alignment horizontal="right" wrapText="1"/>
    </xf>
    <xf numFmtId="0" fontId="58" fillId="45" borderId="310" xfId="0" applyFont="1" applyFill="1" applyBorder="1" applyAlignment="1">
      <alignment horizontal="right" wrapText="1"/>
    </xf>
    <xf numFmtId="9" fontId="153" fillId="47" borderId="131" xfId="0" applyNumberFormat="1" applyFont="1" applyFill="1" applyBorder="1" applyAlignment="1">
      <alignment horizontal="right" wrapText="1"/>
    </xf>
    <xf numFmtId="0" fontId="334" fillId="2" borderId="133" xfId="0" applyFont="1" applyFill="1" applyBorder="1" applyAlignment="1">
      <alignment horizontal="right" wrapText="1"/>
    </xf>
    <xf numFmtId="0" fontId="153" fillId="47" borderId="310" xfId="0" applyFont="1" applyFill="1" applyBorder="1" applyAlignment="1">
      <alignment horizontal="right" wrapText="1"/>
    </xf>
    <xf numFmtId="9" fontId="334" fillId="2" borderId="131" xfId="0" applyNumberFormat="1" applyFont="1" applyFill="1" applyBorder="1" applyAlignment="1">
      <alignment horizontal="right" wrapText="1"/>
    </xf>
    <xf numFmtId="0" fontId="334" fillId="2" borderId="310" xfId="0" applyFont="1" applyFill="1" applyBorder="1" applyAlignment="1">
      <alignment horizontal="right" wrapText="1"/>
    </xf>
    <xf numFmtId="0" fontId="153" fillId="47" borderId="133" xfId="0" applyFont="1" applyFill="1" applyBorder="1" applyAlignment="1">
      <alignment horizontal="center" wrapText="1"/>
    </xf>
    <xf numFmtId="0" fontId="153" fillId="47" borderId="131" xfId="0" applyFont="1" applyFill="1" applyBorder="1" applyAlignment="1">
      <alignment wrapText="1"/>
    </xf>
    <xf numFmtId="0" fontId="334" fillId="94" borderId="133" xfId="0" applyFont="1" applyFill="1" applyBorder="1" applyAlignment="1">
      <alignment horizontal="center" wrapText="1"/>
    </xf>
    <xf numFmtId="0" fontId="153" fillId="47" borderId="310" xfId="0" applyFont="1" applyFill="1" applyBorder="1" applyAlignment="1">
      <alignment wrapText="1"/>
    </xf>
    <xf numFmtId="9" fontId="334" fillId="2" borderId="133" xfId="0" applyNumberFormat="1" applyFont="1" applyFill="1" applyBorder="1" applyAlignment="1">
      <alignment horizontal="right" wrapText="1"/>
    </xf>
    <xf numFmtId="0" fontId="271" fillId="94" borderId="131" xfId="0" applyFont="1" applyFill="1" applyBorder="1" applyAlignment="1">
      <alignment horizontal="left" wrapText="1"/>
    </xf>
    <xf numFmtId="0" fontId="271" fillId="2" borderId="131" xfId="0" applyFont="1" applyFill="1" applyBorder="1" applyAlignment="1">
      <alignment horizontal="left" wrapText="1"/>
    </xf>
    <xf numFmtId="0" fontId="153" fillId="47" borderId="133" xfId="0" applyFont="1" applyFill="1" applyBorder="1" applyAlignment="1">
      <alignment wrapText="1"/>
    </xf>
    <xf numFmtId="0" fontId="334" fillId="94" borderId="131" xfId="0" applyFont="1" applyFill="1" applyBorder="1" applyAlignment="1">
      <alignment horizontal="center" wrapText="1"/>
    </xf>
    <xf numFmtId="0" fontId="271" fillId="94" borderId="310" xfId="0" applyFont="1" applyFill="1" applyBorder="1" applyAlignment="1">
      <alignment wrapText="1"/>
    </xf>
    <xf numFmtId="0" fontId="334" fillId="2" borderId="131" xfId="0" applyFont="1" applyFill="1" applyBorder="1" applyAlignment="1">
      <alignment horizontal="center" wrapText="1"/>
    </xf>
    <xf numFmtId="0" fontId="334" fillId="94" borderId="602" xfId="0" applyFont="1" applyFill="1" applyBorder="1" applyAlignment="1">
      <alignment wrapText="1"/>
    </xf>
    <xf numFmtId="0" fontId="271" fillId="94" borderId="589" xfId="0" applyFont="1" applyFill="1" applyBorder="1" applyAlignment="1">
      <alignment horizontal="center" wrapText="1"/>
    </xf>
    <xf numFmtId="0" fontId="47" fillId="14" borderId="133" xfId="0" applyFont="1" applyFill="1" applyBorder="1" applyAlignment="1">
      <alignment wrapText="1"/>
    </xf>
    <xf numFmtId="0" fontId="368" fillId="45" borderId="49" xfId="0" applyFont="1" applyFill="1" applyBorder="1" applyAlignment="1">
      <alignment horizontal="center" vertical="center" wrapText="1"/>
    </xf>
    <xf numFmtId="0" fontId="368" fillId="45" borderId="131" xfId="0" applyFont="1" applyFill="1" applyBorder="1" applyAlignment="1">
      <alignment horizontal="center" vertical="center" wrapText="1"/>
    </xf>
    <xf numFmtId="0" fontId="369" fillId="95" borderId="350" xfId="0" applyFont="1" applyFill="1" applyBorder="1" applyAlignment="1">
      <alignment vertical="center" wrapText="1"/>
    </xf>
    <xf numFmtId="0" fontId="58" fillId="45" borderId="310" xfId="0" applyFont="1" applyFill="1" applyBorder="1" applyAlignment="1">
      <alignment horizontal="left" vertical="center" wrapText="1"/>
    </xf>
    <xf numFmtId="0" fontId="58" fillId="45" borderId="133" xfId="0" applyFont="1" applyFill="1" applyBorder="1" applyAlignment="1">
      <alignment horizontal="left" vertical="center" wrapText="1"/>
    </xf>
    <xf numFmtId="0" fontId="58" fillId="45" borderId="49" xfId="0" applyFont="1" applyFill="1" applyBorder="1" applyAlignment="1">
      <alignment horizontal="left" vertical="center" wrapText="1"/>
    </xf>
    <xf numFmtId="0" fontId="58" fillId="45" borderId="131" xfId="0" applyFont="1" applyFill="1" applyBorder="1" applyAlignment="1">
      <alignment horizontal="left" vertical="center" wrapText="1"/>
    </xf>
    <xf numFmtId="0" fontId="58" fillId="45" borderId="350" xfId="0" applyFont="1" applyFill="1" applyBorder="1" applyAlignment="1">
      <alignment horizontal="left" vertical="center" wrapText="1"/>
    </xf>
    <xf numFmtId="0" fontId="58" fillId="45" borderId="61" xfId="0" applyFont="1" applyFill="1" applyBorder="1" applyAlignment="1">
      <alignment horizontal="left" vertical="center" wrapText="1"/>
    </xf>
    <xf numFmtId="0" fontId="58" fillId="45" borderId="43" xfId="0" applyFont="1" applyFill="1" applyBorder="1" applyAlignment="1">
      <alignment horizontal="left" vertical="center" wrapText="1"/>
    </xf>
    <xf numFmtId="0" fontId="103" fillId="45" borderId="310" xfId="0" applyFont="1" applyFill="1" applyBorder="1" applyAlignment="1">
      <alignment horizontal="center" vertical="center" wrapText="1"/>
    </xf>
    <xf numFmtId="0" fontId="103" fillId="45" borderId="133" xfId="0" applyFont="1" applyFill="1" applyBorder="1" applyAlignment="1">
      <alignment horizontal="center" vertical="top" wrapText="1"/>
    </xf>
    <xf numFmtId="0" fontId="103" fillId="45" borderId="49" xfId="0" applyFont="1" applyFill="1" applyBorder="1" applyAlignment="1">
      <alignment horizontal="center" vertical="top" wrapText="1"/>
    </xf>
    <xf numFmtId="0" fontId="103" fillId="45" borderId="131" xfId="0" applyFont="1" applyFill="1" applyBorder="1" applyAlignment="1">
      <alignment horizontal="center" vertical="top" wrapText="1"/>
    </xf>
    <xf numFmtId="0" fontId="103" fillId="45" borderId="350" xfId="0" applyFont="1" applyFill="1" applyBorder="1" applyAlignment="1">
      <alignment horizontal="center" vertical="top" wrapText="1"/>
    </xf>
    <xf numFmtId="0" fontId="103" fillId="45" borderId="61" xfId="0" applyFont="1" applyFill="1" applyBorder="1" applyAlignment="1">
      <alignment horizontal="center" vertical="top" wrapText="1"/>
    </xf>
    <xf numFmtId="0" fontId="103" fillId="40" borderId="61" xfId="0" applyFont="1" applyFill="1" applyBorder="1" applyAlignment="1">
      <alignment horizontal="center" vertical="top" wrapText="1"/>
    </xf>
    <xf numFmtId="0" fontId="103" fillId="40" borderId="43" xfId="0" applyFont="1" applyFill="1" applyBorder="1" applyAlignment="1">
      <alignment horizontal="center" vertical="top" wrapText="1"/>
    </xf>
    <xf numFmtId="0" fontId="58" fillId="45" borderId="310" xfId="0" applyFont="1" applyFill="1" applyBorder="1" applyAlignment="1">
      <alignment horizontal="center" vertical="top" wrapText="1"/>
    </xf>
    <xf numFmtId="0" fontId="58" fillId="45" borderId="133" xfId="0" applyFont="1" applyFill="1" applyBorder="1" applyAlignment="1">
      <alignment horizontal="center" vertical="top" wrapText="1"/>
    </xf>
    <xf numFmtId="0" fontId="58" fillId="45" borderId="49" xfId="0" applyFont="1" applyFill="1" applyBorder="1" applyAlignment="1">
      <alignment horizontal="center" vertical="top" wrapText="1"/>
    </xf>
    <xf numFmtId="0" fontId="58" fillId="45" borderId="131" xfId="0" applyFont="1" applyFill="1" applyBorder="1" applyAlignment="1">
      <alignment horizontal="center" vertical="top" wrapText="1"/>
    </xf>
    <xf numFmtId="0" fontId="58" fillId="45" borderId="350" xfId="0" applyFont="1" applyFill="1" applyBorder="1" applyAlignment="1">
      <alignment horizontal="center" vertical="top" wrapText="1"/>
    </xf>
    <xf numFmtId="0" fontId="58" fillId="45" borderId="62" xfId="0" applyFont="1" applyFill="1" applyBorder="1" applyAlignment="1">
      <alignment horizontal="center" vertical="top" wrapText="1"/>
    </xf>
    <xf numFmtId="0" fontId="58" fillId="22" borderId="62" xfId="0" applyFont="1" applyFill="1" applyBorder="1" applyAlignment="1">
      <alignment horizontal="center" vertical="top" wrapText="1"/>
    </xf>
    <xf numFmtId="0" fontId="58" fillId="22" borderId="63" xfId="0" applyFont="1" applyFill="1" applyBorder="1" applyAlignment="1">
      <alignment horizontal="center" vertical="top" wrapText="1"/>
    </xf>
    <xf numFmtId="0" fontId="58" fillId="45" borderId="64" xfId="0" applyFont="1" applyFill="1" applyBorder="1" applyAlignment="1">
      <alignment horizontal="center" vertical="top" wrapText="1"/>
    </xf>
    <xf numFmtId="0" fontId="58" fillId="22" borderId="64" xfId="0" applyFont="1" applyFill="1" applyBorder="1" applyAlignment="1">
      <alignment horizontal="center" vertical="top" wrapText="1"/>
    </xf>
    <xf numFmtId="0" fontId="58" fillId="22" borderId="65" xfId="0" applyFont="1" applyFill="1" applyBorder="1" applyAlignment="1">
      <alignment horizontal="center" vertical="top" wrapText="1"/>
    </xf>
    <xf numFmtId="0" fontId="58" fillId="45" borderId="61" xfId="0" applyFont="1" applyFill="1" applyBorder="1" applyAlignment="1">
      <alignment horizontal="center" vertical="top" wrapText="1"/>
    </xf>
    <xf numFmtId="0" fontId="58" fillId="22" borderId="61" xfId="0" applyFont="1" applyFill="1" applyBorder="1" applyAlignment="1">
      <alignment horizontal="center" vertical="top" wrapText="1"/>
    </xf>
    <xf numFmtId="0" fontId="58" fillId="22" borderId="43" xfId="0" applyFont="1" applyFill="1" applyBorder="1" applyAlignment="1">
      <alignment horizontal="center" vertical="top" wrapText="1"/>
    </xf>
    <xf numFmtId="0" fontId="153" fillId="47" borderId="310" xfId="0" applyFont="1" applyFill="1" applyBorder="1" applyAlignment="1">
      <alignment horizontal="left" vertical="top" wrapText="1"/>
    </xf>
    <xf numFmtId="0" fontId="153" fillId="47" borderId="133" xfId="0" applyFont="1" applyFill="1" applyBorder="1" applyAlignment="1">
      <alignment horizontal="left" vertical="top" wrapText="1"/>
    </xf>
    <xf numFmtId="0" fontId="153" fillId="47" borderId="49" xfId="0" applyFont="1" applyFill="1" applyBorder="1" applyAlignment="1">
      <alignment horizontal="left" vertical="top" wrapText="1"/>
    </xf>
    <xf numFmtId="0" fontId="153" fillId="47" borderId="131" xfId="0" applyFont="1" applyFill="1" applyBorder="1" applyAlignment="1">
      <alignment horizontal="left" vertical="top" wrapText="1"/>
    </xf>
    <xf numFmtId="0" fontId="153" fillId="47" borderId="350" xfId="0" applyFont="1" applyFill="1" applyBorder="1" applyAlignment="1">
      <alignment horizontal="left" vertical="top" wrapText="1"/>
    </xf>
    <xf numFmtId="0" fontId="153" fillId="47" borderId="61" xfId="0" applyFont="1" applyFill="1" applyBorder="1" applyAlignment="1">
      <alignment horizontal="left" vertical="top" wrapText="1"/>
    </xf>
    <xf numFmtId="0" fontId="68" fillId="14" borderId="61" xfId="0" applyFont="1" applyFill="1" applyBorder="1" applyAlignment="1">
      <alignment horizontal="left" vertical="top" wrapText="1"/>
    </xf>
    <xf numFmtId="0" fontId="68" fillId="14" borderId="43" xfId="0" applyFont="1" applyFill="1" applyBorder="1" applyAlignment="1">
      <alignment horizontal="left" vertical="top" wrapText="1"/>
    </xf>
    <xf numFmtId="0" fontId="271" fillId="94" borderId="310" xfId="0" applyFont="1" applyFill="1" applyBorder="1" applyAlignment="1">
      <alignment horizontal="left" vertical="top" wrapText="1"/>
    </xf>
    <xf numFmtId="0" fontId="271" fillId="94" borderId="133" xfId="0" applyFont="1" applyFill="1" applyBorder="1" applyAlignment="1">
      <alignment horizontal="left" vertical="top" wrapText="1"/>
    </xf>
    <xf numFmtId="0" fontId="271" fillId="94" borderId="49" xfId="0" applyFont="1" applyFill="1" applyBorder="1" applyAlignment="1">
      <alignment horizontal="left" vertical="top" wrapText="1"/>
    </xf>
    <xf numFmtId="0" fontId="271" fillId="94" borderId="131" xfId="0" applyFont="1" applyFill="1" applyBorder="1" applyAlignment="1">
      <alignment horizontal="left" vertical="top" wrapText="1"/>
    </xf>
    <xf numFmtId="0" fontId="271" fillId="94" borderId="350" xfId="0" applyFont="1" applyFill="1" applyBorder="1" applyAlignment="1">
      <alignment horizontal="left" vertical="top" wrapText="1"/>
    </xf>
    <xf numFmtId="0" fontId="271" fillId="94" borderId="61" xfId="0" applyFont="1" applyFill="1" applyBorder="1" applyAlignment="1">
      <alignment horizontal="left" vertical="top" wrapText="1"/>
    </xf>
    <xf numFmtId="0" fontId="363" fillId="53" borderId="61" xfId="0" applyFont="1" applyFill="1" applyBorder="1" applyAlignment="1">
      <alignment horizontal="left" vertical="top" wrapText="1"/>
    </xf>
    <xf numFmtId="0" fontId="363" fillId="53" borderId="43" xfId="0" applyFont="1" applyFill="1" applyBorder="1" applyAlignment="1">
      <alignment horizontal="left" vertical="top" wrapText="1"/>
    </xf>
    <xf numFmtId="0" fontId="271" fillId="94" borderId="310" xfId="0" applyFont="1" applyFill="1" applyBorder="1" applyAlignment="1">
      <alignment horizontal="left" vertical="center" wrapText="1"/>
    </xf>
    <xf numFmtId="0" fontId="271" fillId="94" borderId="133" xfId="0" applyFont="1" applyFill="1" applyBorder="1" applyAlignment="1">
      <alignment horizontal="left" vertical="center" wrapText="1"/>
    </xf>
    <xf numFmtId="0" fontId="271" fillId="94" borderId="49" xfId="0" applyFont="1" applyFill="1" applyBorder="1" applyAlignment="1">
      <alignment horizontal="left" vertical="center" wrapText="1"/>
    </xf>
    <xf numFmtId="0" fontId="271" fillId="94" borderId="131" xfId="0" applyFont="1" applyFill="1" applyBorder="1" applyAlignment="1">
      <alignment horizontal="left" vertical="center" wrapText="1"/>
    </xf>
    <xf numFmtId="0" fontId="271" fillId="94" borderId="350" xfId="0" applyFont="1" applyFill="1" applyBorder="1" applyAlignment="1">
      <alignment horizontal="left" vertical="center" wrapText="1"/>
    </xf>
    <xf numFmtId="0" fontId="271" fillId="94" borderId="61" xfId="0" applyFont="1" applyFill="1" applyBorder="1" applyAlignment="1">
      <alignment horizontal="left" vertical="center" wrapText="1"/>
    </xf>
    <xf numFmtId="0" fontId="362" fillId="45" borderId="309" xfId="2" applyFont="1" applyFill="1" applyBorder="1" applyAlignment="1">
      <alignment horizontal="center" vertical="center" wrapText="1"/>
    </xf>
    <xf numFmtId="0" fontId="362" fillId="45" borderId="440" xfId="2" applyFont="1" applyFill="1" applyBorder="1" applyAlignment="1">
      <alignment horizontal="center" vertical="center" wrapText="1"/>
    </xf>
    <xf numFmtId="0" fontId="362" fillId="45" borderId="58" xfId="2" applyFont="1" applyFill="1" applyBorder="1" applyAlignment="1">
      <alignment horizontal="center" vertical="center" wrapText="1"/>
    </xf>
    <xf numFmtId="0" fontId="362" fillId="45" borderId="438" xfId="2" applyFont="1" applyFill="1" applyBorder="1" applyAlignment="1">
      <alignment horizontal="center" vertical="center" wrapText="1"/>
    </xf>
    <xf numFmtId="0" fontId="362" fillId="45" borderId="361" xfId="2" applyFont="1" applyFill="1" applyBorder="1" applyAlignment="1">
      <alignment horizontal="center" vertical="center" wrapText="1"/>
    </xf>
    <xf numFmtId="0" fontId="362" fillId="45" borderId="0" xfId="2" applyFont="1" applyFill="1" applyAlignment="1">
      <alignment horizontal="center" vertical="center" wrapText="1"/>
    </xf>
    <xf numFmtId="0" fontId="114" fillId="45" borderId="0" xfId="2" applyFont="1" applyFill="1" applyAlignment="1">
      <alignment horizontal="center" vertical="center" wrapText="1"/>
    </xf>
    <xf numFmtId="0" fontId="268" fillId="94" borderId="49" xfId="0" applyFont="1" applyFill="1" applyBorder="1" applyAlignment="1">
      <alignment horizontal="left" vertical="center" wrapText="1"/>
    </xf>
    <xf numFmtId="0" fontId="291" fillId="94" borderId="131" xfId="0" applyFont="1" applyFill="1" applyBorder="1" applyAlignment="1">
      <alignment horizontal="left" wrapText="1"/>
    </xf>
    <xf numFmtId="0" fontId="268" fillId="2" borderId="49" xfId="0" applyFont="1" applyFill="1" applyBorder="1" applyAlignment="1">
      <alignment horizontal="left" vertical="center" wrapText="1"/>
    </xf>
    <xf numFmtId="0" fontId="291" fillId="2" borderId="131" xfId="0" applyFont="1" applyFill="1" applyBorder="1" applyAlignment="1">
      <alignment horizontal="left" wrapText="1"/>
    </xf>
    <xf numFmtId="0" fontId="365" fillId="45" borderId="310" xfId="0" applyFont="1" applyFill="1" applyBorder="1" applyAlignment="1">
      <alignment horizontal="center" vertical="center" wrapText="1"/>
    </xf>
    <xf numFmtId="0" fontId="366" fillId="28" borderId="133" xfId="0" applyFont="1" applyFill="1" applyBorder="1" applyAlignment="1">
      <alignment horizontal="center" vertical="center" wrapText="1"/>
    </xf>
    <xf numFmtId="0" fontId="72" fillId="47" borderId="310" xfId="2" applyFont="1" applyFill="1" applyBorder="1" applyAlignment="1">
      <alignment horizontal="center" vertical="center"/>
    </xf>
    <xf numFmtId="0" fontId="301" fillId="47" borderId="133" xfId="0" applyFont="1" applyFill="1" applyBorder="1" applyAlignment="1">
      <alignment horizontal="center" vertical="center" wrapText="1"/>
    </xf>
    <xf numFmtId="0" fontId="301" fillId="47" borderId="49" xfId="0" applyFont="1" applyFill="1" applyBorder="1" applyAlignment="1">
      <alignment horizontal="center" vertical="center" wrapText="1"/>
    </xf>
    <xf numFmtId="0" fontId="301" fillId="47" borderId="131" xfId="0" applyFont="1" applyFill="1" applyBorder="1" applyAlignment="1">
      <alignment horizontal="center" vertical="center" wrapText="1"/>
    </xf>
    <xf numFmtId="0" fontId="301" fillId="47" borderId="350" xfId="0" applyFont="1" applyFill="1" applyBorder="1" applyAlignment="1">
      <alignment horizontal="center" vertical="center" wrapText="1"/>
    </xf>
    <xf numFmtId="0" fontId="265" fillId="47" borderId="49" xfId="0" applyFont="1" applyFill="1" applyBorder="1" applyAlignment="1">
      <alignment horizontal="center" vertical="center" wrapText="1"/>
    </xf>
    <xf numFmtId="0" fontId="265" fillId="47" borderId="131" xfId="0" applyFont="1" applyFill="1" applyBorder="1" applyAlignment="1">
      <alignment wrapText="1"/>
    </xf>
    <xf numFmtId="0" fontId="364" fillId="93" borderId="310" xfId="0" applyFont="1" applyFill="1" applyBorder="1" applyAlignment="1">
      <alignment horizontal="left" vertical="center"/>
    </xf>
    <xf numFmtId="0" fontId="364" fillId="93" borderId="133" xfId="0" applyFont="1" applyFill="1" applyBorder="1" applyAlignment="1">
      <alignment horizontal="left" vertical="center" wrapText="1"/>
    </xf>
    <xf numFmtId="0" fontId="364" fillId="93" borderId="49" xfId="0" applyFont="1" applyFill="1" applyBorder="1" applyAlignment="1">
      <alignment horizontal="left" vertical="center" wrapText="1"/>
    </xf>
    <xf numFmtId="0" fontId="364" fillId="93" borderId="131" xfId="0" applyFont="1" applyFill="1" applyBorder="1" applyAlignment="1">
      <alignment horizontal="left" vertical="center" wrapText="1"/>
    </xf>
    <xf numFmtId="0" fontId="364" fillId="93" borderId="350" xfId="0" applyFont="1" applyFill="1" applyBorder="1" applyAlignment="1">
      <alignment horizontal="left" vertical="center" wrapText="1"/>
    </xf>
    <xf numFmtId="0" fontId="364" fillId="93" borderId="8" xfId="0" applyFont="1" applyFill="1" applyBorder="1" applyAlignment="1">
      <alignment horizontal="left" vertical="center" wrapText="1"/>
    </xf>
    <xf numFmtId="0" fontId="154" fillId="24" borderId="8" xfId="0" applyFont="1" applyFill="1" applyBorder="1" applyAlignment="1">
      <alignment horizontal="left" vertical="center" wrapText="1"/>
    </xf>
    <xf numFmtId="0" fontId="270" fillId="23" borderId="310" xfId="2" applyFont="1" applyFill="1" applyBorder="1" applyAlignment="1">
      <alignment horizontal="center" vertical="center" wrapText="1"/>
    </xf>
    <xf numFmtId="0" fontId="270" fillId="23" borderId="133" xfId="2" applyFont="1" applyFill="1" applyBorder="1" applyAlignment="1">
      <alignment horizontal="center" vertical="center" wrapText="1"/>
    </xf>
    <xf numFmtId="0" fontId="270" fillId="23" borderId="49" xfId="2" applyFont="1" applyFill="1" applyBorder="1" applyAlignment="1">
      <alignment horizontal="center" vertical="center" wrapText="1"/>
    </xf>
    <xf numFmtId="0" fontId="270" fillId="23" borderId="131" xfId="2" applyFont="1" applyFill="1" applyBorder="1" applyAlignment="1">
      <alignment horizontal="center" vertical="center" wrapText="1"/>
    </xf>
    <xf numFmtId="0" fontId="270" fillId="23" borderId="350" xfId="2" applyFont="1" applyFill="1" applyBorder="1" applyAlignment="1">
      <alignment horizontal="center" vertical="center" wrapText="1"/>
    </xf>
    <xf numFmtId="0" fontId="35" fillId="45" borderId="0" xfId="2" applyFont="1" applyFill="1" applyAlignment="1">
      <alignment horizontal="center" vertical="center"/>
    </xf>
    <xf numFmtId="0" fontId="34" fillId="50" borderId="0" xfId="0" applyFont="1" applyFill="1" applyAlignment="1">
      <alignment horizontal="center" vertical="center" wrapText="1"/>
    </xf>
    <xf numFmtId="0" fontId="48" fillId="45" borderId="0" xfId="0" applyFont="1" applyFill="1" applyAlignment="1">
      <alignment horizontal="center" vertical="center"/>
    </xf>
    <xf numFmtId="0" fontId="42" fillId="45" borderId="0" xfId="0" applyFont="1" applyFill="1" applyAlignment="1">
      <alignment horizontal="center" vertical="center" wrapText="1"/>
    </xf>
    <xf numFmtId="0" fontId="104" fillId="45" borderId="310" xfId="0" applyFont="1" applyFill="1" applyBorder="1" applyAlignment="1">
      <alignment horizontal="left" vertical="center" wrapText="1"/>
    </xf>
    <xf numFmtId="0" fontId="104" fillId="45" borderId="133" xfId="0" applyFont="1" applyFill="1" applyBorder="1" applyAlignment="1">
      <alignment horizontal="left" vertical="center" wrapText="1"/>
    </xf>
    <xf numFmtId="0" fontId="104" fillId="45" borderId="49" xfId="0" applyFont="1" applyFill="1" applyBorder="1" applyAlignment="1">
      <alignment horizontal="left" vertical="center" wrapText="1"/>
    </xf>
    <xf numFmtId="0" fontId="104" fillId="45" borderId="131" xfId="0" applyFont="1" applyFill="1" applyBorder="1" applyAlignment="1">
      <alignment horizontal="left" vertical="center" wrapText="1"/>
    </xf>
    <xf numFmtId="0" fontId="104" fillId="45" borderId="350" xfId="0" applyFont="1" applyFill="1" applyBorder="1" applyAlignment="1">
      <alignment horizontal="left" vertical="center" wrapText="1"/>
    </xf>
    <xf numFmtId="0" fontId="104" fillId="72" borderId="61" xfId="0" applyFont="1" applyFill="1" applyBorder="1" applyAlignment="1">
      <alignment horizontal="left" vertical="center" wrapText="1"/>
    </xf>
    <xf numFmtId="0" fontId="104" fillId="45" borderId="61" xfId="0" applyFont="1" applyFill="1" applyBorder="1" applyAlignment="1">
      <alignment horizontal="left" vertical="center" wrapText="1"/>
    </xf>
    <xf numFmtId="0" fontId="104" fillId="45" borderId="43" xfId="0" applyFont="1" applyFill="1" applyBorder="1" applyAlignment="1">
      <alignment horizontal="left" vertical="center" wrapText="1"/>
    </xf>
    <xf numFmtId="0" fontId="104" fillId="45" borderId="56" xfId="0" applyFont="1" applyFill="1" applyBorder="1" applyAlignment="1">
      <alignment horizontal="left" vertical="center" wrapText="1"/>
    </xf>
    <xf numFmtId="0" fontId="104" fillId="45" borderId="602" xfId="0" applyFont="1" applyFill="1" applyBorder="1" applyAlignment="1">
      <alignment horizontal="left" vertical="center" wrapText="1"/>
    </xf>
    <xf numFmtId="0" fontId="104" fillId="45" borderId="52" xfId="0" applyFont="1" applyFill="1" applyBorder="1" applyAlignment="1">
      <alignment horizontal="left" vertical="center" wrapText="1"/>
    </xf>
    <xf numFmtId="0" fontId="104" fillId="45" borderId="589" xfId="0" applyFont="1" applyFill="1" applyBorder="1" applyAlignment="1">
      <alignment horizontal="left" vertical="center" wrapText="1"/>
    </xf>
    <xf numFmtId="0" fontId="104" fillId="45" borderId="53" xfId="0" applyFont="1" applyFill="1" applyBorder="1" applyAlignment="1">
      <alignment horizontal="left" vertical="center" wrapText="1"/>
    </xf>
    <xf numFmtId="0" fontId="104" fillId="72" borderId="66" xfId="0" applyFont="1" applyFill="1" applyBorder="1" applyAlignment="1">
      <alignment horizontal="left" vertical="center" wrapText="1"/>
    </xf>
    <xf numFmtId="0" fontId="104" fillId="45" borderId="66" xfId="0" applyFont="1" applyFill="1" applyBorder="1" applyAlignment="1">
      <alignment horizontal="left" vertical="center" wrapText="1"/>
    </xf>
    <xf numFmtId="0" fontId="104" fillId="45" borderId="44" xfId="0" applyFont="1" applyFill="1" applyBorder="1" applyAlignment="1">
      <alignment horizontal="left" vertical="center" wrapText="1"/>
    </xf>
    <xf numFmtId="0" fontId="289" fillId="93" borderId="310" xfId="0" applyFont="1" applyFill="1" applyBorder="1" applyAlignment="1">
      <alignment horizontal="left" vertical="center"/>
    </xf>
    <xf numFmtId="0" fontId="289" fillId="93" borderId="133" xfId="0" applyFont="1" applyFill="1" applyBorder="1" applyAlignment="1">
      <alignment horizontal="left" vertical="center" wrapText="1"/>
    </xf>
    <xf numFmtId="0" fontId="289" fillId="93" borderId="49" xfId="0" applyFont="1" applyFill="1" applyBorder="1" applyAlignment="1">
      <alignment horizontal="left" vertical="center" wrapText="1"/>
    </xf>
    <xf numFmtId="0" fontId="289" fillId="93" borderId="131" xfId="0" applyFont="1" applyFill="1" applyBorder="1" applyAlignment="1">
      <alignment horizontal="left" vertical="center" wrapText="1"/>
    </xf>
    <xf numFmtId="0" fontId="289" fillId="93" borderId="350" xfId="0" applyFont="1" applyFill="1" applyBorder="1" applyAlignment="1">
      <alignment horizontal="left" vertical="center" wrapText="1"/>
    </xf>
    <xf numFmtId="0" fontId="289" fillId="72" borderId="7" xfId="0" applyFont="1" applyFill="1" applyBorder="1" applyAlignment="1">
      <alignment horizontal="left" vertical="center" wrapText="1"/>
    </xf>
    <xf numFmtId="0" fontId="57" fillId="24" borderId="7" xfId="0" applyFont="1" applyFill="1" applyBorder="1" applyAlignment="1">
      <alignment horizontal="left" vertical="center" wrapText="1"/>
    </xf>
    <xf numFmtId="0" fontId="103" fillId="45" borderId="310" xfId="0" applyFont="1" applyFill="1" applyBorder="1" applyAlignment="1">
      <alignment horizontal="left" vertical="center" wrapText="1"/>
    </xf>
    <xf numFmtId="0" fontId="103" fillId="45" borderId="133" xfId="0" applyFont="1" applyFill="1" applyBorder="1" applyAlignment="1">
      <alignment horizontal="left" vertical="center" wrapText="1"/>
    </xf>
    <xf numFmtId="0" fontId="103" fillId="45" borderId="49" xfId="0" applyFont="1" applyFill="1" applyBorder="1" applyAlignment="1">
      <alignment horizontal="left" vertical="center" wrapText="1"/>
    </xf>
    <xf numFmtId="0" fontId="103" fillId="45" borderId="131" xfId="0" applyFont="1" applyFill="1" applyBorder="1" applyAlignment="1">
      <alignment horizontal="left" vertical="center" wrapText="1"/>
    </xf>
    <xf numFmtId="0" fontId="103" fillId="45" borderId="350" xfId="0" applyFont="1" applyFill="1" applyBorder="1" applyAlignment="1">
      <alignment horizontal="left" vertical="center" wrapText="1"/>
    </xf>
    <xf numFmtId="0" fontId="104" fillId="72" borderId="67" xfId="0" applyFont="1" applyFill="1" applyBorder="1" applyAlignment="1">
      <alignment horizontal="left" vertical="center" wrapText="1"/>
    </xf>
    <xf numFmtId="0" fontId="104" fillId="45" borderId="67" xfId="0" applyFont="1" applyFill="1" applyBorder="1" applyAlignment="1">
      <alignment horizontal="left" vertical="center" wrapText="1"/>
    </xf>
    <xf numFmtId="0" fontId="104" fillId="45" borderId="68" xfId="0" applyFont="1" applyFill="1" applyBorder="1" applyAlignment="1">
      <alignment horizontal="left" vertical="center" wrapText="1"/>
    </xf>
    <xf numFmtId="0" fontId="71" fillId="45" borderId="309" xfId="2" applyFont="1" applyFill="1" applyBorder="1" applyAlignment="1">
      <alignment horizontal="center" vertical="center"/>
    </xf>
    <xf numFmtId="0" fontId="71" fillId="45" borderId="440" xfId="2" applyFont="1" applyFill="1" applyBorder="1" applyAlignment="1">
      <alignment horizontal="center" vertical="center" wrapText="1"/>
    </xf>
    <xf numFmtId="0" fontId="71" fillId="45" borderId="58" xfId="2" applyFont="1" applyFill="1" applyBorder="1" applyAlignment="1">
      <alignment horizontal="center" vertical="center" wrapText="1"/>
    </xf>
    <xf numFmtId="0" fontId="71" fillId="45" borderId="438" xfId="2" applyFont="1" applyFill="1" applyBorder="1" applyAlignment="1">
      <alignment horizontal="center" vertical="center" wrapText="1"/>
    </xf>
    <xf numFmtId="0" fontId="71" fillId="45" borderId="361" xfId="2" applyFont="1" applyFill="1" applyBorder="1" applyAlignment="1">
      <alignment horizontal="center" vertical="center" wrapText="1"/>
    </xf>
    <xf numFmtId="0" fontId="71" fillId="72" borderId="0" xfId="2" applyFont="1" applyFill="1" applyAlignment="1">
      <alignment horizontal="center" vertical="center" wrapText="1"/>
    </xf>
    <xf numFmtId="0" fontId="287" fillId="45" borderId="0" xfId="2" applyFont="1" applyFill="1" applyAlignment="1">
      <alignment horizontal="center" vertical="center" wrapText="1"/>
    </xf>
    <xf numFmtId="0" fontId="104" fillId="45" borderId="49" xfId="0" applyFont="1" applyFill="1" applyBorder="1" applyAlignment="1">
      <alignment horizontal="center" vertical="center" wrapText="1"/>
    </xf>
    <xf numFmtId="0" fontId="361" fillId="72" borderId="56" xfId="0" applyFont="1" applyFill="1" applyBorder="1" applyAlignment="1">
      <alignment vertical="center" wrapText="1"/>
    </xf>
    <xf numFmtId="0" fontId="361" fillId="72" borderId="602" xfId="0" applyFont="1" applyFill="1" applyBorder="1" applyAlignment="1">
      <alignment vertical="top" wrapText="1"/>
    </xf>
    <xf numFmtId="0" fontId="361" fillId="72" borderId="52" xfId="0" applyFont="1" applyFill="1" applyBorder="1" applyAlignment="1">
      <alignment vertical="top" wrapText="1"/>
    </xf>
    <xf numFmtId="0" fontId="361" fillId="72" borderId="589" xfId="0" applyFont="1" applyFill="1" applyBorder="1" applyAlignment="1">
      <alignment vertical="top" wrapText="1"/>
    </xf>
    <xf numFmtId="0" fontId="361" fillId="72" borderId="53" xfId="0" applyFont="1" applyFill="1" applyBorder="1" applyAlignment="1">
      <alignment vertical="top" wrapText="1"/>
    </xf>
    <xf numFmtId="0" fontId="361" fillId="72" borderId="66" xfId="0" applyFont="1" applyFill="1" applyBorder="1" applyAlignment="1">
      <alignment vertical="top" wrapText="1"/>
    </xf>
    <xf numFmtId="0" fontId="98" fillId="2" borderId="66" xfId="0" applyFont="1" applyFill="1" applyBorder="1" applyAlignment="1">
      <alignment vertical="top" wrapText="1"/>
    </xf>
    <xf numFmtId="0" fontId="98" fillId="2" borderId="44" xfId="0" applyFont="1" applyFill="1" applyBorder="1" applyAlignment="1">
      <alignment vertical="top" wrapText="1"/>
    </xf>
    <xf numFmtId="0" fontId="270" fillId="45" borderId="310" xfId="0" applyFont="1" applyFill="1" applyBorder="1" applyAlignment="1">
      <alignment horizontal="left" vertical="center" wrapText="1"/>
    </xf>
    <xf numFmtId="0" fontId="270" fillId="45" borderId="133" xfId="0" applyFont="1" applyFill="1" applyBorder="1" applyAlignment="1">
      <alignment horizontal="left" vertical="center" wrapText="1"/>
    </xf>
    <xf numFmtId="0" fontId="270" fillId="45" borderId="49" xfId="0" applyFont="1" applyFill="1" applyBorder="1" applyAlignment="1">
      <alignment horizontal="left" vertical="center" wrapText="1"/>
    </xf>
    <xf numFmtId="0" fontId="270" fillId="45" borderId="131" xfId="0" applyFont="1" applyFill="1" applyBorder="1" applyAlignment="1">
      <alignment horizontal="left" vertical="center" wrapText="1"/>
    </xf>
    <xf numFmtId="0" fontId="270" fillId="45" borderId="350" xfId="0" applyFont="1" applyFill="1" applyBorder="1" applyAlignment="1">
      <alignment horizontal="left" vertical="center" wrapText="1"/>
    </xf>
    <xf numFmtId="0" fontId="270" fillId="72" borderId="61" xfId="0" applyFont="1" applyFill="1" applyBorder="1" applyAlignment="1">
      <alignment horizontal="left" vertical="center" wrapText="1"/>
    </xf>
    <xf numFmtId="0" fontId="270" fillId="45" borderId="61" xfId="0" applyFont="1" applyFill="1" applyBorder="1" applyAlignment="1">
      <alignment horizontal="left" vertical="center" wrapText="1"/>
    </xf>
    <xf numFmtId="0" fontId="270" fillId="45" borderId="43" xfId="0" applyFont="1" applyFill="1" applyBorder="1" applyAlignment="1">
      <alignment horizontal="left" vertical="center" wrapText="1"/>
    </xf>
    <xf numFmtId="0" fontId="77" fillId="45" borderId="310" xfId="0" applyFont="1" applyFill="1" applyBorder="1" applyAlignment="1">
      <alignment horizontal="left" vertical="center" wrapText="1"/>
    </xf>
    <xf numFmtId="0" fontId="77" fillId="45" borderId="133" xfId="0" applyFont="1" applyFill="1" applyBorder="1" applyAlignment="1">
      <alignment horizontal="left" vertical="center" wrapText="1"/>
    </xf>
    <xf numFmtId="0" fontId="77" fillId="45" borderId="49" xfId="0" applyFont="1" applyFill="1" applyBorder="1" applyAlignment="1">
      <alignment horizontal="left" vertical="center" wrapText="1"/>
    </xf>
    <xf numFmtId="0" fontId="77" fillId="45" borderId="131" xfId="0" applyFont="1" applyFill="1" applyBorder="1" applyAlignment="1">
      <alignment horizontal="left" vertical="center" wrapText="1"/>
    </xf>
    <xf numFmtId="0" fontId="77" fillId="45" borderId="350" xfId="0" applyFont="1" applyFill="1" applyBorder="1" applyAlignment="1">
      <alignment horizontal="left" vertical="center" wrapText="1"/>
    </xf>
    <xf numFmtId="0" fontId="77" fillId="72" borderId="61" xfId="0" applyFont="1" applyFill="1" applyBorder="1" applyAlignment="1">
      <alignment horizontal="left" vertical="center" wrapText="1"/>
    </xf>
    <xf numFmtId="0" fontId="77" fillId="45" borderId="61" xfId="0" applyFont="1" applyFill="1" applyBorder="1" applyAlignment="1">
      <alignment horizontal="left" vertical="center" wrapText="1"/>
    </xf>
    <xf numFmtId="0" fontId="77" fillId="45" borderId="43" xfId="0" applyFont="1" applyFill="1" applyBorder="1" applyAlignment="1">
      <alignment horizontal="left" vertical="center" wrapText="1"/>
    </xf>
    <xf numFmtId="0" fontId="153" fillId="47" borderId="310" xfId="0" applyFont="1" applyFill="1" applyBorder="1" applyAlignment="1">
      <alignment horizontal="left" vertical="center"/>
    </xf>
    <xf numFmtId="0" fontId="153" fillId="47" borderId="133" xfId="0" applyFont="1" applyFill="1" applyBorder="1" applyAlignment="1">
      <alignment horizontal="left" vertical="center" wrapText="1"/>
    </xf>
    <xf numFmtId="0" fontId="153" fillId="47" borderId="49" xfId="0" applyFont="1" applyFill="1" applyBorder="1" applyAlignment="1">
      <alignment horizontal="left" vertical="center" wrapText="1"/>
    </xf>
    <xf numFmtId="0" fontId="153" fillId="47" borderId="131" xfId="0" applyFont="1" applyFill="1" applyBorder="1" applyAlignment="1">
      <alignment horizontal="left" vertical="center" wrapText="1"/>
    </xf>
    <xf numFmtId="0" fontId="153" fillId="47" borderId="350" xfId="0" applyFont="1" applyFill="1" applyBorder="1" applyAlignment="1">
      <alignment horizontal="left" vertical="center" wrapText="1"/>
    </xf>
    <xf numFmtId="0" fontId="153" fillId="72" borderId="61" xfId="0" applyFont="1" applyFill="1" applyBorder="1" applyAlignment="1">
      <alignment horizontal="left" vertical="center" wrapText="1"/>
    </xf>
    <xf numFmtId="0" fontId="71" fillId="45" borderId="309" xfId="2" applyFont="1" applyFill="1" applyBorder="1" applyAlignment="1">
      <alignment horizontal="center" vertical="center" wrapText="1"/>
    </xf>
    <xf numFmtId="0" fontId="360" fillId="15" borderId="49" xfId="0" applyFont="1" applyFill="1" applyBorder="1" applyAlignment="1">
      <alignment horizontal="center" vertical="center" wrapText="1"/>
    </xf>
    <xf numFmtId="0" fontId="284" fillId="15" borderId="49" xfId="0" applyFont="1" applyFill="1" applyBorder="1" applyAlignment="1">
      <alignment vertical="center" wrapText="1"/>
    </xf>
    <xf numFmtId="0" fontId="284" fillId="15" borderId="131" xfId="0" applyFont="1" applyFill="1" applyBorder="1" applyAlignment="1">
      <alignment vertical="center" wrapText="1"/>
    </xf>
    <xf numFmtId="0" fontId="284" fillId="15" borderId="350" xfId="0" applyFont="1" applyFill="1" applyBorder="1" applyAlignment="1">
      <alignment vertical="center" wrapText="1"/>
    </xf>
    <xf numFmtId="0" fontId="58" fillId="72" borderId="67" xfId="0" applyFont="1" applyFill="1" applyBorder="1" applyAlignment="1">
      <alignment horizontal="left" vertical="center" wrapText="1"/>
    </xf>
    <xf numFmtId="0" fontId="77" fillId="45" borderId="67" xfId="0" applyFont="1" applyFill="1" applyBorder="1" applyAlignment="1">
      <alignment horizontal="left" vertical="center" wrapText="1"/>
    </xf>
    <xf numFmtId="0" fontId="77" fillId="45" borderId="68" xfId="0" applyFont="1" applyFill="1" applyBorder="1" applyAlignment="1">
      <alignment horizontal="left" vertical="center" wrapText="1"/>
    </xf>
    <xf numFmtId="0" fontId="103" fillId="45" borderId="45" xfId="0" applyFont="1" applyFill="1" applyBorder="1" applyAlignment="1">
      <alignment horizontal="left" vertical="center" wrapText="1"/>
    </xf>
    <xf numFmtId="0" fontId="103" fillId="45" borderId="46" xfId="0" applyFont="1" applyFill="1" applyBorder="1" applyAlignment="1">
      <alignment horizontal="left" vertical="center" wrapText="1"/>
    </xf>
    <xf numFmtId="0" fontId="103" fillId="45" borderId="47" xfId="0" applyFont="1" applyFill="1" applyBorder="1" applyAlignment="1">
      <alignment horizontal="left" vertical="center" wrapText="1"/>
    </xf>
    <xf numFmtId="0" fontId="268" fillId="72" borderId="0" xfId="0" applyFont="1" applyFill="1" applyAlignment="1">
      <alignment horizontal="left" vertical="center" wrapText="1"/>
    </xf>
    <xf numFmtId="0" fontId="268" fillId="72" borderId="69" xfId="0" applyFont="1" applyFill="1" applyBorder="1" applyAlignment="1">
      <alignment horizontal="left" vertical="center" wrapText="1"/>
    </xf>
    <xf numFmtId="0" fontId="71" fillId="45" borderId="57" xfId="2" applyFont="1" applyFill="1" applyBorder="1" applyAlignment="1">
      <alignment horizontal="center" vertical="center"/>
    </xf>
    <xf numFmtId="0" fontId="71" fillId="45" borderId="59" xfId="2" applyFont="1" applyFill="1" applyBorder="1" applyAlignment="1">
      <alignment horizontal="center" vertical="center" wrapText="1"/>
    </xf>
    <xf numFmtId="0" fontId="356" fillId="72" borderId="0" xfId="2" applyFont="1" applyFill="1" applyAlignment="1">
      <alignment horizontal="center" vertical="center" wrapText="1"/>
    </xf>
    <xf numFmtId="0" fontId="289" fillId="93" borderId="55" xfId="0" applyFont="1" applyFill="1" applyBorder="1" applyAlignment="1">
      <alignment horizontal="left" vertical="center" wrapText="1"/>
    </xf>
    <xf numFmtId="0" fontId="289" fillId="93" borderId="50" xfId="0" applyFont="1" applyFill="1" applyBorder="1" applyAlignment="1">
      <alignment horizontal="left" vertical="center" wrapText="1"/>
    </xf>
    <xf numFmtId="0" fontId="104" fillId="45" borderId="108" xfId="0" applyFont="1" applyFill="1" applyBorder="1" applyAlignment="1">
      <alignment horizontal="center" vertical="center" wrapText="1"/>
    </xf>
    <xf numFmtId="0" fontId="104" fillId="45" borderId="108" xfId="0" applyFont="1" applyFill="1" applyBorder="1" applyAlignment="1">
      <alignment horizontal="center" wrapText="1"/>
    </xf>
    <xf numFmtId="0" fontId="104" fillId="45" borderId="350" xfId="0" applyFont="1" applyFill="1" applyBorder="1" applyAlignment="1">
      <alignment horizontal="center" wrapText="1"/>
    </xf>
    <xf numFmtId="0" fontId="71" fillId="45" borderId="608" xfId="2" applyFont="1" applyFill="1" applyBorder="1" applyAlignment="1">
      <alignment horizontal="center" vertical="center" wrapText="1"/>
    </xf>
    <xf numFmtId="0" fontId="71" fillId="45" borderId="604" xfId="2" applyFont="1" applyFill="1" applyBorder="1" applyAlignment="1">
      <alignment horizontal="center" vertical="center" wrapText="1"/>
    </xf>
    <xf numFmtId="0" fontId="71" fillId="45" borderId="609" xfId="2" applyFont="1" applyFill="1" applyBorder="1" applyAlignment="1">
      <alignment horizontal="center" vertical="center" wrapText="1"/>
    </xf>
    <xf numFmtId="0" fontId="289" fillId="93" borderId="612" xfId="0" applyFont="1" applyFill="1" applyBorder="1" applyAlignment="1">
      <alignment horizontal="left" vertical="center"/>
    </xf>
    <xf numFmtId="0" fontId="289" fillId="93" borderId="610" xfId="0" applyFont="1" applyFill="1" applyBorder="1" applyAlignment="1">
      <alignment horizontal="left" vertical="center" wrapText="1"/>
    </xf>
    <xf numFmtId="0" fontId="289" fillId="93" borderId="60" xfId="0" applyFont="1" applyFill="1" applyBorder="1" applyAlignment="1">
      <alignment horizontal="left" vertical="center" wrapText="1"/>
    </xf>
    <xf numFmtId="0" fontId="289" fillId="93" borderId="611" xfId="0" applyFont="1" applyFill="1" applyBorder="1" applyAlignment="1">
      <alignment horizontal="left" vertical="center" wrapText="1"/>
    </xf>
    <xf numFmtId="0" fontId="289" fillId="93" borderId="613" xfId="0" applyFont="1" applyFill="1" applyBorder="1" applyAlignment="1">
      <alignment horizontal="left" vertical="center" wrapText="1"/>
    </xf>
    <xf numFmtId="0" fontId="96" fillId="45" borderId="309" xfId="2" applyFont="1" applyFill="1" applyBorder="1" applyAlignment="1">
      <alignment horizontal="center" vertical="center"/>
    </xf>
    <xf numFmtId="0" fontId="96" fillId="45" borderId="440" xfId="2" applyFont="1" applyFill="1" applyBorder="1" applyAlignment="1">
      <alignment horizontal="center" vertical="center" wrapText="1"/>
    </xf>
    <xf numFmtId="0" fontId="96" fillId="45" borderId="58" xfId="2" applyFont="1" applyFill="1" applyBorder="1" applyAlignment="1">
      <alignment horizontal="center" vertical="center" wrapText="1"/>
    </xf>
    <xf numFmtId="0" fontId="96" fillId="45" borderId="438" xfId="2" applyFont="1" applyFill="1" applyBorder="1" applyAlignment="1">
      <alignment horizontal="center" vertical="center" wrapText="1"/>
    </xf>
    <xf numFmtId="0" fontId="96" fillId="45" borderId="361" xfId="2" applyFont="1" applyFill="1" applyBorder="1" applyAlignment="1">
      <alignment horizontal="center" vertical="center" wrapText="1"/>
    </xf>
    <xf numFmtId="0" fontId="96" fillId="72" borderId="0" xfId="2" applyFont="1" applyFill="1" applyAlignment="1">
      <alignment horizontal="center" vertical="center" wrapText="1"/>
    </xf>
    <xf numFmtId="0" fontId="58" fillId="45" borderId="309" xfId="0" applyFont="1" applyFill="1" applyBorder="1" applyAlignment="1">
      <alignment horizontal="left" vertical="center" wrapText="1"/>
    </xf>
    <xf numFmtId="0" fontId="58" fillId="45" borderId="440" xfId="0" applyFont="1" applyFill="1" applyBorder="1" applyAlignment="1">
      <alignment horizontal="left" vertical="center" wrapText="1"/>
    </xf>
    <xf numFmtId="0" fontId="58" fillId="45" borderId="58" xfId="0" applyFont="1" applyFill="1" applyBorder="1" applyAlignment="1">
      <alignment horizontal="left" vertical="center" wrapText="1"/>
    </xf>
    <xf numFmtId="0" fontId="58" fillId="45" borderId="438" xfId="0" applyFont="1" applyFill="1" applyBorder="1" applyAlignment="1">
      <alignment horizontal="left" vertical="center" wrapText="1"/>
    </xf>
    <xf numFmtId="0" fontId="58" fillId="45" borderId="361" xfId="0" applyFont="1" applyFill="1" applyBorder="1" applyAlignment="1">
      <alignment horizontal="left" vertical="center" wrapText="1"/>
    </xf>
    <xf numFmtId="0" fontId="58" fillId="72" borderId="0" xfId="0" applyFont="1" applyFill="1" applyAlignment="1">
      <alignment horizontal="left" vertical="center" wrapText="1"/>
    </xf>
    <xf numFmtId="0" fontId="289" fillId="72" borderId="0" xfId="0" applyFont="1" applyFill="1" applyAlignment="1">
      <alignment horizontal="left" vertical="center" wrapText="1"/>
    </xf>
    <xf numFmtId="0" fontId="57" fillId="24" borderId="9" xfId="0" applyFont="1" applyFill="1" applyBorder="1" applyAlignment="1">
      <alignment horizontal="left" vertical="center" wrapText="1"/>
    </xf>
    <xf numFmtId="0" fontId="57" fillId="24" borderId="11" xfId="0" applyFont="1" applyFill="1" applyBorder="1" applyAlignment="1">
      <alignment horizontal="left" vertical="center" wrapText="1"/>
    </xf>
    <xf numFmtId="0" fontId="289" fillId="93" borderId="310" xfId="0" applyFont="1" applyFill="1" applyBorder="1" applyAlignment="1">
      <alignment horizontal="left" vertical="center" wrapText="1"/>
    </xf>
    <xf numFmtId="0" fontId="289" fillId="93" borderId="316" xfId="0" applyFont="1" applyFill="1" applyBorder="1" applyAlignment="1">
      <alignment horizontal="left" vertical="center" wrapText="1"/>
    </xf>
    <xf numFmtId="0" fontId="96" fillId="45" borderId="309" xfId="2" applyFont="1" applyFill="1" applyBorder="1" applyAlignment="1">
      <alignment horizontal="center" vertical="center" wrapText="1"/>
    </xf>
    <xf numFmtId="0" fontId="96" fillId="45" borderId="315" xfId="2" applyFont="1" applyFill="1" applyBorder="1" applyAlignment="1">
      <alignment horizontal="center" vertical="center" wrapText="1"/>
    </xf>
    <xf numFmtId="0" fontId="334" fillId="94" borderId="133" xfId="0" applyFont="1" applyFill="1" applyBorder="1" applyAlignment="1">
      <alignment horizontal="left" vertical="center" wrapText="1"/>
    </xf>
    <xf numFmtId="0" fontId="334" fillId="94" borderId="49" xfId="0" applyFont="1" applyFill="1" applyBorder="1" applyAlignment="1">
      <alignment horizontal="left" vertical="center" wrapText="1"/>
    </xf>
    <xf numFmtId="0" fontId="334" fillId="94" borderId="131" xfId="0" applyFont="1" applyFill="1" applyBorder="1" applyAlignment="1">
      <alignment horizontal="left" vertical="center" wrapText="1"/>
    </xf>
    <xf numFmtId="0" fontId="334" fillId="94" borderId="350" xfId="0" applyFont="1" applyFill="1" applyBorder="1" applyAlignment="1">
      <alignment horizontal="left" vertical="center" wrapText="1"/>
    </xf>
    <xf numFmtId="0" fontId="355" fillId="94" borderId="72" xfId="0" applyFont="1" applyFill="1" applyBorder="1" applyAlignment="1">
      <alignment horizontal="left" vertical="center" wrapText="1"/>
    </xf>
    <xf numFmtId="0" fontId="355" fillId="94" borderId="0" xfId="0" applyFont="1" applyFill="1" applyAlignment="1">
      <alignment horizontal="left" vertical="top" wrapText="1"/>
    </xf>
    <xf numFmtId="0" fontId="355" fillId="94" borderId="249" xfId="0" applyFont="1" applyFill="1" applyBorder="1" applyAlignment="1">
      <alignment horizontal="left" vertical="top" wrapText="1"/>
    </xf>
    <xf numFmtId="0" fontId="351" fillId="21" borderId="61" xfId="0" applyFont="1" applyFill="1" applyBorder="1" applyAlignment="1">
      <alignment vertical="top" wrapText="1"/>
    </xf>
    <xf numFmtId="0" fontId="351" fillId="21" borderId="43" xfId="0" applyFont="1" applyFill="1" applyBorder="1" applyAlignment="1">
      <alignment vertical="top" wrapText="1"/>
    </xf>
    <xf numFmtId="0" fontId="355" fillId="2" borderId="303" xfId="0" applyFont="1" applyFill="1" applyBorder="1" applyAlignment="1">
      <alignment horizontal="left" vertical="center" wrapText="1"/>
    </xf>
    <xf numFmtId="0" fontId="355" fillId="2" borderId="259" xfId="0" applyFont="1" applyFill="1" applyBorder="1" applyAlignment="1">
      <alignment horizontal="left" vertical="top" wrapText="1"/>
    </xf>
    <xf numFmtId="0" fontId="355" fillId="2" borderId="304" xfId="0" applyFont="1" applyFill="1" applyBorder="1" applyAlignment="1">
      <alignment horizontal="left" vertical="top" wrapText="1"/>
    </xf>
    <xf numFmtId="0" fontId="352" fillId="4" borderId="61" xfId="0" applyFont="1" applyFill="1" applyBorder="1" applyAlignment="1">
      <alignment vertical="top" wrapText="1"/>
    </xf>
    <xf numFmtId="0" fontId="352" fillId="4" borderId="43" xfId="0" applyFont="1" applyFill="1" applyBorder="1" applyAlignment="1">
      <alignment vertical="top" wrapText="1"/>
    </xf>
    <xf numFmtId="0" fontId="150" fillId="45" borderId="56" xfId="0" applyFont="1" applyFill="1" applyBorder="1" applyAlignment="1">
      <alignment horizontal="center" vertical="center" wrapText="1"/>
    </xf>
    <xf numFmtId="0" fontId="150" fillId="45" borderId="602" xfId="0" applyFont="1" applyFill="1" applyBorder="1" applyAlignment="1">
      <alignment horizontal="center" vertical="top" wrapText="1"/>
    </xf>
    <xf numFmtId="0" fontId="150" fillId="45" borderId="52" xfId="0" applyFont="1" applyFill="1" applyBorder="1" applyAlignment="1">
      <alignment horizontal="center" vertical="top" wrapText="1"/>
    </xf>
    <xf numFmtId="0" fontId="150" fillId="45" borderId="589" xfId="0" applyFont="1" applyFill="1" applyBorder="1" applyAlignment="1">
      <alignment horizontal="center" vertical="top" wrapText="1"/>
    </xf>
    <xf numFmtId="0" fontId="150" fillId="45" borderId="53" xfId="0" applyFont="1" applyFill="1" applyBorder="1" applyAlignment="1">
      <alignment horizontal="center" vertical="top" wrapText="1"/>
    </xf>
    <xf numFmtId="0" fontId="353" fillId="13" borderId="66" xfId="0" applyFont="1" applyFill="1" applyBorder="1" applyAlignment="1">
      <alignment horizontal="center" vertical="top" wrapText="1"/>
    </xf>
    <xf numFmtId="0" fontId="353" fillId="13" borderId="44" xfId="0" applyFont="1" applyFill="1" applyBorder="1" applyAlignment="1">
      <alignment horizontal="center" vertical="top" wrapText="1"/>
    </xf>
    <xf numFmtId="0" fontId="77" fillId="45" borderId="441" xfId="0" applyFont="1" applyFill="1" applyBorder="1" applyAlignment="1">
      <alignment horizontal="center" vertical="center" wrapText="1"/>
    </xf>
    <xf numFmtId="0" fontId="77" fillId="45" borderId="108" xfId="0" applyFont="1" applyFill="1" applyBorder="1" applyAlignment="1">
      <alignment horizontal="center" vertical="center" wrapText="1"/>
    </xf>
    <xf numFmtId="0" fontId="253" fillId="45" borderId="310" xfId="0" applyFont="1" applyFill="1" applyBorder="1" applyAlignment="1">
      <alignment horizontal="left" vertical="center" wrapText="1"/>
    </xf>
    <xf numFmtId="0" fontId="253" fillId="45" borderId="441" xfId="0" applyFont="1" applyFill="1" applyBorder="1" applyAlignment="1">
      <alignment horizontal="left" vertical="center" wrapText="1"/>
    </xf>
    <xf numFmtId="0" fontId="253" fillId="45" borderId="108" xfId="0" applyFont="1" applyFill="1" applyBorder="1" applyAlignment="1">
      <alignment horizontal="left" vertical="center" wrapText="1"/>
    </xf>
    <xf numFmtId="0" fontId="253" fillId="45" borderId="316" xfId="0" applyFont="1" applyFill="1" applyBorder="1" applyAlignment="1">
      <alignment horizontal="left" vertical="center" wrapText="1"/>
    </xf>
    <xf numFmtId="0" fontId="253" fillId="45" borderId="350" xfId="0" applyFont="1" applyFill="1" applyBorder="1" applyAlignment="1">
      <alignment horizontal="left" vertical="center" wrapText="1"/>
    </xf>
    <xf numFmtId="0" fontId="150" fillId="45" borderId="61" xfId="0" applyFont="1" applyFill="1" applyBorder="1" applyAlignment="1">
      <alignment horizontal="left" vertical="center" wrapText="1"/>
    </xf>
    <xf numFmtId="0" fontId="150" fillId="45" borderId="43" xfId="0" applyFont="1" applyFill="1" applyBorder="1" applyAlignment="1">
      <alignment horizontal="left" vertical="center" wrapText="1"/>
    </xf>
    <xf numFmtId="0" fontId="58" fillId="45" borderId="297" xfId="0" applyFont="1" applyFill="1" applyBorder="1" applyAlignment="1">
      <alignment horizontal="left" vertical="center" wrapText="1"/>
    </xf>
    <xf numFmtId="0" fontId="58" fillId="45" borderId="298" xfId="0" applyFont="1" applyFill="1" applyBorder="1" applyAlignment="1">
      <alignment horizontal="left" vertical="center" wrapText="1"/>
    </xf>
    <xf numFmtId="0" fontId="58" fillId="45" borderId="299" xfId="0" applyFont="1" applyFill="1" applyBorder="1" applyAlignment="1">
      <alignment horizontal="left" vertical="center" wrapText="1"/>
    </xf>
    <xf numFmtId="0" fontId="58" fillId="45" borderId="303" xfId="0" applyFont="1" applyFill="1" applyBorder="1" applyAlignment="1">
      <alignment horizontal="left" vertical="center" wrapText="1"/>
    </xf>
    <xf numFmtId="0" fontId="58" fillId="45" borderId="259" xfId="0" applyFont="1" applyFill="1" applyBorder="1" applyAlignment="1">
      <alignment horizontal="left" vertical="center" wrapText="1"/>
    </xf>
    <xf numFmtId="0" fontId="58" fillId="45" borderId="304" xfId="0" applyFont="1" applyFill="1" applyBorder="1" applyAlignment="1">
      <alignment horizontal="left" vertical="center" wrapText="1"/>
    </xf>
    <xf numFmtId="0" fontId="58" fillId="45" borderId="57" xfId="0" applyFont="1" applyFill="1" applyBorder="1" applyAlignment="1">
      <alignment horizontal="left" vertical="center" wrapText="1"/>
    </xf>
    <xf numFmtId="0" fontId="58" fillId="45" borderId="59" xfId="0" applyFont="1" applyFill="1" applyBorder="1" applyAlignment="1">
      <alignment horizontal="left" vertical="center" wrapText="1"/>
    </xf>
    <xf numFmtId="0" fontId="71" fillId="45" borderId="284" xfId="2" applyFont="1" applyFill="1" applyBorder="1" applyAlignment="1">
      <alignment horizontal="center" vertical="center"/>
    </xf>
    <xf numFmtId="0" fontId="71" fillId="45" borderId="283" xfId="2" applyFont="1" applyFill="1" applyBorder="1" applyAlignment="1">
      <alignment horizontal="center" vertical="center" wrapText="1"/>
    </xf>
    <xf numFmtId="0" fontId="71" fillId="45" borderId="606" xfId="2" applyFont="1" applyFill="1" applyBorder="1" applyAlignment="1">
      <alignment horizontal="center" vertical="center" wrapText="1"/>
    </xf>
    <xf numFmtId="0" fontId="104" fillId="45" borderId="0" xfId="2" applyFont="1" applyFill="1" applyAlignment="1">
      <alignment horizontal="center" vertical="center" wrapText="1"/>
    </xf>
    <xf numFmtId="0" fontId="289" fillId="93" borderId="72" xfId="0" applyFont="1" applyFill="1" applyBorder="1" applyAlignment="1">
      <alignment horizontal="left" vertical="center"/>
    </xf>
    <xf numFmtId="0" fontId="289" fillId="93" borderId="0" xfId="0" applyFont="1" applyFill="1" applyAlignment="1">
      <alignment horizontal="left" vertical="center" wrapText="1"/>
    </xf>
    <xf numFmtId="0" fontId="289" fillId="93" borderId="249" xfId="0" applyFont="1" applyFill="1" applyBorder="1" applyAlignment="1">
      <alignment horizontal="left" vertical="center" wrapText="1"/>
    </xf>
    <xf numFmtId="0" fontId="57" fillId="24" borderId="12" xfId="0" applyFont="1" applyFill="1" applyBorder="1" applyAlignment="1">
      <alignment horizontal="left" vertical="center" wrapText="1"/>
    </xf>
    <xf numFmtId="0" fontId="58" fillId="45" borderId="54" xfId="0" applyFont="1" applyFill="1" applyBorder="1" applyAlignment="1">
      <alignment horizontal="left" vertical="center" wrapText="1"/>
    </xf>
    <xf numFmtId="0" fontId="58" fillId="45" borderId="403" xfId="0" applyFont="1" applyFill="1" applyBorder="1" applyAlignment="1">
      <alignment horizontal="left" vertical="center" wrapText="1"/>
    </xf>
    <xf numFmtId="0" fontId="58" fillId="45" borderId="46" xfId="0" applyFont="1" applyFill="1" applyBorder="1" applyAlignment="1">
      <alignment horizontal="left" vertical="center" wrapText="1"/>
    </xf>
    <xf numFmtId="0" fontId="58" fillId="45" borderId="607" xfId="0" applyFont="1" applyFill="1" applyBorder="1" applyAlignment="1">
      <alignment horizontal="left" vertical="center" wrapText="1"/>
    </xf>
    <xf numFmtId="0" fontId="58" fillId="45" borderId="47" xfId="0" applyFont="1" applyFill="1" applyBorder="1" applyAlignment="1">
      <alignment horizontal="left" vertical="center" wrapText="1"/>
    </xf>
    <xf numFmtId="0" fontId="77" fillId="45" borderId="70" xfId="0" applyFont="1" applyFill="1" applyBorder="1" applyAlignment="1">
      <alignment horizontal="left" vertical="center" wrapText="1"/>
    </xf>
    <xf numFmtId="0" fontId="77" fillId="45" borderId="71" xfId="0" applyFont="1" applyFill="1" applyBorder="1" applyAlignment="1">
      <alignment horizontal="left" vertical="center" wrapText="1"/>
    </xf>
    <xf numFmtId="0" fontId="271" fillId="2" borderId="310" xfId="0" applyFont="1" applyFill="1" applyBorder="1" applyAlignment="1">
      <alignment horizontal="left" vertical="center" wrapText="1"/>
    </xf>
    <xf numFmtId="0" fontId="334" fillId="2" borderId="133" xfId="0" applyFont="1" applyFill="1" applyBorder="1" applyAlignment="1">
      <alignment horizontal="left" vertical="center" wrapText="1"/>
    </xf>
    <xf numFmtId="0" fontId="334" fillId="2" borderId="49" xfId="0" applyFont="1" applyFill="1" applyBorder="1" applyAlignment="1">
      <alignment horizontal="left" vertical="center" wrapText="1"/>
    </xf>
    <xf numFmtId="0" fontId="334" fillId="2" borderId="131" xfId="0" applyFont="1" applyFill="1" applyBorder="1" applyAlignment="1">
      <alignment horizontal="left" vertical="center" wrapText="1"/>
    </xf>
    <xf numFmtId="0" fontId="334" fillId="2" borderId="350" xfId="0" applyFont="1" applyFill="1" applyBorder="1" applyAlignment="1">
      <alignment horizontal="left" vertical="center" wrapText="1"/>
    </xf>
    <xf numFmtId="0" fontId="289" fillId="93" borderId="550" xfId="0" applyFont="1" applyFill="1" applyBorder="1" applyAlignment="1">
      <alignment horizontal="left" vertical="center" wrapText="1"/>
    </xf>
    <xf numFmtId="0" fontId="289" fillId="93" borderId="551" xfId="0" applyFont="1" applyFill="1" applyBorder="1" applyAlignment="1">
      <alignment horizontal="left" vertical="center" wrapText="1"/>
    </xf>
    <xf numFmtId="0" fontId="270" fillId="48" borderId="403" xfId="0" applyFont="1" applyFill="1" applyBorder="1" applyAlignment="1">
      <alignment horizontal="center" vertical="center" wrapText="1"/>
    </xf>
    <xf numFmtId="0" fontId="270" fillId="48" borderId="46" xfId="0" applyFont="1" applyFill="1" applyBorder="1" applyAlignment="1">
      <alignment horizontal="center" vertical="center" wrapText="1"/>
    </xf>
    <xf numFmtId="0" fontId="270" fillId="48" borderId="47" xfId="0" applyFont="1" applyFill="1" applyBorder="1" applyAlignment="1">
      <alignment horizontal="center" vertical="center" wrapText="1"/>
    </xf>
    <xf numFmtId="0" fontId="76" fillId="0" borderId="4" xfId="0" applyFont="1" applyBorder="1"/>
    <xf numFmtId="0" fontId="96" fillId="45" borderId="603" xfId="2" applyFont="1" applyFill="1" applyBorder="1" applyAlignment="1">
      <alignment horizontal="center" vertical="center"/>
    </xf>
    <xf numFmtId="0" fontId="96" fillId="45" borderId="604" xfId="2" applyFont="1" applyFill="1" applyBorder="1" applyAlignment="1">
      <alignment horizontal="center" vertical="center"/>
    </xf>
    <xf numFmtId="0" fontId="96" fillId="45" borderId="605" xfId="2" applyFont="1" applyFill="1" applyBorder="1" applyAlignment="1">
      <alignment horizontal="center" vertical="center"/>
    </xf>
    <xf numFmtId="0" fontId="287" fillId="45" borderId="6" xfId="2" applyFont="1" applyFill="1" applyBorder="1" applyAlignment="1">
      <alignment horizontal="center" vertical="center"/>
    </xf>
    <xf numFmtId="0" fontId="289" fillId="93" borderId="55" xfId="0" applyFont="1" applyFill="1" applyBorder="1" applyAlignment="1">
      <alignment horizontal="left" vertical="center"/>
    </xf>
    <xf numFmtId="0" fontId="289" fillId="93" borderId="49" xfId="0" applyFont="1" applyFill="1" applyBorder="1" applyAlignment="1">
      <alignment horizontal="left" vertical="center"/>
    </xf>
    <xf numFmtId="0" fontId="289" fillId="93" borderId="50" xfId="0" applyFont="1" applyFill="1" applyBorder="1" applyAlignment="1">
      <alignment horizontal="left" vertical="center"/>
    </xf>
    <xf numFmtId="0" fontId="57" fillId="24" borderId="12" xfId="0" applyFont="1" applyFill="1" applyBorder="1" applyAlignment="1">
      <alignment horizontal="left" vertical="center"/>
    </xf>
    <xf numFmtId="0" fontId="96" fillId="45" borderId="57" xfId="2" applyFont="1" applyFill="1" applyBorder="1" applyAlignment="1">
      <alignment horizontal="center" vertical="center"/>
    </xf>
    <xf numFmtId="0" fontId="96" fillId="45" borderId="58" xfId="2" applyFont="1" applyFill="1" applyBorder="1" applyAlignment="1">
      <alignment horizontal="center" vertical="center"/>
    </xf>
    <xf numFmtId="0" fontId="96" fillId="45" borderId="59" xfId="2" applyFont="1" applyFill="1" applyBorder="1" applyAlignment="1">
      <alignment horizontal="center" vertical="center"/>
    </xf>
    <xf numFmtId="0" fontId="287" fillId="45" borderId="0" xfId="2" applyFont="1" applyFill="1" applyAlignment="1">
      <alignment horizontal="center" vertical="center"/>
    </xf>
    <xf numFmtId="0" fontId="96" fillId="45" borderId="59" xfId="2" applyFont="1" applyFill="1" applyBorder="1" applyAlignment="1">
      <alignment horizontal="center" vertical="center" wrapText="1"/>
    </xf>
    <xf numFmtId="0" fontId="103" fillId="34" borderId="582" xfId="0" applyFont="1" applyFill="1" applyBorder="1" applyAlignment="1">
      <alignment horizontal="left" vertical="center" wrapText="1"/>
    </xf>
    <xf numFmtId="0" fontId="103" fillId="34" borderId="583" xfId="0" applyFont="1" applyFill="1" applyBorder="1" applyAlignment="1">
      <alignment horizontal="left" vertical="center" wrapText="1"/>
    </xf>
    <xf numFmtId="0" fontId="103" fillId="34" borderId="600" xfId="0" applyFont="1" applyFill="1" applyBorder="1" applyAlignment="1">
      <alignment horizontal="left" vertical="center" wrapText="1"/>
    </xf>
    <xf numFmtId="0" fontId="103" fillId="34" borderId="584" xfId="0" applyFont="1" applyFill="1" applyBorder="1" applyAlignment="1">
      <alignment horizontal="left" vertical="center" wrapText="1"/>
    </xf>
    <xf numFmtId="0" fontId="103" fillId="72" borderId="0" xfId="0" applyFont="1" applyFill="1" applyAlignment="1">
      <alignment horizontal="left" vertical="center" wrapText="1"/>
    </xf>
    <xf numFmtId="0" fontId="103" fillId="72" borderId="36" xfId="0" applyFont="1" applyFill="1" applyBorder="1" applyAlignment="1">
      <alignment horizontal="left" vertical="center" wrapText="1"/>
    </xf>
    <xf numFmtId="0" fontId="9" fillId="32" borderId="17" xfId="0" applyFont="1" applyFill="1" applyBorder="1" applyAlignment="1">
      <alignment vertical="center"/>
    </xf>
    <xf numFmtId="0" fontId="1" fillId="32" borderId="17" xfId="0" applyFont="1" applyFill="1" applyBorder="1" applyAlignment="1">
      <alignment vertical="center"/>
    </xf>
    <xf numFmtId="0" fontId="291" fillId="28" borderId="49" xfId="0" applyFont="1" applyFill="1" applyBorder="1" applyAlignment="1">
      <alignment horizontal="center" vertical="center" wrapText="1"/>
    </xf>
    <xf numFmtId="0" fontId="291" fillId="28" borderId="131" xfId="0" applyFont="1" applyFill="1" applyBorder="1" applyAlignment="1">
      <alignment horizontal="center" vertical="center" wrapText="1"/>
    </xf>
    <xf numFmtId="0" fontId="334" fillId="28" borderId="601" xfId="0" applyFont="1" applyFill="1" applyBorder="1" applyAlignment="1">
      <alignment vertical="center" wrapText="1"/>
    </xf>
    <xf numFmtId="0" fontId="334" fillId="28" borderId="357" xfId="0" applyFont="1" applyFill="1" applyBorder="1" applyAlignment="1">
      <alignment vertical="center" wrapText="1"/>
    </xf>
    <xf numFmtId="0" fontId="104" fillId="2" borderId="49" xfId="0" applyFont="1" applyFill="1" applyBorder="1" applyAlignment="1">
      <alignment horizontal="center" vertical="center" wrapText="1"/>
    </xf>
    <xf numFmtId="0" fontId="108" fillId="2" borderId="49" xfId="0" applyFont="1" applyFill="1" applyBorder="1" applyAlignment="1">
      <alignment horizontal="center" vertical="center" wrapText="1"/>
    </xf>
    <xf numFmtId="0" fontId="108" fillId="2" borderId="131" xfId="0" applyFont="1" applyFill="1" applyBorder="1" applyAlignment="1">
      <alignment horizontal="center" vertical="center" wrapText="1"/>
    </xf>
    <xf numFmtId="0" fontId="76" fillId="2" borderId="300" xfId="0" applyFont="1" applyFill="1" applyBorder="1" applyAlignment="1">
      <alignment vertical="center" wrapText="1"/>
    </xf>
    <xf numFmtId="0" fontId="76" fillId="2" borderId="302" xfId="0" applyFont="1" applyFill="1" applyBorder="1" applyAlignment="1">
      <alignment vertical="center" wrapText="1"/>
    </xf>
    <xf numFmtId="0" fontId="270" fillId="48" borderId="309" xfId="0" applyFont="1" applyFill="1" applyBorder="1" applyAlignment="1">
      <alignment horizontal="center" vertical="center" wrapText="1"/>
    </xf>
    <xf numFmtId="0" fontId="270" fillId="48" borderId="313" xfId="0" applyFont="1" applyFill="1" applyBorder="1" applyAlignment="1">
      <alignment horizontal="center" vertical="center" wrapText="1"/>
    </xf>
    <xf numFmtId="0" fontId="270" fillId="48" borderId="361" xfId="0" applyFont="1" applyFill="1" applyBorder="1" applyAlignment="1">
      <alignment horizontal="center" vertical="center" wrapText="1"/>
    </xf>
    <xf numFmtId="0" fontId="150" fillId="48" borderId="0" xfId="0" applyFont="1" applyFill="1" applyAlignment="1">
      <alignment horizontal="center" vertical="center" wrapText="1"/>
    </xf>
    <xf numFmtId="0" fontId="150" fillId="48" borderId="249" xfId="0" applyFont="1" applyFill="1" applyBorder="1" applyAlignment="1">
      <alignment horizontal="center" vertical="center" wrapText="1"/>
    </xf>
    <xf numFmtId="0" fontId="298" fillId="72" borderId="10" xfId="0" applyFont="1" applyFill="1" applyBorder="1" applyAlignment="1">
      <alignment horizontal="left" vertical="center" wrapText="1"/>
    </xf>
    <xf numFmtId="0" fontId="133" fillId="90" borderId="52" xfId="0" applyFont="1" applyFill="1" applyBorder="1" applyAlignment="1">
      <alignment horizontal="center" vertical="center" wrapText="1"/>
    </xf>
    <xf numFmtId="0" fontId="104" fillId="92" borderId="225" xfId="0" applyFont="1" applyFill="1" applyBorder="1" applyAlignment="1">
      <alignment horizontal="center" vertical="center" wrapText="1"/>
    </xf>
    <xf numFmtId="0" fontId="133" fillId="92" borderId="225" xfId="0" applyFont="1" applyFill="1" applyBorder="1" applyAlignment="1">
      <alignment horizontal="center" vertical="center" wrapText="1"/>
    </xf>
    <xf numFmtId="0" fontId="291" fillId="91" borderId="49" xfId="0" applyFont="1" applyFill="1" applyBorder="1" applyAlignment="1">
      <alignment horizontal="center" vertical="center" wrapText="1"/>
    </xf>
    <xf numFmtId="0" fontId="104" fillId="32" borderId="493" xfId="0" applyFont="1" applyFill="1" applyBorder="1" applyAlignment="1">
      <alignment horizontal="center" vertical="center" wrapText="1"/>
    </xf>
    <xf numFmtId="0" fontId="108" fillId="32" borderId="493" xfId="0" applyFont="1" applyFill="1" applyBorder="1" applyAlignment="1">
      <alignment horizontal="center" vertical="center" wrapText="1"/>
    </xf>
    <xf numFmtId="0" fontId="108" fillId="32" borderId="588" xfId="0" applyFont="1" applyFill="1" applyBorder="1" applyAlignment="1">
      <alignment horizontal="center" vertical="center" wrapText="1"/>
    </xf>
    <xf numFmtId="0" fontId="76" fillId="32" borderId="491" xfId="0" applyFont="1" applyFill="1" applyBorder="1" applyAlignment="1">
      <alignment vertical="center" wrapText="1"/>
    </xf>
    <xf numFmtId="0" fontId="76" fillId="32" borderId="594" xfId="0" applyFont="1" applyFill="1" applyBorder="1" applyAlignment="1">
      <alignment vertical="center" wrapText="1"/>
    </xf>
    <xf numFmtId="0" fontId="133" fillId="90" borderId="589" xfId="0" applyFont="1" applyFill="1" applyBorder="1" applyAlignment="1">
      <alignment horizontal="center" vertical="center" wrapText="1"/>
    </xf>
    <xf numFmtId="0" fontId="152" fillId="90" borderId="479" xfId="0" applyFont="1" applyFill="1" applyBorder="1" applyAlignment="1">
      <alignment vertical="center" wrapText="1"/>
    </xf>
    <xf numFmtId="0" fontId="152" fillId="90" borderId="351" xfId="0" applyFont="1" applyFill="1" applyBorder="1" applyAlignment="1">
      <alignment vertical="center" wrapText="1"/>
    </xf>
    <xf numFmtId="0" fontId="133" fillId="92" borderId="592" xfId="0" applyFont="1" applyFill="1" applyBorder="1" applyAlignment="1">
      <alignment horizontal="center" vertical="center" wrapText="1"/>
    </xf>
    <xf numFmtId="0" fontId="152" fillId="92" borderId="599" xfId="0" applyFont="1" applyFill="1" applyBorder="1" applyAlignment="1">
      <alignment vertical="center" wrapText="1"/>
    </xf>
    <xf numFmtId="0" fontId="152" fillId="92" borderId="484" xfId="0" applyFont="1" applyFill="1" applyBorder="1" applyAlignment="1">
      <alignment vertical="center" wrapText="1"/>
    </xf>
    <xf numFmtId="0" fontId="291" fillId="91" borderId="131" xfId="0" applyFont="1" applyFill="1" applyBorder="1" applyAlignment="1">
      <alignment horizontal="center" vertical="center" wrapText="1"/>
    </xf>
    <xf numFmtId="0" fontId="334" fillId="91" borderId="601" xfId="0" applyFont="1" applyFill="1" applyBorder="1" applyAlignment="1">
      <alignment vertical="center" wrapText="1"/>
    </xf>
    <xf numFmtId="0" fontId="334" fillId="91" borderId="357" xfId="0" applyFont="1" applyFill="1" applyBorder="1" applyAlignment="1">
      <alignment vertical="center" wrapText="1"/>
    </xf>
    <xf numFmtId="0" fontId="104" fillId="45" borderId="228" xfId="0" applyFont="1" applyFill="1" applyBorder="1" applyAlignment="1">
      <alignment horizontal="center" vertical="center" wrapText="1"/>
    </xf>
    <xf numFmtId="0" fontId="104" fillId="45" borderId="228" xfId="0" applyFont="1" applyFill="1" applyBorder="1" applyAlignment="1">
      <alignment horizontal="center" wrapText="1"/>
    </xf>
    <xf numFmtId="0" fontId="265" fillId="47" borderId="586" xfId="0" applyFont="1" applyFill="1" applyBorder="1" applyAlignment="1">
      <alignment horizontal="center" vertical="center" wrapText="1"/>
    </xf>
    <xf numFmtId="0" fontId="265" fillId="47" borderId="586" xfId="0" applyFont="1" applyFill="1" applyBorder="1" applyAlignment="1">
      <alignment horizontal="center" wrapText="1"/>
    </xf>
    <xf numFmtId="0" fontId="265" fillId="47" borderId="591" xfId="0" applyFont="1" applyFill="1" applyBorder="1" applyAlignment="1">
      <alignment horizontal="center" wrapText="1"/>
    </xf>
    <xf numFmtId="0" fontId="153" fillId="47" borderId="598" xfId="0" applyFont="1" applyFill="1" applyBorder="1" applyAlignment="1">
      <alignment wrapText="1"/>
    </xf>
    <xf numFmtId="0" fontId="153" fillId="47" borderId="485" xfId="0" applyFont="1" applyFill="1" applyBorder="1" applyAlignment="1">
      <alignment wrapText="1"/>
    </xf>
    <xf numFmtId="0" fontId="104" fillId="32" borderId="49" xfId="0" applyFont="1" applyFill="1" applyBorder="1" applyAlignment="1">
      <alignment horizontal="center" vertical="center" wrapText="1"/>
    </xf>
    <xf numFmtId="0" fontId="108" fillId="32" borderId="49" xfId="0" applyFont="1" applyFill="1" applyBorder="1" applyAlignment="1">
      <alignment horizontal="center" vertical="center" wrapText="1"/>
    </xf>
    <xf numFmtId="0" fontId="108" fillId="32" borderId="131" xfId="0" applyFont="1" applyFill="1" applyBorder="1" applyAlignment="1">
      <alignment horizontal="center" vertical="center" wrapText="1"/>
    </xf>
    <xf numFmtId="0" fontId="76" fillId="32" borderId="300" xfId="0" applyFont="1" applyFill="1" applyBorder="1" applyAlignment="1">
      <alignment vertical="center" wrapText="1"/>
    </xf>
    <xf numFmtId="0" fontId="76" fillId="32" borderId="302" xfId="0" applyFont="1" applyFill="1" applyBorder="1" applyAlignment="1">
      <alignment vertical="center" wrapText="1"/>
    </xf>
    <xf numFmtId="0" fontId="109" fillId="32" borderId="52" xfId="0" applyFont="1" applyFill="1" applyBorder="1" applyAlignment="1">
      <alignment horizontal="center" vertical="center" wrapText="1"/>
    </xf>
    <xf numFmtId="0" fontId="108" fillId="32" borderId="52" xfId="0" applyFont="1" applyFill="1" applyBorder="1" applyAlignment="1">
      <alignment horizontal="center" vertical="center" wrapText="1"/>
    </xf>
    <xf numFmtId="0" fontId="108" fillId="32" borderId="589" xfId="0" applyFont="1" applyFill="1" applyBorder="1" applyAlignment="1">
      <alignment horizontal="center" vertical="center" wrapText="1"/>
    </xf>
    <xf numFmtId="0" fontId="76" fillId="32" borderId="458" xfId="0" applyFont="1" applyFill="1" applyBorder="1" applyAlignment="1">
      <alignment vertical="center" wrapText="1"/>
    </xf>
    <xf numFmtId="0" fontId="76" fillId="32" borderId="352" xfId="0" applyFont="1" applyFill="1" applyBorder="1" applyAlignment="1">
      <alignment vertical="center" wrapText="1"/>
    </xf>
    <xf numFmtId="0" fontId="96" fillId="45" borderId="285" xfId="2" applyFont="1" applyFill="1" applyBorder="1" applyAlignment="1">
      <alignment horizontal="center" vertical="center" wrapText="1"/>
    </xf>
    <xf numFmtId="0" fontId="96" fillId="45" borderId="247" xfId="2" applyFont="1" applyFill="1" applyBorder="1" applyAlignment="1">
      <alignment horizontal="center" vertical="center" wrapText="1"/>
    </xf>
    <xf numFmtId="0" fontId="96" fillId="45" borderId="287" xfId="2" applyFont="1" applyFill="1" applyBorder="1" applyAlignment="1">
      <alignment horizontal="center" vertical="center" wrapText="1"/>
    </xf>
    <xf numFmtId="0" fontId="114" fillId="72" borderId="0" xfId="2" applyFont="1" applyFill="1" applyAlignment="1">
      <alignment horizontal="center" vertical="center" wrapText="1"/>
    </xf>
    <xf numFmtId="0" fontId="103" fillId="36" borderId="309" xfId="0" applyFont="1" applyFill="1" applyBorder="1" applyAlignment="1">
      <alignment horizontal="left" vertical="center" wrapText="1"/>
    </xf>
    <xf numFmtId="0" fontId="103" fillId="36" borderId="313" xfId="0" applyFont="1" applyFill="1" applyBorder="1" applyAlignment="1">
      <alignment horizontal="left" vertical="center" wrapText="1"/>
    </xf>
    <xf numFmtId="0" fontId="103" fillId="36" borderId="315" xfId="0" applyFont="1" applyFill="1" applyBorder="1" applyAlignment="1">
      <alignment horizontal="left" vertical="center" wrapText="1"/>
    </xf>
    <xf numFmtId="0" fontId="103" fillId="36" borderId="597" xfId="0" applyFont="1" applyFill="1" applyBorder="1" applyAlignment="1">
      <alignment horizontal="left" vertical="center" wrapText="1"/>
    </xf>
    <xf numFmtId="0" fontId="103" fillId="36" borderId="287" xfId="0" applyFont="1" applyFill="1" applyBorder="1" applyAlignment="1">
      <alignment horizontal="left" vertical="center" wrapText="1"/>
    </xf>
    <xf numFmtId="0" fontId="77" fillId="33" borderId="539" xfId="0" applyFont="1" applyFill="1" applyBorder="1" applyAlignment="1">
      <alignment horizontal="center" vertical="center" wrapText="1"/>
    </xf>
    <xf numFmtId="0" fontId="77" fillId="33" borderId="540" xfId="0" applyFont="1" applyFill="1" applyBorder="1" applyAlignment="1">
      <alignment horizontal="center" vertical="center" wrapText="1"/>
    </xf>
    <xf numFmtId="0" fontId="77" fillId="33" borderId="540" xfId="0" applyFont="1" applyFill="1" applyBorder="1" applyAlignment="1">
      <alignment horizontal="left" vertical="center" wrapText="1"/>
    </xf>
    <xf numFmtId="166" fontId="77" fillId="33" borderId="540" xfId="0" applyNumberFormat="1" applyFont="1" applyFill="1" applyBorder="1" applyAlignment="1">
      <alignment horizontal="right" vertical="center" wrapText="1"/>
    </xf>
    <xf numFmtId="0" fontId="77" fillId="33" borderId="541" xfId="0" applyFont="1" applyFill="1" applyBorder="1" applyAlignment="1">
      <alignment horizontal="center" vertical="center" wrapText="1"/>
    </xf>
    <xf numFmtId="0" fontId="58" fillId="72" borderId="73" xfId="0" applyFont="1" applyFill="1" applyBorder="1" applyAlignment="1">
      <alignment horizontal="left" vertical="center" wrapText="1"/>
    </xf>
    <xf numFmtId="0" fontId="58" fillId="72" borderId="74" xfId="0" applyFont="1" applyFill="1" applyBorder="1" applyAlignment="1">
      <alignment horizontal="left" vertical="center" wrapText="1"/>
    </xf>
    <xf numFmtId="0" fontId="96" fillId="45" borderId="285" xfId="2" applyFont="1" applyFill="1" applyBorder="1" applyAlignment="1">
      <alignment horizontal="center" vertical="center"/>
    </xf>
    <xf numFmtId="0" fontId="92" fillId="72" borderId="0" xfId="2" applyFont="1" applyFill="1" applyAlignment="1">
      <alignment horizontal="center" vertical="center" wrapText="1"/>
    </xf>
    <xf numFmtId="0" fontId="335" fillId="32" borderId="532" xfId="0" applyFont="1" applyFill="1" applyBorder="1" applyAlignment="1">
      <alignment horizontal="center" vertical="center"/>
    </xf>
    <xf numFmtId="0" fontId="335" fillId="32" borderId="533" xfId="0" applyFont="1" applyFill="1" applyBorder="1" applyAlignment="1">
      <alignment horizontal="center" vertical="center"/>
    </xf>
    <xf numFmtId="0" fontId="335" fillId="32" borderId="533" xfId="0" applyFont="1" applyFill="1" applyBorder="1" applyAlignment="1">
      <alignment horizontal="left" vertical="center"/>
    </xf>
    <xf numFmtId="166" fontId="335" fillId="32" borderId="533" xfId="0" applyNumberFormat="1" applyFont="1" applyFill="1" applyBorder="1" applyAlignment="1">
      <alignment horizontal="right" vertical="center"/>
    </xf>
    <xf numFmtId="0" fontId="335" fillId="32" borderId="534" xfId="0" applyFont="1" applyFill="1" applyBorder="1" applyAlignment="1">
      <alignment horizontal="center" vertical="center"/>
    </xf>
    <xf numFmtId="0" fontId="65" fillId="72" borderId="73" xfId="0" applyFont="1" applyFill="1" applyBorder="1" applyAlignment="1">
      <alignment horizontal="left" vertical="top" wrapText="1"/>
    </xf>
    <xf numFmtId="0" fontId="65" fillId="72" borderId="74" xfId="0" applyFont="1" applyFill="1" applyBorder="1" applyAlignment="1">
      <alignment horizontal="left" vertical="top" wrapText="1"/>
    </xf>
    <xf numFmtId="0" fontId="335" fillId="32" borderId="537" xfId="0" applyFont="1" applyFill="1" applyBorder="1" applyAlignment="1">
      <alignment horizontal="center" vertical="center"/>
    </xf>
    <xf numFmtId="0" fontId="335" fillId="32" borderId="211" xfId="0" applyFont="1" applyFill="1" applyBorder="1" applyAlignment="1">
      <alignment horizontal="center" vertical="center"/>
    </xf>
    <xf numFmtId="0" fontId="335" fillId="32" borderId="211" xfId="0" applyFont="1" applyFill="1" applyBorder="1" applyAlignment="1">
      <alignment horizontal="left" vertical="center"/>
    </xf>
    <xf numFmtId="166" fontId="335" fillId="32" borderId="211" xfId="0" applyNumberFormat="1" applyFont="1" applyFill="1" applyBorder="1" applyAlignment="1">
      <alignment horizontal="right" vertical="center"/>
    </xf>
    <xf numFmtId="0" fontId="335" fillId="32" borderId="538" xfId="0" applyFont="1" applyFill="1" applyBorder="1" applyAlignment="1">
      <alignment horizontal="center" vertical="center"/>
    </xf>
    <xf numFmtId="0" fontId="270" fillId="33" borderId="72" xfId="0" applyFont="1" applyFill="1" applyBorder="1" applyAlignment="1">
      <alignment horizontal="left" vertical="center"/>
    </xf>
    <xf numFmtId="0" fontId="270" fillId="33" borderId="0" xfId="0" applyFont="1" applyFill="1" applyAlignment="1">
      <alignment horizontal="left" vertical="center" wrapText="1"/>
    </xf>
    <xf numFmtId="0" fontId="270" fillId="33" borderId="249" xfId="0" applyFont="1" applyFill="1" applyBorder="1" applyAlignment="1">
      <alignment horizontal="left" vertical="center" wrapText="1"/>
    </xf>
    <xf numFmtId="0" fontId="57" fillId="72" borderId="11" xfId="0" applyFont="1" applyFill="1" applyBorder="1" applyAlignment="1">
      <alignment horizontal="left" vertical="center" wrapText="1"/>
    </xf>
    <xf numFmtId="0" fontId="96" fillId="45" borderId="564" xfId="2" applyFont="1" applyFill="1" applyBorder="1" applyAlignment="1">
      <alignment horizontal="center" vertical="center" wrapText="1"/>
    </xf>
    <xf numFmtId="0" fontId="96" fillId="45" borderId="563" xfId="2" applyFont="1" applyFill="1" applyBorder="1" applyAlignment="1">
      <alignment horizontal="center" vertical="center" wrapText="1"/>
    </xf>
    <xf numFmtId="0" fontId="96" fillId="45" borderId="565" xfId="2" applyFont="1" applyFill="1" applyBorder="1" applyAlignment="1">
      <alignment horizontal="center" vertical="center" wrapText="1"/>
    </xf>
    <xf numFmtId="0" fontId="92" fillId="72" borderId="5" xfId="2" applyFont="1" applyFill="1" applyBorder="1" applyAlignment="1">
      <alignment horizontal="center" vertical="center" wrapText="1"/>
    </xf>
    <xf numFmtId="164" fontId="340" fillId="91" borderId="573" xfId="1" applyNumberFormat="1" applyFont="1" applyFill="1" applyBorder="1" applyAlignment="1">
      <alignment horizontal="center" vertical="center" wrapText="1"/>
    </xf>
    <xf numFmtId="0" fontId="339" fillId="91" borderId="573" xfId="0" applyFont="1" applyFill="1" applyBorder="1" applyAlignment="1">
      <alignment horizontal="center" vertical="center" wrapText="1"/>
    </xf>
    <xf numFmtId="0" fontId="270" fillId="48" borderId="567" xfId="0" applyFont="1" applyFill="1" applyBorder="1" applyAlignment="1">
      <alignment horizontal="center" vertical="center" wrapText="1"/>
    </xf>
    <xf numFmtId="0" fontId="270" fillId="48" borderId="365" xfId="0" applyFont="1" applyFill="1" applyBorder="1" applyAlignment="1">
      <alignment horizontal="center" vertical="center" wrapText="1"/>
    </xf>
    <xf numFmtId="0" fontId="270" fillId="48" borderId="366" xfId="0" applyFont="1" applyFill="1" applyBorder="1" applyAlignment="1">
      <alignment horizontal="center" vertical="center" wrapText="1"/>
    </xf>
    <xf numFmtId="0" fontId="150" fillId="48" borderId="568" xfId="0" applyFont="1" applyFill="1" applyBorder="1" applyAlignment="1">
      <alignment horizontal="center" vertical="center" wrapText="1"/>
    </xf>
    <xf numFmtId="0" fontId="150" fillId="48" borderId="569" xfId="0" applyFont="1" applyFill="1" applyBorder="1" applyAlignment="1">
      <alignment horizontal="center" vertical="center" wrapText="1"/>
    </xf>
    <xf numFmtId="0" fontId="292" fillId="72" borderId="13" xfId="0" applyFont="1" applyFill="1" applyBorder="1" applyAlignment="1">
      <alignment horizontal="left" vertical="center" wrapText="1"/>
    </xf>
    <xf numFmtId="0" fontId="339" fillId="91" borderId="572" xfId="0" applyFont="1" applyFill="1" applyBorder="1" applyAlignment="1">
      <alignment horizontal="center" vertical="center" wrapText="1"/>
    </xf>
    <xf numFmtId="0" fontId="103" fillId="62" borderId="579" xfId="0" applyFont="1" applyFill="1" applyBorder="1" applyAlignment="1">
      <alignment horizontal="left" vertical="center" wrapText="1"/>
    </xf>
    <xf numFmtId="0" fontId="103" fillId="62" borderId="580" xfId="0" applyFont="1" applyFill="1" applyBorder="1" applyAlignment="1">
      <alignment horizontal="left" vertical="center" wrapText="1"/>
    </xf>
    <xf numFmtId="0" fontId="103" fillId="62" borderId="581" xfId="0" applyFont="1" applyFill="1" applyBorder="1" applyAlignment="1">
      <alignment horizontal="left" vertical="center" wrapText="1"/>
    </xf>
    <xf numFmtId="0" fontId="338" fillId="45" borderId="516" xfId="0" applyFont="1" applyFill="1" applyBorder="1" applyAlignment="1">
      <alignment horizontal="left" vertical="center" wrapText="1"/>
    </xf>
    <xf numFmtId="0" fontId="338" fillId="45" borderId="228" xfId="0" applyFont="1" applyFill="1" applyBorder="1" applyAlignment="1">
      <alignment horizontal="left" vertical="center" wrapText="1"/>
    </xf>
    <xf numFmtId="0" fontId="338" fillId="45" borderId="367" xfId="0" applyFont="1" applyFill="1" applyBorder="1" applyAlignment="1">
      <alignment horizontal="left" vertical="center" wrapText="1"/>
    </xf>
    <xf numFmtId="0" fontId="336" fillId="72" borderId="0" xfId="0" applyFont="1" applyFill="1" applyAlignment="1">
      <alignment horizontal="left" vertical="center" wrapText="1"/>
    </xf>
    <xf numFmtId="0" fontId="336" fillId="72" borderId="36" xfId="0" applyFont="1" applyFill="1" applyBorder="1" applyAlignment="1">
      <alignment horizontal="left" vertical="center" wrapText="1"/>
    </xf>
    <xf numFmtId="0" fontId="96" fillId="45" borderId="0" xfId="2" applyFont="1" applyFill="1" applyAlignment="1">
      <alignment horizontal="center" vertical="center" wrapText="1"/>
    </xf>
    <xf numFmtId="0" fontId="270" fillId="62" borderId="72" xfId="0" applyFont="1" applyFill="1" applyBorder="1" applyAlignment="1">
      <alignment horizontal="left" vertical="center"/>
    </xf>
    <xf numFmtId="0" fontId="270" fillId="62" borderId="0" xfId="0" applyFont="1" applyFill="1" applyAlignment="1">
      <alignment horizontal="left" vertical="center" wrapText="1"/>
    </xf>
    <xf numFmtId="0" fontId="270" fillId="62" borderId="249" xfId="0" applyFont="1" applyFill="1" applyBorder="1" applyAlignment="1">
      <alignment horizontal="left" vertical="center" wrapText="1"/>
    </xf>
    <xf numFmtId="0" fontId="270" fillId="62" borderId="9" xfId="0" applyFont="1" applyFill="1" applyBorder="1" applyAlignment="1">
      <alignment horizontal="left" vertical="center" wrapText="1"/>
    </xf>
    <xf numFmtId="0" fontId="57" fillId="72" borderId="9" xfId="0" applyFont="1" applyFill="1" applyBorder="1" applyAlignment="1">
      <alignment horizontal="left" vertical="center" wrapText="1"/>
    </xf>
    <xf numFmtId="0" fontId="103" fillId="36" borderId="482" xfId="0" applyFont="1" applyFill="1" applyBorder="1" applyAlignment="1">
      <alignment horizontal="center" vertical="center" wrapText="1"/>
    </xf>
    <xf numFmtId="0" fontId="103" fillId="36" borderId="62" xfId="0" applyFont="1" applyFill="1" applyBorder="1" applyAlignment="1">
      <alignment horizontal="center" vertical="center" wrapText="1"/>
    </xf>
    <xf numFmtId="0" fontId="103" fillId="36" borderId="62" xfId="0" applyFont="1" applyFill="1" applyBorder="1" applyAlignment="1">
      <alignment horizontal="left" vertical="center" wrapText="1"/>
    </xf>
    <xf numFmtId="0" fontId="103" fillId="36" borderId="483" xfId="0" applyFont="1" applyFill="1" applyBorder="1" applyAlignment="1">
      <alignment horizontal="left" vertical="center" wrapText="1"/>
    </xf>
    <xf numFmtId="0" fontId="103" fillId="36" borderId="61" xfId="0" applyFont="1" applyFill="1" applyBorder="1" applyAlignment="1">
      <alignment horizontal="left" vertical="center" wrapText="1"/>
    </xf>
    <xf numFmtId="0" fontId="103" fillId="72" borderId="61" xfId="0" applyFont="1" applyFill="1" applyBorder="1" applyAlignment="1">
      <alignment horizontal="left" vertical="center" wrapText="1"/>
    </xf>
    <xf numFmtId="0" fontId="103" fillId="72" borderId="43" xfId="0" applyFont="1" applyFill="1" applyBorder="1" applyAlignment="1">
      <alignment horizontal="left" vertical="center" wrapText="1"/>
    </xf>
    <xf numFmtId="0" fontId="307" fillId="77" borderId="72" xfId="0" applyFont="1" applyFill="1" applyBorder="1" applyAlignment="1">
      <alignment horizontal="center" vertical="center" wrapText="1"/>
    </xf>
    <xf numFmtId="0" fontId="307" fillId="77" borderId="0" xfId="0" applyFont="1" applyFill="1" applyAlignment="1">
      <alignment horizontal="center" vertical="center" wrapText="1"/>
    </xf>
    <xf numFmtId="0" fontId="307" fillId="77" borderId="0" xfId="0" applyFont="1" applyFill="1" applyAlignment="1">
      <alignment horizontal="left" vertical="center" wrapText="1"/>
    </xf>
    <xf numFmtId="0" fontId="307" fillId="77" borderId="249" xfId="0" applyFont="1" applyFill="1" applyBorder="1" applyAlignment="1">
      <alignment horizontal="left" vertical="center" wrapText="1"/>
    </xf>
    <xf numFmtId="0" fontId="307" fillId="77" borderId="61" xfId="0" applyFont="1" applyFill="1" applyBorder="1" applyAlignment="1">
      <alignment horizontal="left" vertical="center" wrapText="1"/>
    </xf>
    <xf numFmtId="0" fontId="103" fillId="45" borderId="486" xfId="0" applyFont="1" applyFill="1" applyBorder="1" applyAlignment="1">
      <alignment horizontal="left" vertical="center" wrapText="1"/>
    </xf>
    <xf numFmtId="0" fontId="103" fillId="45" borderId="368" xfId="0" applyFont="1" applyFill="1" applyBorder="1" applyAlignment="1">
      <alignment horizontal="left" vertical="center" wrapText="1"/>
    </xf>
    <xf numFmtId="0" fontId="103" fillId="45" borderId="487" xfId="0" applyFont="1" applyFill="1" applyBorder="1" applyAlignment="1">
      <alignment horizontal="left" vertical="center" wrapText="1"/>
    </xf>
    <xf numFmtId="0" fontId="103" fillId="45" borderId="75" xfId="0" applyFont="1" applyFill="1" applyBorder="1" applyAlignment="1">
      <alignment horizontal="left" vertical="center" wrapText="1"/>
    </xf>
    <xf numFmtId="0" fontId="103" fillId="72" borderId="75" xfId="0" applyFont="1" applyFill="1" applyBorder="1" applyAlignment="1">
      <alignment horizontal="left" vertical="center" wrapText="1"/>
    </xf>
    <xf numFmtId="0" fontId="103" fillId="72" borderId="76" xfId="0" applyFont="1" applyFill="1" applyBorder="1" applyAlignment="1">
      <alignment horizontal="left" vertical="center" wrapText="1"/>
    </xf>
    <xf numFmtId="0" fontId="96" fillId="45" borderId="0" xfId="2" applyFont="1" applyFill="1" applyAlignment="1">
      <alignment horizontal="center" vertical="center"/>
    </xf>
    <xf numFmtId="0" fontId="103" fillId="45" borderId="360" xfId="0" applyFont="1" applyFill="1" applyBorder="1" applyAlignment="1">
      <alignment horizontal="left" vertical="center"/>
    </xf>
    <xf numFmtId="0" fontId="103" fillId="45" borderId="334" xfId="0" applyFont="1" applyFill="1" applyBorder="1" applyAlignment="1">
      <alignment horizontal="left" vertical="center"/>
    </xf>
    <xf numFmtId="0" fontId="103" fillId="45" borderId="358" xfId="0" applyFont="1" applyFill="1" applyBorder="1" applyAlignment="1">
      <alignment horizontal="left" vertical="center"/>
    </xf>
    <xf numFmtId="0" fontId="103" fillId="45" borderId="359" xfId="0" applyFont="1" applyFill="1" applyBorder="1" applyAlignment="1">
      <alignment horizontal="left" vertical="center"/>
    </xf>
    <xf numFmtId="0" fontId="141" fillId="53" borderId="472" xfId="0" applyFont="1" applyFill="1" applyBorder="1" applyAlignment="1">
      <alignment horizontal="left" vertical="center" wrapText="1"/>
    </xf>
    <xf numFmtId="0" fontId="141" fillId="53" borderId="473" xfId="0" applyFont="1" applyFill="1" applyBorder="1" applyAlignment="1">
      <alignment horizontal="center" vertical="center" wrapText="1"/>
    </xf>
    <xf numFmtId="0" fontId="141" fillId="53" borderId="474" xfId="0" applyFont="1" applyFill="1" applyBorder="1" applyAlignment="1">
      <alignment horizontal="left" vertical="center" wrapText="1"/>
    </xf>
    <xf numFmtId="0" fontId="141" fillId="53" borderId="61" xfId="0" applyFont="1" applyFill="1" applyBorder="1" applyAlignment="1">
      <alignment horizontal="left" vertical="center" wrapText="1"/>
    </xf>
    <xf numFmtId="0" fontId="141" fillId="72" borderId="61" xfId="0" applyFont="1" applyFill="1" applyBorder="1" applyAlignment="1">
      <alignment horizontal="left" vertical="top" wrapText="1"/>
    </xf>
    <xf numFmtId="0" fontId="141" fillId="72" borderId="43" xfId="0" applyFont="1" applyFill="1" applyBorder="1" applyAlignment="1">
      <alignment horizontal="left" vertical="top" wrapText="1"/>
    </xf>
    <xf numFmtId="172" fontId="311" fillId="78" borderId="461" xfId="0" applyNumberFormat="1" applyFont="1" applyFill="1" applyBorder="1" applyAlignment="1">
      <alignment horizontal="left" vertical="center" wrapText="1"/>
    </xf>
    <xf numFmtId="0" fontId="311" fillId="78" borderId="462" xfId="0" applyFont="1" applyFill="1" applyBorder="1" applyAlignment="1">
      <alignment horizontal="center" vertical="center" wrapText="1"/>
    </xf>
    <xf numFmtId="0" fontId="311" fillId="78" borderId="463" xfId="0" applyFont="1" applyFill="1" applyBorder="1" applyAlignment="1">
      <alignment horizontal="left" vertical="center" wrapText="1"/>
    </xf>
    <xf numFmtId="0" fontId="270" fillId="62" borderId="0" xfId="0" applyFont="1" applyFill="1" applyAlignment="1">
      <alignment horizontal="left" vertical="center"/>
    </xf>
    <xf numFmtId="0" fontId="103" fillId="36" borderId="320" xfId="0" applyFont="1" applyFill="1" applyBorder="1" applyAlignment="1">
      <alignment horizontal="left" vertical="center" wrapText="1"/>
    </xf>
    <xf numFmtId="0" fontId="103" fillId="36" borderId="318" xfId="0" applyFont="1" applyFill="1" applyBorder="1" applyAlignment="1">
      <alignment horizontal="center" vertical="center" wrapText="1"/>
    </xf>
    <xf numFmtId="0" fontId="103" fillId="36" borderId="318" xfId="0" applyFont="1" applyFill="1" applyBorder="1" applyAlignment="1">
      <alignment horizontal="left" vertical="center" wrapText="1"/>
    </xf>
    <xf numFmtId="0" fontId="103" fillId="36" borderId="327" xfId="0" applyFont="1" applyFill="1" applyBorder="1" applyAlignment="1">
      <alignment horizontal="left" vertical="center" wrapText="1"/>
    </xf>
    <xf numFmtId="0" fontId="103" fillId="36" borderId="328" xfId="0" applyFont="1" applyFill="1" applyBorder="1" applyAlignment="1">
      <alignment horizontal="left" vertical="center" wrapText="1"/>
    </xf>
    <xf numFmtId="0" fontId="103" fillId="84" borderId="460" xfId="0" applyFont="1" applyFill="1" applyBorder="1" applyAlignment="1">
      <alignment horizontal="left" vertical="center" wrapText="1"/>
    </xf>
    <xf numFmtId="0" fontId="103" fillId="84" borderId="422" xfId="0" applyFont="1" applyFill="1" applyBorder="1" applyAlignment="1">
      <alignment horizontal="center" vertical="center" wrapText="1"/>
    </xf>
    <xf numFmtId="0" fontId="103" fillId="84" borderId="422" xfId="0" applyFont="1" applyFill="1" applyBorder="1" applyAlignment="1">
      <alignment horizontal="left" vertical="center" wrapText="1"/>
    </xf>
    <xf numFmtId="0" fontId="103" fillId="84" borderId="419" xfId="0" applyFont="1" applyFill="1" applyBorder="1" applyAlignment="1">
      <alignment horizontal="left" vertical="center" wrapText="1"/>
    </xf>
    <xf numFmtId="0" fontId="103" fillId="84" borderId="420" xfId="0" applyFont="1" applyFill="1" applyBorder="1" applyAlignment="1">
      <alignment horizontal="left" vertical="center" wrapText="1"/>
    </xf>
    <xf numFmtId="168" fontId="312" fillId="80" borderId="393" xfId="0" applyNumberFormat="1" applyFont="1" applyFill="1" applyBorder="1" applyAlignment="1">
      <alignment horizontal="left" vertical="center" wrapText="1"/>
    </xf>
    <xf numFmtId="168" fontId="312" fillId="80" borderId="394" xfId="0" applyNumberFormat="1" applyFont="1" applyFill="1" applyBorder="1" applyAlignment="1">
      <alignment horizontal="center" vertical="center" wrapText="1"/>
    </xf>
    <xf numFmtId="168" fontId="312" fillId="80" borderId="395" xfId="0" applyNumberFormat="1" applyFont="1" applyFill="1" applyBorder="1" applyAlignment="1">
      <alignment horizontal="left" vertical="center" wrapText="1"/>
    </xf>
    <xf numFmtId="168" fontId="312" fillId="80" borderId="61" xfId="0" applyNumberFormat="1" applyFont="1" applyFill="1" applyBorder="1" applyAlignment="1">
      <alignment horizontal="left" vertical="center" wrapText="1"/>
    </xf>
    <xf numFmtId="168" fontId="103" fillId="72" borderId="61" xfId="0" applyNumberFormat="1" applyFont="1" applyFill="1" applyBorder="1" applyAlignment="1">
      <alignment horizontal="left" vertical="center" wrapText="1"/>
    </xf>
    <xf numFmtId="168" fontId="103" fillId="72" borderId="43" xfId="0" applyNumberFormat="1" applyFont="1" applyFill="1" applyBorder="1" applyAlignment="1">
      <alignment horizontal="left" vertical="center" wrapText="1"/>
    </xf>
    <xf numFmtId="0" fontId="103" fillId="33" borderId="466" xfId="0" applyFont="1" applyFill="1" applyBorder="1" applyAlignment="1">
      <alignment horizontal="left" vertical="center" wrapText="1"/>
    </xf>
    <xf numFmtId="0" fontId="103" fillId="33" borderId="467" xfId="0" applyFont="1" applyFill="1" applyBorder="1" applyAlignment="1">
      <alignment horizontal="center" vertical="center" wrapText="1"/>
    </xf>
    <xf numFmtId="0" fontId="103" fillId="33" borderId="467" xfId="0" applyFont="1" applyFill="1" applyBorder="1" applyAlignment="1">
      <alignment horizontal="left" vertical="center" wrapText="1"/>
    </xf>
    <xf numFmtId="0" fontId="103" fillId="33" borderId="464" xfId="0" applyFont="1" applyFill="1" applyBorder="1" applyAlignment="1">
      <alignment horizontal="left" vertical="center" wrapText="1"/>
    </xf>
    <xf numFmtId="0" fontId="103" fillId="33" borderId="465" xfId="0" applyFont="1" applyFill="1" applyBorder="1" applyAlignment="1">
      <alignment horizontal="left" vertical="center" wrapText="1"/>
    </xf>
    <xf numFmtId="0" fontId="103" fillId="36" borderId="411" xfId="0" applyFont="1" applyFill="1" applyBorder="1" applyAlignment="1">
      <alignment horizontal="left" vertical="center" wrapText="1"/>
    </xf>
    <xf numFmtId="0" fontId="270" fillId="62" borderId="353" xfId="0" applyFont="1" applyFill="1" applyBorder="1" applyAlignment="1">
      <alignment horizontal="left" vertical="center"/>
    </xf>
    <xf numFmtId="0" fontId="57" fillId="72" borderId="14" xfId="0" applyFont="1" applyFill="1" applyBorder="1" applyAlignment="1">
      <alignment horizontal="left" vertical="center" wrapText="1"/>
    </xf>
    <xf numFmtId="0" fontId="103" fillId="45" borderId="437" xfId="0" applyFont="1" applyFill="1" applyBorder="1" applyAlignment="1">
      <alignment horizontal="left" vertical="center"/>
    </xf>
    <xf numFmtId="0" fontId="103" fillId="45" borderId="0" xfId="0" applyFont="1" applyFill="1" applyAlignment="1">
      <alignment horizontal="left" vertical="center"/>
    </xf>
    <xf numFmtId="0" fontId="103" fillId="45" borderId="64" xfId="0" applyFont="1" applyFill="1" applyBorder="1" applyAlignment="1">
      <alignment horizontal="left" vertical="center"/>
    </xf>
    <xf numFmtId="0" fontId="103" fillId="72" borderId="77" xfId="0" applyFont="1" applyFill="1" applyBorder="1" applyAlignment="1">
      <alignment horizontal="left" vertical="center" wrapText="1"/>
    </xf>
    <xf numFmtId="0" fontId="103" fillId="72" borderId="78" xfId="0" applyFont="1" applyFill="1" applyBorder="1" applyAlignment="1">
      <alignment horizontal="left" vertical="center" wrapText="1"/>
    </xf>
    <xf numFmtId="0" fontId="323" fillId="72" borderId="450" xfId="0" applyFont="1" applyFill="1" applyBorder="1" applyAlignment="1">
      <alignment horizontal="left" vertical="center" wrapText="1"/>
    </xf>
    <xf numFmtId="0" fontId="323" fillId="72" borderId="259" xfId="0" applyFont="1" applyFill="1" applyBorder="1" applyAlignment="1">
      <alignment horizontal="left" vertical="center" wrapText="1"/>
    </xf>
    <xf numFmtId="0" fontId="110" fillId="32" borderId="374" xfId="0" applyFont="1" applyFill="1" applyBorder="1" applyAlignment="1">
      <alignment vertical="center" wrapText="1"/>
    </xf>
    <xf numFmtId="0" fontId="107" fillId="2" borderId="49" xfId="0" applyFont="1" applyFill="1" applyBorder="1" applyAlignment="1">
      <alignment vertical="center" wrapText="1"/>
    </xf>
    <xf numFmtId="0" fontId="110" fillId="2" borderId="49" xfId="0" applyFont="1" applyFill="1" applyBorder="1" applyAlignment="1">
      <alignment vertical="center" wrapText="1"/>
    </xf>
    <xf numFmtId="0" fontId="265" fillId="47" borderId="370" xfId="0" applyFont="1" applyFill="1" applyBorder="1" applyAlignment="1">
      <alignment horizontal="center" vertical="center" wrapText="1"/>
    </xf>
    <xf numFmtId="0" fontId="107" fillId="32" borderId="49" xfId="0" applyFont="1" applyFill="1" applyBorder="1" applyAlignment="1">
      <alignment vertical="center" wrapText="1"/>
    </xf>
    <xf numFmtId="0" fontId="110" fillId="32" borderId="49" xfId="0" applyFont="1" applyFill="1" applyBorder="1" applyAlignment="1">
      <alignment vertical="center" wrapText="1"/>
    </xf>
    <xf numFmtId="0" fontId="103" fillId="36" borderId="0" xfId="0" applyFont="1" applyFill="1" applyAlignment="1">
      <alignment horizontal="left" vertical="center" wrapText="1"/>
    </xf>
    <xf numFmtId="0" fontId="103" fillId="36" borderId="323" xfId="0" applyFont="1" applyFill="1" applyBorder="1" applyAlignment="1">
      <alignment horizontal="left" vertical="center" wrapText="1"/>
    </xf>
    <xf numFmtId="0" fontId="106" fillId="74" borderId="380" xfId="0" applyFont="1" applyFill="1" applyBorder="1" applyAlignment="1">
      <alignment horizontal="left" vertical="center" wrapText="1"/>
    </xf>
    <xf numFmtId="0" fontId="110" fillId="24" borderId="40" xfId="0" applyFont="1" applyFill="1" applyBorder="1" applyAlignment="1">
      <alignment vertical="center" wrapText="1"/>
    </xf>
    <xf numFmtId="0" fontId="106" fillId="79" borderId="380" xfId="0" applyFont="1" applyFill="1" applyBorder="1" applyAlignment="1">
      <alignment horizontal="left" vertical="center" wrapText="1"/>
    </xf>
    <xf numFmtId="0" fontId="110" fillId="14" borderId="40" xfId="0" applyFont="1" applyFill="1" applyBorder="1" applyAlignment="1">
      <alignment vertical="center" wrapText="1"/>
    </xf>
    <xf numFmtId="0" fontId="319" fillId="62" borderId="353" xfId="0" applyFont="1" applyFill="1" applyBorder="1" applyAlignment="1">
      <alignment horizontal="center" vertical="center"/>
    </xf>
    <xf numFmtId="0" fontId="265" fillId="47" borderId="378" xfId="0" applyFont="1" applyFill="1" applyBorder="1" applyAlignment="1">
      <alignment horizontal="center" vertical="center" wrapText="1"/>
    </xf>
    <xf numFmtId="0" fontId="110" fillId="14" borderId="39" xfId="0" applyFont="1" applyFill="1" applyBorder="1" applyAlignment="1">
      <alignment vertical="center" wrapText="1"/>
    </xf>
    <xf numFmtId="0" fontId="109" fillId="88" borderId="380" xfId="0" applyFont="1" applyFill="1" applyBorder="1" applyAlignment="1">
      <alignment horizontal="left" vertical="center" wrapText="1"/>
    </xf>
    <xf numFmtId="0" fontId="312" fillId="80" borderId="394" xfId="0" applyFont="1" applyFill="1" applyBorder="1" applyAlignment="1">
      <alignment horizontal="left" vertical="center" wrapText="1"/>
    </xf>
    <xf numFmtId="0" fontId="312" fillId="80" borderId="394" xfId="0" applyFont="1" applyFill="1" applyBorder="1" applyAlignment="1">
      <alignment horizontal="center" vertical="center" wrapText="1"/>
    </xf>
    <xf numFmtId="0" fontId="106" fillId="2" borderId="108" xfId="0" applyFont="1" applyFill="1" applyBorder="1" applyAlignment="1">
      <alignment horizontal="left" vertical="center" wrapText="1"/>
    </xf>
    <xf numFmtId="0" fontId="106" fillId="2" borderId="108" xfId="0" applyFont="1" applyFill="1" applyBorder="1" applyAlignment="1">
      <alignment horizontal="center" vertical="center" wrapText="1"/>
    </xf>
    <xf numFmtId="0" fontId="106" fillId="32" borderId="370" xfId="0" applyFont="1" applyFill="1" applyBorder="1" applyAlignment="1">
      <alignment horizontal="left" vertical="center" wrapText="1"/>
    </xf>
    <xf numFmtId="0" fontId="106" fillId="32" borderId="370" xfId="0" applyFont="1" applyFill="1" applyBorder="1" applyAlignment="1">
      <alignment horizontal="center" vertical="center" wrapText="1"/>
    </xf>
    <xf numFmtId="0" fontId="103" fillId="84" borderId="421" xfId="0" applyFont="1" applyFill="1" applyBorder="1" applyAlignment="1">
      <alignment horizontal="left" vertical="center" wrapText="1"/>
    </xf>
    <xf numFmtId="0" fontId="103" fillId="36" borderId="326" xfId="0" applyFont="1" applyFill="1" applyBorder="1" applyAlignment="1">
      <alignment horizontal="center" vertical="center" wrapText="1"/>
    </xf>
    <xf numFmtId="0" fontId="103" fillId="45" borderId="389" xfId="0" applyFont="1" applyFill="1" applyBorder="1" applyAlignment="1">
      <alignment horizontal="left" vertical="center"/>
    </xf>
    <xf numFmtId="0" fontId="103" fillId="45" borderId="253" xfId="0" applyFont="1" applyFill="1" applyBorder="1" applyAlignment="1">
      <alignment horizontal="left" vertical="center"/>
    </xf>
    <xf numFmtId="0" fontId="103" fillId="45" borderId="390" xfId="0" applyFont="1" applyFill="1" applyBorder="1" applyAlignment="1">
      <alignment horizontal="left" vertical="center"/>
    </xf>
    <xf numFmtId="0" fontId="109" fillId="32" borderId="49" xfId="0" applyFont="1" applyFill="1" applyBorder="1" applyAlignment="1">
      <alignment vertical="center" wrapText="1"/>
    </xf>
    <xf numFmtId="0" fontId="106" fillId="32" borderId="49" xfId="0" applyFont="1" applyFill="1" applyBorder="1" applyAlignment="1">
      <alignment vertical="center" wrapText="1"/>
    </xf>
    <xf numFmtId="0" fontId="109" fillId="2" borderId="49" xfId="0" applyFont="1" applyFill="1" applyBorder="1" applyAlignment="1">
      <alignment vertical="center" wrapText="1"/>
    </xf>
    <xf numFmtId="0" fontId="106" fillId="2" borderId="49" xfId="0" applyFont="1" applyFill="1" applyBorder="1" applyAlignment="1">
      <alignment vertical="center" wrapText="1"/>
    </xf>
    <xf numFmtId="0" fontId="265" fillId="47" borderId="225" xfId="0" applyFont="1" applyFill="1" applyBorder="1" applyAlignment="1">
      <alignment horizontal="center" vertical="center" wrapText="1"/>
    </xf>
    <xf numFmtId="0" fontId="106" fillId="2" borderId="108" xfId="0" applyFont="1" applyFill="1" applyBorder="1" applyAlignment="1">
      <alignment vertical="center" wrapText="1"/>
    </xf>
    <xf numFmtId="0" fontId="103" fillId="84" borderId="397" xfId="0" applyFont="1" applyFill="1" applyBorder="1" applyAlignment="1">
      <alignment horizontal="left" vertical="center" wrapText="1"/>
    </xf>
    <xf numFmtId="0" fontId="106" fillId="32" borderId="108" xfId="0" applyFont="1" applyFill="1" applyBorder="1" applyAlignment="1">
      <alignment vertical="center" wrapText="1"/>
    </xf>
    <xf numFmtId="0" fontId="109" fillId="2" borderId="400" xfId="0" applyFont="1" applyFill="1" applyBorder="1" applyAlignment="1">
      <alignment vertical="center" wrapText="1"/>
    </xf>
    <xf numFmtId="0" fontId="106" fillId="2" borderId="400" xfId="0" applyFont="1" applyFill="1" applyBorder="1" applyAlignment="1">
      <alignment vertical="center" wrapText="1"/>
    </xf>
    <xf numFmtId="0" fontId="103" fillId="45" borderId="232" xfId="0" applyFont="1" applyFill="1" applyBorder="1" applyAlignment="1">
      <alignment horizontal="left" vertical="center" wrapText="1"/>
    </xf>
    <xf numFmtId="0" fontId="103" fillId="45" borderId="58" xfId="0" applyFont="1" applyFill="1" applyBorder="1" applyAlignment="1">
      <alignment horizontal="left" vertical="center" wrapText="1"/>
    </xf>
    <xf numFmtId="0" fontId="103" fillId="45" borderId="59" xfId="0" applyFont="1" applyFill="1" applyBorder="1" applyAlignment="1">
      <alignment horizontal="left" vertical="center" wrapText="1"/>
    </xf>
    <xf numFmtId="0" fontId="307" fillId="77" borderId="232" xfId="0" applyFont="1" applyFill="1" applyBorder="1" applyAlignment="1">
      <alignment horizontal="left" vertical="center" wrapText="1"/>
    </xf>
    <xf numFmtId="0" fontId="307" fillId="77" borderId="58" xfId="0" applyFont="1" applyFill="1" applyBorder="1" applyAlignment="1">
      <alignment horizontal="left" vertical="center" wrapText="1"/>
    </xf>
    <xf numFmtId="178" fontId="307" fillId="77" borderId="58" xfId="0" applyNumberFormat="1" applyFont="1" applyFill="1" applyBorder="1" applyAlignment="1">
      <alignment horizontal="left" vertical="center" wrapText="1"/>
    </xf>
    <xf numFmtId="0" fontId="307" fillId="77" borderId="59" xfId="0" applyFont="1" applyFill="1" applyBorder="1" applyAlignment="1">
      <alignment horizontal="left" vertical="center" wrapText="1"/>
    </xf>
    <xf numFmtId="0" fontId="310" fillId="0" borderId="49" xfId="0" applyFont="1" applyBorder="1" applyAlignment="1">
      <alignment vertical="center" wrapText="1"/>
    </xf>
    <xf numFmtId="0" fontId="310" fillId="0" borderId="50" xfId="0" applyFont="1" applyBorder="1" applyAlignment="1">
      <alignment vertical="center" wrapText="1"/>
    </xf>
    <xf numFmtId="0" fontId="230" fillId="72" borderId="61" xfId="0" applyFont="1" applyFill="1" applyBorder="1" applyAlignment="1">
      <alignment vertical="top" wrapText="1"/>
    </xf>
    <xf numFmtId="0" fontId="230" fillId="72" borderId="43" xfId="0" applyFont="1" applyFill="1" applyBorder="1" applyAlignment="1">
      <alignment vertical="top" wrapText="1"/>
    </xf>
    <xf numFmtId="0" fontId="310" fillId="32" borderId="52" xfId="0" applyFont="1" applyFill="1" applyBorder="1" applyAlignment="1">
      <alignment vertical="center" wrapText="1"/>
    </xf>
    <xf numFmtId="0" fontId="310" fillId="32" borderId="53" xfId="0" applyFont="1" applyFill="1" applyBorder="1" applyAlignment="1">
      <alignment vertical="center" wrapText="1"/>
    </xf>
    <xf numFmtId="0" fontId="230" fillId="72" borderId="66" xfId="0" applyFont="1" applyFill="1" applyBorder="1" applyAlignment="1">
      <alignment vertical="top" wrapText="1"/>
    </xf>
    <xf numFmtId="0" fontId="230" fillId="72" borderId="44" xfId="0" applyFont="1" applyFill="1" applyBorder="1" applyAlignment="1">
      <alignment vertical="top" wrapText="1"/>
    </xf>
    <xf numFmtId="0" fontId="103" fillId="45" borderId="45" xfId="0" applyFont="1" applyFill="1" applyBorder="1" applyAlignment="1">
      <alignment horizontal="left" vertical="center"/>
    </xf>
    <xf numFmtId="0" fontId="103" fillId="45" borderId="46" xfId="0" applyFont="1" applyFill="1" applyBorder="1" applyAlignment="1">
      <alignment horizontal="left" vertical="center"/>
    </xf>
    <xf numFmtId="0" fontId="103" fillId="45" borderId="47" xfId="0" applyFont="1" applyFill="1" applyBorder="1" applyAlignment="1">
      <alignment horizontal="left" vertical="center"/>
    </xf>
    <xf numFmtId="0" fontId="109" fillId="2" borderId="48" xfId="0" applyFont="1" applyFill="1" applyBorder="1" applyAlignment="1">
      <alignment horizontal="center" vertical="center" wrapText="1"/>
    </xf>
    <xf numFmtId="0" fontId="109" fillId="2" borderId="49" xfId="0" applyFont="1" applyFill="1" applyBorder="1" applyAlignment="1">
      <alignment horizontal="center" vertical="center" wrapText="1"/>
    </xf>
    <xf numFmtId="0" fontId="109" fillId="2" borderId="49" xfId="0" applyFont="1" applyFill="1" applyBorder="1" applyAlignment="1">
      <alignment horizontal="left" vertical="center" wrapText="1"/>
    </xf>
    <xf numFmtId="0" fontId="109" fillId="2" borderId="50" xfId="0" applyFont="1" applyFill="1" applyBorder="1" applyAlignment="1">
      <alignment horizontal="left" vertical="center" wrapText="1"/>
    </xf>
    <xf numFmtId="0" fontId="103" fillId="45" borderId="57" xfId="0" applyFont="1" applyFill="1" applyBorder="1" applyAlignment="1">
      <alignment horizontal="left" vertical="center" wrapText="1"/>
    </xf>
    <xf numFmtId="0" fontId="103" fillId="72" borderId="69" xfId="0" applyFont="1" applyFill="1" applyBorder="1" applyAlignment="1">
      <alignment horizontal="left" vertical="center" wrapText="1"/>
    </xf>
    <xf numFmtId="0" fontId="103" fillId="45" borderId="54" xfId="0" applyFont="1" applyFill="1" applyBorder="1" applyAlignment="1">
      <alignment horizontal="left" vertical="center"/>
    </xf>
    <xf numFmtId="0" fontId="270" fillId="62" borderId="309" xfId="0" applyFont="1" applyFill="1" applyBorder="1" applyAlignment="1">
      <alignment horizontal="center" vertical="center"/>
    </xf>
    <xf numFmtId="0" fontId="270" fillId="62" borderId="313" xfId="0" applyFont="1" applyFill="1" applyBorder="1" applyAlignment="1">
      <alignment horizontal="center" vertical="center"/>
    </xf>
    <xf numFmtId="0" fontId="270" fillId="62" borderId="361" xfId="0" applyFont="1" applyFill="1" applyBorder="1" applyAlignment="1">
      <alignment horizontal="center" vertical="center"/>
    </xf>
    <xf numFmtId="0" fontId="150" fillId="62" borderId="0" xfId="0" applyFont="1" applyFill="1" applyAlignment="1">
      <alignment horizontal="left" vertical="center"/>
    </xf>
    <xf numFmtId="0" fontId="72" fillId="2" borderId="0" xfId="2" applyFont="1" applyFill="1" applyAlignment="1">
      <alignment horizontal="center" vertical="center"/>
    </xf>
    <xf numFmtId="0" fontId="301" fillId="2" borderId="0" xfId="0" applyFont="1" applyFill="1" applyAlignment="1">
      <alignment horizontal="center" vertical="center"/>
    </xf>
    <xf numFmtId="0" fontId="147" fillId="2" borderId="0" xfId="0" applyFont="1" applyFill="1" applyAlignment="1">
      <alignment horizontal="center" vertical="center"/>
    </xf>
    <xf numFmtId="0" fontId="141" fillId="53" borderId="56" xfId="0" applyFont="1" applyFill="1" applyBorder="1" applyAlignment="1">
      <alignment horizontal="left" vertical="center" wrapText="1"/>
    </xf>
    <xf numFmtId="0" fontId="141" fillId="53" borderId="52" xfId="0" applyFont="1" applyFill="1" applyBorder="1" applyAlignment="1">
      <alignment horizontal="left" vertical="center" wrapText="1"/>
    </xf>
    <xf numFmtId="0" fontId="141" fillId="53" borderId="53" xfId="0" applyFont="1" applyFill="1" applyBorder="1" applyAlignment="1">
      <alignment horizontal="left" vertical="center" wrapText="1"/>
    </xf>
    <xf numFmtId="0" fontId="141" fillId="53" borderId="66" xfId="0" applyFont="1" applyFill="1" applyBorder="1" applyAlignment="1">
      <alignment horizontal="left" vertical="center" wrapText="1"/>
    </xf>
    <xf numFmtId="0" fontId="141" fillId="72" borderId="66" xfId="0" applyFont="1" applyFill="1" applyBorder="1" applyAlignment="1">
      <alignment horizontal="left" vertical="top" wrapText="1"/>
    </xf>
    <xf numFmtId="0" fontId="141" fillId="72" borderId="44" xfId="0" applyFont="1" applyFill="1" applyBorder="1" applyAlignment="1">
      <alignment horizontal="left" vertical="top" wrapText="1"/>
    </xf>
    <xf numFmtId="0" fontId="270" fillId="62" borderId="354" xfId="0" applyFont="1" applyFill="1" applyBorder="1" applyAlignment="1">
      <alignment horizontal="center" vertical="center"/>
    </xf>
    <xf numFmtId="0" fontId="270" fillId="72" borderId="14" xfId="0" applyFont="1" applyFill="1" applyBorder="1" applyAlignment="1">
      <alignment horizontal="center" vertical="center" wrapText="1"/>
    </xf>
    <xf numFmtId="0" fontId="58" fillId="45" borderId="258" xfId="0" applyFont="1" applyFill="1" applyBorder="1" applyAlignment="1">
      <alignment horizontal="left" vertical="center"/>
    </xf>
    <xf numFmtId="0" fontId="58" fillId="45" borderId="0" xfId="0" applyFont="1" applyFill="1" applyAlignment="1">
      <alignment horizontal="left" vertical="center"/>
    </xf>
    <xf numFmtId="0" fontId="58" fillId="72" borderId="77" xfId="0" applyFont="1" applyFill="1" applyBorder="1" applyAlignment="1">
      <alignment horizontal="left" vertical="center" wrapText="1"/>
    </xf>
    <xf numFmtId="0" fontId="58" fillId="72" borderId="78" xfId="0" applyFont="1" applyFill="1" applyBorder="1" applyAlignment="1">
      <alignment horizontal="left" vertical="center" wrapText="1"/>
    </xf>
    <xf numFmtId="0" fontId="58" fillId="45" borderId="57" xfId="0" applyFont="1" applyFill="1" applyBorder="1" applyAlignment="1">
      <alignment horizontal="left" vertical="center"/>
    </xf>
    <xf numFmtId="0" fontId="58" fillId="45" borderId="58" xfId="0" applyFont="1" applyFill="1" applyBorder="1" applyAlignment="1">
      <alignment horizontal="left" vertical="center"/>
    </xf>
    <xf numFmtId="0" fontId="58" fillId="45" borderId="59" xfId="0" applyFont="1" applyFill="1" applyBorder="1" applyAlignment="1">
      <alignment horizontal="left" vertical="center"/>
    </xf>
    <xf numFmtId="0" fontId="58" fillId="72" borderId="61" xfId="0" applyFont="1" applyFill="1" applyBorder="1" applyAlignment="1">
      <alignment horizontal="left" vertical="center" wrapText="1"/>
    </xf>
    <xf numFmtId="0" fontId="58" fillId="72" borderId="43" xfId="0" applyFont="1" applyFill="1" applyBorder="1" applyAlignment="1">
      <alignment horizontal="left" vertical="center" wrapText="1"/>
    </xf>
    <xf numFmtId="0" fontId="98" fillId="71" borderId="99" xfId="0" applyFont="1" applyFill="1" applyBorder="1" applyAlignment="1">
      <alignment vertical="top" wrapText="1"/>
    </xf>
    <xf numFmtId="0" fontId="98" fillId="71" borderId="99" xfId="0" applyFont="1" applyFill="1" applyBorder="1" applyAlignment="1">
      <alignment wrapText="1"/>
    </xf>
    <xf numFmtId="0" fontId="98" fillId="71" borderId="344" xfId="0" applyFont="1" applyFill="1" applyBorder="1" applyAlignment="1">
      <alignment wrapText="1"/>
    </xf>
    <xf numFmtId="0" fontId="149" fillId="30" borderId="175" xfId="0" applyFont="1" applyFill="1" applyBorder="1" applyAlignment="1">
      <alignment vertical="top" wrapText="1"/>
    </xf>
    <xf numFmtId="0" fontId="98" fillId="30" borderId="175" xfId="0" applyFont="1" applyFill="1" applyBorder="1" applyAlignment="1">
      <alignment wrapText="1"/>
    </xf>
    <xf numFmtId="0" fontId="98" fillId="30" borderId="349" xfId="0" applyFont="1" applyFill="1" applyBorder="1" applyAlignment="1">
      <alignment wrapText="1"/>
    </xf>
    <xf numFmtId="0" fontId="98" fillId="30" borderId="341" xfId="0" applyFont="1" applyFill="1" applyBorder="1" applyAlignment="1">
      <alignment vertical="top" wrapText="1"/>
    </xf>
    <xf numFmtId="0" fontId="98" fillId="30" borderId="341" xfId="0" applyFont="1" applyFill="1" applyBorder="1" applyAlignment="1">
      <alignment wrapText="1"/>
    </xf>
    <xf numFmtId="0" fontId="98" fillId="30" borderId="342" xfId="0" applyFont="1" applyFill="1" applyBorder="1" applyAlignment="1">
      <alignment wrapText="1"/>
    </xf>
    <xf numFmtId="0" fontId="153" fillId="70" borderId="346" xfId="0" applyFont="1" applyFill="1" applyBorder="1" applyAlignment="1">
      <alignment wrapText="1"/>
    </xf>
    <xf numFmtId="0" fontId="153" fillId="70" borderId="347" xfId="0" applyFont="1" applyFill="1" applyBorder="1" applyAlignment="1">
      <alignment wrapText="1"/>
    </xf>
    <xf numFmtId="0" fontId="98" fillId="29" borderId="346" xfId="0" applyFont="1" applyFill="1" applyBorder="1" applyAlignment="1">
      <alignment vertical="top" wrapText="1"/>
    </xf>
    <xf numFmtId="0" fontId="98" fillId="29" borderId="346" xfId="0" applyFont="1" applyFill="1" applyBorder="1" applyAlignment="1">
      <alignment wrapText="1"/>
    </xf>
    <xf numFmtId="0" fontId="98" fillId="29" borderId="347" xfId="0" applyFont="1" applyFill="1" applyBorder="1" applyAlignment="1">
      <alignment wrapText="1"/>
    </xf>
    <xf numFmtId="0" fontId="98" fillId="69" borderId="346" xfId="0" applyFont="1" applyFill="1" applyBorder="1" applyAlignment="1">
      <alignment vertical="top" wrapText="1"/>
    </xf>
    <xf numFmtId="0" fontId="98" fillId="69" borderId="346" xfId="0" applyFont="1" applyFill="1" applyBorder="1" applyAlignment="1">
      <alignment wrapText="1"/>
    </xf>
    <xf numFmtId="0" fontId="98" fillId="69" borderId="347" xfId="0" applyFont="1" applyFill="1" applyBorder="1" applyAlignment="1">
      <alignment wrapText="1"/>
    </xf>
    <xf numFmtId="0" fontId="270" fillId="24" borderId="0" xfId="0" applyFont="1" applyFill="1" applyAlignment="1">
      <alignment horizontal="left" vertical="center"/>
    </xf>
    <xf numFmtId="0" fontId="263" fillId="72" borderId="0" xfId="0" applyFont="1" applyFill="1" applyAlignment="1">
      <alignment horizontal="left" vertical="center" wrapText="1"/>
    </xf>
    <xf numFmtId="0" fontId="58" fillId="45" borderId="333" xfId="0" applyFont="1" applyFill="1" applyBorder="1" applyAlignment="1">
      <alignment horizontal="left" vertical="center"/>
    </xf>
    <xf numFmtId="0" fontId="77" fillId="45" borderId="334" xfId="0" applyFont="1" applyFill="1" applyBorder="1" applyAlignment="1">
      <alignment horizontal="left" vertical="center"/>
    </xf>
    <xf numFmtId="0" fontId="58" fillId="72" borderId="334" xfId="0" applyFont="1" applyFill="1" applyBorder="1" applyAlignment="1">
      <alignment horizontal="left" vertical="center" wrapText="1"/>
    </xf>
    <xf numFmtId="0" fontId="152" fillId="45" borderId="339" xfId="0" applyFont="1" applyFill="1" applyBorder="1" applyAlignment="1">
      <alignment horizontal="left" vertical="center" wrapText="1"/>
    </xf>
    <xf numFmtId="0" fontId="152" fillId="45" borderId="62" xfId="0" applyFont="1" applyFill="1" applyBorder="1" applyAlignment="1">
      <alignment horizontal="left" vertical="center" wrapText="1"/>
    </xf>
    <xf numFmtId="0" fontId="58" fillId="72" borderId="62" xfId="0" applyFont="1" applyFill="1" applyBorder="1" applyAlignment="1">
      <alignment horizontal="left" vertical="center" wrapText="1"/>
    </xf>
    <xf numFmtId="0" fontId="77" fillId="45" borderId="339" xfId="0" applyFont="1" applyFill="1" applyBorder="1" applyAlignment="1">
      <alignment horizontal="left" vertical="center" wrapText="1"/>
    </xf>
    <xf numFmtId="0" fontId="77" fillId="45" borderId="62" xfId="0" applyFont="1" applyFill="1" applyBorder="1" applyAlignment="1">
      <alignment horizontal="left" vertical="center" wrapText="1"/>
    </xf>
    <xf numFmtId="0" fontId="58" fillId="45" borderId="339" xfId="0" applyFont="1" applyFill="1" applyBorder="1" applyAlignment="1">
      <alignment horizontal="left" vertical="center" wrapText="1"/>
    </xf>
    <xf numFmtId="0" fontId="58" fillId="45" borderId="62" xfId="0" applyFont="1" applyFill="1" applyBorder="1" applyAlignment="1">
      <alignment horizontal="left" vertical="center" wrapText="1"/>
    </xf>
    <xf numFmtId="0" fontId="5" fillId="72" borderId="61" xfId="0" applyFont="1" applyFill="1" applyBorder="1" applyAlignment="1">
      <alignment horizontal="left" vertical="center" wrapText="1"/>
    </xf>
    <xf numFmtId="0" fontId="5" fillId="72" borderId="43" xfId="0" applyFont="1" applyFill="1" applyBorder="1" applyAlignment="1">
      <alignment horizontal="left" vertical="center" wrapText="1"/>
    </xf>
    <xf numFmtId="0" fontId="32" fillId="72" borderId="0" xfId="2" applyFont="1" applyFill="1" applyAlignment="1">
      <alignment horizontal="center" vertical="center" wrapText="1"/>
    </xf>
    <xf numFmtId="0" fontId="58" fillId="45" borderId="333" xfId="0" applyFont="1" applyFill="1" applyBorder="1" applyAlignment="1">
      <alignment horizontal="left" vertical="center" wrapText="1"/>
    </xf>
    <xf numFmtId="0" fontId="58" fillId="45" borderId="334" xfId="0" applyFont="1" applyFill="1" applyBorder="1" applyAlignment="1">
      <alignment horizontal="left" vertical="center" wrapText="1"/>
    </xf>
    <xf numFmtId="0" fontId="5" fillId="72" borderId="77" xfId="0" applyFont="1" applyFill="1" applyBorder="1" applyAlignment="1">
      <alignment horizontal="left" vertical="center" wrapText="1"/>
    </xf>
    <xf numFmtId="0" fontId="5" fillId="72" borderId="78" xfId="0" applyFont="1" applyFill="1" applyBorder="1" applyAlignment="1">
      <alignment horizontal="left" vertical="center" wrapText="1"/>
    </xf>
    <xf numFmtId="0" fontId="262" fillId="24" borderId="0" xfId="0" applyFont="1" applyFill="1" applyAlignment="1">
      <alignment horizontal="left" vertical="center"/>
    </xf>
    <xf numFmtId="0" fontId="262" fillId="24" borderId="0" xfId="0" applyFont="1" applyFill="1" applyAlignment="1">
      <alignment horizontal="left" vertical="center" wrapText="1"/>
    </xf>
    <xf numFmtId="0" fontId="39" fillId="72" borderId="14" xfId="0" applyFont="1" applyFill="1" applyBorder="1" applyAlignment="1">
      <alignment horizontal="left" vertical="center" wrapText="1"/>
    </xf>
    <xf numFmtId="0" fontId="58" fillId="45" borderId="258" xfId="0" applyFont="1" applyFill="1" applyBorder="1" applyAlignment="1">
      <alignment horizontal="left" vertical="center" wrapText="1"/>
    </xf>
    <xf numFmtId="0" fontId="58" fillId="45" borderId="0" xfId="0" applyFont="1" applyFill="1" applyAlignment="1">
      <alignment horizontal="left" vertical="center" wrapText="1"/>
    </xf>
    <xf numFmtId="0" fontId="58" fillId="45" borderId="109" xfId="0" applyFont="1" applyFill="1" applyBorder="1" applyAlignment="1">
      <alignment horizontal="left" vertical="center" wrapText="1"/>
    </xf>
    <xf numFmtId="0" fontId="58" fillId="45" borderId="110" xfId="0" applyFont="1" applyFill="1" applyBorder="1" applyAlignment="1">
      <alignment horizontal="left" vertical="center" wrapText="1"/>
    </xf>
    <xf numFmtId="0" fontId="58" fillId="45" borderId="111" xfId="0" applyFont="1" applyFill="1" applyBorder="1" applyAlignment="1">
      <alignment horizontal="left" vertical="center" wrapText="1"/>
    </xf>
    <xf numFmtId="0" fontId="58" fillId="45" borderId="64" xfId="0" applyFont="1" applyFill="1" applyBorder="1" applyAlignment="1">
      <alignment horizontal="left" vertical="center" wrapText="1"/>
    </xf>
    <xf numFmtId="0" fontId="58" fillId="45" borderId="120" xfId="0" applyFont="1" applyFill="1" applyBorder="1" applyAlignment="1">
      <alignment horizontal="left" vertical="center" wrapText="1"/>
    </xf>
    <xf numFmtId="0" fontId="58" fillId="45" borderId="121" xfId="0" applyFont="1" applyFill="1" applyBorder="1" applyAlignment="1">
      <alignment horizontal="left" vertical="center" wrapText="1"/>
    </xf>
    <xf numFmtId="0" fontId="58" fillId="45" borderId="122" xfId="0" applyFont="1" applyFill="1" applyBorder="1" applyAlignment="1">
      <alignment horizontal="left" vertical="center" wrapText="1"/>
    </xf>
    <xf numFmtId="0" fontId="71" fillId="45" borderId="0" xfId="2" applyFont="1" applyFill="1" applyAlignment="1">
      <alignment horizontal="center" vertical="center"/>
    </xf>
    <xf numFmtId="0" fontId="71" fillId="45" borderId="0" xfId="2" applyFont="1" applyFill="1" applyAlignment="1">
      <alignment horizontal="center" vertical="center" wrapText="1"/>
    </xf>
    <xf numFmtId="0" fontId="57" fillId="24" borderId="0" xfId="0" applyFont="1" applyFill="1" applyAlignment="1">
      <alignment horizontal="left" vertical="center"/>
    </xf>
    <xf numFmtId="0" fontId="57" fillId="24" borderId="0" xfId="0" applyFont="1" applyFill="1" applyAlignment="1">
      <alignment horizontal="left" vertical="center" wrapText="1"/>
    </xf>
    <xf numFmtId="0" fontId="57" fillId="24" borderId="14" xfId="0" applyFont="1" applyFill="1" applyBorder="1" applyAlignment="1">
      <alignment horizontal="left" vertical="center" wrapText="1"/>
    </xf>
    <xf numFmtId="0" fontId="58" fillId="45" borderId="84" xfId="0" applyFont="1" applyFill="1" applyBorder="1" applyAlignment="1">
      <alignment horizontal="left" vertical="center" wrapText="1"/>
    </xf>
    <xf numFmtId="0" fontId="58" fillId="45" borderId="85" xfId="0" applyFont="1" applyFill="1" applyBorder="1" applyAlignment="1">
      <alignment horizontal="left" vertical="center" wrapText="1"/>
    </xf>
    <xf numFmtId="0" fontId="58" fillId="45" borderId="86" xfId="0" applyFont="1" applyFill="1" applyBorder="1" applyAlignment="1">
      <alignment horizontal="left" vertical="center" wrapText="1"/>
    </xf>
    <xf numFmtId="0" fontId="85" fillId="70" borderId="61" xfId="0" applyFont="1" applyFill="1" applyBorder="1" applyAlignment="1">
      <alignment horizontal="center" vertical="center" wrapText="1"/>
    </xf>
    <xf numFmtId="0" fontId="85" fillId="70" borderId="61" xfId="0" applyFont="1" applyFill="1" applyBorder="1" applyAlignment="1">
      <alignment horizontal="left" vertical="center" wrapText="1"/>
    </xf>
    <xf numFmtId="0" fontId="4" fillId="45" borderId="137" xfId="0" applyFont="1" applyFill="1" applyBorder="1" applyAlignment="1">
      <alignment horizontal="center"/>
    </xf>
    <xf numFmtId="0" fontId="0" fillId="0" borderId="61" xfId="0" applyBorder="1"/>
    <xf numFmtId="0" fontId="0" fillId="0" borderId="40" xfId="0" applyBorder="1"/>
    <xf numFmtId="0" fontId="96" fillId="45" borderId="0" xfId="2" applyFont="1" applyFill="1" applyAlignment="1" applyProtection="1">
      <alignment horizontal="center" vertical="center"/>
      <protection locked="0"/>
    </xf>
    <xf numFmtId="0" fontId="96" fillId="45" borderId="0" xfId="2" applyFont="1" applyFill="1" applyAlignment="1" applyProtection="1">
      <alignment horizontal="center" vertical="center" wrapText="1"/>
      <protection locked="0"/>
    </xf>
    <xf numFmtId="0" fontId="97" fillId="24" borderId="0" xfId="0" applyFont="1" applyFill="1" applyAlignment="1">
      <alignment horizontal="left" vertical="center"/>
    </xf>
    <xf numFmtId="0" fontId="97" fillId="24" borderId="0" xfId="0" applyFont="1" applyFill="1" applyAlignment="1">
      <alignment horizontal="left" vertical="center" wrapText="1"/>
    </xf>
    <xf numFmtId="0" fontId="97" fillId="24" borderId="14" xfId="0" applyFont="1" applyFill="1" applyBorder="1" applyAlignment="1">
      <alignment horizontal="left" vertical="center" wrapText="1"/>
    </xf>
    <xf numFmtId="0" fontId="58" fillId="45" borderId="77" xfId="0" applyFont="1" applyFill="1" applyBorder="1" applyAlignment="1">
      <alignment horizontal="left" vertical="center" wrapText="1"/>
    </xf>
    <xf numFmtId="0" fontId="58" fillId="45" borderId="78" xfId="0" applyFont="1" applyFill="1" applyBorder="1" applyAlignment="1">
      <alignment horizontal="left" vertical="center" wrapText="1"/>
    </xf>
    <xf numFmtId="0" fontId="103" fillId="61" borderId="145" xfId="0" applyFont="1" applyFill="1" applyBorder="1" applyAlignment="1">
      <alignment horizontal="left" vertical="center" wrapText="1"/>
    </xf>
    <xf numFmtId="0" fontId="103" fillId="61" borderId="143" xfId="0" applyFont="1" applyFill="1" applyBorder="1" applyAlignment="1">
      <alignment horizontal="left" vertical="center" wrapText="1"/>
    </xf>
    <xf numFmtId="0" fontId="103" fillId="61" borderId="146" xfId="0" applyFont="1" applyFill="1" applyBorder="1" applyAlignment="1">
      <alignment horizontal="left" vertical="center" wrapText="1"/>
    </xf>
    <xf numFmtId="0" fontId="103" fillId="45" borderId="84" xfId="0" applyFont="1" applyFill="1" applyBorder="1" applyAlignment="1">
      <alignment horizontal="left" vertical="center" wrapText="1"/>
    </xf>
    <xf numFmtId="0" fontId="103" fillId="45" borderId="85" xfId="0" applyFont="1" applyFill="1" applyBorder="1" applyAlignment="1">
      <alignment horizontal="left" vertical="center" wrapText="1"/>
    </xf>
    <xf numFmtId="0" fontId="103" fillId="45" borderId="86" xfId="0" applyFont="1" applyFill="1" applyBorder="1" applyAlignment="1">
      <alignment horizontal="left" vertical="center" wrapText="1"/>
    </xf>
    <xf numFmtId="0" fontId="103" fillId="45" borderId="64" xfId="0" applyFont="1" applyFill="1" applyBorder="1" applyAlignment="1">
      <alignment horizontal="left" vertical="center" wrapText="1"/>
    </xf>
    <xf numFmtId="0" fontId="103" fillId="45" borderId="148" xfId="0" applyFont="1" applyFill="1" applyBorder="1" applyAlignment="1">
      <alignment horizontal="left" vertical="center" wrapText="1"/>
    </xf>
    <xf numFmtId="0" fontId="103" fillId="45" borderId="149" xfId="0" applyFont="1" applyFill="1" applyBorder="1" applyAlignment="1">
      <alignment horizontal="left" vertical="center" wrapText="1"/>
    </xf>
    <xf numFmtId="0" fontId="103" fillId="45" borderId="150" xfId="0" applyFont="1" applyFill="1" applyBorder="1" applyAlignment="1">
      <alignment horizontal="left" vertical="center" wrapText="1"/>
    </xf>
    <xf numFmtId="0" fontId="103" fillId="61" borderId="148" xfId="0" applyFont="1" applyFill="1" applyBorder="1" applyAlignment="1">
      <alignment horizontal="left" vertical="center" wrapText="1"/>
    </xf>
    <xf numFmtId="0" fontId="103" fillId="61" borderId="149" xfId="0" applyFont="1" applyFill="1" applyBorder="1" applyAlignment="1">
      <alignment horizontal="left" vertical="center" wrapText="1"/>
    </xf>
    <xf numFmtId="0" fontId="103" fillId="61" borderId="150" xfId="0" applyFont="1" applyFill="1" applyBorder="1" applyAlignment="1">
      <alignment horizontal="left" vertical="center" wrapText="1"/>
    </xf>
    <xf numFmtId="0" fontId="103" fillId="61" borderId="109" xfId="0" applyFont="1" applyFill="1" applyBorder="1" applyAlignment="1">
      <alignment horizontal="left" vertical="center" wrapText="1"/>
    </xf>
    <xf numFmtId="0" fontId="103" fillId="61" borderId="110" xfId="0" applyFont="1" applyFill="1" applyBorder="1" applyAlignment="1">
      <alignment horizontal="left" vertical="center" wrapText="1"/>
    </xf>
    <xf numFmtId="0" fontId="103" fillId="61" borderId="111" xfId="0" applyFont="1" applyFill="1" applyBorder="1" applyAlignment="1">
      <alignment horizontal="left" vertical="center" wrapText="1"/>
    </xf>
    <xf numFmtId="0" fontId="58" fillId="24" borderId="79" xfId="0" applyFont="1" applyFill="1" applyBorder="1" applyAlignment="1">
      <alignment horizontal="left" vertical="center"/>
    </xf>
    <xf numFmtId="0" fontId="58" fillId="24" borderId="0" xfId="0" applyFont="1" applyFill="1" applyAlignment="1">
      <alignment horizontal="left" vertical="center" wrapText="1"/>
    </xf>
    <xf numFmtId="0" fontId="145" fillId="24" borderId="0" xfId="0" applyFont="1" applyFill="1" applyAlignment="1">
      <alignment horizontal="left" vertical="top" wrapText="1"/>
    </xf>
    <xf numFmtId="0" fontId="145" fillId="72" borderId="0" xfId="0" applyFont="1" applyFill="1" applyAlignment="1">
      <alignment horizontal="left" vertical="top" wrapText="1"/>
    </xf>
    <xf numFmtId="0" fontId="141" fillId="64" borderId="188" xfId="0" applyFont="1" applyFill="1" applyBorder="1" applyAlignment="1">
      <alignment horizontal="left" vertical="top" wrapText="1"/>
    </xf>
    <xf numFmtId="0" fontId="141" fillId="64" borderId="61" xfId="0" applyFont="1" applyFill="1" applyBorder="1" applyAlignment="1">
      <alignment horizontal="left" vertical="top" wrapText="1"/>
    </xf>
    <xf numFmtId="0" fontId="141" fillId="64" borderId="192" xfId="0" applyFont="1" applyFill="1" applyBorder="1" applyAlignment="1">
      <alignment horizontal="left" vertical="top" wrapText="1"/>
    </xf>
    <xf numFmtId="0" fontId="144" fillId="53" borderId="61" xfId="0" applyFont="1" applyFill="1" applyBorder="1" applyAlignment="1">
      <alignment horizontal="left" vertical="top" wrapText="1"/>
    </xf>
    <xf numFmtId="0" fontId="144" fillId="72" borderId="61" xfId="0" applyFont="1" applyFill="1" applyBorder="1" applyAlignment="1">
      <alignment horizontal="left" vertical="top" wrapText="1"/>
    </xf>
    <xf numFmtId="0" fontId="144" fillId="72" borderId="43" xfId="0" applyFont="1" applyFill="1" applyBorder="1" applyAlignment="1">
      <alignment horizontal="left" vertical="top" wrapText="1"/>
    </xf>
    <xf numFmtId="0" fontId="58" fillId="73" borderId="161" xfId="0" applyFont="1" applyFill="1" applyBorder="1" applyAlignment="1">
      <alignment horizontal="left" vertical="center"/>
    </xf>
    <xf numFmtId="0" fontId="58" fillId="73" borderId="162" xfId="0" applyFont="1" applyFill="1" applyBorder="1" applyAlignment="1">
      <alignment horizontal="left" vertical="center" wrapText="1"/>
    </xf>
    <xf numFmtId="0" fontId="58" fillId="73" borderId="163" xfId="0" applyFont="1" applyFill="1" applyBorder="1" applyAlignment="1">
      <alignment horizontal="left" vertical="center" wrapText="1"/>
    </xf>
    <xf numFmtId="0" fontId="58" fillId="73" borderId="0" xfId="0" applyFont="1" applyFill="1" applyAlignment="1">
      <alignment horizontal="left" vertical="center" wrapText="1"/>
    </xf>
    <xf numFmtId="0" fontId="150" fillId="73" borderId="198" xfId="0" applyFont="1" applyFill="1" applyBorder="1" applyAlignment="1">
      <alignment horizontal="left" vertical="center"/>
    </xf>
    <xf numFmtId="0" fontId="150" fillId="73" borderId="0" xfId="0" applyFont="1" applyFill="1" applyAlignment="1">
      <alignment horizontal="left" vertical="center" wrapText="1"/>
    </xf>
    <xf numFmtId="0" fontId="150" fillId="73" borderId="199" xfId="0" applyFont="1" applyFill="1" applyBorder="1" applyAlignment="1">
      <alignment horizontal="left" vertical="center" wrapText="1"/>
    </xf>
    <xf numFmtId="0" fontId="150" fillId="72" borderId="0" xfId="0" applyFont="1" applyFill="1" applyAlignment="1">
      <alignment horizontal="left" vertical="center" wrapText="1"/>
    </xf>
    <xf numFmtId="0" fontId="97" fillId="24" borderId="12" xfId="0" applyFont="1" applyFill="1" applyBorder="1" applyAlignment="1">
      <alignment horizontal="left" vertical="center" wrapText="1"/>
    </xf>
    <xf numFmtId="0" fontId="103" fillId="72" borderId="70" xfId="0" applyFont="1" applyFill="1" applyBorder="1" applyAlignment="1">
      <alignment horizontal="left" vertical="center" wrapText="1"/>
    </xf>
    <xf numFmtId="0" fontId="103" fillId="72" borderId="71" xfId="0" applyFont="1" applyFill="1" applyBorder="1" applyAlignment="1">
      <alignment horizontal="left" vertical="center" wrapText="1"/>
    </xf>
    <xf numFmtId="0" fontId="103" fillId="73" borderId="161" xfId="0" applyFont="1" applyFill="1" applyBorder="1" applyAlignment="1">
      <alignment horizontal="left" vertical="center" wrapText="1"/>
    </xf>
    <xf numFmtId="0" fontId="103" fillId="73" borderId="162" xfId="0" applyFont="1" applyFill="1" applyBorder="1" applyAlignment="1">
      <alignment horizontal="left" vertical="center" wrapText="1"/>
    </xf>
    <xf numFmtId="0" fontId="103" fillId="73" borderId="163" xfId="0" applyFont="1" applyFill="1" applyBorder="1" applyAlignment="1">
      <alignment horizontal="left" vertical="center" wrapText="1"/>
    </xf>
    <xf numFmtId="0" fontId="103" fillId="73" borderId="61" xfId="0" applyFont="1" applyFill="1" applyBorder="1" applyAlignment="1">
      <alignment horizontal="left" vertical="center" wrapText="1"/>
    </xf>
    <xf numFmtId="0" fontId="103" fillId="45" borderId="176" xfId="0" applyFont="1" applyFill="1" applyBorder="1" applyAlignment="1">
      <alignment horizontal="left" vertical="center" wrapText="1"/>
    </xf>
    <xf numFmtId="0" fontId="103" fillId="45" borderId="174" xfId="0" applyFont="1" applyFill="1" applyBorder="1" applyAlignment="1">
      <alignment horizontal="left" vertical="center" wrapText="1"/>
    </xf>
    <xf numFmtId="0" fontId="103" fillId="45" borderId="177" xfId="0" applyFont="1" applyFill="1" applyBorder="1" applyAlignment="1">
      <alignment horizontal="left" vertical="center" wrapText="1"/>
    </xf>
    <xf numFmtId="0" fontId="103" fillId="45" borderId="168" xfId="0" applyFont="1" applyFill="1" applyBorder="1" applyAlignment="1">
      <alignment horizontal="left" vertical="center" wrapText="1"/>
    </xf>
    <xf numFmtId="0" fontId="103" fillId="45" borderId="61" xfId="0" applyFont="1" applyFill="1" applyBorder="1" applyAlignment="1">
      <alignment horizontal="left" vertical="center" wrapText="1"/>
    </xf>
    <xf numFmtId="0" fontId="103" fillId="73" borderId="107" xfId="0" applyFont="1" applyFill="1" applyBorder="1" applyAlignment="1">
      <alignment horizontal="left" vertical="center" wrapText="1"/>
    </xf>
    <xf numFmtId="0" fontId="103" fillId="73" borderId="108" xfId="0" applyFont="1" applyFill="1" applyBorder="1" applyAlignment="1">
      <alignment horizontal="left" vertical="center" wrapText="1"/>
    </xf>
    <xf numFmtId="0" fontId="103" fillId="73" borderId="178" xfId="0" applyFont="1" applyFill="1" applyBorder="1" applyAlignment="1">
      <alignment horizontal="left" vertical="center" wrapText="1"/>
    </xf>
    <xf numFmtId="0" fontId="103" fillId="73" borderId="133" xfId="0" applyFont="1" applyFill="1" applyBorder="1" applyAlignment="1">
      <alignment horizontal="left" vertical="center" wrapText="1"/>
    </xf>
    <xf numFmtId="0" fontId="103" fillId="73" borderId="49" xfId="0" applyFont="1" applyFill="1" applyBorder="1" applyAlignment="1">
      <alignment horizontal="left" vertical="center" wrapText="1"/>
    </xf>
    <xf numFmtId="0" fontId="103" fillId="73" borderId="168" xfId="0" applyFont="1" applyFill="1" applyBorder="1" applyAlignment="1">
      <alignment horizontal="left" vertical="center" wrapText="1"/>
    </xf>
    <xf numFmtId="0" fontId="103" fillId="24" borderId="79" xfId="0" applyFont="1" applyFill="1" applyBorder="1" applyAlignment="1">
      <alignment horizontal="left" vertical="center" wrapText="1"/>
    </xf>
    <xf numFmtId="0" fontId="103" fillId="24" borderId="0" xfId="0" applyFont="1" applyFill="1" applyAlignment="1">
      <alignment horizontal="left" vertical="center" wrapText="1"/>
    </xf>
    <xf numFmtId="0" fontId="103" fillId="24" borderId="61" xfId="0" applyFont="1" applyFill="1" applyBorder="1" applyAlignment="1">
      <alignment horizontal="left" vertical="center" wrapText="1"/>
    </xf>
    <xf numFmtId="0" fontId="144" fillId="66" borderId="182" xfId="0" applyFont="1" applyFill="1" applyBorder="1" applyAlignment="1">
      <alignment horizontal="left" vertical="top" wrapText="1"/>
    </xf>
    <xf numFmtId="0" fontId="144" fillId="66" borderId="108" xfId="0" applyFont="1" applyFill="1" applyBorder="1" applyAlignment="1">
      <alignment horizontal="left" vertical="top" wrapText="1"/>
    </xf>
    <xf numFmtId="0" fontId="144" fillId="66" borderId="108" xfId="0" applyFont="1" applyFill="1" applyBorder="1" applyAlignment="1">
      <alignment horizontal="center" vertical="top" wrapText="1"/>
    </xf>
    <xf numFmtId="0" fontId="148" fillId="66" borderId="108" xfId="0" applyFont="1" applyFill="1" applyBorder="1" applyAlignment="1">
      <alignment horizontal="center" vertical="top" wrapText="1"/>
    </xf>
    <xf numFmtId="0" fontId="144" fillId="66" borderId="183" xfId="0" applyFont="1" applyFill="1" applyBorder="1" applyAlignment="1">
      <alignment horizontal="left" vertical="top" wrapText="1"/>
    </xf>
    <xf numFmtId="0" fontId="97" fillId="24" borderId="84" xfId="0" applyFont="1" applyFill="1" applyBorder="1" applyAlignment="1">
      <alignment horizontal="left" vertical="center"/>
    </xf>
    <xf numFmtId="0" fontId="97" fillId="24" borderId="85" xfId="0" applyFont="1" applyFill="1" applyBorder="1" applyAlignment="1">
      <alignment horizontal="left" vertical="center" wrapText="1"/>
    </xf>
    <xf numFmtId="0" fontId="97" fillId="24" borderId="86" xfId="0" applyFont="1" applyFill="1" applyBorder="1" applyAlignment="1">
      <alignment horizontal="left" vertical="center" wrapText="1"/>
    </xf>
    <xf numFmtId="0" fontId="71" fillId="45" borderId="0" xfId="0" applyFont="1" applyFill="1" applyAlignment="1">
      <alignment horizontal="center" vertical="center"/>
    </xf>
    <xf numFmtId="0" fontId="71" fillId="45" borderId="0" xfId="0" applyFont="1" applyFill="1" applyAlignment="1">
      <alignment horizontal="center" vertical="center" wrapText="1"/>
    </xf>
    <xf numFmtId="0" fontId="192" fillId="45" borderId="37" xfId="0" applyFont="1" applyFill="1" applyBorder="1" applyAlignment="1">
      <alignment horizontal="center" vertical="center"/>
    </xf>
    <xf numFmtId="0" fontId="192" fillId="45" borderId="0" xfId="0" applyFont="1" applyFill="1" applyAlignment="1">
      <alignment horizontal="center" vertical="center" wrapText="1"/>
    </xf>
    <xf numFmtId="0" fontId="193" fillId="65" borderId="0" xfId="2" applyFont="1" applyFill="1" applyAlignment="1">
      <alignment horizontal="left" vertical="center"/>
    </xf>
    <xf numFmtId="0" fontId="194" fillId="65" borderId="0" xfId="0" applyFont="1" applyFill="1" applyAlignment="1">
      <alignment horizontal="left" vertical="center" wrapText="1"/>
    </xf>
    <xf numFmtId="0" fontId="194" fillId="65" borderId="38" xfId="0" applyFont="1" applyFill="1" applyBorder="1" applyAlignment="1">
      <alignment horizontal="left" vertical="center" wrapText="1"/>
    </xf>
    <xf numFmtId="0" fontId="191" fillId="75" borderId="48" xfId="0" applyFont="1" applyFill="1" applyBorder="1" applyAlignment="1">
      <alignment horizontal="left" vertical="center" wrapText="1"/>
    </xf>
    <xf numFmtId="0" fontId="191" fillId="75" borderId="49" xfId="0" applyFont="1" applyFill="1" applyBorder="1" applyAlignment="1">
      <alignment horizontal="left" vertical="center" wrapText="1"/>
    </xf>
    <xf numFmtId="0" fontId="191" fillId="75" borderId="49" xfId="0" applyFont="1" applyFill="1" applyBorder="1" applyAlignment="1">
      <alignment horizontal="center" vertical="center" wrapText="1"/>
    </xf>
    <xf numFmtId="9" fontId="191" fillId="75" borderId="49" xfId="0" applyNumberFormat="1" applyFont="1" applyFill="1" applyBorder="1" applyAlignment="1">
      <alignment horizontal="center" vertical="center" wrapText="1"/>
    </xf>
    <xf numFmtId="0" fontId="191" fillId="75" borderId="103" xfId="0" applyFont="1" applyFill="1" applyBorder="1" applyAlignment="1">
      <alignment horizontal="left" vertical="center" wrapText="1"/>
    </xf>
    <xf numFmtId="0" fontId="191" fillId="75" borderId="0" xfId="0" applyFont="1" applyFill="1" applyAlignment="1">
      <alignment horizontal="left" vertical="center" wrapText="1"/>
    </xf>
    <xf numFmtId="0" fontId="191" fillId="75" borderId="0" xfId="0" applyFont="1" applyFill="1" applyAlignment="1">
      <alignment horizontal="center" vertical="center" wrapText="1"/>
    </xf>
    <xf numFmtId="0" fontId="175" fillId="66" borderId="107" xfId="0" applyFont="1" applyFill="1" applyBorder="1" applyAlignment="1">
      <alignment horizontal="left" vertical="center" wrapText="1"/>
    </xf>
    <xf numFmtId="0" fontId="175" fillId="66" borderId="108" xfId="0" applyFont="1" applyFill="1" applyBorder="1" applyAlignment="1">
      <alignment horizontal="left" vertical="center" wrapText="1"/>
    </xf>
    <xf numFmtId="0" fontId="175" fillId="66" borderId="108" xfId="0" applyFont="1" applyFill="1" applyBorder="1" applyAlignment="1">
      <alignment horizontal="center" vertical="center" wrapText="1"/>
    </xf>
    <xf numFmtId="9" fontId="175" fillId="66" borderId="108" xfId="0" applyNumberFormat="1" applyFont="1" applyFill="1" applyBorder="1" applyAlignment="1">
      <alignment horizontal="center" vertical="center" wrapText="1"/>
    </xf>
    <xf numFmtId="0" fontId="175" fillId="66" borderId="178" xfId="0" applyFont="1" applyFill="1" applyBorder="1" applyAlignment="1">
      <alignment horizontal="left" vertical="center" wrapText="1"/>
    </xf>
    <xf numFmtId="0" fontId="172" fillId="72" borderId="0" xfId="0" applyFont="1" applyFill="1" applyAlignment="1">
      <alignment horizontal="left" vertical="center" wrapText="1"/>
    </xf>
    <xf numFmtId="0" fontId="191" fillId="56" borderId="48" xfId="0" applyFont="1" applyFill="1" applyBorder="1" applyAlignment="1">
      <alignment horizontal="left" vertical="center"/>
    </xf>
    <xf numFmtId="0" fontId="191" fillId="56" borderId="49" xfId="0" applyFont="1" applyFill="1" applyBorder="1" applyAlignment="1">
      <alignment horizontal="left" vertical="center"/>
    </xf>
    <xf numFmtId="9" fontId="191" fillId="56" borderId="49" xfId="0" applyNumberFormat="1" applyFont="1" applyFill="1" applyBorder="1" applyAlignment="1">
      <alignment horizontal="left" vertical="center"/>
    </xf>
    <xf numFmtId="0" fontId="191" fillId="56" borderId="103" xfId="0" applyFont="1" applyFill="1" applyBorder="1" applyAlignment="1">
      <alignment horizontal="left" vertical="center"/>
    </xf>
    <xf numFmtId="0" fontId="191" fillId="56" borderId="0" xfId="0" applyFont="1" applyFill="1" applyAlignment="1">
      <alignment horizontal="left" vertical="center"/>
    </xf>
    <xf numFmtId="0" fontId="191" fillId="76" borderId="227" xfId="0" applyFont="1" applyFill="1" applyBorder="1" applyAlignment="1">
      <alignment horizontal="left" vertical="center"/>
    </xf>
    <xf numFmtId="0" fontId="191" fillId="76" borderId="228" xfId="0" applyFont="1" applyFill="1" applyBorder="1" applyAlignment="1">
      <alignment horizontal="left" vertical="center"/>
    </xf>
    <xf numFmtId="9" fontId="191" fillId="76" borderId="228" xfId="0" applyNumberFormat="1" applyFont="1" applyFill="1" applyBorder="1" applyAlignment="1">
      <alignment horizontal="left" vertical="center"/>
    </xf>
    <xf numFmtId="0" fontId="191" fillId="76" borderId="229" xfId="0" applyFont="1" applyFill="1" applyBorder="1" applyAlignment="1">
      <alignment horizontal="left" vertical="center"/>
    </xf>
    <xf numFmtId="0" fontId="191" fillId="76" borderId="0" xfId="0" applyFont="1" applyFill="1" applyAlignment="1">
      <alignment horizontal="left" vertical="center"/>
    </xf>
    <xf numFmtId="0" fontId="191" fillId="77" borderId="227" xfId="0" applyFont="1" applyFill="1" applyBorder="1" applyAlignment="1">
      <alignment horizontal="left" vertical="center"/>
    </xf>
    <xf numFmtId="0" fontId="191" fillId="77" borderId="228" xfId="0" applyFont="1" applyFill="1" applyBorder="1" applyAlignment="1">
      <alignment horizontal="left" vertical="center"/>
    </xf>
    <xf numFmtId="9" fontId="191" fillId="77" borderId="228" xfId="0" applyNumberFormat="1" applyFont="1" applyFill="1" applyBorder="1" applyAlignment="1">
      <alignment horizontal="left" vertical="center"/>
    </xf>
    <xf numFmtId="0" fontId="191" fillId="77" borderId="229" xfId="0" applyFont="1" applyFill="1" applyBorder="1" applyAlignment="1">
      <alignment horizontal="left" vertical="center"/>
    </xf>
    <xf numFmtId="0" fontId="191" fillId="77" borderId="0" xfId="0" applyFont="1" applyFill="1" applyAlignment="1">
      <alignment horizontal="left" vertical="center"/>
    </xf>
    <xf numFmtId="0" fontId="172" fillId="67" borderId="230" xfId="0" applyFont="1" applyFill="1" applyBorder="1" applyAlignment="1">
      <alignment horizontal="left" vertical="center" wrapText="1"/>
    </xf>
    <xf numFmtId="0" fontId="172" fillId="67" borderId="0" xfId="0" applyFont="1" applyFill="1" applyAlignment="1">
      <alignment horizontal="left" vertical="center" wrapText="1"/>
    </xf>
    <xf numFmtId="0" fontId="172" fillId="67" borderId="231" xfId="0" applyFont="1" applyFill="1" applyBorder="1" applyAlignment="1">
      <alignment horizontal="left" vertical="center" wrapText="1"/>
    </xf>
    <xf numFmtId="0" fontId="26" fillId="61" borderId="148" xfId="0" applyFont="1" applyFill="1" applyBorder="1" applyAlignment="1">
      <alignment horizontal="center" vertical="center" wrapText="1"/>
    </xf>
    <xf numFmtId="0" fontId="26" fillId="61" borderId="149" xfId="0" applyFont="1" applyFill="1" applyBorder="1" applyAlignment="1">
      <alignment horizontal="center" vertical="center" wrapText="1"/>
    </xf>
    <xf numFmtId="0" fontId="26" fillId="61" borderId="150" xfId="0" applyFont="1" applyFill="1" applyBorder="1" applyAlignment="1">
      <alignment horizontal="center" vertical="center" wrapText="1"/>
    </xf>
    <xf numFmtId="0" fontId="26" fillId="72" borderId="0" xfId="0" applyFont="1" applyFill="1" applyAlignment="1">
      <alignment horizontal="center" vertical="center" wrapText="1"/>
    </xf>
    <xf numFmtId="0" fontId="172" fillId="45" borderId="221" xfId="0" applyFont="1" applyFill="1" applyBorder="1" applyAlignment="1">
      <alignment horizontal="left" vertical="center" wrapText="1"/>
    </xf>
    <xf numFmtId="0" fontId="172" fillId="45" borderId="222" xfId="0" applyFont="1" applyFill="1" applyBorder="1" applyAlignment="1">
      <alignment horizontal="left" vertical="center" wrapText="1"/>
    </xf>
    <xf numFmtId="0" fontId="172" fillId="45" borderId="223" xfId="0" applyFont="1" applyFill="1" applyBorder="1" applyAlignment="1">
      <alignment horizontal="left" vertical="center" wrapText="1"/>
    </xf>
    <xf numFmtId="0" fontId="172" fillId="45" borderId="0" xfId="0" applyFont="1" applyFill="1" applyAlignment="1">
      <alignment horizontal="left" vertical="center" wrapText="1"/>
    </xf>
    <xf numFmtId="0" fontId="51" fillId="45" borderId="0" xfId="0" applyFont="1" applyFill="1" applyAlignment="1">
      <alignment horizontal="center"/>
    </xf>
    <xf numFmtId="0" fontId="51" fillId="72" borderId="0" xfId="0" applyFont="1" applyFill="1" applyAlignment="1">
      <alignment horizontal="center"/>
    </xf>
    <xf numFmtId="0" fontId="214" fillId="24" borderId="0" xfId="0" applyFont="1" applyFill="1"/>
    <xf numFmtId="0" fontId="214" fillId="72" borderId="0" xfId="0" applyFont="1" applyFill="1"/>
    <xf numFmtId="0" fontId="5" fillId="61" borderId="0" xfId="0" applyFont="1" applyFill="1" applyAlignment="1">
      <alignment horizontal="center" wrapText="1"/>
    </xf>
    <xf numFmtId="0" fontId="5" fillId="72" borderId="0" xfId="0" applyFont="1" applyFill="1" applyAlignment="1">
      <alignment horizontal="center" wrapText="1"/>
    </xf>
    <xf numFmtId="0" fontId="44" fillId="32" borderId="250" xfId="0" applyFont="1" applyFill="1" applyBorder="1" applyAlignment="1">
      <alignment wrapText="1"/>
    </xf>
    <xf numFmtId="0" fontId="44" fillId="32" borderId="251" xfId="0" applyFont="1" applyFill="1" applyBorder="1" applyAlignment="1">
      <alignment wrapText="1"/>
    </xf>
    <xf numFmtId="0" fontId="44" fillId="32" borderId="252" xfId="0" applyFont="1" applyFill="1" applyBorder="1" applyAlignment="1">
      <alignment wrapText="1"/>
    </xf>
    <xf numFmtId="0" fontId="44" fillId="24" borderId="0" xfId="0" applyFont="1" applyFill="1"/>
    <xf numFmtId="0" fontId="217" fillId="24" borderId="0" xfId="0" applyFont="1" applyFill="1" applyAlignment="1">
      <alignment horizontal="left" vertical="center"/>
    </xf>
    <xf numFmtId="0" fontId="217" fillId="24" borderId="0" xfId="0" applyFont="1" applyFill="1" applyAlignment="1">
      <alignment horizontal="left" vertical="center" wrapText="1"/>
    </xf>
    <xf numFmtId="0" fontId="217" fillId="72" borderId="253" xfId="0" applyFont="1" applyFill="1" applyBorder="1" applyAlignment="1">
      <alignment horizontal="left" vertical="center" wrapText="1"/>
    </xf>
    <xf numFmtId="0" fontId="207" fillId="24" borderId="12" xfId="0" applyFont="1" applyFill="1" applyBorder="1" applyAlignment="1">
      <alignment horizontal="left" vertical="center" wrapText="1"/>
    </xf>
    <xf numFmtId="0" fontId="192" fillId="45" borderId="0" xfId="0" applyFont="1" applyFill="1" applyAlignment="1">
      <alignment horizontal="center" vertical="center"/>
    </xf>
    <xf numFmtId="0" fontId="172" fillId="45" borderId="0" xfId="0" applyFont="1" applyFill="1" applyAlignment="1">
      <alignment horizontal="center" vertical="center" wrapText="1"/>
    </xf>
    <xf numFmtId="0" fontId="228" fillId="44" borderId="266" xfId="0" applyFont="1" applyFill="1" applyBorder="1" applyAlignment="1">
      <alignment horizontal="center"/>
    </xf>
    <xf numFmtId="0" fontId="19" fillId="44" borderId="49" xfId="0" applyFont="1" applyFill="1" applyBorder="1" applyAlignment="1">
      <alignment horizontal="center" wrapText="1"/>
    </xf>
    <xf numFmtId="0" fontId="19" fillId="44" borderId="267" xfId="0" applyFont="1" applyFill="1" applyBorder="1" applyAlignment="1">
      <alignment horizontal="center" wrapText="1"/>
    </xf>
    <xf numFmtId="0" fontId="26" fillId="19" borderId="260" xfId="0" applyFont="1" applyFill="1" applyBorder="1" applyAlignment="1">
      <alignment horizontal="center"/>
    </xf>
    <xf numFmtId="0" fontId="5" fillId="19" borderId="261" xfId="0" applyFont="1" applyFill="1" applyBorder="1" applyAlignment="1">
      <alignment horizontal="center" wrapText="1"/>
    </xf>
    <xf numFmtId="0" fontId="5" fillId="19" borderId="262" xfId="0" applyFont="1" applyFill="1" applyBorder="1" applyAlignment="1">
      <alignment horizontal="center" wrapText="1"/>
    </xf>
    <xf numFmtId="0" fontId="26" fillId="43" borderId="263" xfId="0" applyFont="1" applyFill="1" applyBorder="1" applyAlignment="1">
      <alignment horizontal="center"/>
    </xf>
    <xf numFmtId="0" fontId="5" fillId="43" borderId="264" xfId="0" applyFont="1" applyFill="1" applyBorder="1" applyAlignment="1">
      <alignment horizontal="center" wrapText="1"/>
    </xf>
    <xf numFmtId="0" fontId="5" fillId="43" borderId="265" xfId="0" applyFont="1" applyFill="1" applyBorder="1" applyAlignment="1">
      <alignment horizontal="center" wrapText="1"/>
    </xf>
    <xf numFmtId="0" fontId="219" fillId="24" borderId="0" xfId="0" applyFont="1" applyFill="1" applyAlignment="1">
      <alignment horizontal="left" vertical="center"/>
    </xf>
    <xf numFmtId="0" fontId="219" fillId="24" borderId="0" xfId="0" applyFont="1" applyFill="1" applyAlignment="1">
      <alignment horizontal="left" vertical="center" wrapText="1"/>
    </xf>
    <xf numFmtId="0" fontId="219" fillId="24" borderId="253" xfId="0" applyFont="1" applyFill="1" applyBorder="1" applyAlignment="1">
      <alignment horizontal="left" vertical="center" wrapText="1"/>
    </xf>
    <xf numFmtId="0" fontId="207" fillId="24" borderId="7" xfId="0" applyFont="1" applyFill="1" applyBorder="1" applyAlignment="1">
      <alignment horizontal="left" vertical="center" wrapText="1"/>
    </xf>
    <xf numFmtId="0" fontId="150" fillId="45" borderId="80" xfId="0" applyFont="1" applyFill="1" applyBorder="1" applyAlignment="1">
      <alignment horizontal="left" vertical="center" wrapText="1"/>
    </xf>
    <xf numFmtId="0" fontId="150" fillId="45" borderId="64" xfId="0" applyFont="1" applyFill="1" applyBorder="1" applyAlignment="1">
      <alignment horizontal="left" vertical="center" wrapText="1"/>
    </xf>
    <xf numFmtId="0" fontId="140" fillId="45" borderId="176" xfId="0" applyFont="1" applyFill="1" applyBorder="1" applyAlignment="1">
      <alignment horizontal="left" vertical="center" wrapText="1"/>
    </xf>
    <xf numFmtId="0" fontId="140" fillId="45" borderId="174" xfId="0" applyFont="1" applyFill="1" applyBorder="1" applyAlignment="1">
      <alignment horizontal="left" vertical="center" wrapText="1"/>
    </xf>
    <xf numFmtId="0" fontId="140" fillId="45" borderId="177" xfId="0" applyFont="1" applyFill="1" applyBorder="1" applyAlignment="1">
      <alignment horizontal="left" vertical="center" wrapText="1"/>
    </xf>
    <xf numFmtId="0" fontId="104" fillId="45" borderId="0" xfId="0" applyFont="1" applyFill="1" applyAlignment="1">
      <alignment horizontal="center" vertical="center" wrapText="1"/>
    </xf>
    <xf numFmtId="0" fontId="251" fillId="24" borderId="253" xfId="0" applyFont="1" applyFill="1" applyBorder="1" applyAlignment="1">
      <alignment horizontal="left" vertical="center"/>
    </xf>
    <xf numFmtId="0" fontId="251" fillId="24" borderId="253" xfId="0" applyFont="1" applyFill="1" applyBorder="1" applyAlignment="1">
      <alignment horizontal="left" vertical="center" wrapText="1"/>
    </xf>
    <xf numFmtId="0" fontId="253" fillId="61" borderId="258" xfId="0" applyFont="1" applyFill="1" applyBorder="1" applyAlignment="1">
      <alignment wrapText="1"/>
    </xf>
    <xf numFmtId="0" fontId="253" fillId="61" borderId="0" xfId="0" applyFont="1" applyFill="1" applyAlignment="1">
      <alignment vertical="top" wrapText="1"/>
    </xf>
    <xf numFmtId="0" fontId="150" fillId="34" borderId="61" xfId="0" applyFont="1" applyFill="1" applyBorder="1" applyAlignment="1">
      <alignment vertical="top" wrapText="1"/>
    </xf>
    <xf numFmtId="0" fontId="150" fillId="34" borderId="43" xfId="0" applyFont="1" applyFill="1" applyBorder="1" applyAlignment="1">
      <alignment vertical="top" wrapText="1"/>
    </xf>
    <xf numFmtId="0" fontId="58" fillId="36" borderId="276" xfId="0" applyFont="1" applyFill="1" applyBorder="1" applyAlignment="1">
      <alignment horizontal="center" vertical="top" wrapText="1"/>
    </xf>
    <xf numFmtId="0" fontId="58" fillId="36" borderId="277" xfId="0" applyFont="1" applyFill="1" applyBorder="1" applyAlignment="1">
      <alignment horizontal="center" vertical="top" wrapText="1"/>
    </xf>
    <xf numFmtId="0" fontId="76" fillId="0" borderId="61" xfId="0" applyFont="1" applyBorder="1" applyAlignment="1">
      <alignment vertical="top" wrapText="1"/>
    </xf>
    <xf numFmtId="0" fontId="76" fillId="0" borderId="43" xfId="0" applyFont="1" applyBorder="1" applyAlignment="1">
      <alignment vertical="top" wrapText="1"/>
    </xf>
    <xf numFmtId="0" fontId="258" fillId="58" borderId="274" xfId="0" applyFont="1" applyFill="1" applyBorder="1" applyAlignment="1">
      <alignment vertical="top" wrapText="1"/>
    </xf>
    <xf numFmtId="0" fontId="258" fillId="58" borderId="64" xfId="0" applyFont="1" applyFill="1" applyBorder="1" applyAlignment="1">
      <alignment vertical="top" wrapText="1"/>
    </xf>
    <xf numFmtId="0" fontId="77" fillId="33" borderId="34" xfId="0" applyFont="1" applyFill="1" applyBorder="1" applyAlignment="1">
      <alignment vertical="top" wrapText="1"/>
    </xf>
    <xf numFmtId="0" fontId="77" fillId="33" borderId="62" xfId="0" applyFont="1" applyFill="1" applyBorder="1" applyAlignment="1">
      <alignment vertical="top" wrapText="1"/>
    </xf>
    <xf numFmtId="0" fontId="238" fillId="79" borderId="114" xfId="0" applyFont="1" applyFill="1" applyBorder="1" applyAlignment="1">
      <alignment horizontal="center"/>
    </xf>
    <xf numFmtId="0" fontId="238" fillId="79" borderId="49" xfId="0" applyFont="1" applyFill="1" applyBorder="1" applyAlignment="1">
      <alignment horizontal="center" wrapText="1"/>
    </xf>
    <xf numFmtId="0" fontId="238" fillId="79" borderId="115" xfId="0" applyFont="1" applyFill="1" applyBorder="1" applyAlignment="1">
      <alignment horizontal="center" wrapText="1"/>
    </xf>
    <xf numFmtId="0" fontId="238" fillId="32" borderId="40" xfId="0" applyFont="1" applyFill="1" applyBorder="1" applyAlignment="1">
      <alignment horizontal="center" wrapText="1"/>
    </xf>
    <xf numFmtId="0" fontId="238" fillId="32" borderId="15" xfId="0" applyFont="1" applyFill="1" applyBorder="1" applyAlignment="1">
      <alignment horizontal="center" wrapText="1"/>
    </xf>
    <xf numFmtId="0" fontId="77" fillId="36" borderId="105" xfId="0" applyFont="1" applyFill="1" applyBorder="1" applyAlignment="1">
      <alignment wrapText="1"/>
    </xf>
    <xf numFmtId="0" fontId="77" fillId="45" borderId="258" xfId="0" applyFont="1" applyFill="1" applyBorder="1" applyAlignment="1">
      <alignment horizontal="left" vertical="center" wrapText="1"/>
    </xf>
    <xf numFmtId="0" fontId="77" fillId="45" borderId="0" xfId="0" applyFont="1" applyFill="1" applyAlignment="1">
      <alignment horizontal="left" vertical="center" wrapText="1"/>
    </xf>
    <xf numFmtId="0" fontId="77" fillId="45" borderId="77" xfId="0" applyFont="1" applyFill="1" applyBorder="1" applyAlignment="1">
      <alignment horizontal="left" vertical="center" wrapText="1"/>
    </xf>
    <xf numFmtId="0" fontId="77" fillId="45" borderId="78" xfId="0" applyFont="1" applyFill="1" applyBorder="1" applyAlignment="1">
      <alignment horizontal="left" vertical="center" wrapText="1"/>
    </xf>
    <xf numFmtId="0" fontId="58" fillId="45" borderId="271" xfId="0" applyFont="1" applyFill="1" applyBorder="1" applyAlignment="1">
      <alignment horizontal="left" vertical="center"/>
    </xf>
    <xf numFmtId="0" fontId="58" fillId="45" borderId="272" xfId="0" applyFont="1" applyFill="1" applyBorder="1" applyAlignment="1">
      <alignment horizontal="left" vertical="center" wrapText="1"/>
    </xf>
    <xf numFmtId="0" fontId="58" fillId="45" borderId="273" xfId="0" applyFont="1" applyFill="1" applyBorder="1" applyAlignment="1">
      <alignment horizontal="left" vertical="center" wrapText="1"/>
    </xf>
    <xf numFmtId="0" fontId="103" fillId="45" borderId="0" xfId="0" applyFont="1" applyFill="1" applyAlignment="1">
      <alignment horizontal="left" vertical="center" wrapText="1"/>
    </xf>
    <xf numFmtId="0" fontId="58" fillId="45" borderId="0" xfId="0" applyFont="1" applyFill="1" applyAlignment="1">
      <alignment horizontal="left" vertical="top" wrapText="1"/>
    </xf>
    <xf numFmtId="0" fontId="230" fillId="72" borderId="0" xfId="0" applyFont="1" applyFill="1" applyAlignment="1">
      <alignment vertical="top" wrapText="1"/>
    </xf>
    <xf numFmtId="0" fontId="263" fillId="24" borderId="0" xfId="0" applyFont="1" applyFill="1" applyAlignment="1">
      <alignment horizontal="left" vertical="center"/>
    </xf>
    <xf numFmtId="0" fontId="263" fillId="24" borderId="0" xfId="0" applyFont="1" applyFill="1" applyAlignment="1">
      <alignment horizontal="left" vertical="center" wrapText="1"/>
    </xf>
    <xf numFmtId="0" fontId="57" fillId="72" borderId="0" xfId="0" applyFont="1" applyFill="1" applyAlignment="1">
      <alignment horizontal="left" vertical="center" wrapText="1"/>
    </xf>
    <xf numFmtId="0" fontId="5" fillId="72" borderId="0" xfId="0" applyFont="1" applyFill="1" applyAlignment="1">
      <alignment horizontal="left" vertical="center" wrapText="1"/>
    </xf>
    <xf numFmtId="0" fontId="264" fillId="24" borderId="0" xfId="0" applyFont="1" applyFill="1" applyAlignment="1">
      <alignment horizontal="left" vertical="center"/>
    </xf>
    <xf numFmtId="0" fontId="264" fillId="24" borderId="0" xfId="0" applyFont="1" applyFill="1" applyAlignment="1">
      <alignment horizontal="left" vertical="center" wrapText="1"/>
    </xf>
    <xf numFmtId="0" fontId="44" fillId="72" borderId="0" xfId="0" applyFont="1" applyFill="1" applyAlignment="1">
      <alignment horizontal="left" vertical="center" wrapText="1"/>
    </xf>
    <xf numFmtId="0" fontId="142" fillId="54" borderId="0" xfId="0" applyFont="1" applyFill="1" applyAlignment="1">
      <alignment horizontal="left" vertical="top" wrapText="1"/>
    </xf>
    <xf numFmtId="0" fontId="43" fillId="72" borderId="0" xfId="0" applyFont="1" applyFill="1" applyAlignment="1">
      <alignment horizontal="left" vertical="top" wrapText="1"/>
    </xf>
    <xf numFmtId="0" fontId="149" fillId="30" borderId="303" xfId="0" applyFont="1" applyFill="1" applyBorder="1" applyAlignment="1">
      <alignment horizontal="left" vertical="center" wrapText="1"/>
    </xf>
    <xf numFmtId="0" fontId="149" fillId="30" borderId="259" xfId="0" applyFont="1" applyFill="1" applyBorder="1" applyAlignment="1">
      <alignment horizontal="left" vertical="center" wrapText="1"/>
    </xf>
    <xf numFmtId="0" fontId="149" fillId="30" borderId="304" xfId="0" applyFont="1" applyFill="1" applyBorder="1" applyAlignment="1">
      <alignment horizontal="left" vertical="center" wrapText="1"/>
    </xf>
    <xf numFmtId="0" fontId="277" fillId="24" borderId="0" xfId="0" applyFont="1" applyFill="1" applyAlignment="1">
      <alignment horizontal="left" vertical="center" wrapText="1"/>
    </xf>
    <xf numFmtId="0" fontId="81" fillId="2" borderId="0" xfId="0" applyFont="1" applyFill="1" applyAlignment="1">
      <alignment horizontal="left" vertical="center" wrapText="1"/>
    </xf>
    <xf numFmtId="0" fontId="149" fillId="2" borderId="0" xfId="0" applyFont="1" applyFill="1" applyAlignment="1">
      <alignment horizontal="left" vertical="center" wrapText="1"/>
    </xf>
    <xf numFmtId="0" fontId="264" fillId="24" borderId="0" xfId="0" applyFont="1" applyFill="1" applyAlignment="1">
      <alignment vertical="top" wrapText="1"/>
    </xf>
    <xf numFmtId="0" fontId="0" fillId="72" borderId="0" xfId="0" applyFill="1" applyAlignment="1">
      <alignment vertical="top" wrapText="1"/>
    </xf>
    <xf numFmtId="0" fontId="98" fillId="2" borderId="0" xfId="0" applyFont="1" applyFill="1" applyAlignment="1">
      <alignment vertical="top" wrapText="1"/>
    </xf>
    <xf numFmtId="0" fontId="230" fillId="0" borderId="0" xfId="0" applyFont="1" applyAlignment="1">
      <alignment vertical="top" wrapText="1"/>
    </xf>
    <xf numFmtId="0" fontId="36" fillId="72" borderId="0" xfId="0" applyFont="1" applyFill="1" applyAlignment="1">
      <alignment horizontal="center" vertical="center" wrapText="1"/>
    </xf>
    <xf numFmtId="0" fontId="58" fillId="45" borderId="0" xfId="0" applyFont="1" applyFill="1" applyAlignment="1">
      <alignment horizontal="center" vertical="top" wrapText="1"/>
    </xf>
    <xf numFmtId="0" fontId="58" fillId="45" borderId="0" xfId="0" applyFont="1" applyFill="1" applyAlignment="1">
      <alignment vertical="top" wrapText="1"/>
    </xf>
    <xf numFmtId="0" fontId="58" fillId="85" borderId="0" xfId="0" applyFont="1" applyFill="1" applyAlignment="1">
      <alignment vertical="top"/>
    </xf>
    <xf numFmtId="0" fontId="98" fillId="58" borderId="0" xfId="0" applyFont="1" applyFill="1" applyAlignment="1">
      <alignment vertical="top" wrapText="1"/>
    </xf>
    <xf numFmtId="0" fontId="98" fillId="66" borderId="0" xfId="0" applyFont="1" applyFill="1" applyAlignment="1">
      <alignment vertical="top" wrapText="1"/>
    </xf>
    <xf numFmtId="0" fontId="149" fillId="66" borderId="72" xfId="0" applyFont="1" applyFill="1" applyBorder="1" applyAlignment="1">
      <alignment horizontal="left" vertical="center" wrapText="1"/>
    </xf>
    <xf numFmtId="0" fontId="149" fillId="66" borderId="0" xfId="0" applyFont="1" applyFill="1" applyAlignment="1">
      <alignment horizontal="left" vertical="center" wrapText="1"/>
    </xf>
    <xf numFmtId="0" fontId="149" fillId="66" borderId="249" xfId="0" applyFont="1" applyFill="1" applyBorder="1" applyAlignment="1">
      <alignment horizontal="left" vertical="center" wrapText="1"/>
    </xf>
    <xf numFmtId="0" fontId="109" fillId="30" borderId="316" xfId="0" applyFont="1" applyFill="1" applyBorder="1" applyAlignment="1">
      <alignment wrapText="1"/>
    </xf>
    <xf numFmtId="0" fontId="109" fillId="70" borderId="316" xfId="0" applyFont="1" applyFill="1" applyBorder="1" applyAlignment="1">
      <alignment wrapText="1"/>
    </xf>
    <xf numFmtId="0" fontId="106" fillId="66" borderId="0" xfId="0" applyFont="1" applyFill="1" applyAlignment="1">
      <alignment wrapText="1"/>
    </xf>
  </cellXfs>
  <cellStyles count="3">
    <cellStyle name="Hipervínculo" xfId="2" builtinId="8"/>
    <cellStyle name="Normal" xfId="0" builtinId="0"/>
    <cellStyle name="Porcentaje" xfId="1" builtinId="5"/>
  </cellStyles>
  <dxfs count="758">
    <dxf>
      <font>
        <color rgb="FF1A5276"/>
      </font>
      <fill>
        <patternFill patternType="solid">
          <fgColor indexed="64"/>
          <bgColor rgb="FFEAF4FB"/>
        </patternFill>
      </fill>
    </dxf>
    <dxf>
      <font>
        <b/>
        <i val="0"/>
        <color rgb="FF7D6608"/>
      </font>
      <fill>
        <patternFill patternType="solid">
          <fgColor indexed="64"/>
          <bgColor rgb="FFFEF9E7"/>
        </patternFill>
      </fill>
    </dxf>
    <dxf>
      <font>
        <b/>
        <i val="0"/>
        <color rgb="FF922B21"/>
      </font>
      <fill>
        <patternFill patternType="solid">
          <fgColor indexed="64"/>
          <bgColor rgb="FFFDEDEC"/>
        </patternFill>
      </fill>
    </dxf>
    <dxf>
      <font>
        <b/>
        <i val="0"/>
      </font>
      <fill>
        <patternFill patternType="solid">
          <fgColor indexed="64"/>
          <bgColor rgb="FFF1948A"/>
        </patternFill>
      </fill>
    </dxf>
    <dxf>
      <font>
        <b/>
        <i val="0"/>
      </font>
      <fill>
        <patternFill patternType="solid">
          <fgColor indexed="64"/>
          <bgColor rgb="FFFAD7A0"/>
        </patternFill>
      </fill>
    </dxf>
    <dxf>
      <font>
        <b/>
        <i val="0"/>
      </font>
      <fill>
        <patternFill patternType="solid">
          <fgColor indexed="64"/>
          <bgColor rgb="FFA9DFBF"/>
        </patternFill>
      </fill>
    </dxf>
    <dxf>
      <font>
        <b/>
        <i val="0"/>
      </font>
      <fill>
        <patternFill patternType="solid">
          <fgColor indexed="64"/>
          <bgColor rgb="FFAED6F1"/>
        </patternFill>
      </fill>
    </dxf>
    <dxf>
      <font>
        <b/>
        <i val="0"/>
      </font>
      <fill>
        <patternFill patternType="solid">
          <fgColor indexed="64"/>
          <bgColor rgb="FFF9E79F"/>
        </patternFill>
      </fill>
    </dxf>
    <dxf>
      <font>
        <b/>
        <i val="0"/>
      </font>
      <fill>
        <patternFill patternType="solid">
          <fgColor indexed="64"/>
          <bgColor rgb="FFF1948A"/>
        </patternFill>
      </fill>
    </dxf>
    <dxf>
      <font>
        <b/>
        <i val="0"/>
      </font>
      <fill>
        <patternFill patternType="solid">
          <fgColor indexed="64"/>
          <bgColor rgb="FFFAD7A0"/>
        </patternFill>
      </fill>
    </dxf>
    <dxf>
      <font>
        <b/>
        <i val="0"/>
      </font>
      <fill>
        <patternFill patternType="solid">
          <fgColor indexed="64"/>
          <bgColor rgb="FFF9E79F"/>
        </patternFill>
      </fill>
    </dxf>
    <dxf>
      <font>
        <b/>
        <i val="0"/>
      </font>
      <fill>
        <patternFill patternType="solid">
          <fgColor indexed="64"/>
          <bgColor rgb="FFA9DFBF"/>
        </patternFill>
      </fill>
    </dxf>
    <dxf>
      <font>
        <b/>
        <i val="0"/>
      </font>
      <fill>
        <patternFill patternType="solid">
          <fgColor indexed="64"/>
          <bgColor rgb="FFAED6F1"/>
        </patternFill>
      </fill>
    </dxf>
    <dxf>
      <font>
        <b/>
        <i val="0"/>
        <color rgb="FF145A32"/>
      </font>
      <fill>
        <patternFill patternType="solid">
          <fgColor indexed="64"/>
          <bgColor rgb="FFEAF4FB"/>
        </patternFill>
      </fill>
    </dxf>
    <dxf>
      <font>
        <b/>
        <i val="0"/>
        <color rgb="FF1B4F72"/>
      </font>
      <fill>
        <patternFill patternType="solid">
          <fgColor indexed="64"/>
          <bgColor rgb="FFAED6F1"/>
        </patternFill>
      </fill>
    </dxf>
    <dxf>
      <font>
        <b/>
        <i val="0"/>
        <color rgb="FF145A32"/>
      </font>
      <fill>
        <patternFill patternType="solid">
          <fgColor indexed="64"/>
          <bgColor rgb="FFA9DFBF"/>
        </patternFill>
      </fill>
    </dxf>
    <dxf>
      <font>
        <b/>
        <i val="0"/>
        <color rgb="FF7D6608"/>
      </font>
      <fill>
        <patternFill patternType="solid">
          <fgColor indexed="64"/>
          <bgColor rgb="FFF9E79F"/>
        </patternFill>
      </fill>
    </dxf>
    <dxf>
      <font>
        <b/>
        <i val="0"/>
        <color rgb="FF784212"/>
      </font>
      <fill>
        <patternFill patternType="solid">
          <fgColor indexed="64"/>
          <bgColor rgb="FFFAD7A0"/>
        </patternFill>
      </fill>
    </dxf>
    <dxf>
      <font>
        <b/>
        <i val="0"/>
        <color rgb="FF922B21"/>
      </font>
      <fill>
        <patternFill patternType="solid">
          <fgColor indexed="64"/>
          <bgColor rgb="FFF1948A"/>
        </patternFill>
      </fill>
    </dxf>
    <dxf>
      <font>
        <b/>
        <i val="0"/>
        <color rgb="FF1F3864"/>
      </font>
      <fill>
        <patternFill patternType="solid">
          <fgColor indexed="64"/>
          <bgColor rgb="FFD6E4F0"/>
        </patternFill>
      </fill>
    </dxf>
    <dxf>
      <font>
        <b/>
        <i val="0"/>
      </font>
      <fill>
        <patternFill patternType="solid">
          <fgColor indexed="64"/>
          <bgColor rgb="FFF1948A"/>
        </patternFill>
      </fill>
    </dxf>
    <dxf>
      <font>
        <b/>
        <i val="0"/>
      </font>
      <fill>
        <patternFill patternType="solid">
          <fgColor indexed="64"/>
          <bgColor rgb="FFFAD7A0"/>
        </patternFill>
      </fill>
    </dxf>
    <dxf>
      <font>
        <b/>
        <i val="0"/>
      </font>
      <fill>
        <patternFill patternType="solid">
          <fgColor indexed="64"/>
          <bgColor rgb="FFF9E79F"/>
        </patternFill>
      </fill>
    </dxf>
    <dxf>
      <font>
        <b/>
        <i val="0"/>
      </font>
      <fill>
        <patternFill patternType="solid">
          <fgColor indexed="64"/>
          <bgColor rgb="FFA9DFBF"/>
        </patternFill>
      </fill>
    </dxf>
    <dxf>
      <font>
        <b/>
        <i val="0"/>
      </font>
      <fill>
        <patternFill patternType="solid">
          <fgColor indexed="64"/>
          <bgColor rgb="FFAED6F1"/>
        </patternFill>
      </fill>
    </dxf>
    <dxf>
      <font>
        <b/>
        <i val="0"/>
      </font>
      <fill>
        <patternFill patternType="solid">
          <fgColor indexed="64"/>
          <bgColor rgb="FFA9DFBF"/>
        </patternFill>
      </fill>
    </dxf>
    <dxf>
      <font>
        <b/>
        <i val="0"/>
      </font>
      <fill>
        <patternFill patternType="solid">
          <fgColor indexed="64"/>
          <bgColor rgb="FFFAD7A0"/>
        </patternFill>
      </fill>
    </dxf>
    <dxf>
      <font>
        <b/>
        <i val="0"/>
        <color rgb="FF922B21"/>
      </font>
      <fill>
        <patternFill patternType="solid">
          <fgColor indexed="64"/>
          <bgColor rgb="FFF1948A"/>
        </patternFill>
      </fill>
    </dxf>
    <dxf>
      <font>
        <b/>
        <i val="0"/>
      </font>
      <fill>
        <patternFill patternType="solid">
          <fgColor indexed="64"/>
          <bgColor rgb="FFF1948A"/>
        </patternFill>
      </fill>
    </dxf>
    <dxf>
      <font>
        <b/>
        <i val="0"/>
      </font>
      <fill>
        <patternFill patternType="solid">
          <fgColor indexed="64"/>
          <bgColor rgb="FFFAD7A0"/>
        </patternFill>
      </fill>
    </dxf>
    <dxf>
      <font>
        <b/>
        <i val="0"/>
      </font>
      <fill>
        <patternFill patternType="solid">
          <fgColor indexed="64"/>
          <bgColor rgb="FFF9E79F"/>
        </patternFill>
      </fill>
    </dxf>
    <dxf>
      <font>
        <b/>
        <i val="0"/>
      </font>
      <fill>
        <patternFill patternType="solid">
          <fgColor indexed="64"/>
          <bgColor rgb="FFA9DFBF"/>
        </patternFill>
      </fill>
    </dxf>
    <dxf>
      <font>
        <b/>
        <i val="0"/>
      </font>
      <fill>
        <patternFill patternType="solid">
          <fgColor indexed="64"/>
          <bgColor rgb="FFAED6F1"/>
        </patternFill>
      </fill>
    </dxf>
    <dxf>
      <font>
        <b/>
        <i val="0"/>
      </font>
      <fill>
        <patternFill patternType="solid">
          <fgColor indexed="64"/>
          <bgColor rgb="FFF1948A"/>
        </patternFill>
      </fill>
    </dxf>
    <dxf>
      <font>
        <b/>
        <i val="0"/>
      </font>
      <fill>
        <patternFill patternType="solid">
          <fgColor indexed="64"/>
          <bgColor rgb="FFFAD7A0"/>
        </patternFill>
      </fill>
    </dxf>
    <dxf>
      <font>
        <b/>
        <i val="0"/>
      </font>
      <fill>
        <patternFill patternType="solid">
          <fgColor indexed="64"/>
          <bgColor rgb="FFF9E79F"/>
        </patternFill>
      </fill>
    </dxf>
    <dxf>
      <font>
        <b/>
        <i val="0"/>
      </font>
      <fill>
        <patternFill patternType="solid">
          <fgColor indexed="64"/>
          <bgColor rgb="FFA9DFBF"/>
        </patternFill>
      </fill>
    </dxf>
    <dxf>
      <font>
        <b/>
        <i val="0"/>
      </font>
      <fill>
        <patternFill patternType="solid">
          <fgColor indexed="64"/>
          <bgColor rgb="FFAED6F1"/>
        </patternFill>
      </fill>
    </dxf>
    <dxf>
      <font>
        <b/>
        <i val="0"/>
      </font>
      <fill>
        <patternFill patternType="solid">
          <fgColor indexed="64"/>
          <bgColor rgb="FFF1948A"/>
        </patternFill>
      </fill>
    </dxf>
    <dxf>
      <font>
        <b/>
        <i val="0"/>
      </font>
      <fill>
        <patternFill patternType="solid">
          <fgColor indexed="64"/>
          <bgColor rgb="FFFAD7A0"/>
        </patternFill>
      </fill>
    </dxf>
    <dxf>
      <font>
        <b/>
        <i val="0"/>
      </font>
      <fill>
        <patternFill patternType="solid">
          <fgColor indexed="64"/>
          <bgColor rgb="FFF9E79F"/>
        </patternFill>
      </fill>
    </dxf>
    <dxf>
      <font>
        <b/>
        <i val="0"/>
      </font>
      <fill>
        <patternFill patternType="solid">
          <fgColor indexed="64"/>
          <bgColor rgb="FFA9DFBF"/>
        </patternFill>
      </fill>
    </dxf>
    <dxf>
      <font>
        <b/>
        <i val="0"/>
      </font>
      <fill>
        <patternFill patternType="solid">
          <fgColor indexed="64"/>
          <bgColor rgb="FFAED6F1"/>
        </patternFill>
      </fill>
    </dxf>
    <dxf>
      <font>
        <b/>
        <i val="0"/>
      </font>
      <fill>
        <patternFill patternType="solid">
          <fgColor indexed="64"/>
          <bgColor rgb="FFF1948A"/>
        </patternFill>
      </fill>
    </dxf>
    <dxf>
      <font>
        <b/>
        <i val="0"/>
      </font>
      <fill>
        <patternFill patternType="solid">
          <fgColor indexed="64"/>
          <bgColor rgb="FFFAD7A0"/>
        </patternFill>
      </fill>
    </dxf>
    <dxf>
      <font>
        <b/>
        <i val="0"/>
      </font>
      <fill>
        <patternFill patternType="solid">
          <fgColor indexed="64"/>
          <bgColor rgb="FFF9E79F"/>
        </patternFill>
      </fill>
    </dxf>
    <dxf>
      <font>
        <b/>
        <i val="0"/>
      </font>
      <fill>
        <patternFill patternType="solid">
          <fgColor indexed="64"/>
          <bgColor rgb="FFA9DFBF"/>
        </patternFill>
      </fill>
    </dxf>
    <dxf>
      <font>
        <b/>
        <i val="0"/>
      </font>
      <fill>
        <patternFill patternType="solid">
          <fgColor indexed="64"/>
          <bgColor rgb="FFAED6F1"/>
        </patternFill>
      </fill>
    </dxf>
    <dxf>
      <font>
        <b/>
        <i val="0"/>
      </font>
      <fill>
        <patternFill patternType="solid">
          <fgColor indexed="64"/>
          <bgColor rgb="FFF9E79F"/>
        </patternFill>
      </fill>
    </dxf>
    <dxf>
      <font>
        <b/>
        <i val="0"/>
      </font>
      <fill>
        <patternFill patternType="solid">
          <fgColor indexed="64"/>
          <bgColor rgb="FFFAD7A0"/>
        </patternFill>
      </fill>
    </dxf>
    <dxf>
      <font>
        <b/>
        <i val="0"/>
      </font>
      <fill>
        <patternFill patternType="solid">
          <fgColor indexed="64"/>
          <bgColor rgb="FFF1948A"/>
        </patternFill>
      </fill>
    </dxf>
    <dxf>
      <font>
        <b/>
        <i val="0"/>
        <color rgb="FF1A5276"/>
      </font>
      <fill>
        <patternFill patternType="solid">
          <fgColor indexed="64"/>
          <bgColor rgb="FFD6EAF8"/>
        </patternFill>
      </fill>
    </dxf>
    <dxf>
      <font>
        <color rgb="FF808B96"/>
      </font>
      <fill>
        <patternFill patternType="solid">
          <fgColor indexed="64"/>
          <bgColor rgb="FFF4F6F7"/>
        </patternFill>
      </fill>
    </dxf>
    <dxf>
      <font>
        <b/>
        <i val="0"/>
        <color rgb="FF7B241C"/>
      </font>
      <fill>
        <patternFill patternType="solid">
          <fgColor indexed="64"/>
          <bgColor rgb="FFF1948A"/>
        </patternFill>
      </fill>
    </dxf>
    <dxf>
      <font>
        <b/>
        <i val="0"/>
        <color rgb="FF7D6608"/>
      </font>
      <fill>
        <patternFill patternType="solid">
          <fgColor indexed="64"/>
          <bgColor rgb="FFF9E79F"/>
        </patternFill>
      </fill>
    </dxf>
    <dxf>
      <font>
        <b/>
        <i val="0"/>
        <color rgb="FF145A32"/>
      </font>
      <fill>
        <patternFill patternType="solid">
          <fgColor indexed="64"/>
          <bgColor rgb="FFA9DFBF"/>
        </patternFill>
      </fill>
    </dxf>
    <dxf>
      <font>
        <b/>
        <i val="0"/>
        <color rgb="FF784212"/>
      </font>
      <fill>
        <patternFill patternType="solid">
          <fgColor indexed="64"/>
          <bgColor rgb="FFFAD7A0"/>
        </patternFill>
      </fill>
    </dxf>
    <dxf>
      <font>
        <b/>
        <i val="0"/>
        <color rgb="FF7D6608"/>
      </font>
      <fill>
        <patternFill patternType="solid">
          <fgColor indexed="64"/>
          <bgColor rgb="FFF9E79F"/>
        </patternFill>
      </fill>
    </dxf>
    <dxf>
      <font>
        <color rgb="FF145A32"/>
      </font>
      <fill>
        <patternFill patternType="solid">
          <fgColor indexed="64"/>
          <bgColor rgb="FFEAFAF1"/>
        </patternFill>
      </fill>
    </dxf>
    <dxf>
      <font>
        <color rgb="FF808B96"/>
      </font>
      <fill>
        <patternFill patternType="solid">
          <fgColor indexed="64"/>
          <bgColor rgb="FFF4F6F7"/>
        </patternFill>
      </fill>
    </dxf>
    <dxf>
      <font>
        <color rgb="FF1A5276"/>
      </font>
      <fill>
        <patternFill patternType="solid">
          <fgColor indexed="64"/>
          <bgColor rgb="FFAED6F1"/>
        </patternFill>
      </fill>
    </dxf>
    <dxf>
      <font>
        <b/>
        <i val="0"/>
        <color rgb="FFFFFFFF"/>
      </font>
      <fill>
        <patternFill patternType="solid">
          <fgColor indexed="64"/>
          <bgColor rgb="FF2E86C1"/>
        </patternFill>
      </fill>
    </dxf>
    <dxf>
      <font>
        <color rgb="FF7D6608"/>
      </font>
      <fill>
        <patternFill patternType="solid">
          <fgColor indexed="64"/>
          <bgColor rgb="FFF9E79F"/>
        </patternFill>
      </fill>
    </dxf>
    <dxf>
      <font>
        <color rgb="FF1A5276"/>
      </font>
      <fill>
        <patternFill patternType="solid">
          <fgColor indexed="64"/>
          <bgColor rgb="FFAED6F1"/>
        </patternFill>
      </fill>
    </dxf>
    <dxf>
      <font>
        <b/>
        <i val="0"/>
        <color rgb="FF145A32"/>
      </font>
      <fill>
        <patternFill patternType="solid">
          <fgColor indexed="64"/>
          <bgColor rgb="FFA9DFBF"/>
        </patternFill>
      </fill>
    </dxf>
    <dxf>
      <font>
        <color rgb="FF7B241C"/>
      </font>
      <fill>
        <patternFill patternType="solid">
          <fgColor indexed="64"/>
          <bgColor rgb="FFF1948A"/>
        </patternFill>
      </fill>
    </dxf>
    <dxf>
      <font>
        <b/>
        <i val="0"/>
        <color rgb="FF784212"/>
      </font>
      <fill>
        <patternFill patternType="solid">
          <fgColor indexed="64"/>
          <bgColor rgb="FFFAD7A0"/>
        </patternFill>
      </fill>
    </dxf>
    <dxf>
      <font>
        <color rgb="FF7D6608"/>
      </font>
      <fill>
        <patternFill patternType="solid">
          <fgColor indexed="64"/>
          <bgColor rgb="FFF9E79F"/>
        </patternFill>
      </fill>
    </dxf>
    <dxf>
      <font>
        <color rgb="FF145A32"/>
      </font>
      <fill>
        <patternFill patternType="solid">
          <fgColor indexed="64"/>
          <bgColor rgb="FFA9DFBF"/>
        </patternFill>
      </fill>
    </dxf>
    <dxf>
      <font>
        <color rgb="FF1A5276"/>
      </font>
      <fill>
        <patternFill patternType="solid">
          <fgColor indexed="64"/>
          <bgColor rgb="FFAED6F1"/>
        </patternFill>
      </fill>
    </dxf>
    <dxf>
      <font>
        <b/>
        <i val="0"/>
        <color rgb="FF784212"/>
      </font>
      <fill>
        <patternFill patternType="solid">
          <fgColor indexed="64"/>
          <bgColor rgb="FFFAD7A0"/>
        </patternFill>
      </fill>
    </dxf>
    <dxf>
      <font>
        <b/>
        <i val="0"/>
        <color rgb="FF145A32"/>
      </font>
      <fill>
        <patternFill patternType="solid">
          <fgColor indexed="64"/>
          <bgColor rgb="FFA9DFBF"/>
        </patternFill>
      </fill>
    </dxf>
    <dxf>
      <font>
        <b/>
        <i val="0"/>
        <color rgb="FF1A237E"/>
      </font>
      <fill>
        <patternFill patternType="solid">
          <fgColor indexed="64"/>
          <bgColor rgb="FFD9E1F2"/>
        </patternFill>
      </fill>
    </dxf>
    <dxf>
      <font>
        <b/>
        <i val="0"/>
        <color rgb="FF7B241C"/>
      </font>
      <fill>
        <patternFill patternType="solid">
          <fgColor indexed="64"/>
          <bgColor rgb="FFFADBD8"/>
        </patternFill>
      </fill>
    </dxf>
    <dxf>
      <font>
        <b/>
        <i val="0"/>
        <color rgb="FF7B241C"/>
      </font>
      <fill>
        <patternFill patternType="solid">
          <fgColor indexed="64"/>
          <bgColor rgb="FFFADBD8"/>
        </patternFill>
      </fill>
    </dxf>
    <dxf>
      <font>
        <color rgb="FF784212"/>
      </font>
      <fill>
        <patternFill patternType="solid">
          <fgColor indexed="64"/>
          <bgColor rgb="FFFAD7A0"/>
        </patternFill>
      </fill>
    </dxf>
    <dxf>
      <font>
        <b/>
        <i val="0"/>
        <color rgb="FF7B241C"/>
      </font>
      <fill>
        <patternFill patternType="solid">
          <fgColor indexed="64"/>
          <bgColor rgb="FFF1948A"/>
        </patternFill>
      </fill>
    </dxf>
    <dxf>
      <font>
        <b/>
        <i val="0"/>
        <color rgb="FF7D6608"/>
      </font>
      <fill>
        <patternFill patternType="solid">
          <fgColor indexed="64"/>
          <bgColor rgb="FFF9E79F"/>
        </patternFill>
      </fill>
    </dxf>
    <dxf>
      <font>
        <b/>
        <i val="0"/>
        <color rgb="FF784212"/>
      </font>
      <fill>
        <patternFill patternType="solid">
          <fgColor indexed="64"/>
          <bgColor rgb="FFFAD7A0"/>
        </patternFill>
      </fill>
    </dxf>
    <dxf>
      <font>
        <b/>
        <i val="0"/>
        <color rgb="FF7B241C"/>
      </font>
      <fill>
        <patternFill patternType="solid">
          <fgColor indexed="64"/>
          <bgColor rgb="FFF1948A"/>
        </patternFill>
      </fill>
    </dxf>
    <dxf>
      <font>
        <b/>
        <i val="0"/>
        <color rgb="FF7B241C"/>
      </font>
      <fill>
        <patternFill patternType="solid">
          <fgColor indexed="64"/>
          <bgColor rgb="FFF1948A"/>
        </patternFill>
      </fill>
    </dxf>
    <dxf>
      <font>
        <b/>
        <i val="0"/>
        <color rgb="FF784212"/>
      </font>
      <fill>
        <patternFill patternType="solid">
          <fgColor indexed="64"/>
          <bgColor rgb="FFFAD7A0"/>
        </patternFill>
      </fill>
    </dxf>
    <dxf>
      <font>
        <b/>
        <i val="0"/>
        <color rgb="FF7D6608"/>
      </font>
      <fill>
        <patternFill patternType="solid">
          <fgColor indexed="64"/>
          <bgColor rgb="FFF9E79F"/>
        </patternFill>
      </fill>
    </dxf>
    <dxf>
      <font>
        <b/>
        <i val="0"/>
        <color rgb="FF145A32"/>
      </font>
      <fill>
        <patternFill patternType="solid">
          <fgColor indexed="64"/>
          <bgColor rgb="FFA9DFBF"/>
        </patternFill>
      </fill>
    </dxf>
    <dxf>
      <font>
        <b/>
        <i val="0"/>
        <color rgb="FF1A5276"/>
      </font>
      <fill>
        <patternFill patternType="solid">
          <fgColor indexed="64"/>
          <bgColor rgb="FFAED6F1"/>
        </patternFill>
      </fill>
    </dxf>
    <dxf>
      <font>
        <b/>
        <i val="0"/>
        <color rgb="FF1A5276"/>
      </font>
      <fill>
        <patternFill patternType="solid">
          <fgColor indexed="64"/>
          <bgColor rgb="FFAED6F1"/>
        </patternFill>
      </fill>
    </dxf>
    <dxf>
      <font>
        <b/>
        <i val="0"/>
        <color rgb="FF1A5276"/>
      </font>
      <fill>
        <patternFill patternType="solid">
          <fgColor indexed="64"/>
          <bgColor rgb="FFAED6F1"/>
        </patternFill>
      </fill>
    </dxf>
    <dxf>
      <font>
        <b/>
        <i val="0"/>
        <color rgb="FF7B241C"/>
      </font>
      <fill>
        <patternFill patternType="solid">
          <fgColor indexed="64"/>
          <bgColor rgb="FFF1948A"/>
        </patternFill>
      </fill>
    </dxf>
    <dxf>
      <font>
        <b/>
        <i val="0"/>
        <color rgb="FF145A32"/>
      </font>
      <fill>
        <patternFill patternType="solid">
          <fgColor indexed="64"/>
          <bgColor rgb="FFA9DFBF"/>
        </patternFill>
      </fill>
    </dxf>
    <dxf>
      <font>
        <b/>
        <i val="0"/>
        <color rgb="FF7B241C"/>
      </font>
      <fill>
        <patternFill patternType="solid">
          <fgColor indexed="64"/>
          <bgColor rgb="FFF1948A"/>
        </patternFill>
      </fill>
    </dxf>
    <dxf>
      <font>
        <b/>
        <i val="0"/>
        <color rgb="FF7B241C"/>
      </font>
      <fill>
        <patternFill patternType="solid">
          <fgColor indexed="64"/>
          <bgColor rgb="FFF1948A"/>
        </patternFill>
      </fill>
    </dxf>
    <dxf>
      <font>
        <b/>
        <i val="0"/>
        <color rgb="FF7B241C"/>
      </font>
      <fill>
        <patternFill patternType="solid">
          <fgColor indexed="64"/>
          <bgColor rgb="FFF1948A"/>
        </patternFill>
      </fill>
    </dxf>
    <dxf>
      <font>
        <b/>
        <i val="0"/>
        <color rgb="FF784212"/>
      </font>
      <fill>
        <patternFill patternType="solid">
          <fgColor indexed="64"/>
          <bgColor rgb="FFFAD7A0"/>
        </patternFill>
      </fill>
    </dxf>
    <dxf>
      <font>
        <b/>
        <i val="0"/>
        <color rgb="FF7B241C"/>
      </font>
      <fill>
        <patternFill patternType="solid">
          <fgColor indexed="64"/>
          <bgColor rgb="FFF1948A"/>
        </patternFill>
      </fill>
    </dxf>
    <dxf>
      <font>
        <b/>
        <i val="0"/>
        <color rgb="FF7B241C"/>
      </font>
      <fill>
        <patternFill patternType="solid">
          <fgColor indexed="64"/>
          <bgColor rgb="FFF1948A"/>
        </patternFill>
      </fill>
    </dxf>
    <dxf>
      <font>
        <b/>
        <i val="0"/>
        <color rgb="FF7B241C"/>
      </font>
      <fill>
        <patternFill patternType="solid">
          <fgColor indexed="64"/>
          <bgColor rgb="FFF1948A"/>
        </patternFill>
      </fill>
    </dxf>
    <dxf>
      <font>
        <color rgb="FF7D6608"/>
      </font>
      <fill>
        <patternFill patternType="solid">
          <fgColor indexed="64"/>
          <bgColor rgb="FFFDFAE7"/>
        </patternFill>
      </fill>
    </dxf>
    <dxf>
      <font>
        <color rgb="FF1A5276"/>
      </font>
      <fill>
        <patternFill patternType="solid">
          <fgColor indexed="64"/>
          <bgColor rgb="FFD6EAF8"/>
        </patternFill>
      </fill>
    </dxf>
    <dxf>
      <font>
        <b/>
        <i val="0"/>
        <color rgb="FF7B241C"/>
      </font>
      <fill>
        <patternFill patternType="solid">
          <fgColor indexed="64"/>
          <bgColor rgb="FFFADBD8"/>
        </patternFill>
      </fill>
    </dxf>
    <dxf>
      <font>
        <b/>
        <i val="0"/>
        <color rgb="FF7D6608"/>
      </font>
      <fill>
        <patternFill patternType="solid">
          <fgColor indexed="64"/>
          <bgColor rgb="FFF9E79F"/>
        </patternFill>
      </fill>
    </dxf>
    <dxf>
      <font>
        <b/>
        <i val="0"/>
        <color rgb="FF7B241C"/>
      </font>
      <fill>
        <patternFill patternType="solid">
          <fgColor indexed="64"/>
          <bgColor rgb="FFF1948A"/>
        </patternFill>
      </fill>
    </dxf>
    <dxf>
      <font>
        <b/>
        <i val="0"/>
        <color rgb="FF7D6608"/>
      </font>
      <fill>
        <patternFill patternType="solid">
          <fgColor indexed="64"/>
          <bgColor rgb="FFF9E79F"/>
        </patternFill>
      </fill>
    </dxf>
    <dxf>
      <font>
        <b/>
        <i val="0"/>
        <color rgb="FF1A5276"/>
      </font>
      <fill>
        <patternFill patternType="solid">
          <fgColor indexed="64"/>
          <bgColor rgb="FFAED6F1"/>
        </patternFill>
      </fill>
    </dxf>
    <dxf>
      <font>
        <b/>
        <i val="0"/>
        <color rgb="FF7B241C"/>
      </font>
      <fill>
        <patternFill patternType="solid">
          <fgColor indexed="64"/>
          <bgColor rgb="FFF1948A"/>
        </patternFill>
      </fill>
    </dxf>
    <dxf>
      <font>
        <b/>
        <i val="0"/>
        <color rgb="FF7D6608"/>
      </font>
      <fill>
        <patternFill patternType="solid">
          <fgColor indexed="64"/>
          <bgColor rgb="FFF9E79F"/>
        </patternFill>
      </fill>
    </dxf>
    <dxf>
      <font>
        <b/>
        <i val="0"/>
        <color rgb="FF1A5276"/>
      </font>
      <fill>
        <patternFill patternType="solid">
          <fgColor indexed="64"/>
          <bgColor rgb="FFAED6F1"/>
        </patternFill>
      </fill>
    </dxf>
    <dxf>
      <font>
        <b/>
        <i val="0"/>
        <color rgb="FF145A32"/>
      </font>
      <fill>
        <patternFill patternType="solid">
          <fgColor indexed="64"/>
          <bgColor rgb="FFD5F5E3"/>
        </patternFill>
      </fill>
    </dxf>
    <dxf>
      <font>
        <b/>
        <i val="0"/>
        <color rgb="FF7D6608"/>
      </font>
      <fill>
        <patternFill patternType="solid">
          <fgColor indexed="64"/>
          <bgColor rgb="FFF9E79F"/>
        </patternFill>
      </fill>
    </dxf>
    <dxf>
      <font>
        <b/>
        <i val="0"/>
        <color rgb="FF784212"/>
      </font>
      <fill>
        <patternFill patternType="solid">
          <fgColor indexed="64"/>
          <bgColor rgb="FFFAD7A0"/>
        </patternFill>
      </fill>
    </dxf>
    <dxf>
      <font>
        <b/>
        <i val="0"/>
        <color rgb="FF784212"/>
      </font>
      <fill>
        <patternFill patternType="solid">
          <fgColor indexed="64"/>
          <bgColor rgb="FFFAD7A0"/>
        </patternFill>
      </fill>
    </dxf>
    <dxf>
      <font>
        <b/>
        <i val="0"/>
        <color rgb="FF641E16"/>
      </font>
      <fill>
        <patternFill patternType="solid">
          <fgColor indexed="64"/>
          <bgColor rgb="FFF1948A"/>
        </patternFill>
      </fill>
    </dxf>
    <dxf>
      <font>
        <b/>
        <i val="0"/>
        <color rgb="FF641E16"/>
      </font>
      <fill>
        <patternFill patternType="solid">
          <fgColor indexed="64"/>
          <bgColor rgb="FFF1948A"/>
        </patternFill>
      </fill>
    </dxf>
    <dxf>
      <font>
        <b/>
        <i val="0"/>
        <color rgb="FF641E16"/>
      </font>
      <fill>
        <patternFill patternType="solid">
          <fgColor indexed="64"/>
          <bgColor rgb="FFF1948A"/>
        </patternFill>
      </fill>
    </dxf>
    <dxf>
      <font>
        <b/>
        <i val="0"/>
        <color rgb="FF641E16"/>
      </font>
      <fill>
        <patternFill patternType="solid">
          <fgColor indexed="64"/>
          <bgColor rgb="FFF1948A"/>
        </patternFill>
      </fill>
    </dxf>
    <dxf>
      <font>
        <b/>
        <i val="0"/>
        <color rgb="FF641E16"/>
      </font>
      <fill>
        <patternFill patternType="solid">
          <fgColor indexed="64"/>
          <bgColor rgb="FFF1948A"/>
        </patternFill>
      </fill>
    </dxf>
    <dxf>
      <font>
        <b/>
        <i val="0"/>
        <color rgb="FF7D6608"/>
      </font>
      <fill>
        <patternFill patternType="solid">
          <fgColor indexed="64"/>
          <bgColor rgb="FFF9E79F"/>
        </patternFill>
      </fill>
    </dxf>
    <dxf>
      <font>
        <b/>
        <i val="0"/>
        <color rgb="FF641E16"/>
      </font>
      <fill>
        <patternFill patternType="solid">
          <fgColor indexed="64"/>
          <bgColor rgb="FFF1948A"/>
        </patternFill>
      </fill>
    </dxf>
    <dxf>
      <font>
        <b/>
        <i val="0"/>
        <color rgb="FF145A32"/>
      </font>
      <fill>
        <patternFill patternType="solid">
          <fgColor indexed="64"/>
          <bgColor rgb="FFA9DFBF"/>
        </patternFill>
      </fill>
    </dxf>
    <dxf>
      <font>
        <b/>
        <i val="0"/>
        <color rgb="FF641E16"/>
      </font>
      <fill>
        <patternFill patternType="solid">
          <fgColor indexed="64"/>
          <bgColor rgb="FFF1948A"/>
        </patternFill>
      </fill>
    </dxf>
    <dxf>
      <font>
        <b/>
        <i val="0"/>
        <color rgb="FF641E16"/>
      </font>
      <fill>
        <patternFill patternType="solid">
          <fgColor indexed="64"/>
          <bgColor rgb="FFF1948A"/>
        </patternFill>
      </fill>
    </dxf>
    <dxf>
      <font>
        <color rgb="FF616A6B"/>
      </font>
      <fill>
        <patternFill patternType="solid">
          <fgColor indexed="64"/>
          <bgColor rgb="FFF2F3F4"/>
        </patternFill>
      </fill>
    </dxf>
    <dxf>
      <font>
        <b/>
        <i val="0"/>
        <color rgb="FF1A5276"/>
      </font>
      <fill>
        <patternFill patternType="solid">
          <fgColor indexed="64"/>
          <bgColor rgb="FFAED6F1"/>
        </patternFill>
      </fill>
    </dxf>
    <dxf>
      <font>
        <b/>
        <i val="0"/>
        <color rgb="FF145A32"/>
      </font>
      <fill>
        <patternFill patternType="solid">
          <fgColor indexed="64"/>
          <bgColor rgb="FFA9DFBF"/>
        </patternFill>
      </fill>
    </dxf>
    <dxf>
      <font>
        <b/>
        <i val="0"/>
        <color rgb="FF145A32"/>
      </font>
      <fill>
        <patternFill patternType="solid">
          <fgColor indexed="64"/>
          <bgColor rgb="FFA9DFBF"/>
        </patternFill>
      </fill>
    </dxf>
    <dxf>
      <font>
        <b/>
        <i val="0"/>
        <color rgb="FF641E16"/>
      </font>
      <fill>
        <patternFill patternType="solid">
          <fgColor indexed="64"/>
          <bgColor rgb="FFF1948A"/>
        </patternFill>
      </fill>
    </dxf>
    <dxf>
      <font>
        <b/>
        <i val="0"/>
        <color rgb="FF7D6608"/>
      </font>
      <fill>
        <patternFill patternType="solid">
          <fgColor indexed="64"/>
          <bgColor rgb="FFF9E79F"/>
        </patternFill>
      </fill>
    </dxf>
    <dxf>
      <font>
        <b/>
        <i val="0"/>
        <color rgb="FF7D6608"/>
      </font>
      <fill>
        <patternFill patternType="solid">
          <fgColor indexed="64"/>
          <bgColor rgb="FFF9E79F"/>
        </patternFill>
      </fill>
    </dxf>
    <dxf>
      <font>
        <color rgb="FF145A32"/>
      </font>
      <fill>
        <patternFill patternType="solid">
          <fgColor indexed="64"/>
          <bgColor rgb="FFA9DFBF"/>
        </patternFill>
      </fill>
    </dxf>
    <dxf>
      <font>
        <b/>
        <i val="0"/>
        <color rgb="FFFFFFFF"/>
      </font>
      <fill>
        <patternFill patternType="solid">
          <fgColor indexed="64"/>
          <bgColor rgb="FFCA6F1E"/>
        </patternFill>
      </fill>
    </dxf>
    <dxf>
      <font>
        <b/>
        <i val="0"/>
        <color rgb="FFFFFFFF"/>
      </font>
      <fill>
        <patternFill patternType="solid">
          <fgColor indexed="64"/>
          <bgColor rgb="FF922B21"/>
        </patternFill>
      </fill>
    </dxf>
    <dxf>
      <font>
        <b/>
        <i val="0"/>
        <color rgb="FFFFFFFF"/>
      </font>
      <fill>
        <patternFill patternType="solid">
          <fgColor indexed="64"/>
          <bgColor rgb="FF922B21"/>
        </patternFill>
      </fill>
    </dxf>
    <dxf>
      <font>
        <b/>
        <i val="0"/>
        <color rgb="FFFFFFFF"/>
      </font>
      <fill>
        <patternFill patternType="solid">
          <fgColor indexed="64"/>
          <bgColor rgb="FFCA6F1E"/>
        </patternFill>
      </fill>
    </dxf>
    <dxf>
      <font>
        <b/>
        <i val="0"/>
        <color rgb="FF7D6608"/>
      </font>
      <fill>
        <patternFill patternType="solid">
          <fgColor indexed="64"/>
          <bgColor rgb="FFF9E79F"/>
        </patternFill>
      </fill>
    </dxf>
    <dxf>
      <font>
        <color rgb="FF145A32"/>
      </font>
      <fill>
        <patternFill patternType="solid">
          <fgColor indexed="64"/>
          <bgColor rgb="FFA9DFBF"/>
        </patternFill>
      </fill>
    </dxf>
    <dxf>
      <font>
        <color rgb="FF145A32"/>
      </font>
      <fill>
        <patternFill patternType="solid">
          <fgColor indexed="64"/>
          <bgColor rgb="FFA9DFBF"/>
        </patternFill>
      </fill>
    </dxf>
    <dxf>
      <font>
        <b/>
        <i val="0"/>
        <color rgb="FF7D6608"/>
      </font>
      <fill>
        <patternFill patternType="solid">
          <fgColor indexed="64"/>
          <bgColor rgb="FFF9E79F"/>
        </patternFill>
      </fill>
    </dxf>
    <dxf>
      <font>
        <b/>
        <i val="0"/>
        <color rgb="FFFFFFFF"/>
      </font>
      <fill>
        <patternFill patternType="solid">
          <fgColor indexed="64"/>
          <bgColor rgb="FFCA6F1E"/>
        </patternFill>
      </fill>
    </dxf>
    <dxf>
      <font>
        <b/>
        <i val="0"/>
        <color rgb="FFFFFFFF"/>
      </font>
      <fill>
        <patternFill patternType="solid">
          <fgColor indexed="64"/>
          <bgColor rgb="FF922B21"/>
        </patternFill>
      </fill>
    </dxf>
    <dxf>
      <font>
        <b/>
        <color rgb="FFFFD54F"/>
      </font>
      <fill>
        <patternFill patternType="solid">
          <fgColor indexed="64"/>
          <bgColor rgb="FF1A1200"/>
        </patternFill>
      </fill>
    </dxf>
    <dxf>
      <font>
        <b/>
        <color rgb="FF69F0AE"/>
      </font>
      <fill>
        <patternFill patternType="solid">
          <fgColor indexed="64"/>
          <bgColor rgb="FF082015"/>
        </patternFill>
      </fill>
    </dxf>
    <dxf>
      <font>
        <b/>
        <i val="0"/>
        <color rgb="FF145A32"/>
      </font>
      <fill>
        <patternFill patternType="solid">
          <fgColor indexed="64"/>
          <bgColor rgb="FFA9DFBF"/>
        </patternFill>
      </fill>
    </dxf>
    <dxf>
      <font>
        <b/>
        <i val="0"/>
        <color rgb="FF641E16"/>
      </font>
      <fill>
        <patternFill patternType="solid">
          <fgColor indexed="64"/>
          <bgColor rgb="FFF1948A"/>
        </patternFill>
      </fill>
    </dxf>
    <dxf>
      <font>
        <b/>
        <i val="0"/>
        <color rgb="FF784212"/>
      </font>
      <fill>
        <patternFill patternType="solid">
          <fgColor indexed="64"/>
          <bgColor rgb="FFFAD7A0"/>
        </patternFill>
      </fill>
    </dxf>
    <dxf>
      <font>
        <b/>
        <i val="0"/>
        <color rgb="FF784212"/>
      </font>
      <fill>
        <patternFill patternType="solid">
          <fgColor indexed="64"/>
          <bgColor rgb="FFFAD7A0"/>
        </patternFill>
      </fill>
    </dxf>
    <dxf>
      <font>
        <b/>
        <i val="0"/>
        <color rgb="FF7D6608"/>
      </font>
      <fill>
        <patternFill patternType="solid">
          <fgColor indexed="64"/>
          <bgColor rgb="FFF9E79F"/>
        </patternFill>
      </fill>
    </dxf>
    <dxf>
      <font>
        <b/>
        <i val="0"/>
        <color rgb="FF145A32"/>
      </font>
      <fill>
        <patternFill patternType="solid">
          <fgColor indexed="64"/>
          <bgColor rgb="FFA9DFBF"/>
        </patternFill>
      </fill>
    </dxf>
    <dxf>
      <font>
        <b/>
        <i val="0"/>
        <color rgb="FF784212"/>
      </font>
      <fill>
        <patternFill patternType="solid">
          <fgColor indexed="64"/>
          <bgColor rgb="FFFAD7A0"/>
        </patternFill>
      </fill>
    </dxf>
    <dxf>
      <font>
        <b/>
        <i val="0"/>
        <color rgb="FF641E16"/>
      </font>
      <fill>
        <patternFill patternType="solid">
          <fgColor indexed="64"/>
          <bgColor rgb="FFF1948A"/>
        </patternFill>
      </fill>
    </dxf>
    <dxf>
      <font>
        <b/>
        <i val="0"/>
        <color rgb="FF641E16"/>
      </font>
      <fill>
        <patternFill patternType="solid">
          <fgColor indexed="64"/>
          <bgColor rgb="FFF1948A"/>
        </patternFill>
      </fill>
    </dxf>
    <dxf>
      <font>
        <b/>
        <i val="0"/>
        <color rgb="FF145A32"/>
      </font>
      <fill>
        <patternFill patternType="solid">
          <fgColor indexed="64"/>
          <bgColor rgb="FFA9DFBF"/>
        </patternFill>
      </fill>
    </dxf>
    <dxf>
      <font>
        <b/>
        <i val="0"/>
        <color rgb="FF784212"/>
      </font>
      <fill>
        <patternFill patternType="solid">
          <fgColor indexed="64"/>
          <bgColor rgb="FFFAD7A0"/>
        </patternFill>
      </fill>
    </dxf>
    <dxf>
      <font>
        <b/>
        <i val="0"/>
        <color rgb="FF145A32"/>
      </font>
      <fill>
        <patternFill patternType="solid">
          <fgColor indexed="64"/>
          <bgColor rgb="FFA9DFBF"/>
        </patternFill>
      </fill>
    </dxf>
    <dxf>
      <font>
        <color rgb="FF145A32"/>
      </font>
      <fill>
        <patternFill patternType="solid">
          <fgColor indexed="64"/>
          <bgColor rgb="FFA9DFBF"/>
        </patternFill>
      </fill>
    </dxf>
    <dxf>
      <font>
        <b/>
        <i val="0"/>
        <color rgb="FF7D6608"/>
      </font>
      <fill>
        <patternFill patternType="solid">
          <fgColor indexed="64"/>
          <bgColor rgb="FFF9E79F"/>
        </patternFill>
      </fill>
    </dxf>
    <dxf>
      <font>
        <b/>
        <i val="0"/>
        <color rgb="FFFFFFFF"/>
      </font>
      <fill>
        <patternFill patternType="solid">
          <fgColor indexed="64"/>
          <bgColor rgb="FFCA6F1E"/>
        </patternFill>
      </fill>
    </dxf>
    <dxf>
      <font>
        <b/>
        <i val="0"/>
        <color rgb="FFFFFFFF"/>
      </font>
      <fill>
        <patternFill patternType="solid">
          <fgColor indexed="64"/>
          <bgColor rgb="FF922B21"/>
        </patternFill>
      </fill>
    </dxf>
    <dxf>
      <font>
        <b/>
        <i val="0"/>
        <color rgb="FF145A32"/>
      </font>
      <fill>
        <patternFill patternType="solid">
          <fgColor indexed="64"/>
          <bgColor rgb="FFA9DFBF"/>
        </patternFill>
      </fill>
    </dxf>
    <dxf>
      <font>
        <b/>
        <i val="0"/>
        <color rgb="FF7D6608"/>
      </font>
      <fill>
        <patternFill patternType="solid">
          <fgColor indexed="64"/>
          <bgColor rgb="FFF9E79F"/>
        </patternFill>
      </fill>
    </dxf>
    <dxf>
      <font>
        <b/>
        <i val="0"/>
        <color rgb="FFFFFFFF"/>
      </font>
      <fill>
        <patternFill patternType="solid">
          <fgColor indexed="64"/>
          <bgColor rgb="FF922B21"/>
        </patternFill>
      </fill>
    </dxf>
    <dxf>
      <font>
        <b/>
        <i val="0"/>
        <color rgb="FF145A32"/>
      </font>
      <fill>
        <patternFill patternType="solid">
          <fgColor indexed="64"/>
          <bgColor rgb="FFA9DFBF"/>
        </patternFill>
      </fill>
    </dxf>
    <dxf>
      <font>
        <b/>
        <i val="0"/>
        <color rgb="FF7D6608"/>
      </font>
      <fill>
        <patternFill patternType="solid">
          <fgColor indexed="64"/>
          <bgColor rgb="FFF9E79F"/>
        </patternFill>
      </fill>
    </dxf>
    <dxf>
      <font>
        <b/>
        <i val="0"/>
        <color rgb="FF784212"/>
      </font>
      <fill>
        <patternFill patternType="solid">
          <fgColor indexed="64"/>
          <bgColor rgb="FFFAD7A0"/>
        </patternFill>
      </fill>
    </dxf>
    <dxf>
      <font>
        <b/>
        <i val="0"/>
        <color rgb="FF641E16"/>
      </font>
      <fill>
        <patternFill patternType="solid">
          <fgColor indexed="64"/>
          <bgColor rgb="FFF1948A"/>
        </patternFill>
      </fill>
    </dxf>
    <dxf>
      <font>
        <b/>
        <i val="0"/>
        <color rgb="FFFFFFFF"/>
      </font>
      <fill>
        <patternFill patternType="solid">
          <fgColor indexed="64"/>
          <bgColor rgb="FF1A5276"/>
        </patternFill>
      </fill>
    </dxf>
    <dxf>
      <font>
        <b/>
        <i val="0"/>
        <color rgb="FF145A32"/>
      </font>
      <fill>
        <patternFill patternType="solid">
          <fgColor indexed="64"/>
          <bgColor rgb="FFA9DFBF"/>
        </patternFill>
      </fill>
    </dxf>
    <dxf>
      <font>
        <b/>
        <i val="0"/>
        <color rgb="FF7D6608"/>
      </font>
      <fill>
        <patternFill patternType="solid">
          <fgColor indexed="64"/>
          <bgColor rgb="FFF9E79F"/>
        </patternFill>
      </fill>
    </dxf>
    <dxf>
      <font>
        <b/>
        <i val="0"/>
        <color rgb="FFFFFFFF"/>
      </font>
      <fill>
        <patternFill patternType="solid">
          <fgColor indexed="64"/>
          <bgColor rgb="FFCA6F1E"/>
        </patternFill>
      </fill>
    </dxf>
    <dxf>
      <font>
        <b/>
        <i val="0"/>
        <color rgb="FFFFFFFF"/>
      </font>
      <fill>
        <patternFill patternType="solid">
          <fgColor indexed="64"/>
          <bgColor rgb="FF922B21"/>
        </patternFill>
      </fill>
    </dxf>
    <dxf>
      <font>
        <b/>
        <i val="0"/>
        <color rgb="FFFFFFFF"/>
      </font>
      <fill>
        <patternFill patternType="solid">
          <fgColor indexed="64"/>
          <bgColor rgb="FF1A5276"/>
        </patternFill>
      </fill>
    </dxf>
    <dxf>
      <font>
        <b/>
        <i val="0"/>
        <color rgb="FF145A32"/>
      </font>
      <fill>
        <patternFill patternType="solid">
          <fgColor indexed="64"/>
          <bgColor rgb="FFA9DFBF"/>
        </patternFill>
      </fill>
    </dxf>
    <dxf>
      <font>
        <b/>
        <i val="0"/>
        <color rgb="FF7D6608"/>
      </font>
      <fill>
        <patternFill patternType="solid">
          <fgColor indexed="64"/>
          <bgColor rgb="FFF9E79F"/>
        </patternFill>
      </fill>
    </dxf>
    <dxf>
      <font>
        <b/>
        <i val="0"/>
        <color rgb="FFFFFFFF"/>
      </font>
      <fill>
        <patternFill patternType="solid">
          <fgColor indexed="64"/>
          <bgColor rgb="FFCA6F1E"/>
        </patternFill>
      </fill>
    </dxf>
    <dxf>
      <font>
        <b/>
        <i val="0"/>
        <color rgb="FFFFFFFF"/>
      </font>
      <fill>
        <patternFill patternType="solid">
          <fgColor indexed="64"/>
          <bgColor rgb="FF922B21"/>
        </patternFill>
      </fill>
    </dxf>
    <dxf>
      <font>
        <b/>
        <i val="0"/>
        <color rgb="FF641E16"/>
      </font>
      <fill>
        <patternFill patternType="solid">
          <fgColor indexed="64"/>
          <bgColor rgb="FFF1948A"/>
        </patternFill>
      </fill>
    </dxf>
    <dxf>
      <font>
        <b/>
        <i val="0"/>
        <color rgb="FF784212"/>
      </font>
      <fill>
        <patternFill patternType="solid">
          <fgColor indexed="64"/>
          <bgColor rgb="FFFAD7A0"/>
        </patternFill>
      </fill>
    </dxf>
    <dxf>
      <font>
        <b/>
        <i val="0"/>
        <color rgb="FF7D6608"/>
      </font>
      <fill>
        <patternFill patternType="solid">
          <fgColor indexed="64"/>
          <bgColor rgb="FFF9E79F"/>
        </patternFill>
      </fill>
    </dxf>
    <dxf>
      <font>
        <b/>
        <i val="0"/>
        <color rgb="FF145A32"/>
      </font>
      <fill>
        <patternFill patternType="solid">
          <fgColor indexed="64"/>
          <bgColor rgb="FFA9DFBF"/>
        </patternFill>
      </fill>
    </dxf>
    <dxf>
      <font>
        <b/>
        <i val="0"/>
        <color rgb="FF1A5276"/>
      </font>
      <fill>
        <patternFill patternType="solid">
          <fgColor indexed="64"/>
          <bgColor rgb="FFAED6F1"/>
        </patternFill>
      </fill>
    </dxf>
    <dxf>
      <font>
        <b/>
        <i val="0"/>
        <color rgb="FF641E16"/>
      </font>
      <fill>
        <patternFill patternType="solid">
          <fgColor indexed="64"/>
          <bgColor rgb="FFF1948A"/>
        </patternFill>
      </fill>
    </dxf>
    <dxf>
      <font>
        <b/>
        <i val="0"/>
        <color rgb="FF784212"/>
      </font>
      <fill>
        <patternFill patternType="solid">
          <fgColor indexed="64"/>
          <bgColor rgb="FFFAD7A0"/>
        </patternFill>
      </fill>
    </dxf>
    <dxf>
      <font>
        <b/>
        <i val="0"/>
        <color rgb="FF1A5276"/>
      </font>
      <fill>
        <patternFill patternType="solid">
          <fgColor indexed="64"/>
          <bgColor rgb="FFAED6F1"/>
        </patternFill>
      </fill>
    </dxf>
    <dxf>
      <font>
        <b/>
        <i val="0"/>
        <color rgb="FF145A32"/>
      </font>
      <fill>
        <patternFill patternType="solid">
          <fgColor indexed="64"/>
          <bgColor rgb="FFA9DFBF"/>
        </patternFill>
      </fill>
    </dxf>
    <dxf>
      <font>
        <b/>
        <i val="0"/>
        <color rgb="FF641E16"/>
      </font>
      <fill>
        <patternFill patternType="solid">
          <fgColor indexed="64"/>
          <bgColor rgb="FFF1948A"/>
        </patternFill>
      </fill>
    </dxf>
    <dxf>
      <font>
        <b/>
        <i val="0"/>
        <color rgb="FF784212"/>
      </font>
      <fill>
        <patternFill patternType="solid">
          <fgColor indexed="64"/>
          <bgColor rgb="FFFAD7A0"/>
        </patternFill>
      </fill>
    </dxf>
    <dxf>
      <font>
        <b/>
        <i val="0"/>
        <color rgb="FF7D6608"/>
      </font>
      <fill>
        <patternFill patternType="solid">
          <fgColor indexed="64"/>
          <bgColor rgb="FFF9E79F"/>
        </patternFill>
      </fill>
    </dxf>
    <dxf>
      <font>
        <b/>
        <i val="0"/>
        <color rgb="FF145A32"/>
      </font>
      <fill>
        <patternFill patternType="solid">
          <fgColor indexed="64"/>
          <bgColor rgb="FFA9DFBF"/>
        </patternFill>
      </fill>
    </dxf>
    <dxf>
      <font>
        <b/>
        <i val="0"/>
        <color rgb="FF1A5276"/>
      </font>
      <fill>
        <patternFill patternType="solid">
          <fgColor indexed="64"/>
          <bgColor rgb="FFAED6F1"/>
        </patternFill>
      </fill>
    </dxf>
    <dxf>
      <font>
        <b/>
        <i val="0"/>
        <color rgb="FF641E16"/>
      </font>
      <fill>
        <patternFill patternType="solid">
          <fgColor indexed="64"/>
          <bgColor rgb="FFF1948A"/>
        </patternFill>
      </fill>
    </dxf>
    <dxf>
      <font>
        <b/>
        <i val="0"/>
        <color rgb="FF784212"/>
      </font>
      <fill>
        <patternFill patternType="solid">
          <fgColor indexed="64"/>
          <bgColor rgb="FFFAD7A0"/>
        </patternFill>
      </fill>
    </dxf>
    <dxf>
      <font>
        <b/>
        <i val="0"/>
        <color rgb="FF7D6608"/>
      </font>
      <fill>
        <patternFill patternType="solid">
          <fgColor indexed="64"/>
          <bgColor rgb="FFF9E79F"/>
        </patternFill>
      </fill>
    </dxf>
    <dxf>
      <font>
        <b/>
        <i val="0"/>
        <color rgb="FF145A32"/>
      </font>
      <fill>
        <patternFill patternType="solid">
          <fgColor indexed="64"/>
          <bgColor rgb="FFA9DFBF"/>
        </patternFill>
      </fill>
    </dxf>
    <dxf>
      <font>
        <b/>
        <i val="0"/>
        <color rgb="FF1A5276"/>
      </font>
      <fill>
        <patternFill patternType="solid">
          <fgColor indexed="64"/>
          <bgColor rgb="FFAED6F1"/>
        </patternFill>
      </fill>
    </dxf>
    <dxf>
      <font>
        <b/>
        <i val="0"/>
        <color rgb="FF641E16"/>
      </font>
      <fill>
        <patternFill patternType="solid">
          <fgColor indexed="64"/>
          <bgColor rgb="FFF1948A"/>
        </patternFill>
      </fill>
    </dxf>
    <dxf>
      <font>
        <b/>
        <i val="0"/>
        <color rgb="FF784212"/>
      </font>
      <fill>
        <patternFill patternType="solid">
          <fgColor indexed="64"/>
          <bgColor rgb="FFFAD7A0"/>
        </patternFill>
      </fill>
    </dxf>
    <dxf>
      <font>
        <b/>
        <i val="0"/>
        <color rgb="FF7D6608"/>
      </font>
      <fill>
        <patternFill patternType="solid">
          <fgColor indexed="64"/>
          <bgColor rgb="FFF9E79F"/>
        </patternFill>
      </fill>
    </dxf>
    <dxf>
      <font>
        <b/>
        <i val="0"/>
        <color rgb="FF145A32"/>
      </font>
      <fill>
        <patternFill patternType="solid">
          <fgColor indexed="64"/>
          <bgColor rgb="FFA9DFBF"/>
        </patternFill>
      </fill>
    </dxf>
    <dxf>
      <font>
        <b/>
        <i val="0"/>
        <color rgb="FF1A5276"/>
      </font>
      <fill>
        <patternFill patternType="solid">
          <fgColor indexed="64"/>
          <bgColor rgb="FFAED6F1"/>
        </patternFill>
      </fill>
    </dxf>
    <dxf>
      <font>
        <b/>
        <i val="0"/>
        <color rgb="FF641E16"/>
      </font>
      <fill>
        <patternFill patternType="solid">
          <fgColor indexed="64"/>
          <bgColor rgb="FFF1948A"/>
        </patternFill>
      </fill>
    </dxf>
    <dxf>
      <font>
        <b/>
        <i val="0"/>
        <color rgb="FF784212"/>
      </font>
      <fill>
        <patternFill patternType="solid">
          <fgColor indexed="64"/>
          <bgColor rgb="FFFAD7A0"/>
        </patternFill>
      </fill>
    </dxf>
    <dxf>
      <font>
        <b/>
        <i val="0"/>
        <color rgb="FF7D6608"/>
      </font>
      <fill>
        <patternFill patternType="solid">
          <fgColor indexed="64"/>
          <bgColor rgb="FFF9E79F"/>
        </patternFill>
      </fill>
    </dxf>
    <dxf>
      <font>
        <b/>
        <i val="0"/>
        <color rgb="FF145A32"/>
      </font>
      <fill>
        <patternFill patternType="solid">
          <fgColor indexed="64"/>
          <bgColor rgb="FFA9DFBF"/>
        </patternFill>
      </fill>
    </dxf>
    <dxf>
      <font>
        <b/>
        <i val="0"/>
        <color rgb="FF1A5276"/>
      </font>
      <fill>
        <patternFill patternType="solid">
          <fgColor indexed="64"/>
          <bgColor rgb="FFAED6F1"/>
        </patternFill>
      </fill>
    </dxf>
    <dxf>
      <font>
        <b/>
        <i val="0"/>
        <color rgb="FF641E16"/>
      </font>
      <fill>
        <patternFill patternType="solid">
          <fgColor indexed="64"/>
          <bgColor rgb="FFF1948A"/>
        </patternFill>
      </fill>
    </dxf>
    <dxf>
      <font>
        <b/>
        <i val="0"/>
        <color rgb="FF784212"/>
      </font>
      <fill>
        <patternFill patternType="solid">
          <fgColor indexed="64"/>
          <bgColor rgb="FFFAD7A0"/>
        </patternFill>
      </fill>
    </dxf>
    <dxf>
      <font>
        <b/>
        <i val="0"/>
        <color rgb="FF7D6608"/>
      </font>
      <fill>
        <patternFill patternType="solid">
          <fgColor indexed="64"/>
          <bgColor rgb="FFF9E79F"/>
        </patternFill>
      </fill>
    </dxf>
    <dxf>
      <font>
        <b/>
        <i val="0"/>
        <color rgb="FF145A32"/>
      </font>
      <fill>
        <patternFill patternType="solid">
          <fgColor indexed="64"/>
          <bgColor rgb="FFA9DFBF"/>
        </patternFill>
      </fill>
    </dxf>
    <dxf>
      <font>
        <b/>
        <i val="0"/>
        <color rgb="FF1A5276"/>
      </font>
      <fill>
        <patternFill patternType="solid">
          <fgColor indexed="64"/>
          <bgColor rgb="FFAED6F1"/>
        </patternFill>
      </fill>
    </dxf>
    <dxf>
      <font>
        <color rgb="FF9C0006"/>
      </font>
      <fill>
        <patternFill patternType="solid">
          <fgColor indexed="64"/>
          <bgColor rgb="FFFFC7CE"/>
        </patternFill>
      </fill>
    </dxf>
    <dxf>
      <font>
        <color rgb="FF276221"/>
      </font>
      <fill>
        <patternFill patternType="solid">
          <fgColor indexed="64"/>
          <bgColor rgb="FFC6EFCE"/>
        </patternFill>
      </fill>
    </dxf>
    <dxf>
      <font>
        <b/>
        <i val="0"/>
        <color rgb="FF641E16"/>
      </font>
      <fill>
        <patternFill patternType="solid">
          <fgColor indexed="64"/>
          <bgColor rgb="FFF1948A"/>
        </patternFill>
      </fill>
    </dxf>
    <dxf>
      <font>
        <b/>
        <i val="0"/>
        <color rgb="FF784212"/>
      </font>
      <fill>
        <patternFill patternType="solid">
          <fgColor indexed="64"/>
          <bgColor rgb="FFFAD7A0"/>
        </patternFill>
      </fill>
    </dxf>
    <dxf>
      <font>
        <b/>
        <i val="0"/>
        <color rgb="FF7D6608"/>
      </font>
      <fill>
        <patternFill patternType="solid">
          <fgColor indexed="64"/>
          <bgColor rgb="FFF9E79F"/>
        </patternFill>
      </fill>
    </dxf>
    <dxf>
      <font>
        <b/>
        <i val="0"/>
        <color rgb="FF145A32"/>
      </font>
      <fill>
        <patternFill patternType="solid">
          <fgColor indexed="64"/>
          <bgColor rgb="FFA9DFBF"/>
        </patternFill>
      </fill>
    </dxf>
    <dxf>
      <font>
        <b/>
        <i val="0"/>
        <color rgb="FF1A5276"/>
      </font>
      <fill>
        <patternFill patternType="solid">
          <fgColor indexed="64"/>
          <bgColor rgb="FFAED6F1"/>
        </patternFill>
      </fill>
    </dxf>
    <dxf>
      <font>
        <b/>
        <i val="0"/>
        <color rgb="FF145A32"/>
      </font>
      <fill>
        <patternFill patternType="solid">
          <fgColor indexed="64"/>
          <bgColor rgb="FFA9DFBF"/>
        </patternFill>
      </fill>
    </dxf>
    <dxf>
      <font>
        <b/>
        <i val="0"/>
        <color rgb="FF922B21"/>
      </font>
      <fill>
        <patternFill patternType="solid">
          <fgColor indexed="64"/>
          <bgColor rgb="FFF1948A"/>
        </patternFill>
      </fill>
    </dxf>
    <dxf>
      <font>
        <b/>
        <i val="0"/>
        <color rgb="FF922B21"/>
      </font>
      <fill>
        <patternFill patternType="solid">
          <fgColor indexed="64"/>
          <bgColor rgb="FFF1948A"/>
        </patternFill>
      </fill>
    </dxf>
    <dxf>
      <font>
        <b/>
        <i val="0"/>
        <color rgb="FF784212"/>
      </font>
      <fill>
        <patternFill patternType="solid">
          <fgColor indexed="64"/>
          <bgColor rgb="FFFAD7A0"/>
        </patternFill>
      </fill>
    </dxf>
    <dxf>
      <font>
        <b/>
        <i val="0"/>
        <color rgb="FF7D6608"/>
      </font>
      <fill>
        <patternFill patternType="solid">
          <fgColor indexed="64"/>
          <bgColor rgb="FFF9E79F"/>
        </patternFill>
      </fill>
    </dxf>
    <dxf>
      <font>
        <b/>
        <i val="0"/>
        <color rgb="FF145A32"/>
      </font>
      <fill>
        <patternFill patternType="solid">
          <fgColor indexed="64"/>
          <bgColor rgb="FFA9DFBF"/>
        </patternFill>
      </fill>
    </dxf>
    <dxf>
      <font>
        <b/>
        <i val="0"/>
        <color rgb="FF1B4F72"/>
      </font>
      <fill>
        <patternFill patternType="solid">
          <fgColor indexed="64"/>
          <bgColor rgb="FFAED6F1"/>
        </patternFill>
      </fill>
    </dxf>
    <dxf>
      <font>
        <b/>
        <i val="0"/>
        <color rgb="FF922B21"/>
      </font>
      <fill>
        <patternFill patternType="solid">
          <fgColor indexed="64"/>
          <bgColor rgb="FFF1948A"/>
        </patternFill>
      </fill>
    </dxf>
    <dxf>
      <font>
        <b/>
        <i val="0"/>
        <color rgb="FF784212"/>
      </font>
      <fill>
        <patternFill patternType="solid">
          <fgColor indexed="64"/>
          <bgColor rgb="FFFAD7A0"/>
        </patternFill>
      </fill>
    </dxf>
    <dxf>
      <font>
        <b/>
        <i val="0"/>
        <color rgb="FF7D6608"/>
      </font>
      <fill>
        <patternFill patternType="solid">
          <fgColor indexed="64"/>
          <bgColor rgb="FFF9E79F"/>
        </patternFill>
      </fill>
    </dxf>
    <dxf>
      <font>
        <b/>
        <i val="0"/>
        <color rgb="FF145A32"/>
      </font>
      <fill>
        <patternFill patternType="solid">
          <fgColor indexed="64"/>
          <bgColor rgb="FFA9DFBF"/>
        </patternFill>
      </fill>
    </dxf>
    <dxf>
      <font>
        <b/>
        <i val="0"/>
        <color rgb="FF1B4F72"/>
      </font>
      <fill>
        <patternFill patternType="solid">
          <fgColor indexed="64"/>
          <bgColor rgb="FFAED6F1"/>
        </patternFill>
      </fill>
    </dxf>
    <dxf>
      <font>
        <b/>
        <i val="0"/>
        <color rgb="FF922B21"/>
      </font>
      <fill>
        <patternFill patternType="solid">
          <fgColor indexed="64"/>
          <bgColor rgb="FFF1948A"/>
        </patternFill>
      </fill>
    </dxf>
    <dxf>
      <font>
        <b/>
        <i val="0"/>
        <color rgb="FF145A32"/>
      </font>
      <fill>
        <patternFill patternType="solid">
          <fgColor indexed="64"/>
          <bgColor rgb="FFA9DFBF"/>
        </patternFill>
      </fill>
    </dxf>
    <dxf>
      <font>
        <b/>
        <i val="0"/>
        <color rgb="FF922B21"/>
      </font>
      <fill>
        <patternFill patternType="solid">
          <fgColor indexed="64"/>
          <bgColor rgb="FFF1948A"/>
        </patternFill>
      </fill>
    </dxf>
    <dxf>
      <font>
        <b/>
        <i val="0"/>
        <color rgb="FF784212"/>
      </font>
      <fill>
        <patternFill patternType="solid">
          <fgColor indexed="64"/>
          <bgColor rgb="FFFAD7A0"/>
        </patternFill>
      </fill>
    </dxf>
    <dxf>
      <font>
        <b/>
        <i val="0"/>
        <color rgb="FF7D6608"/>
      </font>
      <fill>
        <patternFill patternType="solid">
          <fgColor indexed="64"/>
          <bgColor rgb="FFF9E79F"/>
        </patternFill>
      </fill>
    </dxf>
    <dxf>
      <font>
        <b/>
        <i val="0"/>
        <color rgb="FF145A32"/>
      </font>
      <fill>
        <patternFill patternType="solid">
          <fgColor indexed="64"/>
          <bgColor rgb="FFA9DFBF"/>
        </patternFill>
      </fill>
    </dxf>
    <dxf>
      <font>
        <b/>
        <i val="0"/>
        <color rgb="FF1B4F72"/>
      </font>
      <fill>
        <patternFill patternType="solid">
          <fgColor indexed="64"/>
          <bgColor rgb="FFAED6F1"/>
        </patternFill>
      </fill>
    </dxf>
    <dxf>
      <font>
        <b/>
        <i val="0"/>
        <color rgb="FF922B21"/>
      </font>
      <fill>
        <patternFill patternType="solid">
          <fgColor indexed="64"/>
          <bgColor rgb="FFF1948A"/>
        </patternFill>
      </fill>
    </dxf>
    <dxf>
      <font>
        <b/>
        <i val="0"/>
        <color rgb="FF784212"/>
      </font>
      <fill>
        <patternFill patternType="solid">
          <fgColor indexed="64"/>
          <bgColor rgb="FFFAD7A0"/>
        </patternFill>
      </fill>
    </dxf>
    <dxf>
      <font>
        <b/>
        <i val="0"/>
        <color rgb="FF7D6608"/>
      </font>
      <fill>
        <patternFill patternType="solid">
          <fgColor indexed="64"/>
          <bgColor rgb="FFF9E79F"/>
        </patternFill>
      </fill>
    </dxf>
    <dxf>
      <font>
        <b/>
        <i val="0"/>
        <color rgb="FF145A32"/>
      </font>
      <fill>
        <patternFill patternType="solid">
          <fgColor indexed="64"/>
          <bgColor rgb="FFA9DFBF"/>
        </patternFill>
      </fill>
    </dxf>
    <dxf>
      <font>
        <b/>
        <i val="0"/>
        <color rgb="FF1B4F72"/>
      </font>
      <fill>
        <patternFill patternType="solid">
          <fgColor indexed="64"/>
          <bgColor rgb="FFAED6F1"/>
        </patternFill>
      </fill>
    </dxf>
    <dxf>
      <font>
        <b/>
        <i val="0"/>
        <color rgb="FF922B21"/>
      </font>
      <fill>
        <patternFill patternType="solid">
          <fgColor indexed="64"/>
          <bgColor rgb="FFF1948A"/>
        </patternFill>
      </fill>
    </dxf>
    <dxf>
      <font>
        <b/>
        <i val="0"/>
        <color rgb="FF784212"/>
      </font>
      <fill>
        <patternFill patternType="solid">
          <fgColor indexed="64"/>
          <bgColor rgb="FFFAD7A0"/>
        </patternFill>
      </fill>
    </dxf>
    <dxf>
      <font>
        <b/>
        <i val="0"/>
        <color rgb="FF7D6608"/>
      </font>
      <fill>
        <patternFill patternType="solid">
          <fgColor indexed="64"/>
          <bgColor rgb="FFF9E79F"/>
        </patternFill>
      </fill>
    </dxf>
    <dxf>
      <font>
        <b/>
        <i val="0"/>
        <color rgb="FF145A32"/>
      </font>
      <fill>
        <patternFill patternType="solid">
          <fgColor indexed="64"/>
          <bgColor rgb="FFA9DFBF"/>
        </patternFill>
      </fill>
    </dxf>
    <dxf>
      <font>
        <b/>
        <i val="0"/>
        <color rgb="FF1B4F72"/>
      </font>
      <fill>
        <patternFill patternType="solid">
          <fgColor indexed="64"/>
          <bgColor rgb="FFAED6F1"/>
        </patternFill>
      </fill>
    </dxf>
    <dxf>
      <font>
        <b/>
        <i val="0"/>
        <color rgb="FF145A32"/>
      </font>
      <fill>
        <patternFill patternType="solid">
          <fgColor indexed="64"/>
          <bgColor rgb="FFA9DFBF"/>
        </patternFill>
      </fill>
    </dxf>
    <dxf>
      <font>
        <b/>
        <i val="0"/>
        <color rgb="FF7D6608"/>
      </font>
      <fill>
        <patternFill patternType="solid">
          <fgColor indexed="64"/>
          <bgColor rgb="FFF9E79F"/>
        </patternFill>
      </fill>
    </dxf>
    <dxf>
      <font>
        <b/>
        <i val="0"/>
        <color rgb="FF784212"/>
      </font>
      <fill>
        <patternFill patternType="solid">
          <fgColor indexed="64"/>
          <bgColor rgb="FFFAD7A0"/>
        </patternFill>
      </fill>
    </dxf>
    <dxf>
      <font>
        <b/>
        <i val="0"/>
        <color rgb="FF922B21"/>
      </font>
      <fill>
        <patternFill patternType="solid">
          <fgColor indexed="64"/>
          <bgColor rgb="FFF1948A"/>
        </patternFill>
      </fill>
    </dxf>
    <dxf>
      <font>
        <b/>
        <i val="0"/>
        <color rgb="FF922B21"/>
      </font>
      <fill>
        <patternFill patternType="solid">
          <fgColor indexed="64"/>
          <bgColor rgb="FFF1948A"/>
        </patternFill>
      </fill>
    </dxf>
    <dxf>
      <font>
        <b/>
        <i val="0"/>
        <color rgb="FF7D6608"/>
      </font>
      <fill>
        <patternFill patternType="solid">
          <fgColor indexed="64"/>
          <bgColor rgb="FFF9E79F"/>
        </patternFill>
      </fill>
    </dxf>
    <dxf>
      <font>
        <b/>
        <i val="0"/>
        <color rgb="FF145A32"/>
      </font>
      <fill>
        <patternFill patternType="solid">
          <fgColor indexed="64"/>
          <bgColor rgb="FFA9DFBF"/>
        </patternFill>
      </fill>
    </dxf>
    <dxf>
      <font>
        <b/>
        <i val="0"/>
        <color rgb="FF922B21"/>
      </font>
      <fill>
        <patternFill patternType="solid">
          <fgColor indexed="64"/>
          <bgColor rgb="FFF1948A"/>
        </patternFill>
      </fill>
    </dxf>
    <dxf>
      <font>
        <b/>
        <i val="0"/>
        <color rgb="FF145A32"/>
      </font>
      <fill>
        <patternFill patternType="solid">
          <fgColor indexed="64"/>
          <bgColor rgb="FFA9DFBF"/>
        </patternFill>
      </fill>
    </dxf>
    <dxf>
      <font>
        <b/>
        <i val="0"/>
        <color rgb="FF1B4F72"/>
      </font>
      <fill>
        <patternFill patternType="solid">
          <fgColor indexed="64"/>
          <bgColor rgb="FFAED6F1"/>
        </patternFill>
      </fill>
    </dxf>
    <dxf>
      <font>
        <b/>
        <i val="0"/>
        <color rgb="FF922B21"/>
      </font>
      <fill>
        <patternFill patternType="solid">
          <fgColor indexed="64"/>
          <bgColor rgb="FFF1948A"/>
        </patternFill>
      </fill>
    </dxf>
    <dxf>
      <font>
        <b/>
        <i val="0"/>
        <color rgb="FF784212"/>
      </font>
      <fill>
        <patternFill patternType="solid">
          <fgColor indexed="64"/>
          <bgColor rgb="FFFAD7A0"/>
        </patternFill>
      </fill>
    </dxf>
    <dxf>
      <font>
        <b/>
        <i val="0"/>
        <color rgb="FF7D6608"/>
      </font>
      <fill>
        <patternFill patternType="solid">
          <fgColor indexed="64"/>
          <bgColor rgb="FFF9E79F"/>
        </patternFill>
      </fill>
    </dxf>
    <dxf>
      <font>
        <b/>
        <i val="0"/>
        <color rgb="FF145A32"/>
      </font>
      <fill>
        <patternFill patternType="solid">
          <fgColor indexed="64"/>
          <bgColor rgb="FFA9DFBF"/>
        </patternFill>
      </fill>
    </dxf>
    <dxf>
      <font>
        <b/>
        <i val="0"/>
        <color rgb="FF1B4F72"/>
      </font>
      <fill>
        <patternFill patternType="solid">
          <fgColor indexed="64"/>
          <bgColor rgb="FFAED6F1"/>
        </patternFill>
      </fill>
    </dxf>
    <dxf>
      <font>
        <b/>
        <i val="0"/>
        <color rgb="FF922B21"/>
      </font>
      <fill>
        <patternFill patternType="solid">
          <fgColor indexed="64"/>
          <bgColor rgb="FFF1948A"/>
        </patternFill>
      </fill>
    </dxf>
    <dxf>
      <font>
        <b/>
        <i val="0"/>
        <color rgb="FF784212"/>
      </font>
      <fill>
        <patternFill patternType="solid">
          <fgColor indexed="64"/>
          <bgColor rgb="FFFAD7A0"/>
        </patternFill>
      </fill>
    </dxf>
    <dxf>
      <font>
        <b/>
        <i val="0"/>
        <color rgb="FF7D6608"/>
      </font>
      <fill>
        <patternFill patternType="solid">
          <fgColor indexed="64"/>
          <bgColor rgb="FFF9E79F"/>
        </patternFill>
      </fill>
    </dxf>
    <dxf>
      <font>
        <b/>
        <i val="0"/>
        <color rgb="FF145A32"/>
      </font>
      <fill>
        <patternFill patternType="solid">
          <fgColor indexed="64"/>
          <bgColor rgb="FFA9DFBF"/>
        </patternFill>
      </fill>
    </dxf>
    <dxf>
      <font>
        <b/>
        <i val="0"/>
        <color rgb="FF1B4F72"/>
      </font>
      <fill>
        <patternFill patternType="solid">
          <fgColor indexed="64"/>
          <bgColor rgb="FFAED6F1"/>
        </patternFill>
      </fill>
    </dxf>
    <dxf>
      <font>
        <b/>
        <i val="0"/>
        <color rgb="FF1B4F72"/>
      </font>
      <fill>
        <patternFill patternType="solid">
          <fgColor indexed="64"/>
          <bgColor rgb="FFAED6F1"/>
        </patternFill>
      </fill>
    </dxf>
    <dxf>
      <font>
        <b/>
        <i val="0"/>
        <color rgb="FF922B21"/>
      </font>
      <fill>
        <patternFill patternType="solid">
          <fgColor indexed="64"/>
          <bgColor rgb="FFF1948A"/>
        </patternFill>
      </fill>
    </dxf>
    <dxf>
      <font>
        <b/>
        <i val="0"/>
        <color rgb="FF784212"/>
      </font>
      <fill>
        <patternFill patternType="solid">
          <fgColor indexed="64"/>
          <bgColor rgb="FFFAD7A0"/>
        </patternFill>
      </fill>
    </dxf>
    <dxf>
      <font>
        <b/>
        <i val="0"/>
        <color rgb="FF7D6608"/>
      </font>
      <fill>
        <patternFill patternType="solid">
          <fgColor indexed="64"/>
          <bgColor rgb="FFF9E79F"/>
        </patternFill>
      </fill>
    </dxf>
    <dxf>
      <font>
        <b/>
        <i val="0"/>
        <color rgb="FF145A32"/>
      </font>
      <fill>
        <patternFill patternType="solid">
          <fgColor indexed="64"/>
          <bgColor rgb="FFA9DFBF"/>
        </patternFill>
      </fill>
    </dxf>
    <dxf>
      <font>
        <b/>
        <i val="0"/>
        <color rgb="FF1B4F72"/>
      </font>
      <fill>
        <patternFill patternType="solid">
          <fgColor indexed="64"/>
          <bgColor rgb="FFAED6F1"/>
        </patternFill>
      </fill>
    </dxf>
    <dxf>
      <font>
        <color rgb="FFC00000"/>
      </font>
      <fill>
        <patternFill patternType="solid">
          <fgColor indexed="64"/>
          <bgColor rgb="FFFFD7D7"/>
        </patternFill>
      </fill>
    </dxf>
    <dxf>
      <font>
        <color rgb="FFE86B00"/>
      </font>
      <fill>
        <patternFill patternType="solid">
          <fgColor indexed="64"/>
          <bgColor rgb="FFFFE5CC"/>
        </patternFill>
      </fill>
    </dxf>
    <dxf>
      <font>
        <color rgb="FFB8860B"/>
      </font>
      <fill>
        <patternFill patternType="solid">
          <fgColor indexed="64"/>
          <bgColor rgb="FFFFFACC"/>
        </patternFill>
      </fill>
    </dxf>
    <dxf>
      <font>
        <color rgb="FF1A5726"/>
      </font>
      <fill>
        <patternFill patternType="solid">
          <fgColor indexed="64"/>
          <bgColor rgb="FFC6F0C6"/>
        </patternFill>
      </fill>
    </dxf>
    <dxf>
      <font>
        <b/>
        <i val="0"/>
        <color rgb="FF784212"/>
      </font>
      <fill>
        <patternFill patternType="solid">
          <fgColor indexed="64"/>
          <bgColor rgb="FFFAD7A0"/>
        </patternFill>
      </fill>
    </dxf>
    <dxf>
      <font>
        <b/>
        <i val="0"/>
        <color rgb="FF922B21"/>
      </font>
      <fill>
        <patternFill patternType="solid">
          <fgColor indexed="64"/>
          <bgColor rgb="FFF1948A"/>
        </patternFill>
      </fill>
    </dxf>
    <dxf>
      <font>
        <b/>
        <i val="0"/>
        <color rgb="FF1B4F72"/>
      </font>
      <fill>
        <patternFill patternType="solid">
          <fgColor indexed="64"/>
          <bgColor rgb="FFAED6F1"/>
        </patternFill>
      </fill>
    </dxf>
    <dxf>
      <font>
        <b/>
        <i val="0"/>
        <color rgb="FF145A32"/>
      </font>
      <fill>
        <patternFill patternType="solid">
          <fgColor indexed="64"/>
          <bgColor rgb="FFA9DFBF"/>
        </patternFill>
      </fill>
    </dxf>
    <dxf>
      <font>
        <b/>
        <i val="0"/>
        <color rgb="FF7D6608"/>
      </font>
      <fill>
        <patternFill patternType="solid">
          <fgColor indexed="64"/>
          <bgColor rgb="FFF9E79F"/>
        </patternFill>
      </fill>
    </dxf>
    <dxf>
      <font>
        <b/>
        <i val="0"/>
        <color rgb="FF1B4F72"/>
      </font>
      <fill>
        <patternFill patternType="solid">
          <fgColor indexed="64"/>
          <bgColor rgb="FFAED6F1"/>
        </patternFill>
      </fill>
    </dxf>
    <dxf>
      <font>
        <b/>
        <i val="0"/>
        <color rgb="FF145A32"/>
      </font>
      <fill>
        <patternFill patternType="solid">
          <fgColor indexed="64"/>
          <bgColor rgb="FFA9DFBF"/>
        </patternFill>
      </fill>
    </dxf>
    <dxf>
      <font>
        <b/>
        <i val="0"/>
        <color rgb="FF7D6608"/>
      </font>
      <fill>
        <patternFill patternType="solid">
          <fgColor indexed="64"/>
          <bgColor rgb="FFF9E79F"/>
        </patternFill>
      </fill>
    </dxf>
    <dxf>
      <font>
        <b/>
        <i val="0"/>
        <color rgb="FF784212"/>
      </font>
      <fill>
        <patternFill patternType="solid">
          <fgColor indexed="64"/>
          <bgColor rgb="FFFAD7A0"/>
        </patternFill>
      </fill>
    </dxf>
    <dxf>
      <font>
        <b/>
        <i val="0"/>
        <color rgb="FF922B21"/>
      </font>
      <fill>
        <patternFill patternType="solid">
          <fgColor indexed="64"/>
          <bgColor rgb="FFF1948A"/>
        </patternFill>
      </fill>
    </dxf>
    <dxf>
      <font>
        <b/>
        <i val="0"/>
        <color rgb="FF922B21"/>
      </font>
      <fill>
        <patternFill patternType="solid">
          <fgColor indexed="64"/>
          <bgColor rgb="FFF1948A"/>
        </patternFill>
      </fill>
    </dxf>
    <dxf>
      <font>
        <b/>
        <i val="0"/>
        <color rgb="FF922B21"/>
      </font>
      <fill>
        <patternFill patternType="solid">
          <fgColor indexed="64"/>
          <bgColor rgb="FFFDEDEC"/>
        </patternFill>
      </fill>
    </dxf>
    <dxf>
      <font>
        <b/>
        <i val="0"/>
        <color rgb="FF145A32"/>
      </font>
      <fill>
        <patternFill patternType="solid">
          <fgColor indexed="64"/>
          <bgColor rgb="FFEAFAF1"/>
        </patternFill>
      </fill>
    </dxf>
    <dxf>
      <font>
        <b/>
        <i val="0"/>
        <color rgb="FF1B4F72"/>
      </font>
      <fill>
        <patternFill patternType="solid">
          <fgColor indexed="64"/>
          <bgColor rgb="FFAED6F1"/>
        </patternFill>
      </fill>
    </dxf>
    <dxf>
      <font>
        <b/>
        <i val="0"/>
        <color rgb="FF145A32"/>
      </font>
      <fill>
        <patternFill patternType="solid">
          <fgColor indexed="64"/>
          <bgColor rgb="FFA9DFBF"/>
        </patternFill>
      </fill>
    </dxf>
    <dxf>
      <font>
        <b/>
        <i val="0"/>
        <color rgb="FF7D6608"/>
      </font>
      <fill>
        <patternFill patternType="solid">
          <fgColor indexed="64"/>
          <bgColor rgb="FFF9E79F"/>
        </patternFill>
      </fill>
    </dxf>
    <dxf>
      <font>
        <b/>
        <i val="0"/>
        <color rgb="FF784212"/>
      </font>
      <fill>
        <patternFill patternType="solid">
          <fgColor indexed="64"/>
          <bgColor rgb="FFFAD7A0"/>
        </patternFill>
      </fill>
    </dxf>
    <dxf>
      <font>
        <b/>
        <i val="0"/>
        <color rgb="FF922B21"/>
      </font>
      <fill>
        <patternFill patternType="solid">
          <fgColor indexed="64"/>
          <bgColor rgb="FFF1948A"/>
        </patternFill>
      </fill>
    </dxf>
    <dxf>
      <font>
        <b/>
        <i val="0"/>
        <color rgb="FF7D6608"/>
      </font>
      <fill>
        <patternFill patternType="solid">
          <fgColor indexed="64"/>
          <bgColor rgb="FFF9E79F"/>
        </patternFill>
      </fill>
    </dxf>
    <dxf>
      <font>
        <b/>
        <i val="0"/>
        <color rgb="FF145A32"/>
      </font>
      <fill>
        <patternFill patternType="solid">
          <fgColor indexed="64"/>
          <bgColor rgb="FFA9DFBF"/>
        </patternFill>
      </fill>
    </dxf>
    <dxf>
      <font>
        <b/>
        <i val="0"/>
        <color rgb="FF1B4F72"/>
      </font>
      <fill>
        <patternFill patternType="solid">
          <fgColor indexed="64"/>
          <bgColor rgb="FFAED6F1"/>
        </patternFill>
      </fill>
    </dxf>
    <dxf>
      <font>
        <b/>
        <i val="0"/>
        <color rgb="FF922B21"/>
      </font>
      <fill>
        <patternFill patternType="solid">
          <fgColor indexed="64"/>
          <bgColor rgb="FFF1948A"/>
        </patternFill>
      </fill>
    </dxf>
    <dxf>
      <font>
        <b/>
        <i val="0"/>
        <color rgb="FF784212"/>
      </font>
      <fill>
        <patternFill patternType="solid">
          <fgColor indexed="64"/>
          <bgColor rgb="FFFAD7A0"/>
        </patternFill>
      </fill>
    </dxf>
    <dxf>
      <font>
        <color rgb="FF145A32"/>
      </font>
      <fill>
        <patternFill patternType="solid">
          <fgColor indexed="64"/>
          <bgColor rgb="FFEAFAF1"/>
        </patternFill>
      </fill>
    </dxf>
    <dxf>
      <font>
        <color rgb="FF922B21"/>
      </font>
      <fill>
        <patternFill patternType="solid">
          <fgColor indexed="64"/>
          <bgColor rgb="FFFDEDEC"/>
        </patternFill>
      </fill>
    </dxf>
    <dxf>
      <font>
        <b/>
        <i val="0"/>
        <color rgb="FF1B4F72"/>
      </font>
      <fill>
        <patternFill patternType="solid">
          <fgColor indexed="64"/>
          <bgColor rgb="FFAED6F1"/>
        </patternFill>
      </fill>
    </dxf>
    <dxf>
      <font>
        <b/>
        <i val="0"/>
        <color rgb="FF145A32"/>
      </font>
      <fill>
        <patternFill patternType="solid">
          <fgColor indexed="64"/>
          <bgColor rgb="FFA9DFBF"/>
        </patternFill>
      </fill>
    </dxf>
    <dxf>
      <font>
        <b/>
        <i val="0"/>
        <color rgb="FF7D6608"/>
      </font>
      <fill>
        <patternFill patternType="solid">
          <fgColor indexed="64"/>
          <bgColor rgb="FFF9E79F"/>
        </patternFill>
      </fill>
    </dxf>
    <dxf>
      <font>
        <b/>
        <i val="0"/>
        <color rgb="FF784212"/>
      </font>
      <fill>
        <patternFill patternType="solid">
          <fgColor indexed="64"/>
          <bgColor rgb="FFFAD7A0"/>
        </patternFill>
      </fill>
    </dxf>
    <dxf>
      <font>
        <b/>
        <i val="0"/>
        <color rgb="FF922B21"/>
      </font>
      <fill>
        <patternFill patternType="solid">
          <fgColor indexed="64"/>
          <bgColor rgb="FFF1948A"/>
        </patternFill>
      </fill>
    </dxf>
    <dxf>
      <font>
        <b/>
        <i val="0"/>
        <color rgb="FF145A32"/>
      </font>
      <fill>
        <patternFill patternType="solid">
          <fgColor indexed="64"/>
          <bgColor rgb="FFEAFAF1"/>
        </patternFill>
      </fill>
    </dxf>
    <dxf>
      <font>
        <b/>
        <i val="0"/>
        <color rgb="FF784212"/>
      </font>
      <fill>
        <patternFill patternType="solid">
          <fgColor indexed="64"/>
          <bgColor rgb="FFFAD7A0"/>
        </patternFill>
      </fill>
    </dxf>
    <dxf>
      <font>
        <b/>
        <i val="0"/>
        <color rgb="FF7D6608"/>
      </font>
      <fill>
        <patternFill patternType="solid">
          <fgColor indexed="64"/>
          <bgColor rgb="FFF9E79F"/>
        </patternFill>
      </fill>
    </dxf>
    <dxf>
      <font>
        <b/>
        <i val="0"/>
        <color rgb="FF145A32"/>
      </font>
      <fill>
        <patternFill patternType="solid">
          <fgColor indexed="64"/>
          <bgColor rgb="FFA9DFBF"/>
        </patternFill>
      </fill>
    </dxf>
    <dxf>
      <font>
        <b/>
        <i val="0"/>
        <color rgb="FF784212"/>
      </font>
      <fill>
        <patternFill patternType="solid">
          <fgColor indexed="64"/>
          <bgColor rgb="FFFAD7A0"/>
        </patternFill>
      </fill>
    </dxf>
    <dxf>
      <font>
        <b/>
        <i val="0"/>
        <color rgb="FF145A32"/>
      </font>
      <fill>
        <patternFill patternType="solid">
          <fgColor indexed="64"/>
          <bgColor rgb="FFEAFAF1"/>
        </patternFill>
      </fill>
    </dxf>
    <dxf>
      <font>
        <b/>
        <i val="0"/>
        <color rgb="FF784212"/>
      </font>
      <fill>
        <patternFill patternType="solid">
          <fgColor indexed="64"/>
          <bgColor rgb="FFFAD7A0"/>
        </patternFill>
      </fill>
    </dxf>
    <dxf>
      <font>
        <b/>
        <i val="0"/>
        <color rgb="FF7D6608"/>
      </font>
      <fill>
        <patternFill patternType="solid">
          <fgColor indexed="64"/>
          <bgColor rgb="FFF9E79F"/>
        </patternFill>
      </fill>
    </dxf>
    <dxf>
      <font>
        <b/>
        <i val="0"/>
        <color rgb="FF145A32"/>
      </font>
      <fill>
        <patternFill patternType="solid">
          <fgColor indexed="64"/>
          <bgColor rgb="FFA9DFBF"/>
        </patternFill>
      </fill>
    </dxf>
    <dxf>
      <font>
        <b/>
        <i val="0"/>
        <color rgb="FF922B21"/>
      </font>
      <fill>
        <patternFill patternType="solid">
          <fgColor indexed="64"/>
          <bgColor rgb="FFFDEDEC"/>
        </patternFill>
      </fill>
    </dxf>
    <dxf>
      <font>
        <b/>
        <i val="0"/>
        <color rgb="FF7D6608"/>
      </font>
      <fill>
        <patternFill patternType="solid">
          <fgColor indexed="64"/>
          <bgColor rgb="FFF9E79F"/>
        </patternFill>
      </fill>
    </dxf>
    <dxf>
      <font>
        <b/>
        <i val="0"/>
        <color rgb="FF784212"/>
      </font>
      <fill>
        <patternFill patternType="solid">
          <fgColor indexed="64"/>
          <bgColor rgb="FFFAD7A0"/>
        </patternFill>
      </fill>
    </dxf>
    <dxf>
      <font>
        <b/>
        <i val="0"/>
        <color rgb="FF1B4F72"/>
      </font>
      <fill>
        <patternFill patternType="solid">
          <fgColor indexed="64"/>
          <bgColor rgb="FFEBF5FB"/>
        </patternFill>
      </fill>
    </dxf>
    <dxf>
      <font>
        <color rgb="FF9A7D0A"/>
      </font>
      <fill>
        <patternFill patternType="solid">
          <fgColor indexed="64"/>
          <bgColor rgb="FFFEF9E7"/>
        </patternFill>
      </fill>
    </dxf>
    <dxf>
      <font>
        <color rgb="FF6C3483"/>
      </font>
      <fill>
        <patternFill patternType="solid">
          <fgColor indexed="64"/>
          <bgColor rgb="FFEAD9F7"/>
        </patternFill>
      </fill>
    </dxf>
    <dxf>
      <font>
        <color rgb="FF117A65"/>
      </font>
      <fill>
        <patternFill patternType="solid">
          <fgColor indexed="64"/>
          <bgColor rgb="FFD0ECE7"/>
        </patternFill>
      </fill>
    </dxf>
    <dxf>
      <font>
        <color rgb="FF1E8449"/>
      </font>
      <fill>
        <patternFill patternType="solid">
          <fgColor indexed="64"/>
          <bgColor rgb="FFD5F5E3"/>
        </patternFill>
      </fill>
    </dxf>
    <dxf>
      <font>
        <color rgb="FF1A5276"/>
      </font>
      <fill>
        <patternFill patternType="solid">
          <fgColor indexed="64"/>
          <bgColor rgb="FFD6EAF8"/>
        </patternFill>
      </fill>
    </dxf>
    <dxf>
      <font>
        <b/>
        <i val="0"/>
        <color rgb="FF7B241C"/>
      </font>
      <fill>
        <patternFill patternType="solid">
          <fgColor indexed="64"/>
          <bgColor rgb="FFF1948A"/>
        </patternFill>
      </fill>
    </dxf>
    <dxf>
      <font>
        <b/>
        <i val="0"/>
        <color rgb="FF784212"/>
      </font>
      <fill>
        <patternFill patternType="solid">
          <fgColor indexed="64"/>
          <bgColor rgb="FFFAD7A0"/>
        </patternFill>
      </fill>
    </dxf>
    <dxf>
      <font>
        <b/>
        <i val="0"/>
        <color rgb="FF784212"/>
      </font>
      <fill>
        <patternFill patternType="solid">
          <fgColor indexed="64"/>
          <bgColor rgb="FFFAD7A0"/>
        </patternFill>
      </fill>
    </dxf>
    <dxf>
      <font>
        <color rgb="FF7D6608"/>
      </font>
      <fill>
        <patternFill patternType="solid">
          <fgColor indexed="64"/>
          <bgColor rgb="FFF9E79F"/>
        </patternFill>
      </fill>
    </dxf>
    <dxf>
      <font>
        <b/>
        <i val="0"/>
        <color rgb="FF7B241C"/>
      </font>
      <fill>
        <patternFill patternType="solid">
          <fgColor indexed="64"/>
          <bgColor rgb="FFF1948A"/>
        </patternFill>
      </fill>
    </dxf>
    <dxf>
      <font>
        <b/>
        <i val="0"/>
        <color rgb="FF784212"/>
      </font>
      <fill>
        <patternFill patternType="solid">
          <fgColor indexed="64"/>
          <bgColor rgb="FFFAD7A0"/>
        </patternFill>
      </fill>
    </dxf>
    <dxf>
      <font>
        <color rgb="FF7D6608"/>
      </font>
      <fill>
        <patternFill patternType="solid">
          <fgColor indexed="64"/>
          <bgColor rgb="FFF9E79F"/>
        </patternFill>
      </fill>
    </dxf>
    <dxf>
      <fill>
        <patternFill patternType="solid">
          <fgColor indexed="64"/>
          <bgColor rgb="FFF9E79F"/>
        </patternFill>
      </fill>
    </dxf>
    <dxf>
      <fill>
        <patternFill patternType="solid">
          <fgColor indexed="64"/>
          <bgColor rgb="FFA9DFBF"/>
        </patternFill>
      </fill>
    </dxf>
    <dxf>
      <font>
        <b/>
        <i val="0"/>
      </font>
      <fill>
        <patternFill patternType="solid">
          <fgColor indexed="64"/>
          <bgColor rgb="FFFAD7A0"/>
        </patternFill>
      </fill>
    </dxf>
    <dxf>
      <font>
        <b/>
        <i val="0"/>
      </font>
      <fill>
        <patternFill patternType="solid">
          <fgColor indexed="64"/>
          <bgColor rgb="FFF1948A"/>
        </patternFill>
      </fill>
    </dxf>
    <dxf>
      <font>
        <color rgb="FF1F3864"/>
      </font>
      <fill>
        <patternFill patternType="solid">
          <fgColor indexed="64"/>
          <bgColor rgb="FFAED6F1"/>
        </patternFill>
      </fill>
    </dxf>
    <dxf>
      <font>
        <color rgb="FF1E8449"/>
      </font>
      <fill>
        <patternFill patternType="solid">
          <fgColor indexed="64"/>
          <bgColor rgb="FFA9DFBF"/>
        </patternFill>
      </fill>
    </dxf>
    <dxf>
      <font>
        <color rgb="FF784212"/>
      </font>
      <fill>
        <patternFill patternType="solid">
          <fgColor indexed="64"/>
          <bgColor rgb="FFFAD7A0"/>
        </patternFill>
      </fill>
    </dxf>
    <dxf>
      <font>
        <b/>
        <i val="0"/>
        <color rgb="FF7B241C"/>
      </font>
      <fill>
        <patternFill patternType="solid">
          <fgColor indexed="64"/>
          <bgColor rgb="FFF1948A"/>
        </patternFill>
      </fill>
    </dxf>
    <dxf>
      <font>
        <color rgb="FF7D6608"/>
      </font>
      <fill>
        <patternFill patternType="solid">
          <fgColor indexed="64"/>
          <bgColor rgb="FFF9E79F"/>
        </patternFill>
      </fill>
    </dxf>
    <dxf>
      <font>
        <b/>
        <i val="0"/>
        <color rgb="FF7B241C"/>
      </font>
      <fill>
        <patternFill patternType="solid">
          <fgColor indexed="64"/>
          <bgColor rgb="FFF1948A"/>
        </patternFill>
      </fill>
    </dxf>
    <dxf>
      <font>
        <b/>
        <i val="0"/>
        <color rgb="FF784212"/>
      </font>
      <fill>
        <patternFill patternType="solid">
          <fgColor indexed="64"/>
          <bgColor rgb="FFFAD7A0"/>
        </patternFill>
      </fill>
    </dxf>
    <dxf>
      <font>
        <b/>
        <i val="0"/>
        <color rgb="FF784212"/>
      </font>
      <fill>
        <patternFill patternType="solid">
          <fgColor indexed="64"/>
          <bgColor rgb="FFFAD7A0"/>
        </patternFill>
      </fill>
    </dxf>
    <dxf>
      <font>
        <b/>
        <i val="0"/>
        <color rgb="FF7D6608"/>
      </font>
      <fill>
        <patternFill patternType="solid">
          <fgColor indexed="64"/>
          <bgColor rgb="FFF9E79F"/>
        </patternFill>
      </fill>
    </dxf>
    <dxf>
      <font>
        <b/>
        <i val="0"/>
        <color rgb="FF1F3864"/>
      </font>
      <fill>
        <patternFill patternType="solid">
          <fgColor indexed="64"/>
          <bgColor rgb="FFAED6F1"/>
        </patternFill>
      </fill>
    </dxf>
    <dxf>
      <font>
        <b/>
        <i val="0"/>
        <color rgb="FF1E8449"/>
      </font>
      <fill>
        <patternFill patternType="solid">
          <fgColor indexed="64"/>
          <bgColor rgb="FFA9DFBF"/>
        </patternFill>
      </fill>
    </dxf>
    <dxf>
      <font>
        <b/>
        <i val="0"/>
        <color rgb="FF1E8449"/>
      </font>
      <fill>
        <patternFill patternType="solid">
          <fgColor indexed="64"/>
          <bgColor rgb="FFA9DFBF"/>
        </patternFill>
      </fill>
    </dxf>
    <dxf>
      <font>
        <b/>
        <i val="0"/>
        <color rgb="FF1F3864"/>
      </font>
      <fill>
        <patternFill patternType="solid">
          <fgColor indexed="64"/>
          <bgColor rgb="FFAED6F1"/>
        </patternFill>
      </fill>
    </dxf>
    <dxf>
      <font>
        <b/>
        <i val="0"/>
        <color rgb="FF7D6608"/>
      </font>
      <fill>
        <patternFill patternType="solid">
          <fgColor indexed="64"/>
          <bgColor rgb="FFF9E79F"/>
        </patternFill>
      </fill>
    </dxf>
    <dxf>
      <font>
        <b/>
        <i val="0"/>
        <color rgb="FF784212"/>
      </font>
      <fill>
        <patternFill patternType="solid">
          <fgColor indexed="64"/>
          <bgColor rgb="FFFAD7A0"/>
        </patternFill>
      </fill>
    </dxf>
    <dxf>
      <font>
        <b/>
        <i val="0"/>
        <color rgb="FF1E8449"/>
      </font>
      <fill>
        <patternFill patternType="solid">
          <fgColor indexed="64"/>
          <bgColor rgb="FFA9DFBF"/>
        </patternFill>
      </fill>
    </dxf>
    <dxf>
      <font>
        <b/>
        <i val="0"/>
        <color rgb="FF1F3864"/>
      </font>
      <fill>
        <patternFill patternType="solid">
          <fgColor indexed="64"/>
          <bgColor rgb="FFAED6F1"/>
        </patternFill>
      </fill>
    </dxf>
    <dxf>
      <font>
        <b/>
        <i val="0"/>
        <color rgb="FF7D6608"/>
      </font>
      <fill>
        <patternFill patternType="solid">
          <fgColor indexed="64"/>
          <bgColor rgb="FFF9E79F"/>
        </patternFill>
      </fill>
    </dxf>
    <dxf>
      <font>
        <b/>
        <i val="0"/>
        <color rgb="FF784212"/>
      </font>
      <fill>
        <patternFill patternType="solid">
          <fgColor indexed="64"/>
          <bgColor rgb="FFFAD7A0"/>
        </patternFill>
      </fill>
    </dxf>
    <dxf>
      <font>
        <b/>
        <i val="0"/>
        <color rgb="FF1E8449"/>
      </font>
      <fill>
        <patternFill patternType="solid">
          <fgColor indexed="64"/>
          <bgColor rgb="FFA9DFBF"/>
        </patternFill>
      </fill>
    </dxf>
    <dxf>
      <font>
        <b/>
        <i val="0"/>
        <color rgb="FF1F3864"/>
      </font>
      <fill>
        <patternFill patternType="solid">
          <fgColor indexed="64"/>
          <bgColor rgb="FFAED6F1"/>
        </patternFill>
      </fill>
    </dxf>
    <dxf>
      <font>
        <b/>
        <i val="0"/>
        <color rgb="FF7D6608"/>
      </font>
      <fill>
        <patternFill patternType="solid">
          <fgColor indexed="64"/>
          <bgColor rgb="FFF9E79F"/>
        </patternFill>
      </fill>
    </dxf>
    <dxf>
      <font>
        <b/>
        <i val="0"/>
        <color rgb="FF784212"/>
      </font>
      <fill>
        <patternFill patternType="solid">
          <fgColor indexed="64"/>
          <bgColor rgb="FFFAD7A0"/>
        </patternFill>
      </fill>
    </dxf>
    <dxf>
      <font>
        <b/>
        <i val="0"/>
        <color rgb="FF784212"/>
      </font>
      <fill>
        <patternFill patternType="solid">
          <fgColor indexed="64"/>
          <bgColor rgb="FFFAD7A0"/>
        </patternFill>
      </fill>
    </dxf>
    <dxf>
      <font>
        <b/>
        <i val="0"/>
        <color rgb="FF7D6608"/>
      </font>
      <fill>
        <patternFill patternType="solid">
          <fgColor indexed="64"/>
          <bgColor rgb="FFF9E79F"/>
        </patternFill>
      </fill>
    </dxf>
    <dxf>
      <font>
        <b/>
        <i val="0"/>
        <color rgb="FF7B241C"/>
      </font>
      <fill>
        <patternFill patternType="solid">
          <fgColor indexed="64"/>
          <bgColor rgb="FFF1948A"/>
        </patternFill>
      </fill>
    </dxf>
    <dxf>
      <font>
        <b/>
        <i val="0"/>
        <color rgb="FF1F3864"/>
      </font>
      <fill>
        <patternFill patternType="solid">
          <fgColor indexed="64"/>
          <bgColor rgb="FFAED6F1"/>
        </patternFill>
      </fill>
    </dxf>
    <dxf>
      <font>
        <b/>
        <i val="0"/>
        <color rgb="FF1F3864"/>
      </font>
      <fill>
        <patternFill patternType="solid">
          <fgColor indexed="64"/>
          <bgColor rgb="FFAED6F1"/>
        </patternFill>
      </fill>
    </dxf>
    <dxf>
      <font>
        <b/>
        <i val="0"/>
        <color rgb="FF7D6608"/>
      </font>
      <fill>
        <patternFill patternType="solid">
          <fgColor indexed="64"/>
          <bgColor rgb="FFF9E79F"/>
        </patternFill>
      </fill>
    </dxf>
    <dxf>
      <font>
        <b/>
        <i val="0"/>
        <color rgb="FF784212"/>
      </font>
      <fill>
        <patternFill patternType="solid">
          <fgColor indexed="64"/>
          <bgColor rgb="FFFAD7A0"/>
        </patternFill>
      </fill>
    </dxf>
    <dxf>
      <font>
        <b/>
        <i val="0"/>
        <color rgb="FF7B241C"/>
      </font>
      <fill>
        <patternFill patternType="solid">
          <fgColor indexed="64"/>
          <bgColor rgb="FFF1948A"/>
        </patternFill>
      </fill>
    </dxf>
    <dxf>
      <font>
        <color rgb="FF1F3864"/>
      </font>
      <fill>
        <patternFill patternType="solid">
          <fgColor indexed="64"/>
          <bgColor rgb="FFAED6F1"/>
        </patternFill>
      </fill>
    </dxf>
    <dxf>
      <font>
        <color rgb="FF7D6608"/>
      </font>
      <fill>
        <patternFill patternType="solid">
          <fgColor indexed="64"/>
          <bgColor rgb="FFF9E79F"/>
        </patternFill>
      </fill>
    </dxf>
    <dxf>
      <font>
        <color rgb="FF784212"/>
      </font>
      <fill>
        <patternFill patternType="solid">
          <fgColor indexed="64"/>
          <bgColor rgb="FFFAD7A0"/>
        </patternFill>
      </fill>
    </dxf>
    <dxf>
      <font>
        <b/>
        <i val="0"/>
        <color rgb="FF7B241C"/>
      </font>
      <fill>
        <patternFill patternType="solid">
          <fgColor indexed="64"/>
          <bgColor rgb="FFF1948A"/>
        </patternFill>
      </fill>
    </dxf>
    <dxf>
      <fill>
        <patternFill patternType="solid">
          <fgColor indexed="64"/>
          <bgColor rgb="FFF1948A"/>
        </patternFill>
      </fill>
    </dxf>
    <dxf>
      <fill>
        <patternFill patternType="solid">
          <fgColor indexed="64"/>
          <bgColor rgb="FFFAD7A0"/>
        </patternFill>
      </fill>
    </dxf>
    <dxf>
      <fill>
        <patternFill patternType="solid">
          <fgColor indexed="64"/>
          <bgColor rgb="FFF9E79F"/>
        </patternFill>
      </fill>
    </dxf>
    <dxf>
      <fill>
        <patternFill patternType="solid">
          <fgColor indexed="64"/>
          <bgColor rgb="FFA9DFBF"/>
        </patternFill>
      </fill>
    </dxf>
    <dxf>
      <fill>
        <patternFill patternType="solid">
          <fgColor indexed="64"/>
          <bgColor rgb="FFAED6F1"/>
        </patternFill>
      </fill>
    </dxf>
    <dxf>
      <font>
        <b/>
        <i val="0"/>
        <color rgb="FF1E8449"/>
      </font>
      <fill>
        <patternFill patternType="solid">
          <fgColor indexed="64"/>
          <bgColor rgb="FFA9DFBF"/>
        </patternFill>
      </fill>
    </dxf>
    <dxf>
      <font>
        <color rgb="FF784212"/>
      </font>
      <fill>
        <patternFill patternType="solid">
          <fgColor indexed="64"/>
          <bgColor rgb="FFFAD7A0"/>
        </patternFill>
      </fill>
    </dxf>
    <dxf>
      <font>
        <b/>
        <i val="0"/>
        <color rgb="FF7B241C"/>
      </font>
      <fill>
        <patternFill patternType="solid">
          <fgColor indexed="64"/>
          <bgColor rgb="FFF1948A"/>
        </patternFill>
      </fill>
    </dxf>
    <dxf>
      <font>
        <color rgb="FF7D6608"/>
      </font>
      <fill>
        <patternFill patternType="solid">
          <fgColor indexed="64"/>
          <bgColor rgb="FFF9E79F"/>
        </patternFill>
      </fill>
    </dxf>
    <dxf>
      <font>
        <color rgb="FF1E8449"/>
      </font>
      <fill>
        <patternFill patternType="solid">
          <fgColor indexed="64"/>
          <bgColor rgb="FFA9DFBF"/>
        </patternFill>
      </fill>
    </dxf>
    <dxf>
      <font>
        <color rgb="FF784212"/>
      </font>
      <fill>
        <patternFill patternType="solid">
          <fgColor indexed="64"/>
          <bgColor rgb="FFFAD7A0"/>
        </patternFill>
      </fill>
    </dxf>
    <dxf>
      <font>
        <b/>
        <i val="0"/>
        <color rgb="FF1E8449"/>
      </font>
      <fill>
        <patternFill patternType="solid">
          <fgColor indexed="64"/>
          <bgColor rgb="FFA9DFBF"/>
        </patternFill>
      </fill>
    </dxf>
    <dxf>
      <font>
        <b/>
        <i val="0"/>
        <color rgb="FF7B241C"/>
      </font>
      <fill>
        <patternFill patternType="solid">
          <fgColor indexed="64"/>
          <bgColor rgb="FFFADBD8"/>
        </patternFill>
      </fill>
    </dxf>
    <dxf>
      <font>
        <b/>
        <i val="0"/>
      </font>
      <fill>
        <patternFill patternType="solid">
          <fgColor indexed="64"/>
          <bgColor rgb="FFEBF5FB"/>
        </patternFill>
      </fill>
    </dxf>
    <dxf>
      <font>
        <b/>
        <i val="0"/>
        <color rgb="FF7D6608"/>
      </font>
      <fill>
        <patternFill patternType="solid">
          <fgColor indexed="64"/>
          <bgColor rgb="FFFEF9E7"/>
        </patternFill>
      </fill>
    </dxf>
    <dxf>
      <font>
        <color rgb="FF1E8449"/>
      </font>
      <fill>
        <patternFill patternType="solid">
          <fgColor indexed="64"/>
          <bgColor rgb="FFD5F5E3"/>
        </patternFill>
      </fill>
    </dxf>
    <dxf>
      <font>
        <b/>
        <i val="0"/>
        <color rgb="FF1E8449"/>
      </font>
      <fill>
        <patternFill patternType="solid">
          <fgColor indexed="64"/>
          <bgColor rgb="FFD5F5E3"/>
        </patternFill>
      </fill>
    </dxf>
    <dxf>
      <font>
        <b/>
        <i val="0"/>
        <color rgb="FF7B241C"/>
      </font>
      <fill>
        <patternFill patternType="solid">
          <fgColor indexed="64"/>
          <bgColor rgb="FFFADBD8"/>
        </patternFill>
      </fill>
    </dxf>
    <dxf>
      <font>
        <b/>
        <i val="0"/>
      </font>
      <fill>
        <patternFill patternType="solid">
          <fgColor indexed="64"/>
          <bgColor rgb="FFF1948A"/>
        </patternFill>
      </fill>
    </dxf>
    <dxf>
      <fill>
        <patternFill patternType="solid">
          <fgColor indexed="64"/>
          <bgColor rgb="FFFAD7A0"/>
        </patternFill>
      </fill>
    </dxf>
    <dxf>
      <fill>
        <patternFill patternType="solid">
          <fgColor indexed="64"/>
          <bgColor rgb="FFF9E79F"/>
        </patternFill>
      </fill>
    </dxf>
    <dxf>
      <fill>
        <patternFill patternType="solid">
          <fgColor indexed="64"/>
          <bgColor rgb="FFA9DFBF"/>
        </patternFill>
      </fill>
    </dxf>
    <dxf>
      <fill>
        <patternFill patternType="solid">
          <fgColor indexed="64"/>
          <bgColor rgb="FFF1948A"/>
        </patternFill>
      </fill>
    </dxf>
    <dxf>
      <fill>
        <patternFill patternType="solid">
          <fgColor indexed="64"/>
          <bgColor rgb="FFFAD7A0"/>
        </patternFill>
      </fill>
    </dxf>
    <dxf>
      <fill>
        <patternFill patternType="solid">
          <fgColor indexed="64"/>
          <bgColor rgb="FFF9E79F"/>
        </patternFill>
      </fill>
    </dxf>
    <dxf>
      <fill>
        <patternFill patternType="solid">
          <fgColor indexed="64"/>
          <bgColor rgb="FFA9DFBF"/>
        </patternFill>
      </fill>
    </dxf>
    <dxf>
      <fill>
        <patternFill patternType="solid">
          <fgColor indexed="64"/>
          <bgColor rgb="FFF1948A"/>
        </patternFill>
      </fill>
    </dxf>
    <dxf>
      <fill>
        <patternFill patternType="solid">
          <fgColor indexed="64"/>
          <bgColor rgb="FFFAD7A0"/>
        </patternFill>
      </fill>
    </dxf>
    <dxf>
      <fill>
        <patternFill patternType="solid">
          <fgColor indexed="64"/>
          <bgColor rgb="FFF9E79F"/>
        </patternFill>
      </fill>
    </dxf>
    <dxf>
      <fill>
        <patternFill patternType="solid">
          <fgColor indexed="64"/>
          <bgColor rgb="FFA9DFBF"/>
        </patternFill>
      </fill>
    </dxf>
    <dxf>
      <fill>
        <patternFill patternType="solid">
          <fgColor indexed="64"/>
          <bgColor rgb="FFAED6F1"/>
        </patternFill>
      </fill>
    </dxf>
    <dxf>
      <font>
        <b/>
        <i val="0"/>
        <color rgb="FF7B241C"/>
      </font>
      <fill>
        <patternFill patternType="solid">
          <fgColor indexed="64"/>
          <bgColor rgb="FFF1948A"/>
        </patternFill>
      </fill>
    </dxf>
    <dxf>
      <font>
        <color rgb="FF784212"/>
      </font>
      <fill>
        <patternFill patternType="solid">
          <fgColor indexed="64"/>
          <bgColor rgb="FFFAD7A0"/>
        </patternFill>
      </fill>
    </dxf>
    <dxf>
      <font>
        <color rgb="FF7D6608"/>
      </font>
      <fill>
        <patternFill patternType="solid">
          <fgColor indexed="64"/>
          <bgColor rgb="FFF9E79F"/>
        </patternFill>
      </fill>
    </dxf>
    <dxf>
      <font>
        <b/>
        <i val="0"/>
        <color rgb="FF1E8449"/>
      </font>
      <fill>
        <patternFill patternType="solid">
          <fgColor indexed="64"/>
          <bgColor rgb="FFA9DFBF"/>
        </patternFill>
      </fill>
    </dxf>
    <dxf>
      <font>
        <b/>
        <i val="0"/>
        <color rgb="FF1F3864"/>
      </font>
      <fill>
        <patternFill patternType="solid">
          <fgColor indexed="64"/>
          <bgColor rgb="FFAED6F1"/>
        </patternFill>
      </fill>
    </dxf>
    <dxf>
      <font>
        <b/>
        <i val="0"/>
        <color rgb="FF7B241C"/>
      </font>
      <fill>
        <patternFill patternType="solid">
          <fgColor indexed="64"/>
          <bgColor rgb="FFF1948A"/>
        </patternFill>
      </fill>
    </dxf>
    <dxf>
      <font>
        <color rgb="FF784212"/>
      </font>
      <fill>
        <patternFill patternType="solid">
          <fgColor indexed="64"/>
          <bgColor rgb="FFFAD7A0"/>
        </patternFill>
      </fill>
    </dxf>
    <dxf>
      <font>
        <color rgb="FF7D6608"/>
      </font>
      <fill>
        <patternFill patternType="solid">
          <fgColor indexed="64"/>
          <bgColor rgb="FFF9E79F"/>
        </patternFill>
      </fill>
    </dxf>
    <dxf>
      <font>
        <b/>
        <i val="0"/>
        <color rgb="FF1E8449"/>
      </font>
      <fill>
        <patternFill patternType="solid">
          <fgColor indexed="64"/>
          <bgColor rgb="FFA9DFBF"/>
        </patternFill>
      </fill>
    </dxf>
    <dxf>
      <font>
        <b/>
        <i val="0"/>
      </font>
      <fill>
        <patternFill patternType="solid">
          <fgColor indexed="64"/>
          <bgColor rgb="FFAED6F1"/>
        </patternFill>
      </fill>
    </dxf>
    <dxf>
      <font>
        <b/>
        <i val="0"/>
        <color rgb="FF1E8449"/>
      </font>
      <fill>
        <patternFill patternType="solid">
          <fgColor indexed="64"/>
          <bgColor rgb="FFA9DFBF"/>
        </patternFill>
      </fill>
    </dxf>
    <dxf>
      <font>
        <b/>
        <i val="0"/>
        <color rgb="FF7B241C"/>
      </font>
      <fill>
        <patternFill patternType="solid">
          <fgColor indexed="64"/>
          <bgColor rgb="FFF1948A"/>
        </patternFill>
      </fill>
    </dxf>
    <dxf>
      <font>
        <color rgb="FF784212"/>
      </font>
      <fill>
        <patternFill patternType="solid">
          <fgColor indexed="64"/>
          <bgColor rgb="FFFAD7A0"/>
        </patternFill>
      </fill>
    </dxf>
    <dxf>
      <font>
        <color rgb="FF7D6608"/>
      </font>
      <fill>
        <patternFill patternType="solid">
          <fgColor indexed="64"/>
          <bgColor rgb="FFF9E79F"/>
        </patternFill>
      </fill>
    </dxf>
    <dxf>
      <font>
        <b/>
        <i val="0"/>
        <color rgb="FF1E8449"/>
      </font>
      <fill>
        <patternFill patternType="solid">
          <fgColor indexed="64"/>
          <bgColor rgb="FFA9DFBF"/>
        </patternFill>
      </fill>
    </dxf>
    <dxf>
      <font>
        <b/>
        <i val="0"/>
      </font>
    </dxf>
    <dxf>
      <font>
        <b/>
        <i val="0"/>
        <color rgb="FF7B241C"/>
      </font>
      <fill>
        <patternFill patternType="solid">
          <fgColor indexed="64"/>
          <bgColor rgb="FFFADBD8"/>
        </patternFill>
      </fill>
    </dxf>
    <dxf>
      <font>
        <color rgb="FF1E8449"/>
      </font>
      <fill>
        <patternFill patternType="solid">
          <fgColor indexed="64"/>
          <bgColor rgb="FFEAFAF1"/>
        </patternFill>
      </fill>
    </dxf>
    <dxf>
      <font>
        <b/>
        <i val="0"/>
        <color rgb="FF784212"/>
      </font>
      <fill>
        <patternFill patternType="solid">
          <fgColor indexed="64"/>
          <bgColor rgb="FFFAD7A0"/>
        </patternFill>
      </fill>
    </dxf>
    <dxf>
      <font>
        <b/>
        <i val="0"/>
        <color rgb="FF7B241C"/>
      </font>
      <fill>
        <patternFill patternType="solid">
          <fgColor indexed="64"/>
          <bgColor rgb="FFF1948A"/>
        </patternFill>
      </fill>
    </dxf>
    <dxf>
      <font>
        <b/>
        <i val="0"/>
        <color rgb="FF784212"/>
      </font>
      <fill>
        <patternFill patternType="solid">
          <fgColor indexed="64"/>
          <bgColor rgb="FFFAD7A0"/>
        </patternFill>
      </fill>
    </dxf>
    <dxf>
      <font>
        <color rgb="FF7D6608"/>
      </font>
      <fill>
        <patternFill patternType="solid">
          <fgColor indexed="64"/>
          <bgColor rgb="FFF9E79F"/>
        </patternFill>
      </fill>
    </dxf>
    <dxf>
      <font>
        <b/>
        <i val="0"/>
        <color rgb="FF1E8449"/>
      </font>
      <fill>
        <patternFill patternType="solid">
          <fgColor indexed="64"/>
          <bgColor rgb="FFA9DFBF"/>
        </patternFill>
      </fill>
    </dxf>
    <dxf>
      <font>
        <b/>
        <i val="0"/>
        <color rgb="FF7B241C"/>
      </font>
      <fill>
        <patternFill patternType="solid">
          <fgColor indexed="64"/>
          <bgColor rgb="FFF1948A"/>
        </patternFill>
      </fill>
    </dxf>
    <dxf>
      <font>
        <color rgb="FF784212"/>
      </font>
      <fill>
        <patternFill patternType="solid">
          <fgColor indexed="64"/>
          <bgColor rgb="FFFAD7A0"/>
        </patternFill>
      </fill>
    </dxf>
    <dxf>
      <font>
        <color rgb="FF7D6608"/>
      </font>
      <fill>
        <patternFill patternType="solid">
          <fgColor indexed="64"/>
          <bgColor rgb="FFF9E79F"/>
        </patternFill>
      </fill>
    </dxf>
    <dxf>
      <font>
        <color rgb="FF1E8449"/>
      </font>
      <fill>
        <patternFill patternType="solid">
          <fgColor indexed="64"/>
          <bgColor rgb="FFA9DFBF"/>
        </patternFill>
      </fill>
    </dxf>
    <dxf>
      <font>
        <b/>
        <i val="0"/>
      </font>
      <fill>
        <patternFill patternType="solid">
          <fgColor indexed="64"/>
          <bgColor rgb="FFAED6F1"/>
        </patternFill>
      </fill>
    </dxf>
    <dxf>
      <font>
        <b/>
        <i val="0"/>
        <color rgb="FF7B241C"/>
      </font>
      <fill>
        <patternFill patternType="solid">
          <fgColor indexed="64"/>
          <bgColor rgb="FFF1948A"/>
        </patternFill>
      </fill>
    </dxf>
    <dxf>
      <font>
        <b/>
        <i val="0"/>
        <color rgb="FF1E8449"/>
      </font>
      <fill>
        <patternFill patternType="solid">
          <fgColor indexed="64"/>
          <bgColor rgb="FFA9DFBF"/>
        </patternFill>
      </fill>
    </dxf>
    <dxf>
      <font>
        <color rgb="FF5D6D7E"/>
      </font>
      <fill>
        <patternFill patternType="solid">
          <fgColor indexed="64"/>
          <bgColor rgb="FFEBF5FB"/>
        </patternFill>
      </fill>
    </dxf>
    <dxf>
      <font>
        <b/>
        <i val="0"/>
        <color rgb="FF7B241C"/>
      </font>
      <fill>
        <patternFill patternType="solid">
          <fgColor indexed="64"/>
          <bgColor rgb="FFF1948A"/>
        </patternFill>
      </fill>
    </dxf>
    <dxf>
      <font>
        <b/>
        <i val="0"/>
        <color rgb="FF1E8449"/>
      </font>
      <fill>
        <patternFill patternType="solid">
          <fgColor indexed="64"/>
          <bgColor rgb="FFA9DFBF"/>
        </patternFill>
      </fill>
    </dxf>
    <dxf>
      <font>
        <b/>
        <i val="0"/>
        <color rgb="FF7B241C"/>
      </font>
    </dxf>
    <dxf>
      <font>
        <b/>
        <i val="0"/>
        <color rgb="FF7D6608"/>
      </font>
    </dxf>
    <dxf>
      <font>
        <b/>
        <i val="0"/>
        <color rgb="FF1E8449"/>
      </font>
    </dxf>
    <dxf>
      <font>
        <color rgb="FF1E8449"/>
      </font>
      <fill>
        <patternFill patternType="solid">
          <fgColor indexed="64"/>
          <bgColor rgb="FFEAFAF1"/>
        </patternFill>
      </fill>
    </dxf>
    <dxf>
      <font>
        <b/>
        <i val="0"/>
        <color rgb="FF7B241C"/>
      </font>
      <fill>
        <patternFill patternType="solid">
          <fgColor indexed="64"/>
          <bgColor rgb="FFFADBD8"/>
        </patternFill>
      </fill>
    </dxf>
    <dxf>
      <font>
        <b/>
        <i val="0"/>
        <color rgb="FF7B241C"/>
      </font>
      <fill>
        <patternFill patternType="solid">
          <fgColor indexed="64"/>
          <bgColor rgb="FFF1948A"/>
        </patternFill>
      </fill>
    </dxf>
    <dxf>
      <font>
        <b/>
        <i val="0"/>
        <color rgb="FF7B241C"/>
      </font>
      <fill>
        <patternFill patternType="solid">
          <fgColor indexed="64"/>
          <bgColor rgb="FFFADBD8"/>
        </patternFill>
      </fill>
    </dxf>
    <dxf>
      <font>
        <b/>
        <i val="0"/>
        <color rgb="FF1E8449"/>
      </font>
      <fill>
        <patternFill patternType="solid">
          <fgColor indexed="64"/>
          <bgColor rgb="FFA9DFBF"/>
        </patternFill>
      </fill>
    </dxf>
    <dxf>
      <font>
        <b/>
        <i val="0"/>
        <color rgb="FF1F3864"/>
      </font>
      <fill>
        <patternFill patternType="solid">
          <fgColor indexed="64"/>
          <bgColor rgb="FFAED6F1"/>
        </patternFill>
      </fill>
    </dxf>
    <dxf>
      <font>
        <color rgb="FF1F3864"/>
      </font>
      <fill>
        <patternFill patternType="solid">
          <fgColor indexed="64"/>
          <bgColor rgb="FFAED6F1"/>
        </patternFill>
      </fill>
    </dxf>
    <dxf>
      <font>
        <color rgb="FF1E8449"/>
      </font>
      <fill>
        <patternFill patternType="solid">
          <fgColor indexed="64"/>
          <bgColor rgb="FFA9DFBF"/>
        </patternFill>
      </fill>
    </dxf>
    <dxf>
      <font>
        <color rgb="FF7D6608"/>
      </font>
      <fill>
        <patternFill patternType="solid">
          <fgColor indexed="64"/>
          <bgColor rgb="FFF9E79F"/>
        </patternFill>
      </fill>
    </dxf>
    <dxf>
      <font>
        <b/>
        <i val="0"/>
        <color rgb="FF784212"/>
      </font>
      <fill>
        <patternFill patternType="solid">
          <fgColor indexed="64"/>
          <bgColor rgb="FFFAD7A0"/>
        </patternFill>
      </fill>
    </dxf>
    <dxf>
      <font>
        <b/>
        <i val="0"/>
        <color rgb="FF7B241C"/>
      </font>
      <fill>
        <patternFill patternType="solid">
          <fgColor indexed="64"/>
          <bgColor rgb="FFF1948A"/>
        </patternFill>
      </fill>
    </dxf>
    <dxf>
      <font>
        <b/>
        <i val="0"/>
        <color rgb="FF7B241C"/>
      </font>
      <fill>
        <patternFill patternType="solid">
          <fgColor indexed="64"/>
          <bgColor rgb="FFF1948A"/>
        </patternFill>
      </fill>
    </dxf>
    <dxf>
      <font>
        <color rgb="FF784212"/>
      </font>
      <fill>
        <patternFill patternType="solid">
          <fgColor indexed="64"/>
          <bgColor rgb="FFFAD7A0"/>
        </patternFill>
      </fill>
    </dxf>
    <dxf>
      <font>
        <color rgb="FF7D6608"/>
      </font>
      <fill>
        <patternFill patternType="solid">
          <fgColor indexed="64"/>
          <bgColor rgb="FFF9E79F"/>
        </patternFill>
      </fill>
    </dxf>
    <dxf>
      <font>
        <color rgb="FF1E8449"/>
      </font>
      <fill>
        <patternFill patternType="solid">
          <fgColor indexed="64"/>
          <bgColor rgb="FFA9DFBF"/>
        </patternFill>
      </fill>
    </dxf>
    <dxf>
      <font>
        <b/>
        <i val="0"/>
        <color rgb="FF1F3864"/>
      </font>
      <fill>
        <patternFill patternType="solid">
          <fgColor indexed="64"/>
          <bgColor rgb="FFAED6F1"/>
        </patternFill>
      </fill>
    </dxf>
    <dxf>
      <font>
        <b/>
        <i val="0"/>
        <color rgb="FF7B241C"/>
      </font>
      <fill>
        <patternFill patternType="solid">
          <fgColor indexed="64"/>
          <bgColor rgb="FFF1948A"/>
        </patternFill>
      </fill>
    </dxf>
    <dxf>
      <font>
        <color rgb="FF7D6608"/>
      </font>
      <fill>
        <patternFill patternType="solid">
          <fgColor indexed="64"/>
          <bgColor rgb="FFF9E79F"/>
        </patternFill>
      </fill>
    </dxf>
    <dxf>
      <font>
        <color rgb="FF1E8449"/>
      </font>
      <fill>
        <patternFill patternType="solid">
          <fgColor indexed="64"/>
          <bgColor rgb="FFA9DFBF"/>
        </patternFill>
      </fill>
    </dxf>
    <dxf>
      <font>
        <b/>
        <i val="0"/>
        <color rgb="FF7B241C"/>
      </font>
      <fill>
        <patternFill patternType="solid">
          <fgColor indexed="64"/>
          <bgColor rgb="FFF1948A"/>
        </patternFill>
      </fill>
    </dxf>
    <dxf>
      <font>
        <color rgb="FF784212"/>
      </font>
      <fill>
        <patternFill patternType="solid">
          <fgColor indexed="64"/>
          <bgColor rgb="FFFAD7A0"/>
        </patternFill>
      </fill>
    </dxf>
    <dxf>
      <font>
        <color rgb="FF7D6608"/>
      </font>
      <fill>
        <patternFill patternType="solid">
          <fgColor indexed="64"/>
          <bgColor rgb="FFF9E79F"/>
        </patternFill>
      </fill>
    </dxf>
    <dxf>
      <font>
        <color rgb="FF1E8449"/>
      </font>
      <fill>
        <patternFill patternType="solid">
          <fgColor indexed="64"/>
          <bgColor rgb="FFA9DFBF"/>
        </patternFill>
      </fill>
    </dxf>
    <dxf>
      <font>
        <b/>
        <i val="0"/>
      </font>
      <fill>
        <patternFill patternType="solid">
          <fgColor indexed="64"/>
          <bgColor rgb="FFAED6F1"/>
        </patternFill>
      </fill>
    </dxf>
    <dxf>
      <font>
        <color rgb="FF1E8449"/>
      </font>
      <fill>
        <patternFill patternType="solid">
          <fgColor indexed="64"/>
          <bgColor rgb="FFEAFAF1"/>
        </patternFill>
      </fill>
    </dxf>
    <dxf>
      <font>
        <b/>
        <i val="0"/>
        <color rgb="FF7B241C"/>
      </font>
      <fill>
        <patternFill patternType="solid">
          <fgColor indexed="64"/>
          <bgColor rgb="FFFADBD8"/>
        </patternFill>
      </fill>
    </dxf>
    <dxf>
      <font>
        <b/>
        <i val="0"/>
        <color rgb="FF7B241C"/>
      </font>
      <fill>
        <patternFill patternType="solid">
          <fgColor indexed="64"/>
          <bgColor rgb="FFFADBD8"/>
        </patternFill>
      </fill>
    </dxf>
    <dxf>
      <font>
        <b/>
        <i val="0"/>
        <color rgb="FF1E8449"/>
      </font>
      <fill>
        <patternFill patternType="solid">
          <fgColor indexed="64"/>
          <bgColor rgb="FFA9DFBF"/>
        </patternFill>
      </fill>
    </dxf>
    <dxf>
      <font>
        <color rgb="FF7D6608"/>
      </font>
      <fill>
        <patternFill patternType="solid">
          <fgColor indexed="64"/>
          <bgColor rgb="FFF9E79F"/>
        </patternFill>
      </fill>
    </dxf>
    <dxf>
      <font>
        <b/>
        <i val="0"/>
        <color rgb="FF1E8449"/>
      </font>
      <fill>
        <patternFill patternType="solid">
          <fgColor indexed="64"/>
          <bgColor rgb="FFD5F5E3"/>
        </patternFill>
      </fill>
    </dxf>
    <dxf>
      <font>
        <b/>
        <i val="0"/>
        <color rgb="FF7B241C"/>
      </font>
      <fill>
        <patternFill patternType="solid">
          <fgColor indexed="64"/>
          <bgColor rgb="FFFADBD8"/>
        </patternFill>
      </fill>
    </dxf>
    <dxf>
      <font>
        <b/>
        <i val="0"/>
        <color rgb="FF1E8449"/>
      </font>
      <fill>
        <patternFill patternType="solid">
          <fgColor indexed="64"/>
          <bgColor rgb="FFA9DFBF"/>
        </patternFill>
      </fill>
    </dxf>
    <dxf>
      <font>
        <b/>
        <i val="0"/>
        <color rgb="FF7B241C"/>
      </font>
      <fill>
        <patternFill patternType="solid">
          <fgColor indexed="64"/>
          <bgColor rgb="FFF1948A"/>
        </patternFill>
      </fill>
    </dxf>
    <dxf>
      <font>
        <b/>
        <i val="0"/>
        <color rgb="FF784212"/>
      </font>
      <fill>
        <patternFill patternType="solid">
          <fgColor indexed="64"/>
          <bgColor rgb="FFFAD7A0"/>
        </patternFill>
      </fill>
    </dxf>
    <dxf>
      <font>
        <color rgb="FF7D6608"/>
      </font>
      <fill>
        <patternFill patternType="solid">
          <fgColor indexed="64"/>
          <bgColor rgb="FFF9E79F"/>
        </patternFill>
      </fill>
    </dxf>
    <dxf>
      <fill>
        <patternFill patternType="solid">
          <fgColor indexed="64"/>
          <bgColor rgb="FFA9DFBF"/>
        </patternFill>
      </fill>
    </dxf>
    <dxf>
      <font>
        <b/>
        <i val="0"/>
      </font>
      <fill>
        <patternFill patternType="solid">
          <fgColor indexed="64"/>
          <bgColor rgb="FFAED6F1"/>
        </patternFill>
      </fill>
    </dxf>
    <dxf>
      <font>
        <b/>
        <i val="0"/>
        <color rgb="FF7B241C"/>
      </font>
      <fill>
        <patternFill patternType="solid">
          <fgColor indexed="64"/>
          <bgColor rgb="FFFADBD8"/>
        </patternFill>
      </fill>
    </dxf>
    <dxf>
      <font>
        <color rgb="FF1F3864"/>
      </font>
      <fill>
        <patternFill patternType="solid">
          <fgColor indexed="64"/>
          <bgColor rgb="FFEBF5FB"/>
        </patternFill>
      </fill>
    </dxf>
    <dxf>
      <font>
        <b/>
        <i val="0"/>
        <color rgb="FF856404"/>
      </font>
      <fill>
        <patternFill patternType="solid">
          <fgColor indexed="64"/>
          <bgColor rgb="FFFFF3CD"/>
        </patternFill>
      </fill>
    </dxf>
    <dxf>
      <font>
        <b/>
        <i val="0"/>
        <color rgb="FF1E8449"/>
      </font>
      <fill>
        <patternFill patternType="solid">
          <fgColor indexed="64"/>
          <bgColor rgb="FFEAFAF1"/>
        </patternFill>
      </fill>
    </dxf>
    <dxf>
      <font>
        <b/>
        <i val="0"/>
        <color rgb="FF7B241C"/>
      </font>
      <fill>
        <patternFill patternType="solid">
          <fgColor indexed="64"/>
          <bgColor rgb="FFFADBD8"/>
        </patternFill>
      </fill>
    </dxf>
    <dxf>
      <font>
        <b/>
        <i val="0"/>
        <color rgb="FF1F3864"/>
      </font>
      <fill>
        <patternFill patternType="solid">
          <fgColor indexed="64"/>
          <bgColor rgb="FFEBF5FB"/>
        </patternFill>
      </fill>
    </dxf>
    <dxf>
      <font>
        <b/>
        <i val="0"/>
        <color rgb="FF1F3864"/>
      </font>
      <fill>
        <patternFill patternType="solid">
          <fgColor indexed="64"/>
          <bgColor rgb="FFEBF5FB"/>
        </patternFill>
      </fill>
    </dxf>
    <dxf>
      <font>
        <color rgb="FF1E8449"/>
      </font>
      <fill>
        <patternFill patternType="solid">
          <fgColor indexed="64"/>
          <bgColor rgb="FFD5F5E3"/>
        </patternFill>
      </fill>
    </dxf>
    <dxf>
      <font>
        <b/>
        <i val="0"/>
        <color rgb="FF7B241C"/>
      </font>
      <fill>
        <patternFill patternType="solid">
          <fgColor indexed="64"/>
          <bgColor rgb="FFFADBD8"/>
        </patternFill>
      </fill>
    </dxf>
    <dxf>
      <font>
        <color rgb="FFFFFFFF"/>
      </font>
      <fill>
        <patternFill patternType="solid">
          <fgColor indexed="64"/>
          <bgColor rgb="FFE60606"/>
        </patternFill>
      </fill>
    </dxf>
    <dxf>
      <font>
        <color rgb="FF1F3864"/>
      </font>
      <fill>
        <patternFill patternType="solid">
          <fgColor indexed="64"/>
          <bgColor rgb="FFFFC000"/>
        </patternFill>
      </fill>
    </dxf>
    <dxf>
      <font>
        <b/>
        <i val="0"/>
        <color rgb="FF1F3864"/>
      </font>
      <fill>
        <patternFill patternType="solid">
          <fgColor indexed="64"/>
          <bgColor rgb="FFFFFF00"/>
        </patternFill>
      </fill>
    </dxf>
    <dxf>
      <font>
        <color rgb="FFFFFFFF"/>
      </font>
      <fill>
        <patternFill patternType="solid">
          <fgColor indexed="64"/>
          <bgColor rgb="FF00B050"/>
        </patternFill>
      </fill>
    </dxf>
    <dxf>
      <font>
        <color rgb="FFFFFFFF"/>
      </font>
      <fill>
        <patternFill patternType="solid">
          <fgColor indexed="64"/>
          <bgColor rgb="FF0070C0"/>
        </patternFill>
      </fill>
    </dxf>
    <dxf>
      <font>
        <b/>
        <i val="0"/>
        <color rgb="FF007035"/>
      </font>
      <fill>
        <patternFill patternType="solid">
          <fgColor indexed="64"/>
          <bgColor rgb="FFD1FAE5"/>
        </patternFill>
      </fill>
    </dxf>
    <dxf>
      <font>
        <b/>
        <i val="0"/>
        <color rgb="FFA80000"/>
      </font>
      <fill>
        <patternFill patternType="solid">
          <fgColor indexed="64"/>
          <bgColor rgb="FFFEE2E2"/>
        </patternFill>
      </fill>
    </dxf>
    <dxf>
      <font>
        <color rgb="FF004C8C"/>
      </font>
      <fill>
        <patternFill patternType="solid">
          <fgColor indexed="64"/>
          <bgColor rgb="FFDBEAFE"/>
        </patternFill>
      </fill>
    </dxf>
    <dxf>
      <font>
        <b/>
        <i val="0"/>
        <color rgb="FF7D6608"/>
      </font>
      <fill>
        <patternFill patternType="solid">
          <fgColor indexed="64"/>
          <bgColor rgb="FFFFF9C4"/>
        </patternFill>
      </fill>
    </dxf>
    <dxf>
      <font>
        <color rgb="FFFFFFFF"/>
      </font>
      <fill>
        <patternFill patternType="solid">
          <fgColor indexed="64"/>
          <bgColor rgb="FFE60606"/>
        </patternFill>
      </fill>
    </dxf>
    <dxf>
      <font>
        <color rgb="FF1F3864"/>
      </font>
      <fill>
        <patternFill patternType="solid">
          <fgColor indexed="64"/>
          <bgColor rgb="FFFFC000"/>
        </patternFill>
      </fill>
    </dxf>
    <dxf>
      <font>
        <b/>
        <i val="0"/>
        <color rgb="FF1F3864"/>
      </font>
      <fill>
        <patternFill patternType="solid">
          <fgColor indexed="64"/>
          <bgColor rgb="FFFFFF00"/>
        </patternFill>
      </fill>
    </dxf>
    <dxf>
      <font>
        <color rgb="FFFFFFFF"/>
      </font>
      <fill>
        <patternFill patternType="solid">
          <fgColor indexed="64"/>
          <bgColor rgb="FF00B050"/>
        </patternFill>
      </fill>
    </dxf>
    <dxf>
      <font>
        <b/>
        <i val="0"/>
        <color rgb="FFFFFFFF"/>
      </font>
      <fill>
        <patternFill patternType="solid">
          <fgColor indexed="64"/>
          <bgColor rgb="FF0070C0"/>
        </patternFill>
      </fill>
    </dxf>
    <dxf>
      <font>
        <b/>
        <i val="0"/>
        <color rgb="FFFFFFFF"/>
      </font>
      <fill>
        <patternFill patternType="solid">
          <fgColor indexed="64"/>
          <bgColor rgb="FFE60606"/>
        </patternFill>
      </fill>
    </dxf>
    <dxf>
      <font>
        <color rgb="FF1F3864"/>
      </font>
      <fill>
        <patternFill patternType="solid">
          <fgColor indexed="64"/>
          <bgColor rgb="FFFFC000"/>
        </patternFill>
      </fill>
    </dxf>
    <dxf>
      <font>
        <color rgb="FF1F3864"/>
      </font>
      <fill>
        <patternFill patternType="solid">
          <fgColor indexed="64"/>
          <bgColor rgb="FFFFFF00"/>
        </patternFill>
      </fill>
    </dxf>
    <dxf>
      <font>
        <color rgb="FFFFFFFF"/>
      </font>
      <fill>
        <patternFill patternType="solid">
          <fgColor indexed="64"/>
          <bgColor rgb="FF00B050"/>
        </patternFill>
      </fill>
    </dxf>
    <dxf>
      <font>
        <b/>
        <i val="0"/>
        <color rgb="FFFFFFFF"/>
      </font>
      <fill>
        <patternFill patternType="solid">
          <fgColor indexed="64"/>
          <bgColor rgb="FF0070C0"/>
        </patternFill>
      </fill>
    </dxf>
    <dxf>
      <font>
        <b/>
        <i val="0"/>
        <color rgb="FFFFFFFF"/>
      </font>
      <fill>
        <patternFill patternType="solid">
          <fgColor indexed="64"/>
          <bgColor rgb="FF0070C0"/>
        </patternFill>
      </fill>
    </dxf>
    <dxf>
      <font>
        <b/>
        <i val="0"/>
        <color rgb="FFFFFFFF"/>
      </font>
      <fill>
        <patternFill patternType="solid">
          <fgColor indexed="64"/>
          <bgColor rgb="FF00B050"/>
        </patternFill>
      </fill>
    </dxf>
    <dxf>
      <font>
        <b/>
        <i val="0"/>
        <color rgb="FF1F3864"/>
      </font>
      <fill>
        <patternFill patternType="solid">
          <fgColor indexed="64"/>
          <bgColor rgb="FFFFFF00"/>
        </patternFill>
      </fill>
    </dxf>
    <dxf>
      <font>
        <b/>
        <i val="0"/>
        <color rgb="FF1F3864"/>
      </font>
      <fill>
        <patternFill patternType="solid">
          <fgColor indexed="64"/>
          <bgColor rgb="FFFFC000"/>
        </patternFill>
      </fill>
    </dxf>
    <dxf>
      <font>
        <b/>
        <i val="0"/>
        <color rgb="FFFFFFFF"/>
      </font>
      <fill>
        <patternFill patternType="solid">
          <fgColor indexed="64"/>
          <bgColor rgb="FFE60606"/>
        </patternFill>
      </fill>
    </dxf>
    <dxf>
      <font>
        <color rgb="FFA80000"/>
      </font>
      <fill>
        <patternFill patternType="solid">
          <fgColor indexed="64"/>
          <bgColor rgb="FFFADBD8"/>
        </patternFill>
      </fill>
    </dxf>
    <dxf>
      <font>
        <b/>
        <i val="0"/>
        <color rgb="FFFFFFFF"/>
      </font>
      <fill>
        <patternFill patternType="solid">
          <fgColor indexed="64"/>
          <bgColor rgb="FFE60606"/>
        </patternFill>
      </fill>
    </dxf>
    <dxf>
      <font>
        <b/>
        <i val="0"/>
        <color rgb="FF1A5276"/>
      </font>
      <fill>
        <patternFill patternType="solid">
          <fgColor indexed="64"/>
          <bgColor rgb="FFD6EAF8"/>
        </patternFill>
      </fill>
    </dxf>
    <dxf>
      <font>
        <color rgb="FF626567"/>
      </font>
      <fill>
        <patternFill patternType="solid">
          <fgColor indexed="64"/>
          <bgColor rgb="FFD5DBDB"/>
        </patternFill>
      </fill>
    </dxf>
    <dxf>
      <font>
        <b/>
        <i val="0"/>
        <color rgb="FFFFFFFF"/>
      </font>
      <fill>
        <patternFill patternType="solid">
          <fgColor indexed="64"/>
          <bgColor rgb="FF00B050"/>
        </patternFill>
      </fill>
    </dxf>
    <dxf>
      <font>
        <color rgb="FFABB2B9"/>
      </font>
      <fill>
        <patternFill patternType="solid">
          <fgColor indexed="64"/>
          <bgColor rgb="FFF2F3F4"/>
        </patternFill>
      </fill>
    </dxf>
    <dxf>
      <font>
        <b/>
        <i val="0"/>
        <color rgb="FF1F3864"/>
      </font>
      <fill>
        <patternFill patternType="solid">
          <fgColor indexed="64"/>
          <bgColor rgb="FFFFC000"/>
        </patternFill>
      </fill>
    </dxf>
    <dxf>
      <font>
        <color rgb="FF7D6608"/>
      </font>
      <fill>
        <patternFill patternType="solid">
          <fgColor indexed="64"/>
          <bgColor rgb="FFFEF9E7"/>
        </patternFill>
      </fill>
    </dxf>
    <dxf>
      <font>
        <color rgb="FF1E8449"/>
      </font>
      <fill>
        <patternFill patternType="solid">
          <fgColor indexed="64"/>
          <bgColor rgb="FFD5F5E3"/>
        </patternFill>
      </fill>
    </dxf>
    <dxf>
      <font>
        <b/>
        <i val="0"/>
        <color rgb="FF1A5276"/>
      </font>
      <fill>
        <patternFill patternType="solid">
          <fgColor indexed="64"/>
          <bgColor rgb="FFD6EAF8"/>
        </patternFill>
      </fill>
    </dxf>
    <dxf>
      <font>
        <color rgb="FF1E8449"/>
      </font>
      <fill>
        <patternFill patternType="solid">
          <fgColor indexed="64"/>
          <bgColor rgb="FFD5F5E3"/>
        </patternFill>
      </fill>
    </dxf>
    <dxf>
      <font>
        <color rgb="FFA80000"/>
      </font>
      <fill>
        <patternFill patternType="solid">
          <fgColor indexed="64"/>
          <bgColor rgb="FFFADBD8"/>
        </patternFill>
      </fill>
    </dxf>
    <dxf>
      <font>
        <color rgb="FF1F3864"/>
      </font>
      <fill>
        <patternFill patternType="solid">
          <fgColor indexed="64"/>
          <bgColor rgb="FFFFFF00"/>
        </patternFill>
      </fill>
    </dxf>
    <dxf>
      <font>
        <b/>
        <i val="0"/>
        <color rgb="FF1F3864"/>
      </font>
      <fill>
        <patternFill patternType="solid">
          <fgColor indexed="64"/>
          <bgColor rgb="FFFFC000"/>
        </patternFill>
      </fill>
    </dxf>
    <dxf>
      <font>
        <b/>
        <i val="0"/>
        <color rgb="FFFFFFFF"/>
      </font>
      <fill>
        <patternFill patternType="solid">
          <fgColor indexed="64"/>
          <bgColor rgb="FFE60606"/>
        </patternFill>
      </fill>
    </dxf>
    <dxf>
      <font>
        <color rgb="FF7D6608"/>
      </font>
      <fill>
        <patternFill patternType="solid">
          <fgColor indexed="64"/>
          <bgColor rgb="FFFEF9E7"/>
        </patternFill>
      </fill>
    </dxf>
    <dxf>
      <font>
        <color rgb="FFA80000"/>
      </font>
      <fill>
        <patternFill patternType="solid">
          <fgColor indexed="64"/>
          <bgColor rgb="FFFADBD8"/>
        </patternFill>
      </fill>
    </dxf>
    <dxf>
      <font>
        <color rgb="FF1E8449"/>
      </font>
      <fill>
        <patternFill patternType="solid">
          <fgColor indexed="64"/>
          <bgColor rgb="FFD5F5E3"/>
        </patternFill>
      </fill>
    </dxf>
    <dxf>
      <font>
        <b/>
        <i val="0"/>
        <color rgb="FFFFFFFF"/>
      </font>
      <fill>
        <patternFill patternType="solid">
          <fgColor indexed="64"/>
          <bgColor rgb="FF00B050"/>
        </patternFill>
      </fill>
    </dxf>
    <dxf>
      <font>
        <b/>
        <i val="0"/>
        <color rgb="FF1F3864"/>
      </font>
      <fill>
        <patternFill patternType="solid">
          <fgColor indexed="64"/>
          <bgColor rgb="FFFFC000"/>
        </patternFill>
      </fill>
    </dxf>
    <dxf>
      <font>
        <b/>
        <i val="0"/>
        <color rgb="FFFFFFFF"/>
      </font>
      <fill>
        <patternFill patternType="solid">
          <fgColor indexed="64"/>
          <bgColor rgb="FFE60606"/>
        </patternFill>
      </fill>
    </dxf>
    <dxf>
      <font>
        <color rgb="FF1E8449"/>
      </font>
      <fill>
        <patternFill patternType="solid">
          <fgColor indexed="64"/>
          <bgColor rgb="FFD5F5E3"/>
        </patternFill>
      </fill>
    </dxf>
    <dxf>
      <font>
        <color rgb="FFA80000"/>
      </font>
      <fill>
        <patternFill patternType="solid">
          <fgColor indexed="64"/>
          <bgColor rgb="FFFADBD8"/>
        </patternFill>
      </fill>
    </dxf>
    <dxf>
      <font>
        <color rgb="FF7D6608"/>
      </font>
      <fill>
        <patternFill patternType="solid">
          <fgColor indexed="64"/>
          <bgColor rgb="FFFEF9E7"/>
        </patternFill>
      </fill>
    </dxf>
    <dxf>
      <font>
        <color rgb="FF154360"/>
      </font>
      <fill>
        <patternFill patternType="solid">
          <fgColor indexed="64"/>
          <bgColor rgb="FFEBF5FB"/>
        </patternFill>
      </fill>
    </dxf>
    <dxf>
      <font>
        <color rgb="FF1E8449"/>
      </font>
      <fill>
        <patternFill patternType="solid">
          <fgColor indexed="64"/>
          <bgColor rgb="FFE9F7EF"/>
        </patternFill>
      </fill>
    </dxf>
    <dxf>
      <font>
        <color rgb="FF1E8449"/>
      </font>
      <fill>
        <patternFill patternType="solid">
          <fgColor indexed="64"/>
          <bgColor rgb="FFD5F5E3"/>
        </patternFill>
      </fill>
    </dxf>
    <dxf>
      <font>
        <color rgb="FF1A5276"/>
      </font>
      <fill>
        <patternFill patternType="solid">
          <fgColor indexed="64"/>
          <bgColor rgb="FFD6EAF8"/>
        </patternFill>
      </fill>
    </dxf>
    <dxf>
      <font>
        <color rgb="FFFFFFFF"/>
      </font>
      <fill>
        <patternFill patternType="solid">
          <fgColor indexed="64"/>
          <bgColor rgb="FF00B050"/>
        </patternFill>
      </fill>
    </dxf>
    <dxf>
      <font>
        <color rgb="FF1F3864"/>
      </font>
      <fill>
        <patternFill patternType="solid">
          <fgColor indexed="64"/>
          <bgColor rgb="FFFFC000"/>
        </patternFill>
      </fill>
    </dxf>
    <dxf>
      <font>
        <color rgb="FFFFFFFF"/>
      </font>
      <fill>
        <patternFill patternType="solid">
          <fgColor indexed="64"/>
          <bgColor rgb="FFE60606"/>
        </patternFill>
      </fill>
    </dxf>
    <dxf>
      <font>
        <color rgb="FFFFFFFF"/>
      </font>
      <fill>
        <patternFill patternType="solid">
          <fgColor indexed="64"/>
          <bgColor rgb="FFE60606"/>
        </patternFill>
      </fill>
    </dxf>
    <dxf>
      <font>
        <color rgb="FF1F3864"/>
      </font>
      <fill>
        <patternFill patternType="solid">
          <fgColor indexed="64"/>
          <bgColor rgb="FFFFC000"/>
        </patternFill>
      </fill>
    </dxf>
    <dxf>
      <font>
        <color rgb="FF1F3864"/>
      </font>
      <fill>
        <patternFill patternType="solid">
          <fgColor indexed="64"/>
          <bgColor rgb="FFFFFF00"/>
        </patternFill>
      </fill>
    </dxf>
    <dxf>
      <font>
        <color rgb="FFFFFFFF"/>
      </font>
      <fill>
        <patternFill patternType="solid">
          <fgColor indexed="64"/>
          <bgColor rgb="FF00B050"/>
        </patternFill>
      </fill>
    </dxf>
    <dxf>
      <font>
        <b/>
        <i val="0"/>
        <color rgb="FFFFFFFF"/>
      </font>
      <fill>
        <patternFill patternType="solid">
          <fgColor indexed="64"/>
          <bgColor rgb="FF0070C0"/>
        </patternFill>
      </fill>
    </dxf>
    <dxf>
      <font>
        <b/>
        <i val="0"/>
        <color rgb="FFFFFFFF"/>
      </font>
      <fill>
        <patternFill patternType="solid">
          <fgColor indexed="64"/>
          <bgColor rgb="FF00B050"/>
        </patternFill>
      </fill>
    </dxf>
    <dxf>
      <font>
        <b/>
        <i val="0"/>
        <color rgb="FF1F3864"/>
      </font>
      <fill>
        <patternFill patternType="solid">
          <fgColor indexed="64"/>
          <bgColor rgb="FFFFFF00"/>
        </patternFill>
      </fill>
    </dxf>
    <dxf>
      <font>
        <b/>
        <i val="0"/>
        <color rgb="FF1F3864"/>
      </font>
      <fill>
        <patternFill patternType="solid">
          <fgColor indexed="64"/>
          <bgColor rgb="FFFFC000"/>
        </patternFill>
      </fill>
    </dxf>
    <dxf>
      <font>
        <b/>
        <i val="0"/>
        <color rgb="FFFFFFFF"/>
      </font>
      <fill>
        <patternFill patternType="solid">
          <fgColor indexed="64"/>
          <bgColor rgb="FFE60606"/>
        </patternFill>
      </fill>
    </dxf>
    <dxf>
      <font>
        <color rgb="FFFFFFFF"/>
      </font>
      <fill>
        <patternFill patternType="solid">
          <fgColor indexed="64"/>
          <bgColor rgb="FF00B050"/>
        </patternFill>
      </fill>
    </dxf>
    <dxf>
      <font>
        <color rgb="FF1F3864"/>
      </font>
      <fill>
        <patternFill patternType="solid">
          <fgColor indexed="64"/>
          <bgColor rgb="FFFFC000"/>
        </patternFill>
      </fill>
    </dxf>
    <dxf>
      <font>
        <color rgb="FFFFFFFF"/>
      </font>
      <fill>
        <patternFill patternType="solid">
          <fgColor indexed="64"/>
          <bgColor rgb="FFE60606"/>
        </patternFill>
      </fill>
    </dxf>
    <dxf>
      <font>
        <b/>
        <i val="0"/>
        <color rgb="FFFFFFFF"/>
      </font>
      <fill>
        <patternFill patternType="solid">
          <fgColor indexed="64"/>
          <bgColor rgb="FF0070C0"/>
        </patternFill>
      </fill>
    </dxf>
    <dxf>
      <font>
        <b/>
        <i val="0"/>
        <color rgb="FFFFFFFF"/>
      </font>
      <fill>
        <patternFill patternType="solid">
          <fgColor indexed="64"/>
          <bgColor rgb="FF00B050"/>
        </patternFill>
      </fill>
    </dxf>
    <dxf>
      <font>
        <b/>
        <i val="0"/>
        <color rgb="FF1F3864"/>
      </font>
      <fill>
        <patternFill patternType="solid">
          <fgColor indexed="64"/>
          <bgColor rgb="FFFFFF00"/>
        </patternFill>
      </fill>
    </dxf>
    <dxf>
      <font>
        <b/>
        <i val="0"/>
        <color rgb="FF1F3864"/>
      </font>
      <fill>
        <patternFill patternType="solid">
          <fgColor indexed="64"/>
          <bgColor rgb="FFFFC000"/>
        </patternFill>
      </fill>
    </dxf>
    <dxf>
      <font>
        <b/>
        <i val="0"/>
        <color rgb="FFFFFFFF"/>
      </font>
      <fill>
        <patternFill patternType="solid">
          <fgColor indexed="64"/>
          <bgColor rgb="FFE60606"/>
        </patternFill>
      </fill>
    </dxf>
    <dxf>
      <font>
        <color rgb="FF1E8449"/>
      </font>
      <fill>
        <patternFill patternType="solid">
          <fgColor indexed="64"/>
          <bgColor rgb="FFEAFAF1"/>
        </patternFill>
      </fill>
    </dxf>
    <dxf>
      <font>
        <b val="0"/>
        <i/>
        <color rgb="FFC0392B"/>
      </font>
      <fill>
        <patternFill patternType="solid">
          <fgColor indexed="64"/>
          <bgColor rgb="FFFDECEA"/>
        </patternFill>
      </fill>
    </dxf>
    <dxf>
      <font>
        <color rgb="FFFFFFFF"/>
      </font>
      <fill>
        <patternFill patternType="solid">
          <fgColor indexed="64"/>
          <bgColor rgb="FFE60606"/>
        </patternFill>
      </fill>
    </dxf>
    <dxf>
      <font>
        <color rgb="FFFFFFFF"/>
      </font>
      <fill>
        <patternFill patternType="solid">
          <fgColor indexed="64"/>
          <bgColor rgb="FFE60606"/>
        </patternFill>
      </fill>
    </dxf>
    <dxf>
      <font>
        <color rgb="FF1F3864"/>
      </font>
      <fill>
        <patternFill patternType="solid">
          <fgColor indexed="64"/>
          <bgColor rgb="FFFFC000"/>
        </patternFill>
      </fill>
    </dxf>
    <dxf>
      <font>
        <color rgb="FF1F3864"/>
      </font>
      <fill>
        <patternFill patternType="solid">
          <fgColor indexed="64"/>
          <bgColor rgb="FFFFFF00"/>
        </patternFill>
      </fill>
    </dxf>
    <dxf>
      <font>
        <color rgb="FFFFFFFF"/>
      </font>
      <fill>
        <patternFill patternType="solid">
          <fgColor indexed="64"/>
          <bgColor rgb="FF00B050"/>
        </patternFill>
      </fill>
    </dxf>
    <dxf>
      <font>
        <color rgb="FF1F3864"/>
      </font>
      <fill>
        <patternFill patternType="solid">
          <fgColor indexed="64"/>
          <bgColor rgb="FFFFC000"/>
        </patternFill>
      </fill>
    </dxf>
    <dxf>
      <font>
        <b/>
        <i val="0"/>
        <color rgb="FFFFFFFF"/>
      </font>
      <fill>
        <patternFill patternType="solid">
          <fgColor indexed="64"/>
          <bgColor rgb="FFE60606"/>
        </patternFill>
      </fill>
    </dxf>
    <dxf>
      <font>
        <b/>
        <i val="0"/>
        <color rgb="FFFFFFFF"/>
      </font>
      <fill>
        <patternFill patternType="solid">
          <fgColor indexed="64"/>
          <bgColor rgb="FF00B050"/>
        </patternFill>
      </fill>
    </dxf>
    <dxf>
      <font>
        <color rgb="FFC0392B"/>
      </font>
      <fill>
        <patternFill patternType="solid">
          <fgColor indexed="64"/>
          <bgColor rgb="FFFDECEA"/>
        </patternFill>
      </fill>
    </dxf>
    <dxf>
      <font>
        <color rgb="FFC0392B"/>
      </font>
      <fill>
        <patternFill patternType="solid">
          <fgColor indexed="64"/>
          <bgColor rgb="FFFDECEA"/>
        </patternFill>
      </fill>
    </dxf>
    <dxf>
      <font>
        <color rgb="FF1E8449"/>
      </font>
      <fill>
        <patternFill patternType="solid">
          <fgColor indexed="64"/>
          <bgColor rgb="FFEAFAF1"/>
        </patternFill>
      </fill>
    </dxf>
    <dxf>
      <font>
        <color rgb="FF1E8449"/>
      </font>
      <fill>
        <patternFill patternType="solid">
          <fgColor indexed="64"/>
          <bgColor rgb="FFEAFAF1"/>
        </patternFill>
      </fill>
    </dxf>
    <dxf>
      <font>
        <b/>
        <i val="0"/>
        <color rgb="FF7D5A00"/>
      </font>
      <fill>
        <patternFill patternType="solid">
          <fgColor indexed="64"/>
          <bgColor rgb="FFFFF3CD"/>
        </patternFill>
      </fill>
    </dxf>
    <dxf>
      <font>
        <b/>
        <i val="0"/>
        <color rgb="FF1E8449"/>
      </font>
      <fill>
        <patternFill patternType="solid">
          <fgColor indexed="64"/>
          <bgColor rgb="FFEAFAF1"/>
        </patternFill>
      </fill>
    </dxf>
    <dxf>
      <font>
        <b/>
        <i val="0"/>
        <color rgb="FFFFFFFF"/>
      </font>
      <fill>
        <patternFill patternType="solid">
          <fgColor indexed="64"/>
          <bgColor rgb="FF0070C0"/>
        </patternFill>
      </fill>
    </dxf>
    <dxf>
      <font>
        <b/>
        <i val="0"/>
        <color rgb="FFFFFFFF"/>
      </font>
      <fill>
        <patternFill patternType="solid">
          <fgColor indexed="64"/>
          <bgColor rgb="FF00B050"/>
        </patternFill>
      </fill>
    </dxf>
    <dxf>
      <font>
        <b/>
        <i val="0"/>
        <color rgb="FF1F3864"/>
      </font>
      <fill>
        <patternFill patternType="solid">
          <fgColor indexed="64"/>
          <bgColor rgb="FFFFFF00"/>
        </patternFill>
      </fill>
    </dxf>
    <dxf>
      <font>
        <b/>
        <i val="0"/>
        <color rgb="FF1F3864"/>
      </font>
      <fill>
        <patternFill patternType="solid">
          <fgColor indexed="64"/>
          <bgColor rgb="FFFFC000"/>
        </patternFill>
      </fill>
    </dxf>
    <dxf>
      <font>
        <b/>
        <i val="0"/>
        <color rgb="FFFFFFFF"/>
      </font>
      <fill>
        <patternFill patternType="solid">
          <fgColor indexed="64"/>
          <bgColor rgb="FFE60606"/>
        </patternFill>
      </fill>
    </dxf>
    <dxf>
      <font>
        <b/>
        <i val="0"/>
        <color rgb="FFFFFFFF"/>
      </font>
      <fill>
        <patternFill patternType="solid">
          <fgColor indexed="64"/>
          <bgColor rgb="FFE60606"/>
        </patternFill>
      </fill>
    </dxf>
    <dxf>
      <font>
        <b/>
        <i val="0"/>
        <color rgb="FFFFFFFF"/>
      </font>
      <fill>
        <patternFill patternType="solid">
          <fgColor indexed="64"/>
          <bgColor rgb="FF00B050"/>
        </patternFill>
      </fill>
    </dxf>
    <dxf>
      <font>
        <b/>
        <i val="0"/>
        <color rgb="FFFFFFFF"/>
      </font>
      <fill>
        <patternFill patternType="solid">
          <fgColor indexed="64"/>
          <bgColor rgb="FFE60606"/>
        </patternFill>
      </fill>
    </dxf>
    <dxf>
      <font>
        <b/>
        <i val="0"/>
        <color rgb="FFFFFFFF"/>
      </font>
      <fill>
        <patternFill patternType="solid">
          <fgColor indexed="64"/>
          <bgColor rgb="FF00B050"/>
        </patternFill>
      </fill>
    </dxf>
    <dxf>
      <font>
        <b/>
        <i val="0"/>
        <color rgb="FFFFFFFF"/>
      </font>
      <fill>
        <patternFill patternType="solid">
          <fgColor indexed="64"/>
          <bgColor rgb="FF0070C0"/>
        </patternFill>
      </fill>
    </dxf>
    <dxf>
      <font>
        <b/>
        <i val="0"/>
        <color rgb="FFFFFFFF"/>
      </font>
      <fill>
        <patternFill patternType="solid">
          <fgColor indexed="64"/>
          <bgColor rgb="FF00B050"/>
        </patternFill>
      </fill>
    </dxf>
    <dxf>
      <font>
        <b/>
        <i val="0"/>
        <color rgb="FF1F3864"/>
      </font>
      <fill>
        <patternFill patternType="solid">
          <fgColor indexed="64"/>
          <bgColor rgb="FFFFFF00"/>
        </patternFill>
      </fill>
    </dxf>
    <dxf>
      <font>
        <b/>
        <i val="0"/>
        <color rgb="FF1F3864"/>
      </font>
      <fill>
        <patternFill patternType="solid">
          <fgColor indexed="64"/>
          <bgColor rgb="FFFFC000"/>
        </patternFill>
      </fill>
    </dxf>
    <dxf>
      <font>
        <b/>
        <i val="0"/>
        <color rgb="FFFFFFFF"/>
      </font>
      <fill>
        <patternFill patternType="solid">
          <fgColor indexed="64"/>
          <bgColor rgb="FFE60606"/>
        </patternFill>
      </fill>
    </dxf>
    <dxf>
      <font>
        <color rgb="FF9C5700"/>
      </font>
      <fill>
        <patternFill patternType="solid">
          <fgColor indexed="64"/>
          <bgColor rgb="FFFFEB9C"/>
        </patternFill>
      </fill>
    </dxf>
    <dxf>
      <font>
        <b/>
        <i val="0"/>
        <color rgb="FFFFFFFF"/>
      </font>
      <fill>
        <patternFill patternType="solid">
          <fgColor indexed="64"/>
          <bgColor rgb="FFE60606"/>
        </patternFill>
      </fill>
    </dxf>
    <dxf>
      <font>
        <b/>
        <i val="0"/>
        <color rgb="FFFFFFFF"/>
      </font>
      <fill>
        <patternFill patternType="solid">
          <fgColor indexed="64"/>
          <bgColor rgb="FF00B050"/>
        </patternFill>
      </fill>
    </dxf>
    <dxf>
      <font>
        <b/>
        <i val="0"/>
        <color rgb="FFC0392B"/>
      </font>
      <fill>
        <patternFill patternType="solid">
          <fgColor indexed="64"/>
          <bgColor rgb="FFFDECEA"/>
        </patternFill>
      </fill>
    </dxf>
    <dxf>
      <font>
        <b/>
        <i val="0"/>
        <color rgb="FF7D5A00"/>
      </font>
      <fill>
        <patternFill patternType="solid">
          <fgColor indexed="64"/>
          <bgColor rgb="FFFFF3CD"/>
        </patternFill>
      </fill>
    </dxf>
    <dxf>
      <font>
        <b/>
        <i val="0"/>
        <color rgb="FF1E8449"/>
      </font>
      <fill>
        <patternFill patternType="solid">
          <fgColor indexed="64"/>
          <bgColor rgb="FFEAFAF1"/>
        </patternFill>
      </fill>
    </dxf>
    <dxf>
      <font>
        <b/>
        <i val="0"/>
        <color rgb="FFFFFFFF"/>
      </font>
      <fill>
        <patternFill patternType="solid">
          <fgColor indexed="64"/>
          <bgColor rgb="FF00B050"/>
        </patternFill>
      </fill>
    </dxf>
    <dxf>
      <font>
        <color rgb="FFFFFFFF"/>
      </font>
      <fill>
        <patternFill patternType="solid">
          <fgColor indexed="64"/>
          <bgColor rgb="FFE60606"/>
        </patternFill>
      </fill>
    </dxf>
    <dxf>
      <font>
        <b/>
        <i val="0"/>
        <color rgb="FFFFFFFF"/>
      </font>
      <fill>
        <patternFill patternType="solid">
          <fgColor indexed="64"/>
          <bgColor rgb="FF00B050"/>
        </patternFill>
      </fill>
    </dxf>
    <dxf>
      <font>
        <color rgb="FFFFFFFF"/>
      </font>
      <fill>
        <patternFill patternType="solid">
          <fgColor indexed="64"/>
          <bgColor rgb="FFE60606"/>
        </patternFill>
      </fill>
    </dxf>
    <dxf>
      <font>
        <b/>
        <i val="0"/>
        <color rgb="FFFFFFFF"/>
      </font>
      <fill>
        <patternFill patternType="solid">
          <fgColor indexed="64"/>
          <bgColor rgb="FF0070C0"/>
        </patternFill>
      </fill>
    </dxf>
    <dxf>
      <font>
        <b/>
        <i val="0"/>
        <color rgb="FFFFFFFF"/>
      </font>
      <fill>
        <patternFill patternType="solid">
          <fgColor indexed="64"/>
          <bgColor rgb="FF00B050"/>
        </patternFill>
      </fill>
    </dxf>
    <dxf>
      <font>
        <b/>
        <i val="0"/>
        <color rgb="FF1F3864"/>
      </font>
      <fill>
        <patternFill patternType="solid">
          <fgColor indexed="64"/>
          <bgColor rgb="FFFFFF00"/>
        </patternFill>
      </fill>
    </dxf>
    <dxf>
      <font>
        <b/>
        <i val="0"/>
        <color rgb="FF1F3864"/>
      </font>
      <fill>
        <patternFill patternType="solid">
          <fgColor indexed="64"/>
          <bgColor rgb="FFFFC000"/>
        </patternFill>
      </fill>
    </dxf>
    <dxf>
      <font>
        <b/>
        <i val="0"/>
        <color rgb="FFFFFFFF"/>
      </font>
      <fill>
        <patternFill patternType="solid">
          <fgColor indexed="64"/>
          <bgColor rgb="FFE60606"/>
        </patternFill>
      </fill>
    </dxf>
    <dxf>
      <font>
        <b/>
        <i val="0"/>
        <color rgb="FFFFFFFF"/>
      </font>
      <fill>
        <patternFill patternType="solid">
          <fgColor indexed="64"/>
          <bgColor rgb="FFE60606"/>
        </patternFill>
      </fill>
    </dxf>
    <dxf>
      <font>
        <b/>
        <i val="0"/>
        <color rgb="FFFFFFFF"/>
      </font>
      <fill>
        <patternFill patternType="solid">
          <fgColor indexed="64"/>
          <bgColor rgb="FF00B050"/>
        </patternFill>
      </fill>
    </dxf>
    <dxf>
      <font>
        <b/>
        <i val="0"/>
        <color rgb="FFFFFFFF"/>
      </font>
      <fill>
        <patternFill patternType="solid">
          <fgColor indexed="64"/>
          <bgColor rgb="FFE60606"/>
        </patternFill>
      </fill>
    </dxf>
    <dxf>
      <font>
        <b/>
        <i val="0"/>
        <color rgb="FF1F3864"/>
      </font>
      <fill>
        <patternFill patternType="solid">
          <fgColor indexed="64"/>
          <bgColor rgb="FFFFC000"/>
        </patternFill>
      </fill>
    </dxf>
    <dxf>
      <font>
        <b/>
        <i val="0"/>
        <color rgb="FFFFFFFF"/>
      </font>
      <fill>
        <patternFill patternType="solid">
          <fgColor indexed="64"/>
          <bgColor rgb="FF00B050"/>
        </patternFill>
      </fill>
    </dxf>
    <dxf>
      <font>
        <b/>
        <i val="0"/>
        <color rgb="FF1F3864"/>
      </font>
      <fill>
        <patternFill patternType="solid">
          <fgColor indexed="64"/>
          <bgColor rgb="FFFFC000"/>
        </patternFill>
      </fill>
    </dxf>
    <dxf>
      <font>
        <b/>
        <i val="0"/>
        <color rgb="FFFFFFFF"/>
      </font>
      <fill>
        <patternFill patternType="solid">
          <fgColor indexed="64"/>
          <bgColor rgb="FF00B050"/>
        </patternFill>
      </fill>
    </dxf>
    <dxf>
      <font>
        <b/>
        <i val="0"/>
        <color rgb="FFFFFFFF"/>
      </font>
      <fill>
        <patternFill patternType="solid">
          <fgColor indexed="64"/>
          <bgColor rgb="FFE60606"/>
        </patternFill>
      </fill>
    </dxf>
    <dxf>
      <font>
        <b/>
        <i val="0"/>
        <color rgb="FF1F3864"/>
      </font>
      <fill>
        <patternFill patternType="solid">
          <fgColor indexed="64"/>
          <bgColor rgb="FFFFC000"/>
        </patternFill>
      </fill>
    </dxf>
    <dxf>
      <font>
        <b/>
        <i val="0"/>
        <color rgb="FF1F3864"/>
      </font>
      <fill>
        <patternFill patternType="solid">
          <fgColor indexed="64"/>
          <bgColor rgb="FFFFFF00"/>
        </patternFill>
      </fill>
    </dxf>
    <dxf>
      <font>
        <b/>
        <i val="0"/>
        <color rgb="FFFFFFFF"/>
      </font>
      <fill>
        <patternFill patternType="solid">
          <fgColor indexed="64"/>
          <bgColor rgb="FF00B050"/>
        </patternFill>
      </fill>
    </dxf>
    <dxf>
      <font>
        <b/>
        <i val="0"/>
        <color rgb="FFFFFFFF"/>
      </font>
      <fill>
        <patternFill patternType="solid">
          <fgColor indexed="64"/>
          <bgColor rgb="FF0070C0"/>
        </patternFill>
      </fill>
    </dxf>
    <dxf>
      <font>
        <b val="0"/>
        <i/>
        <color rgb="FF7D5A00"/>
      </font>
      <fill>
        <patternFill patternType="solid">
          <fgColor indexed="64"/>
          <bgColor rgb="FFFFF3CD"/>
        </patternFill>
      </fill>
    </dxf>
    <dxf>
      <font>
        <b/>
        <i val="0"/>
        <color rgb="FFFFFFFF"/>
      </font>
      <fill>
        <patternFill patternType="solid">
          <fgColor indexed="64"/>
          <bgColor rgb="FFE60606"/>
        </patternFill>
      </fill>
    </dxf>
    <dxf>
      <font>
        <b/>
        <i val="0"/>
        <color rgb="FF1F3864"/>
      </font>
      <fill>
        <patternFill patternType="solid">
          <fgColor indexed="64"/>
          <bgColor rgb="FFFFC000"/>
        </patternFill>
      </fill>
    </dxf>
    <dxf>
      <font>
        <b/>
        <i val="0"/>
        <color rgb="FF1F3864"/>
      </font>
      <fill>
        <patternFill patternType="solid">
          <fgColor indexed="64"/>
          <bgColor rgb="FFFFFF00"/>
        </patternFill>
      </fill>
    </dxf>
    <dxf>
      <font>
        <b/>
        <i val="0"/>
        <color rgb="FFFFFFFF"/>
      </font>
      <fill>
        <patternFill patternType="solid">
          <fgColor indexed="64"/>
          <bgColor rgb="FF00B050"/>
        </patternFill>
      </fill>
    </dxf>
    <dxf>
      <font>
        <b/>
        <i val="0"/>
        <color rgb="FFFFFFFF"/>
      </font>
      <fill>
        <patternFill patternType="solid">
          <fgColor indexed="64"/>
          <bgColor rgb="FF0070C0"/>
        </patternFill>
      </fill>
    </dxf>
    <dxf>
      <font>
        <b/>
        <i val="0"/>
        <color rgb="FF7D5A00"/>
      </font>
      <fill>
        <patternFill patternType="solid">
          <fgColor indexed="64"/>
          <bgColor rgb="FFFFFDE7"/>
        </patternFill>
      </fill>
    </dxf>
    <dxf>
      <font>
        <b/>
        <i val="0"/>
        <color rgb="FF1E8449"/>
      </font>
      <fill>
        <patternFill patternType="solid">
          <fgColor indexed="64"/>
          <bgColor rgb="FFEAFAF1"/>
        </patternFill>
      </fill>
    </dxf>
    <dxf>
      <font>
        <b val="0"/>
        <i val="0"/>
        <color rgb="FF1F3864"/>
      </font>
      <fill>
        <patternFill patternType="solid">
          <fgColor indexed="64"/>
          <bgColor rgb="FFEBF5FB"/>
        </patternFill>
      </fill>
    </dxf>
    <dxf>
      <font>
        <b/>
        <i val="0"/>
        <color rgb="FF7D6608"/>
      </font>
      <fill>
        <patternFill patternType="solid">
          <fgColor indexed="64"/>
          <bgColor rgb="FFFEF9E7"/>
        </patternFill>
      </fill>
    </dxf>
    <dxf>
      <font>
        <b/>
        <i val="0"/>
        <color rgb="FF6C3483"/>
      </font>
      <fill>
        <patternFill patternType="solid">
          <fgColor indexed="64"/>
          <bgColor rgb="FFF5EEF8"/>
        </patternFill>
      </fill>
    </dxf>
    <dxf>
      <font>
        <b/>
        <i val="0"/>
        <color rgb="FF117A65"/>
      </font>
      <fill>
        <patternFill patternType="solid">
          <fgColor indexed="64"/>
          <bgColor rgb="FFEAFAF5"/>
        </patternFill>
      </fill>
    </dxf>
    <dxf>
      <font>
        <b/>
        <i val="0"/>
        <color rgb="FF1E8449"/>
      </font>
      <fill>
        <patternFill patternType="solid">
          <fgColor indexed="64"/>
          <bgColor rgb="FFEAFAF1"/>
        </patternFill>
      </fill>
    </dxf>
    <dxf>
      <font>
        <b/>
        <i val="0"/>
        <color rgb="FF1A5276"/>
      </font>
      <fill>
        <patternFill patternType="solid">
          <fgColor indexed="64"/>
          <bgColor rgb="FFEBF5FB"/>
        </patternFill>
      </fill>
    </dxf>
    <dxf>
      <font>
        <b val="0"/>
        <i val="0"/>
        <color rgb="FF1F3864"/>
      </font>
      <fill>
        <patternFill patternType="solid">
          <fgColor indexed="64"/>
          <bgColor rgb="FFFFFF00"/>
        </patternFill>
      </fill>
    </dxf>
    <dxf>
      <font>
        <b val="0"/>
        <i val="0"/>
        <color rgb="FFFFFFFF"/>
      </font>
      <fill>
        <patternFill patternType="solid">
          <fgColor indexed="64"/>
          <bgColor rgb="FF00B050"/>
        </patternFill>
      </fill>
    </dxf>
    <dxf>
      <font>
        <b/>
        <i val="0"/>
        <color rgb="FFFFFFFF"/>
      </font>
      <fill>
        <patternFill patternType="solid">
          <fgColor indexed="64"/>
          <bgColor rgb="FF0070C0"/>
        </patternFill>
      </fill>
    </dxf>
    <dxf>
      <font>
        <b/>
        <i val="0"/>
        <color rgb="FF1F3864"/>
      </font>
      <fill>
        <patternFill patternType="solid">
          <fgColor indexed="64"/>
          <bgColor rgb="FFFFFF00"/>
        </patternFill>
      </fill>
    </dxf>
    <dxf>
      <font>
        <b/>
        <i val="0"/>
        <color rgb="FF1F3864"/>
      </font>
      <fill>
        <patternFill patternType="solid">
          <fgColor indexed="64"/>
          <bgColor rgb="FFFFC000"/>
        </patternFill>
      </fill>
    </dxf>
    <dxf>
      <font>
        <b/>
        <i val="0"/>
        <color rgb="FFFFFFFF"/>
      </font>
      <fill>
        <patternFill patternType="solid">
          <fgColor indexed="64"/>
          <bgColor rgb="FFE60606"/>
        </patternFill>
      </fill>
    </dxf>
    <dxf>
      <font>
        <b/>
        <i val="0"/>
        <color rgb="FFFFFFFF"/>
      </font>
      <fill>
        <patternFill patternType="solid">
          <fgColor indexed="64"/>
          <bgColor rgb="FF00B050"/>
        </patternFill>
      </fill>
    </dxf>
    <dxf>
      <font>
        <b/>
        <i val="0"/>
        <color rgb="FF1F3864"/>
      </font>
      <fill>
        <patternFill patternType="solid">
          <fgColor indexed="64"/>
          <bgColor rgb="FFFFFF00"/>
        </patternFill>
      </fill>
    </dxf>
    <dxf>
      <font>
        <b/>
        <i val="0"/>
        <color rgb="FF1F3864"/>
      </font>
      <fill>
        <patternFill patternType="solid">
          <fgColor indexed="64"/>
          <bgColor rgb="FFFFC000"/>
        </patternFill>
      </fill>
    </dxf>
    <dxf>
      <font>
        <b/>
        <i val="0"/>
        <color rgb="FFFFFFFF"/>
      </font>
      <fill>
        <patternFill patternType="solid">
          <fgColor indexed="64"/>
          <bgColor rgb="FFE60606"/>
        </patternFill>
      </fill>
    </dxf>
    <dxf>
      <font>
        <b/>
        <i val="0"/>
        <color rgb="FF558B2F"/>
      </font>
      <fill>
        <patternFill patternType="solid">
          <fgColor indexed="64"/>
          <bgColor rgb="FFF0F4C3"/>
        </patternFill>
      </fill>
    </dxf>
    <dxf>
      <font>
        <b/>
        <i val="0"/>
        <color rgb="FF7D6608"/>
      </font>
      <fill>
        <patternFill patternType="solid">
          <fgColor indexed="64"/>
          <bgColor rgb="FFFEF9E7"/>
        </patternFill>
      </fill>
    </dxf>
    <dxf>
      <font>
        <b/>
        <i val="0"/>
        <color rgb="FF6C3483"/>
      </font>
      <fill>
        <patternFill patternType="solid">
          <fgColor indexed="64"/>
          <bgColor rgb="FFF5EEF8"/>
        </patternFill>
      </fill>
    </dxf>
    <dxf>
      <font>
        <b/>
        <i val="0"/>
        <color rgb="FF117A65"/>
      </font>
      <fill>
        <patternFill patternType="solid">
          <fgColor indexed="64"/>
          <bgColor rgb="FFEAFAF5"/>
        </patternFill>
      </fill>
    </dxf>
    <dxf>
      <font>
        <b/>
        <i val="0"/>
        <color rgb="FF1E8449"/>
      </font>
      <fill>
        <patternFill patternType="solid">
          <fgColor indexed="64"/>
          <bgColor rgb="FFEAFAF1"/>
        </patternFill>
      </fill>
    </dxf>
    <dxf>
      <font>
        <b/>
        <i val="0"/>
        <color rgb="FF1A5276"/>
      </font>
      <fill>
        <patternFill patternType="solid">
          <fgColor indexed="64"/>
          <bgColor rgb="FFEBF5FB"/>
        </patternFill>
      </fill>
    </dxf>
    <dxf>
      <font>
        <b/>
        <i val="0"/>
        <color rgb="FF1F3864"/>
      </font>
      <fill>
        <patternFill patternType="solid">
          <fgColor indexed="64"/>
          <bgColor rgb="FFFFC000"/>
        </patternFill>
      </fill>
    </dxf>
    <dxf>
      <font>
        <b/>
        <i val="0"/>
        <color rgb="FFFFFFFF"/>
      </font>
      <fill>
        <patternFill patternType="solid">
          <fgColor indexed="64"/>
          <bgColor rgb="FF00B050"/>
        </patternFill>
      </fill>
    </dxf>
    <dxf>
      <font>
        <color rgb="FF1F3864"/>
      </font>
      <fill>
        <patternFill patternType="solid">
          <fgColor indexed="64"/>
          <bgColor rgb="FFFFC000"/>
        </patternFill>
      </fill>
    </dxf>
    <dxf>
      <font>
        <color rgb="FF1F3864"/>
      </font>
      <fill>
        <patternFill patternType="solid">
          <fgColor indexed="64"/>
          <bgColor rgb="FFFFFF00"/>
        </patternFill>
      </fill>
    </dxf>
    <dxf>
      <font>
        <color rgb="FFFFFFFF"/>
      </font>
      <fill>
        <patternFill patternType="solid">
          <fgColor indexed="64"/>
          <bgColor rgb="FF00B050"/>
        </patternFill>
      </fill>
    </dxf>
    <dxf>
      <font>
        <b/>
        <i val="0"/>
        <color rgb="FFFFFFFF"/>
      </font>
      <fill>
        <patternFill patternType="solid">
          <fgColor indexed="64"/>
          <bgColor rgb="FF0070C0"/>
        </patternFill>
      </fill>
    </dxf>
    <dxf>
      <font>
        <b/>
        <i val="0"/>
        <color rgb="FF558B2F"/>
      </font>
      <fill>
        <patternFill patternType="solid">
          <fgColor indexed="64"/>
          <bgColor rgb="FFF0F4C3"/>
        </patternFill>
      </fill>
    </dxf>
    <dxf>
      <font>
        <b/>
        <i val="0"/>
        <color rgb="FF7D6608"/>
      </font>
      <fill>
        <patternFill patternType="solid">
          <fgColor indexed="64"/>
          <bgColor rgb="FFFEF9E7"/>
        </patternFill>
      </fill>
    </dxf>
    <dxf>
      <font>
        <b/>
        <i val="0"/>
        <color rgb="FF6C3483"/>
      </font>
      <fill>
        <patternFill patternType="solid">
          <fgColor indexed="64"/>
          <bgColor rgb="FFF5EEF8"/>
        </patternFill>
      </fill>
    </dxf>
    <dxf>
      <font>
        <b/>
        <i val="0"/>
        <color rgb="FF117A65"/>
      </font>
      <fill>
        <patternFill patternType="solid">
          <fgColor indexed="64"/>
          <bgColor rgb="FFEAFAF5"/>
        </patternFill>
      </fill>
    </dxf>
    <dxf>
      <font>
        <b/>
        <i val="0"/>
        <color rgb="FF1E8449"/>
      </font>
      <fill>
        <patternFill patternType="solid">
          <fgColor indexed="64"/>
          <bgColor rgb="FFEAFAF1"/>
        </patternFill>
      </fill>
    </dxf>
    <dxf>
      <font>
        <b/>
        <i val="0"/>
        <color rgb="FF1A5276"/>
      </font>
      <fill>
        <patternFill patternType="solid">
          <fgColor indexed="64"/>
          <bgColor rgb="FFEBF5FB"/>
        </patternFill>
      </fill>
    </dxf>
    <dxf>
      <font>
        <b/>
        <i val="0"/>
        <color rgb="FF1F3864"/>
      </font>
      <fill>
        <patternFill patternType="solid">
          <fgColor indexed="64"/>
          <bgColor rgb="FFFFC000"/>
        </patternFill>
      </fill>
    </dxf>
    <dxf>
      <font>
        <b/>
        <i val="0"/>
        <color rgb="FF1F3864"/>
      </font>
      <fill>
        <patternFill patternType="solid">
          <fgColor indexed="64"/>
          <bgColor rgb="FFFFFF00"/>
        </patternFill>
      </fill>
    </dxf>
    <dxf>
      <font>
        <b/>
        <i val="0"/>
        <color rgb="FFFFFFFF"/>
      </font>
      <fill>
        <patternFill patternType="solid">
          <fgColor indexed="64"/>
          <bgColor rgb="FF00B050"/>
        </patternFill>
      </fill>
    </dxf>
    <dxf>
      <font>
        <b/>
        <i val="0"/>
        <color rgb="FFFFFFFF"/>
      </font>
      <fill>
        <patternFill patternType="solid">
          <fgColor indexed="64"/>
          <bgColor rgb="FF0070C0"/>
        </patternFill>
      </fill>
    </dxf>
    <dxf>
      <font>
        <b/>
        <i val="0"/>
        <color rgb="FFFFFFFF"/>
      </font>
      <fill>
        <patternFill patternType="solid">
          <fgColor indexed="64"/>
          <bgColor rgb="FFE60606"/>
        </patternFill>
      </fill>
    </dxf>
    <dxf>
      <font>
        <b/>
        <i val="0"/>
        <color rgb="FF1F3864"/>
      </font>
      <fill>
        <patternFill patternType="solid">
          <fgColor indexed="64"/>
          <bgColor rgb="FFFFFF00"/>
        </patternFill>
      </fill>
    </dxf>
    <dxf>
      <font>
        <b/>
        <i val="0"/>
        <color rgb="FFFFFFFF"/>
      </font>
      <fill>
        <patternFill patternType="solid">
          <fgColor indexed="64"/>
          <bgColor rgb="FF00B050"/>
        </patternFill>
      </fill>
    </dxf>
    <dxf>
      <font>
        <color rgb="FFFFFFFF"/>
      </font>
      <fill>
        <patternFill patternType="solid">
          <fgColor indexed="64"/>
          <bgColor rgb="FFE60606"/>
        </patternFill>
      </fill>
    </dxf>
    <dxf>
      <font>
        <color rgb="FF1F3864"/>
      </font>
      <fill>
        <patternFill patternType="solid">
          <fgColor indexed="64"/>
          <bgColor rgb="FFFFC000"/>
        </patternFill>
      </fill>
    </dxf>
    <dxf>
      <font>
        <color rgb="FF1F3864"/>
      </font>
      <fill>
        <patternFill patternType="solid">
          <fgColor indexed="64"/>
          <bgColor rgb="FFFFFF00"/>
        </patternFill>
      </fill>
    </dxf>
    <dxf>
      <font>
        <color rgb="FFFFFFFF"/>
      </font>
      <fill>
        <patternFill patternType="solid">
          <fgColor indexed="64"/>
          <bgColor rgb="FF00B050"/>
        </patternFill>
      </fill>
    </dxf>
    <dxf>
      <font>
        <color rgb="FFFFFFFF"/>
      </font>
      <fill>
        <patternFill patternType="solid">
          <fgColor indexed="64"/>
          <bgColor rgb="FF0070C0"/>
        </patternFill>
      </fill>
    </dxf>
    <dxf>
      <font>
        <b/>
        <i val="0"/>
        <color rgb="FFFFFFFF"/>
      </font>
      <fill>
        <patternFill patternType="solid">
          <fgColor indexed="64"/>
          <bgColor rgb="FFE60606"/>
        </patternFill>
      </fill>
    </dxf>
    <dxf>
      <font>
        <b/>
        <i val="0"/>
        <color rgb="FFFFFFFF"/>
      </font>
      <fill>
        <patternFill patternType="solid">
          <fgColor indexed="64"/>
          <bgColor rgb="FF0070C0"/>
        </patternFill>
      </fill>
    </dxf>
    <dxf>
      <font>
        <b/>
        <i val="0"/>
        <color rgb="FFFFFFFF"/>
      </font>
      <fill>
        <patternFill patternType="solid">
          <fgColor indexed="64"/>
          <bgColor rgb="FF00B050"/>
        </patternFill>
      </fill>
    </dxf>
    <dxf>
      <font>
        <color rgb="FF1F3864"/>
      </font>
      <fill>
        <patternFill patternType="solid">
          <fgColor indexed="64"/>
          <bgColor rgb="FFFFC000"/>
        </patternFill>
      </fill>
    </dxf>
    <dxf>
      <font>
        <color rgb="FF1F3864"/>
      </font>
      <fill>
        <patternFill patternType="solid">
          <fgColor indexed="64"/>
          <bgColor rgb="FFFFFF00"/>
        </patternFill>
      </fill>
    </dxf>
    <dxf>
      <font>
        <color rgb="FFFFFFFF"/>
      </font>
      <fill>
        <patternFill patternType="solid">
          <fgColor indexed="64"/>
          <bgColor rgb="FF00B050"/>
        </patternFill>
      </fill>
    </dxf>
    <dxf>
      <font>
        <b/>
        <i val="0"/>
        <color rgb="FFFFFFFF"/>
      </font>
      <fill>
        <patternFill patternType="solid">
          <fgColor indexed="64"/>
          <bgColor rgb="FF0070C0"/>
        </patternFill>
      </fill>
    </dxf>
    <dxf>
      <font>
        <b/>
        <i val="0"/>
        <color rgb="FF558B2F"/>
      </font>
      <fill>
        <patternFill patternType="solid">
          <fgColor indexed="64"/>
          <bgColor rgb="FFF0F4C3"/>
        </patternFill>
      </fill>
    </dxf>
    <dxf>
      <font>
        <b/>
        <i val="0"/>
        <color rgb="FF7D6608"/>
      </font>
      <fill>
        <patternFill patternType="solid">
          <fgColor indexed="64"/>
          <bgColor rgb="FFFEF9E7"/>
        </patternFill>
      </fill>
    </dxf>
    <dxf>
      <font>
        <b/>
        <i val="0"/>
        <color rgb="FF6C3483"/>
      </font>
      <fill>
        <patternFill patternType="solid">
          <fgColor indexed="64"/>
          <bgColor rgb="FFF5EEF8"/>
        </patternFill>
      </fill>
    </dxf>
    <dxf>
      <font>
        <b/>
        <i val="0"/>
        <color rgb="FF117A65"/>
      </font>
      <fill>
        <patternFill patternType="solid">
          <fgColor indexed="64"/>
          <bgColor rgb="FFEAFAF5"/>
        </patternFill>
      </fill>
    </dxf>
    <dxf>
      <font>
        <b/>
        <i val="0"/>
        <color rgb="FF1E8449"/>
      </font>
      <fill>
        <patternFill patternType="solid">
          <fgColor indexed="64"/>
          <bgColor rgb="FFEAFAF1"/>
        </patternFill>
      </fill>
    </dxf>
    <dxf>
      <font>
        <b/>
        <i val="0"/>
        <color rgb="FF1A5276"/>
      </font>
      <fill>
        <patternFill patternType="solid">
          <fgColor indexed="64"/>
          <bgColor rgb="FFEBF5FB"/>
        </patternFill>
      </fill>
    </dxf>
    <dxf>
      <font>
        <b/>
        <i val="0"/>
        <color rgb="FFFFFFFF"/>
      </font>
      <fill>
        <patternFill patternType="solid">
          <fgColor indexed="64"/>
          <bgColor rgb="FFE60606"/>
        </patternFill>
      </fill>
    </dxf>
    <dxf>
      <font>
        <b/>
        <i val="0"/>
        <color rgb="FF1F3864"/>
      </font>
      <fill>
        <patternFill patternType="solid">
          <fgColor indexed="64"/>
          <bgColor rgb="FFFFFF00"/>
        </patternFill>
      </fill>
    </dxf>
    <dxf>
      <font>
        <b/>
        <i val="0"/>
        <color rgb="FFFFFFFF"/>
      </font>
      <fill>
        <patternFill patternType="solid">
          <fgColor indexed="64"/>
          <bgColor rgb="FF00B050"/>
        </patternFill>
      </fill>
    </dxf>
    <dxf>
      <font>
        <b/>
        <i val="0"/>
        <color rgb="FFFFFFFF"/>
      </font>
      <fill>
        <patternFill patternType="solid">
          <fgColor indexed="64"/>
          <bgColor rgb="FFE60606"/>
        </patternFill>
      </fill>
    </dxf>
    <dxf>
      <font>
        <b/>
        <i val="0"/>
        <color rgb="FF1F3864"/>
      </font>
      <fill>
        <patternFill patternType="solid">
          <fgColor indexed="64"/>
          <bgColor rgb="FFFFFF00"/>
        </patternFill>
      </fill>
    </dxf>
    <dxf>
      <font>
        <b/>
        <i val="0"/>
        <color rgb="FFFFFFFF"/>
      </font>
      <fill>
        <patternFill patternType="solid">
          <fgColor indexed="64"/>
          <bgColor rgb="FF00B050"/>
        </patternFill>
      </fill>
    </dxf>
    <dxf>
      <font>
        <color rgb="FF7F8C8D"/>
      </font>
      <fill>
        <patternFill patternType="solid">
          <fgColor indexed="64"/>
          <bgColor rgb="FFF2F3F4"/>
        </patternFill>
      </fill>
    </dxf>
    <dxf>
      <font>
        <b/>
        <i val="0"/>
        <color rgb="FFFFFFFF"/>
      </font>
      <fill>
        <patternFill patternType="solid">
          <fgColor indexed="64"/>
          <bgColor rgb="FF0070C0"/>
        </patternFill>
      </fill>
    </dxf>
    <dxf>
      <font>
        <color rgb="FFFFFFFF"/>
      </font>
      <fill>
        <patternFill patternType="solid">
          <fgColor indexed="64"/>
          <bgColor rgb="FFE60606"/>
        </patternFill>
      </fill>
    </dxf>
    <dxf>
      <font>
        <color rgb="FF1F3864"/>
      </font>
      <fill>
        <patternFill patternType="solid">
          <fgColor indexed="64"/>
          <bgColor rgb="FFFFC000"/>
        </patternFill>
      </fill>
    </dxf>
    <dxf>
      <font>
        <color rgb="FF1F3864"/>
      </font>
      <fill>
        <patternFill patternType="solid">
          <fgColor indexed="64"/>
          <bgColor rgb="FFFFFF00"/>
        </patternFill>
      </fill>
    </dxf>
    <dxf>
      <font>
        <color rgb="FFFFFFFF"/>
      </font>
      <fill>
        <patternFill patternType="solid">
          <fgColor indexed="64"/>
          <bgColor rgb="FF00B050"/>
        </patternFill>
      </fill>
    </dxf>
    <dxf>
      <font>
        <color rgb="FFFFFFFF"/>
      </font>
      <fill>
        <patternFill patternType="solid">
          <fgColor indexed="64"/>
          <bgColor rgb="FF0070C0"/>
        </patternFill>
      </fill>
    </dxf>
    <dxf>
      <font>
        <b/>
        <i val="0"/>
        <color rgb="FFFFFFFF"/>
      </font>
      <fill>
        <patternFill patternType="solid">
          <fgColor indexed="64"/>
          <bgColor rgb="FFE60606"/>
        </patternFill>
      </fill>
    </dxf>
    <dxf>
      <font>
        <b/>
        <i val="0"/>
        <color rgb="FFFFFFFF"/>
      </font>
      <fill>
        <patternFill patternType="solid">
          <fgColor indexed="64"/>
          <bgColor rgb="FF0070C0"/>
        </patternFill>
      </fill>
    </dxf>
    <dxf>
      <font>
        <b/>
        <i val="0"/>
        <color rgb="FFFFFFFF"/>
      </font>
      <fill>
        <patternFill patternType="solid">
          <fgColor indexed="64"/>
          <bgColor rgb="FF00B050"/>
        </patternFill>
      </fill>
    </dxf>
    <dxf>
      <font>
        <color rgb="FF1F3864"/>
      </font>
      <fill>
        <patternFill patternType="solid">
          <fgColor indexed="64"/>
          <bgColor rgb="FFFFC000"/>
        </patternFill>
      </fill>
    </dxf>
    <dxf>
      <font>
        <color rgb="FF1F3864"/>
      </font>
      <fill>
        <patternFill patternType="solid">
          <fgColor indexed="64"/>
          <bgColor rgb="FFFFFF00"/>
        </patternFill>
      </fill>
    </dxf>
    <dxf>
      <font>
        <color rgb="FFFFFFFF"/>
      </font>
      <fill>
        <patternFill patternType="solid">
          <fgColor indexed="64"/>
          <bgColor rgb="FF00B050"/>
        </patternFill>
      </fill>
    </dxf>
    <dxf>
      <font>
        <b/>
        <i val="0"/>
        <color rgb="FFFFFFFF"/>
      </font>
      <fill>
        <patternFill patternType="solid">
          <fgColor indexed="64"/>
          <bgColor rgb="FF0070C0"/>
        </patternFill>
      </fill>
    </dxf>
    <dxf>
      <font>
        <b/>
        <i val="0"/>
        <color rgb="FF558B2F"/>
      </font>
      <fill>
        <patternFill patternType="solid">
          <fgColor indexed="64"/>
          <bgColor rgb="FFF0F4C3"/>
        </patternFill>
      </fill>
    </dxf>
    <dxf>
      <font>
        <b/>
        <i val="0"/>
        <color rgb="FF7D6608"/>
      </font>
      <fill>
        <patternFill patternType="solid">
          <fgColor indexed="64"/>
          <bgColor rgb="FFFEF9E7"/>
        </patternFill>
      </fill>
    </dxf>
    <dxf>
      <font>
        <b/>
        <i val="0"/>
        <color rgb="FF6C3483"/>
      </font>
      <fill>
        <patternFill patternType="solid">
          <fgColor indexed="64"/>
          <bgColor rgb="FFF5EEF8"/>
        </patternFill>
      </fill>
    </dxf>
    <dxf>
      <font>
        <b/>
        <i val="0"/>
        <color rgb="FF117A65"/>
      </font>
      <fill>
        <patternFill patternType="solid">
          <fgColor indexed="64"/>
          <bgColor rgb="FFEAFAF5"/>
        </patternFill>
      </fill>
    </dxf>
    <dxf>
      <font>
        <b/>
        <i val="0"/>
        <color rgb="FF1E8449"/>
      </font>
      <fill>
        <patternFill patternType="solid">
          <fgColor indexed="64"/>
          <bgColor rgb="FFEAFAF1"/>
        </patternFill>
      </fill>
    </dxf>
    <dxf>
      <font>
        <b/>
        <i val="0"/>
        <color rgb="FF1A5276"/>
      </font>
      <fill>
        <patternFill patternType="solid">
          <fgColor indexed="64"/>
          <bgColor rgb="FFEBF5FB"/>
        </patternFill>
      </fill>
    </dxf>
    <dxf>
      <font>
        <b/>
        <i val="0"/>
        <color rgb="FFFFFFFF"/>
      </font>
      <fill>
        <patternFill patternType="solid">
          <fgColor indexed="64"/>
          <bgColor rgb="FFE60606"/>
        </patternFill>
      </fill>
    </dxf>
    <dxf>
      <font>
        <b/>
        <i val="0"/>
        <color rgb="FF1F3864"/>
      </font>
      <fill>
        <patternFill patternType="solid">
          <fgColor indexed="64"/>
          <bgColor rgb="FFFFC000"/>
        </patternFill>
      </fill>
    </dxf>
    <dxf>
      <font>
        <b/>
        <i val="0"/>
        <color rgb="FF1F3864"/>
      </font>
      <fill>
        <patternFill patternType="solid">
          <fgColor indexed="64"/>
          <bgColor rgb="FFFFFF00"/>
        </patternFill>
      </fill>
    </dxf>
    <dxf>
      <font>
        <b/>
        <i val="0"/>
        <color rgb="FFFFFFFF"/>
      </font>
      <fill>
        <patternFill patternType="solid">
          <fgColor indexed="64"/>
          <bgColor rgb="FF00B050"/>
        </patternFill>
      </fill>
    </dxf>
    <dxf>
      <font>
        <b/>
        <i val="0"/>
        <color rgb="FFFFFFFF"/>
      </font>
      <fill>
        <patternFill patternType="solid">
          <fgColor indexed="64"/>
          <bgColor rgb="FF0070C0"/>
        </patternFill>
      </fill>
    </dxf>
    <dxf>
      <font>
        <b/>
        <i val="0"/>
        <color rgb="FFFFFFFF"/>
      </font>
      <fill>
        <patternFill patternType="solid">
          <fgColor indexed="64"/>
          <bgColor rgb="FF00B050"/>
        </patternFill>
      </fill>
    </dxf>
    <dxf>
      <font>
        <b/>
        <i val="0"/>
        <color rgb="FFFFFFFF"/>
      </font>
      <fill>
        <patternFill patternType="solid">
          <fgColor indexed="64"/>
          <bgColor rgb="FFE60606"/>
        </patternFill>
      </fill>
    </dxf>
    <dxf>
      <font>
        <b/>
        <i val="0"/>
        <color rgb="FFFFFFFF"/>
      </font>
      <fill>
        <patternFill patternType="solid">
          <fgColor indexed="64"/>
          <bgColor rgb="FFE60606"/>
        </patternFill>
      </fill>
    </dxf>
    <dxf>
      <font>
        <b/>
        <i val="0"/>
        <color rgb="FFFFFFFF"/>
      </font>
      <fill>
        <patternFill patternType="solid">
          <fgColor indexed="64"/>
          <bgColor rgb="FFE60606"/>
        </patternFill>
      </fill>
    </dxf>
    <dxf>
      <font>
        <b/>
        <i val="0"/>
        <color rgb="FF1F3864"/>
      </font>
      <fill>
        <patternFill patternType="solid">
          <fgColor indexed="64"/>
          <bgColor rgb="FFFFC000"/>
        </patternFill>
      </fill>
    </dxf>
    <dxf>
      <font>
        <b/>
        <i val="0"/>
        <color rgb="FF1F3864"/>
      </font>
      <fill>
        <patternFill patternType="solid">
          <fgColor indexed="64"/>
          <bgColor rgb="FFFFFF00"/>
        </patternFill>
      </fill>
    </dxf>
    <dxf>
      <font>
        <b/>
        <i val="0"/>
        <color rgb="FFFFFFFF"/>
      </font>
      <fill>
        <patternFill patternType="solid">
          <fgColor indexed="64"/>
          <bgColor rgb="FF00B050"/>
        </patternFill>
      </fill>
    </dxf>
    <dxf>
      <font>
        <b/>
        <i val="0"/>
        <color rgb="FFFFFFFF"/>
      </font>
      <fill>
        <patternFill patternType="solid">
          <fgColor indexed="64"/>
          <bgColor rgb="FF0070C0"/>
        </patternFill>
      </fill>
    </dxf>
    <dxf>
      <font>
        <b/>
        <i val="0"/>
        <color rgb="FFFFFFFF"/>
      </font>
      <fill>
        <patternFill patternType="solid">
          <fgColor indexed="64"/>
          <bgColor rgb="FFE60606"/>
        </patternFill>
      </fill>
    </dxf>
    <dxf>
      <font>
        <b/>
        <i val="0"/>
        <color rgb="FF1F3864"/>
      </font>
      <fill>
        <patternFill patternType="solid">
          <fgColor indexed="64"/>
          <bgColor rgb="FFFFC000"/>
        </patternFill>
      </fill>
    </dxf>
    <dxf>
      <font>
        <b/>
        <i val="0"/>
        <color rgb="FF1F3864"/>
      </font>
      <fill>
        <patternFill patternType="solid">
          <fgColor indexed="64"/>
          <bgColor rgb="FFFFFF00"/>
        </patternFill>
      </fill>
    </dxf>
    <dxf>
      <font>
        <b/>
        <i val="0"/>
        <color rgb="FFFFFFFF"/>
      </font>
      <fill>
        <patternFill patternType="solid">
          <fgColor indexed="64"/>
          <bgColor rgb="FF00B050"/>
        </patternFill>
      </fill>
    </dxf>
    <dxf>
      <font>
        <b/>
        <i val="0"/>
        <color rgb="FFFFFFFF"/>
      </font>
      <fill>
        <patternFill patternType="solid">
          <fgColor indexed="64"/>
          <bgColor rgb="FF0070C0"/>
        </patternFill>
      </fill>
    </dxf>
    <dxf>
      <font>
        <b/>
        <i val="0"/>
        <color rgb="FFFFFFFF"/>
      </font>
      <fill>
        <patternFill patternType="solid">
          <fgColor indexed="64"/>
          <bgColor rgb="FF00B050"/>
        </patternFill>
      </fill>
    </dxf>
    <dxf>
      <font>
        <b/>
        <i val="0"/>
        <color rgb="FF1F3864"/>
      </font>
      <fill>
        <patternFill patternType="solid">
          <fgColor indexed="64"/>
          <bgColor rgb="FFFFC000"/>
        </patternFill>
      </fill>
    </dxf>
    <dxf>
      <font>
        <b/>
        <i val="0"/>
        <color rgb="FFFFFFFF"/>
      </font>
      <fill>
        <patternFill patternType="solid">
          <fgColor indexed="64"/>
          <bgColor rgb="FFE60606"/>
        </patternFill>
      </fill>
    </dxf>
    <dxf>
      <font>
        <b/>
        <i val="0"/>
        <color rgb="FFFFFFFF"/>
      </font>
      <fill>
        <patternFill patternType="solid">
          <fgColor indexed="64"/>
          <bgColor rgb="FF0070C0"/>
        </patternFill>
      </fill>
    </dxf>
    <dxf>
      <font>
        <b/>
        <i val="0"/>
        <color rgb="FFFFFFFF"/>
      </font>
      <fill>
        <patternFill patternType="solid">
          <fgColor indexed="64"/>
          <bgColor rgb="FFE60606"/>
        </patternFill>
      </fill>
    </dxf>
    <dxf>
      <font>
        <b/>
        <i val="0"/>
        <color rgb="FF1F3864"/>
      </font>
      <fill>
        <patternFill patternType="solid">
          <fgColor indexed="64"/>
          <bgColor rgb="FFFFC000"/>
        </patternFill>
      </fill>
    </dxf>
    <dxf>
      <font>
        <b/>
        <i val="0"/>
        <color rgb="FF1F3864"/>
      </font>
      <fill>
        <patternFill patternType="solid">
          <fgColor indexed="64"/>
          <bgColor rgb="FFFFFF00"/>
        </patternFill>
      </fill>
    </dxf>
    <dxf>
      <font>
        <b/>
        <i val="0"/>
        <color rgb="FFFFFFFF"/>
      </font>
      <fill>
        <patternFill patternType="solid">
          <fgColor indexed="64"/>
          <bgColor rgb="FF00B050"/>
        </patternFill>
      </fill>
    </dxf>
    <dxf>
      <font>
        <b/>
        <i val="0"/>
        <color rgb="FFFFFFFF"/>
      </font>
      <fill>
        <patternFill patternType="solid">
          <fgColor indexed="64"/>
          <bgColor rgb="FFE60606"/>
        </patternFill>
      </fill>
    </dxf>
    <dxf>
      <font>
        <b/>
        <i val="0"/>
        <color rgb="FF1F3864"/>
      </font>
      <fill>
        <patternFill patternType="solid">
          <fgColor indexed="64"/>
          <bgColor rgb="FFFFC000"/>
        </patternFill>
      </fill>
    </dxf>
    <dxf>
      <font>
        <b/>
        <i val="0"/>
        <color rgb="FFFFFFFF"/>
      </font>
      <fill>
        <patternFill patternType="solid">
          <fgColor indexed="64"/>
          <bgColor rgb="FF00B050"/>
        </patternFill>
      </fill>
    </dxf>
    <dxf>
      <font>
        <b/>
        <i val="0"/>
        <color rgb="FFFFFFFF"/>
      </font>
      <fill>
        <patternFill patternType="solid">
          <fgColor indexed="64"/>
          <bgColor rgb="FF00B050"/>
        </patternFill>
      </fill>
    </dxf>
    <dxf>
      <font>
        <b/>
        <i val="0"/>
        <color rgb="FFFFFFFF"/>
      </font>
      <fill>
        <patternFill patternType="solid">
          <fgColor indexed="64"/>
          <bgColor rgb="FF0070C0"/>
        </patternFill>
      </fill>
    </dxf>
    <dxf>
      <font>
        <b/>
        <i val="0"/>
        <color rgb="FF1F3864"/>
      </font>
      <fill>
        <patternFill patternType="solid">
          <fgColor indexed="64"/>
          <bgColor rgb="FFFFC000"/>
        </patternFill>
      </fill>
    </dxf>
    <dxf>
      <font>
        <b/>
        <i val="0"/>
        <color rgb="FFFFFFFF"/>
      </font>
      <fill>
        <patternFill patternType="solid">
          <fgColor indexed="64"/>
          <bgColor rgb="FFE60606"/>
        </patternFill>
      </fill>
    </dxf>
    <dxf>
      <font>
        <b/>
        <i val="0"/>
        <color rgb="FFFFFFFF"/>
      </font>
      <fill>
        <patternFill patternType="solid">
          <fgColor indexed="64"/>
          <bgColor rgb="FF0070C0"/>
        </patternFill>
      </fill>
    </dxf>
    <dxf>
      <font>
        <b/>
        <i val="0"/>
        <color rgb="FFFFFFFF"/>
      </font>
      <fill>
        <patternFill patternType="solid">
          <fgColor indexed="64"/>
          <bgColor rgb="FF00B050"/>
        </patternFill>
      </fill>
    </dxf>
    <dxf>
      <font>
        <b/>
        <i val="0"/>
        <color rgb="FF1F3864"/>
      </font>
      <fill>
        <patternFill patternType="solid">
          <fgColor indexed="64"/>
          <bgColor rgb="FFFFFF00"/>
        </patternFill>
      </fill>
    </dxf>
    <dxf>
      <font>
        <color rgb="FFE60606"/>
      </font>
    </dxf>
    <dxf>
      <font>
        <color rgb="FFFFC000"/>
      </font>
    </dxf>
    <dxf>
      <font>
        <color rgb="FF00B050"/>
      </font>
    </dxf>
    <dxf>
      <font>
        <color rgb="FF7F8C8D"/>
      </font>
      <fill>
        <patternFill patternType="solid">
          <fgColor indexed="64"/>
          <bgColor rgb="FFF2F3F4"/>
        </patternFill>
      </fill>
    </dxf>
    <dxf>
      <font>
        <b/>
        <i val="0"/>
        <color rgb="FF1F3864"/>
      </font>
      <fill>
        <patternFill patternType="solid">
          <fgColor indexed="64"/>
          <bgColor rgb="FFFFFF00"/>
        </patternFill>
      </fill>
    </dxf>
    <dxf>
      <font>
        <b/>
        <i val="0"/>
        <color rgb="FFFFFFFF"/>
      </font>
      <fill>
        <patternFill patternType="solid">
          <fgColor indexed="64"/>
          <bgColor rgb="FF00B050"/>
        </patternFill>
      </fill>
    </dxf>
    <dxf>
      <font>
        <b/>
        <i val="0"/>
        <color rgb="FFFFFFFF"/>
      </font>
      <fill>
        <patternFill patternType="solid">
          <fgColor indexed="64"/>
          <bgColor rgb="FFE60606"/>
        </patternFill>
      </fill>
    </dxf>
    <dxf>
      <font>
        <b/>
        <i val="0"/>
        <color rgb="FF1F3864"/>
      </font>
      <fill>
        <patternFill patternType="solid">
          <fgColor indexed="64"/>
          <bgColor rgb="FFFFC000"/>
        </patternFill>
      </fill>
    </dxf>
    <dxf>
      <font>
        <b/>
        <i val="0"/>
        <color rgb="FF1F3864"/>
      </font>
      <fill>
        <patternFill patternType="solid">
          <fgColor indexed="64"/>
          <bgColor rgb="FFFFFF00"/>
        </patternFill>
      </fill>
    </dxf>
    <dxf>
      <font>
        <b/>
        <i val="0"/>
        <color rgb="FFFFFFFF"/>
      </font>
      <fill>
        <patternFill patternType="solid">
          <fgColor indexed="64"/>
          <bgColor rgb="FF00B050"/>
        </patternFill>
      </fill>
    </dxf>
    <dxf>
      <font>
        <b/>
        <i val="0"/>
        <color rgb="FFFFFFFF"/>
      </font>
      <fill>
        <patternFill patternType="solid">
          <fgColor indexed="64"/>
          <bgColor rgb="FF0070C0"/>
        </patternFill>
      </fill>
    </dxf>
    <dxf>
      <font>
        <b/>
        <i val="0"/>
        <color rgb="FFFFFFFF"/>
      </font>
      <fill>
        <patternFill patternType="solid">
          <fgColor indexed="64"/>
          <bgColor rgb="FFE60606"/>
        </patternFill>
      </fill>
    </dxf>
    <dxf>
      <font>
        <b/>
        <i val="0"/>
        <color rgb="FF1F3864"/>
      </font>
      <fill>
        <patternFill patternType="solid">
          <fgColor indexed="64"/>
          <bgColor rgb="FFFFC000"/>
        </patternFill>
      </fill>
    </dxf>
    <dxf>
      <font>
        <b/>
        <i val="0"/>
        <color rgb="FF1F3864"/>
      </font>
      <fill>
        <patternFill patternType="solid">
          <fgColor indexed="64"/>
          <bgColor rgb="FFFFFF00"/>
        </patternFill>
      </fill>
    </dxf>
    <dxf>
      <font>
        <b/>
        <i val="0"/>
        <color rgb="FFFFFFFF"/>
      </font>
      <fill>
        <patternFill patternType="solid">
          <fgColor indexed="64"/>
          <bgColor rgb="FF00B050"/>
        </patternFill>
      </fill>
    </dxf>
    <dxf>
      <font>
        <b/>
        <i val="0"/>
        <color rgb="FFFFFFFF"/>
      </font>
      <fill>
        <patternFill patternType="solid">
          <fgColor indexed="64"/>
          <bgColor rgb="FF0070C0"/>
        </patternFill>
      </fill>
    </dxf>
    <dxf>
      <font>
        <b/>
        <i val="0"/>
        <color rgb="FF1F3864"/>
      </font>
      <fill>
        <patternFill patternType="solid">
          <fgColor indexed="64"/>
          <bgColor rgb="FFFFC000"/>
        </patternFill>
      </fill>
    </dxf>
    <dxf>
      <font>
        <b/>
        <i val="0"/>
        <color rgb="FF1F3864"/>
      </font>
      <fill>
        <patternFill patternType="solid">
          <fgColor indexed="64"/>
          <bgColor rgb="FFFFFF00"/>
        </patternFill>
      </fill>
    </dxf>
    <dxf>
      <font>
        <b/>
        <i val="0"/>
        <color rgb="FFFFFFFF"/>
      </font>
      <fill>
        <patternFill patternType="solid">
          <fgColor indexed="64"/>
          <bgColor rgb="FF1F3864"/>
        </patternFill>
      </fill>
    </dxf>
    <dxf>
      <font>
        <b/>
        <i val="0"/>
        <color rgb="FFFFFFFF"/>
      </font>
      <fill>
        <patternFill patternType="solid">
          <fgColor indexed="64"/>
          <bgColor rgb="FFE60606"/>
        </patternFill>
      </fill>
    </dxf>
  </dxfs>
  <tableStyles count="0" defaultTableStyle="TableStyleMedium2" defaultPivotStyle="PivotStyleLight16"/>
  <colors>
    <mruColors>
      <color rgb="FFF2F7FC"/>
      <color rgb="FF1A5276"/>
      <color rgb="FF1F3864"/>
      <color rgb="FF2E75B6"/>
      <color rgb="FFF3E5F5"/>
      <color rgb="FFEEF2F7"/>
      <color rgb="FF44546A"/>
      <color rgb="FF000000"/>
      <color rgb="FFDDEEFF"/>
      <color rgb="FFEBF5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rot="0" spcFirstLastPara="1" vertOverflow="ellipsis" vert="horz" wrap="square" anchor="ctr" anchorCtr="1"/>
          <a:lstStyle/>
          <a:p>
            <a:pPr>
              <a:defRPr sz="1000" b="1" i="0" strike="noStrike" kern="1200" spc="0" baseline="0">
                <a:solidFill>
                  <a:srgbClr val="1A2B4A"/>
                </a:solidFill>
                <a:latin typeface="Aptos Narrow"/>
                <a:ea typeface="Aptos Narrow"/>
                <a:cs typeface="Aptos Narrow"/>
              </a:defRPr>
            </a:pPr>
            <a:r>
              <a:rPr lang="en-US"/>
              <a:t>ICPI por Eje Estratégico (%)</a:t>
            </a:r>
          </a:p>
        </c:rich>
      </c:tx>
      <c:overlay val="0"/>
      <c:spPr>
        <a:solidFill>
          <a:srgbClr val="F8FAFD"/>
        </a:solidFill>
        <a:ln>
          <a:noFill/>
          <a:prstDash val="solid"/>
        </a:ln>
      </c:spPr>
    </c:title>
    <c:autoTitleDeleted val="0"/>
    <c:plotArea>
      <c:layout/>
      <c:barChart>
        <c:barDir val="bar"/>
        <c:grouping val="clustered"/>
        <c:varyColors val="0"/>
        <c:ser>
          <c:idx val="0"/>
          <c:order val="0"/>
          <c:tx>
            <c:strRef>
              <c:f>'M-DASHBOARD'!$G$11</c:f>
              <c:strCache>
                <c:ptCount val="1"/>
                <c:pt idx="0">
                  <c:v>ICPI (%)</c:v>
                </c:pt>
              </c:strCache>
            </c:strRef>
          </c:tx>
          <c:spPr>
            <a:solidFill>
              <a:srgbClr val="2E4A7A"/>
            </a:solidFill>
            <a:ln>
              <a:solidFill>
                <a:srgbClr val="2E4A7A"/>
              </a:solidFill>
              <a:prstDash val="solid"/>
            </a:ln>
          </c:spPr>
          <c:invertIfNegative val="0"/>
          <c:cat>
            <c:strRef>
              <c:f>'M-DASHBOARD'!$F$12:$F$16</c:f>
              <c:strCache>
                <c:ptCount val="5"/>
                <c:pt idx="0">
                  <c:v>TERRITORIAL</c:v>
                </c:pt>
                <c:pt idx="1">
                  <c:v>SOCIAL</c:v>
                </c:pt>
                <c:pt idx="2">
                  <c:v>AMBIENTAL</c:v>
                </c:pt>
                <c:pt idx="4">
                  <c:v>INSTITUCIONAL</c:v>
                </c:pt>
              </c:strCache>
            </c:strRef>
          </c:cat>
          <c:val>
            <c:numRef>
              <c:f>'M-DASHBOARD'!$G$12:$G$16</c:f>
              <c:numCache>
                <c:formatCode>General</c:formatCode>
                <c:ptCount val="5"/>
                <c:pt idx="0">
                  <c:v>25.798731156968657</c:v>
                </c:pt>
                <c:pt idx="1">
                  <c:v>51.686757985993069</c:v>
                </c:pt>
                <c:pt idx="2">
                  <c:v>44.93166376639391</c:v>
                </c:pt>
                <c:pt idx="4">
                  <c:v>60.151290496607871</c:v>
                </c:pt>
              </c:numCache>
            </c:numRef>
          </c:val>
          <c:extLst>
            <c:ext xmlns:c16="http://schemas.microsoft.com/office/drawing/2014/chart" uri="{C3380CC4-5D6E-409C-BE32-E72D297353CC}">
              <c16:uniqueId val="{00000000-2755-4B6A-99E7-E37029599747}"/>
            </c:ext>
          </c:extLst>
        </c:ser>
        <c:dLbls>
          <c:showLegendKey val="0"/>
          <c:showVal val="0"/>
          <c:showCatName val="0"/>
          <c:showSerName val="0"/>
          <c:showPercent val="0"/>
          <c:showBubbleSize val="0"/>
        </c:dLbls>
        <c:gapWidth val="182"/>
        <c:axId val="2014106831"/>
        <c:axId val="2014105391"/>
      </c:barChart>
      <c:catAx>
        <c:axId val="2014106831"/>
        <c:scaling>
          <c:orientation val="minMax"/>
        </c:scaling>
        <c:delete val="0"/>
        <c:axPos val="l"/>
        <c:numFmt formatCode="General" sourceLinked="1"/>
        <c:majorTickMark val="none"/>
        <c:minorTickMark val="none"/>
        <c:tickLblPos val="nextTo"/>
        <c:spPr>
          <a:noFill/>
          <a:ln w="9525" cap="flat" cmpd="sng" algn="ctr">
            <a:solidFill>
              <a:srgbClr val="C5D3E8"/>
            </a:solidFill>
            <a:prstDash val="solid"/>
            <a:round/>
          </a:ln>
        </c:spPr>
        <c:txPr>
          <a:bodyPr rot="-60000000" spcFirstLastPara="1" vertOverflow="ellipsis" vert="horz" wrap="square" anchor="ctr" anchorCtr="1"/>
          <a:lstStyle/>
          <a:p>
            <a:pPr>
              <a:defRPr sz="800" b="0" i="0" strike="noStrike" kern="1200" baseline="0">
                <a:solidFill>
                  <a:srgbClr val="2E4A7A"/>
                </a:solidFill>
                <a:latin typeface="Aptos Narrow"/>
                <a:ea typeface="Aptos Narrow"/>
                <a:cs typeface="Aptos Narrow"/>
              </a:defRPr>
            </a:pPr>
            <a:endParaRPr lang="es-EC"/>
          </a:p>
        </c:txPr>
        <c:crossAx val="2014105391"/>
        <c:crosses val="autoZero"/>
        <c:auto val="1"/>
        <c:lblAlgn val="ctr"/>
        <c:lblOffset val="100"/>
        <c:noMultiLvlLbl val="0"/>
      </c:catAx>
      <c:valAx>
        <c:axId val="2014105391"/>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solidFill>
              <a:srgbClr val="C5D3E8"/>
            </a:solidFill>
            <a:prstDash val="solid"/>
          </a:ln>
        </c:spPr>
        <c:txPr>
          <a:bodyPr rot="-60000000" spcFirstLastPara="1" vertOverflow="ellipsis" vert="horz" wrap="square" anchor="ctr" anchorCtr="1"/>
          <a:lstStyle/>
          <a:p>
            <a:pPr>
              <a:defRPr sz="800" b="0" i="0" strike="noStrike" kern="1200" baseline="0">
                <a:solidFill>
                  <a:srgbClr val="2E4A7A"/>
                </a:solidFill>
                <a:latin typeface="Aptos Narrow"/>
                <a:ea typeface="Aptos Narrow"/>
                <a:cs typeface="Aptos Narrow"/>
              </a:defRPr>
            </a:pPr>
            <a:endParaRPr lang="es-EC"/>
          </a:p>
        </c:txPr>
        <c:crossAx val="2014106831"/>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800" b="0" i="0" strike="noStrike" kern="1200" baseline="0">
              <a:solidFill>
                <a:srgbClr val="1A2B4A"/>
              </a:solidFill>
              <a:latin typeface="Aptos Narrow"/>
              <a:ea typeface="Aptos Narrow"/>
              <a:cs typeface="Aptos Narrow"/>
            </a:defRPr>
          </a:pPr>
          <a:endParaRPr lang="es-EC"/>
        </a:p>
      </c:txPr>
    </c:legend>
    <c:plotVisOnly val="1"/>
    <c:dispBlanksAs val="gap"/>
    <c:showDLblsOverMax val="1"/>
  </c:chart>
  <c:spPr>
    <a:solidFill>
      <a:srgbClr val="F8FAFD"/>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rot="0" spcFirstLastPara="1" vertOverflow="ellipsis" vert="horz" wrap="square" anchor="ctr" anchorCtr="1"/>
          <a:lstStyle/>
          <a:p>
            <a:pPr>
              <a:defRPr sz="1000" b="1" i="0" strike="noStrike" kern="1200" spc="0" baseline="0">
                <a:solidFill>
                  <a:srgbClr val="1A2B4A"/>
                </a:solidFill>
                <a:latin typeface="Aptos Narrow"/>
                <a:ea typeface="Aptos Narrow"/>
                <a:cs typeface="Aptos Narrow"/>
              </a:defRPr>
            </a:pPr>
            <a:r>
              <a:rPr lang="en-US"/>
              <a:t>KPIs SIAP-ICPI — Avance vs Meta (%)</a:t>
            </a:r>
          </a:p>
        </c:rich>
      </c:tx>
      <c:overlay val="0"/>
      <c:spPr>
        <a:solidFill>
          <a:srgbClr val="F8FAFD"/>
        </a:solidFill>
        <a:ln>
          <a:noFill/>
          <a:prstDash val="solid"/>
        </a:ln>
      </c:spPr>
    </c:title>
    <c:autoTitleDeleted val="0"/>
    <c:plotArea>
      <c:layout/>
      <c:barChart>
        <c:barDir val="bar"/>
        <c:grouping val="clustered"/>
        <c:varyColors val="0"/>
        <c:ser>
          <c:idx val="0"/>
          <c:order val="0"/>
          <c:spPr>
            <a:solidFill>
              <a:srgbClr val="2E4A7A"/>
            </a:solidFill>
            <a:ln>
              <a:solidFill>
                <a:srgbClr val="2E4A7A"/>
              </a:solidFill>
              <a:prstDash val="solid"/>
            </a:ln>
          </c:spPr>
          <c:invertIfNegative val="0"/>
          <c:cat>
            <c:strRef>
              <c:f>'M-DASHBOARD'!$F$3:$F$8</c:f>
              <c:strCache>
                <c:ptCount val="6"/>
                <c:pt idx="0">
                  <c:v>M5</c:v>
                </c:pt>
                <c:pt idx="2">
                  <c:v>Ejecución completa Vi=1,Ti=1 (n)</c:v>
                </c:pt>
                <c:pt idx="4">
                  <c:v>🌐 ITAM Global — Transp. (%)</c:v>
                </c:pt>
                <c:pt idx="5">
                  <c:v>Brecha de Integridad ICPI vs ICM (pp)</c:v>
                </c:pt>
              </c:strCache>
            </c:strRef>
          </c:cat>
          <c:val>
            <c:numRef>
              <c:f>'M-DASHBOARD'!$G$3:$G$8</c:f>
              <c:numCache>
                <c:formatCode>General</c:formatCode>
                <c:ptCount val="6"/>
                <c:pt idx="0">
                  <c:v>0</c:v>
                </c:pt>
                <c:pt idx="2">
                  <c:v>4</c:v>
                </c:pt>
                <c:pt idx="4">
                  <c:v>80.000000000000014</c:v>
                </c:pt>
                <c:pt idx="5">
                  <c:v>61.723387750305889</c:v>
                </c:pt>
              </c:numCache>
            </c:numRef>
          </c:val>
          <c:extLst>
            <c:ext xmlns:c16="http://schemas.microsoft.com/office/drawing/2014/chart" uri="{C3380CC4-5D6E-409C-BE32-E72D297353CC}">
              <c16:uniqueId val="{00000000-002E-4FDC-8BDA-1CB925F3B71F}"/>
            </c:ext>
          </c:extLst>
        </c:ser>
        <c:ser>
          <c:idx val="1"/>
          <c:order val="1"/>
          <c:spPr>
            <a:solidFill>
              <a:srgbClr val="4A7BBF"/>
            </a:solidFill>
            <a:ln>
              <a:solidFill>
                <a:srgbClr val="4A7BBF"/>
              </a:solidFill>
              <a:prstDash val="solid"/>
            </a:ln>
          </c:spPr>
          <c:invertIfNegative val="0"/>
          <c:cat>
            <c:strRef>
              <c:f>'M-DASHBOARD'!$F$3:$F$8</c:f>
              <c:strCache>
                <c:ptCount val="6"/>
                <c:pt idx="0">
                  <c:v>M5</c:v>
                </c:pt>
                <c:pt idx="2">
                  <c:v>Ejecución completa Vi=1,Ti=1 (n)</c:v>
                </c:pt>
                <c:pt idx="4">
                  <c:v>🌐 ITAM Global — Transp. (%)</c:v>
                </c:pt>
                <c:pt idx="5">
                  <c:v>Brecha de Integridad ICPI vs ICM (pp)</c:v>
                </c:pt>
              </c:strCache>
            </c:strRef>
          </c:cat>
          <c:val>
            <c:numRef>
              <c:f>'M-DASHBOARD'!$H$3:$H$8</c:f>
              <c:numCache>
                <c:formatCode>General</c:formatCode>
                <c:ptCount val="6"/>
                <c:pt idx="0">
                  <c:v>0</c:v>
                </c:pt>
                <c:pt idx="2">
                  <c:v>20</c:v>
                </c:pt>
                <c:pt idx="4">
                  <c:v>100</c:v>
                </c:pt>
                <c:pt idx="5">
                  <c:v>100</c:v>
                </c:pt>
              </c:numCache>
            </c:numRef>
          </c:val>
          <c:extLst>
            <c:ext xmlns:c16="http://schemas.microsoft.com/office/drawing/2014/chart" uri="{C3380CC4-5D6E-409C-BE32-E72D297353CC}">
              <c16:uniqueId val="{00000001-002E-4FDC-8BDA-1CB925F3B71F}"/>
            </c:ext>
          </c:extLst>
        </c:ser>
        <c:dLbls>
          <c:showLegendKey val="0"/>
          <c:showVal val="0"/>
          <c:showCatName val="0"/>
          <c:showSerName val="0"/>
          <c:showPercent val="0"/>
          <c:showBubbleSize val="0"/>
        </c:dLbls>
        <c:gapWidth val="182"/>
        <c:axId val="155375471"/>
        <c:axId val="155374511"/>
      </c:barChart>
      <c:catAx>
        <c:axId val="155375471"/>
        <c:scaling>
          <c:orientation val="minMax"/>
        </c:scaling>
        <c:delete val="0"/>
        <c:axPos val="l"/>
        <c:numFmt formatCode="General" sourceLinked="1"/>
        <c:majorTickMark val="none"/>
        <c:minorTickMark val="none"/>
        <c:tickLblPos val="nextTo"/>
        <c:spPr>
          <a:noFill/>
          <a:ln w="9525" cap="flat" cmpd="sng" algn="ctr">
            <a:solidFill>
              <a:srgbClr val="C5D3E8"/>
            </a:solidFill>
            <a:prstDash val="solid"/>
            <a:round/>
          </a:ln>
        </c:spPr>
        <c:txPr>
          <a:bodyPr rot="-60000000" spcFirstLastPara="1" vertOverflow="ellipsis" vert="horz" wrap="square" anchor="ctr" anchorCtr="1"/>
          <a:lstStyle/>
          <a:p>
            <a:pPr>
              <a:defRPr sz="800" b="0" i="0" strike="noStrike" kern="1200" baseline="0">
                <a:solidFill>
                  <a:srgbClr val="2E4A7A"/>
                </a:solidFill>
                <a:latin typeface="Aptos Narrow"/>
                <a:ea typeface="Aptos Narrow"/>
                <a:cs typeface="Aptos Narrow"/>
              </a:defRPr>
            </a:pPr>
            <a:endParaRPr lang="es-EC"/>
          </a:p>
        </c:txPr>
        <c:crossAx val="155374511"/>
        <c:crosses val="autoZero"/>
        <c:auto val="1"/>
        <c:lblAlgn val="ctr"/>
        <c:lblOffset val="100"/>
        <c:noMultiLvlLbl val="0"/>
      </c:catAx>
      <c:valAx>
        <c:axId val="155374511"/>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solidFill>
              <a:srgbClr val="C5D3E8"/>
            </a:solidFill>
            <a:prstDash val="solid"/>
          </a:ln>
        </c:spPr>
        <c:txPr>
          <a:bodyPr rot="-60000000" spcFirstLastPara="1" vertOverflow="ellipsis" vert="horz" wrap="square" anchor="ctr" anchorCtr="1"/>
          <a:lstStyle/>
          <a:p>
            <a:pPr>
              <a:defRPr sz="800" b="0" i="0" strike="noStrike" kern="1200" baseline="0">
                <a:solidFill>
                  <a:srgbClr val="2E4A7A"/>
                </a:solidFill>
                <a:latin typeface="Aptos Narrow"/>
                <a:ea typeface="Aptos Narrow"/>
                <a:cs typeface="Aptos Narrow"/>
              </a:defRPr>
            </a:pPr>
            <a:endParaRPr lang="es-EC"/>
          </a:p>
        </c:txPr>
        <c:crossAx val="155375471"/>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800" b="0" i="0" strike="noStrike" kern="1200" baseline="0">
              <a:solidFill>
                <a:srgbClr val="1A2B4A"/>
              </a:solidFill>
              <a:latin typeface="Aptos Narrow"/>
              <a:ea typeface="Aptos Narrow"/>
              <a:cs typeface="Aptos Narrow"/>
            </a:defRPr>
          </a:pPr>
          <a:endParaRPr lang="es-EC"/>
        </a:p>
      </c:txPr>
    </c:legend>
    <c:plotVisOnly val="1"/>
    <c:dispBlanksAs val="gap"/>
    <c:showDLblsOverMax val="1"/>
  </c:chart>
  <c:spPr>
    <a:solidFill>
      <a:srgbClr val="F8FAFD"/>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rot="0" spcFirstLastPara="1" vertOverflow="ellipsis" vert="horz" wrap="square" anchor="ctr" anchorCtr="1"/>
          <a:lstStyle/>
          <a:p>
            <a:pPr>
              <a:defRPr sz="1000" b="1" i="0" strike="noStrike" kern="1200" spc="0" baseline="0">
                <a:solidFill>
                  <a:srgbClr val="1A2B4A"/>
                </a:solidFill>
                <a:latin typeface="Aptos Narrow"/>
                <a:ea typeface="Aptos Narrow"/>
                <a:cs typeface="Aptos Narrow"/>
              </a:defRPr>
            </a:pPr>
            <a:r>
              <a:rPr lang="en-US"/>
              <a:t>Estado Evidencia Forense (n=20)</a:t>
            </a:r>
          </a:p>
        </c:rich>
      </c:tx>
      <c:overlay val="0"/>
      <c:spPr>
        <a:solidFill>
          <a:srgbClr val="F8FAFD"/>
        </a:solidFill>
        <a:ln>
          <a:noFill/>
          <a:prstDash val="solid"/>
        </a:ln>
      </c:spPr>
    </c:title>
    <c:autoTitleDeleted val="0"/>
    <c:plotArea>
      <c:layout/>
      <c:doughnutChart>
        <c:varyColors val="1"/>
        <c:ser>
          <c:idx val="0"/>
          <c:order val="0"/>
          <c:tx>
            <c:strRef>
              <c:f>'M-DASHBOARD'!$G$18</c:f>
              <c:strCache>
                <c:ptCount val="1"/>
                <c:pt idx="0">
                  <c:v>n</c:v>
                </c:pt>
              </c:strCache>
            </c:strRef>
          </c:tx>
          <c:spPr>
            <a:ln>
              <a:prstDash val="solid"/>
            </a:ln>
          </c:spPr>
          <c:dPt>
            <c:idx val="0"/>
            <c:bubble3D val="0"/>
            <c:spPr>
              <a:solidFill>
                <a:schemeClr val="accent1">
                  <a:shade val="65000"/>
                </a:schemeClr>
              </a:solidFill>
              <a:ln w="19050">
                <a:solidFill>
                  <a:schemeClr val="lt1"/>
                </a:solidFill>
                <a:prstDash val="solid"/>
              </a:ln>
            </c:spPr>
            <c:extLst>
              <c:ext xmlns:c16="http://schemas.microsoft.com/office/drawing/2014/chart" uri="{C3380CC4-5D6E-409C-BE32-E72D297353CC}">
                <c16:uniqueId val="{00000001-2C5D-4E8B-B40F-D0E7F1EAB124}"/>
              </c:ext>
            </c:extLst>
          </c:dPt>
          <c:dPt>
            <c:idx val="1"/>
            <c:bubble3D val="0"/>
            <c:spPr>
              <a:solidFill>
                <a:schemeClr val="accent1"/>
              </a:solidFill>
              <a:ln w="19050">
                <a:solidFill>
                  <a:schemeClr val="lt1"/>
                </a:solidFill>
                <a:prstDash val="solid"/>
              </a:ln>
            </c:spPr>
            <c:extLst>
              <c:ext xmlns:c16="http://schemas.microsoft.com/office/drawing/2014/chart" uri="{C3380CC4-5D6E-409C-BE32-E72D297353CC}">
                <c16:uniqueId val="{00000003-2C5D-4E8B-B40F-D0E7F1EAB124}"/>
              </c:ext>
            </c:extLst>
          </c:dPt>
          <c:dPt>
            <c:idx val="2"/>
            <c:bubble3D val="0"/>
            <c:spPr>
              <a:solidFill>
                <a:schemeClr val="accent1">
                  <a:tint val="65000"/>
                </a:schemeClr>
              </a:solidFill>
              <a:ln w="19050">
                <a:solidFill>
                  <a:schemeClr val="lt1"/>
                </a:solidFill>
                <a:prstDash val="solid"/>
              </a:ln>
            </c:spPr>
            <c:extLst>
              <c:ext xmlns:c16="http://schemas.microsoft.com/office/drawing/2014/chart" uri="{C3380CC4-5D6E-409C-BE32-E72D297353CC}">
                <c16:uniqueId val="{00000005-2C5D-4E8B-B40F-D0E7F1EAB124}"/>
              </c:ext>
            </c:extLst>
          </c:dPt>
          <c:cat>
            <c:strRef>
              <c:f>'M-DASHBOARD'!$F$19:$F$21</c:f>
              <c:strCache>
                <c:ptCount val="3"/>
                <c:pt idx="0">
                  <c:v>✅ Evidencia completa</c:v>
                </c:pt>
                <c:pt idx="1">
                  <c:v>⚠️ Evidencia parcial</c:v>
                </c:pt>
                <c:pt idx="2">
                  <c:v>❌ Sin evidencia</c:v>
                </c:pt>
              </c:strCache>
            </c:strRef>
          </c:cat>
          <c:val>
            <c:numRef>
              <c:f>'M-DASHBOARD'!$G$19:$G$21</c:f>
              <c:numCache>
                <c:formatCode>General</c:formatCode>
                <c:ptCount val="3"/>
                <c:pt idx="0">
                  <c:v>1</c:v>
                </c:pt>
                <c:pt idx="1">
                  <c:v>7</c:v>
                </c:pt>
                <c:pt idx="2">
                  <c:v>12</c:v>
                </c:pt>
              </c:numCache>
            </c:numRef>
          </c:val>
          <c:extLst>
            <c:ext xmlns:c16="http://schemas.microsoft.com/office/drawing/2014/chart" uri="{C3380CC4-5D6E-409C-BE32-E72D297353CC}">
              <c16:uniqueId val="{00000006-2C5D-4E8B-B40F-D0E7F1EAB124}"/>
            </c:ext>
          </c:extLst>
        </c:ser>
        <c:dLbls>
          <c:showLegendKey val="0"/>
          <c:showVal val="0"/>
          <c:showCatName val="0"/>
          <c:showSerName val="0"/>
          <c:showPercent val="0"/>
          <c:showBubbleSize val="0"/>
          <c:showLeaderLines val="1"/>
        </c:dLbls>
        <c:firstSliceAng val="0"/>
        <c:holeSize val="75"/>
      </c:doughnutChart>
    </c:plotArea>
    <c:legend>
      <c:legendPos val="b"/>
      <c:overlay val="0"/>
      <c:spPr>
        <a:noFill/>
        <a:ln>
          <a:noFill/>
          <a:prstDash val="solid"/>
        </a:ln>
      </c:spPr>
      <c:txPr>
        <a:bodyPr rot="0" spcFirstLastPara="1" vertOverflow="ellipsis" vert="horz" wrap="square" anchor="ctr" anchorCtr="1"/>
        <a:lstStyle/>
        <a:p>
          <a:pPr>
            <a:defRPr sz="800" b="0" i="0" strike="noStrike" kern="1200" baseline="0">
              <a:solidFill>
                <a:srgbClr val="1A2B4A"/>
              </a:solidFill>
              <a:latin typeface="Aptos Narrow"/>
              <a:ea typeface="Aptos Narrow"/>
              <a:cs typeface="Aptos Narrow"/>
            </a:defRPr>
          </a:pPr>
          <a:endParaRPr lang="es-EC"/>
        </a:p>
      </c:txPr>
    </c:legend>
    <c:plotVisOnly val="1"/>
    <c:dispBlanksAs val="gap"/>
    <c:showDLblsOverMax val="1"/>
  </c:chart>
  <c:spPr>
    <a:solidFill>
      <a:srgbClr val="F8FAFD"/>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29962</xdr:colOff>
      <xdr:row>8</xdr:row>
      <xdr:rowOff>37235</xdr:rowOff>
    </xdr:from>
    <xdr:to>
      <xdr:col>10</xdr:col>
      <xdr:colOff>73742</xdr:colOff>
      <xdr:row>12</xdr:row>
      <xdr:rowOff>1530047</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83807</xdr:colOff>
      <xdr:row>8</xdr:row>
      <xdr:rowOff>47448</xdr:rowOff>
    </xdr:from>
    <xdr:to>
      <xdr:col>21</xdr:col>
      <xdr:colOff>81697</xdr:colOff>
      <xdr:row>12</xdr:row>
      <xdr:rowOff>1568040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7916</xdr:colOff>
      <xdr:row>12</xdr:row>
      <xdr:rowOff>1536289</xdr:rowOff>
    </xdr:from>
    <xdr:to>
      <xdr:col>10</xdr:col>
      <xdr:colOff>43417</xdr:colOff>
      <xdr:row>21</xdr:row>
      <xdr:rowOff>12289</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DELL" id="{DB437DA0-0E80-4A2A-9155-B8475FCDF35F}" userId="DELL" providerId="Non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4" dT="2026-03-08T14:57:19.27" personId="{DB437DA0-0E80-4A2A-9155-B8475FCDF35F}" id="{BA55E3F4-A4F1-4C0C-8C0D-A42BA50D23BB}">
    <text>ENCABEZADO CRITICO — 'Vi'
Motor ICPI y MVCI lo localizan via MATCH('Vi', A4:P4, 0).
Si se renombra, todos los Vi devuelven 1 (default), inflando el ICPI.
No renombrar sin actualizar ICPI!E5:E24 y MVCI!E6:E25.</text>
  </threadedComment>
  <threadedComment ref="H4" dT="2026-03-08T14:57:19.27" personId="{DB437DA0-0E80-4A2A-9155-B8475FCDF35F}" id="{E6B999E2-DBC4-4277-A875-8E425395E778}">
    <text>ENCABEZADO CRITICO — 'Ti (H)'
Motor ICPI y MVCI lo localizan via MATCH('Ti (H)', A4:P4, 0).
Si se renombra, todos los Ti devuelven 0, desinflando el ICPI.
No renombrar sin actualizar ICPI!F5:F24 y MVCI!I6:I24.</text>
  </threadedComment>
  <threadedComment ref="P4" dT="2026-03-08T14:57:19.28" personId="{DB437DA0-0E80-4A2A-9155-B8475FCDF35F}" id="{BB1CD930-C0A4-4BCD-BABB-F20EC54FB3EE}">
    <text>ENCABEZADO CRITICO — 'Pi / Ci'
Motor ICPI localiza Ci via MATCH('Pi / Ci', A4:P4, 0).
Si se renombra, todos los Ci devuelven 1 (default).
No renombrar sin actualizar ICPI!I5:I24.</text>
  </threadedComment>
  <threadedComment ref="A23" dT="2026-03-08T14:57:19.27" personId="{DB437DA0-0E80-4A2A-9155-B8475FCDF35F}" id="{ACFB83D3-C8D3-478B-B6E0-5FF303726E58}">
    <text>CELDA CRITICA — Codigo meta PDOT.AS.VL.M1.01
Formula: =PDOT!B4
HISTORIAL: Contuvo =PDOT!B24 haciendo invisible la meta de mayor
peso (Pi=33%) al motor ICPI. Corregida en Fase 1.
No editar manualmente. Regenerar como =PDOT!B4 si se pierde.</text>
  </threadedComment>
</ThreadedComments>
</file>

<file path=xl/threadedComments/threadedComment2.xml><?xml version="1.0" encoding="utf-8"?>
<ThreadedComments xmlns="http://schemas.microsoft.com/office/spreadsheetml/2018/threadedcomments" xmlns:x="http://schemas.openxmlformats.org/spreadsheetml/2006/main">
  <threadedComment ref="C4" dT="2026-03-08T14:57:19.22" personId="{DB437DA0-0E80-4A2A-9155-B8475FCDF35F}" id="{86098437-C4F7-418E-BA06-91DC1589F0D5}">
    <text>REFERENCIA POSICIONAL — Pi (Peso Presupuestario)
Fuente: PONDER!F14:F33, mismo orden que PDOT!B4:B23.
ADVERTENCIA: Si se inserta fila en PONDER entre F13 y F14, TODOS los Pi
se desplazan sin generar error. Verificar PONDER!B14 = PDOT!B4 antes de modificar.</text>
  </threadedComment>
  <threadedComment ref="D4" dT="2026-03-08T14:57:19.22" personId="{DB437DA0-0E80-4A2A-9155-B8475FCDF35F}" id="{D23ACA4F-06BB-47C0-8C91-B92CA906D742}">
    <text>REFERENCIA POSICIONAL — Ri (Factor de Riesgo)
Fuente: TFR!F5:F24, mismo orden que PDOT!B4:B23.
ADVERTENCIA: Sin VLOOKUP por codigo. Si TFR se reordena, Ri cambia sin aviso.
Verificar TFR!B5 = PDOT!B4 antes de modificar TFR.</text>
  </threadedComment>
  <threadedComment ref="E4" dT="2026-03-08T14:57:19.22" personId="{DB437DA0-0E80-4A2A-9155-B8475FCDF35F}" id="{59986E91-D1AD-4D99-BA5D-6A5CCE04D9CB}">
    <text>FUENTE DINAMICA — Vi (Verificacion Documental)
Formula: VLOOKUP(Cod.PDOT, MAD!A5:P24, MATCH('Vi',MAD!A4:P4,0), 0)
Indice resuelto por encabezado, NO numero fijo. Default si cod no existe: 1.
Riesgo residual: si MAD!F4 cambia de nombre, MATCH falla silenciosamente.</text>
  </threadedComment>
  <threadedComment ref="F4" dT="2026-03-08T14:57:19.22" personId="{DB437DA0-0E80-4A2A-9155-B8475FCDF35F}" id="{808840C7-17C9-4FC5-B899-0C72DC88F1BD}">
    <text>FUENTE DINAMICA — Ti (Oportunidad Temporal)
Formula: VLOOKUP(Cod.PDOT, MAD!A5:P24, MATCH('Ti (H)',MAD!A4:P4,0), 0)
Default si cod no existe: 0. Encabezado exacto requerido: 'Ti (H)' en MAD!H4.</text>
  </threadedComment>
  <threadedComment ref="I4" dT="2026-03-08T14:57:19.22" personId="{DB437DA0-0E80-4A2A-9155-B8475FCDF35F}" id="{D9344873-6140-40A1-A950-9F862F09D0D2}">
    <text>FUENTE DINAMICA — Ci (Control Institucional)
Formula: VLOOKUP(Cod.PDOT, MAD!A5:P24, MATCH('Pi / Ci',MAD!A4:P4,0), 0)
Default si cod no existe: 1. Encabezado exacto: 'Pi / Ci' en MAD!P4.</text>
  </threadedComment>
  <threadedComment ref="A5" dT="2026-03-08T14:57:19.23" personId="{DB437DA0-0E80-4A2A-9155-B8475FCDF35F}" id="{1E151C8E-BFDD-4857-9A70-85FBE0EAA733}">
    <text>CELDA CRITICA — Primera meta, mayor peso Pi=33%
Formula correcta: =PDOT!B4
HISTORIAL: Contuvo =PDOT!B24 ('TOTAL MUESTRA') causando perdida silenciosa
de PDOT.AS.VL.M1.01 en el ICPI. Corregida en Fase 1.
No editar manualmente. Si se pierde: regenerar como =PDOT!B4.</text>
  </threadedComment>
  <threadedComment ref="G25" dT="2026-03-08T14:57:19.23" personId="{DB437DA0-0E80-4A2A-9155-B8475FCDF35F}" id="{53E5C088-EB5D-4149-AA3B-2478B7143AE5}">
    <text>NUMERADOR ICPI = Suma(Pi x Ri x Ti x Ci), n=20 metas, rango G5:G24.
Valor referencia Fase 2: 0.4427.
Si cambia sin cambio en MAD, verificar que rango sea exactamente G5:G24.</text>
  </threadedComment>
  <threadedComment ref="H25" dT="2026-03-08T14:57:19.23" personId="{DB437DA0-0E80-4A2A-9155-B8475FCDF35F}" id="{771499E5-269C-4CE3-AA3B-B902912954C8}">
    <text>DENOMINADOR ICPI = Suma(Pi x Ri), n=20 metas, rango H5:H24.
Valor referencia: 1.0659. Cambia solo si Pi (PONDER) o Ri (TFR) se actualizan.
Suma Pi = 1.0 (verificar en PONDER).</text>
  </threadedComment>
  <threadedComment ref="G29" dT="2026-03-08T14:57:34.02" personId="{DB437DA0-0E80-4A2A-9155-B8475FCDF35F}" id="{E7242D72-23B0-4511-BB4F-59D6B38F4D55}">
    <text>ICPI FINAL = (G25/H25) x 100
Algoritmo canonico: ICPI = Suma(Pi x Ri x Vi x Ti x Ci) / Suma(Pi x Ri) x 100
Resultado validado Fase 2: 41.53%
FUENTES POR VARIABLE:
  Pi = PONDER!F14:F33 (peso presupuestario)
  Ri = TFR!F5:F24 (factor de riesgo)
  Vi = MAD col 'Vi' (verificacion documental)
  Ti = MAD col 'Ti (H)' (oportunidad temporal)
  Ci = MAD col 'Pi / Ci' (control institucional)
NO modificar esta formula. Es el nucleo del algoritmo SIAP-ICPI.</text>
  </threadedComment>
</ThreadedComments>
</file>

<file path=xl/threadedComments/threadedComment3.xml><?xml version="1.0" encoding="utf-8"?>
<ThreadedComments xmlns="http://schemas.microsoft.com/office/spreadsheetml/2018/threadedcomments" xmlns:x="http://schemas.openxmlformats.org/spreadsheetml/2006/main">
  <threadedComment ref="E5" dT="2026-03-08T14:57:19.28" personId="{DB437DA0-0E80-4A2A-9155-B8475FCDF35F}" id="{DA1CC246-670E-44C7-9A2C-4E67507A7645}">
    <text>FUENTE DINAMICA — Vi por VLOOKUP (blindado Fase 3)
Formula: VLOOKUP(B?, MAD!A5:H24, MATCH('Vi',MAD!A4:H4,0), 0)
Reemplaza referencias posicionales MAD!F5:F24 (riesgo critico eliminado).
Metas fuera de muestra n=20 devuelven vacio (IFERROR) — correcto.</text>
  </threadedComment>
  <threadedComment ref="I5" dT="2026-03-08T14:57:19.29" personId="{DB437DA0-0E80-4A2A-9155-B8475FCDF35F}" id="{760DC41A-09E9-4532-A10D-4DA0737DE8AE}">
    <text>FUENTE DINAMICA — Ti por VLOOKUP (blindado Fase 3)
Formula: VLOOKUP(B?, MAD!A5:H24, MATCH('Ti (H)',MAD!A4:H4,0), 0)
Reemplaza referencias posicionales MAD!H5:H23 (riesgo critico eliminado).
Metas fuera de muestra n=20 devuelven vacio (IFERROR) — correcto.</text>
  </threadedComment>
</ThreadedComments>
</file>

<file path=xl/threadedComments/threadedComment4.xml><?xml version="1.0" encoding="utf-8"?>
<ThreadedComments xmlns="http://schemas.microsoft.com/office/spreadsheetml/2018/threadedcomments" xmlns:x="http://schemas.openxmlformats.org/spreadsheetml/2006/main">
  <threadedComment ref="B4" dT="2026-03-08T14:57:19.28" personId="{DB437DA0-0E80-4A2A-9155-B8475FCDF35F}" id="{26D8493D-462E-4BB1-BDB6-CC7CC3C750BE}">
    <text>CRITERIOS SUMIF — Eje TERRITORIAL (2 sistemas)
Incluye: 'Asentamientos Humanos' + 'Fisico Ambiental'
Criterios deben coincidir EXACTAMENTE con PDOT!C4:C23.
Si PDOT cambia nombre del sistema, SUMIF devuelve 0 sin error visible.</text>
  </threadedComment>
  <threadedComment ref="B6" dT="2026-03-08T14:57:19.28" personId="{DB437DA0-0E80-4A2A-9155-B8475FCDF35F}" id="{F65F974F-EFBF-4479-B009-25D23CBFBAD7}">
    <text>CRITERIO SUMIF — Eje AMBIENTAL
Criterio actual: 'AMBIENTAL' (en mayusculas).
Si PDOT!C usa variante diferente, SUMIF retorna 0 sin aviso.
Verificar coincidencia exacta con columna C de PDOT.</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8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5841AE7-9436-4E05-B381-B00567FA6E04}">
  <we:reference id="wa200009404" version="1.0.0.8" store="es-MX" storeType="OMEX"/>
  <we:alternateReferences>
    <we:reference id="wa200009404" version="1.0.0.8" store="es-MX" storeType="OMEX"/>
  </we:alternateReferences>
  <we:properties>
    <we:property name="Office.AutoShowTaskpaneWithDocument" value="true"/>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1.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8CCE4"/>
  </sheetPr>
  <dimension ref="A1:Z57"/>
  <sheetViews>
    <sheetView showGridLines="0" zoomScale="65" zoomScaleNormal="65" workbookViewId="0">
      <pane ySplit="9" topLeftCell="A25" activePane="bottomLeft" state="frozen"/>
      <selection pane="bottomLeft" activeCell="D48" sqref="D48"/>
    </sheetView>
  </sheetViews>
  <sheetFormatPr baseColWidth="10" defaultRowHeight="14.4" x14ac:dyDescent="0.3"/>
  <cols>
    <col min="1" max="1" width="5.21875" style="41" customWidth="1"/>
    <col min="2" max="2" width="22.109375" bestFit="1" customWidth="1"/>
    <col min="3" max="3" width="33.21875" bestFit="1" customWidth="1"/>
    <col min="4" max="4" width="96.5546875" style="4" bestFit="1" customWidth="1"/>
    <col min="5" max="5" width="45.77734375" style="3" bestFit="1" customWidth="1"/>
    <col min="6" max="6" width="21.109375" bestFit="1" customWidth="1"/>
    <col min="7" max="7" width="36" customWidth="1"/>
    <col min="8" max="8" width="47.6640625" customWidth="1"/>
  </cols>
  <sheetData>
    <row r="1" spans="1:26" ht="15" x14ac:dyDescent="0.3">
      <c r="A1" s="3444" t="s">
        <v>4851</v>
      </c>
      <c r="B1" s="3445"/>
      <c r="C1" s="3445"/>
      <c r="D1" s="3445"/>
      <c r="E1" s="3445"/>
      <c r="F1" s="3445"/>
      <c r="G1" s="3445"/>
      <c r="H1" s="3445"/>
      <c r="I1" s="3445"/>
      <c r="J1" s="3445"/>
      <c r="K1" s="3445"/>
      <c r="L1" s="3445"/>
      <c r="M1" s="3445"/>
      <c r="N1" s="3445"/>
      <c r="O1" s="3445"/>
      <c r="P1" s="3445"/>
      <c r="Q1" s="3445"/>
      <c r="R1" s="3445"/>
      <c r="S1" s="3445"/>
      <c r="T1" s="3445"/>
      <c r="U1" s="3445"/>
      <c r="V1" s="3445"/>
      <c r="W1" s="3445"/>
      <c r="X1" s="3445"/>
      <c r="Y1" s="3445"/>
      <c r="Z1" s="3445"/>
    </row>
    <row r="2" spans="1:26" ht="15" x14ac:dyDescent="0.3">
      <c r="A2" s="100" t="s">
        <v>4852</v>
      </c>
      <c r="B2" s="99"/>
      <c r="C2" s="99"/>
      <c r="D2" s="99"/>
      <c r="E2" s="99"/>
      <c r="F2" s="99"/>
      <c r="G2" s="99"/>
      <c r="H2" s="99"/>
      <c r="I2" s="99"/>
      <c r="J2" s="99"/>
      <c r="K2" s="99"/>
      <c r="L2" s="99"/>
      <c r="M2" s="99"/>
      <c r="N2" s="99"/>
      <c r="O2" s="99"/>
      <c r="P2" s="99"/>
      <c r="Q2" s="99"/>
      <c r="R2" s="99"/>
      <c r="S2" s="99"/>
      <c r="T2" s="99"/>
      <c r="U2" s="99"/>
      <c r="V2" s="99"/>
      <c r="W2" s="99"/>
      <c r="X2" s="99"/>
      <c r="Y2" s="99"/>
      <c r="Z2" s="99"/>
    </row>
    <row r="3" spans="1:26" s="7" customFormat="1" ht="18" x14ac:dyDescent="0.35">
      <c r="A3" s="3442" t="s">
        <v>4849</v>
      </c>
      <c r="B3" s="3443"/>
      <c r="C3" s="3443"/>
      <c r="D3" s="3443"/>
      <c r="E3" s="3443"/>
      <c r="F3" s="3443"/>
      <c r="G3" s="98" t="str">
        <f>HYPERLINK("#'M6-FEDS'!A1","M6")</f>
        <v>M6</v>
      </c>
      <c r="H3" s="98" t="str">
        <f>HYPERLINK("#'M7-PROSP'!A1","M7")</f>
        <v>M7</v>
      </c>
      <c r="I3" s="98" t="str">
        <f>HYPERLINK("#'DATA-POA'!A1","DATA-POA")</f>
        <v>DATA-POA</v>
      </c>
      <c r="J3" s="98" t="str">
        <f>HYPERLINK("#'DATA-CNE'!A1","DATA-CNE")</f>
        <v>DATA-CNE</v>
      </c>
      <c r="K3" s="98" t="str">
        <f>HYPERLINK("#'DATA-ORG'!A1","DATA-ORG")</f>
        <v>DATA-ORG</v>
      </c>
      <c r="L3" s="98" t="str">
        <f>HYPERLINK("#'M-DASHBOARD'!A1","DASH")</f>
        <v>DASH</v>
      </c>
      <c r="M3" s="101"/>
      <c r="N3" s="101"/>
      <c r="O3" s="101"/>
      <c r="P3" s="101"/>
      <c r="Q3" s="101"/>
      <c r="R3" s="101"/>
      <c r="S3" s="101"/>
      <c r="T3" s="101"/>
      <c r="U3" s="101"/>
      <c r="V3" s="101"/>
      <c r="W3" s="101"/>
      <c r="X3" s="101"/>
      <c r="Y3" s="101"/>
      <c r="Z3" s="101"/>
    </row>
    <row r="4" spans="1:26" s="5" customFormat="1" ht="15" thickBot="1" x14ac:dyDescent="0.35">
      <c r="A4" s="89" t="s">
        <v>4359</v>
      </c>
      <c r="B4" s="87" t="s">
        <v>4360</v>
      </c>
      <c r="C4" s="87"/>
      <c r="D4" s="89" t="s">
        <v>4361</v>
      </c>
      <c r="E4" s="87" t="s">
        <v>4362</v>
      </c>
      <c r="F4" s="87"/>
      <c r="G4" s="82"/>
      <c r="H4" s="82"/>
      <c r="I4" s="83"/>
      <c r="J4" s="83"/>
      <c r="K4" s="83"/>
      <c r="L4" s="83"/>
      <c r="M4" s="83"/>
      <c r="N4" s="83"/>
      <c r="O4" s="83"/>
      <c r="P4" s="83"/>
      <c r="Q4" s="83"/>
      <c r="R4" s="83"/>
      <c r="S4" s="83"/>
      <c r="T4" s="83"/>
      <c r="U4" s="83"/>
      <c r="V4" s="83"/>
      <c r="W4" s="83"/>
      <c r="X4" s="83"/>
      <c r="Y4" s="83"/>
      <c r="Z4" s="83"/>
    </row>
    <row r="5" spans="1:26" ht="15" thickTop="1" x14ac:dyDescent="0.3">
      <c r="A5" s="90" t="s">
        <v>4363</v>
      </c>
      <c r="B5" s="102" t="s">
        <v>4364</v>
      </c>
      <c r="C5" s="102"/>
      <c r="D5" s="103" t="s">
        <v>4365</v>
      </c>
      <c r="E5" s="102" t="s">
        <v>4366</v>
      </c>
      <c r="F5" s="102"/>
      <c r="G5" s="9"/>
      <c r="H5" s="9"/>
      <c r="I5" s="77"/>
      <c r="J5" s="77"/>
      <c r="K5" s="77"/>
      <c r="L5" s="77"/>
      <c r="M5" s="77"/>
      <c r="N5" s="77"/>
      <c r="O5" s="77"/>
      <c r="P5" s="77"/>
      <c r="Q5" s="77"/>
      <c r="R5" s="77"/>
      <c r="S5" s="77"/>
      <c r="T5" s="77"/>
      <c r="U5" s="77"/>
      <c r="V5" s="77"/>
      <c r="W5" s="77"/>
      <c r="X5" s="77"/>
      <c r="Y5" s="77"/>
      <c r="Z5" s="78"/>
    </row>
    <row r="6" spans="1:26" x14ac:dyDescent="0.3">
      <c r="A6" s="90" t="s">
        <v>4367</v>
      </c>
      <c r="B6" s="102" t="s">
        <v>166</v>
      </c>
      <c r="C6" s="102"/>
      <c r="D6" s="103" t="s">
        <v>4368</v>
      </c>
      <c r="E6" s="104">
        <v>32990353.02</v>
      </c>
      <c r="F6" s="102"/>
      <c r="G6" s="9"/>
      <c r="H6" s="9"/>
      <c r="I6" s="61"/>
      <c r="J6" s="61"/>
      <c r="K6" s="61"/>
      <c r="L6" s="61"/>
      <c r="M6" s="61"/>
      <c r="N6" s="61"/>
      <c r="O6" s="61"/>
      <c r="P6" s="61"/>
      <c r="Q6" s="61"/>
      <c r="R6" s="61"/>
      <c r="S6" s="61"/>
      <c r="T6" s="61"/>
      <c r="U6" s="61"/>
      <c r="V6" s="61"/>
      <c r="W6" s="61"/>
      <c r="X6" s="61"/>
      <c r="Y6" s="61"/>
      <c r="Z6" s="62"/>
    </row>
    <row r="7" spans="1:26" x14ac:dyDescent="0.3">
      <c r="A7" s="90" t="s">
        <v>4316</v>
      </c>
      <c r="B7" s="102" t="s">
        <v>4369</v>
      </c>
      <c r="C7" s="102"/>
      <c r="D7" s="103" t="s">
        <v>4370</v>
      </c>
      <c r="E7" s="102" t="s">
        <v>4974</v>
      </c>
      <c r="F7" s="102" t="s">
        <v>4974</v>
      </c>
      <c r="G7" s="9"/>
      <c r="H7" s="9"/>
      <c r="I7" s="105"/>
      <c r="J7" s="105"/>
      <c r="K7" s="105"/>
      <c r="L7" s="105"/>
      <c r="M7" s="105"/>
      <c r="N7" s="105"/>
      <c r="O7" s="105"/>
      <c r="P7" s="105"/>
      <c r="Q7" s="105"/>
      <c r="R7" s="105"/>
      <c r="S7" s="105"/>
      <c r="T7" s="105"/>
      <c r="U7" s="105"/>
      <c r="V7" s="105"/>
      <c r="W7" s="105"/>
      <c r="X7" s="105"/>
      <c r="Y7" s="105"/>
      <c r="Z7" s="106"/>
    </row>
    <row r="8" spans="1:26" x14ac:dyDescent="0.3">
      <c r="A8" s="88"/>
      <c r="B8" s="102"/>
      <c r="C8" s="102"/>
      <c r="D8" s="102"/>
      <c r="E8" s="102"/>
      <c r="F8" s="102"/>
      <c r="G8" s="9"/>
      <c r="H8" s="9"/>
      <c r="I8" s="107"/>
      <c r="J8" s="107"/>
      <c r="K8" s="107"/>
      <c r="L8" s="107"/>
      <c r="M8" s="107"/>
      <c r="N8" s="107"/>
      <c r="O8" s="107"/>
      <c r="P8" s="107"/>
      <c r="Q8" s="107"/>
      <c r="R8" s="107"/>
      <c r="S8" s="107"/>
      <c r="T8" s="107"/>
      <c r="U8" s="107"/>
      <c r="V8" s="107"/>
      <c r="W8" s="107"/>
      <c r="X8" s="107"/>
      <c r="Y8" s="107"/>
      <c r="Z8" s="108"/>
    </row>
    <row r="9" spans="1:26" x14ac:dyDescent="0.3">
      <c r="A9" s="95" t="s">
        <v>690</v>
      </c>
      <c r="B9" s="123" t="s">
        <v>4371</v>
      </c>
      <c r="C9" s="123" t="s">
        <v>3601</v>
      </c>
      <c r="D9" s="123" t="s">
        <v>122</v>
      </c>
      <c r="E9" s="123" t="s">
        <v>4372</v>
      </c>
      <c r="F9" s="109" t="s">
        <v>4373</v>
      </c>
      <c r="G9" s="9"/>
      <c r="H9" s="9"/>
      <c r="I9" s="105"/>
      <c r="J9" s="105"/>
      <c r="K9" s="105"/>
      <c r="L9" s="105"/>
      <c r="M9" s="105"/>
      <c r="N9" s="105"/>
      <c r="O9" s="105"/>
      <c r="P9" s="105"/>
      <c r="Q9" s="105"/>
      <c r="R9" s="105"/>
      <c r="S9" s="105"/>
      <c r="T9" s="105"/>
      <c r="U9" s="105"/>
      <c r="V9" s="105"/>
      <c r="W9" s="105"/>
      <c r="X9" s="105"/>
      <c r="Y9" s="105"/>
      <c r="Z9" s="106"/>
    </row>
    <row r="10" spans="1:26" x14ac:dyDescent="0.3">
      <c r="A10" s="91">
        <v>1</v>
      </c>
      <c r="B10" s="110" t="s">
        <v>4374</v>
      </c>
      <c r="C10" s="111" t="str">
        <f>HYPERLINK("#'M-DASHBOARD'!A1","M-DASHBOARD")</f>
        <v>M-DASHBOARD</v>
      </c>
      <c r="D10" s="110" t="s">
        <v>4375</v>
      </c>
      <c r="E10" s="110" t="s">
        <v>4376</v>
      </c>
      <c r="F10" s="124" t="str">
        <f>HYPERLINK("#'M-DASHBOARD'!A1","Ir →")</f>
        <v>Ir →</v>
      </c>
      <c r="G10" s="9"/>
      <c r="H10" s="9"/>
      <c r="I10" s="107"/>
      <c r="J10" s="107"/>
      <c r="K10" s="107"/>
      <c r="L10" s="107"/>
      <c r="M10" s="107"/>
      <c r="N10" s="107"/>
      <c r="O10" s="107"/>
      <c r="P10" s="107"/>
      <c r="Q10" s="107"/>
      <c r="R10" s="107"/>
      <c r="S10" s="107"/>
      <c r="T10" s="107"/>
      <c r="U10" s="107"/>
      <c r="V10" s="107"/>
      <c r="W10" s="107"/>
      <c r="X10" s="107"/>
      <c r="Y10" s="107"/>
      <c r="Z10" s="108"/>
    </row>
    <row r="11" spans="1:26" x14ac:dyDescent="0.3">
      <c r="A11" s="92">
        <v>2</v>
      </c>
      <c r="B11" s="112" t="s">
        <v>4377</v>
      </c>
      <c r="C11" s="111" t="str">
        <f>HYPERLINK("#'M-TECH-GAD'!A1","M-TECH-GAD")</f>
        <v>M-TECH-GAD</v>
      </c>
      <c r="D11" s="112" t="s">
        <v>4378</v>
      </c>
      <c r="E11" s="112" t="s">
        <v>4379</v>
      </c>
      <c r="F11" s="126" t="str">
        <f>HYPERLINK("#'M-TECH-GAD'!A1","Ir →")</f>
        <v>Ir →</v>
      </c>
      <c r="G11" s="9"/>
      <c r="H11" s="9"/>
      <c r="I11" s="105"/>
      <c r="J11" s="105"/>
      <c r="K11" s="105"/>
      <c r="L11" s="105"/>
      <c r="M11" s="105"/>
      <c r="N11" s="105"/>
      <c r="O11" s="105"/>
      <c r="P11" s="105"/>
      <c r="Q11" s="105"/>
      <c r="R11" s="105"/>
      <c r="S11" s="105"/>
      <c r="T11" s="105"/>
      <c r="U11" s="105"/>
      <c r="V11" s="105"/>
      <c r="W11" s="105"/>
      <c r="X11" s="105"/>
      <c r="Y11" s="105"/>
      <c r="Z11" s="106"/>
    </row>
    <row r="12" spans="1:26" x14ac:dyDescent="0.3">
      <c r="A12" s="91">
        <v>3</v>
      </c>
      <c r="B12" s="110" t="s">
        <v>4377</v>
      </c>
      <c r="C12" s="111" t="str">
        <f>HYPERLINK("#'M-TECH-PARAMS'!A1","M-TECH-PARAMS")</f>
        <v>M-TECH-PARAMS</v>
      </c>
      <c r="D12" s="110" t="s">
        <v>4380</v>
      </c>
      <c r="E12" s="110" t="s">
        <v>4381</v>
      </c>
      <c r="F12" s="124" t="str">
        <f>HYPERLINK("#'M-TECH-PARAMS'!A1","Ir →")</f>
        <v>Ir →</v>
      </c>
      <c r="G12" s="9"/>
      <c r="H12" s="9"/>
      <c r="I12" s="107"/>
      <c r="J12" s="107"/>
      <c r="K12" s="107"/>
      <c r="L12" s="107"/>
      <c r="M12" s="107"/>
      <c r="N12" s="107"/>
      <c r="O12" s="107"/>
      <c r="P12" s="107"/>
      <c r="Q12" s="107"/>
      <c r="R12" s="107"/>
      <c r="S12" s="107"/>
      <c r="T12" s="107"/>
      <c r="U12" s="107"/>
      <c r="V12" s="107"/>
      <c r="W12" s="107"/>
      <c r="X12" s="107"/>
      <c r="Y12" s="107"/>
      <c r="Z12" s="108"/>
    </row>
    <row r="13" spans="1:26" x14ac:dyDescent="0.3">
      <c r="A13" s="92">
        <v>4</v>
      </c>
      <c r="B13" s="112" t="s">
        <v>4382</v>
      </c>
      <c r="C13" s="111" t="str">
        <f>HYPERLINK("#'M1-ITME'!A1","M1-ITME")</f>
        <v>M1-ITME</v>
      </c>
      <c r="D13" s="112" t="s">
        <v>4383</v>
      </c>
      <c r="E13" s="112" t="s">
        <v>4384</v>
      </c>
      <c r="F13" s="126" t="str">
        <f>HYPERLINK("#'M1-ITME'!A1","Ir →")</f>
        <v>Ir →</v>
      </c>
      <c r="G13" s="9"/>
      <c r="H13" s="9"/>
      <c r="I13" s="105"/>
      <c r="J13" s="105"/>
      <c r="K13" s="105"/>
      <c r="L13" s="105"/>
      <c r="M13" s="105"/>
      <c r="N13" s="105"/>
      <c r="O13" s="105"/>
      <c r="P13" s="105"/>
      <c r="Q13" s="105"/>
      <c r="R13" s="105"/>
      <c r="S13" s="105"/>
      <c r="T13" s="105"/>
      <c r="U13" s="105"/>
      <c r="V13" s="105"/>
      <c r="W13" s="105"/>
      <c r="X13" s="105"/>
      <c r="Y13" s="105"/>
      <c r="Z13" s="106"/>
    </row>
    <row r="14" spans="1:26" x14ac:dyDescent="0.3">
      <c r="A14" s="91">
        <v>5</v>
      </c>
      <c r="B14" s="110" t="s">
        <v>4377</v>
      </c>
      <c r="C14" s="111" t="str">
        <f>HYPERLINK("#'M2-PDOT'!A1","M2-PDOT")</f>
        <v>M2-PDOT</v>
      </c>
      <c r="D14" s="110" t="s">
        <v>4607</v>
      </c>
      <c r="E14" s="110" t="s">
        <v>4385</v>
      </c>
      <c r="F14" s="124" t="str">
        <f>HYPERLINK("#'M2-PDOT'!A1","Ir →")</f>
        <v>Ir →</v>
      </c>
      <c r="G14" s="9"/>
      <c r="H14" s="9"/>
      <c r="I14" s="107"/>
      <c r="J14" s="107"/>
      <c r="K14" s="107"/>
      <c r="L14" s="107"/>
      <c r="M14" s="107"/>
      <c r="N14" s="107"/>
      <c r="O14" s="107"/>
      <c r="P14" s="107"/>
      <c r="Q14" s="107"/>
      <c r="R14" s="107"/>
      <c r="S14" s="107"/>
      <c r="T14" s="107"/>
      <c r="U14" s="107"/>
      <c r="V14" s="107"/>
      <c r="W14" s="107"/>
      <c r="X14" s="107"/>
      <c r="Y14" s="107"/>
      <c r="Z14" s="108"/>
    </row>
    <row r="15" spans="1:26" x14ac:dyDescent="0.3">
      <c r="A15" s="92">
        <v>6</v>
      </c>
      <c r="B15" s="112" t="s">
        <v>4377</v>
      </c>
      <c r="C15" s="111" t="str">
        <f>HYPERLINK("#'M2-PLAN-Pi'!A1","M2-PLAN-Pi")</f>
        <v>M2-PLAN-Pi</v>
      </c>
      <c r="D15" s="112" t="s">
        <v>4386</v>
      </c>
      <c r="E15" s="112" t="s">
        <v>4387</v>
      </c>
      <c r="F15" s="126" t="str">
        <f>HYPERLINK("#'M2-PLAN-Pi'!A1","Ir →")</f>
        <v>Ir →</v>
      </c>
      <c r="G15" s="9"/>
      <c r="H15" s="9"/>
      <c r="I15" s="105"/>
      <c r="J15" s="105"/>
      <c r="K15" s="105"/>
      <c r="L15" s="105"/>
      <c r="M15" s="105"/>
      <c r="N15" s="105"/>
      <c r="O15" s="105"/>
      <c r="P15" s="105"/>
      <c r="Q15" s="105"/>
      <c r="R15" s="105"/>
      <c r="S15" s="105"/>
      <c r="T15" s="105"/>
      <c r="U15" s="105"/>
      <c r="V15" s="105"/>
      <c r="W15" s="105"/>
      <c r="X15" s="105"/>
      <c r="Y15" s="105"/>
      <c r="Z15" s="106"/>
    </row>
    <row r="16" spans="1:26" x14ac:dyDescent="0.3">
      <c r="A16" s="91">
        <v>7</v>
      </c>
      <c r="B16" s="110" t="s">
        <v>4382</v>
      </c>
      <c r="C16" s="111" t="str">
        <f>HYPERLINK("#'DATA-TFR'!A1","DATA-TFR")</f>
        <v>DATA-TFR</v>
      </c>
      <c r="D16" s="110" t="s">
        <v>4388</v>
      </c>
      <c r="E16" s="110" t="s">
        <v>4389</v>
      </c>
      <c r="F16" s="124" t="str">
        <f>HYPERLINK("#'DATA-TFR'!A1","Ir →")</f>
        <v>Ir →</v>
      </c>
      <c r="G16" s="9"/>
      <c r="H16" s="9"/>
      <c r="I16" s="107"/>
      <c r="J16" s="107"/>
      <c r="K16" s="107"/>
      <c r="L16" s="107"/>
      <c r="M16" s="107"/>
      <c r="N16" s="107"/>
      <c r="O16" s="107"/>
      <c r="P16" s="107"/>
      <c r="Q16" s="107"/>
      <c r="R16" s="107"/>
      <c r="S16" s="107"/>
      <c r="T16" s="107"/>
      <c r="U16" s="107"/>
      <c r="V16" s="107"/>
      <c r="W16" s="107"/>
      <c r="X16" s="107"/>
      <c r="Y16" s="107"/>
      <c r="Z16" s="108"/>
    </row>
    <row r="17" spans="1:26" x14ac:dyDescent="0.3">
      <c r="A17" s="92">
        <v>8</v>
      </c>
      <c r="B17" s="112" t="s">
        <v>4382</v>
      </c>
      <c r="C17" s="111" t="str">
        <f>HYPERLINK("#'M3-MAO'!A1","M3-MAO")</f>
        <v>M3-MAO</v>
      </c>
      <c r="D17" s="112" t="s">
        <v>4390</v>
      </c>
      <c r="E17" s="112" t="s">
        <v>4391</v>
      </c>
      <c r="F17" s="126" t="str">
        <f>HYPERLINK("#'M3-MAO'!A1","Ir →")</f>
        <v>Ir →</v>
      </c>
      <c r="G17" s="9"/>
      <c r="H17" s="9"/>
      <c r="I17" s="105"/>
      <c r="J17" s="105"/>
      <c r="K17" s="105"/>
      <c r="L17" s="105"/>
      <c r="M17" s="105"/>
      <c r="N17" s="105"/>
      <c r="O17" s="105"/>
      <c r="P17" s="105"/>
      <c r="Q17" s="105"/>
      <c r="R17" s="105"/>
      <c r="S17" s="105"/>
      <c r="T17" s="105"/>
      <c r="U17" s="105"/>
      <c r="V17" s="105"/>
      <c r="W17" s="105"/>
      <c r="X17" s="105"/>
      <c r="Y17" s="105"/>
      <c r="Z17" s="106"/>
    </row>
    <row r="18" spans="1:26" x14ac:dyDescent="0.3">
      <c r="A18" s="91">
        <v>9</v>
      </c>
      <c r="B18" s="110" t="s">
        <v>4392</v>
      </c>
      <c r="C18" s="111" t="str">
        <f>HYPERLINK("#'DATA-SSC'!A1","DATA-SSC")</f>
        <v>DATA-SSC</v>
      </c>
      <c r="D18" s="110" t="s">
        <v>4393</v>
      </c>
      <c r="E18" s="110" t="s">
        <v>4394</v>
      </c>
      <c r="F18" s="124" t="str">
        <f>HYPERLINK("#'DATA-SSC'!A1","Ir →")</f>
        <v>Ir →</v>
      </c>
      <c r="G18" s="9"/>
      <c r="H18" s="9"/>
      <c r="I18" s="107"/>
      <c r="J18" s="107"/>
      <c r="K18" s="107"/>
      <c r="L18" s="107"/>
      <c r="M18" s="107"/>
      <c r="N18" s="107"/>
      <c r="O18" s="107"/>
      <c r="P18" s="107"/>
      <c r="Q18" s="107"/>
      <c r="R18" s="107"/>
      <c r="S18" s="107"/>
      <c r="T18" s="107"/>
      <c r="U18" s="107"/>
      <c r="V18" s="107"/>
      <c r="W18" s="107"/>
      <c r="X18" s="107"/>
      <c r="Y18" s="107"/>
      <c r="Z18" s="108"/>
    </row>
    <row r="19" spans="1:26" x14ac:dyDescent="0.3">
      <c r="A19" s="92">
        <v>10</v>
      </c>
      <c r="B19" s="112" t="s">
        <v>4382</v>
      </c>
      <c r="C19" s="111" t="str">
        <f>HYPERLINK("#'M4-AUDIT'!A1","M4-AUDIT")</f>
        <v>M4-AUDIT</v>
      </c>
      <c r="D19" s="112" t="s">
        <v>4395</v>
      </c>
      <c r="E19" s="112" t="s">
        <v>4396</v>
      </c>
      <c r="F19" s="126" t="str">
        <f>HYPERLINK("#'M4-AUDIT'!A1","Ir →")</f>
        <v>Ir →</v>
      </c>
      <c r="G19" s="9"/>
      <c r="H19" s="9"/>
      <c r="I19" s="105"/>
      <c r="J19" s="105"/>
      <c r="K19" s="105"/>
      <c r="L19" s="105"/>
      <c r="M19" s="105"/>
      <c r="N19" s="105"/>
      <c r="O19" s="105"/>
      <c r="P19" s="105"/>
      <c r="Q19" s="105"/>
      <c r="R19" s="105"/>
      <c r="S19" s="105"/>
      <c r="T19" s="105"/>
      <c r="U19" s="105"/>
      <c r="V19" s="105"/>
      <c r="W19" s="105"/>
      <c r="X19" s="105"/>
      <c r="Y19" s="105"/>
      <c r="Z19" s="106"/>
    </row>
    <row r="20" spans="1:26" x14ac:dyDescent="0.3">
      <c r="A20" s="91">
        <v>11</v>
      </c>
      <c r="B20" s="110" t="s">
        <v>4382</v>
      </c>
      <c r="C20" s="111" t="str">
        <f>HYPERLINK("#'DATA-MEC'!A1","DATA-MEC")</f>
        <v>DATA-MEC</v>
      </c>
      <c r="D20" s="110" t="s">
        <v>4397</v>
      </c>
      <c r="E20" s="110" t="s">
        <v>4398</v>
      </c>
      <c r="F20" s="124" t="str">
        <f>HYPERLINK("#'DATA-MEC'!A1","Ir →")</f>
        <v>Ir →</v>
      </c>
      <c r="G20" s="9"/>
      <c r="H20" s="9"/>
      <c r="I20" s="107"/>
      <c r="J20" s="107"/>
      <c r="K20" s="107"/>
      <c r="L20" s="107"/>
      <c r="M20" s="107"/>
      <c r="N20" s="107"/>
      <c r="O20" s="107"/>
      <c r="P20" s="107"/>
      <c r="Q20" s="107"/>
      <c r="R20" s="107"/>
      <c r="S20" s="107"/>
      <c r="T20" s="107"/>
      <c r="U20" s="107"/>
      <c r="V20" s="107"/>
      <c r="W20" s="107"/>
      <c r="X20" s="107"/>
      <c r="Y20" s="107"/>
      <c r="Z20" s="108"/>
    </row>
    <row r="21" spans="1:26" x14ac:dyDescent="0.3">
      <c r="A21" s="92">
        <v>12</v>
      </c>
      <c r="B21" s="112" t="s">
        <v>4399</v>
      </c>
      <c r="C21" s="111" t="str">
        <f>HYPERLINK("#'DATA-CED'!A1","DATA-CED")</f>
        <v>DATA-CED</v>
      </c>
      <c r="D21" s="112" t="s">
        <v>110</v>
      </c>
      <c r="E21" s="112" t="s">
        <v>4400</v>
      </c>
      <c r="F21" s="126" t="str">
        <f>HYPERLINK("#'DATA-CED'!A1","Ir →")</f>
        <v>Ir →</v>
      </c>
      <c r="G21" s="9"/>
      <c r="H21" s="9"/>
      <c r="I21" s="105"/>
      <c r="J21" s="105"/>
      <c r="K21" s="105"/>
      <c r="L21" s="105"/>
      <c r="M21" s="105"/>
      <c r="N21" s="105"/>
      <c r="O21" s="105"/>
      <c r="P21" s="105"/>
      <c r="Q21" s="105"/>
      <c r="R21" s="105"/>
      <c r="S21" s="105"/>
      <c r="T21" s="105"/>
      <c r="U21" s="105"/>
      <c r="V21" s="105"/>
      <c r="W21" s="105"/>
      <c r="X21" s="105"/>
      <c r="Y21" s="105"/>
      <c r="Z21" s="106"/>
    </row>
    <row r="22" spans="1:26" x14ac:dyDescent="0.3">
      <c r="A22" s="91">
        <v>13</v>
      </c>
      <c r="B22" s="110" t="s">
        <v>4399</v>
      </c>
      <c r="C22" s="111" t="str">
        <f>HYPERLINK("#'DATA-POA'!A1","DATA-POA")</f>
        <v>DATA-POA</v>
      </c>
      <c r="D22" s="110" t="s">
        <v>4401</v>
      </c>
      <c r="E22" s="110" t="s">
        <v>4402</v>
      </c>
      <c r="F22" s="124" t="str">
        <f>HYPERLINK("#'DATA-POA'!A1","Ir →")</f>
        <v>Ir →</v>
      </c>
      <c r="G22" s="9"/>
      <c r="H22" s="9"/>
      <c r="I22" s="107"/>
      <c r="J22" s="107"/>
      <c r="K22" s="107"/>
      <c r="L22" s="107"/>
      <c r="M22" s="107"/>
      <c r="N22" s="107"/>
      <c r="O22" s="107"/>
      <c r="P22" s="107"/>
      <c r="Q22" s="107"/>
      <c r="R22" s="107"/>
      <c r="S22" s="107"/>
      <c r="T22" s="107"/>
      <c r="U22" s="107"/>
      <c r="V22" s="107"/>
      <c r="W22" s="107"/>
      <c r="X22" s="107"/>
      <c r="Y22" s="107"/>
      <c r="Z22" s="108"/>
    </row>
    <row r="23" spans="1:26" x14ac:dyDescent="0.3">
      <c r="A23" s="92">
        <v>14</v>
      </c>
      <c r="B23" s="112" t="s">
        <v>4399</v>
      </c>
      <c r="C23" s="111" t="str">
        <f>HYPERLINK("#'DATA-PAC'!A1","DATA-PAC")</f>
        <v>DATA-PAC</v>
      </c>
      <c r="D23" s="112" t="s">
        <v>4403</v>
      </c>
      <c r="E23" s="112" t="s">
        <v>4404</v>
      </c>
      <c r="F23" s="126" t="str">
        <f>HYPERLINK("#'DATA-PAC'!A1","Ir →")</f>
        <v>Ir →</v>
      </c>
      <c r="G23" s="9"/>
      <c r="H23" s="9"/>
      <c r="I23" s="105"/>
      <c r="J23" s="105"/>
      <c r="K23" s="105"/>
      <c r="L23" s="105"/>
      <c r="M23" s="105"/>
      <c r="N23" s="105"/>
      <c r="O23" s="105"/>
      <c r="P23" s="105"/>
      <c r="Q23" s="105"/>
      <c r="R23" s="105"/>
      <c r="S23" s="105"/>
      <c r="T23" s="105"/>
      <c r="U23" s="105"/>
      <c r="V23" s="105"/>
      <c r="W23" s="105"/>
      <c r="X23" s="105"/>
      <c r="Y23" s="105"/>
      <c r="Z23" s="106"/>
    </row>
    <row r="24" spans="1:26" x14ac:dyDescent="0.3">
      <c r="A24" s="91">
        <v>15</v>
      </c>
      <c r="B24" s="110" t="s">
        <v>4392</v>
      </c>
      <c r="C24" s="111" t="str">
        <f>HYPERLINK("#'M5-ICPI'!A1","M5-ICPI")</f>
        <v>M5-ICPI</v>
      </c>
      <c r="D24" s="110" t="s">
        <v>4405</v>
      </c>
      <c r="E24" s="110" t="s">
        <v>4406</v>
      </c>
      <c r="F24" s="124" t="str">
        <f>HYPERLINK("#'M5-ICPI'!A1","Ir →")</f>
        <v>Ir →</v>
      </c>
      <c r="G24" s="9"/>
      <c r="H24" s="9"/>
      <c r="I24" s="107"/>
      <c r="J24" s="107"/>
      <c r="K24" s="107"/>
      <c r="L24" s="107"/>
      <c r="M24" s="107"/>
      <c r="N24" s="107"/>
      <c r="O24" s="107"/>
      <c r="P24" s="107"/>
      <c r="Q24" s="107"/>
      <c r="R24" s="107"/>
      <c r="S24" s="107"/>
      <c r="T24" s="107"/>
      <c r="U24" s="107"/>
      <c r="V24" s="107"/>
      <c r="W24" s="107"/>
      <c r="X24" s="107"/>
      <c r="Y24" s="107"/>
      <c r="Z24" s="108"/>
    </row>
    <row r="25" spans="1:26" x14ac:dyDescent="0.3">
      <c r="A25" s="92">
        <v>16</v>
      </c>
      <c r="B25" s="112" t="s">
        <v>4392</v>
      </c>
      <c r="C25" s="111" t="str">
        <f>HYPERLINK("#'DATA-RESULTADOS'!A1","DATA-RESULTADOS")</f>
        <v>DATA-RESULTADOS</v>
      </c>
      <c r="D25" s="112" t="s">
        <v>4608</v>
      </c>
      <c r="E25" s="112" t="s">
        <v>4609</v>
      </c>
      <c r="F25" s="126" t="str">
        <f>HYPERLINK("#'DATA-RESULTADOS'!A1","Ir →")</f>
        <v>Ir →</v>
      </c>
      <c r="G25" s="9"/>
      <c r="H25" s="9"/>
      <c r="I25" s="105"/>
      <c r="J25" s="105"/>
      <c r="K25" s="105"/>
      <c r="L25" s="105"/>
      <c r="M25" s="105"/>
      <c r="N25" s="105"/>
      <c r="O25" s="105"/>
      <c r="P25" s="105"/>
      <c r="Q25" s="105"/>
      <c r="R25" s="105"/>
      <c r="S25" s="105"/>
      <c r="T25" s="105"/>
      <c r="U25" s="105"/>
      <c r="V25" s="105"/>
      <c r="W25" s="105"/>
      <c r="X25" s="105"/>
      <c r="Y25" s="105"/>
      <c r="Z25" s="106"/>
    </row>
    <row r="26" spans="1:26" x14ac:dyDescent="0.3">
      <c r="A26" s="91">
        <v>17</v>
      </c>
      <c r="B26" s="110" t="s">
        <v>4392</v>
      </c>
      <c r="C26" s="111" t="str">
        <f>HYPERLINK("#'SUPPORT-INTERP'!A1","SUPPORT-INTERP")</f>
        <v>SUPPORT-INTERP</v>
      </c>
      <c r="D26" s="110" t="s">
        <v>4407</v>
      </c>
      <c r="E26" s="110" t="s">
        <v>4408</v>
      </c>
      <c r="F26" s="124" t="str">
        <f>HYPERLINK("#'SUPPORT-INTERP'!A1","Ir →")</f>
        <v>Ir →</v>
      </c>
      <c r="G26" s="9"/>
      <c r="H26" s="9"/>
      <c r="I26" s="107"/>
      <c r="J26" s="107"/>
      <c r="K26" s="107"/>
      <c r="L26" s="107"/>
      <c r="M26" s="107"/>
      <c r="N26" s="107"/>
      <c r="O26" s="107"/>
      <c r="P26" s="107"/>
      <c r="Q26" s="107"/>
      <c r="R26" s="107"/>
      <c r="S26" s="107"/>
      <c r="T26" s="107"/>
      <c r="U26" s="107"/>
      <c r="V26" s="107"/>
      <c r="W26" s="107"/>
      <c r="X26" s="107"/>
      <c r="Y26" s="107"/>
      <c r="Z26" s="108"/>
    </row>
    <row r="27" spans="1:26" x14ac:dyDescent="0.3">
      <c r="A27" s="92">
        <v>18</v>
      </c>
      <c r="B27" s="112" t="s">
        <v>4392</v>
      </c>
      <c r="C27" s="111" t="str">
        <f>HYPERLINK("#'VALID-CST'!A1","VALID-CST")</f>
        <v>VALID-CST</v>
      </c>
      <c r="D27" s="112" t="s">
        <v>4409</v>
      </c>
      <c r="E27" s="112" t="s">
        <v>4410</v>
      </c>
      <c r="F27" s="126" t="str">
        <f>HYPERLINK("#'VALID-CST'!A1","Ir →")</f>
        <v>Ir →</v>
      </c>
      <c r="G27" s="9"/>
      <c r="H27" s="9"/>
      <c r="I27" s="105"/>
      <c r="J27" s="105"/>
      <c r="K27" s="105"/>
      <c r="L27" s="105"/>
      <c r="M27" s="105"/>
      <c r="N27" s="105"/>
      <c r="O27" s="105"/>
      <c r="P27" s="105"/>
      <c r="Q27" s="105"/>
      <c r="R27" s="105"/>
      <c r="S27" s="105"/>
      <c r="T27" s="105"/>
      <c r="U27" s="105"/>
      <c r="V27" s="105"/>
      <c r="W27" s="105"/>
      <c r="X27" s="105"/>
      <c r="Y27" s="105"/>
      <c r="Z27" s="106"/>
    </row>
    <row r="28" spans="1:26" x14ac:dyDescent="0.3">
      <c r="A28" s="91">
        <v>19</v>
      </c>
      <c r="B28" s="110" t="s">
        <v>4392</v>
      </c>
      <c r="C28" s="111" t="str">
        <f>HYPERLINK("#'M7-PROSP'!A1","M7-PROSP")</f>
        <v>M7-PROSP</v>
      </c>
      <c r="D28" s="110" t="s">
        <v>4411</v>
      </c>
      <c r="E28" s="110" t="s">
        <v>4412</v>
      </c>
      <c r="F28" s="124" t="str">
        <f>HYPERLINK("#'M7-PROSP'!A1","Ir →")</f>
        <v>Ir →</v>
      </c>
      <c r="G28" s="9"/>
      <c r="H28" s="9"/>
      <c r="I28" s="107"/>
      <c r="J28" s="107"/>
      <c r="K28" s="107"/>
      <c r="L28" s="107"/>
      <c r="M28" s="107"/>
      <c r="N28" s="107"/>
      <c r="O28" s="107"/>
      <c r="P28" s="107"/>
      <c r="Q28" s="107"/>
      <c r="R28" s="107"/>
      <c r="S28" s="107"/>
      <c r="T28" s="107"/>
      <c r="U28" s="107"/>
      <c r="V28" s="107"/>
      <c r="W28" s="107"/>
      <c r="X28" s="107"/>
      <c r="Y28" s="107"/>
      <c r="Z28" s="108"/>
    </row>
    <row r="29" spans="1:26" x14ac:dyDescent="0.3">
      <c r="A29" s="92">
        <v>20</v>
      </c>
      <c r="B29" s="112" t="s">
        <v>4392</v>
      </c>
      <c r="C29" s="111" t="str">
        <f>HYPERLINK("#'VALID-MVCI'!A1","VALID-MVCI")</f>
        <v>VALID-MVCI</v>
      </c>
      <c r="D29" s="112" t="s">
        <v>4413</v>
      </c>
      <c r="E29" s="112" t="s">
        <v>4414</v>
      </c>
      <c r="F29" s="126" t="str">
        <f>HYPERLINK("#'VALID-MVCI'!A1","Ir →")</f>
        <v>Ir →</v>
      </c>
      <c r="G29" s="9"/>
      <c r="H29" s="9"/>
      <c r="I29" s="105"/>
      <c r="J29" s="105"/>
      <c r="K29" s="105"/>
      <c r="L29" s="105"/>
      <c r="M29" s="105"/>
      <c r="N29" s="105"/>
      <c r="O29" s="105"/>
      <c r="P29" s="105"/>
      <c r="Q29" s="105"/>
      <c r="R29" s="105"/>
      <c r="S29" s="105"/>
      <c r="T29" s="105"/>
      <c r="U29" s="105"/>
      <c r="V29" s="105"/>
      <c r="W29" s="105"/>
      <c r="X29" s="105"/>
      <c r="Y29" s="105"/>
      <c r="Z29" s="106"/>
    </row>
    <row r="30" spans="1:26" x14ac:dyDescent="0.3">
      <c r="A30" s="91">
        <v>21</v>
      </c>
      <c r="B30" s="110" t="s">
        <v>4392</v>
      </c>
      <c r="C30" s="111" t="str">
        <f>HYPERLINK("#'DATA-EJES'!A1","DATA-EJES")</f>
        <v>DATA-EJES</v>
      </c>
      <c r="D30" s="110" t="s">
        <v>4415</v>
      </c>
      <c r="E30" s="110" t="s">
        <v>4416</v>
      </c>
      <c r="F30" s="124" t="str">
        <f>HYPERLINK("#'DATA-EJES'!A1","Ir →")</f>
        <v>Ir →</v>
      </c>
      <c r="G30" s="9"/>
      <c r="H30" s="9"/>
      <c r="I30" s="107"/>
      <c r="J30" s="107"/>
      <c r="K30" s="107"/>
      <c r="L30" s="107"/>
      <c r="M30" s="107"/>
      <c r="N30" s="107"/>
      <c r="O30" s="107"/>
      <c r="P30" s="107"/>
      <c r="Q30" s="107"/>
      <c r="R30" s="107"/>
      <c r="S30" s="107"/>
      <c r="T30" s="107"/>
      <c r="U30" s="107"/>
      <c r="V30" s="107"/>
      <c r="W30" s="107"/>
      <c r="X30" s="107"/>
      <c r="Y30" s="107"/>
      <c r="Z30" s="108"/>
    </row>
    <row r="31" spans="1:26" x14ac:dyDescent="0.3">
      <c r="A31" s="92">
        <v>22</v>
      </c>
      <c r="B31" s="112" t="s">
        <v>4392</v>
      </c>
      <c r="C31" s="111" t="str">
        <f>HYPERLINK("#'VALID-SENS'!A1","VALID-SENS")</f>
        <v>VALID-SENS</v>
      </c>
      <c r="D31" s="112" t="s">
        <v>4417</v>
      </c>
      <c r="E31" s="112" t="s">
        <v>4418</v>
      </c>
      <c r="F31" s="126" t="str">
        <f>HYPERLINK("#'VALID-SENS'!A1","Ir →")</f>
        <v>Ir →</v>
      </c>
      <c r="G31" s="9"/>
      <c r="H31" s="9"/>
      <c r="I31" s="105"/>
      <c r="J31" s="105"/>
      <c r="K31" s="105"/>
      <c r="L31" s="105"/>
      <c r="M31" s="105"/>
      <c r="N31" s="105"/>
      <c r="O31" s="105"/>
      <c r="P31" s="105"/>
      <c r="Q31" s="105"/>
      <c r="R31" s="105"/>
      <c r="S31" s="105"/>
      <c r="T31" s="105"/>
      <c r="U31" s="105"/>
      <c r="V31" s="105"/>
      <c r="W31" s="105"/>
      <c r="X31" s="105"/>
      <c r="Y31" s="105"/>
      <c r="Z31" s="106"/>
    </row>
    <row r="32" spans="1:26" x14ac:dyDescent="0.3">
      <c r="A32" s="91">
        <v>23</v>
      </c>
      <c r="B32" s="110" t="s">
        <v>4374</v>
      </c>
      <c r="C32" s="111" t="str">
        <f>HYPERLINK("#'DATA-BRECHA'!A1","DATA-BRECHA")</f>
        <v>DATA-BRECHA</v>
      </c>
      <c r="D32" s="110" t="s">
        <v>4419</v>
      </c>
      <c r="E32" s="110" t="s">
        <v>4420</v>
      </c>
      <c r="F32" s="124" t="str">
        <f>HYPERLINK("#'DATA-BRECHA'!A1","Ir →")</f>
        <v>Ir →</v>
      </c>
      <c r="G32" s="9"/>
      <c r="H32" s="9"/>
      <c r="I32" s="107"/>
      <c r="J32" s="107"/>
      <c r="K32" s="107"/>
      <c r="L32" s="107"/>
      <c r="M32" s="107"/>
      <c r="N32" s="107"/>
      <c r="O32" s="107"/>
      <c r="P32" s="107"/>
      <c r="Q32" s="107"/>
      <c r="R32" s="107"/>
      <c r="S32" s="107"/>
      <c r="T32" s="107"/>
      <c r="U32" s="107"/>
      <c r="V32" s="107"/>
      <c r="W32" s="107"/>
      <c r="X32" s="107"/>
      <c r="Y32" s="107"/>
      <c r="Z32" s="108"/>
    </row>
    <row r="33" spans="1:26" x14ac:dyDescent="0.3">
      <c r="A33" s="92">
        <v>24</v>
      </c>
      <c r="B33" s="112" t="s">
        <v>4374</v>
      </c>
      <c r="C33" s="111" t="str">
        <f>HYPERLINK("#'DATA-ORG'!A1","DATA-ORG")</f>
        <v>DATA-ORG</v>
      </c>
      <c r="D33" s="112" t="s">
        <v>4421</v>
      </c>
      <c r="E33" s="112" t="s">
        <v>4422</v>
      </c>
      <c r="F33" s="126" t="str">
        <f>HYPERLINK("#'DATA-ORG'!A1","Ir →")</f>
        <v>Ir →</v>
      </c>
      <c r="G33" s="9"/>
      <c r="H33" s="9"/>
      <c r="I33" s="105"/>
      <c r="J33" s="105"/>
      <c r="K33" s="105"/>
      <c r="L33" s="105"/>
      <c r="M33" s="105"/>
      <c r="N33" s="105"/>
      <c r="O33" s="105"/>
      <c r="P33" s="105"/>
      <c r="Q33" s="105"/>
      <c r="R33" s="105"/>
      <c r="S33" s="105"/>
      <c r="T33" s="105"/>
      <c r="U33" s="105"/>
      <c r="V33" s="105"/>
      <c r="W33" s="105"/>
      <c r="X33" s="105"/>
      <c r="Y33" s="105"/>
      <c r="Z33" s="106"/>
    </row>
    <row r="34" spans="1:26" x14ac:dyDescent="0.3">
      <c r="A34" s="91">
        <v>25</v>
      </c>
      <c r="B34" s="110" t="s">
        <v>4392</v>
      </c>
      <c r="C34" s="111" t="str">
        <f>HYPERLINK("#'M6-FEDS'!A1","M6-FEDS")</f>
        <v>M6-FEDS</v>
      </c>
      <c r="D34" s="110" t="s">
        <v>4423</v>
      </c>
      <c r="E34" s="110" t="s">
        <v>4424</v>
      </c>
      <c r="F34" s="124" t="str">
        <f>HYPERLINK("#'M6-FEDS'!A1","Ir →")</f>
        <v>Ir →</v>
      </c>
      <c r="G34" s="9"/>
      <c r="H34" s="9"/>
      <c r="I34" s="107"/>
      <c r="J34" s="107"/>
      <c r="K34" s="107"/>
      <c r="L34" s="107"/>
      <c r="M34" s="107"/>
      <c r="N34" s="107"/>
      <c r="O34" s="107"/>
      <c r="P34" s="107"/>
      <c r="Q34" s="107"/>
      <c r="R34" s="107"/>
      <c r="S34" s="107"/>
      <c r="T34" s="107"/>
      <c r="U34" s="107"/>
      <c r="V34" s="107"/>
      <c r="W34" s="107"/>
      <c r="X34" s="107"/>
      <c r="Y34" s="107"/>
      <c r="Z34" s="108"/>
    </row>
    <row r="35" spans="1:26" x14ac:dyDescent="0.3">
      <c r="A35" s="92">
        <v>26</v>
      </c>
      <c r="B35" s="112" t="s">
        <v>4374</v>
      </c>
      <c r="C35" s="111" t="str">
        <f>HYPERLINK("#'SUPPORT-EVALDIR'!A1","SUPPORT-EVALDIR")</f>
        <v>SUPPORT-EVALDIR</v>
      </c>
      <c r="D35" s="112" t="s">
        <v>4425</v>
      </c>
      <c r="E35" s="112" t="s">
        <v>4426</v>
      </c>
      <c r="F35" s="126" t="str">
        <f>HYPERLINK("#'SUPPORT-EVALDIR'!A1","Ir →")</f>
        <v>Ir →</v>
      </c>
      <c r="G35" s="9"/>
      <c r="H35" s="9"/>
      <c r="I35" s="105"/>
      <c r="J35" s="105"/>
      <c r="K35" s="105"/>
      <c r="L35" s="105"/>
      <c r="M35" s="105"/>
      <c r="N35" s="105"/>
      <c r="O35" s="105"/>
      <c r="P35" s="105"/>
      <c r="Q35" s="105"/>
      <c r="R35" s="105"/>
      <c r="S35" s="105"/>
      <c r="T35" s="105"/>
      <c r="U35" s="105"/>
      <c r="V35" s="105"/>
      <c r="W35" s="105"/>
      <c r="X35" s="105"/>
      <c r="Y35" s="105"/>
      <c r="Z35" s="106"/>
    </row>
    <row r="36" spans="1:26" x14ac:dyDescent="0.3">
      <c r="A36" s="91">
        <v>27</v>
      </c>
      <c r="B36" s="110" t="s">
        <v>4374</v>
      </c>
      <c r="C36" s="111" t="str">
        <f>HYPERLINK("#'SUPPORT-SEM'!A1","SUPPORT-SEM")</f>
        <v>SUPPORT-SEM</v>
      </c>
      <c r="D36" s="110" t="s">
        <v>4427</v>
      </c>
      <c r="E36" s="110" t="s">
        <v>4428</v>
      </c>
      <c r="F36" s="124" t="str">
        <f>HYPERLINK("#'SUPPORT-SEM'!A1","Ir →")</f>
        <v>Ir →</v>
      </c>
      <c r="G36" s="9"/>
      <c r="H36" s="9"/>
      <c r="I36" s="107"/>
      <c r="J36" s="107"/>
      <c r="K36" s="107"/>
      <c r="L36" s="107"/>
      <c r="M36" s="107"/>
      <c r="N36" s="107"/>
      <c r="O36" s="107"/>
      <c r="P36" s="107"/>
      <c r="Q36" s="107"/>
      <c r="R36" s="107"/>
      <c r="S36" s="107"/>
      <c r="T36" s="107"/>
      <c r="U36" s="107"/>
      <c r="V36" s="107"/>
      <c r="W36" s="107"/>
      <c r="X36" s="107"/>
      <c r="Y36" s="107"/>
      <c r="Z36" s="108"/>
    </row>
    <row r="37" spans="1:26" x14ac:dyDescent="0.3">
      <c r="A37" s="92">
        <v>28</v>
      </c>
      <c r="B37" s="112" t="s">
        <v>4392</v>
      </c>
      <c r="C37" s="111" t="str">
        <f>HYPERLINK("#'DATA-ITAM'!A1","DATA-ITAM")</f>
        <v>DATA-ITAM</v>
      </c>
      <c r="D37" s="112" t="s">
        <v>4429</v>
      </c>
      <c r="E37" s="112" t="s">
        <v>4430</v>
      </c>
      <c r="F37" s="126" t="str">
        <f>HYPERLINK("#'DATA-ITAM'!A1","Ir →")</f>
        <v>Ir →</v>
      </c>
      <c r="G37" s="9"/>
      <c r="H37" s="9"/>
      <c r="I37" s="105"/>
      <c r="J37" s="105"/>
      <c r="K37" s="105"/>
      <c r="L37" s="105"/>
      <c r="M37" s="105"/>
      <c r="N37" s="105"/>
      <c r="O37" s="105"/>
      <c r="P37" s="105"/>
      <c r="Q37" s="105"/>
      <c r="R37" s="105"/>
      <c r="S37" s="105"/>
      <c r="T37" s="105"/>
      <c r="U37" s="105"/>
      <c r="V37" s="105"/>
      <c r="W37" s="105"/>
      <c r="X37" s="105"/>
      <c r="Y37" s="105"/>
      <c r="Z37" s="106"/>
    </row>
    <row r="38" spans="1:26" s="16" customFormat="1" x14ac:dyDescent="0.3">
      <c r="A38" s="91">
        <v>29</v>
      </c>
      <c r="B38" s="110" t="s">
        <v>4374</v>
      </c>
      <c r="C38" s="111" t="str">
        <f>HYPERLINK("#'SUPPORT-SIL'!A1","SUPPORT-SIL")</f>
        <v>SUPPORT-SIL</v>
      </c>
      <c r="D38" s="110" t="s">
        <v>4431</v>
      </c>
      <c r="E38" s="110" t="s">
        <v>4432</v>
      </c>
      <c r="F38" s="124" t="str">
        <f>HYPERLINK("#'SUPPORT-SIL'!A1","Ir →")</f>
        <v>Ir →</v>
      </c>
      <c r="G38" s="9"/>
      <c r="H38" s="9"/>
      <c r="I38" s="113"/>
      <c r="J38" s="113"/>
      <c r="K38" s="113"/>
      <c r="L38" s="113"/>
      <c r="M38" s="113"/>
      <c r="N38" s="113"/>
      <c r="O38" s="113"/>
      <c r="P38" s="113"/>
      <c r="Q38" s="113"/>
      <c r="R38" s="113"/>
      <c r="S38" s="113"/>
      <c r="T38" s="113"/>
      <c r="U38" s="113"/>
      <c r="V38" s="113"/>
      <c r="W38" s="113"/>
      <c r="X38" s="113"/>
      <c r="Y38" s="113"/>
      <c r="Z38" s="114"/>
    </row>
    <row r="39" spans="1:26" s="16" customFormat="1" x14ac:dyDescent="0.3">
      <c r="A39" s="92">
        <v>30</v>
      </c>
      <c r="B39" s="112" t="s">
        <v>4374</v>
      </c>
      <c r="C39" s="111" t="str">
        <f>HYPERLINK("#'SUPPORT-ALERT'!A1","SUPPORT-ALERT")</f>
        <v>SUPPORT-ALERT</v>
      </c>
      <c r="D39" s="112" t="s">
        <v>4433</v>
      </c>
      <c r="E39" s="112" t="s">
        <v>4434</v>
      </c>
      <c r="F39" s="126" t="str">
        <f>HYPERLINK("#'SUPPORT-ALERT'!A1","Ir →")</f>
        <v>Ir →</v>
      </c>
      <c r="G39" s="9"/>
      <c r="H39" s="9"/>
      <c r="I39" s="115"/>
      <c r="J39" s="115"/>
      <c r="K39" s="115"/>
      <c r="L39" s="115"/>
      <c r="M39" s="115"/>
      <c r="N39" s="115"/>
      <c r="O39" s="115"/>
      <c r="P39" s="115"/>
      <c r="Q39" s="115"/>
      <c r="R39" s="115"/>
      <c r="S39" s="115"/>
      <c r="T39" s="115"/>
      <c r="U39" s="115"/>
      <c r="V39" s="115"/>
      <c r="W39" s="115"/>
      <c r="X39" s="115"/>
      <c r="Y39" s="115"/>
      <c r="Z39" s="116"/>
    </row>
    <row r="40" spans="1:26" x14ac:dyDescent="0.3">
      <c r="A40" s="91">
        <v>31</v>
      </c>
      <c r="B40" s="110" t="s">
        <v>4382</v>
      </c>
      <c r="C40" s="111" t="str">
        <f>HYPERLINK("#'VALID-VER'!A1","VALID-VER")</f>
        <v>VALID-VER</v>
      </c>
      <c r="D40" s="110" t="s">
        <v>4435</v>
      </c>
      <c r="E40" s="110" t="s">
        <v>4436</v>
      </c>
      <c r="F40" s="124" t="str">
        <f>HYPERLINK("#'VALID-VER'!A1","Ir →")</f>
        <v>Ir →</v>
      </c>
      <c r="G40" s="9"/>
      <c r="H40" s="9"/>
      <c r="I40" s="107"/>
      <c r="J40" s="107"/>
      <c r="K40" s="107"/>
      <c r="L40" s="107"/>
      <c r="M40" s="107"/>
      <c r="N40" s="107"/>
      <c r="O40" s="107"/>
      <c r="P40" s="107"/>
      <c r="Q40" s="107"/>
      <c r="R40" s="107"/>
      <c r="S40" s="107"/>
      <c r="T40" s="107"/>
      <c r="U40" s="107"/>
      <c r="V40" s="107"/>
      <c r="W40" s="107"/>
      <c r="X40" s="107"/>
      <c r="Y40" s="107"/>
      <c r="Z40" s="108"/>
    </row>
    <row r="41" spans="1:26" x14ac:dyDescent="0.3">
      <c r="A41" s="92">
        <v>32</v>
      </c>
      <c r="B41" s="112" t="s">
        <v>4399</v>
      </c>
      <c r="C41" s="111" t="str">
        <f>HYPERLINK("#'DATA-CPCCS'!A1","DATA-CPCCS")</f>
        <v>DATA-CPCCS</v>
      </c>
      <c r="D41" s="112" t="s">
        <v>4437</v>
      </c>
      <c r="E41" s="112" t="s">
        <v>4438</v>
      </c>
      <c r="F41" s="126" t="str">
        <f>HYPERLINK("#'DATA-CPCCS'!A1","Ir →")</f>
        <v>Ir →</v>
      </c>
      <c r="G41" s="9"/>
      <c r="H41" s="9"/>
      <c r="I41" s="105"/>
      <c r="J41" s="105"/>
      <c r="K41" s="105"/>
      <c r="L41" s="105"/>
      <c r="M41" s="105"/>
      <c r="N41" s="105"/>
      <c r="O41" s="105"/>
      <c r="P41" s="105"/>
      <c r="Q41" s="105"/>
      <c r="R41" s="105"/>
      <c r="S41" s="105"/>
      <c r="T41" s="105"/>
      <c r="U41" s="105"/>
      <c r="V41" s="105"/>
      <c r="W41" s="105"/>
      <c r="X41" s="105"/>
      <c r="Y41" s="105"/>
      <c r="Z41" s="106"/>
    </row>
    <row r="42" spans="1:26" x14ac:dyDescent="0.3">
      <c r="A42" s="91">
        <v>33</v>
      </c>
      <c r="B42" s="110" t="s">
        <v>4399</v>
      </c>
      <c r="C42" s="111" t="str">
        <f>HYPERLINK("#'DATA-CNE'!A1","DATA-CNE")</f>
        <v>DATA-CNE</v>
      </c>
      <c r="D42" s="110" t="s">
        <v>4439</v>
      </c>
      <c r="E42" s="110" t="s">
        <v>4440</v>
      </c>
      <c r="F42" s="124" t="str">
        <f>HYPERLINK("#'DATA-CNE'!A1","Ir →")</f>
        <v>Ir →</v>
      </c>
      <c r="G42" s="9"/>
      <c r="H42" s="9"/>
      <c r="I42" s="107"/>
      <c r="J42" s="107"/>
      <c r="K42" s="107"/>
      <c r="L42" s="107"/>
      <c r="M42" s="107"/>
      <c r="N42" s="107"/>
      <c r="O42" s="107"/>
      <c r="P42" s="107"/>
      <c r="Q42" s="107"/>
      <c r="R42" s="107"/>
      <c r="S42" s="107"/>
      <c r="T42" s="107"/>
      <c r="U42" s="107"/>
      <c r="V42" s="107"/>
      <c r="W42" s="107"/>
      <c r="X42" s="107"/>
      <c r="Y42" s="107"/>
      <c r="Z42" s="108"/>
    </row>
    <row r="43" spans="1:26" x14ac:dyDescent="0.3">
      <c r="A43" s="92">
        <v>34</v>
      </c>
      <c r="B43" s="112" t="s">
        <v>4399</v>
      </c>
      <c r="C43" s="111" t="str">
        <f>HYPERLINK("#'DATA-SIGAD'!A1","DATA-SIGAD")</f>
        <v>DATA-SIGAD</v>
      </c>
      <c r="D43" s="112" t="s">
        <v>4441</v>
      </c>
      <c r="E43" s="112" t="s">
        <v>4442</v>
      </c>
      <c r="F43" s="126" t="str">
        <f>HYPERLINK("#'DATA-SIGAD'!A1","Ir →")</f>
        <v>Ir →</v>
      </c>
      <c r="G43" s="9"/>
      <c r="H43" s="9"/>
      <c r="I43" s="105"/>
      <c r="J43" s="105"/>
      <c r="K43" s="105"/>
      <c r="L43" s="105"/>
      <c r="M43" s="105"/>
      <c r="N43" s="105"/>
      <c r="O43" s="105"/>
      <c r="P43" s="105"/>
      <c r="Q43" s="105"/>
      <c r="R43" s="105"/>
      <c r="S43" s="105"/>
      <c r="T43" s="105"/>
      <c r="U43" s="105"/>
      <c r="V43" s="105"/>
      <c r="W43" s="105"/>
      <c r="X43" s="105"/>
      <c r="Y43" s="105"/>
      <c r="Z43" s="106"/>
    </row>
    <row r="44" spans="1:26" x14ac:dyDescent="0.3">
      <c r="A44" s="91">
        <v>35</v>
      </c>
      <c r="B44" s="110" t="s">
        <v>4377</v>
      </c>
      <c r="C44" s="111" t="str">
        <f>HYPERLINK("#'M-TECH-VARS'!A1","M-TECH-VARS")</f>
        <v>M-TECH-VARS</v>
      </c>
      <c r="D44" s="110" t="s">
        <v>4443</v>
      </c>
      <c r="E44" s="110" t="s">
        <v>4444</v>
      </c>
      <c r="F44" s="124" t="str">
        <f>HYPERLINK("#'M-TECH-VARS'!A1","Ir →")</f>
        <v>Ir →</v>
      </c>
      <c r="G44" s="9"/>
      <c r="H44" s="9"/>
      <c r="I44" s="107"/>
      <c r="J44" s="107"/>
      <c r="K44" s="107"/>
      <c r="L44" s="107"/>
      <c r="M44" s="107"/>
      <c r="N44" s="107"/>
      <c r="O44" s="107"/>
      <c r="P44" s="107"/>
      <c r="Q44" s="107"/>
      <c r="R44" s="107"/>
      <c r="S44" s="107"/>
      <c r="T44" s="107"/>
      <c r="U44" s="107"/>
      <c r="V44" s="107"/>
      <c r="W44" s="107"/>
      <c r="X44" s="107"/>
      <c r="Y44" s="107"/>
      <c r="Z44" s="108"/>
    </row>
    <row r="45" spans="1:26" x14ac:dyDescent="0.3">
      <c r="A45" s="92">
        <v>36</v>
      </c>
      <c r="B45" s="112" t="s">
        <v>4399</v>
      </c>
      <c r="C45" s="111" t="str">
        <f>HYPERLINK("#'DATA-MONIT'!A1","DATA-MONIT")</f>
        <v>DATA-MONIT</v>
      </c>
      <c r="D45" s="112" t="s">
        <v>4445</v>
      </c>
      <c r="E45" s="112" t="s">
        <v>4446</v>
      </c>
      <c r="F45" s="126" t="str">
        <f>HYPERLINK("#'DATA-MONIT'!A1","Ir →")</f>
        <v>Ir →</v>
      </c>
      <c r="G45" s="9"/>
      <c r="H45" s="9"/>
      <c r="I45" s="105"/>
      <c r="J45" s="105"/>
      <c r="K45" s="105"/>
      <c r="L45" s="105"/>
      <c r="M45" s="105"/>
      <c r="N45" s="105"/>
      <c r="O45" s="105"/>
      <c r="P45" s="105"/>
      <c r="Q45" s="105"/>
      <c r="R45" s="105"/>
      <c r="S45" s="105"/>
      <c r="T45" s="105"/>
      <c r="U45" s="105"/>
      <c r="V45" s="105"/>
      <c r="W45" s="105"/>
      <c r="X45" s="105"/>
      <c r="Y45" s="105"/>
      <c r="Z45" s="106"/>
    </row>
    <row r="46" spans="1:26" x14ac:dyDescent="0.3">
      <c r="A46" s="91">
        <v>37</v>
      </c>
      <c r="B46" s="110" t="s">
        <v>4610</v>
      </c>
      <c r="C46" s="111" t="str">
        <f>HYPERLINK("#'M-DOCS'!A1","M-DOCS")</f>
        <v>M-DOCS</v>
      </c>
      <c r="D46" s="110" t="s">
        <v>4611</v>
      </c>
      <c r="E46" s="110" t="s">
        <v>4612</v>
      </c>
      <c r="F46" s="124" t="str">
        <f>HYPERLINK("#'M-DOCS'!A1","Ir →")</f>
        <v>Ir →</v>
      </c>
      <c r="G46" s="9"/>
      <c r="H46" s="9"/>
      <c r="I46" s="117"/>
      <c r="J46" s="117"/>
      <c r="K46" s="117"/>
      <c r="L46" s="117"/>
      <c r="M46" s="117"/>
      <c r="N46" s="117"/>
      <c r="O46" s="117"/>
      <c r="P46" s="117"/>
      <c r="Q46" s="117"/>
      <c r="R46" s="117"/>
      <c r="S46" s="117"/>
      <c r="T46" s="117"/>
      <c r="U46" s="117"/>
      <c r="V46" s="117"/>
      <c r="W46" s="117"/>
      <c r="X46" s="117"/>
      <c r="Y46" s="117"/>
      <c r="Z46" s="118"/>
    </row>
    <row r="47" spans="1:26" x14ac:dyDescent="0.3">
      <c r="A47" s="92">
        <v>38</v>
      </c>
      <c r="B47" s="112" t="s">
        <v>4377</v>
      </c>
      <c r="C47" s="111" t="str">
        <f>HYPERLINK("#'M-INDEX'!A1","M-INDEX")</f>
        <v>M-INDEX</v>
      </c>
      <c r="D47" s="112" t="s">
        <v>4613</v>
      </c>
      <c r="E47" s="112" t="s">
        <v>4447</v>
      </c>
      <c r="F47" s="126" t="str">
        <f>HYPERLINK("#'M-INDEX'!A1","Ir →")</f>
        <v>Ir →</v>
      </c>
      <c r="G47" s="9"/>
      <c r="H47" s="9"/>
      <c r="I47" s="9"/>
      <c r="J47" s="9"/>
      <c r="K47" s="9"/>
      <c r="L47" s="9"/>
      <c r="M47" s="9"/>
      <c r="N47" s="9"/>
      <c r="O47" s="9"/>
      <c r="P47" s="9"/>
      <c r="Q47" s="9"/>
      <c r="R47" s="9"/>
      <c r="S47" s="9"/>
      <c r="T47" s="9"/>
      <c r="U47" s="9"/>
      <c r="V47" s="9"/>
      <c r="W47" s="9"/>
      <c r="X47" s="9"/>
      <c r="Y47" s="9"/>
      <c r="Z47" s="9"/>
    </row>
    <row r="48" spans="1:26" x14ac:dyDescent="0.3">
      <c r="A48" s="92">
        <v>39</v>
      </c>
      <c r="B48" s="112" t="s">
        <v>4382</v>
      </c>
      <c r="C48" s="120" t="str">
        <f>HYPERLINK("#'DATA-SIGAD-TIMES'!A1","DATA-SIGAD-TIMES")</f>
        <v>DATA-SIGAD-TIMES</v>
      </c>
      <c r="D48" s="121" t="s">
        <v>4972</v>
      </c>
      <c r="E48" s="112" t="s">
        <v>4973</v>
      </c>
      <c r="F48" s="125" t="str">
        <f>HYPERLINK("#'DATA-SIGAD-TIMES'!A1","Ir →")</f>
        <v>Ir →</v>
      </c>
      <c r="G48" s="9"/>
      <c r="H48" s="9"/>
      <c r="I48" s="9"/>
      <c r="J48" s="9"/>
      <c r="K48" s="9"/>
      <c r="L48" s="9"/>
      <c r="M48" s="9"/>
      <c r="N48" s="9"/>
      <c r="O48" s="9"/>
      <c r="P48" s="9"/>
      <c r="Q48" s="9"/>
      <c r="R48" s="9"/>
      <c r="S48" s="9"/>
      <c r="T48" s="9"/>
      <c r="U48" s="9"/>
      <c r="V48" s="9"/>
      <c r="W48" s="9"/>
      <c r="X48" s="9"/>
      <c r="Y48" s="9"/>
      <c r="Z48" s="9"/>
    </row>
    <row r="49" customFormat="1" ht="18" customHeight="1" x14ac:dyDescent="0.3"/>
    <row r="50" customFormat="1" ht="18" customHeight="1" x14ac:dyDescent="0.3"/>
    <row r="51" customFormat="1" ht="18" customHeight="1" x14ac:dyDescent="0.3"/>
    <row r="52" customFormat="1" ht="18" customHeight="1" x14ac:dyDescent="0.3"/>
    <row r="53" customFormat="1" ht="18" customHeight="1" x14ac:dyDescent="0.3"/>
    <row r="54" customFormat="1" ht="18" customHeight="1" x14ac:dyDescent="0.3"/>
    <row r="55" customFormat="1" ht="18" customHeight="1" x14ac:dyDescent="0.3"/>
    <row r="56" customFormat="1" x14ac:dyDescent="0.3"/>
    <row r="57" customFormat="1" x14ac:dyDescent="0.3"/>
  </sheetData>
  <mergeCells count="2">
    <mergeCell ref="A3:F3"/>
    <mergeCell ref="A1:Z1"/>
  </mergeCells>
  <hyperlinks>
    <hyperlink ref="F10" location="'M-DASHBOARD'!A1" tooltip="Ir a M-DASHBOARD" display="Ir →" xr:uid="{AE39EC45-051A-4F69-B976-2E8DCEAC8B86}"/>
    <hyperlink ref="F11" location="'M-TECH-GAD'!A1" tooltip="Ir a M-TECH-GAD" display="Ir →" xr:uid="{33B93569-4276-4B4A-86C0-8A969A929338}"/>
    <hyperlink ref="F12" location="'M-TECH-PARAMS'!A1" tooltip="Ir a M-TECH-PARAMS" display="Ir →" xr:uid="{CBF30764-A039-4D19-980C-9B7CBFD28BB5}"/>
    <hyperlink ref="F13" location="'M1-ITME'!A1" tooltip="Ir a M1-ITME" display="Ir →" xr:uid="{AD9E09C2-4381-429E-9A97-5EFF7BCFA2D2}"/>
    <hyperlink ref="F14" location="'M2-PDOT Base Legal'!A1" tooltip="Ir a M2-PDOT Base Legal" display="Ir →" xr:uid="{478F9348-4902-49A3-A705-2FE21DE543E7}"/>
    <hyperlink ref="F15" location="'M2-PLAN Ponderacion Pi'!A1" tooltip="Ir a M2-PLAN Ponderacion Pi" display="Ir →" xr:uid="{D907575C-ADCA-4663-AB23-6470D6FBC819}"/>
    <hyperlink ref="F16" location="'M-DATA-TFR'!A1" tooltip="Ir a M-DATA-TFR" display="Ir →" xr:uid="{46498D50-0C29-4479-B09B-083B7C499430}"/>
    <hyperlink ref="F17" location="'M3-MAO'!A1" tooltip="Ir a M3-MAO" display="Ir →" xr:uid="{5916B804-696A-49EE-8891-2411486D4A92}"/>
    <hyperlink ref="F18" location="'M-DATA-SSC'!A1" tooltip="Ir a M-DATA-SSC" display="Ir →" xr:uid="{185DDAC4-25BE-4A67-B4FC-3D3F701533E2}"/>
    <hyperlink ref="F19" location="'M4-AUDIT'!A1" tooltip="Ir a M4-AUDIT" display="Ir →" xr:uid="{07F73FF5-EC4C-4399-B7FB-E58E239D2CAB}"/>
    <hyperlink ref="F20" location="'M-DATA-MEC'!A1" tooltip="Ir a M-DATA-MEC" display="Ir →" xr:uid="{06C67307-57C5-4A39-AF65-75DB89A5D22F}"/>
    <hyperlink ref="F21" location="'M-DATA-CED'!A1" tooltip="Ir a M-DATA-CED" display="Ir →" xr:uid="{88131314-DE97-41C3-A319-E29953880A4F}"/>
    <hyperlink ref="F22" location="'M-DATA-POA'!A1" tooltip="Ir a M-DATA-POA" display="Ir →" xr:uid="{45AC3F81-385D-4A2B-AE58-7B1F7E2FC6A1}"/>
    <hyperlink ref="F23" location="'M-DATA-PAC'!A1" tooltip="Ir a M-DATA-PAC" display="Ir →" xr:uid="{C3448C7A-B18D-4E63-9C8B-C547C158CB0E}"/>
    <hyperlink ref="F24" location="'M5-ICPI'!A1" tooltip="Ir a M5-ICPI" display="Ir →" xr:uid="{E8FE273F-6E5F-4DE8-877C-AAA6B42B8C06}"/>
    <hyperlink ref="F25" location="'M-DATA-RESULTADOS'!A1" tooltip="Ir a M-DATA-RESULTADOS" display="Ir →" xr:uid="{09660515-BC7B-4013-B81F-A5C0AC2C034C}"/>
    <hyperlink ref="F26" location="'M-SUPPORT-INTERP'!A1" tooltip="Ir a M-SUPPORT-INTERP" display="Ir →" xr:uid="{BF7C253A-D515-407C-A1F3-E50CE60140DB}"/>
    <hyperlink ref="F27" location="'M-VALID-CST'!A1" tooltip="Ir a M-VALID-CST" display="Ir →" xr:uid="{CC462C76-0E0D-4091-B03F-D159DC95C9E8}"/>
    <hyperlink ref="F28" location="'M7-QUADRUM'!A1" tooltip="Ir a M7-QUADRUM" display="Ir →" xr:uid="{0251F8CC-C7B1-474C-B499-24142C904A22}"/>
    <hyperlink ref="F29" location="'M-VALID-MVCI'!A1" tooltip="Ir a M-VALID-MVCI" display="Ir →" xr:uid="{930081F9-9066-4369-AF69-E603D0900157}"/>
    <hyperlink ref="F30" location="'M-DATA-EJES'!A1" tooltip="Ir a M-DATA-EJES" display="Ir →" xr:uid="{F0E82AA6-EC41-4225-BD66-B2EEA2E02AE7}"/>
    <hyperlink ref="F31" location="'M-VALID-SENS'!A1" tooltip="Ir a M-VALID-SENS" display="Ir →" xr:uid="{983373EF-0A94-4C54-9359-EFB6204064B6}"/>
    <hyperlink ref="F32" location="'M-DATA-BRECHA'!A1" tooltip="Ir a M-DATA-BRECHA" display="Ir →" xr:uid="{0B70E417-D04F-48DA-9BA9-0C5DF24EE5A6}"/>
    <hyperlink ref="F33" location="'M-DATA-ORG'!A1" tooltip="Ir a M-DATA-ORG" display="Ir →" xr:uid="{F85892B0-AD16-4E0B-B530-F443B330B023}"/>
    <hyperlink ref="F34" location="'M6-FEDS'!A1" tooltip="Ir a M6-FEDS" display="Ir →" xr:uid="{0B64CA43-1784-46DC-8946-16611D55D17F}"/>
    <hyperlink ref="F35" location="'M-SUPPORT-EVALDIR'!A1" tooltip="Ir a M-SUPPORT-EVALDIR" display="Ir →" xr:uid="{70254AB7-8C54-4308-BDEB-5F3B3171BFE9}"/>
    <hyperlink ref="F36" location="'M-SUPPORT-SEM'!A1" tooltip="Ir a M-SUPPORT-SEM" display="Ir →" xr:uid="{3185F3EC-8999-4575-9180-C7A8C9F77E9B}"/>
    <hyperlink ref="F37" location="'M-DATA-ITAM'!A1" tooltip="Ir a M-DATA-ITAM" display="Ir →" xr:uid="{43A84636-CEFD-47D8-BADF-C016B6693BA7}"/>
    <hyperlink ref="F38" location="'M-SUPPORT-SIL'!A1" tooltip="Ir a M-SUPPORT-SIL" display="Ir →" xr:uid="{CEA1E858-2D4B-4BB6-8609-24A90681F4DB}"/>
    <hyperlink ref="F39" location="'M-SUPPORT-ALERT'!A1" tooltip="Ir a M-SUPPORT-ALERT" display="Ir →" xr:uid="{FB17E0D1-E43D-41C1-B3B9-8CF25F23C1A9}"/>
    <hyperlink ref="F40" location="'M-VALID-VER'!A1" tooltip="Ir a M-VALID-VER" display="Ir →" xr:uid="{AE3AD974-AAB0-4E37-8D2E-B6C2801FEA27}"/>
    <hyperlink ref="F41" location="'M-DATA-CPCCS'!A1" tooltip="Ir a M-DATA-CPCCS" display="Ir →" xr:uid="{3EFB479D-BF52-4335-B471-90FEE9B96E19}"/>
    <hyperlink ref="F42" location="'M-DATA-CNE'!A1" tooltip="Ir a M-DATA-CNE" display="Ir →" xr:uid="{DB87D36F-8103-4389-AA59-EF766FE52B72}"/>
    <hyperlink ref="F43" location="'M-DATA-SIGAD'!A1" tooltip="Ir a M-DATA-SIGAD" display="Ir →" xr:uid="{E34E2C12-8AE3-4AD4-9627-0A995CBEE585}"/>
    <hyperlink ref="F44" location="'M-TECH-VARS'!A1" tooltip="Ir a M-TECH-VARS" display="Ir →" xr:uid="{67333FDE-5AA5-4E41-9634-730A3F0FE27A}"/>
    <hyperlink ref="F45" location="'M-DATA-MONIT'!A1" tooltip="Ir a M-DATA-MONIT" display="Ir →" xr:uid="{33008930-44F2-4D99-B1DB-363F6F9D4F51}"/>
    <hyperlink ref="F46" location="'M-DOCS Marco Metodologico'!A1" tooltip="Ir a M-DOCS Marco Metodologico" display="Ir →" xr:uid="{E4E558A9-A6DC-4537-BE5B-54CB28761305}"/>
    <hyperlink ref="F47" location="'M-INDEX'!A1" tooltip="Ir a M-INDEX" display="Ir →" xr:uid="{731F0DB2-C781-4B84-8544-A562A34F4B5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2CC"/>
  </sheetPr>
  <dimension ref="A1:Z70"/>
  <sheetViews>
    <sheetView showGridLines="0" tabSelected="1" zoomScale="76" zoomScaleNormal="76" workbookViewId="0">
      <selection activeCell="C5" sqref="C5"/>
    </sheetView>
  </sheetViews>
  <sheetFormatPr baseColWidth="10" defaultRowHeight="14.4" outlineLevelCol="1" x14ac:dyDescent="0.3"/>
  <cols>
    <col min="1" max="1" width="40.77734375" customWidth="1"/>
    <col min="2" max="2" width="22.21875" customWidth="1"/>
    <col min="3" max="3" width="40.77734375" customWidth="1"/>
    <col min="4" max="4" width="46.77734375" bestFit="1" customWidth="1"/>
    <col min="5" max="5" width="33.33203125" customWidth="1"/>
    <col min="6" max="8" width="14.77734375" customWidth="1" outlineLevel="1"/>
    <col min="9" max="11" width="4.109375" customWidth="1" outlineLevel="1"/>
    <col min="12" max="16" width="4.109375" customWidth="1"/>
    <col min="26" max="26" width="11.21875" bestFit="1" customWidth="1"/>
  </cols>
  <sheetData>
    <row r="1" spans="1:26" ht="28.05" customHeight="1" x14ac:dyDescent="0.3">
      <c r="A1" s="3410" t="s">
        <v>4851</v>
      </c>
      <c r="B1" s="3411"/>
      <c r="C1" s="3412"/>
      <c r="D1" s="3413"/>
      <c r="E1" s="3414"/>
      <c r="F1" s="3415"/>
      <c r="G1" s="3415"/>
      <c r="H1" s="3415"/>
      <c r="I1" s="3415"/>
      <c r="J1" s="3415"/>
      <c r="K1" s="3415"/>
      <c r="L1" s="3415"/>
      <c r="M1" s="3415"/>
      <c r="N1" s="3415"/>
      <c r="O1" s="3415"/>
      <c r="P1" s="3415"/>
      <c r="Q1" s="3416"/>
      <c r="R1" s="3416"/>
      <c r="S1" s="3416"/>
      <c r="T1" s="3416"/>
      <c r="U1" s="3416"/>
      <c r="V1" s="3416"/>
      <c r="W1" s="3416"/>
      <c r="X1" s="3416"/>
      <c r="Y1" s="3416"/>
      <c r="Z1" s="3416"/>
    </row>
    <row r="2" spans="1:26" ht="19.95" customHeight="1" x14ac:dyDescent="0.3">
      <c r="A2" s="3437" t="s">
        <v>4852</v>
      </c>
      <c r="B2" s="3438"/>
      <c r="C2" s="3439"/>
      <c r="D2" s="3440"/>
      <c r="E2" s="3441"/>
      <c r="F2" s="3236"/>
      <c r="G2" s="3236"/>
      <c r="H2" s="3236"/>
      <c r="I2" s="3236"/>
      <c r="J2" s="3236"/>
      <c r="K2" s="3236"/>
      <c r="L2" s="3236"/>
      <c r="M2" s="3236"/>
      <c r="N2" s="3236"/>
      <c r="O2" s="3236"/>
      <c r="P2" s="3236"/>
      <c r="Q2" s="377"/>
      <c r="R2" s="377"/>
      <c r="S2" s="377"/>
      <c r="T2" s="377"/>
      <c r="U2" s="377"/>
      <c r="V2" s="377"/>
      <c r="W2" s="377"/>
      <c r="X2" s="377"/>
      <c r="Y2" s="377"/>
      <c r="Z2" s="377"/>
    </row>
    <row r="3" spans="1:26" ht="24" customHeight="1" x14ac:dyDescent="0.3">
      <c r="A3" s="3423" t="str">
        <f>HYPERLINK("#'M-INDEX'!A1","⌂ INDICE")</f>
        <v>⌂ INDICE</v>
      </c>
      <c r="B3" s="3424"/>
      <c r="C3" s="3425"/>
      <c r="D3" s="3426"/>
      <c r="E3" s="3427"/>
      <c r="F3" s="2709" t="str">
        <f>HYPERLINK("#'M5-ICPI'!A1","M5")</f>
        <v>M5</v>
      </c>
      <c r="G3" s="2709" t="str">
        <f>HYPERLINK("#'M6-FEDS'!A1","M6")</f>
        <v>M6</v>
      </c>
      <c r="H3" s="2709" t="str">
        <f>HYPERLINK("#'M7-PROSP'!A1","M7")</f>
        <v>M7</v>
      </c>
      <c r="I3" s="2709" t="str">
        <f>HYPERLINK("#'DATA-POA'!A1","DATA-POA")</f>
        <v>DATA-POA</v>
      </c>
      <c r="J3" s="2709" t="str">
        <f>HYPERLINK("#'DATA-CNE'!A1","DATA-CNE")</f>
        <v>DATA-CNE</v>
      </c>
      <c r="K3" s="2709" t="str">
        <f>HYPERLINK("#'DATA-ORG'!A1","DATA-ORG")</f>
        <v>DATA-ORG</v>
      </c>
      <c r="L3" s="1762" t="str">
        <f>HYPERLINK("#'M-DASHBOARD'!A1","DASH")</f>
        <v>DASH</v>
      </c>
      <c r="M3" s="2710"/>
      <c r="N3" s="2710"/>
      <c r="O3" s="2710"/>
      <c r="P3" s="2710"/>
      <c r="Q3" s="129"/>
      <c r="R3" s="129"/>
      <c r="S3" s="129"/>
      <c r="T3" s="129"/>
      <c r="U3" s="129"/>
      <c r="V3" s="129"/>
      <c r="W3" s="129"/>
      <c r="X3" s="129"/>
      <c r="Y3" s="129"/>
      <c r="Z3" s="129"/>
    </row>
    <row r="4" spans="1:26" ht="19.95" customHeight="1" thickBot="1" x14ac:dyDescent="0.35">
      <c r="A4" s="3430" t="str">
        <f>"Capa: Documentación &gt; Panel Ejecutivo ICPI · ICPI Global = "&amp;TEXT('M5-ICPI'!G29,"0,00")&amp;"% · "&amp;'DATA-RESULTADOS'!B8&amp;" · Actualización: mensual"</f>
        <v>Capa: Documentación &gt; Panel Ejecutivo ICPI · ICPI Global = 38,28% · Transición Crítica 🟡 · Actualización: mensual</v>
      </c>
      <c r="B4" s="3431"/>
      <c r="C4" s="3432"/>
      <c r="D4" s="3433"/>
      <c r="E4" s="3434"/>
      <c r="F4" s="3435"/>
      <c r="G4" s="3435"/>
      <c r="H4" s="3435"/>
      <c r="I4" s="3435"/>
      <c r="J4" s="3435"/>
      <c r="K4" s="3435"/>
      <c r="L4" s="3435"/>
      <c r="M4" s="3435"/>
      <c r="N4" s="3435"/>
      <c r="O4" s="3435"/>
      <c r="P4" s="3435"/>
      <c r="Q4" s="3436"/>
      <c r="R4" s="3436"/>
      <c r="S4" s="3436"/>
      <c r="T4" s="3436"/>
      <c r="U4" s="3436"/>
      <c r="V4" s="3436"/>
      <c r="W4" s="3436"/>
      <c r="X4" s="3436"/>
      <c r="Y4" s="3436"/>
      <c r="Z4" s="3436"/>
    </row>
    <row r="5" spans="1:26" ht="36" customHeight="1" thickTop="1" x14ac:dyDescent="0.3">
      <c r="A5" s="3421" t="s">
        <v>1</v>
      </c>
      <c r="B5" s="3422"/>
      <c r="C5" s="3356" t="str">
        <f>TEXT('M5-ICPI'!G29,"0,00")&amp;" %"</f>
        <v>38,28 %</v>
      </c>
      <c r="D5" s="3357" t="str">
        <f>IF('M5-ICPI'!G29&gt;=85,"🔵 EXCELENCIA",IF('M5-ICPI'!G29&gt;=70,"🟢 GESTIÓN POR MANDATO",IF('M5-ICPI'!G29&gt;=40,"🟠 TRANSICIÓN CRÍTICA",IF('M5-ICPI'!G29&gt;=20,"🔴 GESTIÓN POR OCURRENCIA","⬛ RUPTURA TOTAL"))))</f>
        <v>🔴 GESTIÓN POR OCURRENCIA</v>
      </c>
      <c r="E5" s="3282" t="str">
        <f>"Brecha vs ICM: "&amp;TEXT('M-TECH-PARAMS'!B7*100-'M5-ICPI'!G29,"0,00")&amp;" pp  ·  Meta 2027: "&amp;TEXT('M-TECH-PARAMS'!B7*100,"0,00")&amp;"%"</f>
        <v>Brecha vs ICM: 61,72 pp  ·  Meta 2027: 100,00%</v>
      </c>
      <c r="F5" s="3249" t="s">
        <v>2</v>
      </c>
      <c r="G5" s="3237">
        <f>COUNTIFS('M5-ICPI'!E5:E24,1,'M5-ICPI'!F5:F24,"&gt;="&amp;0.8)</f>
        <v>4</v>
      </c>
      <c r="H5" s="3237">
        <v>20</v>
      </c>
      <c r="I5" s="3237"/>
      <c r="J5" s="3237"/>
      <c r="K5" s="3237"/>
      <c r="L5" s="3237"/>
      <c r="M5" s="3237"/>
      <c r="N5" s="3237"/>
      <c r="O5" s="3237"/>
      <c r="P5" s="3237"/>
      <c r="Q5" s="688"/>
      <c r="R5" s="688"/>
      <c r="S5" s="688"/>
      <c r="T5" s="688"/>
      <c r="U5" s="688"/>
      <c r="V5" s="688"/>
      <c r="W5" s="688"/>
      <c r="X5" s="688"/>
      <c r="Y5" s="688"/>
      <c r="Z5" s="689"/>
    </row>
    <row r="6" spans="1:26" ht="24" customHeight="1" x14ac:dyDescent="0.3">
      <c r="A6" s="3283" t="s">
        <v>3</v>
      </c>
      <c r="B6" s="3280"/>
      <c r="C6" s="3261"/>
      <c r="D6" s="3281"/>
      <c r="E6" s="3284"/>
      <c r="F6" s="3238"/>
      <c r="G6" s="3238"/>
      <c r="H6" s="3238"/>
      <c r="I6" s="3238"/>
      <c r="J6" s="3238"/>
      <c r="K6" s="3238"/>
      <c r="L6" s="3238"/>
      <c r="M6" s="3238"/>
      <c r="N6" s="3238"/>
      <c r="O6" s="3238"/>
      <c r="P6" s="3238"/>
      <c r="Q6" s="3230"/>
      <c r="R6" s="3230"/>
      <c r="S6" s="3230"/>
      <c r="T6" s="3230"/>
      <c r="U6" s="3230"/>
      <c r="V6" s="3230"/>
      <c r="W6" s="3230"/>
      <c r="X6" s="3230"/>
      <c r="Y6" s="3230"/>
      <c r="Z6" s="3231"/>
    </row>
    <row r="7" spans="1:26" ht="24" customHeight="1" x14ac:dyDescent="0.3">
      <c r="A7" s="1848" t="s">
        <v>4</v>
      </c>
      <c r="B7" s="2917" t="s">
        <v>5</v>
      </c>
      <c r="C7" s="3428" t="s">
        <v>6</v>
      </c>
      <c r="D7" s="3429"/>
      <c r="E7" s="3286" t="s">
        <v>7</v>
      </c>
      <c r="F7" s="3250" t="s">
        <v>8</v>
      </c>
      <c r="G7" s="3239">
        <f>'DATA-ITAM'!B6*100</f>
        <v>80.000000000000014</v>
      </c>
      <c r="H7" s="3239">
        <v>100</v>
      </c>
      <c r="I7" s="1862"/>
      <c r="J7" s="1862"/>
      <c r="K7" s="1862"/>
      <c r="L7" s="2846"/>
      <c r="M7" s="2846"/>
      <c r="N7" s="2846"/>
      <c r="O7" s="2846"/>
      <c r="P7" s="2846"/>
      <c r="Q7" s="3232"/>
      <c r="R7" s="3232"/>
      <c r="S7" s="3232"/>
      <c r="T7" s="3232"/>
      <c r="U7" s="3232"/>
      <c r="V7" s="690"/>
      <c r="W7" s="690"/>
      <c r="X7" s="690"/>
      <c r="Y7" s="690"/>
      <c r="Z7" s="691"/>
    </row>
    <row r="8" spans="1:26" ht="22.05" customHeight="1" x14ac:dyDescent="0.3">
      <c r="A8" s="3288" t="s">
        <v>9</v>
      </c>
      <c r="B8" s="3285" t="str">
        <f>TEXT('M5-ICPI'!G29,"0,00")&amp;" %"</f>
        <v>38,28 %</v>
      </c>
      <c r="C8" s="3417" t="str">
        <f>REPT("█",ROUND('M5-ICPI'!G29/5,0))&amp;REPT("░",20-ROUND('M5-ICPI'!G29/5,0))&amp;"  "&amp;TEXT('M5-ICPI'!G29,"0,00")&amp;" %"</f>
        <v>████████░░░░░░░░░░░░  38,28 %</v>
      </c>
      <c r="D8" s="3418"/>
      <c r="E8" s="3289" t="str">
        <f>"Meta: 92,5 % · "&amp;IF('M5-ICPI'!G29&gt;=85,"🔵 EXCELENCIA",IF('M5-ICPI'!G29&gt;=70,"🟢 GESTIÓN POR MANDATO",IF('M5-ICPI'!G29&gt;=40,"🟠 TRANSICIÓN CRÍTICA",IF('M5-ICPI'!G29&gt;=20,"🔴 GESTIÓN POR OCURRENCIA","⬛ RUPTURA TOTAL"))))&amp;" · Motor ICPI"</f>
        <v>Meta: 92,5 % · 🔴 GESTIÓN POR OCURRENCIA · Motor ICPI</v>
      </c>
      <c r="F8" s="3251" t="s">
        <v>10</v>
      </c>
      <c r="G8" s="3241">
        <f>ABS('M-TECH-PARAMS'!B7*100-'M5-ICPI'!G29)</f>
        <v>61.723387750305889</v>
      </c>
      <c r="H8" s="3241">
        <v>100</v>
      </c>
      <c r="I8" s="2711"/>
      <c r="J8" s="2711"/>
      <c r="K8" s="2711"/>
      <c r="L8" s="3242"/>
      <c r="M8" s="3242"/>
      <c r="N8" s="3242"/>
      <c r="O8" s="3242"/>
      <c r="P8" s="3242"/>
      <c r="Q8" s="267"/>
      <c r="R8" s="267"/>
      <c r="S8" s="267"/>
      <c r="T8" s="267"/>
      <c r="U8" s="267"/>
      <c r="V8" s="690"/>
      <c r="W8" s="690"/>
      <c r="X8" s="690"/>
      <c r="Y8" s="690"/>
      <c r="Z8" s="691"/>
    </row>
    <row r="9" spans="1:26" ht="22.05" customHeight="1" x14ac:dyDescent="0.3">
      <c r="A9" s="3291" t="s">
        <v>11</v>
      </c>
      <c r="B9" s="3287" t="str">
        <f>IF('M5-ICPI'!G29&gt;=85,"🔵 EXCELENCIA",IF('M5-ICPI'!G29&gt;=70,"🟢 GESTIÓN POR MANDATO",IF('M5-ICPI'!G29&gt;=40,"🟠 TRANSICIÓN CRÍTICA",IF('M5-ICPI'!G29&gt;=20,"🔴 GESTIÓN POR OCURRENCIA","⬛ RUPTURA TOTAL"))))</f>
        <v>🔴 GESTIÓN POR OCURRENCIA</v>
      </c>
      <c r="C9" s="3419" t="str">
        <f>"Nivel "&amp;IF('M5-ICPI'!G29&gt;=85,"1",IF('M5-ICPI'!G29&gt;=70,"2",IF('M5-ICPI'!G29&gt;=40,"3",IF('M5-ICPI'!G29&gt;=20,"4","5"))))&amp;" de 5 — §3.7 SIAP-ICPI"</f>
        <v>Nivel 4 de 5 — §3.7 SIAP-ICPI</v>
      </c>
      <c r="D9" s="3420"/>
      <c r="E9" s="3292" t="s">
        <v>12</v>
      </c>
      <c r="F9" s="2063"/>
      <c r="G9" s="1861"/>
      <c r="H9" s="1861"/>
      <c r="I9" s="1861"/>
      <c r="J9" s="1861"/>
      <c r="K9" s="1861"/>
      <c r="L9" s="1107"/>
      <c r="M9" s="1107"/>
      <c r="N9" s="1107"/>
      <c r="O9" s="1107"/>
      <c r="P9" s="1107"/>
      <c r="Q9" s="3232"/>
      <c r="R9" s="3232"/>
      <c r="S9" s="3232"/>
      <c r="T9" s="3232"/>
      <c r="U9" s="3232"/>
      <c r="V9" s="690"/>
      <c r="W9" s="690"/>
      <c r="X9" s="690"/>
      <c r="Y9" s="690"/>
      <c r="Z9" s="691"/>
    </row>
    <row r="10" spans="1:26" ht="22.05" customHeight="1" x14ac:dyDescent="0.3">
      <c r="A10" s="3288" t="s">
        <v>0</v>
      </c>
      <c r="B10" s="3290" t="str">
        <f>TEXT('M-TECH-PARAMS'!B7*100,"0,00")&amp;" %"</f>
        <v>100,00 %</v>
      </c>
      <c r="C10" s="3417" t="str">
        <f>REPT("█",ROUND('M-TECH-PARAMS'!B7*100/5,0))&amp;REPT("░",20-ROUND('M-TECH-PARAMS'!B7*100/5,0))&amp;"  "&amp;TEXT('M-TECH-PARAMS'!B7*100,"0,00")&amp;" %"</f>
        <v>████████████████████  100,00 %</v>
      </c>
      <c r="D10" s="3418"/>
      <c r="E10" s="3289" t="str">
        <f>"Mandato OK · SIGAD · Brecha integridad: "&amp;TEXT('M-TECH-PARAMS'!B7*100-'M5-ICPI'!G29,"0,00")&amp;" pp"</f>
        <v>Mandato OK · SIGAD · Brecha integridad: 61,72 pp</v>
      </c>
      <c r="F10" s="3251"/>
      <c r="G10" s="2711"/>
      <c r="H10" s="2711"/>
      <c r="I10" s="2711"/>
      <c r="J10" s="2711"/>
      <c r="K10" s="2711"/>
      <c r="L10" s="3242"/>
      <c r="M10" s="3242"/>
      <c r="N10" s="3242"/>
      <c r="O10" s="3242"/>
      <c r="P10" s="3242"/>
      <c r="Q10" s="267"/>
      <c r="R10" s="267"/>
      <c r="S10" s="267"/>
      <c r="T10" s="267"/>
      <c r="U10" s="267"/>
      <c r="V10" s="690"/>
      <c r="W10" s="690"/>
      <c r="X10" s="690"/>
      <c r="Y10" s="690"/>
      <c r="Z10" s="691"/>
    </row>
    <row r="11" spans="1:26" ht="22.05" customHeight="1" x14ac:dyDescent="0.3">
      <c r="A11" s="3291" t="s">
        <v>13</v>
      </c>
      <c r="B11" s="3293" t="str">
        <f>TEXT('M-TECH-PARAMS'!B7*100-'M5-ICPI'!G29,"0,00")&amp;" pp"</f>
        <v>61,72 pp</v>
      </c>
      <c r="C11" s="3419" t="str">
        <f>REPT("█",ROUND(ABS('M-TECH-PARAMS'!B7*100-'M5-ICPI'!G29)/5,0))&amp;REPT("░",20-ROUND(ABS('M-TECH-PARAMS'!B7*100-'M5-ICPI'!G29)/5,0))&amp;"  "&amp;TEXT('M-TECH-PARAMS'!B7*100-'M5-ICPI'!G29,"0,00")&amp;" pp"</f>
        <v>████████████░░░░░░░░  61,72 pp</v>
      </c>
      <c r="D11" s="3420"/>
      <c r="E11" s="3295" t="s">
        <v>14</v>
      </c>
      <c r="F11" s="2063" t="s">
        <v>15</v>
      </c>
      <c r="G11" s="1861" t="s">
        <v>16</v>
      </c>
      <c r="H11" s="1861"/>
      <c r="I11" s="1861"/>
      <c r="J11" s="1861"/>
      <c r="K11" s="1861"/>
      <c r="L11" s="1107"/>
      <c r="M11" s="1107"/>
      <c r="N11" s="1107"/>
      <c r="O11" s="1107"/>
      <c r="P11" s="1107"/>
      <c r="Q11" s="3232"/>
      <c r="R11" s="3232"/>
      <c r="S11" s="3232"/>
      <c r="T11" s="3232"/>
      <c r="U11" s="3232"/>
      <c r="V11" s="690"/>
      <c r="W11" s="690"/>
      <c r="X11" s="690"/>
      <c r="Y11" s="690"/>
      <c r="Z11" s="691"/>
    </row>
    <row r="12" spans="1:26" ht="22.05" customHeight="1" x14ac:dyDescent="0.3">
      <c r="A12" s="3288" t="s">
        <v>17</v>
      </c>
      <c r="B12" s="3294" t="str">
        <f>COUNTIF('M5-ICPI'!E5:E24,1)&amp;" / 20  ("&amp;TEXT(COUNTIF('M5-ICPI'!E5:E24,1)/20,"0%")&amp;")"</f>
        <v>15 / 20  (75%)</v>
      </c>
      <c r="C12" s="3417" t="str">
        <f>REPT("█",ROUND(COUNTIF('M5-ICPI'!E5:E24,1),0))&amp;REPT("░",20-ROUND(COUNTIF('M5-ICPI'!E5:E24,1),0))&amp;"  "&amp;COUNTIF('M5-ICPI'!E5:E24,1)&amp;" / 20"</f>
        <v>███████████████░░░░░  15 / 20</v>
      </c>
      <c r="D12" s="3418"/>
      <c r="E12" s="3289" t="s">
        <v>18</v>
      </c>
      <c r="F12" s="3251" t="s">
        <v>19</v>
      </c>
      <c r="G12" s="3243">
        <f>'DATA-EJES'!D4</f>
        <v>25.798731156968657</v>
      </c>
      <c r="H12" s="2711"/>
      <c r="I12" s="2711"/>
      <c r="J12" s="2711"/>
      <c r="K12" s="2711"/>
      <c r="L12" s="3242"/>
      <c r="M12" s="3242"/>
      <c r="N12" s="3242"/>
      <c r="O12" s="3242"/>
      <c r="P12" s="3242"/>
      <c r="Q12" s="267"/>
      <c r="R12" s="267"/>
      <c r="S12" s="267"/>
      <c r="T12" s="267"/>
      <c r="U12" s="267"/>
      <c r="V12" s="690"/>
      <c r="W12" s="690"/>
      <c r="X12" s="690"/>
      <c r="Y12" s="690"/>
      <c r="Z12" s="691"/>
    </row>
    <row r="13" spans="1:26" ht="22.05" customHeight="1" x14ac:dyDescent="0.3">
      <c r="A13" s="3291" t="s">
        <v>20</v>
      </c>
      <c r="B13" s="3287" t="str">
        <f>COUNTIFS('M5-ICPI'!E5:E24,1,'M5-ICPI'!F5:F24,"&gt;="&amp;0.8)&amp;" / 20  ("&amp;TEXT(COUNTIFS('M5-ICPI'!E5:E24,1,'M5-ICPI'!F5:F24,"&gt;="&amp;0.8)/20,"0%")&amp;")"</f>
        <v>4 / 20  (20%)</v>
      </c>
      <c r="C13" s="3419" t="str">
        <f>REPT("█",COUNTIFS('M5-ICPI'!E5:E24,1,'M5-ICPI'!F5:F24,"&gt;="&amp;0.8))&amp;REPT("░",20-COUNTIFS('M5-ICPI'!E5:E24,1,'M5-ICPI'!F5:F24,"&gt;="&amp;0.8))&amp;"  "&amp;COUNTIFS('M5-ICPI'!E5:E24,1,'M5-ICPI'!F5:F24,"&gt;="&amp;0.8)&amp;" / 20"</f>
        <v>████░░░░░░░░░░░░░░░░  4 / 20</v>
      </c>
      <c r="D13" s="3420"/>
      <c r="E13" s="3292" t="s">
        <v>21</v>
      </c>
      <c r="F13" s="2063" t="s">
        <v>22</v>
      </c>
      <c r="G13" s="3240">
        <f>'DATA-EJES'!D5</f>
        <v>51.686757985993069</v>
      </c>
      <c r="H13" s="1861"/>
      <c r="I13" s="1861"/>
      <c r="J13" s="1861"/>
      <c r="K13" s="1861"/>
      <c r="L13" s="1107"/>
      <c r="M13" s="1107"/>
      <c r="N13" s="1107"/>
      <c r="O13" s="1107"/>
      <c r="P13" s="1107"/>
      <c r="Q13" s="3232"/>
      <c r="R13" s="3232"/>
      <c r="S13" s="3232"/>
      <c r="T13" s="3232"/>
      <c r="U13" s="3232"/>
      <c r="V13" s="690"/>
      <c r="W13" s="690"/>
      <c r="X13" s="690"/>
      <c r="Y13" s="690"/>
      <c r="Z13" s="691"/>
    </row>
    <row r="14" spans="1:26" ht="22.05" customHeight="1" x14ac:dyDescent="0.3">
      <c r="A14" s="3131" t="s">
        <v>23</v>
      </c>
      <c r="B14" s="3105" t="str">
        <f>TEXT('DATA-ITAM'!B6*100,"0,0")&amp;" %"</f>
        <v>80,0 %</v>
      </c>
      <c r="C14" s="3417" t="str">
        <f>REPT("█",ROUND('DATA-ITAM'!B6*20,0))&amp;REPT("░",20-ROUND('DATA-ITAM'!B6*20,0))&amp;"  "&amp;TEXT('DATA-ITAM'!B6*100,"0,0")&amp;" %"</f>
        <v>████████████████░░░░  80,0 %</v>
      </c>
      <c r="D14" s="3418"/>
      <c r="E14" s="3145" t="s">
        <v>24</v>
      </c>
      <c r="F14" s="3251" t="s">
        <v>25</v>
      </c>
      <c r="G14" s="3241">
        <f>'DATA-EJES'!D6</f>
        <v>44.93166376639391</v>
      </c>
      <c r="H14" s="2711"/>
      <c r="I14" s="2711"/>
      <c r="J14" s="2711"/>
      <c r="K14" s="2711"/>
      <c r="L14" s="3242"/>
      <c r="M14" s="3242"/>
      <c r="N14" s="3242"/>
      <c r="O14" s="3242"/>
      <c r="P14" s="3242"/>
      <c r="Q14" s="267"/>
      <c r="R14" s="267"/>
      <c r="S14" s="267"/>
      <c r="T14" s="267"/>
      <c r="U14" s="267"/>
      <c r="V14" s="690"/>
      <c r="W14" s="690"/>
      <c r="X14" s="690"/>
      <c r="Y14" s="690"/>
      <c r="Z14" s="691"/>
    </row>
    <row r="15" spans="1:26" ht="24" customHeight="1" x14ac:dyDescent="0.3">
      <c r="A15" s="3366" t="s">
        <v>26</v>
      </c>
      <c r="B15" s="3367"/>
      <c r="C15" s="3368"/>
      <c r="D15" s="3369"/>
      <c r="E15" s="3370"/>
      <c r="F15" s="3371"/>
      <c r="G15" s="3371"/>
      <c r="H15" s="3371"/>
      <c r="I15" s="3371"/>
      <c r="J15" s="3371"/>
      <c r="K15" s="3371"/>
      <c r="L15" s="3371"/>
      <c r="M15" s="3371"/>
      <c r="N15" s="3371"/>
      <c r="O15" s="3371"/>
      <c r="P15" s="3371"/>
      <c r="Q15" s="3372"/>
      <c r="R15" s="3372"/>
      <c r="S15" s="3372"/>
      <c r="T15" s="3372"/>
      <c r="U15" s="3372"/>
      <c r="V15" s="3372"/>
      <c r="W15" s="3372"/>
      <c r="X15" s="3372"/>
      <c r="Y15" s="3372"/>
      <c r="Z15" s="3373"/>
    </row>
    <row r="16" spans="1:26" ht="22.05" customHeight="1" x14ac:dyDescent="0.3">
      <c r="A16" s="1848" t="s">
        <v>28</v>
      </c>
      <c r="B16" s="2917" t="s">
        <v>16</v>
      </c>
      <c r="C16" s="1781" t="s">
        <v>6</v>
      </c>
      <c r="D16" s="2918" t="s">
        <v>29</v>
      </c>
      <c r="E16" s="1850" t="s">
        <v>30</v>
      </c>
      <c r="F16" s="3250" t="s">
        <v>31</v>
      </c>
      <c r="G16" s="3239">
        <f>'DATA-EJES'!D8</f>
        <v>60.151290496607871</v>
      </c>
      <c r="H16" s="1862"/>
      <c r="I16" s="1862"/>
      <c r="J16" s="1862"/>
      <c r="K16" s="1862"/>
      <c r="L16" s="2846"/>
      <c r="M16" s="2846"/>
      <c r="N16" s="2846"/>
      <c r="O16" s="2846"/>
      <c r="P16" s="2846"/>
      <c r="Q16" s="267"/>
      <c r="R16" s="267"/>
      <c r="S16" s="267"/>
      <c r="T16" s="267"/>
      <c r="U16" s="267"/>
      <c r="V16" s="690"/>
      <c r="W16" s="690"/>
      <c r="X16" s="690"/>
      <c r="Y16" s="690"/>
      <c r="Z16" s="691"/>
    </row>
    <row r="17" spans="1:26" ht="22.05" customHeight="1" x14ac:dyDescent="0.3">
      <c r="A17" s="3291" t="s">
        <v>19</v>
      </c>
      <c r="B17" s="3287" t="str">
        <f>TEXT('DATA-EJES'!D4,"0,0")&amp;" %"</f>
        <v>25,8 %</v>
      </c>
      <c r="C17" s="3262" t="str">
        <f>REPT("█",ROUND('DATA-EJES'!D4/5,0))&amp;REPT("░",20-ROUND('DATA-EJES'!D4/5,0))&amp;"  "&amp;TEXT('DATA-EJES'!D4,"0,0")&amp;" %"</f>
        <v>█████░░░░░░░░░░░░░░░  25,8 %</v>
      </c>
      <c r="D17" s="3296" t="str">
        <f>TEXT(SUMIF('M5-ICPI'!B5:B24,"TERRITORIAL",'M5-ICPI'!H5:H24)/SUMIF('M5-ICPI'!H5:H24,"&gt;0",'M5-ICPI'!H5:H24),"0,0%")</f>
        <v>0,0%</v>
      </c>
      <c r="E17" s="3298" t="str">
        <f>IF('DATA-EJES'!D4&gt;=85,"🔵 EXCELENCIA",IF('DATA-EJES'!D4&gt;=70,"🟢 GESTIÓN POR MANDATO",IF('DATA-EJES'!D4&gt;=40,"🟠 TRANSICIÓN CRÍTICA",IF('DATA-EJES'!D4&gt;=20,"🔴 GESTIÓN POR OCURRENCIA","⬛ RUPTURA TOTAL"))))</f>
        <v>🔴 GESTIÓN POR OCURRENCIA</v>
      </c>
      <c r="F17" s="2909"/>
      <c r="G17" s="2844"/>
      <c r="H17" s="2844"/>
      <c r="I17" s="2844"/>
      <c r="J17" s="2844"/>
      <c r="K17" s="2844"/>
      <c r="L17" s="2845"/>
      <c r="M17" s="2845"/>
      <c r="N17" s="2845"/>
      <c r="O17" s="2845"/>
      <c r="P17" s="2845"/>
      <c r="Q17" s="3232"/>
      <c r="R17" s="3232"/>
      <c r="S17" s="3232"/>
      <c r="T17" s="3232"/>
      <c r="U17" s="3232"/>
      <c r="V17" s="690"/>
      <c r="W17" s="690"/>
      <c r="X17" s="690"/>
      <c r="Y17" s="690"/>
      <c r="Z17" s="691"/>
    </row>
    <row r="18" spans="1:26" ht="22.05" customHeight="1" x14ac:dyDescent="0.3">
      <c r="A18" s="3288" t="s">
        <v>22</v>
      </c>
      <c r="B18" s="3290" t="str">
        <f>TEXT('DATA-EJES'!D5,"0,0")&amp;" %"</f>
        <v>51,7 %</v>
      </c>
      <c r="C18" s="3263" t="str">
        <f>REPT("█",ROUND('DATA-EJES'!D5/5,0))&amp;REPT("░",20-ROUND('DATA-EJES'!D5/5,0))&amp;"  "&amp;TEXT('DATA-EJES'!D5,"0,0")&amp;" %"</f>
        <v>██████████░░░░░░░░░░  51,7 %</v>
      </c>
      <c r="D18" s="3297" t="str">
        <f>TEXT(SUMIF('M5-ICPI'!B5:B24,"SOCIAL",'M5-ICPI'!H5:H24)/SUMIF('M5-ICPI'!H5:H24,"&gt;0",'M5-ICPI'!H5:H24),"0,0%")</f>
        <v>0,0%</v>
      </c>
      <c r="E18" s="3299" t="str">
        <f>IF('DATA-EJES'!D5&gt;=85,"🔵 EXCELENCIA",IF('DATA-EJES'!D5&gt;=70,"🟢 GESTIÓN POR MANDATO",IF('DATA-EJES'!D5&gt;=40,"🟠 TRANSICIÓN CRÍTICA",IF('DATA-EJES'!D5&gt;=20,"🔴 GESTIÓN POR OCURRENCIA","⬛ RUPTURA TOTAL"))))</f>
        <v>🟠 TRANSICIÓN CRÍTICA</v>
      </c>
      <c r="F18" s="2908" t="s">
        <v>32</v>
      </c>
      <c r="G18" s="2842" t="s">
        <v>33</v>
      </c>
      <c r="H18" s="2842"/>
      <c r="I18" s="2842"/>
      <c r="J18" s="2842"/>
      <c r="K18" s="2842"/>
      <c r="L18" s="2843"/>
      <c r="M18" s="2843"/>
      <c r="N18" s="2843"/>
      <c r="O18" s="2843"/>
      <c r="P18" s="2843"/>
      <c r="Q18" s="267"/>
      <c r="R18" s="267"/>
      <c r="S18" s="267"/>
      <c r="T18" s="267"/>
      <c r="U18" s="267"/>
      <c r="V18" s="690"/>
      <c r="W18" s="690"/>
      <c r="X18" s="690"/>
      <c r="Y18" s="690"/>
      <c r="Z18" s="691"/>
    </row>
    <row r="19" spans="1:26" ht="22.05" customHeight="1" x14ac:dyDescent="0.3">
      <c r="A19" s="3291" t="s">
        <v>25</v>
      </c>
      <c r="B19" s="3293" t="str">
        <f>TEXT('DATA-EJES'!D6,"0,0")&amp;" %"</f>
        <v>44,9 %</v>
      </c>
      <c r="C19" s="3262" t="str">
        <f>REPT("█",ROUND('DATA-EJES'!D6/5,0))&amp;REPT("░",20-ROUND('DATA-EJES'!D6/5,0))&amp;"  "&amp;TEXT('DATA-EJES'!D6,"0,0")&amp;" %"</f>
        <v>█████████░░░░░░░░░░░  44,9 %</v>
      </c>
      <c r="D19" s="3296" t="str">
        <f>TEXT(SUMIF('M5-ICPI'!B5:B24,"AMBIENTAL",'M5-ICPI'!H5:H24)/SUMIF('M5-ICPI'!H5:H24,"&gt;0",'M5-ICPI'!H5:H24),"0,0%")</f>
        <v>17,8%</v>
      </c>
      <c r="E19" s="3298" t="str">
        <f>IF('DATA-EJES'!D6&gt;=85,"🔵 EXCELENCIA",IF('DATA-EJES'!D6&gt;=70,"🟢 GESTIÓN POR MANDATO",IF('DATA-EJES'!D6&gt;=40,"🟠 TRANSICIÓN CRÍTICA",IF('DATA-EJES'!D6&gt;=20,"🔴 GESTIÓN POR OCURRENCIA","⬛ RUPTURA TOTAL"))))</f>
        <v>🟠 TRANSICIÓN CRÍTICA</v>
      </c>
      <c r="F19" s="3252" t="s">
        <v>34</v>
      </c>
      <c r="G19" s="3244">
        <f>COUNTIFS('M4-AUDIT'!X5:X24,1,'M4-AUDIT'!Y5:Y24,"&gt;="&amp;0.8)</f>
        <v>1</v>
      </c>
      <c r="H19" s="3244">
        <f>COUNTIFS('M4-AUDIT'!X5:X24,1,'M4-AUDIT'!Y5:Y24,"&gt;="&amp;0.99)</f>
        <v>0</v>
      </c>
      <c r="I19" s="2844"/>
      <c r="J19" s="2844"/>
      <c r="K19" s="2844"/>
      <c r="L19" s="2845"/>
      <c r="M19" s="2845"/>
      <c r="N19" s="2845"/>
      <c r="O19" s="2845"/>
      <c r="P19" s="2845"/>
      <c r="Q19" s="3232"/>
      <c r="R19" s="3232"/>
      <c r="S19" s="3232"/>
      <c r="T19" s="3232"/>
      <c r="U19" s="3232"/>
      <c r="V19" s="690"/>
      <c r="W19" s="690"/>
      <c r="X19" s="690"/>
      <c r="Y19" s="690"/>
      <c r="Z19" s="691"/>
    </row>
    <row r="20" spans="1:26" ht="22.05" customHeight="1" x14ac:dyDescent="0.3">
      <c r="A20" s="3288" t="s">
        <v>27</v>
      </c>
      <c r="B20" s="3290" t="str">
        <f>TEXT('DATA-EJES'!D7,"0,0")&amp;" %"</f>
        <v>70,0 %</v>
      </c>
      <c r="C20" s="3263" t="str">
        <f>REPT("█",ROUND('DATA-EJES'!D7/5,0))&amp;REPT("░",20-ROUND('DATA-EJES'!D7/5,0))&amp;"  "&amp;TEXT('DATA-EJES'!D7,"0,0")&amp;" %"</f>
        <v>██████████████░░░░░░  70,0 %</v>
      </c>
      <c r="D20" s="3297" t="str">
        <f>TEXT(SUMIF('M5-ICPI'!B5:B24,"ECONÓMICO",'M5-ICPI'!H5:H24)/SUMIF('M5-ICPI'!H5:H24,"&gt;0",'M5-ICPI'!H5:H24),"0,0%")</f>
        <v>0,0%</v>
      </c>
      <c r="E20" s="3299" t="str">
        <f>IF('DATA-EJES'!D7&gt;=85,"🔵 EXCELENCIA",IF('DATA-EJES'!D7&gt;=70,"🟢 GESTIÓN POR MANDATO",IF('DATA-EJES'!D7&gt;=40,"🟠 TRANSICIÓN CRÍTICA",IF('DATA-EJES'!D7&gt;=20,"🔴 GESTIÓN POR OCURRENCIA","⬛ RUPTURA TOTAL"))))</f>
        <v>🟢 GESTIÓN POR MANDATO</v>
      </c>
      <c r="F20" s="3253" t="s">
        <v>35</v>
      </c>
      <c r="G20" s="3245">
        <f>COUNTIF('M4-AUDIT'!X5:X24,1)-COUNTIFS('M4-AUDIT'!X5:X24,1,'M4-AUDIT'!Y5:Y24,"&gt;="&amp;0.8)</f>
        <v>7</v>
      </c>
      <c r="H20" s="3245">
        <f>COUNTIF('M4-AUDIT'!X5:X24,1)-COUNTIFS('M4-AUDIT'!X5:X24,1,'M4-AUDIT'!Y5:Y24,"&gt;="&amp;0.99)</f>
        <v>8</v>
      </c>
      <c r="I20" s="2842"/>
      <c r="J20" s="2842"/>
      <c r="K20" s="2842"/>
      <c r="L20" s="2843"/>
      <c r="M20" s="2843"/>
      <c r="N20" s="2843"/>
      <c r="O20" s="2843"/>
      <c r="P20" s="2843"/>
      <c r="Q20" s="267"/>
      <c r="R20" s="267"/>
      <c r="S20" s="267"/>
      <c r="T20" s="267"/>
      <c r="U20" s="267"/>
      <c r="V20" s="690"/>
      <c r="W20" s="690"/>
      <c r="X20" s="690"/>
      <c r="Y20" s="690"/>
      <c r="Z20" s="691"/>
    </row>
    <row r="21" spans="1:26" ht="22.05" customHeight="1" x14ac:dyDescent="0.3">
      <c r="A21" s="3291" t="s">
        <v>31</v>
      </c>
      <c r="B21" s="3293" t="str">
        <f>TEXT('DATA-EJES'!D8,"0,0")&amp;" %"</f>
        <v>60,2 %</v>
      </c>
      <c r="C21" s="3262" t="str">
        <f>REPT("█",ROUND('DATA-EJES'!D8/5,0))&amp;REPT("░",20-ROUND('DATA-EJES'!D8/5,0))&amp;"  "&amp;TEXT('DATA-EJES'!D8,"0,0")&amp;" %"</f>
        <v>████████████░░░░░░░░  60,2 %</v>
      </c>
      <c r="D21" s="3296" t="str">
        <f>TEXT(SUMIF('M5-ICPI'!B5:B24,"INSTITUCIONAL",'M5-ICPI'!H5:H24)/SUMIF('M5-ICPI'!H5:H24,"&gt;0",'M5-ICPI'!H5:H24),"0,0%")</f>
        <v>0,0%</v>
      </c>
      <c r="E21" s="3298" t="str">
        <f>IF('DATA-EJES'!D8&gt;=85,"🔵 EXCELENCIA",IF('DATA-EJES'!D8&gt;=70,"🟢 GESTIÓN POR MANDATO",IF('DATA-EJES'!D8&gt;=40,"🟠 TRANSICIÓN CRÍTICA",IF('DATA-EJES'!D8&gt;=20,"🔴 GESTIÓN POR OCURRENCIA","⬛ RUPTURA TOTAL"))))</f>
        <v>🟠 TRANSICIÓN CRÍTICA</v>
      </c>
      <c r="F21" s="2909" t="s">
        <v>36</v>
      </c>
      <c r="G21" s="3244">
        <f>20-COUNTIF('M4-AUDIT'!X5:X24,1)</f>
        <v>12</v>
      </c>
      <c r="H21" s="3244">
        <f>20-COUNTIF('M4-AUDIT'!X5:X24,1)</f>
        <v>12</v>
      </c>
      <c r="I21" s="2844"/>
      <c r="J21" s="2844"/>
      <c r="K21" s="2844"/>
      <c r="L21" s="2845"/>
      <c r="M21" s="2845"/>
      <c r="N21" s="2845"/>
      <c r="O21" s="2845"/>
      <c r="P21" s="2845"/>
      <c r="Q21" s="3232"/>
      <c r="R21" s="3232"/>
      <c r="S21" s="3232"/>
      <c r="T21" s="3232"/>
      <c r="U21" s="3232"/>
      <c r="V21" s="690"/>
      <c r="W21" s="690"/>
      <c r="X21" s="690"/>
      <c r="Y21" s="690"/>
      <c r="Z21" s="691"/>
    </row>
    <row r="22" spans="1:26" s="44" customFormat="1" ht="24" customHeight="1" x14ac:dyDescent="0.3">
      <c r="A22" s="3374" t="s">
        <v>37</v>
      </c>
      <c r="B22" s="3375"/>
      <c r="C22" s="3376"/>
      <c r="D22" s="3377"/>
      <c r="E22" s="3378"/>
      <c r="F22" s="3379"/>
      <c r="G22" s="3379"/>
      <c r="H22" s="3379"/>
      <c r="I22" s="3379"/>
      <c r="J22" s="3379"/>
      <c r="K22" s="3379"/>
      <c r="L22" s="3379"/>
      <c r="M22" s="3379"/>
      <c r="N22" s="3379"/>
      <c r="O22" s="3379"/>
      <c r="P22" s="3379"/>
      <c r="Q22" s="3380"/>
      <c r="R22" s="3380"/>
      <c r="S22" s="3380"/>
      <c r="T22" s="3380"/>
      <c r="U22" s="3380"/>
      <c r="V22" s="3380"/>
      <c r="W22" s="3380"/>
      <c r="X22" s="3380"/>
      <c r="Y22" s="3380"/>
      <c r="Z22" s="3381"/>
    </row>
    <row r="23" spans="1:26" ht="24" customHeight="1" x14ac:dyDescent="0.3">
      <c r="A23" s="3374"/>
      <c r="B23" s="3375"/>
      <c r="C23" s="3376"/>
      <c r="D23" s="3377"/>
      <c r="E23" s="3378"/>
      <c r="F23" s="3382"/>
      <c r="G23" s="3382"/>
      <c r="H23" s="3382"/>
      <c r="I23" s="3382"/>
      <c r="J23" s="3382"/>
      <c r="K23" s="3382"/>
      <c r="L23" s="3382"/>
      <c r="M23" s="3382"/>
      <c r="N23" s="3382"/>
      <c r="O23" s="3382"/>
      <c r="P23" s="3382"/>
      <c r="Q23" s="3383"/>
      <c r="R23" s="3383"/>
      <c r="S23" s="3383"/>
      <c r="T23" s="3383"/>
      <c r="U23" s="3383"/>
      <c r="V23" s="3383"/>
      <c r="W23" s="3383"/>
      <c r="X23" s="3383"/>
      <c r="Y23" s="3383"/>
      <c r="Z23" s="3384"/>
    </row>
    <row r="24" spans="1:26" s="13" customFormat="1" ht="22.05" customHeight="1" x14ac:dyDescent="0.3">
      <c r="A24" s="2863" t="s">
        <v>38</v>
      </c>
      <c r="B24" s="2861" t="s">
        <v>39</v>
      </c>
      <c r="C24" s="1869" t="s">
        <v>40</v>
      </c>
      <c r="D24" s="2876" t="s">
        <v>41</v>
      </c>
      <c r="E24" s="2883" t="s">
        <v>42</v>
      </c>
      <c r="F24" s="1705"/>
      <c r="G24" s="271"/>
      <c r="H24" s="271"/>
      <c r="I24" s="271"/>
      <c r="J24" s="271"/>
      <c r="K24" s="271"/>
      <c r="L24" s="271"/>
      <c r="M24" s="271"/>
      <c r="N24" s="271"/>
      <c r="O24" s="271"/>
      <c r="P24" s="271"/>
      <c r="Q24" s="271"/>
      <c r="R24" s="271"/>
      <c r="S24" s="271"/>
      <c r="T24" s="271"/>
      <c r="U24" s="271"/>
      <c r="V24" s="3233"/>
      <c r="W24" s="3233"/>
      <c r="X24" s="3233"/>
      <c r="Y24" s="3233"/>
      <c r="Z24" s="3234"/>
    </row>
    <row r="25" spans="1:26" ht="22.05" customHeight="1" x14ac:dyDescent="0.3">
      <c r="A25" s="3301">
        <v>1</v>
      </c>
      <c r="B25" s="2953" t="s">
        <v>43</v>
      </c>
      <c r="C25" s="1826" t="s">
        <v>44</v>
      </c>
      <c r="D25" s="3300" t="s">
        <v>45</v>
      </c>
      <c r="E25" s="3303" t="s">
        <v>46</v>
      </c>
      <c r="F25" s="3254"/>
      <c r="G25" s="3232"/>
      <c r="H25" s="3232"/>
      <c r="I25" s="3232"/>
      <c r="J25" s="3232"/>
      <c r="K25" s="3232"/>
      <c r="L25" s="3232"/>
      <c r="M25" s="3232"/>
      <c r="N25" s="3232"/>
      <c r="O25" s="3232"/>
      <c r="P25" s="3232"/>
      <c r="Q25" s="3232"/>
      <c r="R25" s="3232"/>
      <c r="S25" s="3232"/>
      <c r="T25" s="3232"/>
      <c r="U25" s="3232"/>
      <c r="V25" s="690"/>
      <c r="W25" s="690"/>
      <c r="X25" s="690"/>
      <c r="Y25" s="690"/>
      <c r="Z25" s="691"/>
    </row>
    <row r="26" spans="1:26" ht="22.05" customHeight="1" x14ac:dyDescent="0.3">
      <c r="A26" s="3304">
        <v>2</v>
      </c>
      <c r="B26" s="2955" t="s">
        <v>47</v>
      </c>
      <c r="C26" s="3096" t="s">
        <v>44</v>
      </c>
      <c r="D26" s="3302" t="s">
        <v>48</v>
      </c>
      <c r="E26" s="3306" t="s">
        <v>49</v>
      </c>
      <c r="F26" s="316"/>
      <c r="G26" s="267"/>
      <c r="H26" s="267"/>
      <c r="I26" s="267"/>
      <c r="J26" s="267"/>
      <c r="K26" s="267"/>
      <c r="L26" s="267"/>
      <c r="M26" s="267"/>
      <c r="N26" s="267"/>
      <c r="O26" s="267"/>
      <c r="P26" s="267"/>
      <c r="Q26" s="267"/>
      <c r="R26" s="267"/>
      <c r="S26" s="267"/>
      <c r="T26" s="267"/>
      <c r="U26" s="267"/>
      <c r="V26" s="690"/>
      <c r="W26" s="690"/>
      <c r="X26" s="690"/>
      <c r="Y26" s="690"/>
      <c r="Z26" s="691"/>
    </row>
    <row r="27" spans="1:26" ht="22.05" customHeight="1" x14ac:dyDescent="0.3">
      <c r="A27" s="3301">
        <v>3</v>
      </c>
      <c r="B27" s="2953" t="s">
        <v>50</v>
      </c>
      <c r="C27" s="1826" t="s">
        <v>44</v>
      </c>
      <c r="D27" s="3305" t="s">
        <v>51</v>
      </c>
      <c r="E27" s="3303" t="s">
        <v>52</v>
      </c>
      <c r="F27" s="3254"/>
      <c r="G27" s="3232"/>
      <c r="H27" s="3232"/>
      <c r="I27" s="3232"/>
      <c r="J27" s="3232"/>
      <c r="K27" s="3232"/>
      <c r="L27" s="3232"/>
      <c r="M27" s="3232"/>
      <c r="N27" s="3232"/>
      <c r="O27" s="3232"/>
      <c r="P27" s="3232"/>
      <c r="Q27" s="3232"/>
      <c r="R27" s="3232"/>
      <c r="S27" s="3232"/>
      <c r="T27" s="3232"/>
      <c r="U27" s="3232"/>
      <c r="V27" s="690"/>
      <c r="W27" s="690"/>
      <c r="X27" s="690"/>
      <c r="Y27" s="690"/>
      <c r="Z27" s="691"/>
    </row>
    <row r="28" spans="1:26" ht="22.05" customHeight="1" x14ac:dyDescent="0.3">
      <c r="A28" s="3304">
        <v>4</v>
      </c>
      <c r="B28" s="2955" t="s">
        <v>53</v>
      </c>
      <c r="C28" s="3096" t="s">
        <v>54</v>
      </c>
      <c r="D28" s="3307" t="s">
        <v>55</v>
      </c>
      <c r="E28" s="3306" t="s">
        <v>56</v>
      </c>
      <c r="F28" s="316"/>
      <c r="G28" s="267"/>
      <c r="H28" s="267"/>
      <c r="I28" s="267"/>
      <c r="J28" s="267"/>
      <c r="K28" s="267"/>
      <c r="L28" s="267"/>
      <c r="M28" s="267"/>
      <c r="N28" s="267"/>
      <c r="O28" s="267"/>
      <c r="P28" s="267"/>
      <c r="Q28" s="267"/>
      <c r="R28" s="267"/>
      <c r="S28" s="267"/>
      <c r="T28" s="267"/>
      <c r="U28" s="267"/>
      <c r="V28" s="690"/>
      <c r="W28" s="690"/>
      <c r="X28" s="690"/>
      <c r="Y28" s="690"/>
      <c r="Z28" s="691"/>
    </row>
    <row r="29" spans="1:26" ht="22.05" customHeight="1" x14ac:dyDescent="0.3">
      <c r="A29" s="3301">
        <v>5</v>
      </c>
      <c r="B29" s="2953" t="s">
        <v>57</v>
      </c>
      <c r="C29" s="1826" t="s">
        <v>58</v>
      </c>
      <c r="D29" s="3305" t="s">
        <v>59</v>
      </c>
      <c r="E29" s="3303" t="s">
        <v>60</v>
      </c>
      <c r="F29" s="3254"/>
      <c r="G29" s="3232"/>
      <c r="H29" s="3232"/>
      <c r="I29" s="3232"/>
      <c r="J29" s="3232"/>
      <c r="K29" s="3232"/>
      <c r="L29" s="3232"/>
      <c r="M29" s="3232"/>
      <c r="N29" s="3232"/>
      <c r="O29" s="3232"/>
      <c r="P29" s="3232"/>
      <c r="Q29" s="3232"/>
      <c r="R29" s="3232"/>
      <c r="S29" s="3232"/>
      <c r="T29" s="3232"/>
      <c r="U29" s="3232"/>
      <c r="V29" s="690"/>
      <c r="W29" s="690"/>
      <c r="X29" s="690"/>
      <c r="Y29" s="690"/>
      <c r="Z29" s="691"/>
    </row>
    <row r="30" spans="1:26" s="44" customFormat="1" x14ac:dyDescent="0.3">
      <c r="A30" s="3309"/>
      <c r="B30" s="3355"/>
      <c r="C30" s="356"/>
      <c r="D30" s="3308"/>
      <c r="E30" s="3310"/>
      <c r="F30" s="316"/>
      <c r="G30" s="267"/>
      <c r="H30" s="267"/>
      <c r="I30" s="267"/>
      <c r="J30" s="267"/>
      <c r="K30" s="267"/>
      <c r="L30" s="267"/>
      <c r="M30" s="267"/>
      <c r="N30" s="267"/>
      <c r="O30" s="267"/>
      <c r="P30" s="267"/>
      <c r="Q30" s="267"/>
      <c r="R30" s="267"/>
      <c r="S30" s="267"/>
      <c r="T30" s="267"/>
      <c r="U30" s="267"/>
      <c r="V30" s="132"/>
      <c r="W30" s="132"/>
      <c r="X30" s="132"/>
      <c r="Y30" s="132"/>
      <c r="Z30" s="133"/>
    </row>
    <row r="31" spans="1:26" ht="24" customHeight="1" x14ac:dyDescent="0.3">
      <c r="A31" s="3374" t="s">
        <v>61</v>
      </c>
      <c r="B31" s="3375"/>
      <c r="C31" s="3376"/>
      <c r="D31" s="3377"/>
      <c r="E31" s="3378"/>
      <c r="F31" s="3385"/>
      <c r="G31" s="3385"/>
      <c r="H31" s="3385"/>
      <c r="I31" s="3385"/>
      <c r="J31" s="3385"/>
      <c r="K31" s="3385"/>
      <c r="L31" s="3385"/>
      <c r="M31" s="3385"/>
      <c r="N31" s="3385"/>
      <c r="O31" s="3385"/>
      <c r="P31" s="3385"/>
      <c r="Q31" s="3386"/>
      <c r="R31" s="3386"/>
      <c r="S31" s="3386"/>
      <c r="T31" s="3386"/>
      <c r="U31" s="3386"/>
      <c r="V31" s="3386"/>
      <c r="W31" s="3386"/>
      <c r="X31" s="3386"/>
      <c r="Y31" s="3386"/>
      <c r="Z31" s="3387"/>
    </row>
    <row r="32" spans="1:26" s="13" customFormat="1" ht="22.05" customHeight="1" x14ac:dyDescent="0.3">
      <c r="A32" s="2863" t="s">
        <v>62</v>
      </c>
      <c r="B32" s="2861" t="s">
        <v>63</v>
      </c>
      <c r="C32" s="1869" t="s">
        <v>64</v>
      </c>
      <c r="D32" s="2876" t="s">
        <v>65</v>
      </c>
      <c r="E32" s="3313"/>
      <c r="F32" s="3255"/>
      <c r="G32" s="2846"/>
      <c r="H32" s="2846"/>
      <c r="I32" s="2846"/>
      <c r="J32" s="2846"/>
      <c r="K32" s="2846"/>
      <c r="L32" s="2846"/>
      <c r="M32" s="2846"/>
      <c r="N32" s="2846"/>
      <c r="O32" s="2846"/>
      <c r="P32" s="2846"/>
      <c r="Q32" s="271"/>
      <c r="R32" s="271"/>
      <c r="S32" s="271"/>
      <c r="T32" s="271"/>
      <c r="U32" s="271"/>
      <c r="V32" s="3233"/>
      <c r="W32" s="3233"/>
      <c r="X32" s="3233"/>
      <c r="Y32" s="3233"/>
      <c r="Z32" s="3234"/>
    </row>
    <row r="33" spans="1:26" ht="22.05" customHeight="1" x14ac:dyDescent="0.3">
      <c r="A33" s="2875" t="s">
        <v>66</v>
      </c>
      <c r="B33" s="3311">
        <f>COUNTIFS('M5-ICPI'!E5:E24,1,'M5-ICPI'!F5:F24,"&gt;="&amp;0.8)</f>
        <v>4</v>
      </c>
      <c r="C33" s="3264">
        <v>20</v>
      </c>
      <c r="D33" s="3312" t="str">
        <f>"Ejección plena · "&amp;TEXT(COUNTIFS('M4-AUDIT'!X5:X24,1,'M4-AUDIT'!Y5:Y24,"&gt;="&amp;0.8)/20,"0,0%")&amp;" de la muestra · Ver MAD"</f>
        <v>Ejección plena · 5,0% de la muestra · Ver MAD</v>
      </c>
      <c r="E33" s="3314"/>
      <c r="F33" s="3256"/>
      <c r="G33" s="2845"/>
      <c r="H33" s="2845"/>
      <c r="I33" s="2845"/>
      <c r="J33" s="2845"/>
      <c r="K33" s="2845"/>
      <c r="L33" s="2845"/>
      <c r="M33" s="2845"/>
      <c r="N33" s="2845"/>
      <c r="O33" s="2845"/>
      <c r="P33" s="2845"/>
      <c r="Q33" s="3232"/>
      <c r="R33" s="3232"/>
      <c r="S33" s="3232"/>
      <c r="T33" s="3232"/>
      <c r="U33" s="3232"/>
      <c r="V33" s="690"/>
      <c r="W33" s="690"/>
      <c r="X33" s="690"/>
      <c r="Y33" s="690"/>
      <c r="Z33" s="691"/>
    </row>
    <row r="34" spans="1:26" ht="22.05" customHeight="1" x14ac:dyDescent="0.3">
      <c r="A34" s="3396" t="s">
        <v>67</v>
      </c>
      <c r="B34" s="3397"/>
      <c r="C34" s="3398"/>
      <c r="D34" s="3399"/>
      <c r="E34" s="3400"/>
      <c r="F34" s="3401"/>
      <c r="G34" s="3401"/>
      <c r="H34" s="3401"/>
      <c r="I34" s="3401"/>
      <c r="J34" s="3401"/>
      <c r="K34" s="3401"/>
      <c r="L34" s="3401"/>
      <c r="M34" s="3401"/>
      <c r="N34" s="3401"/>
      <c r="O34" s="3401"/>
      <c r="P34" s="3401"/>
      <c r="Q34" s="3402"/>
      <c r="R34" s="3402"/>
      <c r="S34" s="3402"/>
      <c r="T34" s="3402"/>
      <c r="U34" s="3402"/>
      <c r="V34" s="3402"/>
      <c r="W34" s="3402"/>
      <c r="X34" s="3402"/>
      <c r="Y34" s="3402"/>
      <c r="Z34" s="3403"/>
    </row>
    <row r="35" spans="1:26" ht="22.05" customHeight="1" x14ac:dyDescent="0.3">
      <c r="A35" s="2875" t="s">
        <v>68</v>
      </c>
      <c r="B35" s="3311">
        <f>20-COUNTIF('M5-ICPI'!E5:E24,1)</f>
        <v>5</v>
      </c>
      <c r="C35" s="3264">
        <v>0</v>
      </c>
      <c r="D35" s="3312" t="str">
        <f>"Sin trazabilidad · "&amp;TEXT((20-COUNTIF('M4-AUDIT'!X5:X24,1))/20,"0,0%")&amp;" · Riesgo ICPI · Ver VERIF"</f>
        <v>Sin trazabilidad · 60,0% · Riesgo ICPI · Ver VERIF</v>
      </c>
      <c r="E35" s="3314"/>
      <c r="F35" s="3256"/>
      <c r="G35" s="2845"/>
      <c r="H35" s="2845"/>
      <c r="I35" s="2845"/>
      <c r="J35" s="2845"/>
      <c r="K35" s="2845"/>
      <c r="L35" s="2845"/>
      <c r="M35" s="2845"/>
      <c r="N35" s="2845"/>
      <c r="O35" s="2845"/>
      <c r="P35" s="2845"/>
      <c r="Q35" s="3232"/>
      <c r="R35" s="3232"/>
      <c r="S35" s="3232"/>
      <c r="T35" s="3232"/>
      <c r="U35" s="3232"/>
      <c r="V35" s="690"/>
      <c r="W35" s="690"/>
      <c r="X35" s="690"/>
      <c r="Y35" s="690"/>
      <c r="Z35" s="691"/>
    </row>
    <row r="36" spans="1:26" s="44" customFormat="1" ht="24" customHeight="1" x14ac:dyDescent="0.3">
      <c r="A36" s="3317"/>
      <c r="B36" s="3315"/>
      <c r="C36" s="3265"/>
      <c r="D36" s="3316"/>
      <c r="E36" s="3318"/>
      <c r="F36" s="3257"/>
      <c r="G36" s="3246"/>
      <c r="H36" s="3246"/>
      <c r="I36" s="3246"/>
      <c r="J36" s="3246"/>
      <c r="K36" s="3246"/>
      <c r="L36" s="3246"/>
      <c r="M36" s="3246"/>
      <c r="N36" s="3246"/>
      <c r="O36" s="3246"/>
      <c r="P36" s="3246"/>
      <c r="Q36" s="267"/>
      <c r="R36" s="267"/>
      <c r="S36" s="267"/>
      <c r="T36" s="267"/>
      <c r="U36" s="267"/>
      <c r="V36" s="132"/>
      <c r="W36" s="132"/>
      <c r="X36" s="132"/>
      <c r="Y36" s="132"/>
      <c r="Z36" s="133"/>
    </row>
    <row r="37" spans="1:26" ht="22.05" customHeight="1" x14ac:dyDescent="0.3">
      <c r="A37" s="3388" t="str">
        <f>"◈ SIAP-ICPI · GAD Municipal Montecristi · ICPI = "&amp;TEXT('M5-ICPI'!G29,"0,00")&amp;" % · "&amp;IF('M5-ICPI'!G29&gt;=85,"🔵 EXCELENCIA",IF('M5-ICPI'!G29&gt;=70,"🟢 GESTIÓN POR MANDATO",IF('M5-ICPI'!G29&gt;=40,"🟠 TRANSICIÓN CRÍTICA",IF('M5-ICPI'!G29&gt;=20,"🔴 GESTIÓN POR OCURRENCIA","⬛ RUPTURA TOTAL"))))&amp;" · Meta 2027: 100 % · Brecha: "&amp;TEXT('M5-ICPI'!G29-100,"0,00")&amp;" pp"</f>
        <v>◈ SIAP-ICPI · GAD Municipal Montecristi · ICPI = 38,28 % · 🔴 GESTIÓN POR OCURRENCIA · Meta 2027: 100 % · Brecha: -61,72 pp</v>
      </c>
      <c r="B37" s="3389"/>
      <c r="C37" s="3390"/>
      <c r="D37" s="3391"/>
      <c r="E37" s="3392"/>
      <c r="F37" s="3393"/>
      <c r="G37" s="3393"/>
      <c r="H37" s="3393"/>
      <c r="I37" s="3393"/>
      <c r="J37" s="3393"/>
      <c r="K37" s="3393"/>
      <c r="L37" s="3393"/>
      <c r="M37" s="3393"/>
      <c r="N37" s="3393"/>
      <c r="O37" s="3393"/>
      <c r="P37" s="3393"/>
      <c r="Q37" s="3394"/>
      <c r="R37" s="3394"/>
      <c r="S37" s="3394"/>
      <c r="T37" s="3394"/>
      <c r="U37" s="3394"/>
      <c r="V37" s="3394"/>
      <c r="W37" s="3394"/>
      <c r="X37" s="3394"/>
      <c r="Y37" s="3394"/>
      <c r="Z37" s="3395"/>
    </row>
    <row r="38" spans="1:26" s="44" customFormat="1" ht="22.05" customHeight="1" x14ac:dyDescent="0.3">
      <c r="A38" s="3322"/>
      <c r="B38" s="3319"/>
      <c r="C38" s="3266"/>
      <c r="D38" s="3320"/>
      <c r="E38" s="3324"/>
      <c r="F38" s="3258"/>
      <c r="G38" s="2843"/>
      <c r="H38" s="2843"/>
      <c r="I38" s="2843"/>
      <c r="J38" s="2843"/>
      <c r="K38" s="2843"/>
      <c r="L38" s="2843"/>
      <c r="M38" s="2843"/>
      <c r="N38" s="2843"/>
      <c r="O38" s="2843"/>
      <c r="P38" s="2843"/>
      <c r="Q38" s="267"/>
      <c r="R38" s="267"/>
      <c r="S38" s="267"/>
      <c r="T38" s="267"/>
      <c r="U38" s="267"/>
      <c r="V38" s="132"/>
      <c r="W38" s="132"/>
      <c r="X38" s="132"/>
      <c r="Y38" s="132"/>
      <c r="Z38" s="133"/>
    </row>
    <row r="39" spans="1:26" s="44" customFormat="1" ht="22.05" customHeight="1" x14ac:dyDescent="0.3">
      <c r="A39" s="3325"/>
      <c r="B39" s="3321"/>
      <c r="C39" s="3267"/>
      <c r="D39" s="3323"/>
      <c r="E39" s="3314"/>
      <c r="F39" s="3256"/>
      <c r="G39" s="2845"/>
      <c r="H39" s="2845"/>
      <c r="I39" s="2845"/>
      <c r="J39" s="2845"/>
      <c r="K39" s="2845"/>
      <c r="L39" s="2845"/>
      <c r="M39" s="2845"/>
      <c r="N39" s="2845"/>
      <c r="O39" s="2845"/>
      <c r="P39" s="2845"/>
      <c r="Q39" s="132"/>
      <c r="R39" s="132"/>
      <c r="S39" s="132"/>
      <c r="T39" s="132"/>
      <c r="U39" s="132"/>
      <c r="V39" s="132"/>
      <c r="W39" s="132"/>
      <c r="X39" s="132"/>
      <c r="Y39" s="132"/>
      <c r="Z39" s="133"/>
    </row>
    <row r="40" spans="1:26" s="14" customFormat="1" ht="22.05" customHeight="1" x14ac:dyDescent="0.3">
      <c r="A40" s="3404" t="s">
        <v>69</v>
      </c>
      <c r="B40" s="3405"/>
      <c r="C40" s="3406"/>
      <c r="D40" s="3407"/>
      <c r="E40" s="3408"/>
      <c r="F40" s="3409"/>
      <c r="G40" s="3409"/>
      <c r="H40" s="3409"/>
      <c r="I40" s="3409"/>
      <c r="J40" s="3409"/>
      <c r="K40" s="3409"/>
      <c r="L40" s="3409"/>
      <c r="M40" s="3409"/>
      <c r="N40" s="3409"/>
      <c r="O40" s="3409"/>
      <c r="P40" s="3409"/>
      <c r="Q40" s="3364"/>
      <c r="R40" s="3364"/>
      <c r="S40" s="3364"/>
      <c r="T40" s="3364"/>
      <c r="U40" s="3364"/>
      <c r="V40" s="3364"/>
      <c r="W40" s="3364"/>
      <c r="X40" s="3364"/>
      <c r="Y40" s="3364"/>
      <c r="Z40" s="3365"/>
    </row>
    <row r="41" spans="1:26" s="42" customFormat="1" ht="22.05" customHeight="1" x14ac:dyDescent="0.3">
      <c r="A41" s="3329" t="s">
        <v>70</v>
      </c>
      <c r="B41" s="3326" t="s">
        <v>71</v>
      </c>
      <c r="C41" s="3268" t="s">
        <v>72</v>
      </c>
      <c r="D41" s="3327" t="s">
        <v>73</v>
      </c>
      <c r="E41" s="3331" t="s">
        <v>30</v>
      </c>
      <c r="F41" s="3259"/>
      <c r="G41" s="3247"/>
      <c r="H41" s="3247"/>
      <c r="I41" s="3247"/>
      <c r="J41" s="3247"/>
      <c r="K41" s="3247"/>
      <c r="L41" s="3247"/>
      <c r="M41" s="3247"/>
      <c r="N41" s="3247"/>
      <c r="O41" s="3247"/>
      <c r="P41" s="3247"/>
      <c r="Q41" s="3235"/>
      <c r="R41" s="3235"/>
      <c r="S41" s="3235"/>
      <c r="T41" s="3235"/>
      <c r="U41" s="3235"/>
      <c r="V41" s="3233"/>
      <c r="W41" s="3233"/>
      <c r="X41" s="3233"/>
      <c r="Y41" s="3233"/>
      <c r="Z41" s="3234"/>
    </row>
    <row r="42" spans="1:26" s="43" customFormat="1" ht="22.05" customHeight="1" x14ac:dyDescent="0.3">
      <c r="A42" s="3333">
        <v>2023</v>
      </c>
      <c r="B42" s="3328">
        <v>12</v>
      </c>
      <c r="C42" s="3269">
        <v>6</v>
      </c>
      <c r="D42" s="3330">
        <f>IF(B42=0,0,C42/B42)</f>
        <v>0.5</v>
      </c>
      <c r="E42" s="3324" t="str">
        <f>IF(C42=0,"Sin ejecución — "&amp;B42&amp;" metas programadas",IF(D42&gt;=1,"✅ Completado — "&amp;C42&amp;"/"&amp;B42&amp;" metas al 100%",IF(D42&gt;=0.8,"🟢 En buen ritmo — "&amp;C42&amp;"/"&amp;B42&amp;" (±80%)",IF(D42&gt;=0.5,"En curso — "&amp;TEXT(D42,"0%")&amp;" metas completadas","🔴 Rezago — "&amp;TEXT(D42,"0%")&amp;" · Requiere acción"))))</f>
        <v>En curso — 50% metas completadas</v>
      </c>
      <c r="F42" s="3258"/>
      <c r="G42" s="2843"/>
      <c r="H42" s="2843"/>
      <c r="I42" s="2843"/>
      <c r="J42" s="2843"/>
      <c r="K42" s="2843"/>
      <c r="L42" s="2843"/>
      <c r="M42" s="2843"/>
      <c r="N42" s="2843"/>
      <c r="O42" s="2843"/>
      <c r="P42" s="2843"/>
      <c r="Q42" s="267"/>
      <c r="R42" s="267"/>
      <c r="S42" s="267"/>
      <c r="T42" s="267"/>
      <c r="U42" s="267"/>
      <c r="V42" s="690"/>
      <c r="W42" s="690"/>
      <c r="X42" s="690"/>
      <c r="Y42" s="690"/>
      <c r="Z42" s="691"/>
    </row>
    <row r="43" spans="1:26" s="43" customFormat="1" ht="24" customHeight="1" x14ac:dyDescent="0.3">
      <c r="A43" s="3336">
        <v>2024</v>
      </c>
      <c r="B43" s="3332">
        <v>16</v>
      </c>
      <c r="C43" s="3270">
        <v>8</v>
      </c>
      <c r="D43" s="3334">
        <f>IF(B43=0,0,C43/B43)</f>
        <v>0.5</v>
      </c>
      <c r="E43" s="3318" t="str">
        <f>IF(C43=0,"Sin ejecución — "&amp;B43&amp;" metas programadas",IF(D43&gt;=1,"✅ Completado — "&amp;C43&amp;"/"&amp;B43&amp;" metas al 100%",IF(D43&gt;=0.8,"🟢 En buen ritmo — "&amp;C43&amp;"/"&amp;B43&amp;" (±80%)",IF(D43&gt;=0.5,"En curso — "&amp;TEXT(D43,"0%")&amp;" metas completadas","🔴 Rezago — "&amp;TEXT(D43,"0%")&amp;" · Requiere acción"))))</f>
        <v>En curso — 50% metas completadas</v>
      </c>
      <c r="F43" s="3257"/>
      <c r="G43" s="3246"/>
      <c r="H43" s="3246"/>
      <c r="I43" s="3246"/>
      <c r="J43" s="3246"/>
      <c r="K43" s="3246"/>
      <c r="L43" s="3246"/>
      <c r="M43" s="3246"/>
      <c r="N43" s="3246"/>
      <c r="O43" s="3246"/>
      <c r="P43" s="3246"/>
      <c r="Q43" s="3232"/>
      <c r="R43" s="3232"/>
      <c r="S43" s="3232"/>
      <c r="T43" s="3232"/>
      <c r="U43" s="3232"/>
      <c r="V43" s="690"/>
      <c r="W43" s="690"/>
      <c r="X43" s="690"/>
      <c r="Y43" s="690"/>
      <c r="Z43" s="691"/>
    </row>
    <row r="44" spans="1:26" s="43" customFormat="1" ht="22.05" customHeight="1" x14ac:dyDescent="0.3">
      <c r="A44" s="3339">
        <v>2025</v>
      </c>
      <c r="B44" s="3335">
        <v>18</v>
      </c>
      <c r="C44" s="3271">
        <v>0</v>
      </c>
      <c r="D44" s="3337">
        <f>IF(B44=0,0,C44/B44)</f>
        <v>0</v>
      </c>
      <c r="E44" s="3313" t="str">
        <f>IF(C44=0,"Por iniciar — "&amp;B44&amp;" metas planificadas",IF(D44&gt;=1,"✅ Completado — "&amp;C44&amp;"/"&amp;B44&amp;" metas al 100%",IF(D44&gt;=0.5,"En curso — "&amp;TEXT(D44,"0%")&amp;" metas completadas","🔴 Rezago — Requiere acción urgente")))</f>
        <v>Por iniciar — 18 metas planificadas</v>
      </c>
      <c r="F44" s="3255"/>
      <c r="G44" s="2846"/>
      <c r="H44" s="2846"/>
      <c r="I44" s="2846"/>
      <c r="J44" s="2846"/>
      <c r="K44" s="2846"/>
      <c r="L44" s="2846"/>
      <c r="M44" s="2846"/>
      <c r="N44" s="2846"/>
      <c r="O44" s="2846"/>
      <c r="P44" s="2846"/>
      <c r="Q44" s="267"/>
      <c r="R44" s="267"/>
      <c r="S44" s="267"/>
      <c r="T44" s="267"/>
      <c r="U44" s="267"/>
      <c r="V44" s="690"/>
      <c r="W44" s="690"/>
      <c r="X44" s="690"/>
      <c r="Y44" s="690"/>
      <c r="Z44" s="691"/>
    </row>
    <row r="45" spans="1:26" s="43" customFormat="1" ht="22.05" customHeight="1" x14ac:dyDescent="0.3">
      <c r="A45" s="3341">
        <v>2026</v>
      </c>
      <c r="B45" s="3338">
        <v>10</v>
      </c>
      <c r="C45" s="3272">
        <v>0</v>
      </c>
      <c r="D45" s="3340">
        <f>IF(B45=0,0,C45/B45)</f>
        <v>0</v>
      </c>
      <c r="E45" s="3314" t="str">
        <f>IF(C45=0,"Por iniciar — "&amp;B45&amp;" metas planificadas","En curso — "&amp;C45&amp;"/"&amp;B45&amp;" completadas")</f>
        <v>Por iniciar — 10 metas planificadas</v>
      </c>
      <c r="F45" s="3256"/>
      <c r="G45" s="2845"/>
      <c r="H45" s="2845"/>
      <c r="I45" s="2845"/>
      <c r="J45" s="2845"/>
      <c r="K45" s="2845"/>
      <c r="L45" s="2845"/>
      <c r="M45" s="2845"/>
      <c r="N45" s="2845"/>
      <c r="O45" s="2845"/>
      <c r="P45" s="2845"/>
      <c r="Q45" s="3232"/>
      <c r="R45" s="3232"/>
      <c r="S45" s="3232"/>
      <c r="T45" s="3232"/>
      <c r="U45" s="3232"/>
      <c r="V45" s="690"/>
      <c r="W45" s="690"/>
      <c r="X45" s="690"/>
      <c r="Y45" s="690"/>
      <c r="Z45" s="691"/>
    </row>
    <row r="46" spans="1:26" s="43" customFormat="1" ht="22.05" customHeight="1" x14ac:dyDescent="0.3">
      <c r="A46" s="3333">
        <v>2027</v>
      </c>
      <c r="B46" s="3328">
        <v>8</v>
      </c>
      <c r="C46" s="3269">
        <v>0</v>
      </c>
      <c r="D46" s="3330">
        <f>IF(B46=0,0,C46/B46)</f>
        <v>0</v>
      </c>
      <c r="E46" s="3324" t="str">
        <f>IF(C46=0,"Cierre PDOT Plan Bicentenario — "&amp;B46&amp;" metas","Ejecutado — "&amp;C46&amp;"/"&amp;B46&amp;" completadas")</f>
        <v>Cierre PDOT Plan Bicentenario — 8 metas</v>
      </c>
      <c r="F46" s="3258"/>
      <c r="G46" s="2843"/>
      <c r="H46" s="2843"/>
      <c r="I46" s="2843"/>
      <c r="J46" s="2843"/>
      <c r="K46" s="2843"/>
      <c r="L46" s="2843"/>
      <c r="M46" s="2843"/>
      <c r="N46" s="2843"/>
      <c r="O46" s="2843"/>
      <c r="P46" s="2843"/>
      <c r="Q46" s="267"/>
      <c r="R46" s="267"/>
      <c r="S46" s="267"/>
      <c r="T46" s="267"/>
      <c r="U46" s="267"/>
      <c r="V46" s="690"/>
      <c r="W46" s="690"/>
      <c r="X46" s="690"/>
      <c r="Y46" s="690"/>
      <c r="Z46" s="691"/>
    </row>
    <row r="47" spans="1:26" s="44" customFormat="1" ht="22.05" customHeight="1" x14ac:dyDescent="0.3">
      <c r="A47" s="3325"/>
      <c r="B47" s="3321"/>
      <c r="C47" s="3267"/>
      <c r="D47" s="3323"/>
      <c r="E47" s="3314"/>
      <c r="F47" s="3256"/>
      <c r="G47" s="2845"/>
      <c r="H47" s="2845"/>
      <c r="I47" s="2845"/>
      <c r="J47" s="2845"/>
      <c r="K47" s="2845"/>
      <c r="L47" s="2845"/>
      <c r="M47" s="2845"/>
      <c r="N47" s="2845"/>
      <c r="O47" s="2845"/>
      <c r="P47" s="2845"/>
      <c r="Q47" s="267"/>
      <c r="R47" s="267"/>
      <c r="S47" s="267"/>
      <c r="T47" s="267"/>
      <c r="U47" s="267"/>
      <c r="V47" s="132"/>
      <c r="W47" s="132"/>
      <c r="X47" s="132"/>
      <c r="Y47" s="132"/>
      <c r="Z47" s="133"/>
    </row>
    <row r="48" spans="1:26" s="14" customFormat="1" ht="24" customHeight="1" x14ac:dyDescent="0.3">
      <c r="A48" s="3359" t="s">
        <v>74</v>
      </c>
      <c r="B48" s="3360"/>
      <c r="C48" s="3361"/>
      <c r="D48" s="3362"/>
      <c r="E48" s="3363"/>
      <c r="F48" s="3364"/>
      <c r="G48" s="3364"/>
      <c r="H48" s="3364"/>
      <c r="I48" s="3364"/>
      <c r="J48" s="3364"/>
      <c r="K48" s="3364"/>
      <c r="L48" s="3364"/>
      <c r="M48" s="3364"/>
      <c r="N48" s="3364"/>
      <c r="O48" s="3364"/>
      <c r="P48" s="3364"/>
      <c r="Q48" s="3364"/>
      <c r="R48" s="3364"/>
      <c r="S48" s="3364"/>
      <c r="T48" s="3364"/>
      <c r="U48" s="3364"/>
      <c r="V48" s="3364"/>
      <c r="W48" s="3364"/>
      <c r="X48" s="3364"/>
      <c r="Y48" s="3364"/>
      <c r="Z48" s="3365"/>
    </row>
    <row r="49" spans="1:26" s="42" customFormat="1" ht="22.05" customHeight="1" x14ac:dyDescent="0.3">
      <c r="A49" s="3345" t="s">
        <v>75</v>
      </c>
      <c r="B49" s="3342" t="str">
        <f>"Últ. actualiz.: "&amp;'SUPPORT-SIL'!L6</f>
        <v>Últ. actualiz.: Fri Feb 27 2026</v>
      </c>
      <c r="C49" s="1925"/>
      <c r="D49" s="3343"/>
      <c r="E49" s="3313"/>
      <c r="F49" s="3255"/>
      <c r="G49" s="2846"/>
      <c r="H49" s="2846"/>
      <c r="I49" s="2846"/>
      <c r="J49" s="2846"/>
      <c r="K49" s="2846"/>
      <c r="L49" s="2846"/>
      <c r="M49" s="2846"/>
      <c r="N49" s="2846"/>
      <c r="O49" s="2846"/>
      <c r="P49" s="2846"/>
      <c r="Q49" s="3235"/>
      <c r="R49" s="3235"/>
      <c r="S49" s="3235"/>
      <c r="T49" s="3235"/>
      <c r="U49" s="3235"/>
      <c r="V49" s="3233"/>
      <c r="W49" s="3233"/>
      <c r="X49" s="3233"/>
      <c r="Y49" s="3233"/>
      <c r="Z49" s="3234"/>
    </row>
    <row r="50" spans="1:26" s="43" customFormat="1" ht="22.05" customHeight="1" x14ac:dyDescent="0.3">
      <c r="A50" s="3322" t="s">
        <v>76</v>
      </c>
      <c r="B50" s="3344" t="str">
        <f>COUNTIF('SUPPORT-SIL'!K6:K25,"✅ Completado")&amp;" / "&amp;COUNTA('SUPPORT-SIL'!A6:A25)</f>
        <v>6 / 20</v>
      </c>
      <c r="C50" s="3266"/>
      <c r="D50" s="3320"/>
      <c r="E50" s="3324"/>
      <c r="F50" s="3258"/>
      <c r="G50" s="2843"/>
      <c r="H50" s="2843"/>
      <c r="I50" s="2843"/>
      <c r="J50" s="2843"/>
      <c r="K50" s="2843"/>
      <c r="L50" s="2843"/>
      <c r="M50" s="2843"/>
      <c r="N50" s="2843"/>
      <c r="O50" s="2843"/>
      <c r="P50" s="2843"/>
      <c r="Q50" s="267"/>
      <c r="R50" s="267"/>
      <c r="S50" s="267"/>
      <c r="T50" s="267"/>
      <c r="U50" s="267"/>
      <c r="V50" s="690"/>
      <c r="W50" s="690"/>
      <c r="X50" s="690"/>
      <c r="Y50" s="690"/>
      <c r="Z50" s="691"/>
    </row>
    <row r="51" spans="1:26" s="43" customFormat="1" ht="22.05" customHeight="1" x14ac:dyDescent="0.3">
      <c r="A51" s="3325" t="s">
        <v>77</v>
      </c>
      <c r="B51" s="3338">
        <f>COUNTA('SUPPORT-SIL'!A6:A25)</f>
        <v>20</v>
      </c>
      <c r="C51" s="3267"/>
      <c r="D51" s="3323"/>
      <c r="E51" s="3314"/>
      <c r="F51" s="3256"/>
      <c r="G51" s="2845"/>
      <c r="H51" s="2845"/>
      <c r="I51" s="2845"/>
      <c r="J51" s="2845"/>
      <c r="K51" s="2845"/>
      <c r="L51" s="2845"/>
      <c r="M51" s="2845"/>
      <c r="N51" s="2845"/>
      <c r="O51" s="2845"/>
      <c r="P51" s="2845"/>
      <c r="Q51" s="3232"/>
      <c r="R51" s="3232"/>
      <c r="S51" s="3232"/>
      <c r="T51" s="3232"/>
      <c r="U51" s="3232"/>
      <c r="V51" s="690"/>
      <c r="W51" s="690"/>
      <c r="X51" s="690"/>
      <c r="Y51" s="690"/>
      <c r="Z51" s="691"/>
    </row>
    <row r="52" spans="1:26" s="43" customFormat="1" ht="22.05" customHeight="1" x14ac:dyDescent="0.3">
      <c r="A52" s="3322" t="s">
        <v>78</v>
      </c>
      <c r="B52" s="3328">
        <f>COUNTIF('SUPPORT-SIL'!J6:J25,1)</f>
        <v>15</v>
      </c>
      <c r="C52" s="3266"/>
      <c r="D52" s="3320"/>
      <c r="E52" s="3324"/>
      <c r="F52" s="3258"/>
      <c r="G52" s="2843"/>
      <c r="H52" s="2843"/>
      <c r="I52" s="2843"/>
      <c r="J52" s="2843"/>
      <c r="K52" s="2843"/>
      <c r="L52" s="2843"/>
      <c r="M52" s="2843"/>
      <c r="N52" s="2843"/>
      <c r="O52" s="2843"/>
      <c r="P52" s="2843"/>
      <c r="Q52" s="267"/>
      <c r="R52" s="267"/>
      <c r="S52" s="267"/>
      <c r="T52" s="267"/>
      <c r="U52" s="267"/>
      <c r="V52" s="690"/>
      <c r="W52" s="690"/>
      <c r="X52" s="690"/>
      <c r="Y52" s="690"/>
      <c r="Z52" s="691"/>
    </row>
    <row r="53" spans="1:26" s="43" customFormat="1" ht="22.05" customHeight="1" x14ac:dyDescent="0.3">
      <c r="A53" s="3325" t="s">
        <v>79</v>
      </c>
      <c r="B53" s="3346" t="str">
        <f>TEXT(AVERAGE('SUPPORT-SIL'!I6:I25),"0,0%")</f>
        <v>53,0%</v>
      </c>
      <c r="C53" s="3267"/>
      <c r="D53" s="3323"/>
      <c r="E53" s="3314"/>
      <c r="F53" s="3256"/>
      <c r="G53" s="2845"/>
      <c r="H53" s="2845"/>
      <c r="I53" s="2845"/>
      <c r="J53" s="2845"/>
      <c r="K53" s="2845"/>
      <c r="L53" s="2845"/>
      <c r="M53" s="2845"/>
      <c r="N53" s="2845"/>
      <c r="O53" s="2845"/>
      <c r="P53" s="2845"/>
      <c r="Q53" s="3232"/>
      <c r="R53" s="3232"/>
      <c r="S53" s="3232"/>
      <c r="T53" s="3232"/>
      <c r="U53" s="3232"/>
      <c r="V53" s="690"/>
      <c r="W53" s="690"/>
      <c r="X53" s="690"/>
      <c r="Y53" s="690"/>
      <c r="Z53" s="691"/>
    </row>
    <row r="54" spans="1:26" s="44" customFormat="1" ht="22.05" customHeight="1" x14ac:dyDescent="0.3">
      <c r="A54" s="3322"/>
      <c r="B54" s="3319"/>
      <c r="C54" s="3266"/>
      <c r="D54" s="3320"/>
      <c r="E54" s="3324"/>
      <c r="F54" s="3258"/>
      <c r="G54" s="2843"/>
      <c r="H54" s="2843"/>
      <c r="I54" s="2843"/>
      <c r="J54" s="2843"/>
      <c r="K54" s="2843"/>
      <c r="L54" s="2843"/>
      <c r="M54" s="2843"/>
      <c r="N54" s="2843"/>
      <c r="O54" s="2843"/>
      <c r="P54" s="2843"/>
      <c r="Q54" s="267"/>
      <c r="R54" s="267"/>
      <c r="S54" s="267"/>
      <c r="T54" s="267"/>
      <c r="U54" s="267"/>
      <c r="V54" s="132"/>
      <c r="W54" s="132"/>
      <c r="X54" s="132"/>
      <c r="Y54" s="132"/>
      <c r="Z54" s="133"/>
    </row>
    <row r="55" spans="1:26" s="43" customFormat="1" ht="24" customHeight="1" x14ac:dyDescent="0.25">
      <c r="A55" s="3359" t="s">
        <v>80</v>
      </c>
      <c r="B55" s="3360"/>
      <c r="C55" s="3361"/>
      <c r="D55" s="3362"/>
      <c r="E55" s="3363"/>
      <c r="F55" s="3364"/>
      <c r="G55" s="3364"/>
      <c r="H55" s="3364"/>
      <c r="I55" s="3364"/>
      <c r="J55" s="3364"/>
      <c r="K55" s="3364"/>
      <c r="L55" s="3364"/>
      <c r="M55" s="3364"/>
      <c r="N55" s="3364"/>
      <c r="O55" s="3364"/>
      <c r="P55" s="3364"/>
      <c r="Q55" s="3364"/>
      <c r="R55" s="3364"/>
      <c r="S55" s="3364"/>
      <c r="T55" s="3364"/>
      <c r="U55" s="3364"/>
      <c r="V55" s="3364"/>
      <c r="W55" s="3364"/>
      <c r="X55" s="3364"/>
      <c r="Y55" s="3364"/>
      <c r="Z55" s="3365"/>
    </row>
    <row r="56" spans="1:26" s="44" customFormat="1" ht="22.05" customHeight="1" x14ac:dyDescent="0.3">
      <c r="A56" s="3322"/>
      <c r="B56" s="3319"/>
      <c r="C56" s="3266"/>
      <c r="D56" s="3320"/>
      <c r="E56" s="3324"/>
      <c r="F56" s="3258"/>
      <c r="G56" s="2843"/>
      <c r="H56" s="2843"/>
      <c r="I56" s="2843"/>
      <c r="J56" s="2843"/>
      <c r="K56" s="2843"/>
      <c r="L56" s="2843"/>
      <c r="M56" s="2843"/>
      <c r="N56" s="2843"/>
      <c r="O56" s="2843"/>
      <c r="P56" s="2843"/>
      <c r="Q56" s="267"/>
      <c r="R56" s="267"/>
      <c r="S56" s="267"/>
      <c r="T56" s="267"/>
      <c r="U56" s="267"/>
      <c r="V56" s="132"/>
      <c r="W56" s="132"/>
      <c r="X56" s="132"/>
      <c r="Y56" s="132"/>
      <c r="Z56" s="133"/>
    </row>
    <row r="57" spans="1:26" s="44" customFormat="1" ht="22.05" customHeight="1" x14ac:dyDescent="0.3">
      <c r="A57" s="3325"/>
      <c r="B57" s="3321"/>
      <c r="C57" s="3267"/>
      <c r="D57" s="3323"/>
      <c r="E57" s="3314"/>
      <c r="F57" s="3256"/>
      <c r="G57" s="2845"/>
      <c r="H57" s="2845"/>
      <c r="I57" s="2845"/>
      <c r="J57" s="2845"/>
      <c r="K57" s="2845"/>
      <c r="L57" s="2845"/>
      <c r="M57" s="2845"/>
      <c r="N57" s="2845"/>
      <c r="O57" s="2845"/>
      <c r="P57" s="2845"/>
      <c r="Q57" s="132"/>
      <c r="R57" s="132"/>
      <c r="S57" s="132"/>
      <c r="T57" s="132"/>
      <c r="U57" s="132"/>
      <c r="V57" s="132"/>
      <c r="W57" s="132"/>
      <c r="X57" s="132"/>
      <c r="Y57" s="132"/>
      <c r="Z57" s="133"/>
    </row>
    <row r="58" spans="1:26" s="14" customFormat="1" ht="24" customHeight="1" x14ac:dyDescent="0.3">
      <c r="A58" s="3359" t="s">
        <v>81</v>
      </c>
      <c r="B58" s="3360"/>
      <c r="C58" s="3361"/>
      <c r="D58" s="3362"/>
      <c r="E58" s="3363"/>
      <c r="F58" s="3364"/>
      <c r="G58" s="3364"/>
      <c r="H58" s="3364"/>
      <c r="I58" s="3364"/>
      <c r="J58" s="3364"/>
      <c r="K58" s="3364"/>
      <c r="L58" s="3364"/>
      <c r="M58" s="3364"/>
      <c r="N58" s="3364"/>
      <c r="O58" s="3364"/>
      <c r="P58" s="3364"/>
      <c r="Q58" s="3364"/>
      <c r="R58" s="3364"/>
      <c r="S58" s="3364"/>
      <c r="T58" s="3364"/>
      <c r="U58" s="3364"/>
      <c r="V58" s="3364"/>
      <c r="W58" s="3364"/>
      <c r="X58" s="3364"/>
      <c r="Y58" s="3364"/>
      <c r="Z58" s="3365"/>
    </row>
    <row r="59" spans="1:26" s="42" customFormat="1" ht="24" customHeight="1" x14ac:dyDescent="0.25">
      <c r="A59" s="3359" t="s">
        <v>82</v>
      </c>
      <c r="B59" s="3360"/>
      <c r="C59" s="3361"/>
      <c r="D59" s="3362"/>
      <c r="E59" s="3363"/>
      <c r="F59" s="3364"/>
      <c r="G59" s="3364"/>
      <c r="H59" s="3364"/>
      <c r="I59" s="3364"/>
      <c r="J59" s="3364"/>
      <c r="K59" s="3364"/>
      <c r="L59" s="3364"/>
      <c r="M59" s="3364"/>
      <c r="N59" s="3364"/>
      <c r="O59" s="3364"/>
      <c r="P59" s="3364"/>
      <c r="Q59" s="3364"/>
      <c r="R59" s="3364"/>
      <c r="S59" s="3364"/>
      <c r="T59" s="3364"/>
      <c r="U59" s="3364"/>
      <c r="V59" s="3364"/>
      <c r="W59" s="3364"/>
      <c r="X59" s="3364"/>
      <c r="Y59" s="3364"/>
      <c r="Z59" s="3365"/>
    </row>
    <row r="60" spans="1:26" s="43" customFormat="1" ht="22.05" customHeight="1" x14ac:dyDescent="0.3">
      <c r="A60" s="3322" t="s">
        <v>86</v>
      </c>
      <c r="B60" s="3319" t="str">
        <f>INDEX('SUPPORT-EVALDIR'!B28:B39,MATCH(LARGE('SUPPORT-EVALDIR'!H28:H39,1),'SUPPORT-EVALDIR'!H28:H39,0))</f>
        <v>Dir. Desarrollo Social y Cultural</v>
      </c>
      <c r="C60" s="3273">
        <f>LARGE('SUPPORT-EVALDIR'!H28:H39,1)</f>
        <v>150</v>
      </c>
      <c r="D60" s="3347" t="str">
        <f>IF(LARGE('SUPPORT-EVALDIR'!H28:H39,1)&gt;=96,"⭐ EXCELENCIA",IF(LARGE('SUPPORT-EVALDIR'!H28:H39,1)&gt;=85,"✅ MUY BUENO",IF(LARGE('SUPPORT-EVALDIR'!H28:H39,1)&gt;=70,"🟢 GESTIÓN POR MANDATO",IF(LARGE('SUPPORT-EVALDIR'!H28:H39,1)&gt;=60,"🟡 REGULAR","🔴 INACEPTABLE"))))</f>
        <v>⭐ EXCELENCIA</v>
      </c>
      <c r="E60" s="3324"/>
      <c r="F60" s="3258"/>
      <c r="G60" s="2843"/>
      <c r="H60" s="2843"/>
      <c r="I60" s="2843"/>
      <c r="J60" s="2843"/>
      <c r="K60" s="2843"/>
      <c r="L60" s="2843"/>
      <c r="M60" s="2843"/>
      <c r="N60" s="2843"/>
      <c r="O60" s="2843"/>
      <c r="P60" s="2843"/>
      <c r="Q60" s="267"/>
      <c r="R60" s="267"/>
      <c r="S60" s="267"/>
      <c r="T60" s="267"/>
      <c r="U60" s="267"/>
      <c r="V60" s="690"/>
      <c r="W60" s="690"/>
      <c r="X60" s="690"/>
      <c r="Y60" s="690"/>
      <c r="Z60" s="691"/>
    </row>
    <row r="61" spans="1:26" s="43" customFormat="1" ht="22.05" customHeight="1" x14ac:dyDescent="0.3">
      <c r="A61" s="3325" t="s">
        <v>88</v>
      </c>
      <c r="B61" s="3321" t="str">
        <f>INDEX('SUPPORT-EVALDIR'!B28:B39,MATCH(LARGE('SUPPORT-EVALDIR'!H28:H39,2),'SUPPORT-EVALDIR'!H28:H39,0))</f>
        <v>Dir. Agua Potable y Saneamiento</v>
      </c>
      <c r="C61" s="3274">
        <f>LARGE('SUPPORT-EVALDIR'!H28:H39,2)</f>
        <v>82.5</v>
      </c>
      <c r="D61" s="3348" t="str">
        <f>IF(LARGE('SUPPORT-EVALDIR'!H28:H39,2)&gt;=96,"⭐ EXCELENCIA",IF(LARGE('SUPPORT-EVALDIR'!H28:H39,2)&gt;=85,"✅ MUY BUENO",IF(LARGE('SUPPORT-EVALDIR'!H28:H39,2)&gt;=70,"🟢 GESTIÓN POR MANDATO",IF(LARGE('SUPPORT-EVALDIR'!H28:H39,2)&gt;=60,"🟡 REGULAR","🔴 INACEPTABLE"))))</f>
        <v>🟢 GESTIÓN POR MANDATO</v>
      </c>
      <c r="E61" s="3314"/>
      <c r="F61" s="3256"/>
      <c r="G61" s="2845"/>
      <c r="H61" s="2845"/>
      <c r="I61" s="2845"/>
      <c r="J61" s="2845"/>
      <c r="K61" s="2845"/>
      <c r="L61" s="2845"/>
      <c r="M61" s="2845"/>
      <c r="N61" s="2845"/>
      <c r="O61" s="2845"/>
      <c r="P61" s="2845"/>
      <c r="Q61" s="3232"/>
      <c r="R61" s="3232"/>
      <c r="S61" s="3232"/>
      <c r="T61" s="3232"/>
      <c r="U61" s="3232"/>
      <c r="V61" s="690"/>
      <c r="W61" s="690"/>
      <c r="X61" s="690"/>
      <c r="Y61" s="690"/>
      <c r="Z61" s="691"/>
    </row>
    <row r="62" spans="1:26" s="43" customFormat="1" ht="22.05" customHeight="1" x14ac:dyDescent="0.3">
      <c r="A62" s="3322" t="s">
        <v>90</v>
      </c>
      <c r="B62" s="3319" t="str">
        <f>INDEX('SUPPORT-EVALDIR'!B28:B39,MATCH(LARGE('SUPPORT-EVALDIR'!H28:H39,3),'SUPPORT-EVALDIR'!H28:H39,0))</f>
        <v>Dir. Obras Publicas</v>
      </c>
      <c r="C62" s="3273">
        <f>LARGE('SUPPORT-EVALDIR'!H28:H39,3)</f>
        <v>80.5</v>
      </c>
      <c r="D62" s="3347" t="str">
        <f>IF(LARGE('SUPPORT-EVALDIR'!H28:H39,3)&gt;=96,"⭐ EXCELENCIA",IF(LARGE('SUPPORT-EVALDIR'!H28:H39,3)&gt;=85,"✅ MUY BUENO",IF(LARGE('SUPPORT-EVALDIR'!H28:H39,3)&gt;=70,"🟢 GESTIÓN POR MANDATO",IF(LARGE('SUPPORT-EVALDIR'!H28:H39,3)&gt;=60,"🟡 REGULAR","🔴 INACEPTABLE"))))</f>
        <v>🟢 GESTIÓN POR MANDATO</v>
      </c>
      <c r="E62" s="3324"/>
      <c r="F62" s="3258"/>
      <c r="G62" s="2843"/>
      <c r="H62" s="2843"/>
      <c r="I62" s="2843"/>
      <c r="J62" s="2843"/>
      <c r="K62" s="2843"/>
      <c r="L62" s="2843"/>
      <c r="M62" s="2843"/>
      <c r="N62" s="2843"/>
      <c r="O62" s="2843"/>
      <c r="P62" s="2843"/>
      <c r="Q62" s="267"/>
      <c r="R62" s="267"/>
      <c r="S62" s="267"/>
      <c r="T62" s="267"/>
      <c r="U62" s="267"/>
      <c r="V62" s="690"/>
      <c r="W62" s="690"/>
      <c r="X62" s="690"/>
      <c r="Y62" s="690"/>
      <c r="Z62" s="691"/>
    </row>
    <row r="63" spans="1:26" s="44" customFormat="1" ht="22.05" customHeight="1" x14ac:dyDescent="0.3">
      <c r="A63" s="3325"/>
      <c r="B63" s="3321"/>
      <c r="C63" s="3267"/>
      <c r="D63" s="3323"/>
      <c r="E63" s="3314"/>
      <c r="F63" s="3256"/>
      <c r="G63" s="2845"/>
      <c r="H63" s="2845"/>
      <c r="I63" s="2845"/>
      <c r="J63" s="2845"/>
      <c r="K63" s="2845"/>
      <c r="L63" s="2845"/>
      <c r="M63" s="2845"/>
      <c r="N63" s="2845"/>
      <c r="O63" s="2845"/>
      <c r="P63" s="2845"/>
      <c r="Q63" s="267"/>
      <c r="R63" s="267"/>
      <c r="S63" s="267"/>
      <c r="T63" s="267"/>
      <c r="U63" s="267"/>
      <c r="V63" s="132"/>
      <c r="W63" s="132"/>
      <c r="X63" s="132"/>
      <c r="Y63" s="132"/>
      <c r="Z63" s="133"/>
    </row>
    <row r="64" spans="1:26" s="14" customFormat="1" ht="24" customHeight="1" x14ac:dyDescent="0.3">
      <c r="A64" s="3359" t="s">
        <v>92</v>
      </c>
      <c r="B64" s="3360"/>
      <c r="C64" s="3361"/>
      <c r="D64" s="3362"/>
      <c r="E64" s="3363"/>
      <c r="F64" s="3364"/>
      <c r="G64" s="3364"/>
      <c r="H64" s="3364"/>
      <c r="I64" s="3364"/>
      <c r="J64" s="3364"/>
      <c r="K64" s="3364"/>
      <c r="L64" s="3364"/>
      <c r="M64" s="3364"/>
      <c r="N64" s="3364"/>
      <c r="O64" s="3364"/>
      <c r="P64" s="3364"/>
      <c r="Q64" s="3364"/>
      <c r="R64" s="3364"/>
      <c r="S64" s="3364"/>
      <c r="T64" s="3364"/>
      <c r="U64" s="3364"/>
      <c r="V64" s="3364"/>
      <c r="W64" s="3364"/>
      <c r="X64" s="3364"/>
      <c r="Y64" s="3364"/>
      <c r="Z64" s="3365"/>
    </row>
    <row r="65" spans="1:26" s="42" customFormat="1" ht="22.05" customHeight="1" x14ac:dyDescent="0.3">
      <c r="A65" s="3345" t="s">
        <v>93</v>
      </c>
      <c r="B65" s="3349" t="s">
        <v>83</v>
      </c>
      <c r="C65" s="2859" t="s">
        <v>84</v>
      </c>
      <c r="D65" s="2882" t="s">
        <v>42</v>
      </c>
      <c r="E65" s="3313"/>
      <c r="F65" s="3255"/>
      <c r="G65" s="2846"/>
      <c r="H65" s="2846"/>
      <c r="I65" s="2846"/>
      <c r="J65" s="2846"/>
      <c r="K65" s="2846"/>
      <c r="L65" s="2846"/>
      <c r="M65" s="2846"/>
      <c r="N65" s="2846"/>
      <c r="O65" s="2846"/>
      <c r="P65" s="2846"/>
      <c r="Q65" s="3235"/>
      <c r="R65" s="3235"/>
      <c r="S65" s="3235"/>
      <c r="T65" s="3235"/>
      <c r="U65" s="3235"/>
      <c r="V65" s="3233"/>
      <c r="W65" s="3233"/>
      <c r="X65" s="3233"/>
      <c r="Y65" s="3233"/>
      <c r="Z65" s="3234"/>
    </row>
    <row r="66" spans="1:26" s="43" customFormat="1" ht="22.05" customHeight="1" x14ac:dyDescent="0.3">
      <c r="A66" s="3351" t="str">
        <f>IF(SMALL('SUPPORT-EVALDIR'!H28:H39,1)=0,"⬛ CRÍTICA",IF(SMALL('SUPPORT-EVALDIR'!H28:H39,1)&lt;30,"🔴 CRÍTICA",IF(SMALL('SUPPORT-EVALDIR'!H28:H39,1)&lt;50,"🟠 ALTA","🟡 MEDIA")))</f>
        <v>⬛ CRÍTICA</v>
      </c>
      <c r="B66" s="3319" t="str">
        <f>INDEX('SUPPORT-EVALDIR'!B28:B39,MATCH(SMALL('SUPPORT-EVALDIR'!H28:H39,1),'SUPPORT-EVALDIR'!H28:H39,0))</f>
        <v>Dir. Servicios Publicos y Gestion</v>
      </c>
      <c r="C66" s="3275">
        <f>SMALL('SUPPORT-EVALDIR'!H28:H39,1)</f>
        <v>0</v>
      </c>
      <c r="D66" s="3350" t="str">
        <f>IF(SMALL('SUPPORT-EVALDIR'!H28:H39,1)=0,"SUMARIO — LOSEP Art.80 (IED=0)",IF(SMALL('SUPPORT-EVALDIR'!H28:H39,1)&lt;30,"SUMARIO — LOSEP Art.80",IF(SMALL('SUPPORT-EVALDIR'!H28:H39,1)&lt;50,"MEMORANDO FORMAL — Plan 30 días","SEGUIMIENTO — Plan de mejora")))</f>
        <v>SUMARIO — LOSEP Art.80 (IED=0)</v>
      </c>
      <c r="E66" s="3324"/>
      <c r="F66" s="3258"/>
      <c r="G66" s="2843"/>
      <c r="H66" s="2843"/>
      <c r="I66" s="2843"/>
      <c r="J66" s="2843"/>
      <c r="K66" s="2843"/>
      <c r="L66" s="2843"/>
      <c r="M66" s="2843"/>
      <c r="N66" s="2843"/>
      <c r="O66" s="2843"/>
      <c r="P66" s="2843"/>
      <c r="Q66" s="267"/>
      <c r="R66" s="267"/>
      <c r="S66" s="267"/>
      <c r="T66" s="267"/>
      <c r="U66" s="267"/>
      <c r="V66" s="690"/>
      <c r="W66" s="690"/>
      <c r="X66" s="690"/>
      <c r="Y66" s="690"/>
      <c r="Z66" s="691"/>
    </row>
    <row r="67" spans="1:26" s="43" customFormat="1" ht="22.05" customHeight="1" x14ac:dyDescent="0.3">
      <c r="A67" s="3329" t="str">
        <f>IF(SMALL('SUPPORT-EVALDIR'!H28:H39,2)=0,"⬛ CRÍTICA",IF(SMALL('SUPPORT-EVALDIR'!H28:H39,2)&lt;30,"🔴 CRÍTICA",IF(SMALL('SUPPORT-EVALDIR'!H28:H39,2)&lt;50,"🟠 ALTA","🟡 MEDIA")))</f>
        <v>🔴 CRÍTICA</v>
      </c>
      <c r="B67" s="3321" t="str">
        <f>INDEX('SUPPORT-EVALDIR'!B28:B39,MATCH(SMALL('SUPPORT-EVALDIR'!H28:H39,2),'SUPPORT-EVALDIR'!H28:H39,0))</f>
        <v>Unidad de Turismo</v>
      </c>
      <c r="C67" s="3276">
        <f>SMALL('SUPPORT-EVALDIR'!H28:H39,2)</f>
        <v>13.5</v>
      </c>
      <c r="D67" s="3352" t="str">
        <f>IF(SMALL('SUPPORT-EVALDIR'!H28:H39,2)=0,"SUMARIO — LOSEP Art.80 (IED=0)",IF(SMALL('SUPPORT-EVALDIR'!H28:H39,2)&lt;30,"SUMARIO — LOSEP Art.80",IF(SMALL('SUPPORT-EVALDIR'!H28:H39,2)&lt;50,"MEMORANDO FORMAL — Plan 30 días","SEGUIMIENTO — Plan de mejora")))</f>
        <v>SUMARIO — LOSEP Art.80</v>
      </c>
      <c r="E67" s="3314"/>
      <c r="F67" s="3256"/>
      <c r="G67" s="2845"/>
      <c r="H67" s="2845"/>
      <c r="I67" s="2845"/>
      <c r="J67" s="2845"/>
      <c r="K67" s="2845"/>
      <c r="L67" s="2845"/>
      <c r="M67" s="2845"/>
      <c r="N67" s="2845"/>
      <c r="O67" s="2845"/>
      <c r="P67" s="2845"/>
      <c r="Q67" s="3232"/>
      <c r="R67" s="3232"/>
      <c r="S67" s="3232"/>
      <c r="T67" s="3232"/>
      <c r="U67" s="3232"/>
      <c r="V67" s="690"/>
      <c r="W67" s="690"/>
      <c r="X67" s="690"/>
      <c r="Y67" s="690"/>
      <c r="Z67" s="691"/>
    </row>
    <row r="68" spans="1:26" s="43" customFormat="1" ht="22.05" customHeight="1" x14ac:dyDescent="0.3">
      <c r="A68" s="3351" t="str">
        <f>IF(SMALL('SUPPORT-EVALDIR'!H28:H39,3)=0,"⬛ CRÍTICA",IF(SMALL('SUPPORT-EVALDIR'!H28:H39,3)&lt;30,"🔴 CRÍTICA",IF(SMALL('SUPPORT-EVALDIR'!H28:H39,3)&lt;50,"🟠 ALTA","🟡 MEDIA")))</f>
        <v>🔴 CRÍTICA</v>
      </c>
      <c r="B68" s="3319" t="str">
        <f>INDEX('SUPPORT-EVALDIR'!B28:B39,MATCH(SMALL('SUPPORT-EVALDIR'!H28:H39,3),'SUPPORT-EVALDIR'!H28:H39,0))</f>
        <v>Unidad Gestion Sanitaria/MSP</v>
      </c>
      <c r="C68" s="3275">
        <f>SMALL('SUPPORT-EVALDIR'!H28:H39,3)</f>
        <v>15.8</v>
      </c>
      <c r="D68" s="3350" t="str">
        <f>IF(SMALL('SUPPORT-EVALDIR'!H28:H39,3)=0,"SUMARIO — LOSEP Art.80 (IED=0)",IF(SMALL('SUPPORT-EVALDIR'!H28:H39,3)&lt;30,"SUMARIO — LOSEP Art.80",IF(SMALL('SUPPORT-EVALDIR'!H28:H39,3)&lt;50,"MEMORANDO FORMAL — Plan 30 días","SEGUIMIENTO — Plan de mejora")))</f>
        <v>SUMARIO — LOSEP Art.80</v>
      </c>
      <c r="E68" s="3324"/>
      <c r="F68" s="3258"/>
      <c r="G68" s="2843"/>
      <c r="H68" s="2843"/>
      <c r="I68" s="2843"/>
      <c r="J68" s="2843"/>
      <c r="K68" s="2843"/>
      <c r="L68" s="2843"/>
      <c r="M68" s="2843"/>
      <c r="N68" s="2843"/>
      <c r="O68" s="2843"/>
      <c r="P68" s="2843"/>
      <c r="Q68" s="690"/>
      <c r="R68" s="690"/>
      <c r="S68" s="690"/>
      <c r="T68" s="690"/>
      <c r="U68" s="690"/>
      <c r="V68" s="690"/>
      <c r="W68" s="690"/>
      <c r="X68" s="690"/>
      <c r="Y68" s="690"/>
      <c r="Z68" s="691"/>
    </row>
    <row r="69" spans="1:26" s="43" customFormat="1" ht="22.05" customHeight="1" x14ac:dyDescent="0.3">
      <c r="A69" s="3329" t="str">
        <f>IF(SMALL('SUPPORT-EVALDIR'!H28:H39,4)=0,"⬛ CRÍTICA",IF(SMALL('SUPPORT-EVALDIR'!H28:H39,4)&lt;30,"🔴 CRÍTICA",IF(SMALL('SUPPORT-EVALDIR'!H28:H39,4)&lt;50,"🟠 ALTA","🟡 MEDIA")))</f>
        <v>🔴 CRÍTICA</v>
      </c>
      <c r="B69" s="3321" t="str">
        <f>INDEX('SUPPORT-EVALDIR'!B28:B39,MATCH(SMALL('SUPPORT-EVALDIR'!H28:H39,4),'SUPPORT-EVALDIR'!H28:H39,0))</f>
        <v>Patronato Municipal de Amparo Social</v>
      </c>
      <c r="C69" s="3276">
        <f>SMALL('SUPPORT-EVALDIR'!H28:H39,4)</f>
        <v>18</v>
      </c>
      <c r="D69" s="3352" t="str">
        <f>IF(SMALL('SUPPORT-EVALDIR'!H28:H39,4)=0,"SUMARIO — LOSEP Art.80 (IED=0)",IF(SMALL('SUPPORT-EVALDIR'!H28:H39,4)&lt;30,"SUMARIO — LOSEP Art.80",IF(SMALL('SUPPORT-EVALDIR'!H28:H39,4)&lt;50,"MEMORANDO FORMAL — Plan 30 días","SEGUIMIENTO — Plan de mejora")))</f>
        <v>SUMARIO — LOSEP Art.80</v>
      </c>
      <c r="E69" s="3314"/>
      <c r="F69" s="3256"/>
      <c r="G69" s="2845"/>
      <c r="H69" s="2845"/>
      <c r="I69" s="2845"/>
      <c r="J69" s="2845"/>
      <c r="K69" s="2845"/>
      <c r="L69" s="2845"/>
      <c r="M69" s="2845"/>
      <c r="N69" s="2845"/>
      <c r="O69" s="2845"/>
      <c r="P69" s="2845"/>
      <c r="Q69" s="690"/>
      <c r="R69" s="690"/>
      <c r="S69" s="690"/>
      <c r="T69" s="690"/>
      <c r="U69" s="690"/>
      <c r="V69" s="690"/>
      <c r="W69" s="690"/>
      <c r="X69" s="690"/>
      <c r="Y69" s="690"/>
      <c r="Z69" s="691"/>
    </row>
    <row r="70" spans="1:26" s="43" customFormat="1" ht="22.05" customHeight="1" x14ac:dyDescent="0.3">
      <c r="A70" s="3277" t="str">
        <f>IF(SMALL('SUPPORT-EVALDIR'!H28:H39,5)=0,"⬛ CRÍTICA",IF(SMALL('SUPPORT-EVALDIR'!H28:H39,5)&lt;30,"🔴 CRÍTICA",IF(SMALL('SUPPORT-EVALDIR'!H28:H39,5)&lt;50,"🟠 ALTA","🟡 MEDIA")))</f>
        <v>🔴 CRÍTICA</v>
      </c>
      <c r="B70" s="3353" t="str">
        <f>INDEX('SUPPORT-EVALDIR'!B28:B39,MATCH(SMALL('SUPPORT-EVALDIR'!H28:H39,5),'SUPPORT-EVALDIR'!H28:H39,0))</f>
        <v>Dir. Planificacion y Desarrollo</v>
      </c>
      <c r="C70" s="3278">
        <f>SMALL('SUPPORT-EVALDIR'!H28:H39,5)</f>
        <v>20</v>
      </c>
      <c r="D70" s="3354" t="str">
        <f>IF(SMALL('SUPPORT-EVALDIR'!H28:H39,5)=0,"SUMARIO — LOSEP Art.80 (IED=0)",IF(SMALL('SUPPORT-EVALDIR'!H28:H39,5)&lt;30,"SUMARIO — LOSEP Art.80",IF(SMALL('SUPPORT-EVALDIR'!H28:H39,5)&lt;50,"MEMORANDO FORMAL — Plan 30 días","SEGUIMIENTO — Plan de mejora")))</f>
        <v>SUMARIO — LOSEP Art.80</v>
      </c>
      <c r="E70" s="3279"/>
      <c r="F70" s="3260"/>
      <c r="G70" s="3248"/>
      <c r="H70" s="3248"/>
      <c r="I70" s="3248"/>
      <c r="J70" s="3248"/>
      <c r="K70" s="3248"/>
      <c r="L70" s="3248"/>
      <c r="M70" s="3248"/>
      <c r="N70" s="3248"/>
      <c r="O70" s="3248"/>
      <c r="P70" s="3248"/>
      <c r="Q70" s="692"/>
      <c r="R70" s="692"/>
      <c r="S70" s="692"/>
      <c r="T70" s="692"/>
      <c r="U70" s="692"/>
      <c r="V70" s="692"/>
      <c r="W70" s="692"/>
      <c r="X70" s="692"/>
      <c r="Y70" s="692"/>
      <c r="Z70" s="693"/>
    </row>
  </sheetData>
  <mergeCells count="24">
    <mergeCell ref="A1:Z1"/>
    <mergeCell ref="C14:D14"/>
    <mergeCell ref="C10:D10"/>
    <mergeCell ref="C13:D13"/>
    <mergeCell ref="C12:D12"/>
    <mergeCell ref="C9:D9"/>
    <mergeCell ref="A5:B5"/>
    <mergeCell ref="C8:D8"/>
    <mergeCell ref="A3:E3"/>
    <mergeCell ref="C7:D7"/>
    <mergeCell ref="C11:D11"/>
    <mergeCell ref="A4:Z4"/>
    <mergeCell ref="A2:E2"/>
    <mergeCell ref="A64:Z64"/>
    <mergeCell ref="A15:Z15"/>
    <mergeCell ref="A22:Z23"/>
    <mergeCell ref="A31:Z31"/>
    <mergeCell ref="A37:Z37"/>
    <mergeCell ref="A34:Z34"/>
    <mergeCell ref="A40:Z40"/>
    <mergeCell ref="A48:Z48"/>
    <mergeCell ref="A55:Z55"/>
    <mergeCell ref="A58:Z58"/>
    <mergeCell ref="A59:Z59"/>
  </mergeCells>
  <conditionalFormatting sqref="A66:A70">
    <cfRule type="expression" dxfId="757" priority="41">
      <formula>ISNUMBER(SEARCH("🔴",A66))</formula>
    </cfRule>
    <cfRule type="expression" dxfId="756" priority="40">
      <formula>ISNUMBER(SEARCH("⬛",A66))</formula>
    </cfRule>
    <cfRule type="expression" dxfId="755" priority="43">
      <formula>ISNUMBER(SEARCH("🟡",A66))</formula>
    </cfRule>
    <cfRule type="expression" dxfId="754" priority="42">
      <formula>ISNUMBER(SEARCH("🟠",A66))</formula>
    </cfRule>
  </conditionalFormatting>
  <conditionalFormatting sqref="B8:B9">
    <cfRule type="expression" dxfId="753" priority="15">
      <formula>ISNUMBER(SEARCH("EXCELENCIA",B8))</formula>
    </cfRule>
    <cfRule type="expression" dxfId="752" priority="16">
      <formula>ISNUMBER(SEARCH("MANDATO",B8))</formula>
    </cfRule>
    <cfRule type="expression" dxfId="751" priority="17">
      <formula>ISNUMBER(SEARCH("CRÍTICA",B8))</formula>
    </cfRule>
    <cfRule type="expression" dxfId="750" priority="18">
      <formula>ISNUMBER(SEARCH("OCURRENCIA",B8))</formula>
    </cfRule>
    <cfRule type="expression" dxfId="749" priority="19">
      <formula>ISNUMBER(SEARCH("RUPTURA",B8))</formula>
    </cfRule>
  </conditionalFormatting>
  <conditionalFormatting sqref="B26:B30">
    <cfRule type="expression" dxfId="748" priority="1">
      <formula>B26&gt;=0.96</formula>
    </cfRule>
    <cfRule type="expression" dxfId="747" priority="2">
      <formula>AND(B26&gt;=0.85,B26&lt;0.96)</formula>
    </cfRule>
    <cfRule type="expression" dxfId="746" priority="3">
      <formula>AND(B26&gt;=0.7,B26&lt;0.85)</formula>
    </cfRule>
    <cfRule type="expression" dxfId="745" priority="4">
      <formula>AND(B26&gt;=0.6,B26&lt;0.7)</formula>
    </cfRule>
    <cfRule type="expression" dxfId="744" priority="5">
      <formula>B26&lt;0.6</formula>
    </cfRule>
  </conditionalFormatting>
  <conditionalFormatting sqref="B47:B49">
    <cfRule type="expression" dxfId="743" priority="12">
      <formula>ISNUMBER(SEARCH("✅",B47))</formula>
    </cfRule>
    <cfRule type="expression" dxfId="742" priority="13">
      <formula>ISNUMBER(SEARCH("⚠️",B47))</formula>
    </cfRule>
    <cfRule type="expression" dxfId="741" priority="14">
      <formula>B47=""</formula>
    </cfRule>
  </conditionalFormatting>
  <conditionalFormatting sqref="C8:C14">
    <cfRule type="expression" dxfId="740" priority="44">
      <formula>ISNUMBER(SEARCH("MANDATO",B8))</formula>
    </cfRule>
    <cfRule type="expression" dxfId="739" priority="45">
      <formula>ISNUMBER(SEARCH("OCURRENCIA",B8))</formula>
    </cfRule>
    <cfRule type="expression" dxfId="738" priority="46">
      <formula>ISNUMBER(SEARCH("RUPTURA",B8))</formula>
    </cfRule>
  </conditionalFormatting>
  <conditionalFormatting sqref="D5">
    <cfRule type="expression" dxfId="737" priority="27">
      <formula>ISNUMBER(SEARCH("CRÍTICA",D5))</formula>
    </cfRule>
    <cfRule type="expression" dxfId="736" priority="26">
      <formula>ISNUMBER(SEARCH("MANDATO",D5))</formula>
    </cfRule>
    <cfRule type="expression" dxfId="735" priority="25">
      <formula>ISNUMBER(SEARCH("EXCELENCIA",D5))</formula>
    </cfRule>
    <cfRule type="expression" dxfId="734" priority="29">
      <formula>ISNUMBER(SEARCH("RUPTURA",D5))</formula>
    </cfRule>
    <cfRule type="expression" dxfId="733" priority="28">
      <formula>ISNUMBER(SEARCH("OCURRENCIA",D5))</formula>
    </cfRule>
  </conditionalFormatting>
  <conditionalFormatting sqref="D60:D62">
    <cfRule type="expression" dxfId="732" priority="35">
      <formula>ISNUMBER(SEARCH("EXCELENCIA",D60))</formula>
    </cfRule>
    <cfRule type="expression" dxfId="731" priority="36">
      <formula>ISNUMBER(SEARCH("BUENO",D60))</formula>
    </cfRule>
    <cfRule type="expression" dxfId="730" priority="37">
      <formula>ISNUMBER(SEARCH("MANDATO",D60))</formula>
    </cfRule>
    <cfRule type="expression" dxfId="729" priority="38">
      <formula>ISNUMBER(SEARCH("REGULAR",D60))</formula>
    </cfRule>
    <cfRule type="expression" dxfId="728" priority="39">
      <formula>ISNUMBER(SEARCH("INACEPTABLE",D60))</formula>
    </cfRule>
  </conditionalFormatting>
  <conditionalFormatting sqref="E17:E21">
    <cfRule type="expression" dxfId="727" priority="31">
      <formula>ISNUMBER(SEARCH("MANDATO",E17))</formula>
    </cfRule>
    <cfRule type="expression" dxfId="726" priority="32">
      <formula>ISNUMBER(SEARCH("CRÍTICA",E17))</formula>
    </cfRule>
    <cfRule type="expression" dxfId="725" priority="33">
      <formula>ISNUMBER(SEARCH("OCURRENCIA",E17))</formula>
    </cfRule>
    <cfRule type="expression" dxfId="724" priority="34">
      <formula>ISNUMBER(SEARCH("RUPTURA",E17))</formula>
    </cfRule>
    <cfRule type="expression" dxfId="723" priority="30">
      <formula>ISNUMBER(SEARCH("EXCELENCIA",E17))</formula>
    </cfRule>
  </conditionalFormatting>
  <conditionalFormatting sqref="F40:F44">
    <cfRule type="expression" dxfId="722" priority="9">
      <formula>ISNUMBER(SEARCH("Alta",F40))</formula>
    </cfRule>
    <cfRule type="expression" dxfId="721" priority="10">
      <formula>ISNUMBER(SEARCH("Media",F40))</formula>
    </cfRule>
    <cfRule type="expression" dxfId="720" priority="11">
      <formula>ISNUMBER(SEARCH("Baja",F40))</formula>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8CCE4"/>
  </sheetPr>
  <dimension ref="A1:Z64"/>
  <sheetViews>
    <sheetView showGridLines="0" topLeftCell="B3" zoomScale="23" zoomScaleNormal="23" workbookViewId="0">
      <pane xSplit="1" ySplit="2" topLeftCell="C5" activePane="bottomRight" state="frozen"/>
      <selection activeCell="B4" sqref="B4"/>
      <selection pane="topRight" activeCell="C4" sqref="C4"/>
      <selection pane="bottomLeft" activeCell="B5" sqref="B5"/>
      <selection pane="bottomRight" sqref="A1:Z1"/>
    </sheetView>
  </sheetViews>
  <sheetFormatPr baseColWidth="10" defaultRowHeight="15" x14ac:dyDescent="0.3"/>
  <cols>
    <col min="1" max="1" width="37" style="21" customWidth="1"/>
    <col min="2" max="2" width="27.77734375" style="21" customWidth="1"/>
    <col min="3" max="3" width="13" style="45" customWidth="1"/>
    <col min="4" max="4" width="40.77734375" style="21" customWidth="1"/>
    <col min="5" max="5" width="22.21875" style="21" customWidth="1"/>
    <col min="6" max="6" width="25.88671875" style="21" customWidth="1"/>
    <col min="7" max="7" width="13.88671875" style="21" customWidth="1"/>
    <col min="8" max="8" width="18.5546875" style="21" customWidth="1"/>
    <col min="9" max="14" width="3.6640625" style="21" customWidth="1"/>
    <col min="15" max="25" width="11.5546875" style="21"/>
    <col min="26" max="26" width="11.21875" style="21" bestFit="1" customWidth="1"/>
    <col min="27" max="16384" width="11.5546875" style="21"/>
  </cols>
  <sheetData>
    <row r="1" spans="1:26" s="20" customFormat="1" ht="25.95" customHeight="1" x14ac:dyDescent="0.3">
      <c r="A1" s="3477" t="s">
        <v>4824</v>
      </c>
      <c r="B1" s="3478"/>
      <c r="C1" s="3479"/>
      <c r="D1" s="3479"/>
      <c r="E1" s="3479"/>
      <c r="F1" s="3479"/>
      <c r="G1" s="3480"/>
      <c r="H1" s="3481"/>
      <c r="I1" s="3482"/>
      <c r="J1" s="3482"/>
      <c r="K1" s="3482"/>
      <c r="L1" s="3482"/>
      <c r="M1" s="3482"/>
      <c r="N1" s="3482"/>
      <c r="O1" s="3483"/>
      <c r="P1" s="3483"/>
      <c r="Q1" s="3483"/>
      <c r="R1" s="3483"/>
      <c r="S1" s="3483"/>
      <c r="T1" s="3483"/>
      <c r="U1" s="3483"/>
      <c r="V1" s="3483"/>
      <c r="W1" s="3483"/>
      <c r="X1" s="3483"/>
      <c r="Y1" s="3483"/>
      <c r="Z1" s="3483"/>
    </row>
    <row r="2" spans="1:26" ht="24" customHeight="1" x14ac:dyDescent="0.3">
      <c r="A2" s="2915" t="str">
        <f>HYPERLINK("#'M-INDEX'!A1","⌂ INDICE")</f>
        <v>⌂ INDICE</v>
      </c>
      <c r="B2" s="2913" t="str">
        <f>HYPERLINK("#'M1-ITME'!A1","M1")</f>
        <v>M1</v>
      </c>
      <c r="C2" s="2718" t="str">
        <f>HYPERLINK("#'M2-PDOT'!A1","M2")</f>
        <v>M2</v>
      </c>
      <c r="D2" s="2718" t="str">
        <f>HYPERLINK("#'M3-MAO'!A1","M3")</f>
        <v>M3</v>
      </c>
      <c r="E2" s="2718" t="str">
        <f>HYPERLINK("#'M4-AUDIT'!A1","M4")</f>
        <v>M4</v>
      </c>
      <c r="F2" s="2718" t="str">
        <f>HYPERLINK("#'M5-ICPI'!A1","M5")</f>
        <v>M5</v>
      </c>
      <c r="G2" s="2914" t="str">
        <f>HYPERLINK("#'M6-FEDS'!A1","M6")</f>
        <v>M6</v>
      </c>
      <c r="H2" s="2916" t="str">
        <f>HYPERLINK("#'M7-PROSP'!A1","M7")</f>
        <v>M7</v>
      </c>
      <c r="I2" s="2943" t="str">
        <f>HYPERLINK("#'DATA-POA'!A1","DATA-POA")</f>
        <v>DATA-POA</v>
      </c>
      <c r="J2" s="2943" t="str">
        <f>HYPERLINK("#'DATA-CNE'!A1","DATA-CNE")</f>
        <v>DATA-CNE</v>
      </c>
      <c r="K2" s="2943" t="str">
        <f>HYPERLINK("#'DATA-ORG'!A1","DATA-ORG")</f>
        <v>DATA-ORG</v>
      </c>
      <c r="L2" s="2943" t="str">
        <f>HYPERLINK("#'M-DASHBOARD'!A1","DASH")</f>
        <v>DASH</v>
      </c>
      <c r="M2" s="3183"/>
      <c r="N2" s="3183"/>
      <c r="O2" s="3173"/>
      <c r="P2" s="3173"/>
      <c r="Q2" s="3173"/>
      <c r="R2" s="3173"/>
      <c r="S2" s="3173"/>
      <c r="T2" s="3173"/>
      <c r="U2" s="3173"/>
      <c r="V2" s="3173"/>
      <c r="W2" s="3173"/>
      <c r="X2" s="3173"/>
      <c r="Y2" s="3173"/>
      <c r="Z2" s="3173"/>
    </row>
    <row r="3" spans="1:26" ht="22.05" customHeight="1" thickBot="1" x14ac:dyDescent="0.35">
      <c r="A3" s="3462" t="s">
        <v>4225</v>
      </c>
      <c r="B3" s="3463"/>
      <c r="C3" s="3464"/>
      <c r="D3" s="3464"/>
      <c r="E3" s="3464"/>
      <c r="F3" s="3464"/>
      <c r="G3" s="3465"/>
      <c r="H3" s="3466"/>
      <c r="I3" s="3467"/>
      <c r="J3" s="3467"/>
      <c r="K3" s="3467"/>
      <c r="L3" s="3467"/>
      <c r="M3" s="3467"/>
      <c r="N3" s="3467"/>
      <c r="O3" s="3468"/>
      <c r="P3" s="3468"/>
      <c r="Q3" s="3468"/>
      <c r="R3" s="3468"/>
      <c r="S3" s="3468"/>
      <c r="T3" s="3468"/>
      <c r="U3" s="3468"/>
      <c r="V3" s="3468"/>
      <c r="W3" s="3468"/>
      <c r="X3" s="3468"/>
      <c r="Y3" s="3468"/>
      <c r="Z3" s="3468"/>
    </row>
    <row r="4" spans="1:26" ht="15.6" thickTop="1" x14ac:dyDescent="0.3">
      <c r="A4" s="3469" t="s">
        <v>118</v>
      </c>
      <c r="B4" s="3470"/>
      <c r="C4" s="3471"/>
      <c r="D4" s="3471"/>
      <c r="E4" s="3471"/>
      <c r="F4" s="3471"/>
      <c r="G4" s="3472"/>
      <c r="H4" s="3473"/>
      <c r="I4" s="3474"/>
      <c r="J4" s="3474"/>
      <c r="K4" s="3474"/>
      <c r="L4" s="3474"/>
      <c r="M4" s="3474"/>
      <c r="N4" s="3474"/>
      <c r="O4" s="3475"/>
      <c r="P4" s="3475"/>
      <c r="Q4" s="3475"/>
      <c r="R4" s="3475"/>
      <c r="S4" s="3475"/>
      <c r="T4" s="3475"/>
      <c r="U4" s="3475"/>
      <c r="V4" s="3475"/>
      <c r="W4" s="3475"/>
      <c r="X4" s="3475"/>
      <c r="Y4" s="3475"/>
      <c r="Z4" s="3476"/>
    </row>
    <row r="5" spans="1:26" ht="30" customHeight="1" x14ac:dyDescent="0.3">
      <c r="A5" s="1848" t="s">
        <v>119</v>
      </c>
      <c r="B5" s="2917" t="s">
        <v>120</v>
      </c>
      <c r="C5" s="1781" t="s">
        <v>121</v>
      </c>
      <c r="D5" s="1781" t="s">
        <v>122</v>
      </c>
      <c r="E5" s="1781" t="s">
        <v>123</v>
      </c>
      <c r="F5" s="1781" t="s">
        <v>124</v>
      </c>
      <c r="G5" s="2918" t="s">
        <v>125</v>
      </c>
      <c r="H5" s="1850" t="s">
        <v>126</v>
      </c>
      <c r="I5" s="3184"/>
      <c r="J5" s="506"/>
      <c r="K5" s="506"/>
      <c r="L5" s="506"/>
      <c r="M5" s="506"/>
      <c r="N5" s="506"/>
      <c r="O5" s="1991"/>
      <c r="P5" s="1991"/>
      <c r="Q5" s="1991"/>
      <c r="R5" s="1991"/>
      <c r="S5" s="1991"/>
      <c r="T5" s="1991"/>
      <c r="U5" s="1991"/>
      <c r="V5" s="1991"/>
      <c r="W5" s="1991"/>
      <c r="X5" s="1991"/>
      <c r="Y5" s="1991"/>
      <c r="Z5" s="3174"/>
    </row>
    <row r="6" spans="1:26" s="22" customFormat="1" ht="22.05" customHeight="1" x14ac:dyDescent="0.3">
      <c r="A6" s="3131" t="s">
        <v>127</v>
      </c>
      <c r="B6" s="3195" t="s">
        <v>128</v>
      </c>
      <c r="C6" s="2788" t="s">
        <v>129</v>
      </c>
      <c r="D6" s="3091" t="s">
        <v>130</v>
      </c>
      <c r="E6" s="3091" t="s">
        <v>131</v>
      </c>
      <c r="F6" s="3091" t="s">
        <v>132</v>
      </c>
      <c r="G6" s="3196" t="s">
        <v>133</v>
      </c>
      <c r="H6" s="3111" t="s">
        <v>134</v>
      </c>
      <c r="I6" s="3185"/>
      <c r="J6" s="2057"/>
      <c r="K6" s="2057"/>
      <c r="L6" s="2057"/>
      <c r="M6" s="2057"/>
      <c r="N6" s="2057"/>
      <c r="O6" s="2331"/>
      <c r="P6" s="2331"/>
      <c r="Q6" s="2331"/>
      <c r="R6" s="2331"/>
      <c r="S6" s="2331"/>
      <c r="T6" s="2331"/>
      <c r="U6" s="2331"/>
      <c r="V6" s="2331"/>
      <c r="W6" s="2331"/>
      <c r="X6" s="2331"/>
      <c r="Y6" s="2331"/>
      <c r="Z6" s="3175"/>
    </row>
    <row r="7" spans="1:26" s="22" customFormat="1" ht="22.05" customHeight="1" x14ac:dyDescent="0.3">
      <c r="A7" s="3125" t="s">
        <v>135</v>
      </c>
      <c r="B7" s="3197" t="s">
        <v>136</v>
      </c>
      <c r="C7" s="1823" t="s">
        <v>129</v>
      </c>
      <c r="D7" s="3090" t="s">
        <v>137</v>
      </c>
      <c r="E7" s="3090" t="s">
        <v>138</v>
      </c>
      <c r="F7" s="3090" t="s">
        <v>139</v>
      </c>
      <c r="G7" s="3198" t="s">
        <v>133</v>
      </c>
      <c r="H7" s="3121" t="s">
        <v>134</v>
      </c>
      <c r="I7" s="3185"/>
      <c r="J7" s="2057"/>
      <c r="K7" s="2057"/>
      <c r="L7" s="2057"/>
      <c r="M7" s="2057"/>
      <c r="N7" s="2057"/>
      <c r="O7" s="2331"/>
      <c r="P7" s="2331"/>
      <c r="Q7" s="2331"/>
      <c r="R7" s="2331"/>
      <c r="S7" s="2331"/>
      <c r="T7" s="2331"/>
      <c r="U7" s="2331"/>
      <c r="V7" s="2331"/>
      <c r="W7" s="2331"/>
      <c r="X7" s="2331"/>
      <c r="Y7" s="2331"/>
      <c r="Z7" s="3175"/>
    </row>
    <row r="8" spans="1:26" s="22" customFormat="1" ht="22.05" customHeight="1" x14ac:dyDescent="0.3">
      <c r="A8" s="3131" t="s">
        <v>140</v>
      </c>
      <c r="B8" s="3195" t="s">
        <v>141</v>
      </c>
      <c r="C8" s="2788" t="s">
        <v>129</v>
      </c>
      <c r="D8" s="3091" t="s">
        <v>142</v>
      </c>
      <c r="E8" s="3091" t="s">
        <v>143</v>
      </c>
      <c r="F8" s="3091" t="s">
        <v>144</v>
      </c>
      <c r="G8" s="3196" t="s">
        <v>133</v>
      </c>
      <c r="H8" s="3111" t="s">
        <v>134</v>
      </c>
      <c r="I8" s="3185"/>
      <c r="J8" s="2057"/>
      <c r="K8" s="2057"/>
      <c r="L8" s="2057"/>
      <c r="M8" s="2057"/>
      <c r="N8" s="2057"/>
      <c r="O8" s="2331"/>
      <c r="P8" s="2331"/>
      <c r="Q8" s="2331"/>
      <c r="R8" s="2331"/>
      <c r="S8" s="2331"/>
      <c r="T8" s="2331"/>
      <c r="U8" s="2331"/>
      <c r="V8" s="2331"/>
      <c r="W8" s="2331"/>
      <c r="X8" s="2331"/>
      <c r="Y8" s="2331"/>
      <c r="Z8" s="3175"/>
    </row>
    <row r="9" spans="1:26" s="22" customFormat="1" ht="22.05" customHeight="1" x14ac:dyDescent="0.3">
      <c r="A9" s="3125" t="s">
        <v>145</v>
      </c>
      <c r="B9" s="3197" t="s">
        <v>146</v>
      </c>
      <c r="C9" s="1823" t="s">
        <v>147</v>
      </c>
      <c r="D9" s="3090" t="s">
        <v>148</v>
      </c>
      <c r="E9" s="3090" t="s">
        <v>103</v>
      </c>
      <c r="F9" s="3090" t="s">
        <v>149</v>
      </c>
      <c r="G9" s="3198" t="s">
        <v>133</v>
      </c>
      <c r="H9" s="3121" t="s">
        <v>103</v>
      </c>
      <c r="I9" s="3185"/>
      <c r="J9" s="2057"/>
      <c r="K9" s="2057"/>
      <c r="L9" s="2057"/>
      <c r="M9" s="2057"/>
      <c r="N9" s="2057"/>
      <c r="O9" s="2331"/>
      <c r="P9" s="2331"/>
      <c r="Q9" s="2331"/>
      <c r="R9" s="2331"/>
      <c r="S9" s="2331"/>
      <c r="T9" s="2331"/>
      <c r="U9" s="2331"/>
      <c r="V9" s="2331"/>
      <c r="W9" s="2331"/>
      <c r="X9" s="2331"/>
      <c r="Y9" s="2331"/>
      <c r="Z9" s="3175"/>
    </row>
    <row r="10" spans="1:26" s="22" customFormat="1" ht="22.05" customHeight="1" x14ac:dyDescent="0.3">
      <c r="A10" s="3131" t="s">
        <v>150</v>
      </c>
      <c r="B10" s="3195" t="s">
        <v>151</v>
      </c>
      <c r="C10" s="2788" t="s">
        <v>147</v>
      </c>
      <c r="D10" s="3091" t="s">
        <v>152</v>
      </c>
      <c r="E10" s="3091" t="s">
        <v>138</v>
      </c>
      <c r="F10" s="3091" t="s">
        <v>153</v>
      </c>
      <c r="G10" s="3196" t="s">
        <v>133</v>
      </c>
      <c r="H10" s="3111" t="s">
        <v>103</v>
      </c>
      <c r="I10" s="3185"/>
      <c r="J10" s="2057"/>
      <c r="K10" s="2057"/>
      <c r="L10" s="2057"/>
      <c r="M10" s="2057"/>
      <c r="N10" s="2057"/>
      <c r="O10" s="2331"/>
      <c r="P10" s="2331"/>
      <c r="Q10" s="2331"/>
      <c r="R10" s="2331"/>
      <c r="S10" s="2331"/>
      <c r="T10" s="2331"/>
      <c r="U10" s="2331"/>
      <c r="V10" s="2331"/>
      <c r="W10" s="2331"/>
      <c r="X10" s="2331"/>
      <c r="Y10" s="2331"/>
      <c r="Z10" s="3175"/>
    </row>
    <row r="11" spans="1:26" s="22" customFormat="1" ht="22.05" customHeight="1" x14ac:dyDescent="0.3">
      <c r="A11" s="3125" t="s">
        <v>154</v>
      </c>
      <c r="B11" s="3197">
        <v>130101</v>
      </c>
      <c r="C11" s="1823" t="s">
        <v>129</v>
      </c>
      <c r="D11" s="3090" t="s">
        <v>155</v>
      </c>
      <c r="E11" s="3090" t="s">
        <v>156</v>
      </c>
      <c r="F11" s="3090" t="s">
        <v>157</v>
      </c>
      <c r="G11" s="3198" t="s">
        <v>133</v>
      </c>
      <c r="H11" s="3121" t="s">
        <v>134</v>
      </c>
      <c r="I11" s="3185"/>
      <c r="J11" s="2057"/>
      <c r="K11" s="2057"/>
      <c r="L11" s="2057"/>
      <c r="M11" s="2057"/>
      <c r="N11" s="2057"/>
      <c r="O11" s="2331"/>
      <c r="P11" s="2331"/>
      <c r="Q11" s="2331"/>
      <c r="R11" s="2331"/>
      <c r="S11" s="2331"/>
      <c r="T11" s="2331"/>
      <c r="U11" s="2331"/>
      <c r="V11" s="2331"/>
      <c r="W11" s="2331"/>
      <c r="X11" s="2331"/>
      <c r="Y11" s="2331"/>
      <c r="Z11" s="3175"/>
    </row>
    <row r="12" spans="1:26" s="22" customFormat="1" ht="22.05" customHeight="1" x14ac:dyDescent="0.3">
      <c r="A12" s="3131" t="s">
        <v>158</v>
      </c>
      <c r="B12" s="3195" t="s">
        <v>159</v>
      </c>
      <c r="C12" s="2788" t="s">
        <v>129</v>
      </c>
      <c r="D12" s="3091" t="s">
        <v>160</v>
      </c>
      <c r="E12" s="3091" t="s">
        <v>161</v>
      </c>
      <c r="F12" s="3091" t="s">
        <v>162</v>
      </c>
      <c r="G12" s="3196" t="s">
        <v>133</v>
      </c>
      <c r="H12" s="3111" t="s">
        <v>163</v>
      </c>
      <c r="I12" s="3185"/>
      <c r="J12" s="2057"/>
      <c r="K12" s="2057"/>
      <c r="L12" s="2057"/>
      <c r="M12" s="2057"/>
      <c r="N12" s="2057"/>
      <c r="O12" s="2331"/>
      <c r="P12" s="2331"/>
      <c r="Q12" s="2331"/>
      <c r="R12" s="2331"/>
      <c r="S12" s="2331"/>
      <c r="T12" s="2331"/>
      <c r="U12" s="2331"/>
      <c r="V12" s="2331"/>
      <c r="W12" s="2331"/>
      <c r="X12" s="2331"/>
      <c r="Y12" s="2331"/>
      <c r="Z12" s="3175"/>
    </row>
    <row r="13" spans="1:26" s="22" customFormat="1" ht="22.05" customHeight="1" x14ac:dyDescent="0.3">
      <c r="A13" s="3120"/>
      <c r="B13" s="3197"/>
      <c r="C13" s="1823"/>
      <c r="D13" s="3090"/>
      <c r="E13" s="3090"/>
      <c r="F13" s="3090"/>
      <c r="G13" s="3198"/>
      <c r="H13" s="3121"/>
      <c r="I13" s="3185"/>
      <c r="J13" s="2057"/>
      <c r="K13" s="2057"/>
      <c r="L13" s="2057"/>
      <c r="M13" s="2057"/>
      <c r="N13" s="2057"/>
      <c r="O13" s="2331"/>
      <c r="P13" s="2331"/>
      <c r="Q13" s="2331"/>
      <c r="R13" s="2331"/>
      <c r="S13" s="2331"/>
      <c r="T13" s="2331"/>
      <c r="U13" s="2331"/>
      <c r="V13" s="2331"/>
      <c r="W13" s="2331"/>
      <c r="X13" s="2331"/>
      <c r="Y13" s="2331"/>
      <c r="Z13" s="3175"/>
    </row>
    <row r="14" spans="1:26" s="22" customFormat="1" ht="24" customHeight="1" x14ac:dyDescent="0.3">
      <c r="A14" s="3446" t="s">
        <v>164</v>
      </c>
      <c r="B14" s="3447"/>
      <c r="C14" s="3484"/>
      <c r="D14" s="3448"/>
      <c r="E14" s="3448"/>
      <c r="F14" s="3448"/>
      <c r="G14" s="3449"/>
      <c r="H14" s="3450"/>
      <c r="I14" s="3451"/>
      <c r="J14" s="3451"/>
      <c r="K14" s="3451"/>
      <c r="L14" s="3451"/>
      <c r="M14" s="3451"/>
      <c r="N14" s="3451"/>
      <c r="O14" s="3452"/>
      <c r="P14" s="3452"/>
      <c r="Q14" s="3452"/>
      <c r="R14" s="3452"/>
      <c r="S14" s="3452"/>
      <c r="T14" s="3452"/>
      <c r="U14" s="3452"/>
      <c r="V14" s="3452"/>
      <c r="W14" s="3452"/>
      <c r="X14" s="3452"/>
      <c r="Y14" s="3452"/>
      <c r="Z14" s="3453"/>
    </row>
    <row r="15" spans="1:26" s="22" customFormat="1" ht="22.05" customHeight="1" x14ac:dyDescent="0.3">
      <c r="A15" s="3125" t="s">
        <v>165</v>
      </c>
      <c r="B15" s="3199" t="s">
        <v>166</v>
      </c>
      <c r="C15" s="1823" t="s">
        <v>129</v>
      </c>
      <c r="D15" s="3090" t="s">
        <v>167</v>
      </c>
      <c r="E15" s="3090" t="s">
        <v>168</v>
      </c>
      <c r="F15" s="3090" t="s">
        <v>169</v>
      </c>
      <c r="G15" s="3198" t="s">
        <v>133</v>
      </c>
      <c r="H15" s="3121" t="s">
        <v>134</v>
      </c>
      <c r="I15" s="3185"/>
      <c r="J15" s="2057"/>
      <c r="K15" s="2057"/>
      <c r="L15" s="2057"/>
      <c r="M15" s="2057"/>
      <c r="N15" s="2057"/>
      <c r="O15" s="2331"/>
      <c r="P15" s="2331"/>
      <c r="Q15" s="2331"/>
      <c r="R15" s="2331"/>
      <c r="S15" s="2331"/>
      <c r="T15" s="2331"/>
      <c r="U15" s="2331"/>
      <c r="V15" s="2331"/>
      <c r="W15" s="2331"/>
      <c r="X15" s="2331"/>
      <c r="Y15" s="2331"/>
      <c r="Z15" s="3175"/>
    </row>
    <row r="16" spans="1:26" s="22" customFormat="1" ht="22.05" customHeight="1" x14ac:dyDescent="0.3">
      <c r="A16" s="3131" t="s">
        <v>170</v>
      </c>
      <c r="B16" s="3200">
        <v>20</v>
      </c>
      <c r="C16" s="2788" t="s">
        <v>129</v>
      </c>
      <c r="D16" s="3091" t="s">
        <v>171</v>
      </c>
      <c r="E16" s="3091" t="s">
        <v>172</v>
      </c>
      <c r="F16" s="3091" t="s">
        <v>173</v>
      </c>
      <c r="G16" s="3196" t="s">
        <v>133</v>
      </c>
      <c r="H16" s="3111" t="s">
        <v>134</v>
      </c>
      <c r="I16" s="3185"/>
      <c r="J16" s="2057"/>
      <c r="K16" s="2057"/>
      <c r="L16" s="2057"/>
      <c r="M16" s="2057"/>
      <c r="N16" s="2057"/>
      <c r="O16" s="2331"/>
      <c r="P16" s="2331"/>
      <c r="Q16" s="2331"/>
      <c r="R16" s="2331"/>
      <c r="S16" s="2331"/>
      <c r="T16" s="2331"/>
      <c r="U16" s="2331"/>
      <c r="V16" s="2331"/>
      <c r="W16" s="2331"/>
      <c r="X16" s="2331"/>
      <c r="Y16" s="2331"/>
      <c r="Z16" s="3175"/>
    </row>
    <row r="17" spans="1:26" s="22" customFormat="1" ht="22.05" customHeight="1" x14ac:dyDescent="0.3">
      <c r="A17" s="3125" t="s">
        <v>174</v>
      </c>
      <c r="B17" s="3199">
        <v>5</v>
      </c>
      <c r="C17" s="1823" t="s">
        <v>129</v>
      </c>
      <c r="D17" s="3090" t="s">
        <v>175</v>
      </c>
      <c r="E17" s="3090" t="s">
        <v>168</v>
      </c>
      <c r="F17" s="3090" t="s">
        <v>176</v>
      </c>
      <c r="G17" s="3198" t="s">
        <v>133</v>
      </c>
      <c r="H17" s="3121" t="s">
        <v>134</v>
      </c>
      <c r="I17" s="3185"/>
      <c r="J17" s="2057"/>
      <c r="K17" s="2057"/>
      <c r="L17" s="2057"/>
      <c r="M17" s="2057"/>
      <c r="N17" s="2057"/>
      <c r="O17" s="2331"/>
      <c r="P17" s="2331"/>
      <c r="Q17" s="2331"/>
      <c r="R17" s="2331"/>
      <c r="S17" s="2331"/>
      <c r="T17" s="2331"/>
      <c r="U17" s="2331"/>
      <c r="V17" s="2331"/>
      <c r="W17" s="2331"/>
      <c r="X17" s="2331"/>
      <c r="Y17" s="2331"/>
      <c r="Z17" s="3175"/>
    </row>
    <row r="18" spans="1:26" s="22" customFormat="1" ht="22.05" customHeight="1" x14ac:dyDescent="0.3">
      <c r="A18" s="3131" t="s">
        <v>177</v>
      </c>
      <c r="B18" s="3200">
        <v>1</v>
      </c>
      <c r="C18" s="2788" t="s">
        <v>178</v>
      </c>
      <c r="D18" s="3091"/>
      <c r="E18" s="3091"/>
      <c r="F18" s="3091"/>
      <c r="G18" s="3196"/>
      <c r="H18" s="3111"/>
      <c r="I18" s="3185"/>
      <c r="J18" s="2057"/>
      <c r="K18" s="2057"/>
      <c r="L18" s="2057"/>
      <c r="M18" s="2057"/>
      <c r="N18" s="2057"/>
      <c r="O18" s="2331"/>
      <c r="P18" s="2331"/>
      <c r="Q18" s="2331"/>
      <c r="R18" s="2331"/>
      <c r="S18" s="2331"/>
      <c r="T18" s="2331"/>
      <c r="U18" s="2331"/>
      <c r="V18" s="2331"/>
      <c r="W18" s="2331"/>
      <c r="X18" s="2331"/>
      <c r="Y18" s="2331"/>
      <c r="Z18" s="3175"/>
    </row>
    <row r="19" spans="1:26" s="22" customFormat="1" ht="22.05" customHeight="1" x14ac:dyDescent="0.3">
      <c r="A19" s="3125" t="s">
        <v>179</v>
      </c>
      <c r="B19" s="3201">
        <v>1</v>
      </c>
      <c r="C19" s="1823" t="s">
        <v>180</v>
      </c>
      <c r="D19" s="3090" t="s">
        <v>5068</v>
      </c>
      <c r="E19" s="3090" t="s">
        <v>181</v>
      </c>
      <c r="F19" s="3090" t="s">
        <v>182</v>
      </c>
      <c r="G19" s="3198" t="s">
        <v>133</v>
      </c>
      <c r="H19" s="3121" t="s">
        <v>134</v>
      </c>
      <c r="I19" s="3185"/>
      <c r="J19" s="2057"/>
      <c r="K19" s="2057"/>
      <c r="L19" s="2057"/>
      <c r="M19" s="2057"/>
      <c r="N19" s="2057"/>
      <c r="O19" s="2331"/>
      <c r="P19" s="2331"/>
      <c r="Q19" s="2331"/>
      <c r="R19" s="2331"/>
      <c r="S19" s="2331"/>
      <c r="T19" s="2331"/>
      <c r="U19" s="2331"/>
      <c r="V19" s="2331"/>
      <c r="W19" s="2331"/>
      <c r="X19" s="2331"/>
      <c r="Y19" s="2331"/>
      <c r="Z19" s="3175"/>
    </row>
    <row r="20" spans="1:26" s="22" customFormat="1" ht="22.05" customHeight="1" x14ac:dyDescent="0.3">
      <c r="A20" s="3131" t="s">
        <v>183</v>
      </c>
      <c r="B20" s="3200">
        <v>2024</v>
      </c>
      <c r="C20" s="2788" t="s">
        <v>184</v>
      </c>
      <c r="D20" s="3091" t="s">
        <v>185</v>
      </c>
      <c r="E20" s="3091" t="s">
        <v>181</v>
      </c>
      <c r="F20" s="3091" t="s">
        <v>186</v>
      </c>
      <c r="G20" s="3196" t="s">
        <v>133</v>
      </c>
      <c r="H20" s="3111" t="s">
        <v>134</v>
      </c>
      <c r="I20" s="3185"/>
      <c r="J20" s="2057"/>
      <c r="K20" s="2057"/>
      <c r="L20" s="2057"/>
      <c r="M20" s="2057"/>
      <c r="N20" s="2057"/>
      <c r="O20" s="2331"/>
      <c r="P20" s="2331"/>
      <c r="Q20" s="2331"/>
      <c r="R20" s="2331"/>
      <c r="S20" s="2331"/>
      <c r="T20" s="2331"/>
      <c r="U20" s="2331"/>
      <c r="V20" s="2331"/>
      <c r="W20" s="2331"/>
      <c r="X20" s="2331"/>
      <c r="Y20" s="2331"/>
      <c r="Z20" s="3175"/>
    </row>
    <row r="21" spans="1:26" s="22" customFormat="1" ht="22.05" customHeight="1" x14ac:dyDescent="0.3">
      <c r="A21" s="3125" t="s">
        <v>187</v>
      </c>
      <c r="B21" s="3199">
        <v>13</v>
      </c>
      <c r="C21" s="1823" t="s">
        <v>184</v>
      </c>
      <c r="D21" s="3090" t="s">
        <v>188</v>
      </c>
      <c r="E21" s="3090" t="s">
        <v>189</v>
      </c>
      <c r="F21" s="3090" t="s">
        <v>190</v>
      </c>
      <c r="G21" s="3198" t="s">
        <v>133</v>
      </c>
      <c r="H21" s="3121" t="s">
        <v>134</v>
      </c>
      <c r="I21" s="3185"/>
      <c r="J21" s="2057"/>
      <c r="K21" s="2057"/>
      <c r="L21" s="2057"/>
      <c r="M21" s="2057"/>
      <c r="N21" s="2057"/>
      <c r="O21" s="2331"/>
      <c r="P21" s="2331"/>
      <c r="Q21" s="2331"/>
      <c r="R21" s="2331"/>
      <c r="S21" s="2331"/>
      <c r="T21" s="2331"/>
      <c r="U21" s="2331"/>
      <c r="V21" s="2331"/>
      <c r="W21" s="2331"/>
      <c r="X21" s="2331"/>
      <c r="Y21" s="2331"/>
      <c r="Z21" s="3175"/>
    </row>
    <row r="22" spans="1:26" s="22" customFormat="1" ht="22.05" customHeight="1" x14ac:dyDescent="0.3">
      <c r="A22" s="3131" t="s">
        <v>191</v>
      </c>
      <c r="B22" s="3202" t="s">
        <v>192</v>
      </c>
      <c r="C22" s="2788" t="s">
        <v>184</v>
      </c>
      <c r="D22" s="3091" t="s">
        <v>193</v>
      </c>
      <c r="E22" s="3091" t="s">
        <v>194</v>
      </c>
      <c r="F22" s="3091" t="s">
        <v>195</v>
      </c>
      <c r="G22" s="3196" t="s">
        <v>133</v>
      </c>
      <c r="H22" s="3111" t="s">
        <v>196</v>
      </c>
      <c r="I22" s="3185"/>
      <c r="J22" s="2057"/>
      <c r="K22" s="2057"/>
      <c r="L22" s="2057"/>
      <c r="M22" s="2057"/>
      <c r="N22" s="2057"/>
      <c r="O22" s="2331"/>
      <c r="P22" s="2331"/>
      <c r="Q22" s="2331"/>
      <c r="R22" s="2331"/>
      <c r="S22" s="2331"/>
      <c r="T22" s="2331"/>
      <c r="U22" s="2331"/>
      <c r="V22" s="2331"/>
      <c r="W22" s="2331"/>
      <c r="X22" s="2331"/>
      <c r="Y22" s="2331"/>
      <c r="Z22" s="3175"/>
    </row>
    <row r="23" spans="1:26" s="22" customFormat="1" ht="22.05" customHeight="1" x14ac:dyDescent="0.3">
      <c r="A23" s="3125" t="s">
        <v>197</v>
      </c>
      <c r="B23" s="3199">
        <v>122857648</v>
      </c>
      <c r="C23" s="1823" t="s">
        <v>184</v>
      </c>
      <c r="D23" s="3090" t="s">
        <v>198</v>
      </c>
      <c r="E23" s="3090" t="s">
        <v>199</v>
      </c>
      <c r="F23" s="3090" t="s">
        <v>200</v>
      </c>
      <c r="G23" s="3198" t="s">
        <v>133</v>
      </c>
      <c r="H23" s="3121" t="s">
        <v>201</v>
      </c>
      <c r="I23" s="3185"/>
      <c r="J23" s="2057"/>
      <c r="K23" s="2057"/>
      <c r="L23" s="2057"/>
      <c r="M23" s="2057"/>
      <c r="N23" s="2057"/>
      <c r="O23" s="2331"/>
      <c r="P23" s="2331"/>
      <c r="Q23" s="2331"/>
      <c r="R23" s="2331"/>
      <c r="S23" s="2331"/>
      <c r="T23" s="2331"/>
      <c r="U23" s="2331"/>
      <c r="V23" s="2331"/>
      <c r="W23" s="2331"/>
      <c r="X23" s="2331"/>
      <c r="Y23" s="2331"/>
      <c r="Z23" s="3175"/>
    </row>
    <row r="24" spans="1:26" s="22" customFormat="1" ht="22.05" customHeight="1" x14ac:dyDescent="0.3">
      <c r="A24" s="3109"/>
      <c r="B24" s="3195"/>
      <c r="C24" s="2788"/>
      <c r="D24" s="3091"/>
      <c r="E24" s="3091"/>
      <c r="F24" s="3091"/>
      <c r="G24" s="3196"/>
      <c r="H24" s="3111"/>
      <c r="I24" s="3185"/>
      <c r="J24" s="2057"/>
      <c r="K24" s="2057"/>
      <c r="L24" s="2057"/>
      <c r="M24" s="2057"/>
      <c r="N24" s="2057"/>
      <c r="O24" s="2331"/>
      <c r="P24" s="2331"/>
      <c r="Q24" s="2331"/>
      <c r="R24" s="2331"/>
      <c r="S24" s="2331"/>
      <c r="T24" s="2331"/>
      <c r="U24" s="2331"/>
      <c r="V24" s="2331"/>
      <c r="W24" s="2331"/>
      <c r="X24" s="2331"/>
      <c r="Y24" s="2331"/>
      <c r="Z24" s="3175"/>
    </row>
    <row r="25" spans="1:26" s="22" customFormat="1" ht="24" customHeight="1" x14ac:dyDescent="0.3">
      <c r="A25" s="3446" t="s">
        <v>202</v>
      </c>
      <c r="B25" s="3447"/>
      <c r="C25" s="3484"/>
      <c r="D25" s="3448"/>
      <c r="E25" s="3448"/>
      <c r="F25" s="3448"/>
      <c r="G25" s="3449"/>
      <c r="H25" s="3450"/>
      <c r="I25" s="3451"/>
      <c r="J25" s="3451"/>
      <c r="K25" s="3451"/>
      <c r="L25" s="3451"/>
      <c r="M25" s="3451"/>
      <c r="N25" s="3451"/>
      <c r="O25" s="3452"/>
      <c r="P25" s="3452"/>
      <c r="Q25" s="3452"/>
      <c r="R25" s="3452"/>
      <c r="S25" s="3452"/>
      <c r="T25" s="3452"/>
      <c r="U25" s="3452"/>
      <c r="V25" s="3452"/>
      <c r="W25" s="3452"/>
      <c r="X25" s="3452"/>
      <c r="Y25" s="3452"/>
      <c r="Z25" s="3453"/>
    </row>
    <row r="26" spans="1:26" s="22" customFormat="1" ht="22.05" customHeight="1" x14ac:dyDescent="0.3">
      <c r="A26" s="3206" t="s">
        <v>203</v>
      </c>
      <c r="B26" s="3203">
        <v>0.96</v>
      </c>
      <c r="C26" s="3187" t="s">
        <v>147</v>
      </c>
      <c r="D26" s="3186" t="s">
        <v>204</v>
      </c>
      <c r="E26" s="3186" t="s">
        <v>205</v>
      </c>
      <c r="F26" s="3186" t="s">
        <v>206</v>
      </c>
      <c r="G26" s="3204" t="s">
        <v>133</v>
      </c>
      <c r="H26" s="3208" t="s">
        <v>103</v>
      </c>
      <c r="I26" s="3185"/>
      <c r="J26" s="2057"/>
      <c r="K26" s="2057"/>
      <c r="L26" s="2057"/>
      <c r="M26" s="2057"/>
      <c r="N26" s="2057"/>
      <c r="O26" s="2331"/>
      <c r="P26" s="2331"/>
      <c r="Q26" s="2331"/>
      <c r="R26" s="2331"/>
      <c r="S26" s="2331"/>
      <c r="T26" s="2331"/>
      <c r="U26" s="2331"/>
      <c r="V26" s="2331"/>
      <c r="W26" s="2331"/>
      <c r="X26" s="2331"/>
      <c r="Y26" s="2331"/>
      <c r="Z26" s="3175"/>
    </row>
    <row r="27" spans="1:26" s="22" customFormat="1" ht="22.05" customHeight="1" x14ac:dyDescent="0.3">
      <c r="A27" s="3210" t="s">
        <v>207</v>
      </c>
      <c r="B27" s="3205">
        <v>0.85</v>
      </c>
      <c r="C27" s="3189" t="s">
        <v>147</v>
      </c>
      <c r="D27" s="3188" t="s">
        <v>208</v>
      </c>
      <c r="E27" s="3188" t="s">
        <v>209</v>
      </c>
      <c r="F27" s="3188" t="s">
        <v>210</v>
      </c>
      <c r="G27" s="3207" t="s">
        <v>133</v>
      </c>
      <c r="H27" s="3212" t="s">
        <v>103</v>
      </c>
      <c r="I27" s="3185"/>
      <c r="J27" s="2057"/>
      <c r="K27" s="2057"/>
      <c r="L27" s="2057"/>
      <c r="M27" s="2057"/>
      <c r="N27" s="2057"/>
      <c r="O27" s="2331"/>
      <c r="P27" s="2331"/>
      <c r="Q27" s="2331"/>
      <c r="R27" s="2331"/>
      <c r="S27" s="2331"/>
      <c r="T27" s="2331"/>
      <c r="U27" s="2331"/>
      <c r="V27" s="2331"/>
      <c r="W27" s="2331"/>
      <c r="X27" s="2331"/>
      <c r="Y27" s="2331"/>
      <c r="Z27" s="3175"/>
    </row>
    <row r="28" spans="1:26" s="22" customFormat="1" ht="22.05" customHeight="1" x14ac:dyDescent="0.3">
      <c r="A28" s="3214" t="s">
        <v>211</v>
      </c>
      <c r="B28" s="3209">
        <v>0.7</v>
      </c>
      <c r="C28" s="2564" t="s">
        <v>147</v>
      </c>
      <c r="D28" s="3190" t="s">
        <v>212</v>
      </c>
      <c r="E28" s="3190" t="s">
        <v>213</v>
      </c>
      <c r="F28" s="3190" t="s">
        <v>210</v>
      </c>
      <c r="G28" s="3211" t="s">
        <v>133</v>
      </c>
      <c r="H28" s="3216" t="s">
        <v>103</v>
      </c>
      <c r="I28" s="3185"/>
      <c r="J28" s="2057"/>
      <c r="K28" s="2057"/>
      <c r="L28" s="2057"/>
      <c r="M28" s="2057"/>
      <c r="N28" s="2057"/>
      <c r="O28" s="2331"/>
      <c r="P28" s="2331"/>
      <c r="Q28" s="2331"/>
      <c r="R28" s="2331"/>
      <c r="S28" s="2331"/>
      <c r="T28" s="2331"/>
      <c r="U28" s="2331"/>
      <c r="V28" s="2331"/>
      <c r="W28" s="2331"/>
      <c r="X28" s="2331"/>
      <c r="Y28" s="2331"/>
      <c r="Z28" s="3175"/>
    </row>
    <row r="29" spans="1:26" s="22" customFormat="1" ht="22.05" customHeight="1" x14ac:dyDescent="0.3">
      <c r="A29" s="3218" t="s">
        <v>214</v>
      </c>
      <c r="B29" s="3213">
        <v>0.6</v>
      </c>
      <c r="C29" s="2625" t="s">
        <v>147</v>
      </c>
      <c r="D29" s="3191" t="s">
        <v>215</v>
      </c>
      <c r="E29" s="3191" t="s">
        <v>209</v>
      </c>
      <c r="F29" s="3191" t="s">
        <v>210</v>
      </c>
      <c r="G29" s="3215" t="s">
        <v>133</v>
      </c>
      <c r="H29" s="3220" t="s">
        <v>103</v>
      </c>
      <c r="I29" s="3185"/>
      <c r="J29" s="2057"/>
      <c r="K29" s="2057"/>
      <c r="L29" s="2057"/>
      <c r="M29" s="2057"/>
      <c r="N29" s="2057"/>
      <c r="O29" s="2331"/>
      <c r="P29" s="2331"/>
      <c r="Q29" s="2331"/>
      <c r="R29" s="2331"/>
      <c r="S29" s="2331"/>
      <c r="T29" s="2331"/>
      <c r="U29" s="2331"/>
      <c r="V29" s="2331"/>
      <c r="W29" s="2331"/>
      <c r="X29" s="2331"/>
      <c r="Y29" s="2331"/>
      <c r="Z29" s="3175"/>
    </row>
    <row r="30" spans="1:26" s="22" customFormat="1" ht="22.05" customHeight="1" x14ac:dyDescent="0.3">
      <c r="A30" s="3222" t="s">
        <v>216</v>
      </c>
      <c r="B30" s="3217">
        <v>0</v>
      </c>
      <c r="C30" s="3193" t="s">
        <v>147</v>
      </c>
      <c r="D30" s="3192" t="s">
        <v>217</v>
      </c>
      <c r="E30" s="3192" t="s">
        <v>218</v>
      </c>
      <c r="F30" s="3192" t="s">
        <v>210</v>
      </c>
      <c r="G30" s="3219" t="s">
        <v>133</v>
      </c>
      <c r="H30" s="3224" t="s">
        <v>103</v>
      </c>
      <c r="I30" s="3185"/>
      <c r="J30" s="2057"/>
      <c r="K30" s="2057"/>
      <c r="L30" s="2057"/>
      <c r="M30" s="2057"/>
      <c r="N30" s="2057"/>
      <c r="O30" s="2331"/>
      <c r="P30" s="2331"/>
      <c r="Q30" s="2331"/>
      <c r="R30" s="2331"/>
      <c r="S30" s="2331"/>
      <c r="T30" s="2331"/>
      <c r="U30" s="2331"/>
      <c r="V30" s="2331"/>
      <c r="W30" s="2331"/>
      <c r="X30" s="2331"/>
      <c r="Y30" s="2331"/>
      <c r="Z30" s="3175"/>
    </row>
    <row r="31" spans="1:26" ht="7.95" customHeight="1" x14ac:dyDescent="0.3">
      <c r="A31" s="3225"/>
      <c r="B31" s="3221"/>
      <c r="C31" s="2621"/>
      <c r="D31" s="3194"/>
      <c r="E31" s="3194"/>
      <c r="F31" s="3194"/>
      <c r="G31" s="3223"/>
      <c r="H31" s="3226"/>
      <c r="I31" s="3185"/>
      <c r="J31" s="2057"/>
      <c r="K31" s="2057"/>
      <c r="L31" s="2057"/>
      <c r="M31" s="2057"/>
      <c r="N31" s="2057"/>
      <c r="O31" s="2331"/>
      <c r="P31" s="2331"/>
      <c r="Q31" s="2331"/>
      <c r="R31" s="2331"/>
      <c r="S31" s="2331"/>
      <c r="T31" s="2331"/>
      <c r="U31" s="2331"/>
      <c r="V31" s="2331"/>
      <c r="W31" s="2331"/>
      <c r="X31" s="2331"/>
      <c r="Y31" s="2331"/>
      <c r="Z31" s="3175"/>
    </row>
    <row r="32" spans="1:26" ht="24" customHeight="1" x14ac:dyDescent="0.3">
      <c r="A32" s="3446" t="s">
        <v>219</v>
      </c>
      <c r="B32" s="3447"/>
      <c r="C32" s="3484"/>
      <c r="D32" s="3448"/>
      <c r="E32" s="3448"/>
      <c r="F32" s="3448"/>
      <c r="G32" s="3449"/>
      <c r="H32" s="3450"/>
      <c r="I32" s="3451"/>
      <c r="J32" s="3451"/>
      <c r="K32" s="3451"/>
      <c r="L32" s="3451"/>
      <c r="M32" s="3451"/>
      <c r="N32" s="3451"/>
      <c r="O32" s="3452"/>
      <c r="P32" s="3452"/>
      <c r="Q32" s="3452"/>
      <c r="R32" s="3452"/>
      <c r="S32" s="3452"/>
      <c r="T32" s="3452"/>
      <c r="U32" s="3452"/>
      <c r="V32" s="3452"/>
      <c r="W32" s="3452"/>
      <c r="X32" s="3452"/>
      <c r="Y32" s="3452"/>
      <c r="Z32" s="3453"/>
    </row>
    <row r="33" spans="1:26" ht="22.05" customHeight="1" x14ac:dyDescent="0.3">
      <c r="A33" s="3227" t="s">
        <v>220</v>
      </c>
      <c r="B33" s="3197">
        <v>6</v>
      </c>
      <c r="C33" s="1823" t="s">
        <v>147</v>
      </c>
      <c r="D33" s="3090" t="s">
        <v>221</v>
      </c>
      <c r="E33" s="3090" t="s">
        <v>222</v>
      </c>
      <c r="F33" s="3090" t="s">
        <v>223</v>
      </c>
      <c r="G33" s="3198" t="s">
        <v>133</v>
      </c>
      <c r="H33" s="3121" t="s">
        <v>224</v>
      </c>
      <c r="I33" s="3185"/>
      <c r="J33" s="2057"/>
      <c r="K33" s="2057"/>
      <c r="L33" s="2057"/>
      <c r="M33" s="2057"/>
      <c r="N33" s="2057"/>
      <c r="O33" s="2331"/>
      <c r="P33" s="2331"/>
      <c r="Q33" s="2331"/>
      <c r="R33" s="2331"/>
      <c r="S33" s="2331"/>
      <c r="T33" s="2331"/>
      <c r="U33" s="2331"/>
      <c r="V33" s="2331"/>
      <c r="W33" s="2331"/>
      <c r="X33" s="2331"/>
      <c r="Y33" s="2331"/>
      <c r="Z33" s="3175"/>
    </row>
    <row r="34" spans="1:26" ht="22.05" customHeight="1" x14ac:dyDescent="0.3">
      <c r="A34" s="3131" t="s">
        <v>225</v>
      </c>
      <c r="B34" s="3195" t="s">
        <v>226</v>
      </c>
      <c r="C34" s="2788" t="s">
        <v>184</v>
      </c>
      <c r="D34" s="3091" t="s">
        <v>227</v>
      </c>
      <c r="E34" s="3091" t="s">
        <v>222</v>
      </c>
      <c r="F34" s="3091" t="s">
        <v>228</v>
      </c>
      <c r="G34" s="3196" t="s">
        <v>133</v>
      </c>
      <c r="H34" s="3111" t="s">
        <v>134</v>
      </c>
      <c r="I34" s="3185"/>
      <c r="J34" s="2057"/>
      <c r="K34" s="2057"/>
      <c r="L34" s="2057"/>
      <c r="M34" s="2057"/>
      <c r="N34" s="2057"/>
      <c r="O34" s="2331"/>
      <c r="P34" s="2331"/>
      <c r="Q34" s="2331"/>
      <c r="R34" s="2331"/>
      <c r="S34" s="2331"/>
      <c r="T34" s="2331"/>
      <c r="U34" s="2331"/>
      <c r="V34" s="2331"/>
      <c r="W34" s="2331"/>
      <c r="X34" s="2331"/>
      <c r="Y34" s="2331"/>
      <c r="Z34" s="3175"/>
    </row>
    <row r="35" spans="1:26" ht="22.05" customHeight="1" x14ac:dyDescent="0.3">
      <c r="A35" s="3227" t="s">
        <v>229</v>
      </c>
      <c r="B35" s="3197" t="s">
        <v>230</v>
      </c>
      <c r="C35" s="1823" t="s">
        <v>147</v>
      </c>
      <c r="D35" s="3090" t="s">
        <v>231</v>
      </c>
      <c r="E35" s="3090" t="s">
        <v>232</v>
      </c>
      <c r="F35" s="3090" t="s">
        <v>233</v>
      </c>
      <c r="G35" s="3198" t="s">
        <v>133</v>
      </c>
      <c r="H35" s="3121" t="s">
        <v>201</v>
      </c>
      <c r="I35" s="3185"/>
      <c r="J35" s="2057"/>
      <c r="K35" s="2057"/>
      <c r="L35" s="2057"/>
      <c r="M35" s="2057"/>
      <c r="N35" s="2057"/>
      <c r="O35" s="2331"/>
      <c r="P35" s="2331"/>
      <c r="Q35" s="2331"/>
      <c r="R35" s="2331"/>
      <c r="S35" s="2331"/>
      <c r="T35" s="2331"/>
      <c r="U35" s="2331"/>
      <c r="V35" s="2331"/>
      <c r="W35" s="2331"/>
      <c r="X35" s="2331"/>
      <c r="Y35" s="2331"/>
      <c r="Z35" s="3175"/>
    </row>
    <row r="36" spans="1:26" ht="22.05" customHeight="1" x14ac:dyDescent="0.3">
      <c r="A36" s="3228" t="s">
        <v>234</v>
      </c>
      <c r="B36" s="3195" t="s">
        <v>235</v>
      </c>
      <c r="C36" s="2788" t="s">
        <v>184</v>
      </c>
      <c r="D36" s="3091" t="s">
        <v>236</v>
      </c>
      <c r="E36" s="3091" t="s">
        <v>237</v>
      </c>
      <c r="F36" s="3091" t="s">
        <v>238</v>
      </c>
      <c r="G36" s="3196" t="s">
        <v>133</v>
      </c>
      <c r="H36" s="3111" t="s">
        <v>196</v>
      </c>
      <c r="I36" s="3185"/>
      <c r="J36" s="2057"/>
      <c r="K36" s="2057"/>
      <c r="L36" s="2057"/>
      <c r="M36" s="2057"/>
      <c r="N36" s="2057"/>
      <c r="O36" s="2331"/>
      <c r="P36" s="2331"/>
      <c r="Q36" s="2331"/>
      <c r="R36" s="2331"/>
      <c r="S36" s="2331"/>
      <c r="T36" s="2331"/>
      <c r="U36" s="2331"/>
      <c r="V36" s="2331"/>
      <c r="W36" s="2331"/>
      <c r="X36" s="2331"/>
      <c r="Y36" s="2331"/>
      <c r="Z36" s="3175"/>
    </row>
    <row r="37" spans="1:26" ht="22.05" customHeight="1" x14ac:dyDescent="0.3">
      <c r="A37" s="3227" t="s">
        <v>239</v>
      </c>
      <c r="B37" s="3197" t="s">
        <v>240</v>
      </c>
      <c r="C37" s="1823" t="s">
        <v>147</v>
      </c>
      <c r="D37" s="3090" t="s">
        <v>241</v>
      </c>
      <c r="E37" s="3090" t="s">
        <v>237</v>
      </c>
      <c r="F37" s="3090" t="s">
        <v>238</v>
      </c>
      <c r="G37" s="3198" t="s">
        <v>133</v>
      </c>
      <c r="H37" s="3121" t="s">
        <v>103</v>
      </c>
      <c r="I37" s="3185"/>
      <c r="J37" s="2057"/>
      <c r="K37" s="2057"/>
      <c r="L37" s="2057"/>
      <c r="M37" s="2057"/>
      <c r="N37" s="2057"/>
      <c r="O37" s="2331"/>
      <c r="P37" s="2331"/>
      <c r="Q37" s="2331"/>
      <c r="R37" s="2331"/>
      <c r="S37" s="2331"/>
      <c r="T37" s="2331"/>
      <c r="U37" s="2331"/>
      <c r="V37" s="2331"/>
      <c r="W37" s="2331"/>
      <c r="X37" s="2331"/>
      <c r="Y37" s="2331"/>
      <c r="Z37" s="3175"/>
    </row>
    <row r="38" spans="1:26" ht="22.05" customHeight="1" x14ac:dyDescent="0.3">
      <c r="A38" s="3229"/>
      <c r="B38" s="3195"/>
      <c r="C38" s="2788"/>
      <c r="D38" s="3091"/>
      <c r="E38" s="3091"/>
      <c r="F38" s="3091"/>
      <c r="G38" s="3196"/>
      <c r="H38" s="3111"/>
      <c r="I38" s="3185"/>
      <c r="J38" s="2057"/>
      <c r="K38" s="2057"/>
      <c r="L38" s="2057"/>
      <c r="M38" s="2057"/>
      <c r="N38" s="2057"/>
      <c r="O38" s="2331"/>
      <c r="P38" s="2331"/>
      <c r="Q38" s="2331"/>
      <c r="R38" s="2331"/>
      <c r="S38" s="2331"/>
      <c r="T38" s="2331"/>
      <c r="U38" s="2331"/>
      <c r="V38" s="2331"/>
      <c r="W38" s="2331"/>
      <c r="X38" s="2331"/>
      <c r="Y38" s="2331"/>
      <c r="Z38" s="3175"/>
    </row>
    <row r="39" spans="1:26" ht="24" customHeight="1" x14ac:dyDescent="0.3">
      <c r="A39" s="3446" t="s">
        <v>242</v>
      </c>
      <c r="B39" s="3447"/>
      <c r="C39" s="3484"/>
      <c r="D39" s="3448"/>
      <c r="E39" s="3448"/>
      <c r="F39" s="3448"/>
      <c r="G39" s="3449"/>
      <c r="H39" s="3450"/>
      <c r="I39" s="3451"/>
      <c r="J39" s="3451"/>
      <c r="K39" s="3451"/>
      <c r="L39" s="3451"/>
      <c r="M39" s="3451"/>
      <c r="N39" s="3451"/>
      <c r="O39" s="3452"/>
      <c r="P39" s="3452"/>
      <c r="Q39" s="3452"/>
      <c r="R39" s="3452"/>
      <c r="S39" s="3452"/>
      <c r="T39" s="3452"/>
      <c r="U39" s="3452"/>
      <c r="V39" s="3452"/>
      <c r="W39" s="3452"/>
      <c r="X39" s="3452"/>
      <c r="Y39" s="3452"/>
      <c r="Z39" s="3453"/>
    </row>
    <row r="40" spans="1:26" ht="22.05" customHeight="1" x14ac:dyDescent="0.3">
      <c r="A40" s="3131" t="s">
        <v>243</v>
      </c>
      <c r="B40" s="3200"/>
      <c r="C40" s="2788" t="s">
        <v>244</v>
      </c>
      <c r="D40" s="3091" t="s">
        <v>245</v>
      </c>
      <c r="E40" s="3091" t="s">
        <v>246</v>
      </c>
      <c r="F40" s="3090" t="s">
        <v>247</v>
      </c>
      <c r="G40" s="3196" t="s">
        <v>248</v>
      </c>
      <c r="H40" s="3111"/>
      <c r="I40" s="3185"/>
      <c r="J40" s="2057"/>
      <c r="K40" s="2057"/>
      <c r="L40" s="2057"/>
      <c r="M40" s="2057"/>
      <c r="N40" s="2057"/>
      <c r="O40" s="2331"/>
      <c r="P40" s="2331"/>
      <c r="Q40" s="2331"/>
      <c r="R40" s="2331"/>
      <c r="S40" s="2331"/>
      <c r="T40" s="2331"/>
      <c r="U40" s="2331"/>
      <c r="V40" s="2331"/>
      <c r="W40" s="2331"/>
      <c r="X40" s="2331"/>
      <c r="Y40" s="2331"/>
      <c r="Z40" s="3175"/>
    </row>
    <row r="41" spans="1:26" ht="22.05" customHeight="1" x14ac:dyDescent="0.3">
      <c r="A41" s="3125" t="s">
        <v>249</v>
      </c>
      <c r="B41" s="3199"/>
      <c r="C41" s="1823" t="s">
        <v>250</v>
      </c>
      <c r="D41" s="3090" t="s">
        <v>251</v>
      </c>
      <c r="E41" s="3090" t="s">
        <v>252</v>
      </c>
      <c r="F41" s="3090" t="s">
        <v>247</v>
      </c>
      <c r="G41" s="3198" t="s">
        <v>253</v>
      </c>
      <c r="H41" s="3121"/>
      <c r="I41" s="3185"/>
      <c r="J41" s="2057"/>
      <c r="K41" s="2057"/>
      <c r="L41" s="2057"/>
      <c r="M41" s="2057"/>
      <c r="N41" s="2057"/>
      <c r="O41" s="2331"/>
      <c r="P41" s="2331"/>
      <c r="Q41" s="2331"/>
      <c r="R41" s="2331"/>
      <c r="S41" s="2331"/>
      <c r="T41" s="2331"/>
      <c r="U41" s="2331"/>
      <c r="V41" s="2331"/>
      <c r="W41" s="2331"/>
      <c r="X41" s="2331"/>
      <c r="Y41" s="2331"/>
      <c r="Z41" s="3175"/>
    </row>
    <row r="42" spans="1:26" ht="22.05" customHeight="1" x14ac:dyDescent="0.3">
      <c r="A42" s="3131" t="s">
        <v>254</v>
      </c>
      <c r="B42" s="3200"/>
      <c r="C42" s="2788" t="s">
        <v>5022</v>
      </c>
      <c r="D42" s="3091" t="s">
        <v>5069</v>
      </c>
      <c r="E42" s="3091" t="s">
        <v>255</v>
      </c>
      <c r="F42" s="3090" t="s">
        <v>247</v>
      </c>
      <c r="G42" s="3196" t="s">
        <v>134</v>
      </c>
      <c r="H42" s="3111"/>
      <c r="I42" s="3185"/>
      <c r="J42" s="2057"/>
      <c r="K42" s="2057"/>
      <c r="L42" s="2057"/>
      <c r="M42" s="2057"/>
      <c r="N42" s="2057"/>
      <c r="O42" s="2331"/>
      <c r="P42" s="2331"/>
      <c r="Q42" s="2331"/>
      <c r="R42" s="2331"/>
      <c r="S42" s="2331"/>
      <c r="T42" s="2331"/>
      <c r="U42" s="2331"/>
      <c r="V42" s="2331"/>
      <c r="W42" s="2331"/>
      <c r="X42" s="2331"/>
      <c r="Y42" s="2331"/>
      <c r="Z42" s="3175"/>
    </row>
    <row r="43" spans="1:26" ht="22.05" customHeight="1" x14ac:dyDescent="0.3">
      <c r="A43" s="3125" t="s">
        <v>256</v>
      </c>
      <c r="B43" s="3199"/>
      <c r="C43" s="1823" t="s">
        <v>244</v>
      </c>
      <c r="D43" s="3090" t="s">
        <v>257</v>
      </c>
      <c r="E43" s="3090" t="s">
        <v>258</v>
      </c>
      <c r="F43" s="3090" t="s">
        <v>247</v>
      </c>
      <c r="G43" s="3198" t="s">
        <v>201</v>
      </c>
      <c r="H43" s="3121"/>
      <c r="I43" s="3185"/>
      <c r="J43" s="2057"/>
      <c r="K43" s="2057"/>
      <c r="L43" s="2057"/>
      <c r="M43" s="2057"/>
      <c r="N43" s="2057"/>
      <c r="O43" s="2331"/>
      <c r="P43" s="2331"/>
      <c r="Q43" s="2331"/>
      <c r="R43" s="2331"/>
      <c r="S43" s="2331"/>
      <c r="T43" s="2331"/>
      <c r="U43" s="2331"/>
      <c r="V43" s="2331"/>
      <c r="W43" s="2331"/>
      <c r="X43" s="2331"/>
      <c r="Y43" s="2331"/>
      <c r="Z43" s="3175"/>
    </row>
    <row r="44" spans="1:26" ht="22.05" customHeight="1" x14ac:dyDescent="0.3">
      <c r="A44" s="3131" t="s">
        <v>259</v>
      </c>
      <c r="B44" s="3200"/>
      <c r="C44" s="2788" t="s">
        <v>250</v>
      </c>
      <c r="D44" s="3091" t="s">
        <v>260</v>
      </c>
      <c r="E44" s="3091" t="s">
        <v>261</v>
      </c>
      <c r="F44" s="3090" t="s">
        <v>262</v>
      </c>
      <c r="G44" s="3196" t="s">
        <v>196</v>
      </c>
      <c r="H44" s="3111"/>
      <c r="I44" s="3185"/>
      <c r="J44" s="2057"/>
      <c r="K44" s="2057"/>
      <c r="L44" s="2057"/>
      <c r="M44" s="2057"/>
      <c r="N44" s="2057"/>
      <c r="O44" s="2331"/>
      <c r="P44" s="2331"/>
      <c r="Q44" s="2331"/>
      <c r="R44" s="2331"/>
      <c r="S44" s="2331"/>
      <c r="T44" s="2331"/>
      <c r="U44" s="2331"/>
      <c r="V44" s="2331"/>
      <c r="W44" s="2331"/>
      <c r="X44" s="2331"/>
      <c r="Y44" s="2331"/>
      <c r="Z44" s="3175"/>
    </row>
    <row r="45" spans="1:26" ht="24" customHeight="1" x14ac:dyDescent="0.3">
      <c r="A45" s="3446" t="s">
        <v>263</v>
      </c>
      <c r="B45" s="3447"/>
      <c r="C45" s="3448"/>
      <c r="D45" s="3448"/>
      <c r="E45" s="3448"/>
      <c r="F45" s="3448"/>
      <c r="G45" s="3449"/>
      <c r="H45" s="3450"/>
      <c r="I45" s="3451"/>
      <c r="J45" s="3451"/>
      <c r="K45" s="3451"/>
      <c r="L45" s="3451"/>
      <c r="M45" s="3451"/>
      <c r="N45" s="3451"/>
      <c r="O45" s="3452"/>
      <c r="P45" s="3452"/>
      <c r="Q45" s="3452"/>
      <c r="R45" s="3452"/>
      <c r="S45" s="3452"/>
      <c r="T45" s="3452"/>
      <c r="U45" s="3452"/>
      <c r="V45" s="3452"/>
      <c r="W45" s="3452"/>
      <c r="X45" s="3452"/>
      <c r="Y45" s="3452"/>
      <c r="Z45" s="3453"/>
    </row>
    <row r="46" spans="1:26" ht="24" customHeight="1" x14ac:dyDescent="0.3">
      <c r="A46" s="3446" t="s">
        <v>264</v>
      </c>
      <c r="B46" s="3447"/>
      <c r="C46" s="3448"/>
      <c r="D46" s="3448"/>
      <c r="E46" s="3448"/>
      <c r="F46" s="3448"/>
      <c r="G46" s="3449"/>
      <c r="H46" s="3450"/>
      <c r="I46" s="3451"/>
      <c r="J46" s="3451"/>
      <c r="K46" s="3451"/>
      <c r="L46" s="3451"/>
      <c r="M46" s="3451"/>
      <c r="N46" s="3451"/>
      <c r="O46" s="3452"/>
      <c r="P46" s="3452"/>
      <c r="Q46" s="3452"/>
      <c r="R46" s="3452"/>
      <c r="S46" s="3452"/>
      <c r="T46" s="3452"/>
      <c r="U46" s="3452"/>
      <c r="V46" s="3452"/>
      <c r="W46" s="3452"/>
      <c r="X46" s="3452"/>
      <c r="Y46" s="3452"/>
      <c r="Z46" s="3453"/>
    </row>
    <row r="47" spans="1:26" ht="22.05" customHeight="1" x14ac:dyDescent="0.3">
      <c r="A47" s="3125" t="s">
        <v>267</v>
      </c>
      <c r="B47" s="3199" t="s">
        <v>265</v>
      </c>
      <c r="C47" s="1823" t="s">
        <v>103</v>
      </c>
      <c r="D47" s="3090" t="s">
        <v>268</v>
      </c>
      <c r="E47" s="3090" t="s">
        <v>269</v>
      </c>
      <c r="F47" s="3090" t="s">
        <v>103</v>
      </c>
      <c r="G47" s="3198" t="s">
        <v>103</v>
      </c>
      <c r="H47" s="3121"/>
      <c r="I47" s="3185"/>
      <c r="J47" s="2057"/>
      <c r="K47" s="2057"/>
      <c r="L47" s="2057"/>
      <c r="M47" s="2057"/>
      <c r="N47" s="2057"/>
      <c r="O47" s="2331"/>
      <c r="P47" s="2331"/>
      <c r="Q47" s="2331"/>
      <c r="R47" s="2331"/>
      <c r="S47" s="2331"/>
      <c r="T47" s="2331"/>
      <c r="U47" s="2331"/>
      <c r="V47" s="2331"/>
      <c r="W47" s="2331"/>
      <c r="X47" s="2331"/>
      <c r="Y47" s="2331"/>
      <c r="Z47" s="3175"/>
    </row>
    <row r="48" spans="1:26" ht="22.05" customHeight="1" x14ac:dyDescent="0.3">
      <c r="A48" s="3131" t="s">
        <v>270</v>
      </c>
      <c r="B48" s="3200" t="s">
        <v>265</v>
      </c>
      <c r="C48" s="2788" t="s">
        <v>103</v>
      </c>
      <c r="D48" s="3091" t="s">
        <v>271</v>
      </c>
      <c r="E48" s="3091" t="s">
        <v>109</v>
      </c>
      <c r="F48" s="3091" t="s">
        <v>103</v>
      </c>
      <c r="G48" s="3196" t="s">
        <v>103</v>
      </c>
      <c r="H48" s="3111"/>
      <c r="I48" s="3185"/>
      <c r="J48" s="2057"/>
      <c r="K48" s="2057"/>
      <c r="L48" s="2057"/>
      <c r="M48" s="2057"/>
      <c r="N48" s="2057"/>
      <c r="O48" s="2331"/>
      <c r="P48" s="2331"/>
      <c r="Q48" s="2331"/>
      <c r="R48" s="2331"/>
      <c r="S48" s="2331"/>
      <c r="T48" s="2331"/>
      <c r="U48" s="2331"/>
      <c r="V48" s="2331"/>
      <c r="W48" s="2331"/>
      <c r="X48" s="2331"/>
      <c r="Y48" s="2331"/>
      <c r="Z48" s="3175"/>
    </row>
    <row r="49" spans="1:26" ht="22.05" customHeight="1" x14ac:dyDescent="0.3">
      <c r="A49" s="3125" t="s">
        <v>272</v>
      </c>
      <c r="B49" s="3199" t="s">
        <v>265</v>
      </c>
      <c r="C49" s="1823" t="s">
        <v>103</v>
      </c>
      <c r="D49" s="3090" t="s">
        <v>273</v>
      </c>
      <c r="E49" s="3090" t="s">
        <v>258</v>
      </c>
      <c r="F49" s="3090" t="s">
        <v>103</v>
      </c>
      <c r="G49" s="3198" t="s">
        <v>103</v>
      </c>
      <c r="H49" s="3121"/>
      <c r="I49" s="3185"/>
      <c r="J49" s="2057"/>
      <c r="K49" s="2057"/>
      <c r="L49" s="2057"/>
      <c r="M49" s="2057"/>
      <c r="N49" s="2057"/>
      <c r="O49" s="2331"/>
      <c r="P49" s="2331"/>
      <c r="Q49" s="2331"/>
      <c r="R49" s="2331"/>
      <c r="S49" s="2331"/>
      <c r="T49" s="2331"/>
      <c r="U49" s="2331"/>
      <c r="V49" s="2331"/>
      <c r="W49" s="2331"/>
      <c r="X49" s="2331"/>
      <c r="Y49" s="2331"/>
      <c r="Z49" s="3175"/>
    </row>
    <row r="50" spans="1:26" x14ac:dyDescent="0.3">
      <c r="A50" s="3454" t="s">
        <v>274</v>
      </c>
      <c r="B50" s="3455"/>
      <c r="C50" s="3456"/>
      <c r="D50" s="3456"/>
      <c r="E50" s="3456"/>
      <c r="F50" s="3456"/>
      <c r="G50" s="3457"/>
      <c r="H50" s="3458"/>
      <c r="I50" s="3459"/>
      <c r="J50" s="3459"/>
      <c r="K50" s="3459"/>
      <c r="L50" s="3459"/>
      <c r="M50" s="3459"/>
      <c r="N50" s="3459"/>
      <c r="O50" s="3460"/>
      <c r="P50" s="3460"/>
      <c r="Q50" s="3460"/>
      <c r="R50" s="3460"/>
      <c r="S50" s="3460"/>
      <c r="T50" s="3460"/>
      <c r="U50" s="3460"/>
      <c r="V50" s="3460"/>
      <c r="W50" s="3460"/>
      <c r="X50" s="3460"/>
      <c r="Y50" s="3460"/>
      <c r="Z50" s="3461"/>
    </row>
    <row r="51" spans="1:26" x14ac:dyDescent="0.3">
      <c r="A51" s="3176"/>
      <c r="B51" s="3176"/>
      <c r="C51" s="3177"/>
      <c r="D51" s="3176"/>
      <c r="E51" s="3176"/>
      <c r="F51" s="3176"/>
      <c r="G51" s="3176"/>
      <c r="H51" s="3176"/>
      <c r="I51" s="3176"/>
      <c r="J51" s="3176"/>
      <c r="K51" s="3176"/>
      <c r="L51" s="3176"/>
      <c r="M51" s="3176"/>
      <c r="N51" s="3176"/>
      <c r="O51" s="3176"/>
      <c r="P51" s="3176"/>
      <c r="Q51" s="3176"/>
      <c r="R51" s="3176"/>
      <c r="S51" s="3176"/>
      <c r="T51" s="3176"/>
      <c r="U51" s="3176"/>
      <c r="V51" s="3176"/>
      <c r="W51" s="3176"/>
      <c r="X51" s="3176"/>
      <c r="Y51" s="3176"/>
      <c r="Z51" s="3176"/>
    </row>
    <row r="52" spans="1:26" x14ac:dyDescent="0.3">
      <c r="A52" s="3176"/>
      <c r="B52" s="3176"/>
      <c r="C52" s="3177"/>
      <c r="D52" s="3176"/>
      <c r="E52" s="3176"/>
      <c r="F52" s="3176"/>
      <c r="G52" s="3176"/>
      <c r="H52" s="3176"/>
      <c r="I52" s="3176"/>
      <c r="J52" s="3176"/>
      <c r="K52" s="3176"/>
      <c r="L52" s="3176"/>
      <c r="M52" s="3176"/>
      <c r="N52" s="3176"/>
      <c r="O52" s="3176"/>
      <c r="P52" s="3176"/>
      <c r="Q52" s="3176"/>
      <c r="R52" s="3176"/>
      <c r="S52" s="3176"/>
      <c r="T52" s="3176"/>
      <c r="U52" s="3176"/>
      <c r="V52" s="3176"/>
      <c r="W52" s="3176"/>
      <c r="X52" s="3176"/>
      <c r="Y52" s="3176"/>
      <c r="Z52" s="3176"/>
    </row>
    <row r="53" spans="1:26" x14ac:dyDescent="0.3">
      <c r="A53" s="3176"/>
      <c r="B53" s="3176"/>
      <c r="C53" s="3177"/>
      <c r="D53" s="3176"/>
      <c r="E53" s="3176"/>
      <c r="F53" s="3176"/>
      <c r="G53" s="3176"/>
      <c r="H53" s="3176"/>
      <c r="I53" s="3176"/>
      <c r="J53" s="3176"/>
      <c r="K53" s="3176"/>
      <c r="L53" s="3176"/>
      <c r="M53" s="3176"/>
      <c r="N53" s="3176"/>
      <c r="O53" s="3176"/>
      <c r="P53" s="3176"/>
      <c r="Q53" s="3176"/>
      <c r="R53" s="3176"/>
      <c r="S53" s="3176"/>
      <c r="T53" s="3176"/>
      <c r="U53" s="3176"/>
      <c r="V53" s="3176"/>
      <c r="W53" s="3176"/>
      <c r="X53" s="3176"/>
      <c r="Y53" s="3176"/>
      <c r="Z53" s="3176"/>
    </row>
    <row r="54" spans="1:26" x14ac:dyDescent="0.3">
      <c r="A54" s="3176"/>
      <c r="B54" s="3176"/>
      <c r="C54" s="3177"/>
      <c r="D54" s="3176"/>
      <c r="E54" s="3176"/>
      <c r="F54" s="3176"/>
      <c r="G54" s="3176"/>
      <c r="H54" s="3176"/>
      <c r="I54" s="3176"/>
      <c r="J54" s="3176"/>
      <c r="K54" s="3176"/>
      <c r="L54" s="3176"/>
      <c r="M54" s="3176"/>
      <c r="N54" s="3176"/>
      <c r="O54" s="3176"/>
      <c r="P54" s="3176"/>
      <c r="Q54" s="3176"/>
      <c r="R54" s="3176"/>
      <c r="S54" s="3176"/>
      <c r="T54" s="3176"/>
      <c r="U54" s="3176"/>
      <c r="V54" s="3176"/>
      <c r="W54" s="3176"/>
      <c r="X54" s="3176"/>
      <c r="Y54" s="3176"/>
      <c r="Z54" s="3176"/>
    </row>
    <row r="55" spans="1:26" x14ac:dyDescent="0.3">
      <c r="A55" s="3176"/>
      <c r="B55" s="3176"/>
      <c r="C55" s="3177"/>
      <c r="D55" s="3176"/>
      <c r="E55" s="3176"/>
      <c r="F55" s="3176"/>
      <c r="G55" s="3176"/>
      <c r="H55" s="3176"/>
      <c r="I55" s="3176"/>
      <c r="J55" s="3176"/>
      <c r="K55" s="3176"/>
      <c r="L55" s="3176"/>
      <c r="M55" s="3176"/>
      <c r="N55" s="3176"/>
      <c r="O55" s="3176"/>
      <c r="P55" s="3176"/>
      <c r="Q55" s="3176"/>
      <c r="R55" s="3176"/>
      <c r="S55" s="3176"/>
      <c r="T55" s="3176"/>
      <c r="U55" s="3176"/>
      <c r="V55" s="3176"/>
      <c r="W55" s="3176"/>
      <c r="X55" s="3176"/>
      <c r="Y55" s="3176"/>
      <c r="Z55" s="3176"/>
    </row>
    <row r="56" spans="1:26" x14ac:dyDescent="0.3">
      <c r="A56" s="3176"/>
      <c r="B56" s="3176"/>
      <c r="C56" s="3177"/>
      <c r="D56" s="3176"/>
      <c r="E56" s="3176"/>
      <c r="F56" s="3176"/>
      <c r="G56" s="3176"/>
      <c r="H56" s="3176"/>
      <c r="I56" s="3176"/>
      <c r="J56" s="3176"/>
      <c r="K56" s="3176"/>
      <c r="L56" s="3176"/>
      <c r="M56" s="3176"/>
      <c r="N56" s="3176"/>
      <c r="O56" s="3176"/>
      <c r="P56" s="3176"/>
      <c r="Q56" s="3176"/>
      <c r="R56" s="3176"/>
      <c r="S56" s="3176"/>
      <c r="T56" s="3176"/>
      <c r="U56" s="3176"/>
      <c r="V56" s="3176"/>
      <c r="W56" s="3176"/>
      <c r="X56" s="3176"/>
      <c r="Y56" s="3176"/>
      <c r="Z56" s="3176"/>
    </row>
    <row r="57" spans="1:26" x14ac:dyDescent="0.3">
      <c r="A57" s="3176"/>
      <c r="B57" s="3176"/>
      <c r="C57" s="3177"/>
      <c r="D57" s="3176"/>
      <c r="E57" s="3176"/>
      <c r="F57" s="3176"/>
      <c r="G57" s="3176"/>
      <c r="H57" s="3176"/>
      <c r="I57" s="3176"/>
      <c r="J57" s="3176"/>
      <c r="K57" s="3176"/>
      <c r="L57" s="3176"/>
      <c r="M57" s="3176"/>
      <c r="N57" s="3176"/>
      <c r="O57" s="3176"/>
      <c r="P57" s="3176"/>
      <c r="Q57" s="3176"/>
      <c r="R57" s="3176"/>
      <c r="S57" s="3176"/>
      <c r="T57" s="3176"/>
      <c r="U57" s="3176"/>
      <c r="V57" s="3176"/>
      <c r="W57" s="3176"/>
      <c r="X57" s="3176"/>
      <c r="Y57" s="3176"/>
      <c r="Z57" s="3176"/>
    </row>
    <row r="58" spans="1:26" x14ac:dyDescent="0.3">
      <c r="A58" s="3176"/>
      <c r="B58" s="3176"/>
      <c r="C58" s="3177"/>
      <c r="D58" s="3176"/>
      <c r="E58" s="3176"/>
      <c r="F58" s="3176"/>
      <c r="G58" s="3176"/>
      <c r="H58" s="3176"/>
      <c r="I58" s="3176"/>
      <c r="J58" s="3176"/>
      <c r="K58" s="3176"/>
      <c r="L58" s="3176"/>
      <c r="M58" s="3176"/>
      <c r="N58" s="3176"/>
      <c r="O58" s="3176"/>
      <c r="P58" s="3176"/>
      <c r="Q58" s="3176"/>
      <c r="R58" s="3176"/>
      <c r="S58" s="3176"/>
      <c r="T58" s="3176"/>
      <c r="U58" s="3176"/>
      <c r="V58" s="3176"/>
      <c r="W58" s="3176"/>
      <c r="X58" s="3176"/>
      <c r="Y58" s="3176"/>
      <c r="Z58" s="3176"/>
    </row>
    <row r="59" spans="1:26" x14ac:dyDescent="0.3">
      <c r="A59" s="3176"/>
      <c r="B59" s="3176"/>
      <c r="C59" s="3177"/>
      <c r="D59" s="3176"/>
      <c r="E59" s="3176"/>
      <c r="F59" s="3176"/>
      <c r="G59" s="3176"/>
      <c r="H59" s="3176"/>
      <c r="I59" s="3176"/>
      <c r="J59" s="3176"/>
      <c r="K59" s="3176"/>
      <c r="L59" s="3176"/>
      <c r="M59" s="3176"/>
      <c r="N59" s="3176"/>
      <c r="O59" s="3176"/>
      <c r="P59" s="3176"/>
      <c r="Q59" s="3176"/>
      <c r="R59" s="3176"/>
      <c r="S59" s="3176"/>
      <c r="T59" s="3176"/>
      <c r="U59" s="3176"/>
      <c r="V59" s="3176"/>
      <c r="W59" s="3176"/>
      <c r="X59" s="3176"/>
      <c r="Y59" s="3176"/>
      <c r="Z59" s="3176"/>
    </row>
    <row r="60" spans="1:26" x14ac:dyDescent="0.3">
      <c r="A60" s="3176"/>
      <c r="B60" s="3178"/>
      <c r="C60" s="3177"/>
      <c r="D60" s="3176"/>
      <c r="E60" s="3176"/>
      <c r="F60" s="3176"/>
      <c r="G60" s="3176"/>
      <c r="H60" s="3176"/>
      <c r="I60" s="3176"/>
      <c r="J60" s="3176"/>
      <c r="K60" s="3176"/>
      <c r="L60" s="3176"/>
      <c r="M60" s="3176"/>
      <c r="N60" s="3176"/>
      <c r="O60" s="3176"/>
      <c r="P60" s="3176"/>
      <c r="Q60" s="3176"/>
      <c r="R60" s="3176"/>
      <c r="S60" s="3176"/>
      <c r="T60" s="3176"/>
      <c r="U60" s="3176"/>
      <c r="V60" s="3176"/>
      <c r="W60" s="3176"/>
      <c r="X60" s="3176"/>
      <c r="Y60" s="3176"/>
      <c r="Z60" s="3176"/>
    </row>
    <row r="61" spans="1:26" x14ac:dyDescent="0.3">
      <c r="A61" s="3176"/>
      <c r="B61" s="3179"/>
      <c r="C61" s="3177"/>
      <c r="D61" s="3176"/>
      <c r="E61" s="3176"/>
      <c r="F61" s="3176"/>
      <c r="G61" s="3176"/>
      <c r="H61" s="3176"/>
      <c r="I61" s="3176"/>
      <c r="J61" s="3176"/>
      <c r="K61" s="3176"/>
      <c r="L61" s="3176"/>
      <c r="M61" s="3176"/>
      <c r="N61" s="3176"/>
      <c r="O61" s="3176"/>
      <c r="P61" s="3176"/>
      <c r="Q61" s="3176"/>
      <c r="R61" s="3176"/>
      <c r="S61" s="3176"/>
      <c r="T61" s="3176"/>
      <c r="U61" s="3176"/>
      <c r="V61" s="3176"/>
      <c r="W61" s="3176"/>
      <c r="X61" s="3176"/>
      <c r="Y61" s="3176"/>
      <c r="Z61" s="3176"/>
    </row>
    <row r="62" spans="1:26" x14ac:dyDescent="0.3">
      <c r="A62" s="3176"/>
      <c r="B62" s="3180"/>
      <c r="C62" s="3177"/>
      <c r="D62" s="3176"/>
      <c r="E62" s="3176"/>
      <c r="F62" s="3176"/>
      <c r="G62" s="3176"/>
      <c r="H62" s="3176"/>
      <c r="I62" s="3176"/>
      <c r="J62" s="3176"/>
      <c r="K62" s="3176"/>
      <c r="L62" s="3176"/>
      <c r="M62" s="3176"/>
      <c r="N62" s="3176"/>
      <c r="O62" s="3176"/>
      <c r="P62" s="3176"/>
      <c r="Q62" s="3176"/>
      <c r="R62" s="3176"/>
      <c r="S62" s="3176"/>
      <c r="T62" s="3176"/>
      <c r="U62" s="3176"/>
      <c r="V62" s="3176"/>
      <c r="W62" s="3176"/>
      <c r="X62" s="3176"/>
      <c r="Y62" s="3176"/>
      <c r="Z62" s="3176"/>
    </row>
    <row r="63" spans="1:26" x14ac:dyDescent="0.3">
      <c r="A63" s="3176"/>
      <c r="B63" s="3181"/>
      <c r="C63" s="3177"/>
      <c r="D63" s="3176"/>
      <c r="E63" s="3176"/>
      <c r="F63" s="3176"/>
      <c r="G63" s="3176"/>
      <c r="H63" s="3176"/>
      <c r="I63" s="3176"/>
      <c r="J63" s="3176"/>
      <c r="K63" s="3176"/>
      <c r="L63" s="3176"/>
      <c r="M63" s="3176"/>
      <c r="N63" s="3176"/>
      <c r="O63" s="3176"/>
      <c r="P63" s="3176"/>
      <c r="Q63" s="3176"/>
      <c r="R63" s="3176"/>
      <c r="S63" s="3176"/>
      <c r="T63" s="3176"/>
      <c r="U63" s="3176"/>
      <c r="V63" s="3176"/>
      <c r="W63" s="3176"/>
      <c r="X63" s="3176"/>
      <c r="Y63" s="3176"/>
      <c r="Z63" s="3176"/>
    </row>
    <row r="64" spans="1:26" x14ac:dyDescent="0.3">
      <c r="A64" s="3176"/>
      <c r="B64" s="3182"/>
      <c r="C64" s="3177"/>
      <c r="D64" s="3176"/>
      <c r="E64" s="3176"/>
      <c r="F64" s="3176"/>
      <c r="G64" s="3176"/>
      <c r="H64" s="3176"/>
      <c r="I64" s="3176"/>
      <c r="J64" s="3176"/>
      <c r="K64" s="3176"/>
      <c r="L64" s="3176"/>
      <c r="M64" s="3176"/>
      <c r="N64" s="3176"/>
      <c r="O64" s="3176"/>
      <c r="P64" s="3176"/>
      <c r="Q64" s="3176"/>
      <c r="R64" s="3176"/>
      <c r="S64" s="3176"/>
      <c r="T64" s="3176"/>
      <c r="U64" s="3176"/>
      <c r="V64" s="3176"/>
      <c r="W64" s="3176"/>
      <c r="X64" s="3176"/>
      <c r="Y64" s="3176"/>
      <c r="Z64" s="3176"/>
    </row>
  </sheetData>
  <mergeCells count="10">
    <mergeCell ref="A1:Z1"/>
    <mergeCell ref="A14:Z14"/>
    <mergeCell ref="A25:Z25"/>
    <mergeCell ref="A32:Z32"/>
    <mergeCell ref="A39:Z39"/>
    <mergeCell ref="A45:Z45"/>
    <mergeCell ref="A46:Z46"/>
    <mergeCell ref="A50:Z50"/>
    <mergeCell ref="A3:Z3"/>
    <mergeCell ref="A4:Z4"/>
  </mergeCells>
  <conditionalFormatting sqref="B9">
    <cfRule type="expression" dxfId="719" priority="1">
      <formula>B9&gt;=90</formula>
    </cfRule>
    <cfRule type="expression" dxfId="718" priority="2">
      <formula>AND(B9&gt;=70,B9&lt;90)</formula>
    </cfRule>
    <cfRule type="expression" dxfId="717" priority="3">
      <formula>AND(B9&gt;=40,B9&lt;70)</formula>
    </cfRule>
    <cfRule type="expression" dxfId="716" priority="4">
      <formula>AND(B9&gt;=20,B9&lt;40)</formula>
    </cfRule>
    <cfRule type="expression" dxfId="715" priority="5">
      <formula>B9&lt;20</formula>
    </cfRule>
  </conditionalFormatting>
  <conditionalFormatting sqref="B12">
    <cfRule type="expression" dxfId="714" priority="6">
      <formula>B12&gt;=90</formula>
    </cfRule>
    <cfRule type="expression" dxfId="713" priority="7">
      <formula>AND(B12&gt;=70,B12&lt;90)</formula>
    </cfRule>
    <cfRule type="expression" dxfId="712" priority="8">
      <formula>AND(B12&gt;=40,B12&lt;70)</formula>
    </cfRule>
    <cfRule type="expression" dxfId="711" priority="9">
      <formula>AND(B12&gt;=20,B12&lt;40)</formula>
    </cfRule>
    <cfRule type="expression" dxfId="710" priority="10">
      <formula>B12&lt;20</formula>
    </cfRule>
  </conditionalFormatting>
  <conditionalFormatting sqref="B27">
    <cfRule type="expression" dxfId="709" priority="16">
      <formula>B27&gt;0</formula>
    </cfRule>
  </conditionalFormatting>
  <conditionalFormatting sqref="B32">
    <cfRule type="expression" dxfId="708" priority="17">
      <formula>B32&gt;0</formula>
    </cfRule>
    <cfRule type="expression" dxfId="707" priority="18">
      <formula>B32=0</formula>
    </cfRule>
  </conditionalFormatting>
  <conditionalFormatting sqref="B34:B38">
    <cfRule type="expression" dxfId="706" priority="11">
      <formula>B34&gt;=90</formula>
    </cfRule>
    <cfRule type="expression" dxfId="705" priority="12">
      <formula>AND(B34&gt;=70,B34&lt;90)</formula>
    </cfRule>
    <cfRule type="expression" dxfId="704" priority="13">
      <formula>AND(B34&gt;=40,B34&lt;70)</formula>
    </cfRule>
    <cfRule type="expression" dxfId="703" priority="14">
      <formula>AND(B34&gt;=20,B34&lt;40)</formula>
    </cfRule>
    <cfRule type="expression" dxfId="702" priority="15">
      <formula>B34&lt;20</formula>
    </cfRule>
  </conditionalFormatting>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8CCE4"/>
  </sheetPr>
  <dimension ref="A1:Z65"/>
  <sheetViews>
    <sheetView showGridLines="0" topLeftCell="A4" zoomScale="30" zoomScaleNormal="30" workbookViewId="0">
      <pane xSplit="1" ySplit="1" topLeftCell="B5" activePane="bottomRight" state="frozen"/>
      <selection activeCell="A4" sqref="A4"/>
      <selection pane="topRight" activeCell="B4" sqref="B4"/>
      <selection pane="bottomLeft" activeCell="A5" sqref="A5"/>
      <selection pane="bottomRight" activeCell="P14" sqref="P14"/>
    </sheetView>
  </sheetViews>
  <sheetFormatPr baseColWidth="10" defaultRowHeight="14.4" x14ac:dyDescent="0.3"/>
  <cols>
    <col min="1" max="1" width="46.33203125" style="4" customWidth="1"/>
    <col min="2" max="2" width="22.21875" style="4" customWidth="1"/>
    <col min="3" max="3" width="25.88671875" style="4" customWidth="1"/>
    <col min="4" max="4" width="44.44140625" style="4" customWidth="1"/>
    <col min="5" max="5" width="13.88671875" style="4" customWidth="1"/>
    <col min="6" max="6" width="18.5546875" style="4" customWidth="1"/>
    <col min="7" max="14" width="3.6640625" style="4" customWidth="1"/>
    <col min="15" max="25" width="11.5546875" style="4"/>
    <col min="26" max="26" width="10" style="4" bestFit="1" customWidth="1"/>
    <col min="27" max="16384" width="11.5546875" style="4"/>
  </cols>
  <sheetData>
    <row r="1" spans="1:26" ht="30" customHeight="1" x14ac:dyDescent="0.3">
      <c r="A1" s="3515" t="s">
        <v>4825</v>
      </c>
      <c r="B1" s="3478"/>
      <c r="C1" s="3479"/>
      <c r="D1" s="3479"/>
      <c r="E1" s="3480"/>
      <c r="F1" s="3481"/>
      <c r="G1" s="3482"/>
      <c r="H1" s="3482"/>
      <c r="I1" s="3482"/>
      <c r="J1" s="3482"/>
      <c r="K1" s="3482"/>
      <c r="L1" s="3482"/>
      <c r="M1" s="3482"/>
      <c r="N1" s="3482"/>
      <c r="O1" s="3483"/>
      <c r="P1" s="3483"/>
      <c r="Q1" s="3483"/>
      <c r="R1" s="3483"/>
      <c r="S1" s="3483"/>
      <c r="T1" s="3483"/>
      <c r="U1" s="3483"/>
      <c r="V1" s="3483"/>
      <c r="W1" s="3483"/>
      <c r="X1" s="3483"/>
      <c r="Y1" s="3483"/>
      <c r="Z1" s="3483"/>
    </row>
    <row r="2" spans="1:26" ht="24" customHeight="1" x14ac:dyDescent="0.3">
      <c r="A2" s="2915" t="str">
        <f>HYPERLINK("#'M-INDEX'!A1","⌂ INDICE")</f>
        <v>⌂ INDICE</v>
      </c>
      <c r="B2" s="2913" t="str">
        <f>HYPERLINK("#'M1-ITME'!A1","M1")</f>
        <v>M1</v>
      </c>
      <c r="C2" s="2718" t="str">
        <f>HYPERLINK("#'M2-PDOT'!A1","M2")</f>
        <v>M2</v>
      </c>
      <c r="D2" s="2718" t="str">
        <f>HYPERLINK("#'M3-MAO'!A1","M3")</f>
        <v>M3</v>
      </c>
      <c r="E2" s="2914" t="str">
        <f>HYPERLINK("#'M4-AUDIT'!A1","M4")</f>
        <v>M4</v>
      </c>
      <c r="F2" s="2916" t="str">
        <f>HYPERLINK("#'M5-ICPI'!A1","M5")</f>
        <v>M5</v>
      </c>
      <c r="G2" s="2943" t="str">
        <f>HYPERLINK("#'M6-FEDS'!A1","M6")</f>
        <v>M6</v>
      </c>
      <c r="H2" s="2943" t="str">
        <f>HYPERLINK("#'M7-PROSP'!A1","M7")</f>
        <v>M7</v>
      </c>
      <c r="I2" s="2943" t="str">
        <f>HYPERLINK("#'DATA-POA'!A1","DATA-POA")</f>
        <v>DATA-POA</v>
      </c>
      <c r="J2" s="2943" t="str">
        <f>HYPERLINK("#'DATA-CNE'!A1","DATA-CNE")</f>
        <v>DATA-CNE</v>
      </c>
      <c r="K2" s="2943" t="str">
        <f>HYPERLINK("#'DATA-ORG'!A1","DATA-ORG")</f>
        <v>DATA-ORG</v>
      </c>
      <c r="L2" s="2943" t="str">
        <f>HYPERLINK("#'M-DASHBOARD'!A1","DASH")</f>
        <v>DASH</v>
      </c>
      <c r="M2" s="2927"/>
      <c r="N2" s="2927"/>
      <c r="O2" s="1084"/>
      <c r="P2" s="1084"/>
      <c r="Q2" s="1084"/>
      <c r="R2" s="1084"/>
      <c r="S2" s="1084"/>
      <c r="T2" s="1084"/>
      <c r="U2" s="1084"/>
      <c r="V2" s="1084"/>
      <c r="W2" s="1084"/>
      <c r="X2" s="1084"/>
      <c r="Y2" s="1084"/>
      <c r="Z2" s="1084"/>
    </row>
    <row r="3" spans="1:26" ht="22.05" customHeight="1" thickBot="1" x14ac:dyDescent="0.35">
      <c r="A3" s="3462" t="s">
        <v>4226</v>
      </c>
      <c r="B3" s="3463"/>
      <c r="C3" s="3464"/>
      <c r="D3" s="3464"/>
      <c r="E3" s="3465"/>
      <c r="F3" s="3466"/>
      <c r="G3" s="3467"/>
      <c r="H3" s="3467"/>
      <c r="I3" s="3467"/>
      <c r="J3" s="3467"/>
      <c r="K3" s="3467"/>
      <c r="L3" s="3467"/>
      <c r="M3" s="3467"/>
      <c r="N3" s="3467"/>
      <c r="O3" s="3468"/>
      <c r="P3" s="3468"/>
      <c r="Q3" s="3468"/>
      <c r="R3" s="3468"/>
      <c r="S3" s="3468"/>
      <c r="T3" s="3468"/>
      <c r="U3" s="3468"/>
      <c r="V3" s="3468"/>
      <c r="W3" s="3468"/>
      <c r="X3" s="3468"/>
      <c r="Y3" s="3468"/>
      <c r="Z3" s="3468"/>
    </row>
    <row r="4" spans="1:26" ht="25.95" customHeight="1" thickTop="1" x14ac:dyDescent="0.3">
      <c r="A4" s="3359" t="s">
        <v>4219</v>
      </c>
      <c r="B4" s="3360"/>
      <c r="C4" s="3361"/>
      <c r="D4" s="3361"/>
      <c r="E4" s="3362"/>
      <c r="F4" s="3363"/>
      <c r="G4" s="3520"/>
      <c r="H4" s="3520"/>
      <c r="I4" s="3520"/>
      <c r="J4" s="3520"/>
      <c r="K4" s="3520"/>
      <c r="L4" s="3520"/>
      <c r="M4" s="3520"/>
      <c r="N4" s="3520"/>
      <c r="O4" s="3521"/>
      <c r="P4" s="3521"/>
      <c r="Q4" s="3521"/>
      <c r="R4" s="3521"/>
      <c r="S4" s="3521"/>
      <c r="T4" s="3521"/>
      <c r="U4" s="3521"/>
      <c r="V4" s="3521"/>
      <c r="W4" s="3521"/>
      <c r="X4" s="3521"/>
      <c r="Y4" s="3521"/>
      <c r="Z4" s="3522"/>
    </row>
    <row r="5" spans="1:26" ht="24" customHeight="1" x14ac:dyDescent="0.3">
      <c r="A5" s="3446" t="s">
        <v>275</v>
      </c>
      <c r="B5" s="3447"/>
      <c r="C5" s="3448"/>
      <c r="D5" s="3448"/>
      <c r="E5" s="3449"/>
      <c r="F5" s="3450"/>
      <c r="G5" s="3451"/>
      <c r="H5" s="3451"/>
      <c r="I5" s="3451"/>
      <c r="J5" s="3451"/>
      <c r="K5" s="3451"/>
      <c r="L5" s="3451"/>
      <c r="M5" s="3451"/>
      <c r="N5" s="3451"/>
      <c r="O5" s="3452"/>
      <c r="P5" s="3452"/>
      <c r="Q5" s="3452"/>
      <c r="R5" s="3452"/>
      <c r="S5" s="3452"/>
      <c r="T5" s="3452"/>
      <c r="U5" s="3452"/>
      <c r="V5" s="3452"/>
      <c r="W5" s="3452"/>
      <c r="X5" s="3452"/>
      <c r="Y5" s="3452"/>
      <c r="Z5" s="3453"/>
    </row>
    <row r="6" spans="1:26" s="19" customFormat="1" ht="36" x14ac:dyDescent="0.3">
      <c r="A6" s="3049" t="s">
        <v>276</v>
      </c>
      <c r="B6" s="3103">
        <v>1</v>
      </c>
      <c r="C6" s="3084" t="s">
        <v>277</v>
      </c>
      <c r="D6" s="2562" t="s">
        <v>278</v>
      </c>
      <c r="E6" s="3104" t="s">
        <v>279</v>
      </c>
      <c r="F6" s="3107"/>
      <c r="G6" s="2622"/>
      <c r="H6" s="2058"/>
      <c r="I6" s="2058"/>
      <c r="J6" s="2058"/>
      <c r="K6" s="2058"/>
      <c r="L6" s="2058"/>
      <c r="M6" s="2058"/>
      <c r="N6" s="2058"/>
      <c r="O6" s="2332"/>
      <c r="P6" s="2332"/>
      <c r="Q6" s="2332"/>
      <c r="R6" s="2332"/>
      <c r="S6" s="2332"/>
      <c r="T6" s="2332"/>
      <c r="U6" s="2332"/>
      <c r="V6" s="2332"/>
      <c r="W6" s="2332"/>
      <c r="X6" s="2332"/>
      <c r="Y6" s="2332"/>
      <c r="Z6" s="2702"/>
    </row>
    <row r="7" spans="1:26" s="19" customFormat="1" ht="48" x14ac:dyDescent="0.3">
      <c r="A7" s="3109" t="s">
        <v>280</v>
      </c>
      <c r="B7" s="3105">
        <v>1</v>
      </c>
      <c r="C7" s="3085" t="s">
        <v>281</v>
      </c>
      <c r="D7" s="3086" t="s">
        <v>4952</v>
      </c>
      <c r="E7" s="3106">
        <v>45729</v>
      </c>
      <c r="F7" s="3111"/>
      <c r="G7" s="2622"/>
      <c r="H7" s="2058"/>
      <c r="I7" s="2058"/>
      <c r="J7" s="2058"/>
      <c r="K7" s="2058"/>
      <c r="L7" s="2058"/>
      <c r="M7" s="2058"/>
      <c r="N7" s="2058"/>
      <c r="O7" s="2332"/>
      <c r="P7" s="2332"/>
      <c r="Q7" s="2332"/>
      <c r="R7" s="2332"/>
      <c r="S7" s="2332"/>
      <c r="T7" s="2332"/>
      <c r="U7" s="2332"/>
      <c r="V7" s="2332"/>
      <c r="W7" s="2332"/>
      <c r="X7" s="2332"/>
      <c r="Y7" s="2332"/>
      <c r="Z7" s="2702"/>
    </row>
    <row r="8" spans="1:26" s="19" customFormat="1" ht="36" x14ac:dyDescent="0.3">
      <c r="A8" s="3113" t="s">
        <v>282</v>
      </c>
      <c r="B8" s="3108" t="str">
        <f>TEXT(('M5-ICPI'!G29-'M-TECH-PARAMS'!B7*100),"0,00")&amp;" pp"</f>
        <v>-61,72 pp</v>
      </c>
      <c r="C8" s="3087" t="s">
        <v>283</v>
      </c>
      <c r="D8" s="3088" t="s">
        <v>284</v>
      </c>
      <c r="E8" s="3110" t="s">
        <v>279</v>
      </c>
      <c r="F8" s="3115"/>
      <c r="G8" s="2622"/>
      <c r="H8" s="2058"/>
      <c r="I8" s="2058"/>
      <c r="J8" s="2058"/>
      <c r="K8" s="2058"/>
      <c r="L8" s="2058"/>
      <c r="M8" s="2058"/>
      <c r="N8" s="2058"/>
      <c r="O8" s="2332"/>
      <c r="P8" s="2332"/>
      <c r="Q8" s="2332"/>
      <c r="R8" s="2332"/>
      <c r="S8" s="2332"/>
      <c r="T8" s="2332"/>
      <c r="U8" s="2332"/>
      <c r="V8" s="2332"/>
      <c r="W8" s="2332"/>
      <c r="X8" s="2332"/>
      <c r="Y8" s="2332"/>
      <c r="Z8" s="2702"/>
    </row>
    <row r="9" spans="1:26" s="19" customFormat="1" ht="60" x14ac:dyDescent="0.3">
      <c r="A9" s="3116" t="s">
        <v>285</v>
      </c>
      <c r="B9" s="3112">
        <f>'M5-ICPI'!G29</f>
        <v>38.276612249694111</v>
      </c>
      <c r="C9" s="1921" t="s">
        <v>286</v>
      </c>
      <c r="D9" s="1949" t="s">
        <v>287</v>
      </c>
      <c r="E9" s="3114" t="s">
        <v>279</v>
      </c>
      <c r="F9" s="3117"/>
      <c r="G9" s="2622"/>
      <c r="H9" s="2058"/>
      <c r="I9" s="2058"/>
      <c r="J9" s="2058"/>
      <c r="K9" s="2058"/>
      <c r="L9" s="2058"/>
      <c r="M9" s="2058"/>
      <c r="N9" s="2058"/>
      <c r="O9" s="2332"/>
      <c r="P9" s="2332"/>
      <c r="Q9" s="2332"/>
      <c r="R9" s="2332"/>
      <c r="S9" s="2332"/>
      <c r="T9" s="2332"/>
      <c r="U9" s="2332"/>
      <c r="V9" s="2332"/>
      <c r="W9" s="2332"/>
      <c r="X9" s="2332"/>
      <c r="Y9" s="2332"/>
      <c r="Z9" s="2702"/>
    </row>
    <row r="10" spans="1:26" s="19" customFormat="1" ht="24" customHeight="1" x14ac:dyDescent="0.3">
      <c r="A10" s="3446" t="s">
        <v>288</v>
      </c>
      <c r="B10" s="3447"/>
      <c r="C10" s="3448"/>
      <c r="D10" s="3448"/>
      <c r="E10" s="3449"/>
      <c r="F10" s="3450"/>
      <c r="G10" s="3451"/>
      <c r="H10" s="3451"/>
      <c r="I10" s="3451"/>
      <c r="J10" s="3451"/>
      <c r="K10" s="3451"/>
      <c r="L10" s="3451"/>
      <c r="M10" s="3451"/>
      <c r="N10" s="3451"/>
      <c r="O10" s="3452"/>
      <c r="P10" s="3452"/>
      <c r="Q10" s="3452"/>
      <c r="R10" s="3452"/>
      <c r="S10" s="3452"/>
      <c r="T10" s="3452"/>
      <c r="U10" s="3452"/>
      <c r="V10" s="3452"/>
      <c r="W10" s="3452"/>
      <c r="X10" s="3452"/>
      <c r="Y10" s="3452"/>
      <c r="Z10" s="3453"/>
    </row>
    <row r="11" spans="1:26" s="19" customFormat="1" ht="22.05" customHeight="1" x14ac:dyDescent="0.3">
      <c r="A11" s="3120" t="s">
        <v>289</v>
      </c>
      <c r="B11" s="3118">
        <f>'DATA-RESULTADOS'!C6</f>
        <v>0.40003606491564098</v>
      </c>
      <c r="C11" s="3089" t="s">
        <v>290</v>
      </c>
      <c r="D11" s="3090" t="s">
        <v>291</v>
      </c>
      <c r="E11" s="2920" t="s">
        <v>279</v>
      </c>
      <c r="F11" s="3121"/>
      <c r="G11" s="2930"/>
      <c r="H11" s="2931"/>
      <c r="I11" s="2931"/>
      <c r="J11" s="2931"/>
      <c r="K11" s="2931"/>
      <c r="L11" s="2931"/>
      <c r="M11" s="2931"/>
      <c r="N11" s="2931"/>
      <c r="O11" s="2332"/>
      <c r="P11" s="2332"/>
      <c r="Q11" s="2332"/>
      <c r="R11" s="2332"/>
      <c r="S11" s="2332"/>
      <c r="T11" s="2332"/>
      <c r="U11" s="2332"/>
      <c r="V11" s="2332"/>
      <c r="W11" s="2332"/>
      <c r="X11" s="2332"/>
      <c r="Y11" s="2332"/>
      <c r="Z11" s="2702"/>
    </row>
    <row r="12" spans="1:26" s="19" customFormat="1" ht="22.05" customHeight="1" x14ac:dyDescent="0.3">
      <c r="A12" s="3109" t="s">
        <v>292</v>
      </c>
      <c r="B12" s="3119">
        <f>'DATA-RESULTADOS'!C6*100</f>
        <v>40.003606491564099</v>
      </c>
      <c r="C12" s="3085" t="s">
        <v>286</v>
      </c>
      <c r="D12" s="3091" t="s">
        <v>4220</v>
      </c>
      <c r="E12" s="2923" t="s">
        <v>279</v>
      </c>
      <c r="F12" s="3111"/>
      <c r="G12" s="2930"/>
      <c r="H12" s="2931"/>
      <c r="I12" s="2931"/>
      <c r="J12" s="2931"/>
      <c r="K12" s="2931"/>
      <c r="L12" s="2931"/>
      <c r="M12" s="2931"/>
      <c r="N12" s="2931"/>
      <c r="O12" s="2332"/>
      <c r="P12" s="2332"/>
      <c r="Q12" s="2332"/>
      <c r="R12" s="2332"/>
      <c r="S12" s="2332"/>
      <c r="T12" s="2332"/>
      <c r="U12" s="2332"/>
      <c r="V12" s="2332"/>
      <c r="W12" s="2332"/>
      <c r="X12" s="2332"/>
      <c r="Y12" s="2332"/>
      <c r="Z12" s="2702"/>
    </row>
    <row r="13" spans="1:26" s="19" customFormat="1" ht="22.05" customHeight="1" x14ac:dyDescent="0.3">
      <c r="A13" s="3120" t="s">
        <v>4212</v>
      </c>
      <c r="B13" s="3118" t="s">
        <v>293</v>
      </c>
      <c r="C13" s="3089" t="s">
        <v>294</v>
      </c>
      <c r="D13" s="3090" t="s">
        <v>4221</v>
      </c>
      <c r="E13" s="2920" t="s">
        <v>279</v>
      </c>
      <c r="F13" s="3121"/>
      <c r="G13" s="2930"/>
      <c r="H13" s="2931"/>
      <c r="I13" s="2931"/>
      <c r="J13" s="2931"/>
      <c r="K13" s="2931"/>
      <c r="L13" s="2931"/>
      <c r="M13" s="2931"/>
      <c r="N13" s="2931"/>
      <c r="O13" s="2332"/>
      <c r="P13" s="2332"/>
      <c r="Q13" s="2332"/>
      <c r="R13" s="2332"/>
      <c r="S13" s="2332"/>
      <c r="T13" s="2332"/>
      <c r="U13" s="2332"/>
      <c r="V13" s="2332"/>
      <c r="W13" s="2332"/>
      <c r="X13" s="2332"/>
      <c r="Y13" s="2332"/>
      <c r="Z13" s="2702"/>
    </row>
    <row r="14" spans="1:26" s="19" customFormat="1" ht="22.05" customHeight="1" x14ac:dyDescent="0.3">
      <c r="A14" s="3109" t="s">
        <v>295</v>
      </c>
      <c r="B14" s="3122">
        <f>'M5-ICPI'!G25</f>
        <v>0.40799226206643363</v>
      </c>
      <c r="C14" s="3085" t="s">
        <v>296</v>
      </c>
      <c r="D14" s="3091" t="s">
        <v>297</v>
      </c>
      <c r="E14" s="2923" t="s">
        <v>279</v>
      </c>
      <c r="F14" s="3111"/>
      <c r="G14" s="2930"/>
      <c r="H14" s="2931"/>
      <c r="I14" s="2931"/>
      <c r="J14" s="2931"/>
      <c r="K14" s="2931"/>
      <c r="L14" s="2931"/>
      <c r="M14" s="2931"/>
      <c r="N14" s="2931"/>
      <c r="O14" s="2332"/>
      <c r="P14" s="2332"/>
      <c r="Q14" s="2332"/>
      <c r="R14" s="2332"/>
      <c r="S14" s="2332"/>
      <c r="T14" s="2332"/>
      <c r="U14" s="2332"/>
      <c r="V14" s="2332"/>
      <c r="W14" s="2332"/>
      <c r="X14" s="2332"/>
      <c r="Y14" s="2332"/>
      <c r="Z14" s="2702"/>
    </row>
    <row r="15" spans="1:26" s="19" customFormat="1" ht="22.05" customHeight="1" x14ac:dyDescent="0.3">
      <c r="A15" s="3120" t="s">
        <v>298</v>
      </c>
      <c r="B15" s="3118">
        <f>SUM('M5-ICPI'!H5:H24)</f>
        <v>1.0659048387170003</v>
      </c>
      <c r="C15" s="3089" t="s">
        <v>299</v>
      </c>
      <c r="D15" s="3090" t="s">
        <v>300</v>
      </c>
      <c r="E15" s="2920" t="s">
        <v>279</v>
      </c>
      <c r="F15" s="3121"/>
      <c r="G15" s="2930"/>
      <c r="H15" s="2931"/>
      <c r="I15" s="2931"/>
      <c r="J15" s="2931"/>
      <c r="K15" s="2931"/>
      <c r="L15" s="2931"/>
      <c r="M15" s="2931"/>
      <c r="N15" s="2931"/>
      <c r="O15" s="2332"/>
      <c r="P15" s="2332"/>
      <c r="Q15" s="2332"/>
      <c r="R15" s="2332"/>
      <c r="S15" s="2332"/>
      <c r="T15" s="2332"/>
      <c r="U15" s="2332"/>
      <c r="V15" s="2332"/>
      <c r="W15" s="2332"/>
      <c r="X15" s="2332"/>
      <c r="Y15" s="2332"/>
      <c r="Z15" s="2702"/>
    </row>
    <row r="16" spans="1:26" s="19" customFormat="1" ht="22.05" customHeight="1" x14ac:dyDescent="0.3">
      <c r="A16" s="3109" t="s">
        <v>301</v>
      </c>
      <c r="B16" s="3122" t="str">
        <f>'DATA-RESULTADOS'!B8</f>
        <v>Transición Crítica 🟡</v>
      </c>
      <c r="C16" s="3085" t="s">
        <v>302</v>
      </c>
      <c r="D16" s="3091" t="s">
        <v>4222</v>
      </c>
      <c r="E16" s="2923" t="s">
        <v>279</v>
      </c>
      <c r="F16" s="3111"/>
      <c r="G16" s="2930"/>
      <c r="H16" s="2931"/>
      <c r="I16" s="2931"/>
      <c r="J16" s="2931"/>
      <c r="K16" s="2931"/>
      <c r="L16" s="2931"/>
      <c r="M16" s="2931"/>
      <c r="N16" s="2931"/>
      <c r="O16" s="2332"/>
      <c r="P16" s="2332"/>
      <c r="Q16" s="2332"/>
      <c r="R16" s="2332"/>
      <c r="S16" s="2332"/>
      <c r="T16" s="2332"/>
      <c r="U16" s="2332"/>
      <c r="V16" s="2332"/>
      <c r="W16" s="2332"/>
      <c r="X16" s="2332"/>
      <c r="Y16" s="2332"/>
      <c r="Z16" s="2702"/>
    </row>
    <row r="17" spans="1:26" s="19" customFormat="1" ht="22.05" customHeight="1" x14ac:dyDescent="0.3">
      <c r="A17" s="3125"/>
      <c r="B17" s="3123"/>
      <c r="C17" s="3092"/>
      <c r="D17" s="3092"/>
      <c r="E17" s="3124"/>
      <c r="F17" s="3121"/>
      <c r="G17" s="2930"/>
      <c r="H17" s="2931"/>
      <c r="I17" s="2931"/>
      <c r="J17" s="2931"/>
      <c r="K17" s="2931"/>
      <c r="L17" s="2931"/>
      <c r="M17" s="2931"/>
      <c r="N17" s="2931"/>
      <c r="O17" s="2332"/>
      <c r="P17" s="2332"/>
      <c r="Q17" s="2332"/>
      <c r="R17" s="2332"/>
      <c r="S17" s="2332"/>
      <c r="T17" s="2332"/>
      <c r="U17" s="2332"/>
      <c r="V17" s="2332"/>
      <c r="W17" s="2332"/>
      <c r="X17" s="2332"/>
      <c r="Y17" s="2332"/>
      <c r="Z17" s="2702"/>
    </row>
    <row r="18" spans="1:26" s="19" customFormat="1" ht="24" customHeight="1" x14ac:dyDescent="0.3">
      <c r="A18" s="3446" t="s">
        <v>303</v>
      </c>
      <c r="B18" s="3447"/>
      <c r="C18" s="3448"/>
      <c r="D18" s="3448"/>
      <c r="E18" s="3449"/>
      <c r="F18" s="3450"/>
      <c r="G18" s="3451"/>
      <c r="H18" s="3451"/>
      <c r="I18" s="3451"/>
      <c r="J18" s="3451"/>
      <c r="K18" s="3451"/>
      <c r="L18" s="3451"/>
      <c r="M18" s="3451"/>
      <c r="N18" s="3451"/>
      <c r="O18" s="3452"/>
      <c r="P18" s="3452"/>
      <c r="Q18" s="3452"/>
      <c r="R18" s="3452"/>
      <c r="S18" s="3452"/>
      <c r="T18" s="3452"/>
      <c r="U18" s="3452"/>
      <c r="V18" s="3452"/>
      <c r="W18" s="3452"/>
      <c r="X18" s="3452"/>
      <c r="Y18" s="3452"/>
      <c r="Z18" s="3453"/>
    </row>
    <row r="19" spans="1:26" s="19" customFormat="1" ht="22.05" customHeight="1" x14ac:dyDescent="0.3">
      <c r="A19" s="3120" t="s">
        <v>304</v>
      </c>
      <c r="B19" s="3118">
        <v>20</v>
      </c>
      <c r="C19" s="3089" t="s">
        <v>305</v>
      </c>
      <c r="D19" s="3090" t="s">
        <v>306</v>
      </c>
      <c r="E19" s="2920" t="s">
        <v>307</v>
      </c>
      <c r="F19" s="3121"/>
      <c r="G19" s="2930"/>
      <c r="H19" s="2931"/>
      <c r="I19" s="2931"/>
      <c r="J19" s="2931"/>
      <c r="K19" s="2931"/>
      <c r="L19" s="2931"/>
      <c r="M19" s="2931"/>
      <c r="N19" s="2931"/>
      <c r="O19" s="2332"/>
      <c r="P19" s="2332"/>
      <c r="Q19" s="2332"/>
      <c r="R19" s="2332"/>
      <c r="S19" s="2332"/>
      <c r="T19" s="2332"/>
      <c r="U19" s="2332"/>
      <c r="V19" s="2332"/>
      <c r="W19" s="2332"/>
      <c r="X19" s="2332"/>
      <c r="Y19" s="2332"/>
      <c r="Z19" s="2702"/>
    </row>
    <row r="20" spans="1:26" s="19" customFormat="1" ht="22.05" customHeight="1" x14ac:dyDescent="0.3">
      <c r="A20" s="3109" t="s">
        <v>308</v>
      </c>
      <c r="B20" s="3126">
        <f>COUNTA('M4-AUDIT'!A5:A24)</f>
        <v>20</v>
      </c>
      <c r="C20" s="3085" t="s">
        <v>309</v>
      </c>
      <c r="D20" s="3091" t="s">
        <v>310</v>
      </c>
      <c r="E20" s="2923" t="s">
        <v>307</v>
      </c>
      <c r="F20" s="3111"/>
      <c r="G20" s="2930"/>
      <c r="H20" s="2931"/>
      <c r="I20" s="2931"/>
      <c r="J20" s="2931"/>
      <c r="K20" s="2931"/>
      <c r="L20" s="2931"/>
      <c r="M20" s="2931"/>
      <c r="N20" s="2931"/>
      <c r="O20" s="2332"/>
      <c r="P20" s="2332"/>
      <c r="Q20" s="2332"/>
      <c r="R20" s="2332"/>
      <c r="S20" s="2332"/>
      <c r="T20" s="2332"/>
      <c r="U20" s="2332"/>
      <c r="V20" s="2332"/>
      <c r="W20" s="2332"/>
      <c r="X20" s="2332"/>
      <c r="Y20" s="2332"/>
      <c r="Z20" s="2702"/>
    </row>
    <row r="21" spans="1:26" s="19" customFormat="1" ht="22.05" customHeight="1" x14ac:dyDescent="0.3">
      <c r="A21" s="3120" t="s">
        <v>311</v>
      </c>
      <c r="B21" s="3127">
        <f>IFERROR(B23/B22, 0)</f>
        <v>0</v>
      </c>
      <c r="C21" s="3089" t="s">
        <v>312</v>
      </c>
      <c r="D21" s="3090" t="s">
        <v>313</v>
      </c>
      <c r="E21" s="2920" t="s">
        <v>307</v>
      </c>
      <c r="F21" s="3121"/>
      <c r="G21" s="2930"/>
      <c r="H21" s="2931"/>
      <c r="I21" s="2931"/>
      <c r="J21" s="2931"/>
      <c r="K21" s="2931"/>
      <c r="L21" s="2931"/>
      <c r="M21" s="2931"/>
      <c r="N21" s="2931"/>
      <c r="O21" s="2332"/>
      <c r="P21" s="2332"/>
      <c r="Q21" s="2332"/>
      <c r="R21" s="2332"/>
      <c r="S21" s="2332"/>
      <c r="T21" s="2332"/>
      <c r="U21" s="2332"/>
      <c r="V21" s="2332"/>
      <c r="W21" s="2332"/>
      <c r="X21" s="2332"/>
      <c r="Y21" s="2332"/>
      <c r="Z21" s="2702"/>
    </row>
    <row r="22" spans="1:26" s="19" customFormat="1" ht="22.05" customHeight="1" x14ac:dyDescent="0.3">
      <c r="A22" s="3131" t="s">
        <v>314</v>
      </c>
      <c r="B22" s="3128">
        <f t="array" ref="B22">IFERROR(SUMPRODUCT(('M2-PLAN-Pi'!E13:E32&gt;0)*'M2-PLAN-Pi'!E13:E32),0)</f>
        <v>0</v>
      </c>
      <c r="C22" s="3086" t="s">
        <v>315</v>
      </c>
      <c r="D22" s="3086" t="s">
        <v>316</v>
      </c>
      <c r="E22" s="3129">
        <v>46075</v>
      </c>
      <c r="F22" s="3111"/>
      <c r="G22" s="2930"/>
      <c r="H22" s="2931"/>
      <c r="I22" s="2931"/>
      <c r="J22" s="2931"/>
      <c r="K22" s="2931"/>
      <c r="L22" s="2931"/>
      <c r="M22" s="2931"/>
      <c r="N22" s="2931"/>
      <c r="O22" s="2332"/>
      <c r="P22" s="2332"/>
      <c r="Q22" s="2332"/>
      <c r="R22" s="2332"/>
      <c r="S22" s="2332"/>
      <c r="T22" s="2332"/>
      <c r="U22" s="2332"/>
      <c r="V22" s="2332"/>
      <c r="W22" s="2332"/>
      <c r="X22" s="2332"/>
      <c r="Y22" s="2332"/>
      <c r="Z22" s="2702"/>
    </row>
    <row r="23" spans="1:26" s="19" customFormat="1" ht="22.05" customHeight="1" x14ac:dyDescent="0.3">
      <c r="A23" s="3120" t="s">
        <v>317</v>
      </c>
      <c r="B23" s="3130">
        <f t="array" ref="B23">IFERROR(SUMPRODUCT(('M4-AUDIT'!F5:F24=1)*('M2-PLAN-Pi'!E13:E32&gt;0)*'M2-PLAN-Pi'!E13:E32),0)</f>
        <v>0</v>
      </c>
      <c r="C23" s="3089" t="s">
        <v>318</v>
      </c>
      <c r="D23" s="3090" t="s">
        <v>319</v>
      </c>
      <c r="E23" s="2920" t="s">
        <v>279</v>
      </c>
      <c r="F23" s="3121"/>
      <c r="G23" s="2930"/>
      <c r="H23" s="2931"/>
      <c r="I23" s="2931"/>
      <c r="J23" s="2931"/>
      <c r="K23" s="2931"/>
      <c r="L23" s="2931"/>
      <c r="M23" s="2931"/>
      <c r="N23" s="2931"/>
      <c r="O23" s="2332"/>
      <c r="P23" s="2332"/>
      <c r="Q23" s="2332"/>
      <c r="R23" s="2332"/>
      <c r="S23" s="2332"/>
      <c r="T23" s="2332"/>
      <c r="U23" s="2332"/>
      <c r="V23" s="2332"/>
      <c r="W23" s="2332"/>
      <c r="X23" s="2332"/>
      <c r="Y23" s="2332"/>
      <c r="Z23" s="2702"/>
    </row>
    <row r="24" spans="1:26" s="19" customFormat="1" ht="22.05" customHeight="1" x14ac:dyDescent="0.3">
      <c r="A24" s="3109"/>
      <c r="B24" s="3122"/>
      <c r="C24" s="3085"/>
      <c r="D24" s="3091"/>
      <c r="E24" s="2923"/>
      <c r="F24" s="3111"/>
      <c r="G24" s="2930"/>
      <c r="H24" s="2931"/>
      <c r="I24" s="2931"/>
      <c r="J24" s="2931"/>
      <c r="K24" s="2931"/>
      <c r="L24" s="2931"/>
      <c r="M24" s="2931"/>
      <c r="N24" s="2931"/>
      <c r="O24" s="2332"/>
      <c r="P24" s="2332"/>
      <c r="Q24" s="2332"/>
      <c r="R24" s="2332"/>
      <c r="S24" s="2332"/>
      <c r="T24" s="2332"/>
      <c r="U24" s="2332"/>
      <c r="V24" s="2332"/>
      <c r="W24" s="2332"/>
      <c r="X24" s="2332"/>
      <c r="Y24" s="2332"/>
      <c r="Z24" s="2702"/>
    </row>
    <row r="25" spans="1:26" s="19" customFormat="1" ht="24" customHeight="1" x14ac:dyDescent="0.3">
      <c r="A25" s="3446" t="s">
        <v>320</v>
      </c>
      <c r="B25" s="3447"/>
      <c r="C25" s="3448"/>
      <c r="D25" s="3448"/>
      <c r="E25" s="3449"/>
      <c r="F25" s="3450"/>
      <c r="G25" s="3451"/>
      <c r="H25" s="3451"/>
      <c r="I25" s="3451"/>
      <c r="J25" s="3451"/>
      <c r="K25" s="3451"/>
      <c r="L25" s="3451"/>
      <c r="M25" s="3451"/>
      <c r="N25" s="3451"/>
      <c r="O25" s="3452"/>
      <c r="P25" s="3452"/>
      <c r="Q25" s="3452"/>
      <c r="R25" s="3452"/>
      <c r="S25" s="3452"/>
      <c r="T25" s="3452"/>
      <c r="U25" s="3452"/>
      <c r="V25" s="3452"/>
      <c r="W25" s="3452"/>
      <c r="X25" s="3452"/>
      <c r="Y25" s="3452"/>
      <c r="Z25" s="3453"/>
    </row>
    <row r="26" spans="1:26" s="19" customFormat="1" ht="22.05" customHeight="1" x14ac:dyDescent="0.3">
      <c r="A26" s="3109" t="s">
        <v>321</v>
      </c>
      <c r="B26" s="3122">
        <f>COUNTIF('M4-AUDIT'!F5:F24,1)</f>
        <v>15</v>
      </c>
      <c r="C26" s="3085" t="s">
        <v>322</v>
      </c>
      <c r="D26" s="3091" t="s">
        <v>323</v>
      </c>
      <c r="E26" s="2923" t="s">
        <v>279</v>
      </c>
      <c r="F26" s="3111"/>
      <c r="G26" s="2930"/>
      <c r="H26" s="2931"/>
      <c r="I26" s="2931"/>
      <c r="J26" s="2931"/>
      <c r="K26" s="2931"/>
      <c r="L26" s="2931"/>
      <c r="M26" s="2931"/>
      <c r="N26" s="2931"/>
      <c r="O26" s="2332"/>
      <c r="P26" s="2332"/>
      <c r="Q26" s="2332"/>
      <c r="R26" s="2332"/>
      <c r="S26" s="2332"/>
      <c r="T26" s="2332"/>
      <c r="U26" s="2332"/>
      <c r="V26" s="2332"/>
      <c r="W26" s="2332"/>
      <c r="X26" s="2332"/>
      <c r="Y26" s="2332"/>
      <c r="Z26" s="2702"/>
    </row>
    <row r="27" spans="1:26" s="19" customFormat="1" ht="22.05" customHeight="1" x14ac:dyDescent="0.3">
      <c r="A27" s="3120" t="s">
        <v>324</v>
      </c>
      <c r="B27" s="3118">
        <f>COUNTIF('M4-AUDIT'!F5:F24,0)</f>
        <v>5</v>
      </c>
      <c r="C27" s="3089" t="s">
        <v>325</v>
      </c>
      <c r="D27" s="3090" t="s">
        <v>326</v>
      </c>
      <c r="E27" s="2920" t="s">
        <v>279</v>
      </c>
      <c r="F27" s="3121"/>
      <c r="G27" s="2930"/>
      <c r="H27" s="2931"/>
      <c r="I27" s="2931"/>
      <c r="J27" s="2931"/>
      <c r="K27" s="2931"/>
      <c r="L27" s="2931"/>
      <c r="M27" s="2931"/>
      <c r="N27" s="2931"/>
      <c r="O27" s="2332"/>
      <c r="P27" s="2332"/>
      <c r="Q27" s="2332"/>
      <c r="R27" s="2332"/>
      <c r="S27" s="2332"/>
      <c r="T27" s="2332"/>
      <c r="U27" s="2332"/>
      <c r="V27" s="2332"/>
      <c r="W27" s="2332"/>
      <c r="X27" s="2332"/>
      <c r="Y27" s="2332"/>
      <c r="Z27" s="2702"/>
    </row>
    <row r="28" spans="1:26" s="19" customFormat="1" ht="22.05" customHeight="1" x14ac:dyDescent="0.3">
      <c r="A28" s="3131" t="s">
        <v>327</v>
      </c>
      <c r="B28" s="3132">
        <f t="array" ref="B28">SUMPRODUCT(('M4-AUDIT'!F5:F24=1)*('M4-AUDIT'!H5:H24&gt;=1))</f>
        <v>3</v>
      </c>
      <c r="C28" s="3086" t="s">
        <v>109</v>
      </c>
      <c r="D28" s="3086" t="s">
        <v>328</v>
      </c>
      <c r="E28" s="3133" t="s">
        <v>279</v>
      </c>
      <c r="F28" s="3111"/>
      <c r="G28" s="2930"/>
      <c r="H28" s="2931"/>
      <c r="I28" s="2931"/>
      <c r="J28" s="2931"/>
      <c r="K28" s="2931"/>
      <c r="L28" s="2931"/>
      <c r="M28" s="2931"/>
      <c r="N28" s="2931"/>
      <c r="O28" s="2332"/>
      <c r="P28" s="2332"/>
      <c r="Q28" s="2332"/>
      <c r="R28" s="2332"/>
      <c r="S28" s="2332"/>
      <c r="T28" s="2332"/>
      <c r="U28" s="2332"/>
      <c r="V28" s="2332"/>
      <c r="W28" s="2332"/>
      <c r="X28" s="2332"/>
      <c r="Y28" s="2332"/>
      <c r="Z28" s="2702"/>
    </row>
    <row r="29" spans="1:26" s="19" customFormat="1" ht="22.05" customHeight="1" x14ac:dyDescent="0.3">
      <c r="A29" s="3120" t="s">
        <v>329</v>
      </c>
      <c r="B29" s="3134">
        <f t="array" ref="B29">SUMPRODUCT(('M4-AUDIT'!F5:F24=1)*('M4-AUDIT'!H5:H24&lt;1))</f>
        <v>12</v>
      </c>
      <c r="C29" s="3089" t="s">
        <v>109</v>
      </c>
      <c r="D29" s="3090" t="s">
        <v>330</v>
      </c>
      <c r="E29" s="2920" t="s">
        <v>279</v>
      </c>
      <c r="F29" s="3121"/>
      <c r="G29" s="2930"/>
      <c r="H29" s="2931"/>
      <c r="I29" s="2931"/>
      <c r="J29" s="2931"/>
      <c r="K29" s="2931"/>
      <c r="L29" s="2931"/>
      <c r="M29" s="2931"/>
      <c r="N29" s="2931"/>
      <c r="O29" s="2332"/>
      <c r="P29" s="2332"/>
      <c r="Q29" s="2332"/>
      <c r="R29" s="2332"/>
      <c r="S29" s="2332"/>
      <c r="T29" s="2332"/>
      <c r="U29" s="2332"/>
      <c r="V29" s="2332"/>
      <c r="W29" s="2332"/>
      <c r="X29" s="2332"/>
      <c r="Y29" s="2332"/>
      <c r="Z29" s="2702"/>
    </row>
    <row r="30" spans="1:26" s="19" customFormat="1" ht="22.05" customHeight="1" x14ac:dyDescent="0.3">
      <c r="A30" s="3109" t="s">
        <v>331</v>
      </c>
      <c r="B30" s="3135">
        <f>COUNTIF('M4-AUDIT'!P5:P24,"&lt;1")</f>
        <v>3</v>
      </c>
      <c r="C30" s="3085" t="s">
        <v>332</v>
      </c>
      <c r="D30" s="3091" t="s">
        <v>333</v>
      </c>
      <c r="E30" s="2923" t="s">
        <v>334</v>
      </c>
      <c r="F30" s="3111"/>
      <c r="G30" s="2930"/>
      <c r="H30" s="2931"/>
      <c r="I30" s="2931"/>
      <c r="J30" s="2931"/>
      <c r="K30" s="2931"/>
      <c r="L30" s="2931"/>
      <c r="M30" s="2931"/>
      <c r="N30" s="2931"/>
      <c r="O30" s="2332"/>
      <c r="P30" s="2332"/>
      <c r="Q30" s="2332"/>
      <c r="R30" s="2332"/>
      <c r="S30" s="2332"/>
      <c r="T30" s="2332"/>
      <c r="U30" s="2332"/>
      <c r="V30" s="2332"/>
      <c r="W30" s="2332"/>
      <c r="X30" s="2332"/>
      <c r="Y30" s="2332"/>
      <c r="Z30" s="2702"/>
    </row>
    <row r="31" spans="1:26" ht="24" x14ac:dyDescent="0.3">
      <c r="A31" s="3138" t="s">
        <v>335</v>
      </c>
      <c r="B31" s="3136">
        <f>IFERROR(AVERAGE('M6-FEDS'!J7:J26),"-")</f>
        <v>30.137499999999999</v>
      </c>
      <c r="C31" s="3093" t="s">
        <v>336</v>
      </c>
      <c r="D31" s="3094" t="s">
        <v>337</v>
      </c>
      <c r="E31" s="3137" t="s">
        <v>334</v>
      </c>
      <c r="F31" s="3139"/>
      <c r="G31" s="3082"/>
      <c r="H31" s="3080"/>
      <c r="I31" s="3080"/>
      <c r="J31" s="3080"/>
      <c r="K31" s="3080"/>
      <c r="L31" s="3080"/>
      <c r="M31" s="3080"/>
      <c r="N31" s="3080"/>
      <c r="O31" s="2332"/>
      <c r="P31" s="2332"/>
      <c r="Q31" s="2332"/>
      <c r="R31" s="2332"/>
      <c r="S31" s="2332"/>
      <c r="T31" s="2332"/>
      <c r="U31" s="2332"/>
      <c r="V31" s="2332"/>
      <c r="W31" s="2332"/>
      <c r="X31" s="2332"/>
      <c r="Y31" s="2332"/>
      <c r="Z31" s="2702"/>
    </row>
    <row r="32" spans="1:26" ht="22.05" customHeight="1" x14ac:dyDescent="0.3">
      <c r="A32" s="3109" t="s">
        <v>338</v>
      </c>
      <c r="B32" s="3135">
        <f>COUNTIF('M6-FEDS'!F30:F41,"RUPTURA TOTAL")</f>
        <v>0</v>
      </c>
      <c r="C32" s="3085" t="s">
        <v>339</v>
      </c>
      <c r="D32" s="3091" t="s">
        <v>340</v>
      </c>
      <c r="E32" s="2923" t="s">
        <v>334</v>
      </c>
      <c r="F32" s="3111"/>
      <c r="G32" s="2930"/>
      <c r="H32" s="2931"/>
      <c r="I32" s="2931"/>
      <c r="J32" s="2931"/>
      <c r="K32" s="2931"/>
      <c r="L32" s="2931"/>
      <c r="M32" s="2931"/>
      <c r="N32" s="2931"/>
      <c r="O32" s="2332"/>
      <c r="P32" s="2332"/>
      <c r="Q32" s="2332"/>
      <c r="R32" s="2332"/>
      <c r="S32" s="2332"/>
      <c r="T32" s="2332"/>
      <c r="U32" s="2332"/>
      <c r="V32" s="2332"/>
      <c r="W32" s="2332"/>
      <c r="X32" s="2332"/>
      <c r="Y32" s="2332"/>
      <c r="Z32" s="2702"/>
    </row>
    <row r="33" spans="1:26" ht="24" customHeight="1" x14ac:dyDescent="0.3">
      <c r="A33" s="3446" t="s">
        <v>341</v>
      </c>
      <c r="B33" s="3447"/>
      <c r="C33" s="3448"/>
      <c r="D33" s="3448"/>
      <c r="E33" s="3449"/>
      <c r="F33" s="3450"/>
      <c r="G33" s="3451"/>
      <c r="H33" s="3451"/>
      <c r="I33" s="3451"/>
      <c r="J33" s="3451"/>
      <c r="K33" s="3451"/>
      <c r="L33" s="3451"/>
      <c r="M33" s="3451"/>
      <c r="N33" s="3451"/>
      <c r="O33" s="3452"/>
      <c r="P33" s="3452"/>
      <c r="Q33" s="3452"/>
      <c r="R33" s="3452"/>
      <c r="S33" s="3452"/>
      <c r="T33" s="3452"/>
      <c r="U33" s="3452"/>
      <c r="V33" s="3452"/>
      <c r="W33" s="3452"/>
      <c r="X33" s="3452"/>
      <c r="Y33" s="3452"/>
      <c r="Z33" s="3453"/>
    </row>
    <row r="34" spans="1:26" ht="22.05" customHeight="1" x14ac:dyDescent="0.3">
      <c r="A34" s="3109" t="s">
        <v>342</v>
      </c>
      <c r="B34" s="3135">
        <f>'DATA-EJES'!D4</f>
        <v>25.798731156968657</v>
      </c>
      <c r="C34" s="3085" t="s">
        <v>343</v>
      </c>
      <c r="D34" s="3091" t="s">
        <v>344</v>
      </c>
      <c r="E34" s="2923" t="s">
        <v>279</v>
      </c>
      <c r="F34" s="3111"/>
      <c r="G34" s="2930"/>
      <c r="H34" s="2931"/>
      <c r="I34" s="2931"/>
      <c r="J34" s="2931"/>
      <c r="K34" s="2931"/>
      <c r="L34" s="2931"/>
      <c r="M34" s="2931"/>
      <c r="N34" s="2931"/>
      <c r="O34" s="2332"/>
      <c r="P34" s="2332"/>
      <c r="Q34" s="2332"/>
      <c r="R34" s="2332"/>
      <c r="S34" s="2332"/>
      <c r="T34" s="2332"/>
      <c r="U34" s="2332"/>
      <c r="V34" s="2332"/>
      <c r="W34" s="2332"/>
      <c r="X34" s="2332"/>
      <c r="Y34" s="2332"/>
      <c r="Z34" s="2702"/>
    </row>
    <row r="35" spans="1:26" ht="22.05" customHeight="1" x14ac:dyDescent="0.3">
      <c r="A35" s="3120" t="s">
        <v>345</v>
      </c>
      <c r="B35" s="3134">
        <f>'DATA-EJES'!D5</f>
        <v>51.686757985993069</v>
      </c>
      <c r="C35" s="3089" t="s">
        <v>346</v>
      </c>
      <c r="D35" s="3090" t="s">
        <v>347</v>
      </c>
      <c r="E35" s="2920" t="s">
        <v>279</v>
      </c>
      <c r="F35" s="3121"/>
      <c r="G35" s="2930"/>
      <c r="H35" s="2931"/>
      <c r="I35" s="2931"/>
      <c r="J35" s="2931"/>
      <c r="K35" s="2931"/>
      <c r="L35" s="2931"/>
      <c r="M35" s="2931"/>
      <c r="N35" s="2931"/>
      <c r="O35" s="2332"/>
      <c r="P35" s="2332"/>
      <c r="Q35" s="2332"/>
      <c r="R35" s="2332"/>
      <c r="S35" s="2332"/>
      <c r="T35" s="2332"/>
      <c r="U35" s="2332"/>
      <c r="V35" s="2332"/>
      <c r="W35" s="2332"/>
      <c r="X35" s="2332"/>
      <c r="Y35" s="2332"/>
      <c r="Z35" s="2702"/>
    </row>
    <row r="36" spans="1:26" ht="22.05" customHeight="1" x14ac:dyDescent="0.3">
      <c r="A36" s="3131" t="s">
        <v>348</v>
      </c>
      <c r="B36" s="3119">
        <f>'DATA-EJES'!D6</f>
        <v>44.93166376639391</v>
      </c>
      <c r="C36" s="3086" t="s">
        <v>349</v>
      </c>
      <c r="D36" s="3086" t="s">
        <v>350</v>
      </c>
      <c r="E36" s="3133" t="s">
        <v>279</v>
      </c>
      <c r="F36" s="3111"/>
      <c r="G36" s="2930"/>
      <c r="H36" s="2931"/>
      <c r="I36" s="2931"/>
      <c r="J36" s="2931"/>
      <c r="K36" s="2931"/>
      <c r="L36" s="2931"/>
      <c r="M36" s="2931"/>
      <c r="N36" s="2931"/>
      <c r="O36" s="2332"/>
      <c r="P36" s="2332"/>
      <c r="Q36" s="2332"/>
      <c r="R36" s="2332"/>
      <c r="S36" s="2332"/>
      <c r="T36" s="2332"/>
      <c r="U36" s="2332"/>
      <c r="V36" s="2332"/>
      <c r="W36" s="2332"/>
      <c r="X36" s="2332"/>
      <c r="Y36" s="2332"/>
      <c r="Z36" s="2702"/>
    </row>
    <row r="37" spans="1:26" ht="22.05" customHeight="1" x14ac:dyDescent="0.3">
      <c r="A37" s="3120" t="s">
        <v>351</v>
      </c>
      <c r="B37" s="3140">
        <f>'DATA-EJES'!D7</f>
        <v>70</v>
      </c>
      <c r="C37" s="3089" t="s">
        <v>352</v>
      </c>
      <c r="D37" s="3090" t="s">
        <v>353</v>
      </c>
      <c r="E37" s="2920" t="s">
        <v>279</v>
      </c>
      <c r="F37" s="3121"/>
      <c r="G37" s="2930"/>
      <c r="H37" s="2931"/>
      <c r="I37" s="2931"/>
      <c r="J37" s="2931"/>
      <c r="K37" s="2931"/>
      <c r="L37" s="2931"/>
      <c r="M37" s="2931"/>
      <c r="N37" s="2931"/>
      <c r="O37" s="2332"/>
      <c r="P37" s="2332"/>
      <c r="Q37" s="2332"/>
      <c r="R37" s="2332"/>
      <c r="S37" s="2332"/>
      <c r="T37" s="2332"/>
      <c r="U37" s="2332"/>
      <c r="V37" s="2332"/>
      <c r="W37" s="2332"/>
      <c r="X37" s="2332"/>
      <c r="Y37" s="2332"/>
      <c r="Z37" s="2702"/>
    </row>
    <row r="38" spans="1:26" ht="22.05" customHeight="1" x14ac:dyDescent="0.3">
      <c r="A38" s="3109" t="s">
        <v>354</v>
      </c>
      <c r="B38" s="3119">
        <f>'DATA-EJES'!D8</f>
        <v>60.151290496607871</v>
      </c>
      <c r="C38" s="3085" t="s">
        <v>355</v>
      </c>
      <c r="D38" s="3091" t="s">
        <v>356</v>
      </c>
      <c r="E38" s="2923" t="s">
        <v>279</v>
      </c>
      <c r="F38" s="3111"/>
      <c r="G38" s="2930"/>
      <c r="H38" s="2931"/>
      <c r="I38" s="2931"/>
      <c r="J38" s="2931"/>
      <c r="K38" s="2931"/>
      <c r="L38" s="2931"/>
      <c r="M38" s="2931"/>
      <c r="N38" s="2931"/>
      <c r="O38" s="2332"/>
      <c r="P38" s="2332"/>
      <c r="Q38" s="2332"/>
      <c r="R38" s="2332"/>
      <c r="S38" s="2332"/>
      <c r="T38" s="2332"/>
      <c r="U38" s="2332"/>
      <c r="V38" s="2332"/>
      <c r="W38" s="2332"/>
      <c r="X38" s="2332"/>
      <c r="Y38" s="2332"/>
      <c r="Z38" s="2702"/>
    </row>
    <row r="39" spans="1:26" ht="22.05" customHeight="1" x14ac:dyDescent="0.3">
      <c r="A39" s="3120"/>
      <c r="B39" s="3118"/>
      <c r="C39" s="3089"/>
      <c r="D39" s="3090"/>
      <c r="E39" s="2920"/>
      <c r="F39" s="3121"/>
      <c r="G39" s="2930"/>
      <c r="H39" s="2931"/>
      <c r="I39" s="2931"/>
      <c r="J39" s="2931"/>
      <c r="K39" s="2931"/>
      <c r="L39" s="2931"/>
      <c r="M39" s="2931"/>
      <c r="N39" s="2931"/>
      <c r="O39" s="2332"/>
      <c r="P39" s="2332"/>
      <c r="Q39" s="2332"/>
      <c r="R39" s="2332"/>
      <c r="S39" s="2332"/>
      <c r="T39" s="2332"/>
      <c r="U39" s="2332"/>
      <c r="V39" s="2332"/>
      <c r="W39" s="2332"/>
      <c r="X39" s="2332"/>
      <c r="Y39" s="2332"/>
      <c r="Z39" s="2702"/>
    </row>
    <row r="40" spans="1:26" ht="24" customHeight="1" x14ac:dyDescent="0.3">
      <c r="A40" s="3446" t="s">
        <v>357</v>
      </c>
      <c r="B40" s="3447"/>
      <c r="C40" s="3448"/>
      <c r="D40" s="3448"/>
      <c r="E40" s="3449"/>
      <c r="F40" s="3450"/>
      <c r="G40" s="3451"/>
      <c r="H40" s="3451"/>
      <c r="I40" s="3451"/>
      <c r="J40" s="3451"/>
      <c r="K40" s="3451"/>
      <c r="L40" s="3451"/>
      <c r="M40" s="3451"/>
      <c r="N40" s="3451"/>
      <c r="O40" s="3452"/>
      <c r="P40" s="3452"/>
      <c r="Q40" s="3452"/>
      <c r="R40" s="3452"/>
      <c r="S40" s="3452"/>
      <c r="T40" s="3452"/>
      <c r="U40" s="3452"/>
      <c r="V40" s="3452"/>
      <c r="W40" s="3452"/>
      <c r="X40" s="3452"/>
      <c r="Y40" s="3452"/>
      <c r="Z40" s="3453"/>
    </row>
    <row r="41" spans="1:26" ht="24" x14ac:dyDescent="0.3">
      <c r="A41" s="3138" t="s">
        <v>358</v>
      </c>
      <c r="B41" s="3141" t="str">
        <f>TEXT(('M5-ICPI'!G29-'M-TECH-PARAMS'!B7*100),"0,00")&amp;" pp"</f>
        <v>-61,72 pp</v>
      </c>
      <c r="C41" s="3093" t="s">
        <v>359</v>
      </c>
      <c r="D41" s="3094" t="str">
        <f>"ICPI auditado ("&amp;TEXT('M5-ICPI'!G29,"0,00")&amp;"%) vs ICM oficial SIGAD ("&amp;TEXT('M-TECH-PARAMS'!B7*100,"0,00")&amp;"%) → Diferencial de Integridad SIGAD §4.2 · Ci incorporado"</f>
        <v>ICPI auditado (38,28%) vs ICM oficial SIGAD (100,00%) → Diferencial de Integridad SIGAD §4.2 · Ci incorporado</v>
      </c>
      <c r="E41" s="3137" t="s">
        <v>279</v>
      </c>
      <c r="F41" s="3139"/>
      <c r="G41" s="3082"/>
      <c r="H41" s="3080"/>
      <c r="I41" s="3080"/>
      <c r="J41" s="3080"/>
      <c r="K41" s="3080"/>
      <c r="L41" s="3080"/>
      <c r="M41" s="3080"/>
      <c r="N41" s="3080"/>
      <c r="O41" s="2332"/>
      <c r="P41" s="2332"/>
      <c r="Q41" s="2332"/>
      <c r="R41" s="2332"/>
      <c r="S41" s="2332"/>
      <c r="T41" s="2332"/>
      <c r="U41" s="2332"/>
      <c r="V41" s="2332"/>
      <c r="W41" s="2332"/>
      <c r="X41" s="2332"/>
      <c r="Y41" s="2332"/>
      <c r="Z41" s="2702"/>
    </row>
    <row r="42" spans="1:26" ht="36" x14ac:dyDescent="0.3">
      <c r="A42" s="3138" t="s">
        <v>360</v>
      </c>
      <c r="B42" s="3141" t="str">
        <f>TEXT(('M5-ICPI'!G29-'M-TECH-PARAMS'!B7*100)/20,"0,00")&amp;" pp"</f>
        <v>-3,09 pp</v>
      </c>
      <c r="C42" s="3094" t="s">
        <v>361</v>
      </c>
      <c r="D42" s="3094" t="s">
        <v>362</v>
      </c>
      <c r="E42" s="3142" t="s">
        <v>279</v>
      </c>
      <c r="F42" s="3139"/>
      <c r="G42" s="3082"/>
      <c r="H42" s="3080"/>
      <c r="I42" s="3080"/>
      <c r="J42" s="3080"/>
      <c r="K42" s="3080"/>
      <c r="L42" s="3080"/>
      <c r="M42" s="3080"/>
      <c r="N42" s="3080"/>
      <c r="O42" s="2332"/>
      <c r="P42" s="2332"/>
      <c r="Q42" s="2332"/>
      <c r="R42" s="2332"/>
      <c r="S42" s="2332"/>
      <c r="T42" s="2332"/>
      <c r="U42" s="2332"/>
      <c r="V42" s="2332"/>
      <c r="W42" s="2332"/>
      <c r="X42" s="2332"/>
      <c r="Y42" s="2332"/>
      <c r="Z42" s="2702"/>
    </row>
    <row r="43" spans="1:26" ht="22.05" customHeight="1" x14ac:dyDescent="0.3">
      <c r="A43" s="3120" t="s">
        <v>363</v>
      </c>
      <c r="B43" s="3118" t="str">
        <f>TEXT(('M-TECH-PARAMS'!B7-'M5-ICPI'!G26)*100,"0,00")&amp;" pp"</f>
        <v>100,00 pp</v>
      </c>
      <c r="C43" s="3089" t="str">
        <f>"ICM SIGAD oficial ("&amp;TEXT('M-TECH-PARAMS'!B7*100,"0,00")&amp;"%) supera ICPI auditado ("&amp;TEXT('M5-ICPI'!G29,"0,00")&amp;"%) en +"&amp;TEXT('M-TECH-PARAMS'!B7*100-'M5-ICPI'!G29,"0,00")&amp;" pp → Erosión del Compromiso §4.2"</f>
        <v>ICM SIGAD oficial (100,00%) supera ICPI auditado (38,28%) en +61,72 pp → Erosión del Compromiso §4.2</v>
      </c>
      <c r="D43" s="3090" t="s">
        <v>364</v>
      </c>
      <c r="E43" s="2920" t="s">
        <v>279</v>
      </c>
      <c r="F43" s="3121"/>
      <c r="G43" s="2930"/>
      <c r="H43" s="2931"/>
      <c r="I43" s="2931"/>
      <c r="J43" s="2931"/>
      <c r="K43" s="2931"/>
      <c r="L43" s="2931"/>
      <c r="M43" s="2931"/>
      <c r="N43" s="2931"/>
      <c r="O43" s="2332"/>
      <c r="P43" s="2332"/>
      <c r="Q43" s="2332"/>
      <c r="R43" s="2332"/>
      <c r="S43" s="2332"/>
      <c r="T43" s="2332"/>
      <c r="U43" s="2332"/>
      <c r="V43" s="2332"/>
      <c r="W43" s="2332"/>
      <c r="X43" s="2332"/>
      <c r="Y43" s="2332"/>
      <c r="Z43" s="2702"/>
    </row>
    <row r="44" spans="1:26" ht="22.05" customHeight="1" x14ac:dyDescent="0.3">
      <c r="A44" s="3109" t="s">
        <v>365</v>
      </c>
      <c r="B44" s="3122" t="str">
        <f>COUNTIF('M4-AUDIT'!I5:I24,1)&amp;" / 20"</f>
        <v>3 / 20</v>
      </c>
      <c r="C44" s="3085" t="s">
        <v>366</v>
      </c>
      <c r="D44" s="3091" t="s">
        <v>367</v>
      </c>
      <c r="E44" s="2923" t="s">
        <v>279</v>
      </c>
      <c r="F44" s="3067"/>
      <c r="G44" s="2930"/>
      <c r="H44" s="2931"/>
      <c r="I44" s="2931"/>
      <c r="J44" s="2931"/>
      <c r="K44" s="2931"/>
      <c r="L44" s="2931"/>
      <c r="M44" s="2931"/>
      <c r="N44" s="2931"/>
      <c r="O44" s="2332"/>
      <c r="P44" s="2332"/>
      <c r="Q44" s="2332"/>
      <c r="R44" s="2332"/>
      <c r="S44" s="2332"/>
      <c r="T44" s="2332"/>
      <c r="U44" s="2332"/>
      <c r="V44" s="2332"/>
      <c r="W44" s="2332"/>
      <c r="X44" s="2332"/>
      <c r="Y44" s="2332"/>
      <c r="Z44" s="2702"/>
    </row>
    <row r="45" spans="1:26" ht="24" customHeight="1" x14ac:dyDescent="0.3">
      <c r="A45" s="3446" t="s">
        <v>368</v>
      </c>
      <c r="B45" s="3447"/>
      <c r="C45" s="3448"/>
      <c r="D45" s="3448"/>
      <c r="E45" s="3449"/>
      <c r="F45" s="3450"/>
      <c r="G45" s="3451"/>
      <c r="H45" s="3451"/>
      <c r="I45" s="3451"/>
      <c r="J45" s="3451"/>
      <c r="K45" s="3451"/>
      <c r="L45" s="3451"/>
      <c r="M45" s="3451"/>
      <c r="N45" s="3451"/>
      <c r="O45" s="3452"/>
      <c r="P45" s="3452"/>
      <c r="Q45" s="3452"/>
      <c r="R45" s="3452"/>
      <c r="S45" s="3452"/>
      <c r="T45" s="3452"/>
      <c r="U45" s="3452"/>
      <c r="V45" s="3452"/>
      <c r="W45" s="3452"/>
      <c r="X45" s="3452"/>
      <c r="Y45" s="3452"/>
      <c r="Z45" s="3453"/>
    </row>
    <row r="46" spans="1:26" ht="22.05" customHeight="1" x14ac:dyDescent="0.3">
      <c r="A46" s="3109" t="s">
        <v>369</v>
      </c>
      <c r="B46" s="3119">
        <f>'VALID-SENS'!F7</f>
        <v>5.18</v>
      </c>
      <c r="C46" s="3085" t="s">
        <v>370</v>
      </c>
      <c r="D46" s="3091" t="s">
        <v>371</v>
      </c>
      <c r="E46" s="2923" t="s">
        <v>279</v>
      </c>
      <c r="F46" s="3067"/>
      <c r="G46" s="2930"/>
      <c r="H46" s="2931"/>
      <c r="I46" s="2931"/>
      <c r="J46" s="2931"/>
      <c r="K46" s="2931"/>
      <c r="L46" s="2931"/>
      <c r="M46" s="2931"/>
      <c r="N46" s="2931"/>
      <c r="O46" s="2332"/>
      <c r="P46" s="2332"/>
      <c r="Q46" s="2332"/>
      <c r="R46" s="2332"/>
      <c r="S46" s="2332"/>
      <c r="T46" s="2332"/>
      <c r="U46" s="2332"/>
      <c r="V46" s="2332"/>
      <c r="W46" s="2332"/>
      <c r="X46" s="2332"/>
      <c r="Y46" s="2332"/>
      <c r="Z46" s="2702"/>
    </row>
    <row r="47" spans="1:26" ht="22.05" customHeight="1" x14ac:dyDescent="0.3">
      <c r="A47" s="3125" t="s">
        <v>372</v>
      </c>
      <c r="B47" s="3143">
        <f>'VALID-SENS'!E7</f>
        <v>52.2</v>
      </c>
      <c r="C47" s="3092" t="s">
        <v>373</v>
      </c>
      <c r="D47" s="3092" t="s">
        <v>374</v>
      </c>
      <c r="E47" s="3124" t="s">
        <v>279</v>
      </c>
      <c r="F47" s="3121"/>
      <c r="G47" s="2930"/>
      <c r="H47" s="2931"/>
      <c r="I47" s="2931"/>
      <c r="J47" s="2931"/>
      <c r="K47" s="2931"/>
      <c r="L47" s="2931"/>
      <c r="M47" s="2931"/>
      <c r="N47" s="2931"/>
      <c r="O47" s="2332"/>
      <c r="P47" s="2332"/>
      <c r="Q47" s="2332"/>
      <c r="R47" s="2332"/>
      <c r="S47" s="2332"/>
      <c r="T47" s="2332"/>
      <c r="U47" s="2332"/>
      <c r="V47" s="2332"/>
      <c r="W47" s="2332"/>
      <c r="X47" s="2332"/>
      <c r="Y47" s="2332"/>
      <c r="Z47" s="2702"/>
    </row>
    <row r="48" spans="1:26" ht="22.05" customHeight="1" x14ac:dyDescent="0.3">
      <c r="A48" s="3131" t="s">
        <v>375</v>
      </c>
      <c r="B48" s="3119" t="str">
        <f>'VALID-SENS'!C18</f>
        <v>+52,98 pp</v>
      </c>
      <c r="C48" s="3095" t="s">
        <v>376</v>
      </c>
      <c r="D48" s="3086" t="s">
        <v>377</v>
      </c>
      <c r="E48" s="3144" t="s">
        <v>279</v>
      </c>
      <c r="F48" s="3145"/>
      <c r="G48" s="2930"/>
      <c r="H48" s="2931"/>
      <c r="I48" s="2931"/>
      <c r="J48" s="2931"/>
      <c r="K48" s="2931"/>
      <c r="L48" s="2931"/>
      <c r="M48" s="2931"/>
      <c r="N48" s="2931"/>
      <c r="O48" s="2332"/>
      <c r="P48" s="2332"/>
      <c r="Q48" s="2332"/>
      <c r="R48" s="2332"/>
      <c r="S48" s="2332"/>
      <c r="T48" s="2332"/>
      <c r="U48" s="2332"/>
      <c r="V48" s="2332"/>
      <c r="W48" s="2332"/>
      <c r="X48" s="2332"/>
      <c r="Y48" s="2332"/>
      <c r="Z48" s="2702"/>
    </row>
    <row r="49" spans="1:26" ht="22.05" customHeight="1" x14ac:dyDescent="0.3">
      <c r="A49" s="3120" t="s">
        <v>378</v>
      </c>
      <c r="B49" s="3130" t="str">
        <f>'VALID-SENS'!C19</f>
        <v>+9,1 pp</v>
      </c>
      <c r="C49" s="3089" t="s">
        <v>379</v>
      </c>
      <c r="D49" s="3090" t="s">
        <v>380</v>
      </c>
      <c r="E49" s="2920" t="s">
        <v>279</v>
      </c>
      <c r="F49" s="3066"/>
      <c r="G49" s="2930"/>
      <c r="H49" s="2931"/>
      <c r="I49" s="2931"/>
      <c r="J49" s="2931"/>
      <c r="K49" s="2931"/>
      <c r="L49" s="2931"/>
      <c r="M49" s="2931"/>
      <c r="N49" s="2931"/>
      <c r="O49" s="2332"/>
      <c r="P49" s="2332"/>
      <c r="Q49" s="2332"/>
      <c r="R49" s="2332"/>
      <c r="S49" s="2332"/>
      <c r="T49" s="2332"/>
      <c r="U49" s="2332"/>
      <c r="V49" s="2332"/>
      <c r="W49" s="2332"/>
      <c r="X49" s="2332"/>
      <c r="Y49" s="2332"/>
      <c r="Z49" s="2702"/>
    </row>
    <row r="50" spans="1:26" ht="24" customHeight="1" x14ac:dyDescent="0.3">
      <c r="A50" s="3446" t="s">
        <v>381</v>
      </c>
      <c r="B50" s="3447"/>
      <c r="C50" s="3448"/>
      <c r="D50" s="3448"/>
      <c r="E50" s="3449"/>
      <c r="F50" s="3450"/>
      <c r="G50" s="3451"/>
      <c r="H50" s="3451"/>
      <c r="I50" s="3451"/>
      <c r="J50" s="3451"/>
      <c r="K50" s="3451"/>
      <c r="L50" s="3451"/>
      <c r="M50" s="3451"/>
      <c r="N50" s="3451"/>
      <c r="O50" s="3452"/>
      <c r="P50" s="3452"/>
      <c r="Q50" s="3452"/>
      <c r="R50" s="3452"/>
      <c r="S50" s="3452"/>
      <c r="T50" s="3452"/>
      <c r="U50" s="3452"/>
      <c r="V50" s="3452"/>
      <c r="W50" s="3452"/>
      <c r="X50" s="3452"/>
      <c r="Y50" s="3452"/>
      <c r="Z50" s="3453"/>
    </row>
    <row r="51" spans="1:26" ht="22.05" customHeight="1" x14ac:dyDescent="0.3">
      <c r="A51" s="3120" t="s">
        <v>382</v>
      </c>
      <c r="B51" s="3118">
        <f>COUNTA('VALID-VER'!B6:B15)</f>
        <v>10</v>
      </c>
      <c r="C51" s="3089" t="s">
        <v>383</v>
      </c>
      <c r="D51" s="3090" t="s">
        <v>384</v>
      </c>
      <c r="E51" s="2920" t="s">
        <v>307</v>
      </c>
      <c r="F51" s="3066"/>
      <c r="G51" s="2930"/>
      <c r="H51" s="2931"/>
      <c r="I51" s="2931"/>
      <c r="J51" s="2931"/>
      <c r="K51" s="2931"/>
      <c r="L51" s="2931"/>
      <c r="M51" s="2931"/>
      <c r="N51" s="2931"/>
      <c r="O51" s="2332"/>
      <c r="P51" s="2332"/>
      <c r="Q51" s="2332"/>
      <c r="R51" s="2332"/>
      <c r="S51" s="2332"/>
      <c r="T51" s="2332"/>
      <c r="U51" s="2332"/>
      <c r="V51" s="2332"/>
      <c r="W51" s="2332"/>
      <c r="X51" s="2332"/>
      <c r="Y51" s="2332"/>
      <c r="Z51" s="2702"/>
    </row>
    <row r="52" spans="1:26" ht="22.05" customHeight="1" x14ac:dyDescent="0.3">
      <c r="A52" s="3109" t="s">
        <v>385</v>
      </c>
      <c r="B52" s="3122">
        <f>10-B51</f>
        <v>0</v>
      </c>
      <c r="C52" s="3085" t="s">
        <v>383</v>
      </c>
      <c r="D52" s="3091" t="s">
        <v>386</v>
      </c>
      <c r="E52" s="2923"/>
      <c r="F52" s="3067"/>
      <c r="G52" s="2930"/>
      <c r="H52" s="2931"/>
      <c r="I52" s="2931"/>
      <c r="J52" s="2931"/>
      <c r="K52" s="2931"/>
      <c r="L52" s="2931"/>
      <c r="M52" s="2931"/>
      <c r="N52" s="2931"/>
      <c r="O52" s="2332"/>
      <c r="P52" s="2332"/>
      <c r="Q52" s="2332"/>
      <c r="R52" s="2332"/>
      <c r="S52" s="2332"/>
      <c r="T52" s="2332"/>
      <c r="U52" s="2332"/>
      <c r="V52" s="2332"/>
      <c r="W52" s="2332"/>
      <c r="X52" s="2332"/>
      <c r="Y52" s="2332"/>
      <c r="Z52" s="2702"/>
    </row>
    <row r="53" spans="1:26" ht="22.05" customHeight="1" x14ac:dyDescent="0.3">
      <c r="A53" s="3120" t="s">
        <v>387</v>
      </c>
      <c r="B53" s="3146" t="s">
        <v>388</v>
      </c>
      <c r="C53" s="3090" t="s">
        <v>389</v>
      </c>
      <c r="D53" s="3090" t="s">
        <v>390</v>
      </c>
      <c r="E53" s="2920"/>
      <c r="F53" s="3066"/>
      <c r="G53" s="2930"/>
      <c r="H53" s="2931"/>
      <c r="I53" s="2931"/>
      <c r="J53" s="2931"/>
      <c r="K53" s="2931"/>
      <c r="L53" s="2931"/>
      <c r="M53" s="2931"/>
      <c r="N53" s="2931"/>
      <c r="O53" s="2332"/>
      <c r="P53" s="2332"/>
      <c r="Q53" s="2332"/>
      <c r="R53" s="2332"/>
      <c r="S53" s="2332"/>
      <c r="T53" s="2332"/>
      <c r="U53" s="2332"/>
      <c r="V53" s="2332"/>
      <c r="W53" s="2332"/>
      <c r="X53" s="2332"/>
      <c r="Y53" s="2332"/>
      <c r="Z53" s="2702"/>
    </row>
    <row r="54" spans="1:26" ht="24" customHeight="1" x14ac:dyDescent="0.3">
      <c r="A54" s="3493" t="s">
        <v>391</v>
      </c>
      <c r="B54" s="3494"/>
      <c r="C54" s="3495"/>
      <c r="D54" s="3495"/>
      <c r="E54" s="3496"/>
      <c r="F54" s="3497"/>
      <c r="G54" s="3498"/>
      <c r="H54" s="3498"/>
      <c r="I54" s="3498"/>
      <c r="J54" s="3498"/>
      <c r="K54" s="3498"/>
      <c r="L54" s="3498"/>
      <c r="M54" s="3498"/>
      <c r="N54" s="3498"/>
      <c r="O54" s="3499"/>
      <c r="P54" s="3499"/>
      <c r="Q54" s="3499"/>
      <c r="R54" s="3499"/>
      <c r="S54" s="3499"/>
      <c r="T54" s="3499"/>
      <c r="U54" s="3499"/>
      <c r="V54" s="3499"/>
      <c r="W54" s="3499"/>
      <c r="X54" s="3499"/>
      <c r="Y54" s="3499"/>
      <c r="Z54" s="3500"/>
    </row>
    <row r="55" spans="1:26" ht="24" customHeight="1" x14ac:dyDescent="0.3">
      <c r="A55" s="3149" t="s">
        <v>392</v>
      </c>
      <c r="B55" s="3147" t="s">
        <v>393</v>
      </c>
      <c r="C55" s="3516" t="s">
        <v>394</v>
      </c>
      <c r="D55" s="3517"/>
      <c r="E55" s="3518"/>
      <c r="F55" s="3519"/>
      <c r="G55" s="3083"/>
      <c r="H55" s="3081"/>
      <c r="I55" s="3081"/>
      <c r="J55" s="3081"/>
      <c r="K55" s="3081"/>
      <c r="L55" s="3081"/>
      <c r="M55" s="3081"/>
      <c r="N55" s="3081"/>
      <c r="O55" s="2332"/>
      <c r="P55" s="2332"/>
      <c r="Q55" s="2332"/>
      <c r="R55" s="2332"/>
      <c r="S55" s="2332"/>
      <c r="T55" s="2332"/>
      <c r="U55" s="2332"/>
      <c r="V55" s="2332"/>
      <c r="W55" s="2332"/>
      <c r="X55" s="2332"/>
      <c r="Y55" s="2332"/>
      <c r="Z55" s="2702"/>
    </row>
    <row r="56" spans="1:26" ht="24" customHeight="1" x14ac:dyDescent="0.3">
      <c r="A56" s="3149" t="s">
        <v>395</v>
      </c>
      <c r="B56" s="3148" t="str">
        <f>IF(ABS(('M5-ICPI'!G26-1)*100)&lt;=10,"✅ CONGRUENTE","❌ FUERA DEL RANGO UCM")</f>
        <v>❌ FUERA DEL RANGO UCM</v>
      </c>
      <c r="C56" s="3516" t="s">
        <v>396</v>
      </c>
      <c r="D56" s="3517"/>
      <c r="E56" s="3518"/>
      <c r="F56" s="3519"/>
      <c r="G56" s="3083"/>
      <c r="H56" s="3081"/>
      <c r="I56" s="3081"/>
      <c r="J56" s="3081"/>
      <c r="K56" s="3081"/>
      <c r="L56" s="3081"/>
      <c r="M56" s="3081"/>
      <c r="N56" s="3081"/>
      <c r="O56" s="2332"/>
      <c r="P56" s="2332"/>
      <c r="Q56" s="2332"/>
      <c r="R56" s="2332"/>
      <c r="S56" s="2332"/>
      <c r="T56" s="2332"/>
      <c r="U56" s="2332"/>
      <c r="V56" s="2332"/>
      <c r="W56" s="2332"/>
      <c r="X56" s="2332"/>
      <c r="Y56" s="2332"/>
      <c r="Z56" s="2702"/>
    </row>
    <row r="57" spans="1:26" ht="24" customHeight="1" x14ac:dyDescent="0.3">
      <c r="A57" s="3151" t="s">
        <v>397</v>
      </c>
      <c r="B57" s="3148" t="s">
        <v>398</v>
      </c>
      <c r="C57" s="3097"/>
      <c r="D57" s="3097"/>
      <c r="E57" s="3150"/>
      <c r="F57" s="3152"/>
      <c r="G57" s="3083"/>
      <c r="H57" s="3081"/>
      <c r="I57" s="3081"/>
      <c r="J57" s="3081"/>
      <c r="K57" s="3081"/>
      <c r="L57" s="3081"/>
      <c r="M57" s="3081"/>
      <c r="N57" s="3081"/>
      <c r="O57" s="2332"/>
      <c r="P57" s="2332"/>
      <c r="Q57" s="2332"/>
      <c r="R57" s="2332"/>
      <c r="S57" s="2332"/>
      <c r="T57" s="2332"/>
      <c r="U57" s="2332"/>
      <c r="V57" s="2332"/>
      <c r="W57" s="2332"/>
      <c r="X57" s="2332"/>
      <c r="Y57" s="2332"/>
      <c r="Z57" s="2702"/>
    </row>
    <row r="58" spans="1:26" ht="24" customHeight="1" x14ac:dyDescent="0.3">
      <c r="A58" s="3501" t="s">
        <v>399</v>
      </c>
      <c r="B58" s="3502"/>
      <c r="C58" s="3503"/>
      <c r="D58" s="3503"/>
      <c r="E58" s="3504"/>
      <c r="F58" s="3505"/>
      <c r="G58" s="3506"/>
      <c r="H58" s="3506"/>
      <c r="I58" s="3506"/>
      <c r="J58" s="3506"/>
      <c r="K58" s="3506"/>
      <c r="L58" s="3506"/>
      <c r="M58" s="3506"/>
      <c r="N58" s="3506"/>
      <c r="O58" s="3507"/>
      <c r="P58" s="3507"/>
      <c r="Q58" s="3507"/>
      <c r="R58" s="3507"/>
      <c r="S58" s="3507"/>
      <c r="T58" s="3507"/>
      <c r="U58" s="3507"/>
      <c r="V58" s="3507"/>
      <c r="W58" s="3507"/>
      <c r="X58" s="3507"/>
      <c r="Y58" s="3507"/>
      <c r="Z58" s="3508"/>
    </row>
    <row r="59" spans="1:26" ht="22.05" customHeight="1" x14ac:dyDescent="0.3">
      <c r="A59" s="3509" t="s">
        <v>400</v>
      </c>
      <c r="B59" s="3510"/>
      <c r="C59" s="3511"/>
      <c r="D59" s="3511"/>
      <c r="E59" s="3512"/>
      <c r="F59" s="3513"/>
      <c r="G59" s="3514"/>
      <c r="H59" s="3514"/>
      <c r="I59" s="3514"/>
      <c r="J59" s="3514"/>
      <c r="K59" s="3514"/>
      <c r="L59" s="3514"/>
      <c r="M59" s="3514"/>
      <c r="N59" s="3514"/>
      <c r="O59" s="3507"/>
      <c r="P59" s="3507"/>
      <c r="Q59" s="3507"/>
      <c r="R59" s="3507"/>
      <c r="S59" s="3507"/>
      <c r="T59" s="3507"/>
      <c r="U59" s="3507"/>
      <c r="V59" s="3507"/>
      <c r="W59" s="3507"/>
      <c r="X59" s="3507"/>
      <c r="Y59" s="3507"/>
      <c r="Z59" s="3508"/>
    </row>
    <row r="60" spans="1:26" ht="22.05" customHeight="1" x14ac:dyDescent="0.3">
      <c r="A60" s="3156" t="s">
        <v>403</v>
      </c>
      <c r="B60" s="3153">
        <v>0.96</v>
      </c>
      <c r="C60" s="3098" t="s">
        <v>404</v>
      </c>
      <c r="D60" s="3098" t="s">
        <v>405</v>
      </c>
      <c r="E60" s="3154" t="s">
        <v>406</v>
      </c>
      <c r="F60" s="3158" t="s">
        <v>407</v>
      </c>
      <c r="G60" s="2622"/>
      <c r="H60" s="2058"/>
      <c r="I60" s="2058"/>
      <c r="J60" s="2058"/>
      <c r="K60" s="2058"/>
      <c r="L60" s="2058"/>
      <c r="M60" s="2058"/>
      <c r="N60" s="2058"/>
      <c r="O60" s="2332"/>
      <c r="P60" s="2332"/>
      <c r="Q60" s="2332"/>
      <c r="R60" s="2332"/>
      <c r="S60" s="2332"/>
      <c r="T60" s="2332"/>
      <c r="U60" s="2332"/>
      <c r="V60" s="2332"/>
      <c r="W60" s="2332"/>
      <c r="X60" s="2332"/>
      <c r="Y60" s="2332"/>
      <c r="Z60" s="2702"/>
    </row>
    <row r="61" spans="1:26" ht="22.05" customHeight="1" x14ac:dyDescent="0.3">
      <c r="A61" s="3160" t="s">
        <v>408</v>
      </c>
      <c r="B61" s="3155">
        <v>0.85</v>
      </c>
      <c r="C61" s="3099" t="s">
        <v>409</v>
      </c>
      <c r="D61" s="3099" t="s">
        <v>410</v>
      </c>
      <c r="E61" s="3157" t="s">
        <v>411</v>
      </c>
      <c r="F61" s="3162" t="s">
        <v>407</v>
      </c>
      <c r="G61" s="2622"/>
      <c r="H61" s="2058"/>
      <c r="I61" s="2058"/>
      <c r="J61" s="2058"/>
      <c r="K61" s="2058"/>
      <c r="L61" s="2058"/>
      <c r="M61" s="2058"/>
      <c r="N61" s="2058"/>
      <c r="O61" s="2332"/>
      <c r="P61" s="2332"/>
      <c r="Q61" s="2332"/>
      <c r="R61" s="2332"/>
      <c r="S61" s="2332"/>
      <c r="T61" s="2332"/>
      <c r="U61" s="2332"/>
      <c r="V61" s="2332"/>
      <c r="W61" s="2332"/>
      <c r="X61" s="2332"/>
      <c r="Y61" s="2332"/>
      <c r="Z61" s="2702"/>
    </row>
    <row r="62" spans="1:26" ht="22.05" customHeight="1" x14ac:dyDescent="0.3">
      <c r="A62" s="3164" t="s">
        <v>412</v>
      </c>
      <c r="B62" s="3159">
        <v>0.7</v>
      </c>
      <c r="C62" s="3100" t="s">
        <v>413</v>
      </c>
      <c r="D62" s="3100" t="s">
        <v>414</v>
      </c>
      <c r="E62" s="3161" t="s">
        <v>415</v>
      </c>
      <c r="F62" s="3166" t="s">
        <v>407</v>
      </c>
      <c r="G62" s="2622"/>
      <c r="H62" s="2058"/>
      <c r="I62" s="2058"/>
      <c r="J62" s="2058"/>
      <c r="K62" s="2058"/>
      <c r="L62" s="2058"/>
      <c r="M62" s="2058"/>
      <c r="N62" s="2058"/>
      <c r="O62" s="2332"/>
      <c r="P62" s="2332"/>
      <c r="Q62" s="2332"/>
      <c r="R62" s="2332"/>
      <c r="S62" s="2332"/>
      <c r="T62" s="2332"/>
      <c r="U62" s="2332"/>
      <c r="V62" s="2332"/>
      <c r="W62" s="2332"/>
      <c r="X62" s="2332"/>
      <c r="Y62" s="2332"/>
      <c r="Z62" s="2702"/>
    </row>
    <row r="63" spans="1:26" ht="22.05" customHeight="1" x14ac:dyDescent="0.3">
      <c r="A63" s="3168" t="s">
        <v>416</v>
      </c>
      <c r="B63" s="3163">
        <v>0.6</v>
      </c>
      <c r="C63" s="3101" t="s">
        <v>417</v>
      </c>
      <c r="D63" s="3101" t="s">
        <v>418</v>
      </c>
      <c r="E63" s="3165" t="s">
        <v>411</v>
      </c>
      <c r="F63" s="3170" t="s">
        <v>407</v>
      </c>
      <c r="G63" s="2622"/>
      <c r="H63" s="2058"/>
      <c r="I63" s="2058"/>
      <c r="J63" s="2058"/>
      <c r="K63" s="2058"/>
      <c r="L63" s="2058"/>
      <c r="M63" s="2058"/>
      <c r="N63" s="2058"/>
      <c r="O63" s="2332"/>
      <c r="P63" s="2332"/>
      <c r="Q63" s="2332"/>
      <c r="R63" s="2332"/>
      <c r="S63" s="2332"/>
      <c r="T63" s="2332"/>
      <c r="U63" s="2332"/>
      <c r="V63" s="2332"/>
      <c r="W63" s="2332"/>
      <c r="X63" s="2332"/>
      <c r="Y63" s="2332"/>
      <c r="Z63" s="2702"/>
    </row>
    <row r="64" spans="1:26" ht="22.05" customHeight="1" x14ac:dyDescent="0.3">
      <c r="A64" s="3171" t="s">
        <v>419</v>
      </c>
      <c r="B64" s="3167">
        <v>0</v>
      </c>
      <c r="C64" s="3102" t="s">
        <v>420</v>
      </c>
      <c r="D64" s="3102" t="s">
        <v>421</v>
      </c>
      <c r="E64" s="3169" t="s">
        <v>218</v>
      </c>
      <c r="F64" s="3172" t="s">
        <v>407</v>
      </c>
      <c r="G64" s="2622"/>
      <c r="H64" s="2058"/>
      <c r="I64" s="2058"/>
      <c r="J64" s="2058"/>
      <c r="K64" s="2058"/>
      <c r="L64" s="2058"/>
      <c r="M64" s="2058"/>
      <c r="N64" s="2058"/>
      <c r="O64" s="2332"/>
      <c r="P64" s="2332"/>
      <c r="Q64" s="2332"/>
      <c r="R64" s="2332"/>
      <c r="S64" s="2332"/>
      <c r="T64" s="2332"/>
      <c r="U64" s="2332"/>
      <c r="V64" s="2332"/>
      <c r="W64" s="2332"/>
      <c r="X64" s="2332"/>
      <c r="Y64" s="2332"/>
      <c r="Z64" s="2702"/>
    </row>
    <row r="65" spans="1:26" ht="36" customHeight="1" x14ac:dyDescent="0.3">
      <c r="A65" s="3485" t="s">
        <v>422</v>
      </c>
      <c r="B65" s="3486"/>
      <c r="C65" s="3487"/>
      <c r="D65" s="3487"/>
      <c r="E65" s="3488"/>
      <c r="F65" s="3489"/>
      <c r="G65" s="3490"/>
      <c r="H65" s="3490"/>
      <c r="I65" s="3490"/>
      <c r="J65" s="3490"/>
      <c r="K65" s="3490"/>
      <c r="L65" s="3490"/>
      <c r="M65" s="3490"/>
      <c r="N65" s="3490"/>
      <c r="O65" s="3491"/>
      <c r="P65" s="3491"/>
      <c r="Q65" s="3491"/>
      <c r="R65" s="3491"/>
      <c r="S65" s="3491"/>
      <c r="T65" s="3491"/>
      <c r="U65" s="3491"/>
      <c r="V65" s="3491"/>
      <c r="W65" s="3491"/>
      <c r="X65" s="3491"/>
      <c r="Y65" s="3491"/>
      <c r="Z65" s="3492"/>
    </row>
  </sheetData>
  <mergeCells count="17">
    <mergeCell ref="A1:Z1"/>
    <mergeCell ref="C55:F55"/>
    <mergeCell ref="C56:F56"/>
    <mergeCell ref="A4:Z4"/>
    <mergeCell ref="A65:Z65"/>
    <mergeCell ref="A3:Z3"/>
    <mergeCell ref="A5:Z5"/>
    <mergeCell ref="A10:Z10"/>
    <mergeCell ref="A18:Z18"/>
    <mergeCell ref="A25:Z25"/>
    <mergeCell ref="A33:Z33"/>
    <mergeCell ref="A40:Z40"/>
    <mergeCell ref="A45:Z45"/>
    <mergeCell ref="A50:Z50"/>
    <mergeCell ref="A54:Z54"/>
    <mergeCell ref="A58:Z58"/>
    <mergeCell ref="A59:Z59"/>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6E0B4"/>
  </sheetPr>
  <dimension ref="A1:Z64"/>
  <sheetViews>
    <sheetView showGridLines="0" zoomScale="24" zoomScaleNormal="24" workbookViewId="0">
      <pane xSplit="8" ySplit="27" topLeftCell="M28" activePane="bottomRight" state="frozen"/>
      <selection pane="topRight" activeCell="I1" sqref="I1"/>
      <selection pane="bottomLeft" activeCell="A28" sqref="A28"/>
      <selection pane="bottomRight" sqref="A1:Z1"/>
    </sheetView>
  </sheetViews>
  <sheetFormatPr baseColWidth="10" defaultRowHeight="14.4" x14ac:dyDescent="0.3"/>
  <cols>
    <col min="1" max="1" width="5.21875" customWidth="1"/>
    <col min="2" max="2" width="27.77734375" customWidth="1"/>
    <col min="3" max="3" width="16.6640625" customWidth="1"/>
    <col min="4" max="4" width="13" customWidth="1"/>
    <col min="5" max="5" width="22.21875" customWidth="1"/>
    <col min="6" max="6" width="25.88671875" customWidth="1"/>
    <col min="7" max="7" width="37" customWidth="1"/>
    <col min="8" max="8" width="29.6640625" customWidth="1"/>
    <col min="9" max="9" width="24.109375" customWidth="1"/>
    <col min="10" max="10" width="14.77734375" customWidth="1"/>
    <col min="11" max="11" width="13" customWidth="1"/>
    <col min="12" max="12" width="18.5546875" customWidth="1"/>
    <col min="13" max="13" width="13" customWidth="1"/>
    <col min="14" max="14" width="32.44140625" customWidth="1"/>
    <col min="15" max="26" width="3.6640625" customWidth="1"/>
  </cols>
  <sheetData>
    <row r="1" spans="1:26" ht="30" customHeight="1" x14ac:dyDescent="0.3">
      <c r="A1" s="3528" t="s">
        <v>4812</v>
      </c>
      <c r="B1" s="3479"/>
      <c r="C1" s="3479"/>
      <c r="D1" s="3479"/>
      <c r="E1" s="3479"/>
      <c r="F1" s="3479"/>
      <c r="G1" s="3479"/>
      <c r="H1" s="3479"/>
      <c r="I1" s="3479"/>
      <c r="J1" s="3479"/>
      <c r="K1" s="3479"/>
      <c r="L1" s="3479"/>
      <c r="M1" s="3479"/>
      <c r="N1" s="3529"/>
      <c r="O1" s="3530"/>
      <c r="P1" s="3530"/>
      <c r="Q1" s="3530"/>
      <c r="R1" s="3530"/>
      <c r="S1" s="3530"/>
      <c r="T1" s="3530"/>
      <c r="U1" s="3530"/>
      <c r="V1" s="3530"/>
      <c r="W1" s="3530"/>
      <c r="X1" s="3530"/>
      <c r="Y1" s="3530"/>
      <c r="Z1" s="3530"/>
    </row>
    <row r="2" spans="1:26" ht="24" customHeight="1" x14ac:dyDescent="0.3">
      <c r="A2" s="2717" t="str">
        <f>HYPERLINK("#'M-INDEX'!A1","⌂ INDICE")</f>
        <v>⌂ INDICE</v>
      </c>
      <c r="B2" s="3045" t="str">
        <f>HYPERLINK("#'M1-ITME'!A1","◉ M1")</f>
        <v>◉ M1</v>
      </c>
      <c r="C2" s="2718" t="str">
        <f>HYPERLINK("#'M2-PDOT'!A1","M2")</f>
        <v>M2</v>
      </c>
      <c r="D2" s="2718" t="str">
        <f>HYPERLINK("#'M3-MAO'!A1","M3")</f>
        <v>M3</v>
      </c>
      <c r="E2" s="2718" t="str">
        <f>HYPERLINK("#'M4-AUDIT'!A1","M4")</f>
        <v>M4</v>
      </c>
      <c r="F2" s="2718" t="str">
        <f>HYPERLINK("#'M5-ICPI'!A1","M5")</f>
        <v>M5</v>
      </c>
      <c r="G2" s="2718" t="str">
        <f>HYPERLINK("#'M6-FEDS'!A1","M6")</f>
        <v>M6</v>
      </c>
      <c r="H2" s="2718" t="str">
        <f>HYPERLINK("#'M7-PROSP'!A1","M7")</f>
        <v>M7</v>
      </c>
      <c r="I2" s="2718" t="str">
        <f>HYPERLINK("#'DATA-POA'!A1","DATA-POA")</f>
        <v>DATA-POA</v>
      </c>
      <c r="J2" s="2718" t="str">
        <f>HYPERLINK("#'DATA-CNE'!A1","DATA-CNE")</f>
        <v>DATA-CNE</v>
      </c>
      <c r="K2" s="2718" t="str">
        <f>HYPERLINK("#'DATA-ORG'!A1","DATA-ORG")</f>
        <v>DATA-ORG</v>
      </c>
      <c r="L2" s="2718" t="str">
        <f>HYPERLINK("#'DATA-RESULTADOS'!A1","RESULT")</f>
        <v>RESULT</v>
      </c>
      <c r="M2" s="2718" t="str">
        <f>HYPERLINK("#'M-DASHBOARD'!A1","DASH")</f>
        <v>DASH</v>
      </c>
      <c r="N2" s="3046"/>
      <c r="O2" s="3068"/>
      <c r="P2" s="3068"/>
      <c r="Q2" s="3068"/>
      <c r="R2" s="3068"/>
      <c r="S2" s="3068"/>
      <c r="T2" s="3068"/>
      <c r="U2" s="3068"/>
      <c r="V2" s="3068"/>
      <c r="W2" s="3068"/>
      <c r="X2" s="3068"/>
      <c r="Y2" s="3068"/>
      <c r="Z2" s="3068"/>
    </row>
    <row r="3" spans="1:26" ht="18" customHeight="1" thickBot="1" x14ac:dyDescent="0.35">
      <c r="A3" s="3531" t="s">
        <v>690</v>
      </c>
      <c r="B3" s="3464"/>
      <c r="C3" s="3464"/>
      <c r="D3" s="3464"/>
      <c r="E3" s="3464"/>
      <c r="F3" s="3464"/>
      <c r="G3" s="3464"/>
      <c r="H3" s="3464"/>
      <c r="I3" s="3464"/>
      <c r="J3" s="3464"/>
      <c r="K3" s="3464"/>
      <c r="L3" s="3464"/>
      <c r="M3" s="3464"/>
      <c r="N3" s="3532"/>
      <c r="O3" s="3069"/>
      <c r="P3" s="3069"/>
      <c r="Q3" s="3069"/>
      <c r="R3" s="3069"/>
      <c r="S3" s="3069"/>
      <c r="T3" s="3069"/>
      <c r="U3" s="3069"/>
      <c r="V3" s="3069"/>
      <c r="W3" s="3069"/>
      <c r="X3" s="3069"/>
      <c r="Y3" s="3069"/>
      <c r="Z3" s="3069"/>
    </row>
    <row r="4" spans="1:26" ht="36" customHeight="1" thickTop="1" x14ac:dyDescent="0.3">
      <c r="A4" s="1780" t="s">
        <v>423</v>
      </c>
      <c r="B4" s="1781" t="s">
        <v>424</v>
      </c>
      <c r="C4" s="1781" t="s">
        <v>425</v>
      </c>
      <c r="D4" s="1781" t="s">
        <v>28</v>
      </c>
      <c r="E4" s="1781" t="s">
        <v>426</v>
      </c>
      <c r="F4" s="1781" t="s">
        <v>427</v>
      </c>
      <c r="G4" s="1781" t="s">
        <v>428</v>
      </c>
      <c r="H4" s="1781" t="s">
        <v>429</v>
      </c>
      <c r="I4" s="1781" t="s">
        <v>430</v>
      </c>
      <c r="J4" s="1781" t="s">
        <v>431</v>
      </c>
      <c r="K4" s="1781" t="s">
        <v>432</v>
      </c>
      <c r="L4" s="1781" t="s">
        <v>433</v>
      </c>
      <c r="M4" s="1781" t="s">
        <v>434</v>
      </c>
      <c r="N4" s="1782" t="s">
        <v>435</v>
      </c>
      <c r="O4" s="3070"/>
      <c r="P4" s="3071"/>
      <c r="Q4" s="3071"/>
      <c r="R4" s="3071"/>
      <c r="S4" s="3071"/>
      <c r="T4" s="3071"/>
      <c r="U4" s="3071"/>
      <c r="V4" s="3071"/>
      <c r="W4" s="3071"/>
      <c r="X4" s="3071"/>
      <c r="Y4" s="3071"/>
      <c r="Z4" s="3072"/>
    </row>
    <row r="5" spans="1:26" s="81" customFormat="1" ht="22.05" customHeight="1" x14ac:dyDescent="0.3">
      <c r="A5" s="2783">
        <v>1</v>
      </c>
      <c r="B5" s="2784" t="s">
        <v>436</v>
      </c>
      <c r="C5" s="1823" t="s">
        <v>437</v>
      </c>
      <c r="D5" s="1823" t="s">
        <v>25</v>
      </c>
      <c r="E5" s="1823" t="s">
        <v>438</v>
      </c>
      <c r="F5" s="1823" t="s">
        <v>439</v>
      </c>
      <c r="G5" s="2784" t="s">
        <v>440</v>
      </c>
      <c r="H5" s="2784" t="s">
        <v>441</v>
      </c>
      <c r="I5" s="2784" t="s">
        <v>442</v>
      </c>
      <c r="J5" s="2947">
        <v>709999.54</v>
      </c>
      <c r="K5" s="1823" t="s">
        <v>443</v>
      </c>
      <c r="L5" s="1823" t="s">
        <v>103</v>
      </c>
      <c r="M5" s="1823" t="s">
        <v>444</v>
      </c>
      <c r="N5" s="3047" t="s">
        <v>445</v>
      </c>
      <c r="O5" s="2928"/>
      <c r="P5" s="2929"/>
      <c r="Q5" s="2929"/>
      <c r="R5" s="2929"/>
      <c r="S5" s="2929"/>
      <c r="T5" s="2929"/>
      <c r="U5" s="2929"/>
      <c r="V5" s="2929"/>
      <c r="W5" s="2929"/>
      <c r="X5" s="2929"/>
      <c r="Y5" s="2929"/>
      <c r="Z5" s="3073"/>
    </row>
    <row r="6" spans="1:26" ht="22.05" customHeight="1" x14ac:dyDescent="0.3">
      <c r="A6" s="2786">
        <v>2</v>
      </c>
      <c r="B6" s="2787" t="s">
        <v>446</v>
      </c>
      <c r="C6" s="2788" t="s">
        <v>437</v>
      </c>
      <c r="D6" s="2788" t="s">
        <v>25</v>
      </c>
      <c r="E6" s="2788" t="s">
        <v>438</v>
      </c>
      <c r="F6" s="2788" t="s">
        <v>447</v>
      </c>
      <c r="G6" s="2787" t="s">
        <v>448</v>
      </c>
      <c r="H6" s="2787" t="s">
        <v>449</v>
      </c>
      <c r="I6" s="2787" t="s">
        <v>442</v>
      </c>
      <c r="J6" s="2949">
        <v>25000</v>
      </c>
      <c r="K6" s="2788" t="s">
        <v>443</v>
      </c>
      <c r="L6" s="2788" t="s">
        <v>103</v>
      </c>
      <c r="M6" s="2788" t="s">
        <v>450</v>
      </c>
      <c r="N6" s="3048" t="s">
        <v>451</v>
      </c>
      <c r="O6" s="3074"/>
      <c r="P6" s="3075"/>
      <c r="Q6" s="3075"/>
      <c r="R6" s="3075"/>
      <c r="S6" s="3075"/>
      <c r="T6" s="3075"/>
      <c r="U6" s="3075"/>
      <c r="V6" s="3075"/>
      <c r="W6" s="3075"/>
      <c r="X6" s="3075"/>
      <c r="Y6" s="3075"/>
      <c r="Z6" s="3076"/>
    </row>
    <row r="7" spans="1:26" ht="22.05" customHeight="1" x14ac:dyDescent="0.3">
      <c r="A7" s="2783">
        <v>3</v>
      </c>
      <c r="B7" s="2784" t="s">
        <v>452</v>
      </c>
      <c r="C7" s="1823" t="s">
        <v>437</v>
      </c>
      <c r="D7" s="1823" t="s">
        <v>25</v>
      </c>
      <c r="E7" s="1823" t="s">
        <v>453</v>
      </c>
      <c r="F7" s="1823" t="s">
        <v>454</v>
      </c>
      <c r="G7" s="2784" t="s">
        <v>455</v>
      </c>
      <c r="H7" s="2784" t="s">
        <v>456</v>
      </c>
      <c r="I7" s="2784" t="s">
        <v>442</v>
      </c>
      <c r="J7" s="2947">
        <v>75000</v>
      </c>
      <c r="K7" s="1823" t="s">
        <v>457</v>
      </c>
      <c r="L7" s="1823" t="s">
        <v>458</v>
      </c>
      <c r="M7" s="1823" t="s">
        <v>450</v>
      </c>
      <c r="N7" s="3047" t="s">
        <v>459</v>
      </c>
      <c r="O7" s="3074"/>
      <c r="P7" s="3075"/>
      <c r="Q7" s="3075"/>
      <c r="R7" s="3075"/>
      <c r="S7" s="3075"/>
      <c r="T7" s="3075"/>
      <c r="U7" s="3075"/>
      <c r="V7" s="3075"/>
      <c r="W7" s="3075"/>
      <c r="X7" s="3075"/>
      <c r="Y7" s="3075"/>
      <c r="Z7" s="3076"/>
    </row>
    <row r="8" spans="1:26" ht="22.05" customHeight="1" x14ac:dyDescent="0.3">
      <c r="A8" s="2786">
        <v>4</v>
      </c>
      <c r="B8" s="2787" t="s">
        <v>460</v>
      </c>
      <c r="C8" s="2788" t="s">
        <v>437</v>
      </c>
      <c r="D8" s="2788" t="s">
        <v>25</v>
      </c>
      <c r="E8" s="2788" t="s">
        <v>461</v>
      </c>
      <c r="F8" s="2788" t="s">
        <v>462</v>
      </c>
      <c r="G8" s="2787" t="s">
        <v>463</v>
      </c>
      <c r="H8" s="2787" t="s">
        <v>464</v>
      </c>
      <c r="I8" s="2787" t="s">
        <v>465</v>
      </c>
      <c r="J8" s="2949">
        <v>137136.64000000001</v>
      </c>
      <c r="K8" s="2788" t="s">
        <v>457</v>
      </c>
      <c r="L8" s="2788" t="s">
        <v>466</v>
      </c>
      <c r="M8" s="2788" t="s">
        <v>444</v>
      </c>
      <c r="N8" s="3048" t="s">
        <v>467</v>
      </c>
      <c r="O8" s="3074"/>
      <c r="P8" s="3075"/>
      <c r="Q8" s="3075"/>
      <c r="R8" s="3075"/>
      <c r="S8" s="3075"/>
      <c r="T8" s="3075"/>
      <c r="U8" s="3075"/>
      <c r="V8" s="3075"/>
      <c r="W8" s="3075"/>
      <c r="X8" s="3075"/>
      <c r="Y8" s="3075"/>
      <c r="Z8" s="3076"/>
    </row>
    <row r="9" spans="1:26" ht="22.05" customHeight="1" x14ac:dyDescent="0.3">
      <c r="A9" s="2783">
        <v>5</v>
      </c>
      <c r="B9" s="2784" t="s">
        <v>468</v>
      </c>
      <c r="C9" s="1823" t="s">
        <v>437</v>
      </c>
      <c r="D9" s="1823" t="s">
        <v>25</v>
      </c>
      <c r="E9" s="1823" t="s">
        <v>469</v>
      </c>
      <c r="F9" s="1823" t="s">
        <v>470</v>
      </c>
      <c r="G9" s="2784" t="s">
        <v>471</v>
      </c>
      <c r="H9" s="2784" t="s">
        <v>472</v>
      </c>
      <c r="I9" s="2784" t="s">
        <v>473</v>
      </c>
      <c r="J9" s="2947">
        <v>950000</v>
      </c>
      <c r="K9" s="1823" t="s">
        <v>443</v>
      </c>
      <c r="L9" s="1823" t="s">
        <v>103</v>
      </c>
      <c r="M9" s="1823" t="s">
        <v>444</v>
      </c>
      <c r="N9" s="3047" t="s">
        <v>474</v>
      </c>
      <c r="O9" s="3074"/>
      <c r="P9" s="3075"/>
      <c r="Q9" s="3075"/>
      <c r="R9" s="3075"/>
      <c r="S9" s="3075"/>
      <c r="T9" s="3075"/>
      <c r="U9" s="3075"/>
      <c r="V9" s="3075"/>
      <c r="W9" s="3075"/>
      <c r="X9" s="3075"/>
      <c r="Y9" s="3075"/>
      <c r="Z9" s="3076"/>
    </row>
    <row r="10" spans="1:26" ht="22.05" customHeight="1" x14ac:dyDescent="0.3">
      <c r="A10" s="2786">
        <v>6</v>
      </c>
      <c r="B10" s="2787" t="s">
        <v>475</v>
      </c>
      <c r="C10" s="2788" t="s">
        <v>437</v>
      </c>
      <c r="D10" s="2788" t="s">
        <v>25</v>
      </c>
      <c r="E10" s="2788" t="s">
        <v>476</v>
      </c>
      <c r="F10" s="2788" t="s">
        <v>477</v>
      </c>
      <c r="G10" s="2787" t="s">
        <v>478</v>
      </c>
      <c r="H10" s="2787" t="s">
        <v>479</v>
      </c>
      <c r="I10" s="2787" t="s">
        <v>480</v>
      </c>
      <c r="J10" s="2949">
        <v>5001962.76</v>
      </c>
      <c r="K10" s="2788" t="s">
        <v>443</v>
      </c>
      <c r="L10" s="2788" t="s">
        <v>103</v>
      </c>
      <c r="M10" s="2788" t="s">
        <v>450</v>
      </c>
      <c r="N10" s="3048" t="s">
        <v>481</v>
      </c>
      <c r="O10" s="3074"/>
      <c r="P10" s="3075"/>
      <c r="Q10" s="3075"/>
      <c r="R10" s="3075"/>
      <c r="S10" s="3075"/>
      <c r="T10" s="3075"/>
      <c r="U10" s="3075"/>
      <c r="V10" s="3075"/>
      <c r="W10" s="3075"/>
      <c r="X10" s="3075"/>
      <c r="Y10" s="3075"/>
      <c r="Z10" s="3076"/>
    </row>
    <row r="11" spans="1:26" ht="22.05" customHeight="1" x14ac:dyDescent="0.3">
      <c r="A11" s="2783">
        <v>7</v>
      </c>
      <c r="B11" s="2784" t="s">
        <v>482</v>
      </c>
      <c r="C11" s="1823" t="s">
        <v>437</v>
      </c>
      <c r="D11" s="1823" t="s">
        <v>25</v>
      </c>
      <c r="E11" s="1823" t="s">
        <v>476</v>
      </c>
      <c r="F11" s="1823" t="s">
        <v>483</v>
      </c>
      <c r="G11" s="2784" t="s">
        <v>484</v>
      </c>
      <c r="H11" s="2784" t="s">
        <v>485</v>
      </c>
      <c r="I11" s="2784" t="s">
        <v>480</v>
      </c>
      <c r="J11" s="2947">
        <v>748782.57</v>
      </c>
      <c r="K11" s="1823" t="s">
        <v>457</v>
      </c>
      <c r="L11" s="1823" t="s">
        <v>486</v>
      </c>
      <c r="M11" s="1823" t="s">
        <v>444</v>
      </c>
      <c r="N11" s="3047" t="s">
        <v>487</v>
      </c>
      <c r="O11" s="3074"/>
      <c r="P11" s="3075"/>
      <c r="Q11" s="3075"/>
      <c r="R11" s="3075"/>
      <c r="S11" s="3075"/>
      <c r="T11" s="3075"/>
      <c r="U11" s="3075"/>
      <c r="V11" s="3075"/>
      <c r="W11" s="3075"/>
      <c r="X11" s="3075"/>
      <c r="Y11" s="3075"/>
      <c r="Z11" s="3076"/>
    </row>
    <row r="12" spans="1:26" ht="22.05" customHeight="1" x14ac:dyDescent="0.3">
      <c r="A12" s="2786">
        <v>8</v>
      </c>
      <c r="B12" s="2787" t="s">
        <v>488</v>
      </c>
      <c r="C12" s="2788" t="s">
        <v>489</v>
      </c>
      <c r="D12" s="2788" t="s">
        <v>19</v>
      </c>
      <c r="E12" s="2788" t="s">
        <v>490</v>
      </c>
      <c r="F12" s="2788" t="s">
        <v>491</v>
      </c>
      <c r="G12" s="2787" t="s">
        <v>492</v>
      </c>
      <c r="H12" s="2787" t="s">
        <v>493</v>
      </c>
      <c r="I12" s="2787" t="s">
        <v>494</v>
      </c>
      <c r="J12" s="2949">
        <v>46904873.780000001</v>
      </c>
      <c r="K12" s="2788" t="s">
        <v>457</v>
      </c>
      <c r="L12" s="2788" t="s">
        <v>495</v>
      </c>
      <c r="M12" s="2788" t="s">
        <v>450</v>
      </c>
      <c r="N12" s="3048" t="s">
        <v>496</v>
      </c>
      <c r="O12" s="3074"/>
      <c r="P12" s="3075"/>
      <c r="Q12" s="3075"/>
      <c r="R12" s="3075"/>
      <c r="S12" s="3075"/>
      <c r="T12" s="3075"/>
      <c r="U12" s="3075"/>
      <c r="V12" s="3075"/>
      <c r="W12" s="3075"/>
      <c r="X12" s="3075"/>
      <c r="Y12" s="3075"/>
      <c r="Z12" s="3076"/>
    </row>
    <row r="13" spans="1:26" ht="22.05" customHeight="1" x14ac:dyDescent="0.3">
      <c r="A13" s="2783">
        <v>9</v>
      </c>
      <c r="B13" s="2784" t="s">
        <v>497</v>
      </c>
      <c r="C13" s="1823" t="s">
        <v>489</v>
      </c>
      <c r="D13" s="1823" t="s">
        <v>19</v>
      </c>
      <c r="E13" s="1823" t="s">
        <v>490</v>
      </c>
      <c r="F13" s="1823" t="s">
        <v>498</v>
      </c>
      <c r="G13" s="2784" t="s">
        <v>499</v>
      </c>
      <c r="H13" s="2784" t="s">
        <v>500</v>
      </c>
      <c r="I13" s="2784" t="s">
        <v>501</v>
      </c>
      <c r="J13" s="2947">
        <v>0</v>
      </c>
      <c r="K13" s="1823" t="s">
        <v>457</v>
      </c>
      <c r="L13" s="1823" t="s">
        <v>502</v>
      </c>
      <c r="M13" s="1823" t="s">
        <v>503</v>
      </c>
      <c r="N13" s="3047" t="s">
        <v>504</v>
      </c>
      <c r="O13" s="3074"/>
      <c r="P13" s="3075"/>
      <c r="Q13" s="3075"/>
      <c r="R13" s="3075"/>
      <c r="S13" s="3075"/>
      <c r="T13" s="3075"/>
      <c r="U13" s="3075"/>
      <c r="V13" s="3075"/>
      <c r="W13" s="3075"/>
      <c r="X13" s="3075"/>
      <c r="Y13" s="3075"/>
      <c r="Z13" s="3076"/>
    </row>
    <row r="14" spans="1:26" ht="22.05" customHeight="1" x14ac:dyDescent="0.3">
      <c r="A14" s="2786">
        <v>10</v>
      </c>
      <c r="B14" s="2787" t="s">
        <v>505</v>
      </c>
      <c r="C14" s="2788" t="s">
        <v>489</v>
      </c>
      <c r="D14" s="2788" t="s">
        <v>19</v>
      </c>
      <c r="E14" s="2788" t="s">
        <v>490</v>
      </c>
      <c r="F14" s="2788" t="s">
        <v>506</v>
      </c>
      <c r="G14" s="2787" t="s">
        <v>507</v>
      </c>
      <c r="H14" s="2787" t="s">
        <v>508</v>
      </c>
      <c r="I14" s="2787" t="s">
        <v>501</v>
      </c>
      <c r="J14" s="2949">
        <v>1269859.46</v>
      </c>
      <c r="K14" s="2788" t="s">
        <v>457</v>
      </c>
      <c r="L14" s="2788" t="s">
        <v>509</v>
      </c>
      <c r="M14" s="2788" t="s">
        <v>450</v>
      </c>
      <c r="N14" s="3048" t="s">
        <v>510</v>
      </c>
      <c r="O14" s="3074"/>
      <c r="P14" s="3075"/>
      <c r="Q14" s="3075"/>
      <c r="R14" s="3075"/>
      <c r="S14" s="3075"/>
      <c r="T14" s="3075"/>
      <c r="U14" s="3075"/>
      <c r="V14" s="3075"/>
      <c r="W14" s="3075"/>
      <c r="X14" s="3075"/>
      <c r="Y14" s="3075"/>
      <c r="Z14" s="3076"/>
    </row>
    <row r="15" spans="1:26" ht="22.05" customHeight="1" x14ac:dyDescent="0.3">
      <c r="A15" s="2783">
        <v>11</v>
      </c>
      <c r="B15" s="2784" t="s">
        <v>511</v>
      </c>
      <c r="C15" s="1823" t="s">
        <v>512</v>
      </c>
      <c r="D15" s="1823" t="s">
        <v>25</v>
      </c>
      <c r="E15" s="1823" t="s">
        <v>513</v>
      </c>
      <c r="F15" s="1823" t="s">
        <v>514</v>
      </c>
      <c r="G15" s="2784" t="s">
        <v>515</v>
      </c>
      <c r="H15" s="2784" t="s">
        <v>516</v>
      </c>
      <c r="I15" s="2784" t="s">
        <v>517</v>
      </c>
      <c r="J15" s="2947">
        <v>0</v>
      </c>
      <c r="K15" s="1823" t="s">
        <v>457</v>
      </c>
      <c r="L15" s="1823" t="s">
        <v>518</v>
      </c>
      <c r="M15" s="1823" t="s">
        <v>444</v>
      </c>
      <c r="N15" s="3047" t="s">
        <v>519</v>
      </c>
      <c r="O15" s="3074"/>
      <c r="P15" s="3075"/>
      <c r="Q15" s="3075"/>
      <c r="R15" s="3075"/>
      <c r="S15" s="3075"/>
      <c r="T15" s="3075"/>
      <c r="U15" s="3075"/>
      <c r="V15" s="3075"/>
      <c r="W15" s="3075"/>
      <c r="X15" s="3075"/>
      <c r="Y15" s="3075"/>
      <c r="Z15" s="3076"/>
    </row>
    <row r="16" spans="1:26" ht="22.05" customHeight="1" x14ac:dyDescent="0.3">
      <c r="A16" s="2786">
        <v>12</v>
      </c>
      <c r="B16" s="2787" t="s">
        <v>520</v>
      </c>
      <c r="C16" s="2788" t="s">
        <v>489</v>
      </c>
      <c r="D16" s="2788" t="s">
        <v>19</v>
      </c>
      <c r="E16" s="2788" t="s">
        <v>490</v>
      </c>
      <c r="F16" s="2788" t="s">
        <v>521</v>
      </c>
      <c r="G16" s="2787" t="s">
        <v>522</v>
      </c>
      <c r="H16" s="2787" t="s">
        <v>523</v>
      </c>
      <c r="I16" s="2787" t="s">
        <v>501</v>
      </c>
      <c r="J16" s="2949">
        <v>10000</v>
      </c>
      <c r="K16" s="2788" t="s">
        <v>443</v>
      </c>
      <c r="L16" s="2788" t="s">
        <v>103</v>
      </c>
      <c r="M16" s="2788" t="s">
        <v>444</v>
      </c>
      <c r="N16" s="3048" t="s">
        <v>524</v>
      </c>
      <c r="O16" s="3074"/>
      <c r="P16" s="3075"/>
      <c r="Q16" s="3075"/>
      <c r="R16" s="3075"/>
      <c r="S16" s="3075"/>
      <c r="T16" s="3075"/>
      <c r="U16" s="3075"/>
      <c r="V16" s="3075"/>
      <c r="W16" s="3075"/>
      <c r="X16" s="3075"/>
      <c r="Y16" s="3075"/>
      <c r="Z16" s="3076"/>
    </row>
    <row r="17" spans="1:26" ht="22.05" customHeight="1" x14ac:dyDescent="0.3">
      <c r="A17" s="2783">
        <v>13</v>
      </c>
      <c r="B17" s="2784" t="s">
        <v>525</v>
      </c>
      <c r="C17" s="1823" t="s">
        <v>489</v>
      </c>
      <c r="D17" s="1823" t="s">
        <v>19</v>
      </c>
      <c r="E17" s="1823" t="s">
        <v>526</v>
      </c>
      <c r="F17" s="1823" t="s">
        <v>527</v>
      </c>
      <c r="G17" s="2784" t="s">
        <v>528</v>
      </c>
      <c r="H17" s="2784" t="s">
        <v>529</v>
      </c>
      <c r="I17" s="2784" t="s">
        <v>530</v>
      </c>
      <c r="J17" s="2947">
        <v>894755.8</v>
      </c>
      <c r="K17" s="1823" t="s">
        <v>457</v>
      </c>
      <c r="L17" s="1823" t="s">
        <v>531</v>
      </c>
      <c r="M17" s="1823" t="s">
        <v>444</v>
      </c>
      <c r="N17" s="3047" t="s">
        <v>532</v>
      </c>
      <c r="O17" s="3074"/>
      <c r="P17" s="3075"/>
      <c r="Q17" s="3075"/>
      <c r="R17" s="3075"/>
      <c r="S17" s="3075"/>
      <c r="T17" s="3075"/>
      <c r="U17" s="3075"/>
      <c r="V17" s="3075"/>
      <c r="W17" s="3075"/>
      <c r="X17" s="3075"/>
      <c r="Y17" s="3075"/>
      <c r="Z17" s="3076"/>
    </row>
    <row r="18" spans="1:26" ht="22.05" customHeight="1" x14ac:dyDescent="0.3">
      <c r="A18" s="2786">
        <v>14</v>
      </c>
      <c r="B18" s="2787" t="s">
        <v>533</v>
      </c>
      <c r="C18" s="2788" t="s">
        <v>489</v>
      </c>
      <c r="D18" s="2788" t="s">
        <v>19</v>
      </c>
      <c r="E18" s="2788" t="s">
        <v>526</v>
      </c>
      <c r="F18" s="2788" t="s">
        <v>534</v>
      </c>
      <c r="G18" s="2787" t="s">
        <v>535</v>
      </c>
      <c r="H18" s="2787" t="s">
        <v>536</v>
      </c>
      <c r="I18" s="2787" t="s">
        <v>537</v>
      </c>
      <c r="J18" s="2949">
        <v>1693800</v>
      </c>
      <c r="K18" s="2788" t="s">
        <v>457</v>
      </c>
      <c r="L18" s="2788" t="s">
        <v>538</v>
      </c>
      <c r="M18" s="2788" t="s">
        <v>444</v>
      </c>
      <c r="N18" s="3048" t="s">
        <v>539</v>
      </c>
      <c r="O18" s="3074"/>
      <c r="P18" s="3075"/>
      <c r="Q18" s="3075"/>
      <c r="R18" s="3075"/>
      <c r="S18" s="3075"/>
      <c r="T18" s="3075"/>
      <c r="U18" s="3075"/>
      <c r="V18" s="3075"/>
      <c r="W18" s="3075"/>
      <c r="X18" s="3075"/>
      <c r="Y18" s="3075"/>
      <c r="Z18" s="3076"/>
    </row>
    <row r="19" spans="1:26" ht="22.05" customHeight="1" x14ac:dyDescent="0.3">
      <c r="A19" s="2783">
        <v>15</v>
      </c>
      <c r="B19" s="2784" t="s">
        <v>540</v>
      </c>
      <c r="C19" s="1823" t="s">
        <v>489</v>
      </c>
      <c r="D19" s="1823" t="s">
        <v>19</v>
      </c>
      <c r="E19" s="1823" t="s">
        <v>541</v>
      </c>
      <c r="F19" s="1823" t="s">
        <v>542</v>
      </c>
      <c r="G19" s="2784" t="s">
        <v>543</v>
      </c>
      <c r="H19" s="2784" t="s">
        <v>544</v>
      </c>
      <c r="I19" s="2784" t="s">
        <v>545</v>
      </c>
      <c r="J19" s="2947">
        <v>10917760.76</v>
      </c>
      <c r="K19" s="1823" t="s">
        <v>457</v>
      </c>
      <c r="L19" s="1823" t="s">
        <v>546</v>
      </c>
      <c r="M19" s="1823" t="s">
        <v>450</v>
      </c>
      <c r="N19" s="3047" t="s">
        <v>547</v>
      </c>
      <c r="O19" s="3074"/>
      <c r="P19" s="3075"/>
      <c r="Q19" s="3075"/>
      <c r="R19" s="3075"/>
      <c r="S19" s="3075"/>
      <c r="T19" s="3075"/>
      <c r="U19" s="3075"/>
      <c r="V19" s="3075"/>
      <c r="W19" s="3075"/>
      <c r="X19" s="3075"/>
      <c r="Y19" s="3075"/>
      <c r="Z19" s="3076"/>
    </row>
    <row r="20" spans="1:26" ht="22.05" customHeight="1" x14ac:dyDescent="0.3">
      <c r="A20" s="2786">
        <v>16</v>
      </c>
      <c r="B20" s="2787" t="s">
        <v>548</v>
      </c>
      <c r="C20" s="2788" t="s">
        <v>489</v>
      </c>
      <c r="D20" s="2788" t="s">
        <v>19</v>
      </c>
      <c r="E20" s="2788" t="s">
        <v>541</v>
      </c>
      <c r="F20" s="2788" t="s">
        <v>549</v>
      </c>
      <c r="G20" s="2787" t="s">
        <v>550</v>
      </c>
      <c r="H20" s="2787" t="s">
        <v>551</v>
      </c>
      <c r="I20" s="2787" t="s">
        <v>552</v>
      </c>
      <c r="J20" s="2949">
        <v>600000</v>
      </c>
      <c r="K20" s="2788" t="s">
        <v>457</v>
      </c>
      <c r="L20" s="2788" t="s">
        <v>553</v>
      </c>
      <c r="M20" s="2788" t="s">
        <v>450</v>
      </c>
      <c r="N20" s="3048" t="s">
        <v>554</v>
      </c>
      <c r="O20" s="3074"/>
      <c r="P20" s="3075"/>
      <c r="Q20" s="3075"/>
      <c r="R20" s="3075"/>
      <c r="S20" s="3075"/>
      <c r="T20" s="3075"/>
      <c r="U20" s="3075"/>
      <c r="V20" s="3075"/>
      <c r="W20" s="3075"/>
      <c r="X20" s="3075"/>
      <c r="Y20" s="3075"/>
      <c r="Z20" s="3076"/>
    </row>
    <row r="21" spans="1:26" ht="22.05" customHeight="1" x14ac:dyDescent="0.3">
      <c r="A21" s="2783">
        <v>17</v>
      </c>
      <c r="B21" s="2784" t="s">
        <v>555</v>
      </c>
      <c r="C21" s="1823" t="s">
        <v>489</v>
      </c>
      <c r="D21" s="1823" t="s">
        <v>19</v>
      </c>
      <c r="E21" s="1823" t="s">
        <v>541</v>
      </c>
      <c r="F21" s="1823" t="s">
        <v>556</v>
      </c>
      <c r="G21" s="2784" t="s">
        <v>557</v>
      </c>
      <c r="H21" s="2784" t="s">
        <v>558</v>
      </c>
      <c r="I21" s="2784" t="s">
        <v>545</v>
      </c>
      <c r="J21" s="2947">
        <v>25000</v>
      </c>
      <c r="K21" s="1823" t="s">
        <v>443</v>
      </c>
      <c r="L21" s="1823" t="s">
        <v>103</v>
      </c>
      <c r="M21" s="1823" t="s">
        <v>444</v>
      </c>
      <c r="N21" s="3047" t="s">
        <v>559</v>
      </c>
      <c r="O21" s="3074"/>
      <c r="P21" s="3075"/>
      <c r="Q21" s="3075"/>
      <c r="R21" s="3075"/>
      <c r="S21" s="3075"/>
      <c r="T21" s="3075"/>
      <c r="U21" s="3075"/>
      <c r="V21" s="3075"/>
      <c r="W21" s="3075"/>
      <c r="X21" s="3075"/>
      <c r="Y21" s="3075"/>
      <c r="Z21" s="3076"/>
    </row>
    <row r="22" spans="1:26" ht="22.05" customHeight="1" x14ac:dyDescent="0.3">
      <c r="A22" s="2786">
        <v>18</v>
      </c>
      <c r="B22" s="2787" t="s">
        <v>560</v>
      </c>
      <c r="C22" s="2788" t="s">
        <v>489</v>
      </c>
      <c r="D22" s="2788" t="s">
        <v>19</v>
      </c>
      <c r="E22" s="2788" t="s">
        <v>561</v>
      </c>
      <c r="F22" s="2788" t="s">
        <v>562</v>
      </c>
      <c r="G22" s="2787" t="s">
        <v>563</v>
      </c>
      <c r="H22" s="2787" t="s">
        <v>564</v>
      </c>
      <c r="I22" s="2787" t="s">
        <v>565</v>
      </c>
      <c r="J22" s="2949">
        <v>270900</v>
      </c>
      <c r="K22" s="2788" t="s">
        <v>457</v>
      </c>
      <c r="L22" s="2788" t="s">
        <v>566</v>
      </c>
      <c r="M22" s="2788" t="s">
        <v>444</v>
      </c>
      <c r="N22" s="3048" t="s">
        <v>567</v>
      </c>
      <c r="O22" s="3074"/>
      <c r="P22" s="3075"/>
      <c r="Q22" s="3075"/>
      <c r="R22" s="3075"/>
      <c r="S22" s="3075"/>
      <c r="T22" s="3075"/>
      <c r="U22" s="3075"/>
      <c r="V22" s="3075"/>
      <c r="W22" s="3075"/>
      <c r="X22" s="3075"/>
      <c r="Y22" s="3075"/>
      <c r="Z22" s="3076"/>
    </row>
    <row r="23" spans="1:26" ht="22.05" customHeight="1" x14ac:dyDescent="0.3">
      <c r="A23" s="2783">
        <v>19</v>
      </c>
      <c r="B23" s="2784" t="s">
        <v>568</v>
      </c>
      <c r="C23" s="1823" t="s">
        <v>489</v>
      </c>
      <c r="D23" s="1823" t="s">
        <v>19</v>
      </c>
      <c r="E23" s="1823" t="s">
        <v>569</v>
      </c>
      <c r="F23" s="1823" t="s">
        <v>570</v>
      </c>
      <c r="G23" s="2784" t="s">
        <v>571</v>
      </c>
      <c r="H23" s="2784" t="s">
        <v>572</v>
      </c>
      <c r="I23" s="2784" t="s">
        <v>573</v>
      </c>
      <c r="J23" s="2947">
        <v>324000</v>
      </c>
      <c r="K23" s="1823" t="s">
        <v>443</v>
      </c>
      <c r="L23" s="1823" t="s">
        <v>103</v>
      </c>
      <c r="M23" s="1823" t="s">
        <v>444</v>
      </c>
      <c r="N23" s="3047" t="s">
        <v>574</v>
      </c>
      <c r="O23" s="3074"/>
      <c r="P23" s="3075"/>
      <c r="Q23" s="3075"/>
      <c r="R23" s="3075"/>
      <c r="S23" s="3075"/>
      <c r="T23" s="3075"/>
      <c r="U23" s="3075"/>
      <c r="V23" s="3075"/>
      <c r="W23" s="3075"/>
      <c r="X23" s="3075"/>
      <c r="Y23" s="3075"/>
      <c r="Z23" s="3076"/>
    </row>
    <row r="24" spans="1:26" ht="22.05" customHeight="1" x14ac:dyDescent="0.3">
      <c r="A24" s="2786">
        <v>20</v>
      </c>
      <c r="B24" s="2787" t="s">
        <v>575</v>
      </c>
      <c r="C24" s="2788" t="s">
        <v>576</v>
      </c>
      <c r="D24" s="2788" t="s">
        <v>22</v>
      </c>
      <c r="E24" s="2788" t="s">
        <v>577</v>
      </c>
      <c r="F24" s="2788" t="s">
        <v>578</v>
      </c>
      <c r="G24" s="2787" t="s">
        <v>579</v>
      </c>
      <c r="H24" s="2787" t="s">
        <v>580</v>
      </c>
      <c r="I24" s="2787" t="s">
        <v>581</v>
      </c>
      <c r="J24" s="2949">
        <v>5882644.4000000004</v>
      </c>
      <c r="K24" s="2788" t="s">
        <v>457</v>
      </c>
      <c r="L24" s="2788" t="s">
        <v>43</v>
      </c>
      <c r="M24" s="2788" t="s">
        <v>444</v>
      </c>
      <c r="N24" s="3048" t="s">
        <v>582</v>
      </c>
      <c r="O24" s="3074"/>
      <c r="P24" s="3075"/>
      <c r="Q24" s="3075"/>
      <c r="R24" s="3075"/>
      <c r="S24" s="3075"/>
      <c r="T24" s="3075"/>
      <c r="U24" s="3075"/>
      <c r="V24" s="3075"/>
      <c r="W24" s="3075"/>
      <c r="X24" s="3075"/>
      <c r="Y24" s="3075"/>
      <c r="Z24" s="3076"/>
    </row>
    <row r="25" spans="1:26" ht="22.05" customHeight="1" x14ac:dyDescent="0.3">
      <c r="A25" s="2783">
        <v>21</v>
      </c>
      <c r="B25" s="2784" t="s">
        <v>583</v>
      </c>
      <c r="C25" s="1823" t="s">
        <v>576</v>
      </c>
      <c r="D25" s="1823" t="s">
        <v>22</v>
      </c>
      <c r="E25" s="1823" t="s">
        <v>577</v>
      </c>
      <c r="F25" s="1823" t="s">
        <v>584</v>
      </c>
      <c r="G25" s="2784" t="s">
        <v>585</v>
      </c>
      <c r="H25" s="2784" t="s">
        <v>586</v>
      </c>
      <c r="I25" s="2784" t="s">
        <v>581</v>
      </c>
      <c r="J25" s="2947">
        <v>55167.4</v>
      </c>
      <c r="K25" s="1823" t="s">
        <v>457</v>
      </c>
      <c r="L25" s="1823" t="s">
        <v>47</v>
      </c>
      <c r="M25" s="1823" t="s">
        <v>444</v>
      </c>
      <c r="N25" s="3047" t="s">
        <v>587</v>
      </c>
      <c r="O25" s="3074"/>
      <c r="P25" s="3075"/>
      <c r="Q25" s="3075"/>
      <c r="R25" s="3075"/>
      <c r="S25" s="3075"/>
      <c r="T25" s="3075"/>
      <c r="U25" s="3075"/>
      <c r="V25" s="3075"/>
      <c r="W25" s="3075"/>
      <c r="X25" s="3075"/>
      <c r="Y25" s="3075"/>
      <c r="Z25" s="3076"/>
    </row>
    <row r="26" spans="1:26" ht="22.05" customHeight="1" x14ac:dyDescent="0.3">
      <c r="A26" s="2786">
        <v>22</v>
      </c>
      <c r="B26" s="2787" t="s">
        <v>588</v>
      </c>
      <c r="C26" s="2788" t="s">
        <v>576</v>
      </c>
      <c r="D26" s="2788" t="s">
        <v>22</v>
      </c>
      <c r="E26" s="2788" t="s">
        <v>589</v>
      </c>
      <c r="F26" s="2788" t="s">
        <v>590</v>
      </c>
      <c r="G26" s="2787" t="s">
        <v>591</v>
      </c>
      <c r="H26" s="2787" t="s">
        <v>592</v>
      </c>
      <c r="I26" s="2787" t="s">
        <v>593</v>
      </c>
      <c r="J26" s="2949">
        <v>113895.64</v>
      </c>
      <c r="K26" s="2788" t="s">
        <v>443</v>
      </c>
      <c r="L26" s="2788" t="s">
        <v>103</v>
      </c>
      <c r="M26" s="2788" t="s">
        <v>444</v>
      </c>
      <c r="N26" s="3048" t="s">
        <v>594</v>
      </c>
      <c r="O26" s="3074"/>
      <c r="P26" s="3075"/>
      <c r="Q26" s="3075"/>
      <c r="R26" s="3075"/>
      <c r="S26" s="3075"/>
      <c r="T26" s="3075"/>
      <c r="U26" s="3075"/>
      <c r="V26" s="3075"/>
      <c r="W26" s="3075"/>
      <c r="X26" s="3075"/>
      <c r="Y26" s="3075"/>
      <c r="Z26" s="3076"/>
    </row>
    <row r="27" spans="1:26" ht="22.05" customHeight="1" x14ac:dyDescent="0.3">
      <c r="A27" s="2783">
        <v>23</v>
      </c>
      <c r="B27" s="2784" t="s">
        <v>595</v>
      </c>
      <c r="C27" s="1823" t="s">
        <v>576</v>
      </c>
      <c r="D27" s="1823" t="s">
        <v>22</v>
      </c>
      <c r="E27" s="1823" t="s">
        <v>596</v>
      </c>
      <c r="F27" s="1823" t="s">
        <v>597</v>
      </c>
      <c r="G27" s="2784" t="s">
        <v>598</v>
      </c>
      <c r="H27" s="2784" t="s">
        <v>599</v>
      </c>
      <c r="I27" s="2784" t="s">
        <v>600</v>
      </c>
      <c r="J27" s="2947">
        <v>1755066</v>
      </c>
      <c r="K27" s="1823" t="s">
        <v>457</v>
      </c>
      <c r="L27" s="1823" t="s">
        <v>601</v>
      </c>
      <c r="M27" s="1823" t="s">
        <v>444</v>
      </c>
      <c r="N27" s="3047" t="s">
        <v>602</v>
      </c>
      <c r="O27" s="3074"/>
      <c r="P27" s="3075"/>
      <c r="Q27" s="3075"/>
      <c r="R27" s="3075"/>
      <c r="S27" s="3075"/>
      <c r="T27" s="3075"/>
      <c r="U27" s="3075"/>
      <c r="V27" s="3075"/>
      <c r="W27" s="3075"/>
      <c r="X27" s="3075"/>
      <c r="Y27" s="3075"/>
      <c r="Z27" s="3076"/>
    </row>
    <row r="28" spans="1:26" ht="22.05" customHeight="1" x14ac:dyDescent="0.3">
      <c r="A28" s="2786">
        <v>24</v>
      </c>
      <c r="B28" s="2787" t="s">
        <v>603</v>
      </c>
      <c r="C28" s="2788" t="s">
        <v>576</v>
      </c>
      <c r="D28" s="2788" t="s">
        <v>22</v>
      </c>
      <c r="E28" s="2788" t="s">
        <v>604</v>
      </c>
      <c r="F28" s="2788" t="s">
        <v>605</v>
      </c>
      <c r="G28" s="2787" t="s">
        <v>606</v>
      </c>
      <c r="H28" s="2787" t="s">
        <v>607</v>
      </c>
      <c r="I28" s="2787" t="s">
        <v>608</v>
      </c>
      <c r="J28" s="2949">
        <v>498448.93</v>
      </c>
      <c r="K28" s="2788" t="s">
        <v>443</v>
      </c>
      <c r="L28" s="2788" t="s">
        <v>103</v>
      </c>
      <c r="M28" s="2788" t="s">
        <v>444</v>
      </c>
      <c r="N28" s="3048" t="s">
        <v>609</v>
      </c>
      <c r="O28" s="3074"/>
      <c r="P28" s="3075"/>
      <c r="Q28" s="3075"/>
      <c r="R28" s="3075"/>
      <c r="S28" s="3075"/>
      <c r="T28" s="3075"/>
      <c r="U28" s="3075"/>
      <c r="V28" s="3075"/>
      <c r="W28" s="3075"/>
      <c r="X28" s="3075"/>
      <c r="Y28" s="3075"/>
      <c r="Z28" s="3076"/>
    </row>
    <row r="29" spans="1:26" ht="22.05" customHeight="1" x14ac:dyDescent="0.3">
      <c r="A29" s="2783">
        <v>25</v>
      </c>
      <c r="B29" s="2784" t="s">
        <v>610</v>
      </c>
      <c r="C29" s="1823" t="s">
        <v>576</v>
      </c>
      <c r="D29" s="1823" t="s">
        <v>22</v>
      </c>
      <c r="E29" s="1823" t="s">
        <v>604</v>
      </c>
      <c r="F29" s="1823" t="s">
        <v>611</v>
      </c>
      <c r="G29" s="2784" t="s">
        <v>612</v>
      </c>
      <c r="H29" s="2784" t="s">
        <v>613</v>
      </c>
      <c r="I29" s="2784" t="s">
        <v>608</v>
      </c>
      <c r="J29" s="2947">
        <v>214401.43</v>
      </c>
      <c r="K29" s="1823" t="s">
        <v>443</v>
      </c>
      <c r="L29" s="1823" t="s">
        <v>103</v>
      </c>
      <c r="M29" s="1823" t="s">
        <v>444</v>
      </c>
      <c r="N29" s="3047" t="s">
        <v>614</v>
      </c>
      <c r="O29" s="3074"/>
      <c r="P29" s="3075"/>
      <c r="Q29" s="3075"/>
      <c r="R29" s="3075"/>
      <c r="S29" s="3075"/>
      <c r="T29" s="3075"/>
      <c r="U29" s="3075"/>
      <c r="V29" s="3075"/>
      <c r="W29" s="3075"/>
      <c r="X29" s="3075"/>
      <c r="Y29" s="3075"/>
      <c r="Z29" s="3076"/>
    </row>
    <row r="30" spans="1:26" ht="22.05" customHeight="1" x14ac:dyDescent="0.3">
      <c r="A30" s="2786">
        <v>26</v>
      </c>
      <c r="B30" s="2787" t="s">
        <v>615</v>
      </c>
      <c r="C30" s="2788" t="s">
        <v>616</v>
      </c>
      <c r="D30" s="2788" t="s">
        <v>27</v>
      </c>
      <c r="E30" s="2788" t="s">
        <v>617</v>
      </c>
      <c r="F30" s="2788" t="s">
        <v>618</v>
      </c>
      <c r="G30" s="2787" t="s">
        <v>619</v>
      </c>
      <c r="H30" s="2787" t="s">
        <v>620</v>
      </c>
      <c r="I30" s="2787" t="s">
        <v>621</v>
      </c>
      <c r="J30" s="2949">
        <v>109763.4</v>
      </c>
      <c r="K30" s="2788" t="s">
        <v>443</v>
      </c>
      <c r="L30" s="2788" t="s">
        <v>103</v>
      </c>
      <c r="M30" s="2788" t="s">
        <v>444</v>
      </c>
      <c r="N30" s="3048" t="s">
        <v>622</v>
      </c>
      <c r="O30" s="3074"/>
      <c r="P30" s="3075"/>
      <c r="Q30" s="3075"/>
      <c r="R30" s="3075"/>
      <c r="S30" s="3075"/>
      <c r="T30" s="3075"/>
      <c r="U30" s="3075"/>
      <c r="V30" s="3075"/>
      <c r="W30" s="3075"/>
      <c r="X30" s="3075"/>
      <c r="Y30" s="3075"/>
      <c r="Z30" s="3076"/>
    </row>
    <row r="31" spans="1:26" ht="22.05" customHeight="1" x14ac:dyDescent="0.3">
      <c r="A31" s="2783">
        <v>27</v>
      </c>
      <c r="B31" s="2784" t="s">
        <v>623</v>
      </c>
      <c r="C31" s="1823" t="s">
        <v>616</v>
      </c>
      <c r="D31" s="1823" t="s">
        <v>27</v>
      </c>
      <c r="E31" s="1823" t="s">
        <v>624</v>
      </c>
      <c r="F31" s="1823" t="s">
        <v>625</v>
      </c>
      <c r="G31" s="2784" t="s">
        <v>626</v>
      </c>
      <c r="H31" s="2784" t="s">
        <v>627</v>
      </c>
      <c r="I31" s="2784" t="s">
        <v>621</v>
      </c>
      <c r="J31" s="2947">
        <v>120600</v>
      </c>
      <c r="K31" s="1823" t="s">
        <v>443</v>
      </c>
      <c r="L31" s="1823" t="s">
        <v>103</v>
      </c>
      <c r="M31" s="1823" t="s">
        <v>444</v>
      </c>
      <c r="N31" s="3047" t="s">
        <v>628</v>
      </c>
      <c r="O31" s="3074"/>
      <c r="P31" s="3075"/>
      <c r="Q31" s="3075"/>
      <c r="R31" s="3075"/>
      <c r="S31" s="3075"/>
      <c r="T31" s="3075"/>
      <c r="U31" s="3075"/>
      <c r="V31" s="3075"/>
      <c r="W31" s="3075"/>
      <c r="X31" s="3075"/>
      <c r="Y31" s="3075"/>
      <c r="Z31" s="3076"/>
    </row>
    <row r="32" spans="1:26" ht="22.05" customHeight="1" x14ac:dyDescent="0.3">
      <c r="A32" s="2786">
        <v>28</v>
      </c>
      <c r="B32" s="2787" t="s">
        <v>629</v>
      </c>
      <c r="C32" s="2788" t="s">
        <v>616</v>
      </c>
      <c r="D32" s="2788" t="s">
        <v>27</v>
      </c>
      <c r="E32" s="2788" t="s">
        <v>630</v>
      </c>
      <c r="F32" s="2788" t="s">
        <v>631</v>
      </c>
      <c r="G32" s="2787" t="s">
        <v>632</v>
      </c>
      <c r="H32" s="2787" t="s">
        <v>633</v>
      </c>
      <c r="I32" s="2787" t="s">
        <v>634</v>
      </c>
      <c r="J32" s="2949">
        <v>350074.91</v>
      </c>
      <c r="K32" s="2788" t="s">
        <v>457</v>
      </c>
      <c r="L32" s="2788" t="s">
        <v>458</v>
      </c>
      <c r="M32" s="2788" t="s">
        <v>444</v>
      </c>
      <c r="N32" s="3048" t="s">
        <v>459</v>
      </c>
      <c r="O32" s="3074"/>
      <c r="P32" s="3075"/>
      <c r="Q32" s="3075"/>
      <c r="R32" s="3075"/>
      <c r="S32" s="3075"/>
      <c r="T32" s="3075"/>
      <c r="U32" s="3075"/>
      <c r="V32" s="3075"/>
      <c r="W32" s="3075"/>
      <c r="X32" s="3075"/>
      <c r="Y32" s="3075"/>
      <c r="Z32" s="3076"/>
    </row>
    <row r="33" spans="1:26" ht="22.05" customHeight="1" x14ac:dyDescent="0.3">
      <c r="A33" s="2783">
        <v>29</v>
      </c>
      <c r="B33" s="2784" t="s">
        <v>635</v>
      </c>
      <c r="C33" s="1823" t="s">
        <v>636</v>
      </c>
      <c r="D33" s="1823" t="s">
        <v>31</v>
      </c>
      <c r="E33" s="1823" t="s">
        <v>637</v>
      </c>
      <c r="F33" s="1823" t="s">
        <v>638</v>
      </c>
      <c r="G33" s="2784" t="s">
        <v>639</v>
      </c>
      <c r="H33" s="2784" t="s">
        <v>640</v>
      </c>
      <c r="I33" s="2784" t="s">
        <v>641</v>
      </c>
      <c r="J33" s="2947">
        <v>472973</v>
      </c>
      <c r="K33" s="1823" t="s">
        <v>457</v>
      </c>
      <c r="L33" s="1823" t="s">
        <v>642</v>
      </c>
      <c r="M33" s="1823" t="s">
        <v>450</v>
      </c>
      <c r="N33" s="3047" t="s">
        <v>643</v>
      </c>
      <c r="O33" s="3074"/>
      <c r="P33" s="3075"/>
      <c r="Q33" s="3075"/>
      <c r="R33" s="3075"/>
      <c r="S33" s="3075"/>
      <c r="T33" s="3075"/>
      <c r="U33" s="3075"/>
      <c r="V33" s="3075"/>
      <c r="W33" s="3075"/>
      <c r="X33" s="3075"/>
      <c r="Y33" s="3075"/>
      <c r="Z33" s="3076"/>
    </row>
    <row r="34" spans="1:26" ht="22.05" customHeight="1" x14ac:dyDescent="0.3">
      <c r="A34" s="2786">
        <v>30</v>
      </c>
      <c r="B34" s="2787" t="s">
        <v>644</v>
      </c>
      <c r="C34" s="2788" t="s">
        <v>636</v>
      </c>
      <c r="D34" s="2788" t="s">
        <v>31</v>
      </c>
      <c r="E34" s="2788" t="s">
        <v>637</v>
      </c>
      <c r="F34" s="2788" t="s">
        <v>645</v>
      </c>
      <c r="G34" s="2787" t="s">
        <v>646</v>
      </c>
      <c r="H34" s="2787" t="s">
        <v>647</v>
      </c>
      <c r="I34" s="2787" t="s">
        <v>648</v>
      </c>
      <c r="J34" s="2949">
        <v>600955.82999999996</v>
      </c>
      <c r="K34" s="2788" t="s">
        <v>443</v>
      </c>
      <c r="L34" s="2788" t="s">
        <v>103</v>
      </c>
      <c r="M34" s="2788" t="s">
        <v>450</v>
      </c>
      <c r="N34" s="3048" t="s">
        <v>649</v>
      </c>
      <c r="O34" s="3074"/>
      <c r="P34" s="3075"/>
      <c r="Q34" s="3075"/>
      <c r="R34" s="3075"/>
      <c r="S34" s="3075"/>
      <c r="T34" s="3075"/>
      <c r="U34" s="3075"/>
      <c r="V34" s="3075"/>
      <c r="W34" s="3075"/>
      <c r="X34" s="3075"/>
      <c r="Y34" s="3075"/>
      <c r="Z34" s="3076"/>
    </row>
    <row r="35" spans="1:26" ht="22.05" customHeight="1" x14ac:dyDescent="0.3">
      <c r="A35" s="2783">
        <v>31</v>
      </c>
      <c r="B35" s="2784" t="s">
        <v>650</v>
      </c>
      <c r="C35" s="1823" t="s">
        <v>636</v>
      </c>
      <c r="D35" s="1823" t="s">
        <v>31</v>
      </c>
      <c r="E35" s="1823" t="s">
        <v>637</v>
      </c>
      <c r="F35" s="1823" t="s">
        <v>651</v>
      </c>
      <c r="G35" s="2784" t="s">
        <v>652</v>
      </c>
      <c r="H35" s="2784" t="s">
        <v>653</v>
      </c>
      <c r="I35" s="2784" t="s">
        <v>654</v>
      </c>
      <c r="J35" s="2947">
        <v>1219611.33</v>
      </c>
      <c r="K35" s="1823" t="s">
        <v>457</v>
      </c>
      <c r="L35" s="1823" t="s">
        <v>655</v>
      </c>
      <c r="M35" s="1823" t="s">
        <v>450</v>
      </c>
      <c r="N35" s="3047" t="s">
        <v>656</v>
      </c>
      <c r="O35" s="3074"/>
      <c r="P35" s="3075"/>
      <c r="Q35" s="3075"/>
      <c r="R35" s="3075"/>
      <c r="S35" s="3075"/>
      <c r="T35" s="3075"/>
      <c r="U35" s="3075"/>
      <c r="V35" s="3075"/>
      <c r="W35" s="3075"/>
      <c r="X35" s="3075"/>
      <c r="Y35" s="3075"/>
      <c r="Z35" s="3076"/>
    </row>
    <row r="36" spans="1:26" ht="22.05" customHeight="1" x14ac:dyDescent="0.3">
      <c r="A36" s="2786">
        <v>32</v>
      </c>
      <c r="B36" s="2787" t="s">
        <v>657</v>
      </c>
      <c r="C36" s="2788" t="s">
        <v>636</v>
      </c>
      <c r="D36" s="2788" t="s">
        <v>31</v>
      </c>
      <c r="E36" s="2788" t="s">
        <v>637</v>
      </c>
      <c r="F36" s="2788" t="s">
        <v>658</v>
      </c>
      <c r="G36" s="2787" t="s">
        <v>659</v>
      </c>
      <c r="H36" s="2787" t="s">
        <v>660</v>
      </c>
      <c r="I36" s="2787" t="s">
        <v>661</v>
      </c>
      <c r="J36" s="2949">
        <v>20205706.210000001</v>
      </c>
      <c r="K36" s="2788" t="s">
        <v>443</v>
      </c>
      <c r="L36" s="2788" t="s">
        <v>103</v>
      </c>
      <c r="M36" s="2788" t="s">
        <v>450</v>
      </c>
      <c r="N36" s="3048" t="s">
        <v>662</v>
      </c>
      <c r="O36" s="3074"/>
      <c r="P36" s="3075"/>
      <c r="Q36" s="3075"/>
      <c r="R36" s="3075"/>
      <c r="S36" s="3075"/>
      <c r="T36" s="3075"/>
      <c r="U36" s="3075"/>
      <c r="V36" s="3075"/>
      <c r="W36" s="3075"/>
      <c r="X36" s="3075"/>
      <c r="Y36" s="3075"/>
      <c r="Z36" s="3076"/>
    </row>
    <row r="37" spans="1:26" ht="22.05" customHeight="1" x14ac:dyDescent="0.3">
      <c r="A37" s="2783">
        <v>33</v>
      </c>
      <c r="B37" s="2784" t="s">
        <v>663</v>
      </c>
      <c r="C37" s="1823" t="s">
        <v>636</v>
      </c>
      <c r="D37" s="1823" t="s">
        <v>31</v>
      </c>
      <c r="E37" s="1823" t="s">
        <v>637</v>
      </c>
      <c r="F37" s="1823" t="s">
        <v>664</v>
      </c>
      <c r="G37" s="2784" t="s">
        <v>665</v>
      </c>
      <c r="H37" s="2784" t="s">
        <v>666</v>
      </c>
      <c r="I37" s="2784" t="s">
        <v>667</v>
      </c>
      <c r="J37" s="2947">
        <v>52776878.280000001</v>
      </c>
      <c r="K37" s="1823" t="s">
        <v>443</v>
      </c>
      <c r="L37" s="1823" t="s">
        <v>103</v>
      </c>
      <c r="M37" s="1823" t="s">
        <v>450</v>
      </c>
      <c r="N37" s="3047" t="s">
        <v>668</v>
      </c>
      <c r="O37" s="3074"/>
      <c r="P37" s="3075"/>
      <c r="Q37" s="3075"/>
      <c r="R37" s="3075"/>
      <c r="S37" s="3075"/>
      <c r="T37" s="3075"/>
      <c r="U37" s="3075"/>
      <c r="V37" s="3075"/>
      <c r="W37" s="3075"/>
      <c r="X37" s="3075"/>
      <c r="Y37" s="3075"/>
      <c r="Z37" s="3076"/>
    </row>
    <row r="38" spans="1:26" ht="22.05" customHeight="1" x14ac:dyDescent="0.3">
      <c r="A38" s="2786">
        <v>34</v>
      </c>
      <c r="B38" s="2787" t="s">
        <v>669</v>
      </c>
      <c r="C38" s="2788" t="s">
        <v>636</v>
      </c>
      <c r="D38" s="2788" t="s">
        <v>31</v>
      </c>
      <c r="E38" s="2788" t="s">
        <v>670</v>
      </c>
      <c r="F38" s="2788" t="s">
        <v>671</v>
      </c>
      <c r="G38" s="2787" t="s">
        <v>672</v>
      </c>
      <c r="H38" s="2787" t="s">
        <v>673</v>
      </c>
      <c r="I38" s="2787" t="s">
        <v>674</v>
      </c>
      <c r="J38" s="2949">
        <v>1083597.95</v>
      </c>
      <c r="K38" s="2788" t="s">
        <v>443</v>
      </c>
      <c r="L38" s="2788" t="s">
        <v>103</v>
      </c>
      <c r="M38" s="2788" t="s">
        <v>450</v>
      </c>
      <c r="N38" s="3048" t="s">
        <v>675</v>
      </c>
      <c r="O38" s="3074"/>
      <c r="P38" s="3075"/>
      <c r="Q38" s="3075"/>
      <c r="R38" s="3075"/>
      <c r="S38" s="3075"/>
      <c r="T38" s="3075"/>
      <c r="U38" s="3075"/>
      <c r="V38" s="3075"/>
      <c r="W38" s="3075"/>
      <c r="X38" s="3075"/>
      <c r="Y38" s="3075"/>
      <c r="Z38" s="3076"/>
    </row>
    <row r="39" spans="1:26" ht="22.05" customHeight="1" x14ac:dyDescent="0.3">
      <c r="A39" s="2783">
        <v>35</v>
      </c>
      <c r="B39" s="2784" t="s">
        <v>676</v>
      </c>
      <c r="C39" s="1823" t="s">
        <v>636</v>
      </c>
      <c r="D39" s="1823" t="s">
        <v>31</v>
      </c>
      <c r="E39" s="1823" t="s">
        <v>677</v>
      </c>
      <c r="F39" s="1823" t="s">
        <v>678</v>
      </c>
      <c r="G39" s="2784" t="s">
        <v>679</v>
      </c>
      <c r="H39" s="2784" t="s">
        <v>680</v>
      </c>
      <c r="I39" s="2784" t="s">
        <v>681</v>
      </c>
      <c r="J39" s="2947">
        <v>137900</v>
      </c>
      <c r="K39" s="1823" t="s">
        <v>443</v>
      </c>
      <c r="L39" s="1823" t="s">
        <v>103</v>
      </c>
      <c r="M39" s="1823" t="s">
        <v>450</v>
      </c>
      <c r="N39" s="3047" t="s">
        <v>682</v>
      </c>
      <c r="O39" s="3074"/>
      <c r="P39" s="3075"/>
      <c r="Q39" s="3075"/>
      <c r="R39" s="3075"/>
      <c r="S39" s="3075"/>
      <c r="T39" s="3075"/>
      <c r="U39" s="3075"/>
      <c r="V39" s="3075"/>
      <c r="W39" s="3075"/>
      <c r="X39" s="3075"/>
      <c r="Y39" s="3075"/>
      <c r="Z39" s="3076"/>
    </row>
    <row r="40" spans="1:26" s="10" customFormat="1" ht="24" customHeight="1" thickBot="1" x14ac:dyDescent="0.35">
      <c r="A40" s="3049" t="s">
        <v>683</v>
      </c>
      <c r="B40" s="3533" t="s">
        <v>684</v>
      </c>
      <c r="C40" s="3534"/>
      <c r="D40" s="3534"/>
      <c r="E40" s="3534"/>
      <c r="F40" s="3534"/>
      <c r="G40" s="3534"/>
      <c r="H40" s="3534"/>
      <c r="I40" s="3050" t="s">
        <v>685</v>
      </c>
      <c r="J40" s="3051">
        <f>SUM(J5:J39)</f>
        <v>156156516.02000001</v>
      </c>
      <c r="K40" s="3533" t="s">
        <v>686</v>
      </c>
      <c r="L40" s="3534"/>
      <c r="M40" s="3534"/>
      <c r="N40" s="3535"/>
      <c r="O40" s="3074"/>
      <c r="P40" s="3075"/>
      <c r="Q40" s="3075"/>
      <c r="R40" s="3075"/>
      <c r="S40" s="3075"/>
      <c r="T40" s="3075"/>
      <c r="U40" s="3075"/>
      <c r="V40" s="3075"/>
      <c r="W40" s="3075"/>
      <c r="X40" s="3075"/>
      <c r="Y40" s="3075"/>
      <c r="Z40" s="3076"/>
    </row>
    <row r="41" spans="1:26" ht="28.05" customHeight="1" thickTop="1" x14ac:dyDescent="0.3">
      <c r="A41" s="3523" t="s">
        <v>3839</v>
      </c>
      <c r="B41" s="3524"/>
      <c r="C41" s="3524"/>
      <c r="D41" s="3524"/>
      <c r="E41" s="3524"/>
      <c r="F41" s="3524"/>
      <c r="G41" s="3524"/>
      <c r="H41" s="3524"/>
      <c r="I41" s="3524"/>
      <c r="J41" s="3524"/>
      <c r="K41" s="3524"/>
      <c r="L41" s="3524"/>
      <c r="M41" s="3524"/>
      <c r="N41" s="3525"/>
      <c r="O41" s="3526"/>
      <c r="P41" s="3526"/>
      <c r="Q41" s="3526"/>
      <c r="R41" s="3526"/>
      <c r="S41" s="3526"/>
      <c r="T41" s="3526"/>
      <c r="U41" s="3526"/>
      <c r="V41" s="3526"/>
      <c r="W41" s="3526"/>
      <c r="X41" s="3526"/>
      <c r="Y41" s="3526"/>
      <c r="Z41" s="3527"/>
    </row>
    <row r="42" spans="1:26" s="15" customFormat="1" ht="36" customHeight="1" x14ac:dyDescent="0.3">
      <c r="A42" s="3052" t="s">
        <v>38</v>
      </c>
      <c r="B42" s="3053" t="s">
        <v>3840</v>
      </c>
      <c r="C42" s="3053" t="s">
        <v>3841</v>
      </c>
      <c r="D42" s="3053" t="s">
        <v>3842</v>
      </c>
      <c r="E42" s="3053" t="s">
        <v>3843</v>
      </c>
      <c r="F42" s="3053" t="s">
        <v>3844</v>
      </c>
      <c r="G42" s="3053" t="s">
        <v>3845</v>
      </c>
      <c r="H42" s="3053" t="s">
        <v>3846</v>
      </c>
      <c r="I42" s="3053" t="s">
        <v>3847</v>
      </c>
      <c r="J42" s="3053" t="s">
        <v>3848</v>
      </c>
      <c r="K42" s="3053" t="s">
        <v>3849</v>
      </c>
      <c r="L42" s="3053" t="s">
        <v>3850</v>
      </c>
      <c r="M42" s="3053" t="s">
        <v>3851</v>
      </c>
      <c r="N42" s="3054" t="s">
        <v>3852</v>
      </c>
      <c r="O42" s="3074"/>
      <c r="P42" s="3075"/>
      <c r="Q42" s="3075"/>
      <c r="R42" s="3075"/>
      <c r="S42" s="3075"/>
      <c r="T42" s="3075"/>
      <c r="U42" s="3075"/>
      <c r="V42" s="3075"/>
      <c r="W42" s="3075"/>
      <c r="X42" s="3075"/>
      <c r="Y42" s="3075"/>
      <c r="Z42" s="3076"/>
    </row>
    <row r="43" spans="1:26" ht="22.05" customHeight="1" x14ac:dyDescent="0.3">
      <c r="A43" s="2812">
        <v>1</v>
      </c>
      <c r="B43" s="1823" t="str">
        <f>'M2-PDOT'!B4</f>
        <v>PDOT.AS.VL.M1.01</v>
      </c>
      <c r="C43" s="1823" t="str">
        <f>'M2-PDOT'!C4</f>
        <v>Asentamientos Humanos</v>
      </c>
      <c r="D43" s="1823" t="str">
        <f>'M2-PDOT'!D4</f>
        <v>Mantenimiento de vías urbanas para el acceso de los barrios del cantón</v>
      </c>
      <c r="E43" s="3055">
        <f>'M2-PDOT'!E4</f>
        <v>0.33018018186699599</v>
      </c>
      <c r="F43" s="1823">
        <f>'M2-PDOT'!F4</f>
        <v>1</v>
      </c>
      <c r="G43" s="1823">
        <f>'M2-PDOT'!G4</f>
        <v>1</v>
      </c>
      <c r="H43" s="1823">
        <f>'M2-PDOT'!H4</f>
        <v>0.25</v>
      </c>
      <c r="I43" s="1823" t="s">
        <v>3853</v>
      </c>
      <c r="J43" s="2947">
        <f>'M2-PDOT'!L4</f>
        <v>10892760.76</v>
      </c>
      <c r="K43" s="1823" t="s">
        <v>3854</v>
      </c>
      <c r="L43" s="1823" t="str">
        <f>'M2-PDOT'!K4</f>
        <v>Dir. Obras Públicas</v>
      </c>
      <c r="M43" s="1823" t="str">
        <f>'M2-PDOT'!N4</f>
        <v>✅ ALINEADA</v>
      </c>
      <c r="N43" s="3047" t="s">
        <v>3855</v>
      </c>
      <c r="O43" s="3074"/>
      <c r="P43" s="3075"/>
      <c r="Q43" s="3075"/>
      <c r="R43" s="3075"/>
      <c r="S43" s="3075"/>
      <c r="T43" s="3075"/>
      <c r="U43" s="3075"/>
      <c r="V43" s="3075"/>
      <c r="W43" s="3075"/>
      <c r="X43" s="3075"/>
      <c r="Y43" s="3075"/>
      <c r="Z43" s="3076"/>
    </row>
    <row r="44" spans="1:26" ht="22.05" customHeight="1" x14ac:dyDescent="0.3">
      <c r="A44" s="2813">
        <v>2</v>
      </c>
      <c r="B44" s="2788" t="str">
        <f>'M2-PDOT'!B5</f>
        <v>PDOT.SC.OE2.M1.01</v>
      </c>
      <c r="C44" s="2788" t="str">
        <f>'M2-PDOT'!C5</f>
        <v>Socio Cultural</v>
      </c>
      <c r="D44" s="2788" t="str">
        <f>'M2-PDOT'!D5</f>
        <v>Desarrollo del Bienestar Integral para Montecristi</v>
      </c>
      <c r="E44" s="3056">
        <f>'M2-PDOT'!E5</f>
        <v>0.17664185031506524</v>
      </c>
      <c r="F44" s="2788">
        <f>'M2-PDOT'!F5</f>
        <v>1</v>
      </c>
      <c r="G44" s="2788">
        <f>'M2-PDOT'!G5</f>
        <v>1</v>
      </c>
      <c r="H44" s="2788">
        <f>'M2-PDOT'!H5</f>
        <v>0.65</v>
      </c>
      <c r="I44" s="2788" t="s">
        <v>3856</v>
      </c>
      <c r="J44" s="2949">
        <f>'M2-PDOT'!L5</f>
        <v>5827477</v>
      </c>
      <c r="K44" s="2788" t="s">
        <v>3824</v>
      </c>
      <c r="L44" s="2788" t="str">
        <f>'M2-PDOT'!K5</f>
        <v>Patronato Municipal</v>
      </c>
      <c r="M44" s="2788" t="str">
        <f>'M2-PDOT'!N5</f>
        <v>✅ ALINEADA</v>
      </c>
      <c r="N44" s="3048" t="s">
        <v>3857</v>
      </c>
      <c r="O44" s="3074"/>
      <c r="P44" s="3075"/>
      <c r="Q44" s="3075"/>
      <c r="R44" s="3075"/>
      <c r="S44" s="3075"/>
      <c r="T44" s="3075"/>
      <c r="U44" s="3075"/>
      <c r="V44" s="3075"/>
      <c r="W44" s="3075"/>
      <c r="X44" s="3075"/>
      <c r="Y44" s="3075"/>
      <c r="Z44" s="3076"/>
    </row>
    <row r="45" spans="1:26" ht="22.05" customHeight="1" x14ac:dyDescent="0.3">
      <c r="A45" s="2812">
        <v>3</v>
      </c>
      <c r="B45" s="1823" t="str">
        <f>'M2-PDOT'!B6</f>
        <v>PDOT.AM.OE3.M2.01</v>
      </c>
      <c r="C45" s="1823" t="str">
        <f>'M2-PDOT'!C6</f>
        <v>Ambiental</v>
      </c>
      <c r="D45" s="1823" t="str">
        <f>'M2-PDOT'!D6</f>
        <v>Gestión Integral de Desechos Sólidos</v>
      </c>
      <c r="E45" s="3055">
        <f>'M2-PDOT'!E6</f>
        <v>0.1516189522727332</v>
      </c>
      <c r="F45" s="1823">
        <f>'M2-PDOT'!F6</f>
        <v>1</v>
      </c>
      <c r="G45" s="1823">
        <f>'M2-PDOT'!G6</f>
        <v>1</v>
      </c>
      <c r="H45" s="1823">
        <f>'M2-PDOT'!H6</f>
        <v>0.75</v>
      </c>
      <c r="I45" s="1823" t="s">
        <v>3858</v>
      </c>
      <c r="J45" s="2947">
        <f>'M2-PDOT'!L6</f>
        <v>5001962.76</v>
      </c>
      <c r="K45" s="1823" t="s">
        <v>3859</v>
      </c>
      <c r="L45" s="1823" t="str">
        <f>'M2-PDOT'!K6</f>
        <v>Dir. Gestión Ambiental</v>
      </c>
      <c r="M45" s="1823" t="str">
        <f>'M2-PDOT'!N6</f>
        <v>✅ ALINEADA</v>
      </c>
      <c r="N45" s="3047" t="s">
        <v>3860</v>
      </c>
      <c r="O45" s="3074"/>
      <c r="P45" s="3075"/>
      <c r="Q45" s="3075"/>
      <c r="R45" s="3075"/>
      <c r="S45" s="3075"/>
      <c r="T45" s="3075"/>
      <c r="U45" s="3075"/>
      <c r="V45" s="3075"/>
      <c r="W45" s="3075"/>
      <c r="X45" s="3075"/>
      <c r="Y45" s="3075"/>
      <c r="Z45" s="3076"/>
    </row>
    <row r="46" spans="1:26" ht="22.05" customHeight="1" x14ac:dyDescent="0.3">
      <c r="A46" s="2813">
        <v>4</v>
      </c>
      <c r="B46" s="2788" t="str">
        <f>'M2-PDOT'!B7</f>
        <v>PDOT.AS.OE1.M2.01</v>
      </c>
      <c r="C46" s="2788" t="str">
        <f>'M2-PDOT'!C7</f>
        <v>Asentamientos Humanos</v>
      </c>
      <c r="D46" s="2788" t="str">
        <f>'M2-PDOT'!D7</f>
        <v>Fortalecimiento estratégico de equipamiento público comercial y administrativo</v>
      </c>
      <c r="E46" s="3056">
        <f>'M2-PDOT'!E7</f>
        <v>5.1342281756523014E-2</v>
      </c>
      <c r="F46" s="2788">
        <f>'M2-PDOT'!F7</f>
        <v>1</v>
      </c>
      <c r="G46" s="2788">
        <f>'M2-PDOT'!G7</f>
        <v>0</v>
      </c>
      <c r="H46" s="2788">
        <f>'M2-PDOT'!H7</f>
        <v>0.1</v>
      </c>
      <c r="I46" s="2788" t="s">
        <v>3861</v>
      </c>
      <c r="J46" s="2949">
        <f>'M2-PDOT'!L7</f>
        <v>1693800</v>
      </c>
      <c r="K46" s="2788" t="s">
        <v>3825</v>
      </c>
      <c r="L46" s="2788" t="str">
        <f>'M2-PDOT'!K7</f>
        <v>Dir. Planificación</v>
      </c>
      <c r="M46" s="2788" t="str">
        <f>'M2-PDOT'!N7</f>
        <v>⚠️ PARCIAL</v>
      </c>
      <c r="N46" s="3048" t="s">
        <v>3862</v>
      </c>
      <c r="O46" s="3074"/>
      <c r="P46" s="3075"/>
      <c r="Q46" s="3075"/>
      <c r="R46" s="3075"/>
      <c r="S46" s="3075"/>
      <c r="T46" s="3075"/>
      <c r="U46" s="3075"/>
      <c r="V46" s="3075"/>
      <c r="W46" s="3075"/>
      <c r="X46" s="3075"/>
      <c r="Y46" s="3075"/>
      <c r="Z46" s="3076"/>
    </row>
    <row r="47" spans="1:26" ht="22.05" customHeight="1" x14ac:dyDescent="0.3">
      <c r="A47" s="2812">
        <v>5</v>
      </c>
      <c r="B47" s="1823" t="str">
        <f>'M2-PDOT'!B8</f>
        <v>PDOT.SC.OE2.M4.01</v>
      </c>
      <c r="C47" s="1823" t="str">
        <f>'M2-PDOT'!C8</f>
        <v>Socio Cultural</v>
      </c>
      <c r="D47" s="1823" t="str">
        <f>'M2-PDOT'!D8</f>
        <v>Proyecto Integral de Desarrollo y Apoyo Comunitario</v>
      </c>
      <c r="E47" s="3055">
        <f>'M2-PDOT'!E8</f>
        <v>4.8834457728394447E-2</v>
      </c>
      <c r="F47" s="1823">
        <f>'M2-PDOT'!F8</f>
        <v>1</v>
      </c>
      <c r="G47" s="1823">
        <f>'M2-PDOT'!G8</f>
        <v>1</v>
      </c>
      <c r="H47" s="1823">
        <f>'M2-PDOT'!H8</f>
        <v>0.2</v>
      </c>
      <c r="I47" s="1823" t="s">
        <v>3863</v>
      </c>
      <c r="J47" s="2947">
        <f>'M2-PDOT'!L8</f>
        <v>1611066</v>
      </c>
      <c r="K47" s="1823" t="s">
        <v>3826</v>
      </c>
      <c r="L47" s="1823" t="str">
        <f>'M2-PDOT'!K8</f>
        <v>Dir. Planificación</v>
      </c>
      <c r="M47" s="1823" t="str">
        <f>'M2-PDOT'!N8</f>
        <v>⚠️ PARCIAL</v>
      </c>
      <c r="N47" s="3047" t="s">
        <v>3864</v>
      </c>
      <c r="O47" s="3074"/>
      <c r="P47" s="3075"/>
      <c r="Q47" s="3075"/>
      <c r="R47" s="3075"/>
      <c r="S47" s="3075"/>
      <c r="T47" s="3075"/>
      <c r="U47" s="3075"/>
      <c r="V47" s="3075"/>
      <c r="W47" s="3075"/>
      <c r="X47" s="3075"/>
      <c r="Y47" s="3075"/>
      <c r="Z47" s="3076"/>
    </row>
    <row r="48" spans="1:26" ht="22.05" customHeight="1" x14ac:dyDescent="0.3">
      <c r="A48" s="2813">
        <v>6</v>
      </c>
      <c r="B48" s="2788" t="str">
        <f>'M2-PDOT'!B9</f>
        <v>PDOT.AS.OE1.M1.02</v>
      </c>
      <c r="C48" s="2788" t="str">
        <f>'M2-PDOT'!C9</f>
        <v>Asentamientos Humanos</v>
      </c>
      <c r="D48" s="2788" t="str">
        <f>'M2-PDOT'!D9</f>
        <v>Gestión para la construcción de nueva infraestructura de tratamiento de aguas residuales</v>
      </c>
      <c r="E48" s="3056">
        <f>'M2-PDOT'!E9</f>
        <v>3.8491842122155021E-2</v>
      </c>
      <c r="F48" s="2788">
        <f>'M2-PDOT'!F9</f>
        <v>1.5</v>
      </c>
      <c r="G48" s="2788">
        <f>'M2-PDOT'!G9</f>
        <v>0</v>
      </c>
      <c r="H48" s="2788">
        <f>'M2-PDOT'!H9</f>
        <v>0</v>
      </c>
      <c r="I48" s="2788" t="s">
        <v>3865</v>
      </c>
      <c r="J48" s="2949">
        <f>'M2-PDOT'!L9</f>
        <v>1269859.46</v>
      </c>
      <c r="K48" s="2788" t="s">
        <v>3866</v>
      </c>
      <c r="L48" s="2788" t="str">
        <f>'M2-PDOT'!K9</f>
        <v>Dir. Agua Potable y Alcantarillado</v>
      </c>
      <c r="M48" s="2788" t="str">
        <f>'M2-PDOT'!N9</f>
        <v>🔴 BAJA</v>
      </c>
      <c r="N48" s="3048" t="s">
        <v>3867</v>
      </c>
      <c r="O48" s="3074"/>
      <c r="P48" s="3075"/>
      <c r="Q48" s="3075"/>
      <c r="R48" s="3075"/>
      <c r="S48" s="3075"/>
      <c r="T48" s="3075"/>
      <c r="U48" s="3075"/>
      <c r="V48" s="3075"/>
      <c r="W48" s="3075"/>
      <c r="X48" s="3075"/>
      <c r="Y48" s="3075"/>
      <c r="Z48" s="3076"/>
    </row>
    <row r="49" spans="1:26" ht="22.05" customHeight="1" x14ac:dyDescent="0.3">
      <c r="A49" s="2812">
        <v>7</v>
      </c>
      <c r="B49" s="1823" t="str">
        <f>'M2-PDOT'!B10</f>
        <v>PDOT.PI.OE4.M1.01</v>
      </c>
      <c r="C49" s="1823" t="str">
        <f>'M2-PDOT'!C10</f>
        <v>Político Institucional</v>
      </c>
      <c r="D49" s="1823" t="str">
        <f>'M2-PDOT'!D10</f>
        <v>Implementación de la Transformación digital de los procedimientos institucionales</v>
      </c>
      <c r="E49" s="3055">
        <f>'M2-PDOT'!E10</f>
        <v>3.6968726259480326E-2</v>
      </c>
      <c r="F49" s="1823">
        <f>'M2-PDOT'!F10</f>
        <v>1</v>
      </c>
      <c r="G49" s="1823">
        <f>'M2-PDOT'!G10</f>
        <v>1</v>
      </c>
      <c r="H49" s="1823">
        <f>'M2-PDOT'!H10</f>
        <v>1</v>
      </c>
      <c r="I49" s="1823" t="s">
        <v>3868</v>
      </c>
      <c r="J49" s="2947">
        <f>'M2-PDOT'!L10</f>
        <v>1219611.33</v>
      </c>
      <c r="K49" s="1823" t="s">
        <v>3827</v>
      </c>
      <c r="L49" s="1823" t="str">
        <f>'M2-PDOT'!K10</f>
        <v>Dir. TICs</v>
      </c>
      <c r="M49" s="1823" t="str">
        <f>'M2-PDOT'!N10</f>
        <v>✅ ALINEADA</v>
      </c>
      <c r="N49" s="3047" t="s">
        <v>3869</v>
      </c>
      <c r="O49" s="3074"/>
      <c r="P49" s="3075"/>
      <c r="Q49" s="3075"/>
      <c r="R49" s="3075"/>
      <c r="S49" s="3075"/>
      <c r="T49" s="3075"/>
      <c r="U49" s="3075"/>
      <c r="V49" s="3075"/>
      <c r="W49" s="3075"/>
      <c r="X49" s="3075"/>
      <c r="Y49" s="3075"/>
      <c r="Z49" s="3076"/>
    </row>
    <row r="50" spans="1:26" ht="22.05" customHeight="1" x14ac:dyDescent="0.3">
      <c r="A50" s="2813">
        <v>8</v>
      </c>
      <c r="B50" s="2788" t="str">
        <f>'M2-PDOT'!B11</f>
        <v>PDOT.AV.OE1.M1.01</v>
      </c>
      <c r="C50" s="2788" t="str">
        <f>'M2-PDOT'!C11</f>
        <v>Asentamientos Humanos</v>
      </c>
      <c r="D50" s="2788" t="str">
        <f>'M2-PDOT'!D11</f>
        <v>Recuperación integral de los espacios públicos</v>
      </c>
      <c r="E50" s="3056">
        <f>'M2-PDOT'!E11</f>
        <v>2.7121740693637479E-2</v>
      </c>
      <c r="F50" s="2788">
        <f>'M2-PDOT'!F11</f>
        <v>1</v>
      </c>
      <c r="G50" s="2788">
        <f>'M2-PDOT'!G11</f>
        <v>1</v>
      </c>
      <c r="H50" s="2788">
        <f>'M2-PDOT'!H11</f>
        <v>0.9</v>
      </c>
      <c r="I50" s="2788" t="s">
        <v>3870</v>
      </c>
      <c r="J50" s="2949">
        <f>'M2-PDOT'!L11</f>
        <v>894755.8</v>
      </c>
      <c r="K50" s="2788" t="s">
        <v>3828</v>
      </c>
      <c r="L50" s="2788" t="str">
        <f>'M2-PDOT'!K11</f>
        <v>Dir. Planificación</v>
      </c>
      <c r="M50" s="2788" t="str">
        <f>'M2-PDOT'!N11</f>
        <v>✅ ALINEADA</v>
      </c>
      <c r="N50" s="3048" t="s">
        <v>3871</v>
      </c>
      <c r="O50" s="3074"/>
      <c r="P50" s="3075"/>
      <c r="Q50" s="3075"/>
      <c r="R50" s="3075"/>
      <c r="S50" s="3075"/>
      <c r="T50" s="3075"/>
      <c r="U50" s="3075"/>
      <c r="V50" s="3075"/>
      <c r="W50" s="3075"/>
      <c r="X50" s="3075"/>
      <c r="Y50" s="3075"/>
      <c r="Z50" s="3076"/>
    </row>
    <row r="51" spans="1:26" ht="22.05" customHeight="1" x14ac:dyDescent="0.3">
      <c r="A51" s="2812">
        <v>9</v>
      </c>
      <c r="B51" s="1823" t="str">
        <f>'M2-PDOT'!B12</f>
        <v>PDOT.AM.OE3.M1.01</v>
      </c>
      <c r="C51" s="1823" t="str">
        <f>'M2-PDOT'!C12</f>
        <v>Ambiental</v>
      </c>
      <c r="D51" s="1823" t="str">
        <f>'M2-PDOT'!D12</f>
        <v>Implementación de Infraestructura civil para la mitigación y reducción de impactos ante la susceptib</v>
      </c>
      <c r="E51" s="3055">
        <f>'M2-PDOT'!E12</f>
        <v>2.5461988827181092E-2</v>
      </c>
      <c r="F51" s="1823">
        <f>'M2-PDOT'!F12</f>
        <v>1.5</v>
      </c>
      <c r="G51" s="1823">
        <f>'M2-PDOT'!G12</f>
        <v>0</v>
      </c>
      <c r="H51" s="1823">
        <f>'M2-PDOT'!H12</f>
        <v>0.3</v>
      </c>
      <c r="I51" s="1823" t="s">
        <v>3872</v>
      </c>
      <c r="J51" s="2947">
        <f>'M2-PDOT'!L12</f>
        <v>840000</v>
      </c>
      <c r="K51" s="1823" t="s">
        <v>3829</v>
      </c>
      <c r="L51" s="1823" t="str">
        <f>'M2-PDOT'!K12</f>
        <v>Dir. Planificación</v>
      </c>
      <c r="M51" s="1823" t="str">
        <f>'M2-PDOT'!N12</f>
        <v>🔴 BAJA</v>
      </c>
      <c r="N51" s="3047" t="s">
        <v>3873</v>
      </c>
      <c r="O51" s="3074"/>
      <c r="P51" s="3075"/>
      <c r="Q51" s="3075"/>
      <c r="R51" s="3075"/>
      <c r="S51" s="3075"/>
      <c r="T51" s="3075"/>
      <c r="U51" s="3075"/>
      <c r="V51" s="3075"/>
      <c r="W51" s="3075"/>
      <c r="X51" s="3075"/>
      <c r="Y51" s="3075"/>
      <c r="Z51" s="3076"/>
    </row>
    <row r="52" spans="1:26" ht="22.05" customHeight="1" x14ac:dyDescent="0.3">
      <c r="A52" s="2813">
        <v>10</v>
      </c>
      <c r="B52" s="2788" t="str">
        <f>'M2-PDOT'!B13</f>
        <v>PDOT.FA.OE4.AH.02</v>
      </c>
      <c r="C52" s="2788" t="str">
        <f>'M2-PDOT'!C13</f>
        <v>Físico Ambiental</v>
      </c>
      <c r="D52" s="2788" t="str">
        <f>'M2-PDOT'!D13</f>
        <v>Mejorando la capacidad de
disposición final de desechos sólidos</v>
      </c>
      <c r="E52" s="3056">
        <f>'M2-PDOT'!E13</f>
        <v>2.2697015989676123E-2</v>
      </c>
      <c r="F52" s="2788">
        <f>'M2-PDOT'!F13</f>
        <v>1</v>
      </c>
      <c r="G52" s="2788">
        <f>'M2-PDOT'!G13</f>
        <v>1</v>
      </c>
      <c r="H52" s="2788">
        <f>'M2-PDOT'!H13</f>
        <v>0.4</v>
      </c>
      <c r="I52" s="2788" t="s">
        <v>3874</v>
      </c>
      <c r="J52" s="2949">
        <f>'M2-PDOT'!L13</f>
        <v>748782.57</v>
      </c>
      <c r="K52" s="2788" t="s">
        <v>3830</v>
      </c>
      <c r="L52" s="2788" t="str">
        <f>'M2-PDOT'!K13</f>
        <v>Dir. Gestión Ambiental</v>
      </c>
      <c r="M52" s="2788" t="str">
        <f>'M2-PDOT'!N13</f>
        <v>⚠️ PARCIAL</v>
      </c>
      <c r="N52" s="3048" t="s">
        <v>3875</v>
      </c>
      <c r="O52" s="3074"/>
      <c r="P52" s="3075"/>
      <c r="Q52" s="3075"/>
      <c r="R52" s="3075"/>
      <c r="S52" s="3075"/>
      <c r="T52" s="3075"/>
      <c r="U52" s="3075"/>
      <c r="V52" s="3075"/>
      <c r="W52" s="3075"/>
      <c r="X52" s="3075"/>
      <c r="Y52" s="3075"/>
      <c r="Z52" s="3076"/>
    </row>
    <row r="53" spans="1:26" ht="22.05" customHeight="1" x14ac:dyDescent="0.3">
      <c r="A53" s="2812">
        <v>11</v>
      </c>
      <c r="B53" s="1823" t="str">
        <f>'M2-PDOT'!B14</f>
        <v>PDOT.FA.OE1.PV.01</v>
      </c>
      <c r="C53" s="1823" t="str">
        <f>'M2-PDOT'!C14</f>
        <v>Físico Ambiental</v>
      </c>
      <c r="D53" s="1823" t="str">
        <f>'M2-PDOT'!D14</f>
        <v>Desarrollo de la red Verde y recuperación del espacio público</v>
      </c>
      <c r="E53" s="3055">
        <f>'M2-PDOT'!E14</f>
        <v>1.8490239847697151E-2</v>
      </c>
      <c r="F53" s="1823">
        <f>'M2-PDOT'!F14</f>
        <v>1</v>
      </c>
      <c r="G53" s="1823">
        <f>'M2-PDOT'!G14</f>
        <v>1</v>
      </c>
      <c r="H53" s="1823">
        <f>'M2-PDOT'!H14</f>
        <v>0.5</v>
      </c>
      <c r="I53" s="1823" t="s">
        <v>440</v>
      </c>
      <c r="J53" s="2947">
        <f>'M2-PDOT'!L14</f>
        <v>609999.54</v>
      </c>
      <c r="K53" s="1823" t="s">
        <v>3876</v>
      </c>
      <c r="L53" s="1823" t="str">
        <f>'M2-PDOT'!K14</f>
        <v>Dir. Gestión Ambiental</v>
      </c>
      <c r="M53" s="1823" t="str">
        <f>'M2-PDOT'!N14</f>
        <v>⚠️ PARCIAL</v>
      </c>
      <c r="N53" s="3047" t="s">
        <v>3877</v>
      </c>
      <c r="O53" s="3074"/>
      <c r="P53" s="3075"/>
      <c r="Q53" s="3075"/>
      <c r="R53" s="3075"/>
      <c r="S53" s="3075"/>
      <c r="T53" s="3075"/>
      <c r="U53" s="3075"/>
      <c r="V53" s="3075"/>
      <c r="W53" s="3075"/>
      <c r="X53" s="3075"/>
      <c r="Y53" s="3075"/>
      <c r="Z53" s="3076"/>
    </row>
    <row r="54" spans="1:26" ht="22.05" customHeight="1" x14ac:dyDescent="0.3">
      <c r="A54" s="2813">
        <v>12</v>
      </c>
      <c r="B54" s="2788" t="str">
        <f>'M2-PDOT'!B15</f>
        <v>PDOT.PI.OE4.M2.01</v>
      </c>
      <c r="C54" s="2788" t="str">
        <f>'M2-PDOT'!C15</f>
        <v>Político Institucional</v>
      </c>
      <c r="D54" s="2788" t="str">
        <f>'M2-PDOT'!D15</f>
        <v>Fortalecimiento del Sistema de Información Territorial Municipal</v>
      </c>
      <c r="E54" s="3056">
        <f>'M2-PDOT'!E15</f>
        <v>1.8216107891773022E-2</v>
      </c>
      <c r="F54" s="2788">
        <f>'M2-PDOT'!F15</f>
        <v>1</v>
      </c>
      <c r="G54" s="2788">
        <f>'M2-PDOT'!G15</f>
        <v>0</v>
      </c>
      <c r="H54" s="2788">
        <f>'M2-PDOT'!H15</f>
        <v>0</v>
      </c>
      <c r="I54" s="2788" t="s">
        <v>3878</v>
      </c>
      <c r="J54" s="2949">
        <f>'M2-PDOT'!L15</f>
        <v>600955.82999999996</v>
      </c>
      <c r="K54" s="2788" t="s">
        <v>3831</v>
      </c>
      <c r="L54" s="2788" t="str">
        <f>'M2-PDOT'!K15</f>
        <v>Dir. TICs</v>
      </c>
      <c r="M54" s="2788" t="str">
        <f>'M2-PDOT'!N15</f>
        <v>🔴 BAJA</v>
      </c>
      <c r="N54" s="3048" t="s">
        <v>3879</v>
      </c>
      <c r="O54" s="3074"/>
      <c r="P54" s="3075"/>
      <c r="Q54" s="3075"/>
      <c r="R54" s="3075"/>
      <c r="S54" s="3075"/>
      <c r="T54" s="3075"/>
      <c r="U54" s="3075"/>
      <c r="V54" s="3075"/>
      <c r="W54" s="3075"/>
      <c r="X54" s="3075"/>
      <c r="Y54" s="3075"/>
      <c r="Z54" s="3076"/>
    </row>
    <row r="55" spans="1:26" ht="22.05" customHeight="1" x14ac:dyDescent="0.3">
      <c r="A55" s="2812">
        <v>13</v>
      </c>
      <c r="B55" s="1823" t="str">
        <f>'M2-PDOT'!B16</f>
        <v>PDOT.PI.OE4.FI.01</v>
      </c>
      <c r="C55" s="1823" t="str">
        <f>'M2-PDOT'!C16</f>
        <v>Político Institucional</v>
      </c>
      <c r="D55" s="1823" t="str">
        <f>'M2-PDOT'!D16</f>
        <v>Desarrollo e implementación de Planes Estratégicos Institucionales</v>
      </c>
      <c r="E55" s="3055">
        <f>'M2-PDOT'!E16</f>
        <v>1.2517992752294592E-2</v>
      </c>
      <c r="F55" s="1823">
        <f>'M2-PDOT'!F16</f>
        <v>1</v>
      </c>
      <c r="G55" s="1823">
        <f>'M2-PDOT'!G16</f>
        <v>1</v>
      </c>
      <c r="H55" s="1823">
        <f>'M2-PDOT'!H16</f>
        <v>0.3</v>
      </c>
      <c r="I55" s="1823" t="s">
        <v>640</v>
      </c>
      <c r="J55" s="2947">
        <f>'M2-PDOT'!L16</f>
        <v>412973</v>
      </c>
      <c r="K55" s="1823" t="s">
        <v>3832</v>
      </c>
      <c r="L55" s="1823" t="str">
        <f>'M2-PDOT'!K16</f>
        <v>Dir. Planificación</v>
      </c>
      <c r="M55" s="1823" t="str">
        <f>'M2-PDOT'!N16</f>
        <v>⚠️ PARCIAL</v>
      </c>
      <c r="N55" s="3047" t="s">
        <v>3880</v>
      </c>
      <c r="O55" s="3074"/>
      <c r="P55" s="3075"/>
      <c r="Q55" s="3075"/>
      <c r="R55" s="3075"/>
      <c r="S55" s="3075"/>
      <c r="T55" s="3075"/>
      <c r="U55" s="3075"/>
      <c r="V55" s="3075"/>
      <c r="W55" s="3075"/>
      <c r="X55" s="3075"/>
      <c r="Y55" s="3075"/>
      <c r="Z55" s="3076"/>
    </row>
    <row r="56" spans="1:26" ht="22.05" customHeight="1" x14ac:dyDescent="0.3">
      <c r="A56" s="2813">
        <v>14</v>
      </c>
      <c r="B56" s="2788" t="str">
        <f>'M2-PDOT'!B17</f>
        <v>PDOT.AS.VV.HB.01</v>
      </c>
      <c r="C56" s="2788" t="str">
        <f>'M2-PDOT'!C17</f>
        <v>Asentamientos Humanos</v>
      </c>
      <c r="D56" s="2788" t="str">
        <f>'M2-PDOT'!D17</f>
        <v>Repoteciación de viviendas en
condiciones precarias</v>
      </c>
      <c r="E56" s="3056">
        <f>'M2-PDOT'!E17</f>
        <v>9.8210528333412782E-3</v>
      </c>
      <c r="F56" s="2788">
        <f>'M2-PDOT'!F17</f>
        <v>1</v>
      </c>
      <c r="G56" s="2788">
        <f>'M2-PDOT'!G17</f>
        <v>1</v>
      </c>
      <c r="H56" s="2788">
        <f>'M2-PDOT'!H17</f>
        <v>1</v>
      </c>
      <c r="I56" s="2788" t="s">
        <v>3881</v>
      </c>
      <c r="J56" s="2949">
        <f>'M2-PDOT'!L17</f>
        <v>324000</v>
      </c>
      <c r="K56" s="2788" t="s">
        <v>3833</v>
      </c>
      <c r="L56" s="2788" t="str">
        <f>'M2-PDOT'!K17</f>
        <v>Dir. Planificación Territorial</v>
      </c>
      <c r="M56" s="2788" t="str">
        <f>'M2-PDOT'!N17</f>
        <v>✅ ALINEADA</v>
      </c>
      <c r="N56" s="3048" t="s">
        <v>3882</v>
      </c>
      <c r="O56" s="3074"/>
      <c r="P56" s="3075"/>
      <c r="Q56" s="3075"/>
      <c r="R56" s="3075"/>
      <c r="S56" s="3075"/>
      <c r="T56" s="3075"/>
      <c r="U56" s="3075"/>
      <c r="V56" s="3075"/>
      <c r="W56" s="3075"/>
      <c r="X56" s="3075"/>
      <c r="Y56" s="3075"/>
      <c r="Z56" s="3076"/>
    </row>
    <row r="57" spans="1:26" ht="22.05" customHeight="1" x14ac:dyDescent="0.3">
      <c r="A57" s="2812">
        <v>15</v>
      </c>
      <c r="B57" s="1823" t="str">
        <f>'M2-PDOT'!B18</f>
        <v>PDOT.SC.PA.CP.01</v>
      </c>
      <c r="C57" s="1823" t="str">
        <f>'M2-PDOT'!C18</f>
        <v>Socio Cultural</v>
      </c>
      <c r="D57" s="1823" t="str">
        <f>'M2-PDOT'!D18</f>
        <v>Generación del Catastro
y clasificación de artistas y gestores culturales en el RUAC (Registro Único</v>
      </c>
      <c r="E57" s="3055">
        <f>'M2-PDOT'!E18</f>
        <v>8.6100169897484775E-3</v>
      </c>
      <c r="F57" s="1823">
        <f>'M2-PDOT'!F18</f>
        <v>0.5</v>
      </c>
      <c r="G57" s="1823">
        <f>'M2-PDOT'!G18</f>
        <v>0</v>
      </c>
      <c r="H57" s="1823">
        <f>'M2-PDOT'!H18</f>
        <v>0.2</v>
      </c>
      <c r="I57" s="1823" t="s">
        <v>3883</v>
      </c>
      <c r="J57" s="2947">
        <f>'M2-PDOT'!L18</f>
        <v>284047.5</v>
      </c>
      <c r="K57" s="1823" t="s">
        <v>3884</v>
      </c>
      <c r="L57" s="1823" t="str">
        <f>'M2-PDOT'!K18</f>
        <v>Dir. Cultura</v>
      </c>
      <c r="M57" s="1823" t="str">
        <f>'M2-PDOT'!N18</f>
        <v>🔴 BAJA</v>
      </c>
      <c r="N57" s="3047" t="s">
        <v>3885</v>
      </c>
      <c r="O57" s="3074"/>
      <c r="P57" s="3075"/>
      <c r="Q57" s="3075"/>
      <c r="R57" s="3075"/>
      <c r="S57" s="3075"/>
      <c r="T57" s="3075"/>
      <c r="U57" s="3075"/>
      <c r="V57" s="3075"/>
      <c r="W57" s="3075"/>
      <c r="X57" s="3075"/>
      <c r="Y57" s="3075"/>
      <c r="Z57" s="3076"/>
    </row>
    <row r="58" spans="1:26" ht="22.05" customHeight="1" x14ac:dyDescent="0.3">
      <c r="A58" s="2813">
        <v>16</v>
      </c>
      <c r="B58" s="2788" t="str">
        <f>'M2-PDOT'!B19</f>
        <v>PDOT.EP.OE5.PD.01</v>
      </c>
      <c r="C58" s="2788" t="str">
        <f>'M2-PDOT'!C19</f>
        <v>Económico Productivo</v>
      </c>
      <c r="D58" s="2788" t="str">
        <f>'M2-PDOT'!D19</f>
        <v>Implementación de Ferias Productivas
y Feria de Negocios para Emprendedores del Cantón Montecristi</v>
      </c>
      <c r="E58" s="3056">
        <f>'M2-PDOT'!E19</f>
        <v>3.3271362671826298E-3</v>
      </c>
      <c r="F58" s="2788">
        <f>'M2-PDOT'!F19</f>
        <v>0.5</v>
      </c>
      <c r="G58" s="2788">
        <f>'M2-PDOT'!G19</f>
        <v>1</v>
      </c>
      <c r="H58" s="2788">
        <f>'M2-PDOT'!H19</f>
        <v>0.7</v>
      </c>
      <c r="I58" s="2788" t="s">
        <v>3886</v>
      </c>
      <c r="J58" s="2949">
        <f>'M2-PDOT'!L19</f>
        <v>109763.4</v>
      </c>
      <c r="K58" s="2788" t="s">
        <v>3834</v>
      </c>
      <c r="L58" s="2788" t="str">
        <f>'M2-PDOT'!K19</f>
        <v>Dir. Desarrollo Económico</v>
      </c>
      <c r="M58" s="2788" t="str">
        <f>'M2-PDOT'!N19</f>
        <v>✅ ALINEADA</v>
      </c>
      <c r="N58" s="3048" t="s">
        <v>3887</v>
      </c>
      <c r="O58" s="3074"/>
      <c r="P58" s="3075"/>
      <c r="Q58" s="3075"/>
      <c r="R58" s="3075"/>
      <c r="S58" s="3075"/>
      <c r="T58" s="3075"/>
      <c r="U58" s="3075"/>
      <c r="V58" s="3075"/>
      <c r="W58" s="3075"/>
      <c r="X58" s="3075"/>
      <c r="Y58" s="3075"/>
      <c r="Z58" s="3076"/>
    </row>
    <row r="59" spans="1:26" ht="22.05" customHeight="1" x14ac:dyDescent="0.3">
      <c r="A59" s="2812">
        <v>17</v>
      </c>
      <c r="B59" s="1823" t="str">
        <f>'M2-PDOT'!B20</f>
        <v>PDOT.SC.PA.CP.02</v>
      </c>
      <c r="C59" s="1823" t="str">
        <f>'M2-PDOT'!C20</f>
        <v>Socio Cultural</v>
      </c>
      <c r="D59" s="1823" t="str">
        <f>'M2-PDOT'!D20</f>
        <v>Creación del Inventario del Patrimonio Cultural de Montecristi</v>
      </c>
      <c r="E59" s="3055">
        <f>'M2-PDOT'!E20</f>
        <v>6.4989128752281538E-3</v>
      </c>
      <c r="F59" s="1823">
        <f>'M2-PDOT'!F20</f>
        <v>0.5</v>
      </c>
      <c r="G59" s="1823">
        <f>'M2-PDOT'!G20</f>
        <v>1</v>
      </c>
      <c r="H59" s="1823">
        <f>'M2-PDOT'!H20</f>
        <v>1</v>
      </c>
      <c r="I59" s="1823" t="s">
        <v>613</v>
      </c>
      <c r="J59" s="2947">
        <f>'M2-PDOT'!L20</f>
        <v>214401.43</v>
      </c>
      <c r="K59" s="1823" t="s">
        <v>3888</v>
      </c>
      <c r="L59" s="1823" t="str">
        <f>'M2-PDOT'!K20</f>
        <v>Dir. Cultura</v>
      </c>
      <c r="M59" s="1823" t="str">
        <f>'M2-PDOT'!N20</f>
        <v>✅ ALINEADA</v>
      </c>
      <c r="N59" s="3047" t="s">
        <v>3889</v>
      </c>
      <c r="O59" s="3074"/>
      <c r="P59" s="3075"/>
      <c r="Q59" s="3075"/>
      <c r="R59" s="3075"/>
      <c r="S59" s="3075"/>
      <c r="T59" s="3075"/>
      <c r="U59" s="3075"/>
      <c r="V59" s="3075"/>
      <c r="W59" s="3075"/>
      <c r="X59" s="3075"/>
      <c r="Y59" s="3075"/>
      <c r="Z59" s="3076"/>
    </row>
    <row r="60" spans="1:26" ht="22.05" customHeight="1" x14ac:dyDescent="0.3">
      <c r="A60" s="2813">
        <v>18</v>
      </c>
      <c r="B60" s="2788" t="str">
        <f>'M2-PDOT'!B21</f>
        <v>PDOT.AS.VL.SV.01</v>
      </c>
      <c r="C60" s="2788" t="str">
        <f>'M2-PDOT'!C21</f>
        <v>Asentamientos Humanos</v>
      </c>
      <c r="D60" s="2788" t="str">
        <f>'M2-PDOT'!D21</f>
        <v>Mejora del servicio deTransporte Público</v>
      </c>
      <c r="E60" s="3056">
        <f>'M2-PDOT'!E21</f>
        <v>4.6377193935222705E-3</v>
      </c>
      <c r="F60" s="2788">
        <f>'M2-PDOT'!F21</f>
        <v>1</v>
      </c>
      <c r="G60" s="2788">
        <f>'M2-PDOT'!G21</f>
        <v>1</v>
      </c>
      <c r="H60" s="2788">
        <f>'M2-PDOT'!H21</f>
        <v>0.35</v>
      </c>
      <c r="I60" s="2788" t="s">
        <v>3890</v>
      </c>
      <c r="J60" s="2949">
        <f>'M2-PDOT'!L21</f>
        <v>153000</v>
      </c>
      <c r="K60" s="2788" t="s">
        <v>3835</v>
      </c>
      <c r="L60" s="2788" t="str">
        <f>'M2-PDOT'!K21</f>
        <v>Dir. Tránsito y Transporte</v>
      </c>
      <c r="M60" s="2788" t="str">
        <f>'M2-PDOT'!N21</f>
        <v>⚠️ PARCIAL</v>
      </c>
      <c r="N60" s="3048" t="s">
        <v>3891</v>
      </c>
      <c r="O60" s="3074"/>
      <c r="P60" s="3075"/>
      <c r="Q60" s="3075"/>
      <c r="R60" s="3075"/>
      <c r="S60" s="3075"/>
      <c r="T60" s="3075"/>
      <c r="U60" s="3075"/>
      <c r="V60" s="3075"/>
      <c r="W60" s="3075"/>
      <c r="X60" s="3075"/>
      <c r="Y60" s="3075"/>
      <c r="Z60" s="3076"/>
    </row>
    <row r="61" spans="1:26" ht="22.05" customHeight="1" x14ac:dyDescent="0.3">
      <c r="A61" s="2812">
        <v>19</v>
      </c>
      <c r="B61" s="1823" t="str">
        <f>'M2-PDOT'!B22</f>
        <v>PDOT.SC.OE2.M2.01</v>
      </c>
      <c r="C61" s="1823" t="str">
        <f>'M2-PDOT'!C22</f>
        <v>Socio Cultural</v>
      </c>
      <c r="D61" s="1823" t="str">
        <f>'M2-PDOT'!D22</f>
        <v>Fortalecimiento para la reducción de indicadores territoriales del cantón Montecristi relacionados a</v>
      </c>
      <c r="E61" s="3055">
        <f>'M2-PDOT'!E22</f>
        <v>4.364912370373902E-3</v>
      </c>
      <c r="F61" s="1823">
        <f>'M2-PDOT'!F22</f>
        <v>1</v>
      </c>
      <c r="G61" s="1823">
        <f>'M2-PDOT'!G22</f>
        <v>1</v>
      </c>
      <c r="H61" s="1823">
        <f>'M2-PDOT'!H22</f>
        <v>0.3</v>
      </c>
      <c r="I61" s="1823" t="s">
        <v>3892</v>
      </c>
      <c r="J61" s="2947">
        <f>'M2-PDOT'!L22</f>
        <v>144000</v>
      </c>
      <c r="K61" s="1823" t="s">
        <v>3836</v>
      </c>
      <c r="L61" s="1823" t="str">
        <f>'M2-PDOT'!K22</f>
        <v>Dir. Planificación</v>
      </c>
      <c r="M61" s="1823" t="str">
        <f>'M2-PDOT'!N22</f>
        <v>⚠️ PARCIAL</v>
      </c>
      <c r="N61" s="3047" t="s">
        <v>3893</v>
      </c>
      <c r="O61" s="3074"/>
      <c r="P61" s="3075"/>
      <c r="Q61" s="3075"/>
      <c r="R61" s="3075"/>
      <c r="S61" s="3075"/>
      <c r="T61" s="3075"/>
      <c r="U61" s="3075"/>
      <c r="V61" s="3075"/>
      <c r="W61" s="3075"/>
      <c r="X61" s="3075"/>
      <c r="Y61" s="3075"/>
      <c r="Z61" s="3076"/>
    </row>
    <row r="62" spans="1:26" s="23" customFormat="1" ht="22.05" customHeight="1" x14ac:dyDescent="0.3">
      <c r="A62" s="2813">
        <v>20</v>
      </c>
      <c r="B62" s="2788" t="str">
        <f>'M2-PDOT'!B23</f>
        <v>PDOT.FA.OE2.MA.01</v>
      </c>
      <c r="C62" s="2788" t="str">
        <f>'M2-PDOT'!C23</f>
        <v>Físico Ambiental</v>
      </c>
      <c r="D62" s="2788" t="str">
        <f>'M2-PDOT'!D23</f>
        <v>Campaña de sensibilización a las unidades
educativas para fomentar la cultura del reciclaje.</v>
      </c>
      <c r="E62" s="3056">
        <f>'M2-PDOT'!E23</f>
        <v>4.1568709469966139E-3</v>
      </c>
      <c r="F62" s="2788">
        <f>'M2-PDOT'!F23</f>
        <v>0.5</v>
      </c>
      <c r="G62" s="2788">
        <f>'M2-PDOT'!G23</f>
        <v>1</v>
      </c>
      <c r="H62" s="2788">
        <f>'M2-PDOT'!H23</f>
        <v>0.35</v>
      </c>
      <c r="I62" s="2788" t="s">
        <v>3894</v>
      </c>
      <c r="J62" s="2949">
        <f>'M2-PDOT'!L23</f>
        <v>137136.64000000001</v>
      </c>
      <c r="K62" s="2788" t="s">
        <v>3895</v>
      </c>
      <c r="L62" s="2788" t="str">
        <f>'M2-PDOT'!K23</f>
        <v>Dir. Cultura</v>
      </c>
      <c r="M62" s="2788" t="str">
        <f>'M2-PDOT'!N23</f>
        <v>✅ ALINEADA</v>
      </c>
      <c r="N62" s="3048" t="s">
        <v>3896</v>
      </c>
      <c r="O62" s="3074"/>
      <c r="P62" s="3075"/>
      <c r="Q62" s="3075"/>
      <c r="R62" s="3075"/>
      <c r="S62" s="3075"/>
      <c r="T62" s="3075"/>
      <c r="U62" s="3075"/>
      <c r="V62" s="3075"/>
      <c r="W62" s="3075"/>
      <c r="X62" s="3075"/>
      <c r="Y62" s="3075"/>
      <c r="Z62" s="3076"/>
    </row>
    <row r="63" spans="1:26" s="15" customFormat="1" ht="24" customHeight="1" x14ac:dyDescent="0.3">
      <c r="A63" s="3057" t="s">
        <v>683</v>
      </c>
      <c r="B63" s="3058" t="s">
        <v>3897</v>
      </c>
      <c r="C63" s="3058"/>
      <c r="D63" s="3058"/>
      <c r="E63" s="3059">
        <f>SUM(E43:E62)</f>
        <v>1.0000000000000002</v>
      </c>
      <c r="F63" s="3058"/>
      <c r="G63" s="3058"/>
      <c r="H63" s="3058"/>
      <c r="I63" s="3058"/>
      <c r="J63" s="3060">
        <f>SUM(J43:J62)</f>
        <v>32990353.02</v>
      </c>
      <c r="K63" s="3058"/>
      <c r="L63" s="3058"/>
      <c r="M63" s="3058"/>
      <c r="N63" s="3061"/>
      <c r="O63" s="3074"/>
      <c r="P63" s="3075"/>
      <c r="Q63" s="3075"/>
      <c r="R63" s="3075"/>
      <c r="S63" s="3075"/>
      <c r="T63" s="3075"/>
      <c r="U63" s="3075"/>
      <c r="V63" s="3075"/>
      <c r="W63" s="3075"/>
      <c r="X63" s="3075"/>
      <c r="Y63" s="3075"/>
      <c r="Z63" s="3076"/>
    </row>
    <row r="64" spans="1:26" ht="48" customHeight="1" x14ac:dyDescent="0.3">
      <c r="A64" s="3062" t="s">
        <v>3837</v>
      </c>
      <c r="B64" s="3063" t="s">
        <v>3838</v>
      </c>
      <c r="C64" s="3064"/>
      <c r="D64" s="3064" t="s">
        <v>3898</v>
      </c>
      <c r="E64" s="3064"/>
      <c r="F64" s="3064"/>
      <c r="G64" s="3064"/>
      <c r="H64" s="3064"/>
      <c r="I64" s="3064"/>
      <c r="J64" s="3064"/>
      <c r="K64" s="3064"/>
      <c r="L64" s="3064"/>
      <c r="M64" s="3064"/>
      <c r="N64" s="3065"/>
      <c r="O64" s="3077"/>
      <c r="P64" s="3078"/>
      <c r="Q64" s="3078"/>
      <c r="R64" s="3078"/>
      <c r="S64" s="3078"/>
      <c r="T64" s="3078"/>
      <c r="U64" s="3078"/>
      <c r="V64" s="3078"/>
      <c r="W64" s="3078"/>
      <c r="X64" s="3078"/>
      <c r="Y64" s="3078"/>
      <c r="Z64" s="3079"/>
    </row>
  </sheetData>
  <mergeCells count="6">
    <mergeCell ref="A41:Z41"/>
    <mergeCell ref="A1:Z1"/>
    <mergeCell ref="A3:N3"/>
    <mergeCell ref="B40:H40"/>
    <mergeCell ref="K40:L40"/>
    <mergeCell ref="M40:N40"/>
  </mergeCells>
  <conditionalFormatting sqref="C43:C62">
    <cfRule type="expression" dxfId="701" priority="21">
      <formula>ISNUMBER(SEARCH("Asentamientos",C43))</formula>
    </cfRule>
    <cfRule type="expression" dxfId="700" priority="22">
      <formula>ISNUMBER(SEARCH("Socio",C43))</formula>
    </cfRule>
    <cfRule type="expression" dxfId="699" priority="23">
      <formula>ISNUMBER(SEARCH("Ambiental",C43))</formula>
    </cfRule>
    <cfRule type="expression" dxfId="698" priority="24">
      <formula>ISNUMBER(SEARCH("Político",C43))</formula>
    </cfRule>
    <cfRule type="expression" dxfId="697" priority="25">
      <formula>ISNUMBER(SEARCH("Económico",C43))</formula>
    </cfRule>
    <cfRule type="expression" dxfId="696" priority="26">
      <formula>ISNUMBER(SEARCH("Físico",C43))</formula>
    </cfRule>
  </conditionalFormatting>
  <conditionalFormatting sqref="E43:E62">
    <cfRule type="expression" dxfId="695" priority="9">
      <formula>E43&gt;0.1</formula>
    </cfRule>
    <cfRule type="expression" dxfId="694" priority="10">
      <formula>AND(E43&gt;=0.03,E43&lt;=0.1)</formula>
    </cfRule>
    <cfRule type="expression" dxfId="693" priority="11">
      <formula>AND(E43&gt;=0.01,E43&lt;0.03)</formula>
    </cfRule>
    <cfRule type="expression" dxfId="692" priority="12">
      <formula>E43&lt;0.01</formula>
    </cfRule>
  </conditionalFormatting>
  <conditionalFormatting sqref="G43:G62">
    <cfRule type="expression" dxfId="691" priority="13">
      <formula>G43=1</formula>
    </cfRule>
    <cfRule type="expression" dxfId="690" priority="14">
      <formula>G43=1.5</formula>
    </cfRule>
    <cfRule type="expression" dxfId="689" priority="15">
      <formula>G43=0</formula>
    </cfRule>
  </conditionalFormatting>
  <conditionalFormatting sqref="H43:H62">
    <cfRule type="expression" dxfId="688" priority="16">
      <formula>H43&gt;=0.9</formula>
    </cfRule>
    <cfRule type="expression" dxfId="687" priority="17">
      <formula>AND(H43&gt;=0.7,H43&lt;0.9)</formula>
    </cfRule>
    <cfRule type="expression" dxfId="686" priority="18">
      <formula>AND(H43&gt;=0.4,H43&lt;0.7)</formula>
    </cfRule>
    <cfRule type="expression" dxfId="685" priority="19">
      <formula>AND(H43&gt;=0.2,H43&lt;0.4)</formula>
    </cfRule>
    <cfRule type="expression" dxfId="684" priority="20">
      <formula>H43&lt;0.2</formula>
    </cfRule>
  </conditionalFormatting>
  <conditionalFormatting sqref="K5:K39">
    <cfRule type="expression" dxfId="683" priority="4">
      <formula>ISNUMBER(SEARCH("✅",K5))</formula>
    </cfRule>
    <cfRule type="expression" dxfId="682" priority="5">
      <formula>K5="No"</formula>
    </cfRule>
  </conditionalFormatting>
  <conditionalFormatting sqref="M5:M39">
    <cfRule type="expression" dxfId="681" priority="1">
      <formula>ISNUMBER(SEARCH("✅",M5))</formula>
    </cfRule>
    <cfRule type="expression" dxfId="680" priority="2">
      <formula>ISNUMBER(SEARCH("⚠️",M5))</formula>
    </cfRule>
    <cfRule type="expression" dxfId="679" priority="3">
      <formula>ISNUMBER(SEARCH("🔴",M5))</formula>
    </cfRule>
  </conditionalFormatting>
  <conditionalFormatting sqref="M43:M62">
    <cfRule type="expression" dxfId="678" priority="6">
      <formula>ISNUMBER(SEARCH("✅",M43))</formula>
    </cfRule>
    <cfRule type="expression" dxfId="677" priority="7">
      <formula>ISNUMBER(SEARCH("⚠️",M43))</formula>
    </cfRule>
    <cfRule type="expression" dxfId="676" priority="8">
      <formula>ISNUMBER(SEARCH("🔴",M43))</formula>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6E0B4"/>
  </sheetPr>
  <dimension ref="A1:Z28"/>
  <sheetViews>
    <sheetView showGridLines="0" topLeftCell="B1" zoomScale="85" zoomScaleNormal="85" workbookViewId="0">
      <pane ySplit="2" topLeftCell="A3" activePane="bottomLeft" state="frozen"/>
      <selection pane="bottomLeft" activeCell="A3" sqref="A3:N3"/>
    </sheetView>
  </sheetViews>
  <sheetFormatPr baseColWidth="10" defaultRowHeight="14.4" x14ac:dyDescent="0.3"/>
  <cols>
    <col min="1" max="1" width="5.21875" style="4" customWidth="1"/>
    <col min="2" max="2" width="27.77734375" style="2" customWidth="1"/>
    <col min="3" max="3" width="20.33203125" style="4" customWidth="1"/>
    <col min="4" max="4" width="40.77734375" style="4" customWidth="1"/>
    <col min="5" max="5" width="11.44140625" customWidth="1"/>
    <col min="6" max="7" width="8.33203125" customWidth="1"/>
    <col min="8" max="8" width="10.21875" customWidth="1"/>
    <col min="9" max="10" width="8.33203125" customWidth="1"/>
    <col min="11" max="11" width="24.109375" customWidth="1"/>
    <col min="12" max="12" width="16.6640625" customWidth="1"/>
    <col min="13" max="13" width="24.109375" style="4" customWidth="1"/>
    <col min="14" max="14" width="14.77734375" style="4" customWidth="1"/>
    <col min="15" max="16384" width="11.5546875" style="4"/>
  </cols>
  <sheetData>
    <row r="1" spans="1:26" ht="30" customHeight="1" thickBot="1" x14ac:dyDescent="0.35">
      <c r="A1" s="3477" t="s">
        <v>4813</v>
      </c>
      <c r="B1" s="3536"/>
      <c r="C1" s="3537"/>
      <c r="D1" s="3537"/>
      <c r="E1" s="3537"/>
      <c r="F1" s="3537"/>
      <c r="G1" s="3537"/>
      <c r="H1" s="3537"/>
      <c r="I1" s="3537"/>
      <c r="J1" s="3537"/>
      <c r="K1" s="3537"/>
      <c r="L1" s="3537"/>
      <c r="M1" s="3538"/>
      <c r="N1" s="3481"/>
      <c r="O1" s="3002"/>
      <c r="P1" s="3002"/>
      <c r="Q1" s="3002"/>
      <c r="R1" s="3002"/>
      <c r="S1" s="3002"/>
      <c r="T1" s="3002"/>
      <c r="U1" s="3002"/>
      <c r="V1" s="3002"/>
      <c r="W1" s="3002"/>
      <c r="X1" s="3002"/>
      <c r="Y1" s="3002"/>
      <c r="Z1" s="3002"/>
    </row>
    <row r="2" spans="1:26" ht="24" customHeight="1" thickBot="1" x14ac:dyDescent="0.35">
      <c r="A2" s="3016" t="str">
        <f>HYPERLINK("#'M-INDEX'!A1","⌂ INDICE")</f>
        <v>⌂ INDICE</v>
      </c>
      <c r="B2" s="3014" t="str">
        <f>HYPERLINK("#'M1-ITME'!A1","M1")</f>
        <v>M1</v>
      </c>
      <c r="C2" s="3013" t="str">
        <f>HYPERLINK("#'M2-PDOT'!A1","◉ M2-PDOT")</f>
        <v>◉ M2-PDOT</v>
      </c>
      <c r="D2" s="3012" t="str">
        <f>HYPERLINK("#'M3-MAO'!A1","M3")</f>
        <v>M3</v>
      </c>
      <c r="E2" s="3012" t="str">
        <f>HYPERLINK("#'M4-AUDIT'!A1","M4")</f>
        <v>M4</v>
      </c>
      <c r="F2" s="3012" t="str">
        <f>HYPERLINK("#'M5-ICPI'!A1","M5")</f>
        <v>M5</v>
      </c>
      <c r="G2" s="3012" t="str">
        <f>HYPERLINK("#'M6-FEDS'!A1","M6")</f>
        <v>M6</v>
      </c>
      <c r="H2" s="3012" t="str">
        <f>HYPERLINK("#'M7-PROSP'!A1","M7")</f>
        <v>M7</v>
      </c>
      <c r="I2" s="3012" t="str">
        <f>HYPERLINK("#'DATA-POA'!A1","DATA-POA")</f>
        <v>DATA-POA</v>
      </c>
      <c r="J2" s="3012" t="str">
        <f>HYPERLINK("#'DATA-CNE'!A1","DATA-CNE")</f>
        <v>DATA-CNE</v>
      </c>
      <c r="K2" s="3012" t="str">
        <f>HYPERLINK("#'DATA-ORG'!A1","DATA-ORG")</f>
        <v>DATA-ORG</v>
      </c>
      <c r="L2" s="3012" t="str">
        <f>HYPERLINK("#'M-DASHBOARD'!A1","DASH")</f>
        <v>DASH</v>
      </c>
      <c r="M2" s="3015"/>
      <c r="N2" s="3017"/>
      <c r="O2" s="3002"/>
      <c r="P2" s="3002"/>
      <c r="Q2" s="3002"/>
      <c r="R2" s="3002"/>
      <c r="S2" s="3002"/>
      <c r="T2" s="3002"/>
      <c r="U2" s="3002"/>
      <c r="V2" s="3002"/>
      <c r="W2" s="3002"/>
      <c r="X2" s="3002"/>
      <c r="Y2" s="3002"/>
      <c r="Z2" s="3002"/>
    </row>
    <row r="3" spans="1:26" s="80" customFormat="1" ht="22.05" customHeight="1" thickBot="1" x14ac:dyDescent="0.35">
      <c r="A3" s="3539" t="s">
        <v>4227</v>
      </c>
      <c r="B3" s="3540"/>
      <c r="C3" s="3541"/>
      <c r="D3" s="3541"/>
      <c r="E3" s="3541"/>
      <c r="F3" s="3541"/>
      <c r="G3" s="3541"/>
      <c r="H3" s="3541"/>
      <c r="I3" s="3541"/>
      <c r="J3" s="3541"/>
      <c r="K3" s="3541"/>
      <c r="L3" s="3541"/>
      <c r="M3" s="3542"/>
      <c r="N3" s="3543"/>
      <c r="O3" s="3003"/>
      <c r="P3" s="3003"/>
      <c r="Q3" s="3003"/>
      <c r="R3" s="3003"/>
      <c r="S3" s="3003"/>
      <c r="T3" s="3003"/>
      <c r="U3" s="3003"/>
      <c r="V3" s="3003"/>
      <c r="W3" s="3003"/>
      <c r="X3" s="3003"/>
      <c r="Y3" s="3003"/>
      <c r="Z3" s="3003"/>
    </row>
    <row r="4" spans="1:26" s="79" customFormat="1" ht="22.05" customHeight="1" thickBot="1" x14ac:dyDescent="0.35">
      <c r="A4" s="3021">
        <v>1</v>
      </c>
      <c r="B4" s="3018" t="s">
        <v>546</v>
      </c>
      <c r="C4" s="2829" t="s">
        <v>489</v>
      </c>
      <c r="D4" s="2829" t="s">
        <v>703</v>
      </c>
      <c r="E4" s="3008">
        <f t="shared" ref="E4:E23" si="0">L4/L$24</f>
        <v>0.33018018186699599</v>
      </c>
      <c r="F4" s="3008">
        <v>1</v>
      </c>
      <c r="G4" s="3008">
        <f>IFERROR(VLOOKUP(B4,'M4-AUDIT'!$A$5:$H$24,MATCH("Vi",'M4-AUDIT'!$A$4:$H$4,0),0),0)</f>
        <v>1</v>
      </c>
      <c r="H4" s="3008">
        <f>IFERROR(VLOOKUP(B4,'M4-AUDIT'!$A$5:$H$24,MATCH("Ti (H)",'M4-AUDIT'!$A$4:$H$4,0),0),0)</f>
        <v>0.25</v>
      </c>
      <c r="I4" s="3008">
        <v>1</v>
      </c>
      <c r="J4" s="3008">
        <v>1</v>
      </c>
      <c r="K4" s="2829" t="s">
        <v>704</v>
      </c>
      <c r="L4" s="3009">
        <v>10892760.76</v>
      </c>
      <c r="M4" s="3019" t="s">
        <v>705</v>
      </c>
      <c r="N4" s="3023" t="s">
        <v>450</v>
      </c>
      <c r="O4" s="3004"/>
      <c r="P4" s="3004"/>
      <c r="Q4" s="3004"/>
      <c r="R4" s="3004"/>
      <c r="S4" s="3004"/>
      <c r="T4" s="3004"/>
      <c r="U4" s="3004"/>
      <c r="V4" s="3004"/>
      <c r="W4" s="3004"/>
      <c r="X4" s="3004"/>
      <c r="Y4" s="3004"/>
      <c r="Z4" s="3004"/>
    </row>
    <row r="5" spans="1:26" s="24" customFormat="1" ht="22.05" customHeight="1" thickBot="1" x14ac:dyDescent="0.35">
      <c r="A5" s="3024">
        <v>2</v>
      </c>
      <c r="B5" s="3020" t="s">
        <v>43</v>
      </c>
      <c r="C5" s="2824" t="s">
        <v>576</v>
      </c>
      <c r="D5" s="2824" t="s">
        <v>706</v>
      </c>
      <c r="E5" s="3010">
        <f t="shared" si="0"/>
        <v>0.17664185031506524</v>
      </c>
      <c r="F5" s="3010">
        <v>1</v>
      </c>
      <c r="G5" s="3010">
        <f>IFERROR(VLOOKUP(B5,'M4-AUDIT'!$A$5:$H$24,MATCH("Vi",'M4-AUDIT'!$A$4:$H$4,0),0),0)</f>
        <v>1</v>
      </c>
      <c r="H5" s="3010">
        <f>IFERROR(VLOOKUP(B5,'M4-AUDIT'!$A$5:$H$24,MATCH("Ti (H)",'M4-AUDIT'!$A$4:$H$4,0),0),0)</f>
        <v>0.65</v>
      </c>
      <c r="I5" s="3010">
        <v>0.9</v>
      </c>
      <c r="J5" s="3010">
        <v>1</v>
      </c>
      <c r="K5" s="2824" t="s">
        <v>707</v>
      </c>
      <c r="L5" s="3011">
        <v>5827477</v>
      </c>
      <c r="M5" s="3022" t="s">
        <v>708</v>
      </c>
      <c r="N5" s="3025" t="s">
        <v>450</v>
      </c>
      <c r="O5" s="3005"/>
      <c r="P5" s="3005"/>
      <c r="Q5" s="3005"/>
      <c r="R5" s="3005"/>
      <c r="S5" s="3005"/>
      <c r="T5" s="3005"/>
      <c r="U5" s="3005"/>
      <c r="V5" s="3005"/>
      <c r="W5" s="3005"/>
      <c r="X5" s="3005"/>
      <c r="Y5" s="3005"/>
      <c r="Z5" s="3005"/>
    </row>
    <row r="6" spans="1:26" s="25" customFormat="1" ht="22.05" customHeight="1" thickBot="1" x14ac:dyDescent="0.35">
      <c r="A6" s="3021">
        <v>3</v>
      </c>
      <c r="B6" s="3018" t="s">
        <v>486</v>
      </c>
      <c r="C6" s="2829" t="s">
        <v>709</v>
      </c>
      <c r="D6" s="2829" t="s">
        <v>710</v>
      </c>
      <c r="E6" s="3008">
        <f t="shared" si="0"/>
        <v>0.1516189522727332</v>
      </c>
      <c r="F6" s="3008">
        <v>1</v>
      </c>
      <c r="G6" s="3008">
        <f>IFERROR(VLOOKUP(B6,'M4-AUDIT'!$A$5:$H$24,MATCH("Vi",'M4-AUDIT'!$A$4:$H$4,0),0),0)</f>
        <v>1</v>
      </c>
      <c r="H6" s="3008">
        <f>IFERROR(VLOOKUP(B6,'M4-AUDIT'!$A$5:$H$24,MATCH("Ti (H)",'M4-AUDIT'!$A$4:$H$4,0),0),0)</f>
        <v>0.75</v>
      </c>
      <c r="I6" s="3008">
        <v>1</v>
      </c>
      <c r="J6" s="3008">
        <v>1</v>
      </c>
      <c r="K6" s="2829" t="s">
        <v>711</v>
      </c>
      <c r="L6" s="3009">
        <v>5001962.76</v>
      </c>
      <c r="M6" s="3019" t="s">
        <v>712</v>
      </c>
      <c r="N6" s="3023" t="s">
        <v>450</v>
      </c>
      <c r="O6" s="3004"/>
      <c r="P6" s="3004"/>
      <c r="Q6" s="3004"/>
      <c r="R6" s="3004"/>
      <c r="S6" s="3004"/>
      <c r="T6" s="3004"/>
      <c r="U6" s="3004"/>
      <c r="V6" s="3004"/>
      <c r="W6" s="3004"/>
      <c r="X6" s="3004"/>
      <c r="Y6" s="3004"/>
      <c r="Z6" s="3004"/>
    </row>
    <row r="7" spans="1:26" s="19" customFormat="1" ht="22.05" customHeight="1" thickBot="1" x14ac:dyDescent="0.35">
      <c r="A7" s="3024">
        <v>4</v>
      </c>
      <c r="B7" s="3020" t="s">
        <v>715</v>
      </c>
      <c r="C7" s="2824" t="s">
        <v>489</v>
      </c>
      <c r="D7" s="2824" t="s">
        <v>713</v>
      </c>
      <c r="E7" s="3010">
        <f t="shared" si="0"/>
        <v>5.1342281756523014E-2</v>
      </c>
      <c r="F7" s="3010">
        <v>1</v>
      </c>
      <c r="G7" s="3010">
        <f>IFERROR(VLOOKUP(B7,'M4-AUDIT'!$A$5:$H$24,MATCH("Vi",'M4-AUDIT'!$A$4:$H$4,0),0),0)</f>
        <v>0</v>
      </c>
      <c r="H7" s="3010">
        <f>IFERROR(VLOOKUP(B7,'M4-AUDIT'!$A$5:$H$24,MATCH("Ti (H)",'M4-AUDIT'!$A$4:$H$4,0),0),0)</f>
        <v>0.1</v>
      </c>
      <c r="I7" s="3010">
        <v>1</v>
      </c>
      <c r="J7" s="3010">
        <v>1</v>
      </c>
      <c r="K7" s="2824" t="s">
        <v>134</v>
      </c>
      <c r="L7" s="3011">
        <v>1693800</v>
      </c>
      <c r="M7" s="3022" t="s">
        <v>708</v>
      </c>
      <c r="N7" s="3025" t="s">
        <v>444</v>
      </c>
      <c r="O7" s="3006"/>
      <c r="P7" s="3006"/>
      <c r="Q7" s="3006"/>
      <c r="R7" s="3006"/>
      <c r="S7" s="3006"/>
      <c r="T7" s="3006"/>
      <c r="U7" s="3006"/>
      <c r="V7" s="3006"/>
      <c r="W7" s="3006"/>
      <c r="X7" s="3006"/>
      <c r="Y7" s="3006"/>
      <c r="Z7" s="3006"/>
    </row>
    <row r="8" spans="1:26" s="19" customFormat="1" ht="22.05" customHeight="1" thickBot="1" x14ac:dyDescent="0.35">
      <c r="A8" s="3021">
        <v>5</v>
      </c>
      <c r="B8" s="3018" t="s">
        <v>53</v>
      </c>
      <c r="C8" s="2829" t="s">
        <v>576</v>
      </c>
      <c r="D8" s="2829" t="s">
        <v>714</v>
      </c>
      <c r="E8" s="3008">
        <f t="shared" si="0"/>
        <v>4.8834457728394447E-2</v>
      </c>
      <c r="F8" s="3008">
        <v>1</v>
      </c>
      <c r="G8" s="3008">
        <f>IFERROR(VLOOKUP(B8,'M4-AUDIT'!$A$5:$H$24,MATCH("Vi",'M4-AUDIT'!$A$4:$H$4,0),0),0)</f>
        <v>1</v>
      </c>
      <c r="H8" s="3008">
        <f>IFERROR(VLOOKUP(B8,'M4-AUDIT'!$A$5:$H$24,MATCH("Ti (H)",'M4-AUDIT'!$A$4:$H$4,0),0),0)</f>
        <v>0.2</v>
      </c>
      <c r="I8" s="3008">
        <v>1</v>
      </c>
      <c r="J8" s="3008">
        <v>1</v>
      </c>
      <c r="K8" s="2829" t="s">
        <v>134</v>
      </c>
      <c r="L8" s="3009">
        <v>1611066</v>
      </c>
      <c r="M8" s="3019" t="s">
        <v>708</v>
      </c>
      <c r="N8" s="3023" t="s">
        <v>444</v>
      </c>
      <c r="O8" s="3006"/>
      <c r="P8" s="3006"/>
      <c r="Q8" s="3006"/>
      <c r="R8" s="3006"/>
      <c r="S8" s="3006"/>
      <c r="T8" s="3006"/>
      <c r="U8" s="3006"/>
      <c r="V8" s="3006"/>
      <c r="W8" s="3006"/>
      <c r="X8" s="3006"/>
      <c r="Y8" s="3006"/>
      <c r="Z8" s="3006"/>
    </row>
    <row r="9" spans="1:26" s="19" customFormat="1" ht="22.05" customHeight="1" thickBot="1" x14ac:dyDescent="0.35">
      <c r="A9" s="3024">
        <v>6</v>
      </c>
      <c r="B9" s="3020" t="s">
        <v>509</v>
      </c>
      <c r="C9" s="2824" t="s">
        <v>489</v>
      </c>
      <c r="D9" s="2824" t="s">
        <v>716</v>
      </c>
      <c r="E9" s="3010">
        <f t="shared" si="0"/>
        <v>3.8491842122155021E-2</v>
      </c>
      <c r="F9" s="3010">
        <v>1.5</v>
      </c>
      <c r="G9" s="3010">
        <f>IFERROR(VLOOKUP(B9,'M4-AUDIT'!$A$5:$H$24,MATCH("Vi",'M4-AUDIT'!$A$4:$H$4,0),0),0)</f>
        <v>0</v>
      </c>
      <c r="H9" s="3010">
        <f>IFERROR(VLOOKUP(B9,'M4-AUDIT'!$A$5:$H$24,MATCH("Ti (H)",'M4-AUDIT'!$A$4:$H$4,0),0),0)</f>
        <v>0</v>
      </c>
      <c r="I9" s="3010">
        <v>1</v>
      </c>
      <c r="J9" s="3010">
        <v>1</v>
      </c>
      <c r="K9" s="2824" t="s">
        <v>717</v>
      </c>
      <c r="L9" s="3011">
        <v>1269859.46</v>
      </c>
      <c r="M9" s="3022" t="s">
        <v>718</v>
      </c>
      <c r="N9" s="3025" t="s">
        <v>503</v>
      </c>
      <c r="O9" s="3006"/>
      <c r="P9" s="3006"/>
      <c r="Q9" s="3006"/>
      <c r="R9" s="3006"/>
      <c r="S9" s="3006"/>
      <c r="T9" s="3006"/>
      <c r="U9" s="3006"/>
      <c r="V9" s="3006"/>
      <c r="W9" s="3006"/>
      <c r="X9" s="3006"/>
      <c r="Y9" s="3006"/>
      <c r="Z9" s="3006"/>
    </row>
    <row r="10" spans="1:26" s="19" customFormat="1" ht="22.05" customHeight="1" thickBot="1" x14ac:dyDescent="0.35">
      <c r="A10" s="3021">
        <v>7</v>
      </c>
      <c r="B10" s="3018" t="s">
        <v>655</v>
      </c>
      <c r="C10" s="2829" t="s">
        <v>636</v>
      </c>
      <c r="D10" s="2829" t="s">
        <v>719</v>
      </c>
      <c r="E10" s="3008">
        <f t="shared" si="0"/>
        <v>3.6968726259480326E-2</v>
      </c>
      <c r="F10" s="3008">
        <v>1</v>
      </c>
      <c r="G10" s="3008">
        <f>IFERROR(VLOOKUP(B10,'M4-AUDIT'!$A$5:$H$24,MATCH("Vi",'M4-AUDIT'!$A$4:$H$4,0),0),0)</f>
        <v>1</v>
      </c>
      <c r="H10" s="3008">
        <f>IFERROR(VLOOKUP(B10,'M4-AUDIT'!$A$5:$H$24,MATCH("Ti (H)",'M4-AUDIT'!$A$4:$H$4,0),0),0)</f>
        <v>1</v>
      </c>
      <c r="I10" s="3008">
        <v>1</v>
      </c>
      <c r="J10" s="3008">
        <v>1</v>
      </c>
      <c r="K10" s="2829" t="s">
        <v>720</v>
      </c>
      <c r="L10" s="3009">
        <v>1219611.33</v>
      </c>
      <c r="M10" s="3019" t="s">
        <v>708</v>
      </c>
      <c r="N10" s="3023" t="s">
        <v>450</v>
      </c>
      <c r="O10" s="3006"/>
      <c r="P10" s="3006"/>
      <c r="Q10" s="3006"/>
      <c r="R10" s="3006"/>
      <c r="S10" s="3006"/>
      <c r="T10" s="3006"/>
      <c r="U10" s="3006"/>
      <c r="V10" s="3006"/>
      <c r="W10" s="3006"/>
      <c r="X10" s="3006"/>
      <c r="Y10" s="3006"/>
      <c r="Z10" s="3006"/>
    </row>
    <row r="11" spans="1:26" s="19" customFormat="1" ht="22.05" customHeight="1" thickBot="1" x14ac:dyDescent="0.35">
      <c r="A11" s="3024">
        <v>8</v>
      </c>
      <c r="B11" s="3020" t="s">
        <v>531</v>
      </c>
      <c r="C11" s="2824" t="s">
        <v>489</v>
      </c>
      <c r="D11" s="2824" t="s">
        <v>722</v>
      </c>
      <c r="E11" s="3010">
        <f t="shared" si="0"/>
        <v>2.7121740693637479E-2</v>
      </c>
      <c r="F11" s="3010">
        <v>1</v>
      </c>
      <c r="G11" s="3010">
        <f>IFERROR(VLOOKUP(B11,'M4-AUDIT'!$A$5:$H$24,MATCH("Vi",'M4-AUDIT'!$A$4:$H$4,0),0),0)</f>
        <v>1</v>
      </c>
      <c r="H11" s="3010">
        <f>IFERROR(VLOOKUP(B11,'M4-AUDIT'!$A$5:$H$24,MATCH("Ti (H)",'M4-AUDIT'!$A$4:$H$4,0),0),0)</f>
        <v>0.9</v>
      </c>
      <c r="I11" s="3010">
        <v>1</v>
      </c>
      <c r="J11" s="3010">
        <v>1</v>
      </c>
      <c r="K11" s="2824" t="s">
        <v>134</v>
      </c>
      <c r="L11" s="3011">
        <v>894755.8</v>
      </c>
      <c r="M11" s="3022" t="s">
        <v>708</v>
      </c>
      <c r="N11" s="3025" t="s">
        <v>450</v>
      </c>
      <c r="O11" s="3006"/>
      <c r="P11" s="3006"/>
      <c r="Q11" s="3006"/>
      <c r="R11" s="3006"/>
      <c r="S11" s="3006"/>
      <c r="T11" s="3006"/>
      <c r="U11" s="3006"/>
      <c r="V11" s="3006"/>
      <c r="W11" s="3006"/>
      <c r="X11" s="3006"/>
      <c r="Y11" s="3006"/>
      <c r="Z11" s="3006"/>
    </row>
    <row r="12" spans="1:26" s="19" customFormat="1" ht="22.05" customHeight="1" thickBot="1" x14ac:dyDescent="0.35">
      <c r="A12" s="3021">
        <v>9</v>
      </c>
      <c r="B12" s="3018" t="s">
        <v>518</v>
      </c>
      <c r="C12" s="2829" t="s">
        <v>709</v>
      </c>
      <c r="D12" s="2829" t="s">
        <v>723</v>
      </c>
      <c r="E12" s="3008">
        <f t="shared" si="0"/>
        <v>2.5461988827181092E-2</v>
      </c>
      <c r="F12" s="3008">
        <v>1.5</v>
      </c>
      <c r="G12" s="3008">
        <f>IFERROR(VLOOKUP(B12,'M4-AUDIT'!$A$5:$H$24,MATCH("Vi",'M4-AUDIT'!$A$4:$H$4,0),0),0)</f>
        <v>0</v>
      </c>
      <c r="H12" s="3008">
        <f>IFERROR(VLOOKUP(B12,'M4-AUDIT'!$A$5:$H$24,MATCH("Ti (H)",'M4-AUDIT'!$A$4:$H$4,0),0),0)</f>
        <v>0.3</v>
      </c>
      <c r="I12" s="3008">
        <v>1</v>
      </c>
      <c r="J12" s="3008">
        <v>1</v>
      </c>
      <c r="K12" s="2829" t="s">
        <v>134</v>
      </c>
      <c r="L12" s="3009">
        <v>840000</v>
      </c>
      <c r="M12" s="3019" t="s">
        <v>708</v>
      </c>
      <c r="N12" s="3023" t="s">
        <v>503</v>
      </c>
      <c r="O12" s="3006"/>
      <c r="P12" s="3006"/>
      <c r="Q12" s="3006"/>
      <c r="R12" s="3006"/>
      <c r="S12" s="3006"/>
      <c r="T12" s="3006"/>
      <c r="U12" s="3006"/>
      <c r="V12" s="3006"/>
      <c r="W12" s="3006"/>
      <c r="X12" s="3006"/>
      <c r="Y12" s="3006"/>
      <c r="Z12" s="3006"/>
    </row>
    <row r="13" spans="1:26" s="19" customFormat="1" ht="22.05" customHeight="1" thickBot="1" x14ac:dyDescent="0.35">
      <c r="A13" s="3024">
        <v>10</v>
      </c>
      <c r="B13" s="3020" t="s">
        <v>482</v>
      </c>
      <c r="C13" s="2824" t="s">
        <v>437</v>
      </c>
      <c r="D13" s="2824" t="s">
        <v>724</v>
      </c>
      <c r="E13" s="3010">
        <f t="shared" si="0"/>
        <v>2.2697015989676123E-2</v>
      </c>
      <c r="F13" s="3010">
        <v>1</v>
      </c>
      <c r="G13" s="3010">
        <f>IFERROR(VLOOKUP(B13,'M4-AUDIT'!$A$5:$H$24,MATCH("Vi",'M4-AUDIT'!$A$4:$H$4,0),0),0)</f>
        <v>1</v>
      </c>
      <c r="H13" s="3010">
        <f>IFERROR(VLOOKUP(B13,'M4-AUDIT'!$A$5:$H$24,MATCH("Ti (H)",'M4-AUDIT'!$A$4:$H$4,0),0),0)</f>
        <v>0.4</v>
      </c>
      <c r="I13" s="3010">
        <v>1</v>
      </c>
      <c r="J13" s="3010">
        <v>1</v>
      </c>
      <c r="K13" s="2824" t="s">
        <v>711</v>
      </c>
      <c r="L13" s="3011">
        <v>748782.57</v>
      </c>
      <c r="M13" s="3022" t="s">
        <v>712</v>
      </c>
      <c r="N13" s="3025" t="s">
        <v>444</v>
      </c>
      <c r="O13" s="3006"/>
      <c r="P13" s="3006"/>
      <c r="Q13" s="3006"/>
      <c r="R13" s="3006"/>
      <c r="S13" s="3006"/>
      <c r="T13" s="3006"/>
      <c r="U13" s="3006"/>
      <c r="V13" s="3006"/>
      <c r="W13" s="3006"/>
      <c r="X13" s="3006"/>
      <c r="Y13" s="3006"/>
      <c r="Z13" s="3006"/>
    </row>
    <row r="14" spans="1:26" s="19" customFormat="1" ht="22.05" customHeight="1" thickBot="1" x14ac:dyDescent="0.35">
      <c r="A14" s="3021">
        <v>11</v>
      </c>
      <c r="B14" s="3018" t="s">
        <v>436</v>
      </c>
      <c r="C14" s="2829" t="s">
        <v>437</v>
      </c>
      <c r="D14" s="2829" t="s">
        <v>725</v>
      </c>
      <c r="E14" s="3008">
        <f t="shared" si="0"/>
        <v>1.8490239847697151E-2</v>
      </c>
      <c r="F14" s="3008">
        <v>1</v>
      </c>
      <c r="G14" s="3008">
        <f>IFERROR(VLOOKUP(B14,'M4-AUDIT'!$A$5:$H$24,MATCH("Vi",'M4-AUDIT'!$A$4:$H$4,0),0),0)</f>
        <v>1</v>
      </c>
      <c r="H14" s="3008">
        <f>IFERROR(VLOOKUP(B14,'M4-AUDIT'!$A$5:$H$24,MATCH("Ti (H)",'M4-AUDIT'!$A$4:$H$4,0),0),0)</f>
        <v>0.5</v>
      </c>
      <c r="I14" s="3008">
        <v>1</v>
      </c>
      <c r="J14" s="3008">
        <v>1</v>
      </c>
      <c r="K14" s="2829" t="s">
        <v>711</v>
      </c>
      <c r="L14" s="3009">
        <v>609999.54</v>
      </c>
      <c r="M14" s="3019" t="s">
        <v>708</v>
      </c>
      <c r="N14" s="3023" t="s">
        <v>444</v>
      </c>
      <c r="O14" s="3006"/>
      <c r="P14" s="3006"/>
      <c r="Q14" s="3006"/>
      <c r="R14" s="3006"/>
      <c r="S14" s="3006"/>
      <c r="T14" s="3006"/>
      <c r="U14" s="3006"/>
      <c r="V14" s="3006"/>
      <c r="W14" s="3006"/>
      <c r="X14" s="3006"/>
      <c r="Y14" s="3006"/>
      <c r="Z14" s="3006"/>
    </row>
    <row r="15" spans="1:26" s="19" customFormat="1" ht="22.05" customHeight="1" thickBot="1" x14ac:dyDescent="0.35">
      <c r="A15" s="3024">
        <v>12</v>
      </c>
      <c r="B15" s="3020" t="s">
        <v>642</v>
      </c>
      <c r="C15" s="2824" t="s">
        <v>636</v>
      </c>
      <c r="D15" s="2824" t="s">
        <v>726</v>
      </c>
      <c r="E15" s="3010">
        <f t="shared" si="0"/>
        <v>1.8216107891773022E-2</v>
      </c>
      <c r="F15" s="3010">
        <v>1</v>
      </c>
      <c r="G15" s="3010">
        <f>IFERROR(VLOOKUP(B15,'M4-AUDIT'!$A$5:$H$24,MATCH("Vi",'M4-AUDIT'!$A$4:$H$4,0),0),0)</f>
        <v>0</v>
      </c>
      <c r="H15" s="3010">
        <f>IFERROR(VLOOKUP(B15,'M4-AUDIT'!$A$5:$H$24,MATCH("Ti (H)",'M4-AUDIT'!$A$4:$H$4,0),0),0)</f>
        <v>0</v>
      </c>
      <c r="I15" s="3010">
        <v>1</v>
      </c>
      <c r="J15" s="3010">
        <v>1</v>
      </c>
      <c r="K15" s="2824" t="s">
        <v>720</v>
      </c>
      <c r="L15" s="3011">
        <v>600955.82999999996</v>
      </c>
      <c r="M15" s="3022" t="s">
        <v>708</v>
      </c>
      <c r="N15" s="3025" t="s">
        <v>503</v>
      </c>
      <c r="O15" s="3006"/>
      <c r="P15" s="3006"/>
      <c r="Q15" s="3006"/>
      <c r="R15" s="3006"/>
      <c r="S15" s="3006"/>
      <c r="T15" s="3006"/>
      <c r="U15" s="3006"/>
      <c r="V15" s="3006"/>
      <c r="W15" s="3006"/>
      <c r="X15" s="3006"/>
      <c r="Y15" s="3006"/>
      <c r="Z15" s="3006"/>
    </row>
    <row r="16" spans="1:26" s="19" customFormat="1" ht="22.05" customHeight="1" thickBot="1" x14ac:dyDescent="0.35">
      <c r="A16" s="3021">
        <v>13</v>
      </c>
      <c r="B16" s="3018" t="s">
        <v>635</v>
      </c>
      <c r="C16" s="2829" t="s">
        <v>636</v>
      </c>
      <c r="D16" s="2829" t="s">
        <v>727</v>
      </c>
      <c r="E16" s="3008">
        <f t="shared" si="0"/>
        <v>1.2517992752294592E-2</v>
      </c>
      <c r="F16" s="3008">
        <v>1</v>
      </c>
      <c r="G16" s="3008">
        <f>IFERROR(VLOOKUP(B16,'M4-AUDIT'!$A$5:$H$24,MATCH("Vi",'M4-AUDIT'!$A$4:$H$4,0),0),0)</f>
        <v>1</v>
      </c>
      <c r="H16" s="3008">
        <f>IFERROR(VLOOKUP(B16,'M4-AUDIT'!$A$5:$H$24,MATCH("Ti (H)",'M4-AUDIT'!$A$4:$H$4,0),0),0)</f>
        <v>0.3</v>
      </c>
      <c r="I16" s="3008">
        <v>1</v>
      </c>
      <c r="J16" s="3008">
        <v>1</v>
      </c>
      <c r="K16" s="2829" t="s">
        <v>134</v>
      </c>
      <c r="L16" s="3009">
        <v>412973</v>
      </c>
      <c r="M16" s="3019" t="s">
        <v>708</v>
      </c>
      <c r="N16" s="3023" t="s">
        <v>444</v>
      </c>
      <c r="O16" s="3006"/>
      <c r="P16" s="3006"/>
      <c r="Q16" s="3006"/>
      <c r="R16" s="3006"/>
      <c r="S16" s="3006"/>
      <c r="T16" s="3006"/>
      <c r="U16" s="3006"/>
      <c r="V16" s="3006"/>
      <c r="W16" s="3006"/>
      <c r="X16" s="3006"/>
      <c r="Y16" s="3006"/>
      <c r="Z16" s="3006"/>
    </row>
    <row r="17" spans="1:26" s="19" customFormat="1" ht="22.05" customHeight="1" thickBot="1" x14ac:dyDescent="0.35">
      <c r="A17" s="3024">
        <v>14</v>
      </c>
      <c r="B17" s="3020" t="s">
        <v>568</v>
      </c>
      <c r="C17" s="2824" t="s">
        <v>489</v>
      </c>
      <c r="D17" s="2824" t="s">
        <v>728</v>
      </c>
      <c r="E17" s="3010">
        <f t="shared" si="0"/>
        <v>9.8210528333412782E-3</v>
      </c>
      <c r="F17" s="3010">
        <v>1</v>
      </c>
      <c r="G17" s="3010">
        <f>IFERROR(VLOOKUP(B17,'M4-AUDIT'!$A$5:$H$24,MATCH("Vi",'M4-AUDIT'!$A$4:$H$4,0),0),0)</f>
        <v>1</v>
      </c>
      <c r="H17" s="3010">
        <f>IFERROR(VLOOKUP(B17,'M4-AUDIT'!$A$5:$H$24,MATCH("Ti (H)",'M4-AUDIT'!$A$4:$H$4,0),0),0)</f>
        <v>1</v>
      </c>
      <c r="I17" s="3010">
        <v>1</v>
      </c>
      <c r="J17" s="3010">
        <v>1</v>
      </c>
      <c r="K17" s="2824" t="s">
        <v>729</v>
      </c>
      <c r="L17" s="3011">
        <v>324000</v>
      </c>
      <c r="M17" s="3022" t="s">
        <v>708</v>
      </c>
      <c r="N17" s="3025" t="s">
        <v>450</v>
      </c>
      <c r="O17" s="3006"/>
      <c r="P17" s="3006"/>
      <c r="Q17" s="3006"/>
      <c r="R17" s="3006"/>
      <c r="S17" s="3006"/>
      <c r="T17" s="3006"/>
      <c r="U17" s="3006"/>
      <c r="V17" s="3006"/>
      <c r="W17" s="3006"/>
      <c r="X17" s="3006"/>
      <c r="Y17" s="3006"/>
      <c r="Z17" s="3006"/>
    </row>
    <row r="18" spans="1:26" s="19" customFormat="1" ht="22.05" customHeight="1" thickBot="1" x14ac:dyDescent="0.35">
      <c r="A18" s="3021">
        <v>15</v>
      </c>
      <c r="B18" s="3018" t="s">
        <v>603</v>
      </c>
      <c r="C18" s="2829" t="s">
        <v>576</v>
      </c>
      <c r="D18" s="2829" t="s">
        <v>730</v>
      </c>
      <c r="E18" s="3008">
        <f t="shared" si="0"/>
        <v>8.6100169897484775E-3</v>
      </c>
      <c r="F18" s="3008">
        <v>0.5</v>
      </c>
      <c r="G18" s="3008">
        <f>IFERROR(VLOOKUP(B18,'M4-AUDIT'!$A$5:$H$24,MATCH("Vi",'M4-AUDIT'!$A$4:$H$4,0),0),0)</f>
        <v>0</v>
      </c>
      <c r="H18" s="3008">
        <f>IFERROR(VLOOKUP(B18,'M4-AUDIT'!$A$5:$H$24,MATCH("Ti (H)",'M4-AUDIT'!$A$4:$H$4,0),0),0)</f>
        <v>0.2</v>
      </c>
      <c r="I18" s="3008">
        <v>1</v>
      </c>
      <c r="J18" s="3008">
        <v>1</v>
      </c>
      <c r="K18" s="2829" t="s">
        <v>731</v>
      </c>
      <c r="L18" s="3009">
        <v>284047.5</v>
      </c>
      <c r="M18" s="3019" t="s">
        <v>732</v>
      </c>
      <c r="N18" s="3023" t="s">
        <v>503</v>
      </c>
      <c r="O18" s="3006"/>
      <c r="P18" s="3006"/>
      <c r="Q18" s="3006"/>
      <c r="R18" s="3006"/>
      <c r="S18" s="3006"/>
      <c r="T18" s="3006"/>
      <c r="U18" s="3006"/>
      <c r="V18" s="3006"/>
      <c r="W18" s="3006"/>
      <c r="X18" s="3006"/>
      <c r="Y18" s="3006"/>
      <c r="Z18" s="3006"/>
    </row>
    <row r="19" spans="1:26" s="19" customFormat="1" ht="22.05" customHeight="1" thickBot="1" x14ac:dyDescent="0.35">
      <c r="A19" s="3024">
        <v>16</v>
      </c>
      <c r="B19" s="3020" t="s">
        <v>615</v>
      </c>
      <c r="C19" s="2824" t="s">
        <v>616</v>
      </c>
      <c r="D19" s="2824" t="s">
        <v>733</v>
      </c>
      <c r="E19" s="3010">
        <f t="shared" si="0"/>
        <v>3.3271362671826298E-3</v>
      </c>
      <c r="F19" s="3010">
        <v>0.5</v>
      </c>
      <c r="G19" s="3010">
        <f>IFERROR(VLOOKUP(B19,'M4-AUDIT'!$A$5:$H$24,MATCH("Vi",'M4-AUDIT'!$A$4:$H$4,0),0),0)</f>
        <v>1</v>
      </c>
      <c r="H19" s="3010">
        <f>IFERROR(VLOOKUP(B19,'M4-AUDIT'!$A$5:$H$24,MATCH("Ti (H)",'M4-AUDIT'!$A$4:$H$4,0),0),0)</f>
        <v>0.7</v>
      </c>
      <c r="I19" s="3010">
        <v>1</v>
      </c>
      <c r="J19" s="3010">
        <v>1</v>
      </c>
      <c r="K19" s="2824" t="s">
        <v>734</v>
      </c>
      <c r="L19" s="3011">
        <v>109763.4</v>
      </c>
      <c r="M19" s="3022" t="s">
        <v>708</v>
      </c>
      <c r="N19" s="3025" t="s">
        <v>450</v>
      </c>
      <c r="O19" s="3006"/>
      <c r="P19" s="3006"/>
      <c r="Q19" s="3006"/>
      <c r="R19" s="3006"/>
      <c r="S19" s="3006"/>
      <c r="T19" s="3006"/>
      <c r="U19" s="3006"/>
      <c r="V19" s="3006"/>
      <c r="W19" s="3006"/>
      <c r="X19" s="3006"/>
      <c r="Y19" s="3006"/>
      <c r="Z19" s="3006"/>
    </row>
    <row r="20" spans="1:26" s="19" customFormat="1" ht="22.05" customHeight="1" thickBot="1" x14ac:dyDescent="0.35">
      <c r="A20" s="3021">
        <v>17</v>
      </c>
      <c r="B20" s="3018" t="s">
        <v>610</v>
      </c>
      <c r="C20" s="2829" t="s">
        <v>576</v>
      </c>
      <c r="D20" s="2829" t="s">
        <v>735</v>
      </c>
      <c r="E20" s="3008">
        <f t="shared" si="0"/>
        <v>6.4989128752281538E-3</v>
      </c>
      <c r="F20" s="3008">
        <v>0.5</v>
      </c>
      <c r="G20" s="3008">
        <f>IFERROR(VLOOKUP(B20,'M4-AUDIT'!$A$5:$H$24,MATCH("Vi",'M4-AUDIT'!$A$4:$H$4,0),0),0)</f>
        <v>1</v>
      </c>
      <c r="H20" s="3008">
        <f>IFERROR(VLOOKUP(B20,'M4-AUDIT'!$A$5:$H$24,MATCH("Ti (H)",'M4-AUDIT'!$A$4:$H$4,0),0),0)</f>
        <v>1</v>
      </c>
      <c r="I20" s="3008">
        <v>1</v>
      </c>
      <c r="J20" s="3008">
        <v>1</v>
      </c>
      <c r="K20" s="2829" t="s">
        <v>731</v>
      </c>
      <c r="L20" s="3009">
        <v>214401.43</v>
      </c>
      <c r="M20" s="3019" t="s">
        <v>732</v>
      </c>
      <c r="N20" s="3023" t="s">
        <v>450</v>
      </c>
      <c r="O20" s="3006"/>
      <c r="P20" s="3006"/>
      <c r="Q20" s="3006"/>
      <c r="R20" s="3006"/>
      <c r="S20" s="3006"/>
      <c r="T20" s="3006"/>
      <c r="U20" s="3006"/>
      <c r="V20" s="3006"/>
      <c r="W20" s="3006"/>
      <c r="X20" s="3006"/>
      <c r="Y20" s="3006"/>
      <c r="Z20" s="3006"/>
    </row>
    <row r="21" spans="1:26" s="19" customFormat="1" ht="22.05" customHeight="1" thickBot="1" x14ac:dyDescent="0.35">
      <c r="A21" s="3024">
        <v>18</v>
      </c>
      <c r="B21" s="3020" t="s">
        <v>560</v>
      </c>
      <c r="C21" s="2824" t="s">
        <v>489</v>
      </c>
      <c r="D21" s="2824" t="s">
        <v>736</v>
      </c>
      <c r="E21" s="3010">
        <f t="shared" si="0"/>
        <v>4.6377193935222705E-3</v>
      </c>
      <c r="F21" s="3010">
        <v>1</v>
      </c>
      <c r="G21" s="3010">
        <f>IFERROR(VLOOKUP(B21,'M4-AUDIT'!$A$5:$H$24,MATCH("Vi",'M4-AUDIT'!$A$4:$H$4,0),0),0)</f>
        <v>1</v>
      </c>
      <c r="H21" s="3010">
        <f>IFERROR(VLOOKUP(B21,'M4-AUDIT'!$A$5:$H$24,MATCH("Ti (H)",'M4-AUDIT'!$A$4:$H$4,0),0),0)</f>
        <v>0.35</v>
      </c>
      <c r="I21" s="3010">
        <v>1</v>
      </c>
      <c r="J21" s="3010">
        <v>1</v>
      </c>
      <c r="K21" s="2824" t="s">
        <v>737</v>
      </c>
      <c r="L21" s="3011">
        <v>153000</v>
      </c>
      <c r="M21" s="3022" t="s">
        <v>708</v>
      </c>
      <c r="N21" s="3025" t="s">
        <v>444</v>
      </c>
      <c r="O21" s="3006"/>
      <c r="P21" s="3006"/>
      <c r="Q21" s="3006"/>
      <c r="R21" s="3006"/>
      <c r="S21" s="3006"/>
      <c r="T21" s="3006"/>
      <c r="U21" s="3006"/>
      <c r="V21" s="3006"/>
      <c r="W21" s="3006"/>
      <c r="X21" s="3006"/>
      <c r="Y21" s="3006"/>
      <c r="Z21" s="3006"/>
    </row>
    <row r="22" spans="1:26" s="19" customFormat="1" ht="22.05" customHeight="1" thickBot="1" x14ac:dyDescent="0.35">
      <c r="A22" s="3021">
        <v>19</v>
      </c>
      <c r="B22" s="3018" t="s">
        <v>721</v>
      </c>
      <c r="C22" s="2829" t="s">
        <v>576</v>
      </c>
      <c r="D22" s="2829" t="s">
        <v>738</v>
      </c>
      <c r="E22" s="3008">
        <f t="shared" si="0"/>
        <v>4.364912370373902E-3</v>
      </c>
      <c r="F22" s="3008">
        <v>1</v>
      </c>
      <c r="G22" s="3008">
        <f>IFERROR(VLOOKUP(B22,'M4-AUDIT'!$A$5:$H$24,MATCH("Vi",'M4-AUDIT'!$A$4:$H$4,0),0),0)</f>
        <v>1</v>
      </c>
      <c r="H22" s="3008">
        <f>IFERROR(VLOOKUP(B22,'M4-AUDIT'!$A$5:$H$24,MATCH("Ti (H)",'M4-AUDIT'!$A$4:$H$4,0),0),0)</f>
        <v>0.3</v>
      </c>
      <c r="I22" s="3008">
        <v>1</v>
      </c>
      <c r="J22" s="3008">
        <v>1</v>
      </c>
      <c r="K22" s="2829" t="s">
        <v>134</v>
      </c>
      <c r="L22" s="3009">
        <v>144000</v>
      </c>
      <c r="M22" s="3019" t="s">
        <v>708</v>
      </c>
      <c r="N22" s="3023" t="s">
        <v>444</v>
      </c>
      <c r="O22" s="3006"/>
      <c r="P22" s="3006"/>
      <c r="Q22" s="3006"/>
      <c r="R22" s="3006"/>
      <c r="S22" s="3006"/>
      <c r="T22" s="3006"/>
      <c r="U22" s="3006"/>
      <c r="V22" s="3006"/>
      <c r="W22" s="3006"/>
      <c r="X22" s="3006"/>
      <c r="Y22" s="3006"/>
      <c r="Z22" s="3006"/>
    </row>
    <row r="23" spans="1:26" s="19" customFormat="1" ht="22.05" customHeight="1" thickBot="1" x14ac:dyDescent="0.35">
      <c r="A23" s="3024">
        <v>20</v>
      </c>
      <c r="B23" s="3028" t="s">
        <v>460</v>
      </c>
      <c r="C23" s="3029" t="s">
        <v>437</v>
      </c>
      <c r="D23" s="3029" t="s">
        <v>739</v>
      </c>
      <c r="E23" s="3030">
        <f t="shared" si="0"/>
        <v>4.1568709469966139E-3</v>
      </c>
      <c r="F23" s="3030">
        <v>0.5</v>
      </c>
      <c r="G23" s="3030">
        <f>IFERROR(VLOOKUP(B23,'M4-AUDIT'!$A$5:$H$24,MATCH("Vi",'M4-AUDIT'!$A$4:$H$4,0),0),0)</f>
        <v>1</v>
      </c>
      <c r="H23" s="3030">
        <f>IFERROR(VLOOKUP(B23,'M4-AUDIT'!$A$5:$H$24,MATCH("Ti (H)",'M4-AUDIT'!$A$4:$H$4,0),0),0)</f>
        <v>0.35</v>
      </c>
      <c r="I23" s="3030">
        <v>1</v>
      </c>
      <c r="J23" s="3030">
        <v>1</v>
      </c>
      <c r="K23" s="3029" t="s">
        <v>731</v>
      </c>
      <c r="L23" s="3031">
        <v>137136.64000000001</v>
      </c>
      <c r="M23" s="3032" t="s">
        <v>732</v>
      </c>
      <c r="N23" s="3025" t="s">
        <v>450</v>
      </c>
      <c r="O23" s="3006"/>
      <c r="P23" s="3006"/>
      <c r="Q23" s="3006"/>
      <c r="R23" s="3006"/>
      <c r="S23" s="3006"/>
      <c r="T23" s="3006"/>
      <c r="U23" s="3006"/>
      <c r="V23" s="3006"/>
      <c r="W23" s="3006"/>
      <c r="X23" s="3006"/>
      <c r="Y23" s="3006"/>
      <c r="Z23" s="3006"/>
    </row>
    <row r="24" spans="1:26" s="19" customFormat="1" ht="24" customHeight="1" thickBot="1" x14ac:dyDescent="0.35">
      <c r="A24" s="3026" t="s">
        <v>683</v>
      </c>
      <c r="B24" s="3033" t="s">
        <v>3821</v>
      </c>
      <c r="C24" s="3034" t="s">
        <v>103</v>
      </c>
      <c r="D24" s="3034" t="s">
        <v>3822</v>
      </c>
      <c r="E24" s="3035">
        <f>SUM(E4:E23)</f>
        <v>1.0000000000000002</v>
      </c>
      <c r="F24" s="3034" t="s">
        <v>103</v>
      </c>
      <c r="G24" s="3034" t="s">
        <v>103</v>
      </c>
      <c r="H24" s="3034" t="s">
        <v>103</v>
      </c>
      <c r="I24" s="3034" t="s">
        <v>103</v>
      </c>
      <c r="J24" s="3034" t="s">
        <v>103</v>
      </c>
      <c r="K24" s="3034" t="s">
        <v>103</v>
      </c>
      <c r="L24" s="3036">
        <f>SUM(L4:L23)</f>
        <v>32990353.02</v>
      </c>
      <c r="M24" s="3037" t="s">
        <v>103</v>
      </c>
      <c r="N24" s="3027" t="s">
        <v>747</v>
      </c>
      <c r="O24" s="3006"/>
      <c r="P24" s="3006"/>
      <c r="Q24" s="3006"/>
      <c r="R24" s="3006"/>
      <c r="S24" s="3006"/>
      <c r="T24" s="3006"/>
      <c r="U24" s="3006"/>
      <c r="V24" s="3006"/>
      <c r="W24" s="3006"/>
      <c r="X24" s="3006"/>
      <c r="Y24" s="3006"/>
      <c r="Z24" s="3006"/>
    </row>
    <row r="25" spans="1:26" s="30" customFormat="1" ht="24" customHeight="1" x14ac:dyDescent="0.3">
      <c r="A25" s="3038" t="s">
        <v>683</v>
      </c>
      <c r="B25" s="3039" t="s">
        <v>743</v>
      </c>
      <c r="C25" s="3040" t="s">
        <v>744</v>
      </c>
      <c r="D25" s="3040" t="str">
        <f>IF(ABS(E24-1)&lt;0.0001,"✅ ΣPi=1.000","❌ ERROR")</f>
        <v>✅ ΣPi=1.000</v>
      </c>
      <c r="E25" s="3041" t="s">
        <v>745</v>
      </c>
      <c r="F25" s="3040" t="s">
        <v>103</v>
      </c>
      <c r="G25" s="3040" t="str">
        <f>"Vi=1: "&amp;COUNTIF(G4:G23,1)&amp;" · Vi=0: "&amp;COUNTIF(G4:G23,0)</f>
        <v>Vi=1: 15 · Vi=0: 5</v>
      </c>
      <c r="H25" s="3040" t="str">
        <f>"Tī = "&amp;ROUND(AVERAGE(H4:H23),3)</f>
        <v>Tī = 0,463</v>
      </c>
      <c r="I25" s="3040" t="s">
        <v>103</v>
      </c>
      <c r="J25" s="3040" t="s">
        <v>103</v>
      </c>
      <c r="K25" s="3040" t="s">
        <v>103</v>
      </c>
      <c r="L25" s="3042" t="s">
        <v>103</v>
      </c>
      <c r="M25" s="3043" t="s">
        <v>746</v>
      </c>
      <c r="N25" s="3044" t="s">
        <v>747</v>
      </c>
      <c r="O25" s="3007"/>
      <c r="P25" s="3007"/>
      <c r="Q25" s="3007"/>
      <c r="R25" s="3007"/>
      <c r="S25" s="3007"/>
      <c r="T25" s="3007"/>
      <c r="U25" s="3007"/>
      <c r="V25" s="3007"/>
      <c r="W25" s="3007"/>
      <c r="X25" s="3007"/>
      <c r="Y25" s="3007"/>
      <c r="Z25" s="3007"/>
    </row>
    <row r="26" spans="1:26" ht="18" customHeight="1" x14ac:dyDescent="0.3"/>
    <row r="27" spans="1:26" ht="18" customHeight="1" x14ac:dyDescent="0.3"/>
    <row r="28" spans="1:26" ht="18" customHeight="1" x14ac:dyDescent="0.3"/>
  </sheetData>
  <mergeCells count="2">
    <mergeCell ref="A1:N1"/>
    <mergeCell ref="A3:N3"/>
  </mergeCells>
  <conditionalFormatting sqref="C4:C23">
    <cfRule type="expression" dxfId="675" priority="16">
      <formula>ISNUMBER(SEARCH("Asentamientos",C4))</formula>
    </cfRule>
    <cfRule type="expression" dxfId="674" priority="17">
      <formula>ISNUMBER(SEARCH("Socio",C4))</formula>
    </cfRule>
    <cfRule type="expression" dxfId="673" priority="18">
      <formula>ISNUMBER(SEARCH("Ambiental",C4))</formula>
    </cfRule>
    <cfRule type="expression" dxfId="672" priority="19">
      <formula>ISNUMBER(SEARCH("Político",C4))</formula>
    </cfRule>
    <cfRule type="expression" dxfId="671" priority="20">
      <formula>ISNUMBER(SEARCH("Económico",C4))</formula>
    </cfRule>
    <cfRule type="expression" dxfId="670" priority="21">
      <formula>ISNUMBER(SEARCH("Físico",C4))</formula>
    </cfRule>
  </conditionalFormatting>
  <conditionalFormatting sqref="E4:E23">
    <cfRule type="expression" dxfId="669" priority="1">
      <formula>E4&gt;0.1</formula>
    </cfRule>
    <cfRule type="expression" dxfId="668" priority="2">
      <formula>AND(E4&gt;=0.03,E4&lt;=0.1)</formula>
    </cfRule>
    <cfRule type="expression" dxfId="667" priority="3">
      <formula>AND(E4&gt;=0.01,E4&lt;0.03)</formula>
    </cfRule>
    <cfRule type="expression" dxfId="666" priority="4">
      <formula>E4&lt;0.01</formula>
    </cfRule>
  </conditionalFormatting>
  <conditionalFormatting sqref="G4:G23">
    <cfRule type="expression" dxfId="665" priority="8">
      <formula>G4=1</formula>
    </cfRule>
    <cfRule type="expression" dxfId="664" priority="9">
      <formula>G4=1.5</formula>
    </cfRule>
    <cfRule type="expression" dxfId="663" priority="10">
      <formula>G4=0</formula>
    </cfRule>
  </conditionalFormatting>
  <conditionalFormatting sqref="H4:H23">
    <cfRule type="expression" dxfId="662" priority="11">
      <formula>H4&gt;=0.9</formula>
    </cfRule>
    <cfRule type="expression" dxfId="661" priority="12">
      <formula>AND(H4&gt;=0.7,H4&lt;0.9)</formula>
    </cfRule>
    <cfRule type="expression" dxfId="660" priority="13">
      <formula>AND(H4&gt;=0.4,H4&lt;0.7)</formula>
    </cfRule>
    <cfRule type="expression" dxfId="659" priority="14">
      <formula>AND(H4&gt;=0.2,H4&lt;0.4)</formula>
    </cfRule>
    <cfRule type="expression" dxfId="658" priority="15">
      <formula>H4&lt;0.2</formula>
    </cfRule>
  </conditionalFormatting>
  <conditionalFormatting sqref="N4:N25">
    <cfRule type="expression" dxfId="657" priority="5">
      <formula>ISNUMBER(SEARCH("✅",N4))</formula>
    </cfRule>
    <cfRule type="expression" dxfId="656" priority="6">
      <formula>ISNUMBER(SEARCH("⚠️",N4))</formula>
    </cfRule>
    <cfRule type="expression" dxfId="655" priority="7">
      <formula>ISNUMBER(SEARCH("🔴",N4))</formula>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6E0B4"/>
  </sheetPr>
  <dimension ref="A1:Z34"/>
  <sheetViews>
    <sheetView showGridLines="0" zoomScale="26" zoomScaleNormal="26" workbookViewId="0">
      <selection activeCell="C84" sqref="C84"/>
    </sheetView>
  </sheetViews>
  <sheetFormatPr baseColWidth="10" defaultRowHeight="14.4" x14ac:dyDescent="0.3"/>
  <cols>
    <col min="1" max="1" width="5.88671875" customWidth="1"/>
    <col min="2" max="2" width="28.6640625" customWidth="1"/>
    <col min="3" max="3" width="37" customWidth="1"/>
    <col min="4" max="4" width="15.77734375" style="1" customWidth="1"/>
    <col min="5" max="5" width="18.5546875" customWidth="1"/>
    <col min="6" max="6" width="13.33203125" customWidth="1"/>
    <col min="7" max="7" width="22.21875" customWidth="1"/>
    <col min="8" max="8" width="18.5546875" customWidth="1"/>
    <col min="9" max="14" width="4.6640625" customWidth="1"/>
    <col min="26" max="26" width="8.44140625" bestFit="1" customWidth="1"/>
  </cols>
  <sheetData>
    <row r="1" spans="1:26" ht="30" customHeight="1" x14ac:dyDescent="0.3">
      <c r="A1" s="3544" t="s">
        <v>4826</v>
      </c>
      <c r="B1" s="3545"/>
      <c r="C1" s="3546"/>
      <c r="D1" s="3546"/>
      <c r="E1" s="3546"/>
      <c r="F1" s="3546"/>
      <c r="G1" s="3547"/>
      <c r="H1" s="3548"/>
      <c r="I1" s="3549"/>
      <c r="J1" s="3549"/>
      <c r="K1" s="3549"/>
      <c r="L1" s="3549"/>
      <c r="M1" s="3549"/>
      <c r="N1" s="3549"/>
      <c r="O1" s="3483"/>
      <c r="P1" s="3483"/>
      <c r="Q1" s="3483"/>
      <c r="R1" s="3483"/>
      <c r="S1" s="3483"/>
      <c r="T1" s="3483"/>
      <c r="U1" s="3483"/>
      <c r="V1" s="3483"/>
      <c r="W1" s="3483"/>
      <c r="X1" s="3483"/>
      <c r="Y1" s="3483"/>
      <c r="Z1" s="3483"/>
    </row>
    <row r="2" spans="1:26" ht="24" customHeight="1" x14ac:dyDescent="0.3">
      <c r="A2" s="2915" t="str">
        <f>HYPERLINK("#'M-INDEX'!A1","⌂ INDICE")</f>
        <v>⌂ INDICE</v>
      </c>
      <c r="B2" s="2913" t="str">
        <f>HYPERLINK("#'M1-ITME'!A1","M1")</f>
        <v>M1</v>
      </c>
      <c r="C2" s="2718" t="str">
        <f>HYPERLINK("#'M2-PDOT'!A1","M2")</f>
        <v>M2</v>
      </c>
      <c r="D2" s="2718" t="str">
        <f>HYPERLINK("#'M3-MAO'!A1","M3")</f>
        <v>M3</v>
      </c>
      <c r="E2" s="2718" t="str">
        <f>HYPERLINK("#'M4-AUDIT'!A1","M4")</f>
        <v>M4</v>
      </c>
      <c r="F2" s="2718" t="str">
        <f>HYPERLINK("#'M5-ICPI'!A1","M5")</f>
        <v>M5</v>
      </c>
      <c r="G2" s="2914" t="str">
        <f>HYPERLINK("#'M6-FEDS'!A1","M6")</f>
        <v>M6</v>
      </c>
      <c r="H2" s="2916" t="str">
        <f>HYPERLINK("#'M7-PROSP'!A1","M7")</f>
        <v>M7</v>
      </c>
      <c r="I2" s="2943" t="str">
        <f>HYPERLINK("#'DATA-POA'!A1","DATA-POA")</f>
        <v>DATA-POA</v>
      </c>
      <c r="J2" s="2943" t="str">
        <f>HYPERLINK("#'DATA-CNE'!A1","DATA-CNE")</f>
        <v>DATA-CNE</v>
      </c>
      <c r="K2" s="2943" t="str">
        <f>HYPERLINK("#'DATA-ORG'!A1","DATA-ORG")</f>
        <v>DATA-ORG</v>
      </c>
      <c r="L2" s="2943" t="str">
        <f>HYPERLINK("#'M-DASHBOARD'!A1","DASH")</f>
        <v>DASH</v>
      </c>
      <c r="M2" s="2927"/>
      <c r="N2" s="2927"/>
      <c r="O2" s="1084"/>
      <c r="P2" s="1084"/>
      <c r="Q2" s="1084"/>
      <c r="R2" s="1084"/>
      <c r="S2" s="1084"/>
      <c r="T2" s="1084"/>
      <c r="U2" s="1084"/>
      <c r="V2" s="1084"/>
      <c r="W2" s="1084"/>
      <c r="X2" s="1084"/>
      <c r="Y2" s="1084"/>
      <c r="Z2" s="1084"/>
    </row>
    <row r="3" spans="1:26" ht="22.05" customHeight="1" thickBot="1" x14ac:dyDescent="0.35">
      <c r="A3" s="3462" t="s">
        <v>4228</v>
      </c>
      <c r="B3" s="3463"/>
      <c r="C3" s="3464"/>
      <c r="D3" s="3464"/>
      <c r="E3" s="3464"/>
      <c r="F3" s="3464"/>
      <c r="G3" s="3465"/>
      <c r="H3" s="3466"/>
      <c r="I3" s="3556"/>
      <c r="J3" s="3556"/>
      <c r="K3" s="3556"/>
      <c r="L3" s="3556"/>
      <c r="M3" s="3556"/>
      <c r="N3" s="3556"/>
      <c r="O3" s="3557"/>
      <c r="P3" s="3557"/>
      <c r="Q3" s="3557"/>
      <c r="R3" s="3557"/>
      <c r="S3" s="3557"/>
      <c r="T3" s="3557"/>
      <c r="U3" s="3557"/>
      <c r="V3" s="3557"/>
      <c r="W3" s="3557"/>
      <c r="X3" s="3557"/>
      <c r="Y3" s="3557"/>
      <c r="Z3" s="3557"/>
    </row>
    <row r="4" spans="1:26" s="15" customFormat="1" ht="36" customHeight="1" thickTop="1" x14ac:dyDescent="0.3">
      <c r="A4" s="2863" t="s">
        <v>748</v>
      </c>
      <c r="B4" s="2861" t="s">
        <v>749</v>
      </c>
      <c r="C4" s="1869" t="s">
        <v>750</v>
      </c>
      <c r="D4" s="1869" t="s">
        <v>751</v>
      </c>
      <c r="E4" s="1869" t="s">
        <v>425</v>
      </c>
      <c r="F4" s="1869" t="s">
        <v>752</v>
      </c>
      <c r="G4" s="2876" t="s">
        <v>753</v>
      </c>
      <c r="H4" s="2878" t="s">
        <v>30</v>
      </c>
      <c r="I4" s="2938"/>
      <c r="J4" s="2938"/>
      <c r="K4" s="2938"/>
      <c r="L4" s="2938"/>
      <c r="M4" s="2938"/>
      <c r="N4" s="2938"/>
      <c r="O4" s="2059"/>
      <c r="P4" s="694"/>
      <c r="Q4" s="694"/>
      <c r="R4" s="694"/>
      <c r="S4" s="694"/>
      <c r="T4" s="694"/>
      <c r="U4" s="694"/>
      <c r="V4" s="694"/>
      <c r="W4" s="694"/>
      <c r="X4" s="694"/>
      <c r="Y4" s="694"/>
      <c r="Z4" s="2699"/>
    </row>
    <row r="5" spans="1:26" ht="22.05" customHeight="1" x14ac:dyDescent="0.3">
      <c r="A5" s="2988" t="s">
        <v>19</v>
      </c>
      <c r="B5" s="2867">
        <v>9</v>
      </c>
      <c r="C5" s="2976">
        <f>SUMIF(D14:D33,"Asentamientos Humanos",E14:E33)+SUMIF(D14:D33,"Físico Ambiental",E14:E33)</f>
        <v>16724094.77</v>
      </c>
      <c r="D5" s="2977">
        <f>SUMIF(D14:D33,"Asentamientos Humanos",F14:F33)+SUMIF(D14:D33,"Físico Ambiental",F14:F33)</f>
        <v>0.50693894545054485</v>
      </c>
      <c r="E5" s="2851" t="s">
        <v>754</v>
      </c>
      <c r="F5" s="2851" t="s">
        <v>755</v>
      </c>
      <c r="G5" s="2987" t="s">
        <v>756</v>
      </c>
      <c r="H5" s="2989" t="s">
        <v>757</v>
      </c>
      <c r="I5" s="2939"/>
      <c r="J5" s="2939"/>
      <c r="K5" s="2939"/>
      <c r="L5" s="2939"/>
      <c r="M5" s="2939"/>
      <c r="N5" s="2939"/>
      <c r="O5" s="2714"/>
      <c r="P5" s="695"/>
      <c r="Q5" s="695"/>
      <c r="R5" s="695"/>
      <c r="S5" s="695"/>
      <c r="T5" s="695"/>
      <c r="U5" s="695"/>
      <c r="V5" s="695"/>
      <c r="W5" s="695"/>
      <c r="X5" s="695"/>
      <c r="Y5" s="695"/>
      <c r="Z5" s="2700"/>
    </row>
    <row r="6" spans="1:26" s="11" customFormat="1" ht="22.05" customHeight="1" x14ac:dyDescent="0.3">
      <c r="A6" s="2990" t="s">
        <v>22</v>
      </c>
      <c r="B6" s="2868">
        <v>6</v>
      </c>
      <c r="C6" s="2978">
        <f>SUMIF(D14:D33,"Socio Cultural",E14:E33)</f>
        <v>8080991.9299999997</v>
      </c>
      <c r="D6" s="2979">
        <f>SUMIF(D14:D33,"Socio Cultural",F14:F33)</f>
        <v>0.24495015027881023</v>
      </c>
      <c r="E6" s="2850" t="s">
        <v>576</v>
      </c>
      <c r="F6" s="2850" t="s">
        <v>758</v>
      </c>
      <c r="G6" s="2877" t="s">
        <v>759</v>
      </c>
      <c r="H6" s="2858" t="s">
        <v>757</v>
      </c>
      <c r="I6" s="2940"/>
      <c r="J6" s="2940"/>
      <c r="K6" s="2940"/>
      <c r="L6" s="2940"/>
      <c r="M6" s="2940"/>
      <c r="N6" s="2940"/>
      <c r="O6" s="2779"/>
      <c r="P6" s="1993"/>
      <c r="Q6" s="1993"/>
      <c r="R6" s="1993"/>
      <c r="S6" s="1993"/>
      <c r="T6" s="1993"/>
      <c r="U6" s="1993"/>
      <c r="V6" s="1993"/>
      <c r="W6" s="1993"/>
      <c r="X6" s="1993"/>
      <c r="Y6" s="1993"/>
      <c r="Z6" s="2777"/>
    </row>
    <row r="7" spans="1:26" s="11" customFormat="1" ht="22.05" customHeight="1" x14ac:dyDescent="0.3">
      <c r="A7" s="2988" t="s">
        <v>25</v>
      </c>
      <c r="B7" s="2867">
        <v>2</v>
      </c>
      <c r="C7" s="2976">
        <f>SUMIF(D14:D33,"Ambiental",E14:E33)</f>
        <v>5841962.7599999998</v>
      </c>
      <c r="D7" s="2977">
        <f>SUMIF(D14:D33,"Ambiental",F14:F33)</f>
        <v>0.17708094109991429</v>
      </c>
      <c r="E7" s="2853" t="s">
        <v>760</v>
      </c>
      <c r="F7" s="2853" t="s">
        <v>761</v>
      </c>
      <c r="G7" s="2879" t="s">
        <v>762</v>
      </c>
      <c r="H7" s="2880" t="s">
        <v>757</v>
      </c>
      <c r="I7" s="2940"/>
      <c r="J7" s="2940"/>
      <c r="K7" s="2940"/>
      <c r="L7" s="2940"/>
      <c r="M7" s="2940"/>
      <c r="N7" s="2940"/>
      <c r="O7" s="2779"/>
      <c r="P7" s="1993"/>
      <c r="Q7" s="1993"/>
      <c r="R7" s="1993"/>
      <c r="S7" s="1993"/>
      <c r="T7" s="1993"/>
      <c r="U7" s="1993"/>
      <c r="V7" s="1993"/>
      <c r="W7" s="1993"/>
      <c r="X7" s="1993"/>
      <c r="Y7" s="1993"/>
      <c r="Z7" s="2777"/>
    </row>
    <row r="8" spans="1:26" s="11" customFormat="1" ht="22.05" customHeight="1" x14ac:dyDescent="0.3">
      <c r="A8" s="2990" t="s">
        <v>27</v>
      </c>
      <c r="B8" s="2868">
        <v>1</v>
      </c>
      <c r="C8" s="2978">
        <f>SUMIF(D14:D33,"Económico Productivo",E14:E33)</f>
        <v>109763.4</v>
      </c>
      <c r="D8" s="2979">
        <f>SUMIF(D14:D33,"Económico Productivo",F14:F33)</f>
        <v>3.3271362671826298E-3</v>
      </c>
      <c r="E8" s="2850" t="s">
        <v>616</v>
      </c>
      <c r="F8" s="2850" t="s">
        <v>763</v>
      </c>
      <c r="G8" s="2877" t="s">
        <v>764</v>
      </c>
      <c r="H8" s="2991" t="s">
        <v>757</v>
      </c>
      <c r="I8" s="2940"/>
      <c r="J8" s="2940"/>
      <c r="K8" s="2940"/>
      <c r="L8" s="2940"/>
      <c r="M8" s="2940"/>
      <c r="N8" s="2940"/>
      <c r="O8" s="2779"/>
      <c r="P8" s="1993"/>
      <c r="Q8" s="1993"/>
      <c r="R8" s="1993"/>
      <c r="S8" s="1993"/>
      <c r="T8" s="1993"/>
      <c r="U8" s="1993"/>
      <c r="V8" s="1993"/>
      <c r="W8" s="1993"/>
      <c r="X8" s="1993"/>
      <c r="Y8" s="1993"/>
      <c r="Z8" s="2777"/>
    </row>
    <row r="9" spans="1:26" s="11" customFormat="1" ht="22.05" customHeight="1" x14ac:dyDescent="0.3">
      <c r="A9" s="2988" t="s">
        <v>31</v>
      </c>
      <c r="B9" s="2867">
        <v>2</v>
      </c>
      <c r="C9" s="2976">
        <f>SUMIF(D14:D33,"Político Institucional",E14:E33)</f>
        <v>2233540.16</v>
      </c>
      <c r="D9" s="2977">
        <f>SUMIF(D14:D33,"Político Institucional",F14:F33)</f>
        <v>6.7702826903547939E-2</v>
      </c>
      <c r="E9" s="2853" t="s">
        <v>636</v>
      </c>
      <c r="F9" s="2853" t="s">
        <v>765</v>
      </c>
      <c r="G9" s="2879" t="s">
        <v>766</v>
      </c>
      <c r="H9" s="2989" t="s">
        <v>757</v>
      </c>
      <c r="I9" s="2940"/>
      <c r="J9" s="2940"/>
      <c r="K9" s="2940"/>
      <c r="L9" s="2940"/>
      <c r="M9" s="2940"/>
      <c r="N9" s="2940"/>
      <c r="O9" s="2779"/>
      <c r="P9" s="1993"/>
      <c r="Q9" s="1993"/>
      <c r="R9" s="1993"/>
      <c r="S9" s="1993"/>
      <c r="T9" s="1993"/>
      <c r="U9" s="1993"/>
      <c r="V9" s="1993"/>
      <c r="W9" s="1993"/>
      <c r="X9" s="1993"/>
      <c r="Y9" s="1993"/>
      <c r="Z9" s="2777"/>
    </row>
    <row r="10" spans="1:26" s="18" customFormat="1" ht="24" customHeight="1" x14ac:dyDescent="0.3">
      <c r="A10" s="2983" t="s">
        <v>767</v>
      </c>
      <c r="B10" s="2901">
        <v>20</v>
      </c>
      <c r="C10" s="2762">
        <f>SUM(C5:C9)</f>
        <v>32990353.02</v>
      </c>
      <c r="D10" s="2984">
        <f>SUM(D5:D9)</f>
        <v>1</v>
      </c>
      <c r="E10" s="2733" t="s">
        <v>103</v>
      </c>
      <c r="F10" s="2733" t="s">
        <v>103</v>
      </c>
      <c r="G10" s="2902" t="s">
        <v>103</v>
      </c>
      <c r="H10" s="2884" t="s">
        <v>768</v>
      </c>
      <c r="I10" s="2945"/>
      <c r="J10" s="2945"/>
      <c r="K10" s="2945"/>
      <c r="L10" s="2945"/>
      <c r="M10" s="2945"/>
      <c r="N10" s="2945"/>
      <c r="O10" s="2972"/>
      <c r="P10" s="2966"/>
      <c r="Q10" s="2966"/>
      <c r="R10" s="2966"/>
      <c r="S10" s="2966"/>
      <c r="T10" s="2966"/>
      <c r="U10" s="2966"/>
      <c r="V10" s="2966"/>
      <c r="W10" s="2966"/>
      <c r="X10" s="2966"/>
      <c r="Y10" s="2966"/>
      <c r="Z10" s="2967"/>
    </row>
    <row r="11" spans="1:26" s="11" customFormat="1" ht="28.05" customHeight="1" x14ac:dyDescent="0.3">
      <c r="A11" s="3550" t="s">
        <v>769</v>
      </c>
      <c r="B11" s="3551"/>
      <c r="C11" s="3552"/>
      <c r="D11" s="3552"/>
      <c r="E11" s="3552"/>
      <c r="F11" s="3552"/>
      <c r="G11" s="3553"/>
      <c r="H11" s="3554"/>
      <c r="I11" s="3555"/>
      <c r="J11" s="3555"/>
      <c r="K11" s="3555"/>
      <c r="L11" s="3555"/>
      <c r="M11" s="3555"/>
      <c r="N11" s="3555"/>
      <c r="O11" s="3507"/>
      <c r="P11" s="3507"/>
      <c r="Q11" s="3507"/>
      <c r="R11" s="3507"/>
      <c r="S11" s="3507"/>
      <c r="T11" s="3507"/>
      <c r="U11" s="3507"/>
      <c r="V11" s="3507"/>
      <c r="W11" s="3507"/>
      <c r="X11" s="3507"/>
      <c r="Y11" s="3507"/>
      <c r="Z11" s="3508"/>
    </row>
    <row r="12" spans="1:26" s="18" customFormat="1" ht="36" customHeight="1" x14ac:dyDescent="0.3">
      <c r="A12" s="2863" t="s">
        <v>38</v>
      </c>
      <c r="B12" s="2861" t="s">
        <v>770</v>
      </c>
      <c r="C12" s="1869" t="s">
        <v>771</v>
      </c>
      <c r="D12" s="1869" t="s">
        <v>692</v>
      </c>
      <c r="E12" s="1869" t="s">
        <v>431</v>
      </c>
      <c r="F12" s="1869" t="s">
        <v>772</v>
      </c>
      <c r="G12" s="2876" t="s">
        <v>773</v>
      </c>
      <c r="H12" s="2878" t="s">
        <v>774</v>
      </c>
      <c r="I12" s="2975"/>
      <c r="J12" s="2975"/>
      <c r="K12" s="2975"/>
      <c r="L12" s="2975"/>
      <c r="M12" s="2975"/>
      <c r="N12" s="2975"/>
      <c r="O12" s="2972"/>
      <c r="P12" s="2966"/>
      <c r="Q12" s="2966"/>
      <c r="R12" s="2966"/>
      <c r="S12" s="2966"/>
      <c r="T12" s="2966"/>
      <c r="U12" s="2966"/>
      <c r="V12" s="2966"/>
      <c r="W12" s="2966"/>
      <c r="X12" s="2966"/>
      <c r="Y12" s="2966"/>
      <c r="Z12" s="2967"/>
    </row>
    <row r="13" spans="1:26" s="11" customFormat="1" ht="22.05" customHeight="1" x14ac:dyDescent="0.3">
      <c r="A13" s="2994" t="s">
        <v>38</v>
      </c>
      <c r="B13" s="2992" t="s">
        <v>770</v>
      </c>
      <c r="C13" s="2985" t="s">
        <v>771</v>
      </c>
      <c r="D13" s="2985" t="s">
        <v>3823</v>
      </c>
      <c r="E13" s="2985" t="s">
        <v>431</v>
      </c>
      <c r="F13" s="2985" t="s">
        <v>3899</v>
      </c>
      <c r="G13" s="2993" t="s">
        <v>773</v>
      </c>
      <c r="H13" s="2995" t="s">
        <v>774</v>
      </c>
      <c r="I13" s="2975"/>
      <c r="J13" s="2975"/>
      <c r="K13" s="2975"/>
      <c r="L13" s="2975"/>
      <c r="M13" s="2975"/>
      <c r="N13" s="2975"/>
      <c r="O13" s="2779"/>
      <c r="P13" s="1993"/>
      <c r="Q13" s="1993"/>
      <c r="R13" s="1993"/>
      <c r="S13" s="1993"/>
      <c r="T13" s="1993"/>
      <c r="U13" s="1993"/>
      <c r="V13" s="1993"/>
      <c r="W13" s="1993"/>
      <c r="X13" s="1993"/>
      <c r="Y13" s="1993"/>
      <c r="Z13" s="2777"/>
    </row>
    <row r="14" spans="1:26" s="11" customFormat="1" ht="22.05" customHeight="1" x14ac:dyDescent="0.3">
      <c r="A14" s="2996">
        <v>1</v>
      </c>
      <c r="B14" s="2868" t="str">
        <f>'M2-PDOT'!B4</f>
        <v>PDOT.AS.VL.M1.01</v>
      </c>
      <c r="C14" s="2849" t="str">
        <f>'M2-PDOT'!D4</f>
        <v>Mantenimiento de vías urbanas para el acceso de los barrios del cantón</v>
      </c>
      <c r="D14" s="2848" t="str">
        <f>'M2-PDOT'!C4</f>
        <v>Asentamientos Humanos</v>
      </c>
      <c r="E14" s="2978">
        <f>'M2-PDOT'!L4</f>
        <v>10892760.76</v>
      </c>
      <c r="F14" s="2979">
        <f>'M2-PDOT'!E4</f>
        <v>0.33018018186699599</v>
      </c>
      <c r="G14" s="2886" t="s">
        <v>3900</v>
      </c>
      <c r="H14" s="2888" t="s">
        <v>3901</v>
      </c>
      <c r="I14" s="2940"/>
      <c r="J14" s="2940"/>
      <c r="K14" s="2940"/>
      <c r="L14" s="2940"/>
      <c r="M14" s="2940"/>
      <c r="N14" s="2940"/>
      <c r="O14" s="2779"/>
      <c r="P14" s="1993"/>
      <c r="Q14" s="1993"/>
      <c r="R14" s="1993"/>
      <c r="S14" s="1993"/>
      <c r="T14" s="1993"/>
      <c r="U14" s="1993"/>
      <c r="V14" s="1993"/>
      <c r="W14" s="1993"/>
      <c r="X14" s="1993"/>
      <c r="Y14" s="1993"/>
      <c r="Z14" s="2777"/>
    </row>
    <row r="15" spans="1:26" s="11" customFormat="1" ht="22.05" customHeight="1" x14ac:dyDescent="0.3">
      <c r="A15" s="2997">
        <v>2</v>
      </c>
      <c r="B15" s="2867" t="str">
        <f>'M2-PDOT'!B5</f>
        <v>PDOT.SC.OE2.M1.01</v>
      </c>
      <c r="C15" s="2852" t="str">
        <f>'M2-PDOT'!D5</f>
        <v>Desarrollo del Bienestar Integral para Montecristi</v>
      </c>
      <c r="D15" s="2851" t="str">
        <f>'M2-PDOT'!C5</f>
        <v>Socio Cultural</v>
      </c>
      <c r="E15" s="2976">
        <f>'M2-PDOT'!L5</f>
        <v>5827477</v>
      </c>
      <c r="F15" s="2977">
        <f>'M2-PDOT'!E5</f>
        <v>0.17664185031506524</v>
      </c>
      <c r="G15" s="2885" t="s">
        <v>3902</v>
      </c>
      <c r="H15" s="2887" t="s">
        <v>3903</v>
      </c>
      <c r="I15" s="2940"/>
      <c r="J15" s="2940"/>
      <c r="K15" s="2940"/>
      <c r="L15" s="2940"/>
      <c r="M15" s="2940"/>
      <c r="N15" s="2940"/>
      <c r="O15" s="2779"/>
      <c r="P15" s="1993"/>
      <c r="Q15" s="1993"/>
      <c r="R15" s="1993"/>
      <c r="S15" s="1993"/>
      <c r="T15" s="1993"/>
      <c r="U15" s="1993"/>
      <c r="V15" s="1993"/>
      <c r="W15" s="1993"/>
      <c r="X15" s="1993"/>
      <c r="Y15" s="1993"/>
      <c r="Z15" s="2777"/>
    </row>
    <row r="16" spans="1:26" s="11" customFormat="1" ht="22.05" customHeight="1" x14ac:dyDescent="0.3">
      <c r="A16" s="2996">
        <v>3</v>
      </c>
      <c r="B16" s="2868" t="str">
        <f>'M2-PDOT'!B6</f>
        <v>PDOT.AM.OE3.M2.01</v>
      </c>
      <c r="C16" s="2849" t="str">
        <f>'M2-PDOT'!D6</f>
        <v>Gestión Integral de Desechos Sólidos</v>
      </c>
      <c r="D16" s="2848" t="str">
        <f>'M2-PDOT'!C6</f>
        <v>Ambiental</v>
      </c>
      <c r="E16" s="2978">
        <f>'M2-PDOT'!L6</f>
        <v>5001962.76</v>
      </c>
      <c r="F16" s="2979">
        <f>'M2-PDOT'!E6</f>
        <v>0.1516189522727332</v>
      </c>
      <c r="G16" s="2886" t="s">
        <v>3904</v>
      </c>
      <c r="H16" s="2888" t="s">
        <v>3903</v>
      </c>
      <c r="I16" s="2940"/>
      <c r="J16" s="2940"/>
      <c r="K16" s="2940"/>
      <c r="L16" s="2940"/>
      <c r="M16" s="2940"/>
      <c r="N16" s="2940"/>
      <c r="O16" s="2779"/>
      <c r="P16" s="1993"/>
      <c r="Q16" s="1993"/>
      <c r="R16" s="1993"/>
      <c r="S16" s="1993"/>
      <c r="T16" s="1993"/>
      <c r="U16" s="1993"/>
      <c r="V16" s="1993"/>
      <c r="W16" s="1993"/>
      <c r="X16" s="1993"/>
      <c r="Y16" s="1993"/>
      <c r="Z16" s="2777"/>
    </row>
    <row r="17" spans="1:26" s="11" customFormat="1" ht="22.05" customHeight="1" x14ac:dyDescent="0.3">
      <c r="A17" s="2997">
        <v>4</v>
      </c>
      <c r="B17" s="2867" t="str">
        <f>'M2-PDOT'!B7</f>
        <v>PDOT.AS.OE1.M2.01</v>
      </c>
      <c r="C17" s="2852" t="str">
        <f>'M2-PDOT'!D7</f>
        <v>Fortalecimiento estratégico de equipamiento público comercial y administrativo</v>
      </c>
      <c r="D17" s="2851" t="str">
        <f>'M2-PDOT'!C7</f>
        <v>Asentamientos Humanos</v>
      </c>
      <c r="E17" s="2976">
        <f>'M2-PDOT'!L7</f>
        <v>1693800</v>
      </c>
      <c r="F17" s="2977">
        <f>'M2-PDOT'!E7</f>
        <v>5.1342281756523014E-2</v>
      </c>
      <c r="G17" s="2885" t="s">
        <v>3905</v>
      </c>
      <c r="H17" s="2887" t="s">
        <v>3903</v>
      </c>
      <c r="I17" s="2940"/>
      <c r="J17" s="2940"/>
      <c r="K17" s="2940"/>
      <c r="L17" s="2940"/>
      <c r="M17" s="2940"/>
      <c r="N17" s="2940"/>
      <c r="O17" s="2779"/>
      <c r="P17" s="1993"/>
      <c r="Q17" s="1993"/>
      <c r="R17" s="1993"/>
      <c r="S17" s="1993"/>
      <c r="T17" s="1993"/>
      <c r="U17" s="1993"/>
      <c r="V17" s="1993"/>
      <c r="W17" s="1993"/>
      <c r="X17" s="1993"/>
      <c r="Y17" s="1993"/>
      <c r="Z17" s="2777"/>
    </row>
    <row r="18" spans="1:26" s="11" customFormat="1" ht="22.05" customHeight="1" x14ac:dyDescent="0.3">
      <c r="A18" s="2996">
        <v>5</v>
      </c>
      <c r="B18" s="2868" t="str">
        <f>'M2-PDOT'!B8</f>
        <v>PDOT.SC.OE2.M4.01</v>
      </c>
      <c r="C18" s="2849" t="str">
        <f>'M2-PDOT'!D8</f>
        <v>Proyecto Integral de Desarrollo y Apoyo Comunitario</v>
      </c>
      <c r="D18" s="2848" t="str">
        <f>'M2-PDOT'!C8</f>
        <v>Socio Cultural</v>
      </c>
      <c r="E18" s="2978">
        <f>'M2-PDOT'!L8</f>
        <v>1611066</v>
      </c>
      <c r="F18" s="2979">
        <f>'M2-PDOT'!E8</f>
        <v>4.8834457728394447E-2</v>
      </c>
      <c r="G18" s="2886" t="s">
        <v>3906</v>
      </c>
      <c r="H18" s="2888" t="s">
        <v>3903</v>
      </c>
      <c r="I18" s="2940"/>
      <c r="J18" s="2940"/>
      <c r="K18" s="2940"/>
      <c r="L18" s="2940"/>
      <c r="M18" s="2940"/>
      <c r="N18" s="2940"/>
      <c r="O18" s="2779"/>
      <c r="P18" s="1993"/>
      <c r="Q18" s="1993"/>
      <c r="R18" s="1993"/>
      <c r="S18" s="1993"/>
      <c r="T18" s="1993"/>
      <c r="U18" s="1993"/>
      <c r="V18" s="1993"/>
      <c r="W18" s="1993"/>
      <c r="X18" s="1993"/>
      <c r="Y18" s="1993"/>
      <c r="Z18" s="2777"/>
    </row>
    <row r="19" spans="1:26" ht="22.05" customHeight="1" x14ac:dyDescent="0.3">
      <c r="A19" s="2998">
        <v>6</v>
      </c>
      <c r="B19" s="2867" t="str">
        <f>'M2-PDOT'!B9</f>
        <v>PDOT.AS.OE1.M1.02</v>
      </c>
      <c r="C19" s="2852" t="str">
        <f>'M2-PDOT'!D9</f>
        <v>Gestión para la construcción de nueva infraestructura de tratamiento de aguas residuales</v>
      </c>
      <c r="D19" s="2851" t="str">
        <f>'M2-PDOT'!C9</f>
        <v>Asentamientos Humanos</v>
      </c>
      <c r="E19" s="2976">
        <f>'M2-PDOT'!L9</f>
        <v>1269859.46</v>
      </c>
      <c r="F19" s="2977">
        <f>'M2-PDOT'!E9</f>
        <v>3.8491842122155021E-2</v>
      </c>
      <c r="G19" s="2885" t="s">
        <v>3907</v>
      </c>
      <c r="H19" s="2887" t="s">
        <v>3903</v>
      </c>
      <c r="I19" s="2940"/>
      <c r="J19" s="2940"/>
      <c r="K19" s="2940"/>
      <c r="L19" s="2940"/>
      <c r="M19" s="2940"/>
      <c r="N19" s="2940"/>
      <c r="O19" s="2847"/>
      <c r="P19" s="1992"/>
      <c r="Q19" s="1992"/>
      <c r="R19" s="1992"/>
      <c r="S19" s="1992"/>
      <c r="T19" s="1992"/>
      <c r="U19" s="1992"/>
      <c r="V19" s="1992"/>
      <c r="W19" s="1992"/>
      <c r="X19" s="1992"/>
      <c r="Y19" s="1992"/>
      <c r="Z19" s="2841"/>
    </row>
    <row r="20" spans="1:26" ht="22.05" customHeight="1" x14ac:dyDescent="0.3">
      <c r="A20" s="2999">
        <v>7</v>
      </c>
      <c r="B20" s="2868" t="str">
        <f>'M2-PDOT'!B10</f>
        <v>PDOT.PI.OE4.M1.01</v>
      </c>
      <c r="C20" s="2849" t="str">
        <f>'M2-PDOT'!D10</f>
        <v>Implementación de la Transformación digital de los procedimientos institucionales</v>
      </c>
      <c r="D20" s="2848" t="str">
        <f>'M2-PDOT'!C10</f>
        <v>Político Institucional</v>
      </c>
      <c r="E20" s="2978">
        <f>'M2-PDOT'!L10</f>
        <v>1219611.33</v>
      </c>
      <c r="F20" s="2979">
        <f>'M2-PDOT'!E10</f>
        <v>3.6968726259480326E-2</v>
      </c>
      <c r="G20" s="2886" t="s">
        <v>3908</v>
      </c>
      <c r="H20" s="2888" t="s">
        <v>3903</v>
      </c>
      <c r="I20" s="2940"/>
      <c r="J20" s="2940"/>
      <c r="K20" s="2940"/>
      <c r="L20" s="2940"/>
      <c r="M20" s="2940"/>
      <c r="N20" s="2940"/>
      <c r="O20" s="2847"/>
      <c r="P20" s="1992"/>
      <c r="Q20" s="1992"/>
      <c r="R20" s="1992"/>
      <c r="S20" s="1992"/>
      <c r="T20" s="1992"/>
      <c r="U20" s="1992"/>
      <c r="V20" s="1992"/>
      <c r="W20" s="1992"/>
      <c r="X20" s="1992"/>
      <c r="Y20" s="1992"/>
      <c r="Z20" s="2841"/>
    </row>
    <row r="21" spans="1:26" ht="22.05" customHeight="1" x14ac:dyDescent="0.3">
      <c r="A21" s="2998">
        <v>8</v>
      </c>
      <c r="B21" s="2867" t="str">
        <f>'M2-PDOT'!B11</f>
        <v>PDOT.AV.OE1.M1.01</v>
      </c>
      <c r="C21" s="2852" t="str">
        <f>'M2-PDOT'!D11</f>
        <v>Recuperación integral de los espacios públicos</v>
      </c>
      <c r="D21" s="2851" t="str">
        <f>'M2-PDOT'!C11</f>
        <v>Asentamientos Humanos</v>
      </c>
      <c r="E21" s="2976">
        <f>'M2-PDOT'!L11</f>
        <v>894755.8</v>
      </c>
      <c r="F21" s="2977">
        <f>'M2-PDOT'!E11</f>
        <v>2.7121740693637479E-2</v>
      </c>
      <c r="G21" s="2885" t="s">
        <v>3909</v>
      </c>
      <c r="H21" s="2887" t="s">
        <v>3903</v>
      </c>
      <c r="I21" s="2940"/>
      <c r="J21" s="2940"/>
      <c r="K21" s="2940"/>
      <c r="L21" s="2940"/>
      <c r="M21" s="2940"/>
      <c r="N21" s="2940"/>
      <c r="O21" s="2847"/>
      <c r="P21" s="1992"/>
      <c r="Q21" s="1992"/>
      <c r="R21" s="1992"/>
      <c r="S21" s="1992"/>
      <c r="T21" s="1992"/>
      <c r="U21" s="1992"/>
      <c r="V21" s="1992"/>
      <c r="W21" s="1992"/>
      <c r="X21" s="1992"/>
      <c r="Y21" s="1992"/>
      <c r="Z21" s="2841"/>
    </row>
    <row r="22" spans="1:26" ht="22.05" customHeight="1" x14ac:dyDescent="0.3">
      <c r="A22" s="2999">
        <v>9</v>
      </c>
      <c r="B22" s="2868" t="str">
        <f>'M2-PDOT'!B12</f>
        <v>PDOT.AM.OE3.M1.01</v>
      </c>
      <c r="C22" s="2849" t="str">
        <f>'M2-PDOT'!D12</f>
        <v>Implementación de Infraestructura civil para la mitigación y reducción de impactos ante la susceptib</v>
      </c>
      <c r="D22" s="2848" t="str">
        <f>'M2-PDOT'!C12</f>
        <v>Ambiental</v>
      </c>
      <c r="E22" s="2978">
        <f>'M2-PDOT'!L12</f>
        <v>840000</v>
      </c>
      <c r="F22" s="2979">
        <f>'M2-PDOT'!E12</f>
        <v>2.5461988827181092E-2</v>
      </c>
      <c r="G22" s="2886" t="s">
        <v>3910</v>
      </c>
      <c r="H22" s="2888" t="s">
        <v>3903</v>
      </c>
      <c r="I22" s="2940"/>
      <c r="J22" s="2940"/>
      <c r="K22" s="2940"/>
      <c r="L22" s="2940"/>
      <c r="M22" s="2940"/>
      <c r="N22" s="2940"/>
      <c r="O22" s="2847"/>
      <c r="P22" s="1992"/>
      <c r="Q22" s="1992"/>
      <c r="R22" s="1992"/>
      <c r="S22" s="1992"/>
      <c r="T22" s="1992"/>
      <c r="U22" s="1992"/>
      <c r="V22" s="1992"/>
      <c r="W22" s="1992"/>
      <c r="X22" s="1992"/>
      <c r="Y22" s="1992"/>
      <c r="Z22" s="2841"/>
    </row>
    <row r="23" spans="1:26" ht="22.05" customHeight="1" x14ac:dyDescent="0.3">
      <c r="A23" s="2998">
        <v>10</v>
      </c>
      <c r="B23" s="2867" t="str">
        <f>'M2-PDOT'!B13</f>
        <v>PDOT.FA.OE4.AH.02</v>
      </c>
      <c r="C23" s="2852" t="str">
        <f>'M2-PDOT'!D13</f>
        <v>Mejorando la capacidad de
disposición final de desechos sólidos</v>
      </c>
      <c r="D23" s="2851" t="str">
        <f>'M2-PDOT'!C13</f>
        <v>Físico Ambiental</v>
      </c>
      <c r="E23" s="2976">
        <f>'M2-PDOT'!L13</f>
        <v>748782.57</v>
      </c>
      <c r="F23" s="2977">
        <f>'M2-PDOT'!E13</f>
        <v>2.2697015989676123E-2</v>
      </c>
      <c r="G23" s="2885" t="s">
        <v>3911</v>
      </c>
      <c r="H23" s="2887" t="s">
        <v>3903</v>
      </c>
      <c r="I23" s="2940"/>
      <c r="J23" s="2940"/>
      <c r="K23" s="2940"/>
      <c r="L23" s="2940"/>
      <c r="M23" s="2940"/>
      <c r="N23" s="2940"/>
      <c r="O23" s="2847"/>
      <c r="P23" s="1992"/>
      <c r="Q23" s="1992"/>
      <c r="R23" s="1992"/>
      <c r="S23" s="1992"/>
      <c r="T23" s="1992"/>
      <c r="U23" s="1992"/>
      <c r="V23" s="1992"/>
      <c r="W23" s="1992"/>
      <c r="X23" s="1992"/>
      <c r="Y23" s="1992"/>
      <c r="Z23" s="2841"/>
    </row>
    <row r="24" spans="1:26" ht="22.05" customHeight="1" x14ac:dyDescent="0.3">
      <c r="A24" s="2999">
        <v>11</v>
      </c>
      <c r="B24" s="2868" t="str">
        <f>'M2-PDOT'!B14</f>
        <v>PDOT.FA.OE1.PV.01</v>
      </c>
      <c r="C24" s="2849" t="str">
        <f>'M2-PDOT'!D14</f>
        <v>Desarrollo de la red Verde y recuperación del espacio público</v>
      </c>
      <c r="D24" s="2848" t="str">
        <f>'M2-PDOT'!C14</f>
        <v>Físico Ambiental</v>
      </c>
      <c r="E24" s="2978">
        <f>'M2-PDOT'!L14</f>
        <v>609999.54</v>
      </c>
      <c r="F24" s="2979">
        <f>'M2-PDOT'!E14</f>
        <v>1.8490239847697151E-2</v>
      </c>
      <c r="G24" s="2886" t="s">
        <v>3912</v>
      </c>
      <c r="H24" s="2888" t="s">
        <v>3903</v>
      </c>
      <c r="I24" s="2940"/>
      <c r="J24" s="2940"/>
      <c r="K24" s="2940"/>
      <c r="L24" s="2940"/>
      <c r="M24" s="2940"/>
      <c r="N24" s="2940"/>
      <c r="O24" s="2847"/>
      <c r="P24" s="1992"/>
      <c r="Q24" s="1992"/>
      <c r="R24" s="1992"/>
      <c r="S24" s="1992"/>
      <c r="T24" s="1992"/>
      <c r="U24" s="1992"/>
      <c r="V24" s="1992"/>
      <c r="W24" s="1992"/>
      <c r="X24" s="1992"/>
      <c r="Y24" s="1992"/>
      <c r="Z24" s="2841"/>
    </row>
    <row r="25" spans="1:26" ht="22.05" customHeight="1" x14ac:dyDescent="0.3">
      <c r="A25" s="2998">
        <v>12</v>
      </c>
      <c r="B25" s="2867" t="str">
        <f>'M2-PDOT'!B15</f>
        <v>PDOT.PI.OE4.M2.01</v>
      </c>
      <c r="C25" s="2852" t="str">
        <f>'M2-PDOT'!D15</f>
        <v>Fortalecimiento del Sistema de Información Territorial Municipal</v>
      </c>
      <c r="D25" s="2851" t="str">
        <f>'M2-PDOT'!C15</f>
        <v>Político Institucional</v>
      </c>
      <c r="E25" s="2976">
        <f>'M2-PDOT'!L15</f>
        <v>600955.82999999996</v>
      </c>
      <c r="F25" s="2977">
        <f>'M2-PDOT'!E15</f>
        <v>1.8216107891773022E-2</v>
      </c>
      <c r="G25" s="2885" t="s">
        <v>3913</v>
      </c>
      <c r="H25" s="2887" t="s">
        <v>3903</v>
      </c>
      <c r="I25" s="2940"/>
      <c r="J25" s="2940"/>
      <c r="K25" s="2940"/>
      <c r="L25" s="2940"/>
      <c r="M25" s="2940"/>
      <c r="N25" s="2940"/>
      <c r="O25" s="2847"/>
      <c r="P25" s="1992"/>
      <c r="Q25" s="1992"/>
      <c r="R25" s="1992"/>
      <c r="S25" s="1992"/>
      <c r="T25" s="1992"/>
      <c r="U25" s="1992"/>
      <c r="V25" s="1992"/>
      <c r="W25" s="1992"/>
      <c r="X25" s="1992"/>
      <c r="Y25" s="1992"/>
      <c r="Z25" s="2841"/>
    </row>
    <row r="26" spans="1:26" ht="22.05" customHeight="1" x14ac:dyDescent="0.3">
      <c r="A26" s="2999">
        <v>13</v>
      </c>
      <c r="B26" s="2868" t="str">
        <f>'M2-PDOT'!B16</f>
        <v>PDOT.PI.OE4.FI.01</v>
      </c>
      <c r="C26" s="2849" t="str">
        <f>'M2-PDOT'!D16</f>
        <v>Desarrollo e implementación de Planes Estratégicos Institucionales</v>
      </c>
      <c r="D26" s="2848" t="str">
        <f>'M2-PDOT'!C16</f>
        <v>Político Institucional</v>
      </c>
      <c r="E26" s="2978">
        <f>'M2-PDOT'!L16</f>
        <v>412973</v>
      </c>
      <c r="F26" s="2979">
        <f>'M2-PDOT'!E16</f>
        <v>1.2517992752294592E-2</v>
      </c>
      <c r="G26" s="2886" t="s">
        <v>3914</v>
      </c>
      <c r="H26" s="2888" t="s">
        <v>3903</v>
      </c>
      <c r="I26" s="2940"/>
      <c r="J26" s="2940"/>
      <c r="K26" s="2940"/>
      <c r="L26" s="2940"/>
      <c r="M26" s="2940"/>
      <c r="N26" s="2940"/>
      <c r="O26" s="2847"/>
      <c r="P26" s="1992"/>
      <c r="Q26" s="1992"/>
      <c r="R26" s="1992"/>
      <c r="S26" s="1992"/>
      <c r="T26" s="1992"/>
      <c r="U26" s="1992"/>
      <c r="V26" s="1992"/>
      <c r="W26" s="1992"/>
      <c r="X26" s="1992"/>
      <c r="Y26" s="1992"/>
      <c r="Z26" s="2841"/>
    </row>
    <row r="27" spans="1:26" ht="22.05" customHeight="1" x14ac:dyDescent="0.3">
      <c r="A27" s="2998">
        <v>14</v>
      </c>
      <c r="B27" s="2867" t="str">
        <f>'M2-PDOT'!B17</f>
        <v>PDOT.AS.VV.HB.01</v>
      </c>
      <c r="C27" s="2852" t="str">
        <f>'M2-PDOT'!D17</f>
        <v>Repoteciación de viviendas en
condiciones precarias</v>
      </c>
      <c r="D27" s="2851" t="str">
        <f>'M2-PDOT'!C17</f>
        <v>Asentamientos Humanos</v>
      </c>
      <c r="E27" s="2976">
        <f>'M2-PDOT'!L17</f>
        <v>324000</v>
      </c>
      <c r="F27" s="2977">
        <f>'M2-PDOT'!E17</f>
        <v>9.8210528333412782E-3</v>
      </c>
      <c r="G27" s="2885" t="s">
        <v>3915</v>
      </c>
      <c r="H27" s="2887" t="s">
        <v>3903</v>
      </c>
      <c r="I27" s="2940"/>
      <c r="J27" s="2940"/>
      <c r="K27" s="2940"/>
      <c r="L27" s="2940"/>
      <c r="M27" s="2940"/>
      <c r="N27" s="2940"/>
      <c r="O27" s="2847"/>
      <c r="P27" s="1992"/>
      <c r="Q27" s="1992"/>
      <c r="R27" s="1992"/>
      <c r="S27" s="1992"/>
      <c r="T27" s="1992"/>
      <c r="U27" s="1992"/>
      <c r="V27" s="1992"/>
      <c r="W27" s="1992"/>
      <c r="X27" s="1992"/>
      <c r="Y27" s="1992"/>
      <c r="Z27" s="2841"/>
    </row>
    <row r="28" spans="1:26" ht="22.05" customHeight="1" x14ac:dyDescent="0.3">
      <c r="A28" s="2999">
        <v>15</v>
      </c>
      <c r="B28" s="2868" t="str">
        <f>'M2-PDOT'!B18</f>
        <v>PDOT.SC.PA.CP.01</v>
      </c>
      <c r="C28" s="2849" t="str">
        <f>'M2-PDOT'!D18</f>
        <v>Generación del Catastro
y clasificación de artistas y gestores culturales en el RUAC (Registro Único</v>
      </c>
      <c r="D28" s="2848" t="str">
        <f>'M2-PDOT'!C18</f>
        <v>Socio Cultural</v>
      </c>
      <c r="E28" s="2978">
        <f>'M2-PDOT'!L18</f>
        <v>284047.5</v>
      </c>
      <c r="F28" s="2979">
        <f>'M2-PDOT'!E18</f>
        <v>8.6100169897484775E-3</v>
      </c>
      <c r="G28" s="2886" t="s">
        <v>3916</v>
      </c>
      <c r="H28" s="2888" t="s">
        <v>3903</v>
      </c>
      <c r="I28" s="2940"/>
      <c r="J28" s="2940"/>
      <c r="K28" s="2940"/>
      <c r="L28" s="2940"/>
      <c r="M28" s="2940"/>
      <c r="N28" s="2940"/>
      <c r="O28" s="2847"/>
      <c r="P28" s="1992"/>
      <c r="Q28" s="1992"/>
      <c r="R28" s="1992"/>
      <c r="S28" s="1992"/>
      <c r="T28" s="1992"/>
      <c r="U28" s="1992"/>
      <c r="V28" s="1992"/>
      <c r="W28" s="1992"/>
      <c r="X28" s="1992"/>
      <c r="Y28" s="1992"/>
      <c r="Z28" s="2841"/>
    </row>
    <row r="29" spans="1:26" ht="22.05" customHeight="1" x14ac:dyDescent="0.3">
      <c r="A29" s="2998">
        <v>16</v>
      </c>
      <c r="B29" s="2867" t="str">
        <f>'M2-PDOT'!B19</f>
        <v>PDOT.EP.OE5.PD.01</v>
      </c>
      <c r="C29" s="2852" t="str">
        <f>'M2-PDOT'!D19</f>
        <v>Implementación de Ferias Productivas
y Feria de Negocios para Emprendedores del Cantón Montecristi</v>
      </c>
      <c r="D29" s="2851" t="str">
        <f>'M2-PDOT'!C19</f>
        <v>Económico Productivo</v>
      </c>
      <c r="E29" s="2976">
        <f>'M2-PDOT'!L19</f>
        <v>109763.4</v>
      </c>
      <c r="F29" s="2977">
        <f>'M2-PDOT'!E19</f>
        <v>3.3271362671826298E-3</v>
      </c>
      <c r="G29" s="2885" t="s">
        <v>3917</v>
      </c>
      <c r="H29" s="2887" t="s">
        <v>3903</v>
      </c>
      <c r="I29" s="2940"/>
      <c r="J29" s="2940"/>
      <c r="K29" s="2940"/>
      <c r="L29" s="2940"/>
      <c r="M29" s="2940"/>
      <c r="N29" s="2940"/>
      <c r="O29" s="2847"/>
      <c r="P29" s="1992"/>
      <c r="Q29" s="1992"/>
      <c r="R29" s="1992"/>
      <c r="S29" s="1992"/>
      <c r="T29" s="1992"/>
      <c r="U29" s="1992"/>
      <c r="V29" s="1992"/>
      <c r="W29" s="1992"/>
      <c r="X29" s="1992"/>
      <c r="Y29" s="1992"/>
      <c r="Z29" s="2841"/>
    </row>
    <row r="30" spans="1:26" ht="22.05" customHeight="1" x14ac:dyDescent="0.3">
      <c r="A30" s="2999">
        <v>17</v>
      </c>
      <c r="B30" s="2868" t="str">
        <f>'M2-PDOT'!B20</f>
        <v>PDOT.SC.PA.CP.02</v>
      </c>
      <c r="C30" s="2849" t="str">
        <f>'M2-PDOT'!D20</f>
        <v>Creación del Inventario del Patrimonio Cultural de Montecristi</v>
      </c>
      <c r="D30" s="2848" t="str">
        <f>'M2-PDOT'!C20</f>
        <v>Socio Cultural</v>
      </c>
      <c r="E30" s="2978">
        <f>'M2-PDOT'!L20</f>
        <v>214401.43</v>
      </c>
      <c r="F30" s="2979">
        <f>'M2-PDOT'!E20</f>
        <v>6.4989128752281538E-3</v>
      </c>
      <c r="G30" s="2886" t="s">
        <v>3918</v>
      </c>
      <c r="H30" s="2888" t="s">
        <v>3903</v>
      </c>
      <c r="I30" s="2940"/>
      <c r="J30" s="2940"/>
      <c r="K30" s="2940"/>
      <c r="L30" s="2940"/>
      <c r="M30" s="2940"/>
      <c r="N30" s="2940"/>
      <c r="O30" s="2847"/>
      <c r="P30" s="1992"/>
      <c r="Q30" s="1992"/>
      <c r="R30" s="1992"/>
      <c r="S30" s="1992"/>
      <c r="T30" s="1992"/>
      <c r="U30" s="1992"/>
      <c r="V30" s="1992"/>
      <c r="W30" s="1992"/>
      <c r="X30" s="1992"/>
      <c r="Y30" s="1992"/>
      <c r="Z30" s="2841"/>
    </row>
    <row r="31" spans="1:26" ht="22.05" customHeight="1" x14ac:dyDescent="0.3">
      <c r="A31" s="2998">
        <v>18</v>
      </c>
      <c r="B31" s="2867" t="str">
        <f>'M2-PDOT'!B21</f>
        <v>PDOT.AS.VL.SV.01</v>
      </c>
      <c r="C31" s="2852" t="str">
        <f>'M2-PDOT'!D21</f>
        <v>Mejora del servicio deTransporte Público</v>
      </c>
      <c r="D31" s="2851" t="str">
        <f>'M2-PDOT'!C21</f>
        <v>Asentamientos Humanos</v>
      </c>
      <c r="E31" s="2976">
        <f>'M2-PDOT'!L21</f>
        <v>153000</v>
      </c>
      <c r="F31" s="2977">
        <f>'M2-PDOT'!E21</f>
        <v>4.6377193935222705E-3</v>
      </c>
      <c r="G31" s="2885" t="s">
        <v>3919</v>
      </c>
      <c r="H31" s="2887" t="s">
        <v>3903</v>
      </c>
      <c r="I31" s="2940"/>
      <c r="J31" s="2940"/>
      <c r="K31" s="2940"/>
      <c r="L31" s="2940"/>
      <c r="M31" s="2940"/>
      <c r="N31" s="2940"/>
      <c r="O31" s="2847"/>
      <c r="P31" s="1992"/>
      <c r="Q31" s="1992"/>
      <c r="R31" s="1992"/>
      <c r="S31" s="1992"/>
      <c r="T31" s="1992"/>
      <c r="U31" s="1992"/>
      <c r="V31" s="1992"/>
      <c r="W31" s="1992"/>
      <c r="X31" s="1992"/>
      <c r="Y31" s="1992"/>
      <c r="Z31" s="2841"/>
    </row>
    <row r="32" spans="1:26" ht="22.05" customHeight="1" x14ac:dyDescent="0.3">
      <c r="A32" s="2999">
        <v>19</v>
      </c>
      <c r="B32" s="2868" t="str">
        <f>'M2-PDOT'!B22</f>
        <v>PDOT.SC.OE2.M2.01</v>
      </c>
      <c r="C32" s="2849" t="str">
        <f>'M2-PDOT'!D22</f>
        <v>Fortalecimiento para la reducción de indicadores territoriales del cantón Montecristi relacionados a</v>
      </c>
      <c r="D32" s="2848" t="str">
        <f>'M2-PDOT'!C22</f>
        <v>Socio Cultural</v>
      </c>
      <c r="E32" s="2978">
        <f>'M2-PDOT'!L22</f>
        <v>144000</v>
      </c>
      <c r="F32" s="2979">
        <f>'M2-PDOT'!E22</f>
        <v>4.364912370373902E-3</v>
      </c>
      <c r="G32" s="2886" t="s">
        <v>3920</v>
      </c>
      <c r="H32" s="2888" t="s">
        <v>3903</v>
      </c>
      <c r="I32" s="2940"/>
      <c r="J32" s="2940"/>
      <c r="K32" s="2940"/>
      <c r="L32" s="2940"/>
      <c r="M32" s="2940"/>
      <c r="N32" s="2940"/>
      <c r="O32" s="2847"/>
      <c r="P32" s="1992"/>
      <c r="Q32" s="1992"/>
      <c r="R32" s="1992"/>
      <c r="S32" s="1992"/>
      <c r="T32" s="1992"/>
      <c r="U32" s="1992"/>
      <c r="V32" s="1992"/>
      <c r="W32" s="1992"/>
      <c r="X32" s="1992"/>
      <c r="Y32" s="1992"/>
      <c r="Z32" s="2841"/>
    </row>
    <row r="33" spans="1:26" s="26" customFormat="1" ht="22.05" customHeight="1" x14ac:dyDescent="0.3">
      <c r="A33" s="2998">
        <v>20</v>
      </c>
      <c r="B33" s="2867" t="str">
        <f>'M2-PDOT'!B23</f>
        <v>PDOT.FA.OE2.MA.01</v>
      </c>
      <c r="C33" s="2852" t="str">
        <f>'M2-PDOT'!D23</f>
        <v>Campaña de sensibilización a las unidades
educativas para fomentar la cultura del reciclaje.</v>
      </c>
      <c r="D33" s="2851" t="str">
        <f>'M2-PDOT'!C23</f>
        <v>Físico Ambiental</v>
      </c>
      <c r="E33" s="2976">
        <f>'M2-PDOT'!L23</f>
        <v>137136.64000000001</v>
      </c>
      <c r="F33" s="2977">
        <f>'M2-PDOT'!E23</f>
        <v>4.1568709469966139E-3</v>
      </c>
      <c r="G33" s="2885" t="s">
        <v>3921</v>
      </c>
      <c r="H33" s="2887" t="s">
        <v>3903</v>
      </c>
      <c r="I33" s="2939"/>
      <c r="J33" s="2939"/>
      <c r="K33" s="2939"/>
      <c r="L33" s="2939"/>
      <c r="M33" s="2939"/>
      <c r="N33" s="2939"/>
      <c r="O33" s="2973"/>
      <c r="P33" s="2968"/>
      <c r="Q33" s="2968"/>
      <c r="R33" s="2968"/>
      <c r="S33" s="2968"/>
      <c r="T33" s="2968"/>
      <c r="U33" s="2968"/>
      <c r="V33" s="2968"/>
      <c r="W33" s="2968"/>
      <c r="X33" s="2968"/>
      <c r="Y33" s="2968"/>
      <c r="Z33" s="2969"/>
    </row>
    <row r="34" spans="1:26" ht="24" customHeight="1" x14ac:dyDescent="0.3">
      <c r="A34" s="2986" t="s">
        <v>683</v>
      </c>
      <c r="B34" s="3000" t="s">
        <v>792</v>
      </c>
      <c r="C34" s="2729" t="s">
        <v>768</v>
      </c>
      <c r="D34" s="2729"/>
      <c r="E34" s="2980">
        <f>SUM(E14:E33)</f>
        <v>32990353.02</v>
      </c>
      <c r="F34" s="2981">
        <f>SUM(F14:F33)</f>
        <v>1.0000000000000002</v>
      </c>
      <c r="G34" s="3001"/>
      <c r="H34" s="2982"/>
      <c r="I34" s="2945"/>
      <c r="J34" s="2945"/>
      <c r="K34" s="2945"/>
      <c r="L34" s="2945"/>
      <c r="M34" s="2945"/>
      <c r="N34" s="2945"/>
      <c r="O34" s="2974"/>
      <c r="P34" s="2970"/>
      <c r="Q34" s="2970"/>
      <c r="R34" s="2970"/>
      <c r="S34" s="2970"/>
      <c r="T34" s="2970"/>
      <c r="U34" s="2970"/>
      <c r="V34" s="2970"/>
      <c r="W34" s="2970"/>
      <c r="X34" s="2970"/>
      <c r="Y34" s="2970"/>
      <c r="Z34" s="2971"/>
    </row>
  </sheetData>
  <mergeCells count="3">
    <mergeCell ref="A1:Z1"/>
    <mergeCell ref="A11:Z11"/>
    <mergeCell ref="A3:Z3"/>
  </mergeCells>
  <conditionalFormatting sqref="D5:D9">
    <cfRule type="expression" dxfId="654" priority="5">
      <formula>D5&gt;0.3</formula>
    </cfRule>
    <cfRule type="expression" dxfId="653" priority="6">
      <formula>AND(D5&gt;=0.15,D5&lt;=0.3)</formula>
    </cfRule>
    <cfRule type="expression" dxfId="652" priority="7">
      <formula>AND(D5&gt;=0.05,D5&lt;0.15)</formula>
    </cfRule>
    <cfRule type="expression" dxfId="651" priority="8">
      <formula>D5&lt;0.05</formula>
    </cfRule>
  </conditionalFormatting>
  <conditionalFormatting sqref="D14:D33">
    <cfRule type="expression" dxfId="650" priority="11">
      <formula>ISNUMBER(SEARCH("Asentamientos",D14))</formula>
    </cfRule>
    <cfRule type="expression" dxfId="649" priority="12">
      <formula>ISNUMBER(SEARCH("Socio",D14))</formula>
    </cfRule>
    <cfRule type="expression" dxfId="648" priority="13">
      <formula>ISNUMBER(SEARCH("Ambiental",D14))</formula>
    </cfRule>
    <cfRule type="expression" dxfId="647" priority="14">
      <formula>ISNUMBER(SEARCH("Político",D14))</formula>
    </cfRule>
    <cfRule type="expression" dxfId="646" priority="15">
      <formula>ISNUMBER(SEARCH("Económico",D14))</formula>
    </cfRule>
    <cfRule type="expression" dxfId="645" priority="16">
      <formula>ISNUMBER(SEARCH("Físico",D14))</formula>
    </cfRule>
  </conditionalFormatting>
  <conditionalFormatting sqref="F14:F33">
    <cfRule type="expression" dxfId="644" priority="1">
      <formula>F14&gt;0.1</formula>
    </cfRule>
    <cfRule type="expression" dxfId="643" priority="2">
      <formula>AND(F14&gt;=0.03,F14&lt;=0.1)</formula>
    </cfRule>
    <cfRule type="expression" dxfId="642" priority="3">
      <formula>AND(F14&gt;=0.01,F14&lt;0.03)</formula>
    </cfRule>
    <cfRule type="expression" dxfId="641" priority="4">
      <formula>F14&lt;0.01</formula>
    </cfRule>
  </conditionalFormatting>
  <conditionalFormatting sqref="H5:H9">
    <cfRule type="expression" dxfId="640" priority="9">
      <formula>ISNUMBER(SEARCH("✅",H5))</formula>
    </cfRule>
    <cfRule type="expression" dxfId="639" priority="10">
      <formula>ISNUMBER(SEARCH("⚠️",H5))</formula>
    </cfRule>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EEAF1"/>
  </sheetPr>
  <dimension ref="A1:Z26"/>
  <sheetViews>
    <sheetView showGridLines="0" zoomScale="58" zoomScaleNormal="58" workbookViewId="0">
      <selection activeCell="I9" sqref="I9"/>
    </sheetView>
  </sheetViews>
  <sheetFormatPr baseColWidth="10" defaultRowHeight="14.4" x14ac:dyDescent="0.3"/>
  <cols>
    <col min="1" max="1" width="5.88671875" style="2" customWidth="1"/>
    <col min="2" max="2" width="28.6640625" customWidth="1"/>
    <col min="3" max="3" width="17.5546875" customWidth="1"/>
    <col min="4" max="4" width="44.44140625" customWidth="1"/>
    <col min="5" max="5" width="12" customWidth="1"/>
    <col min="6" max="6" width="10.21875" customWidth="1"/>
    <col min="7" max="7" width="17.5546875" customWidth="1"/>
    <col min="8" max="8" width="12" customWidth="1"/>
    <col min="9" max="14" width="4.6640625" customWidth="1"/>
    <col min="26" max="26" width="8.6640625" bestFit="1" customWidth="1"/>
  </cols>
  <sheetData>
    <row r="1" spans="1:26" ht="30" customHeight="1" x14ac:dyDescent="0.3">
      <c r="A1" s="3544" t="s">
        <v>4827</v>
      </c>
      <c r="B1" s="3545"/>
      <c r="C1" s="3546"/>
      <c r="D1" s="3546"/>
      <c r="E1" s="3546"/>
      <c r="F1" s="3546"/>
      <c r="G1" s="3547"/>
      <c r="H1" s="3548"/>
      <c r="I1" s="3549"/>
      <c r="J1" s="3549"/>
      <c r="K1" s="3549"/>
      <c r="L1" s="3549"/>
      <c r="M1" s="3549"/>
      <c r="N1" s="3549"/>
      <c r="O1" s="3483"/>
      <c r="P1" s="3483"/>
      <c r="Q1" s="3483"/>
      <c r="R1" s="3483"/>
      <c r="S1" s="3483"/>
      <c r="T1" s="3483"/>
      <c r="U1" s="3483"/>
      <c r="V1" s="3483"/>
      <c r="W1" s="3483"/>
      <c r="X1" s="3483"/>
      <c r="Y1" s="3483"/>
      <c r="Z1" s="3483"/>
    </row>
    <row r="2" spans="1:26" ht="24" customHeight="1" x14ac:dyDescent="0.3">
      <c r="A2" s="2915" t="str">
        <f>HYPERLINK("#'M-INDEX'!A1","⌂ INDICE")</f>
        <v>⌂ INDICE</v>
      </c>
      <c r="B2" s="2913" t="str">
        <f>HYPERLINK("#'M1-ITME'!A1","M1")</f>
        <v>M1</v>
      </c>
      <c r="C2" s="2718" t="str">
        <f>HYPERLINK("#'M2-PDOT'!A1","M2")</f>
        <v>M2</v>
      </c>
      <c r="D2" s="2718" t="str">
        <f>HYPERLINK("#'M3-MAO'!A1","M3")</f>
        <v>M3</v>
      </c>
      <c r="E2" s="2718" t="str">
        <f>HYPERLINK("#'M4-AUDIT'!A1","M4")</f>
        <v>M4</v>
      </c>
      <c r="F2" s="2718" t="str">
        <f>HYPERLINK("#'M5-ICPI'!A1","M5")</f>
        <v>M5</v>
      </c>
      <c r="G2" s="2914" t="str">
        <f>HYPERLINK("#'M6-FEDS'!A1","M6")</f>
        <v>M6</v>
      </c>
      <c r="H2" s="2916" t="str">
        <f>HYPERLINK("#'M7-PROSP'!A1","M7")</f>
        <v>M7</v>
      </c>
      <c r="I2" s="2943" t="str">
        <f>HYPERLINK("#'DATA-POA'!A1","DATA-POA")</f>
        <v>DATA-POA</v>
      </c>
      <c r="J2" s="2943" t="str">
        <f>HYPERLINK("#'DATA-CNE'!A1","DATA-CNE")</f>
        <v>DATA-CNE</v>
      </c>
      <c r="K2" s="2943" t="str">
        <f>HYPERLINK("#'DATA-ORG'!A1","DATA-ORG")</f>
        <v>DATA-ORG</v>
      </c>
      <c r="L2" s="2943" t="str">
        <f>HYPERLINK("#'M-DASHBOARD'!A1","DASH")</f>
        <v>DASH</v>
      </c>
      <c r="M2" s="2927"/>
      <c r="N2" s="2927"/>
      <c r="O2" s="1084"/>
      <c r="P2" s="1084"/>
      <c r="Q2" s="1084"/>
      <c r="R2" s="1084"/>
      <c r="S2" s="1084"/>
      <c r="T2" s="1084"/>
      <c r="U2" s="1084"/>
      <c r="V2" s="1084"/>
      <c r="W2" s="1084"/>
      <c r="X2" s="1084"/>
      <c r="Y2" s="1084"/>
      <c r="Z2" s="1084"/>
    </row>
    <row r="3" spans="1:26" ht="22.05" customHeight="1" thickBot="1" x14ac:dyDescent="0.35">
      <c r="A3" s="3462" t="s">
        <v>4229</v>
      </c>
      <c r="B3" s="3463"/>
      <c r="C3" s="3464"/>
      <c r="D3" s="3464"/>
      <c r="E3" s="3464"/>
      <c r="F3" s="3464"/>
      <c r="G3" s="3465"/>
      <c r="H3" s="3466"/>
      <c r="I3" s="3556"/>
      <c r="J3" s="3556"/>
      <c r="K3" s="3556"/>
      <c r="L3" s="3556"/>
      <c r="M3" s="3556"/>
      <c r="N3" s="3556"/>
      <c r="O3" s="3558"/>
      <c r="P3" s="3558"/>
      <c r="Q3" s="3558"/>
      <c r="R3" s="3558"/>
      <c r="S3" s="3558"/>
      <c r="T3" s="3558"/>
      <c r="U3" s="3558"/>
      <c r="V3" s="3558"/>
      <c r="W3" s="3558"/>
      <c r="X3" s="3558"/>
      <c r="Y3" s="3558"/>
      <c r="Z3" s="3558"/>
    </row>
    <row r="4" spans="1:26" ht="36" customHeight="1" thickTop="1" x14ac:dyDescent="0.3">
      <c r="A4" s="1848" t="s">
        <v>690</v>
      </c>
      <c r="B4" s="2917" t="s">
        <v>691</v>
      </c>
      <c r="C4" s="1781" t="s">
        <v>692</v>
      </c>
      <c r="D4" s="1781" t="s">
        <v>693</v>
      </c>
      <c r="E4" s="1781" t="s">
        <v>793</v>
      </c>
      <c r="F4" s="1781" t="s">
        <v>794</v>
      </c>
      <c r="G4" s="2918" t="s">
        <v>431</v>
      </c>
      <c r="H4" s="1850" t="s">
        <v>795</v>
      </c>
      <c r="I4" s="2938"/>
      <c r="J4" s="2938"/>
      <c r="K4" s="2938"/>
      <c r="L4" s="2938"/>
      <c r="M4" s="2938"/>
      <c r="N4" s="2938"/>
      <c r="O4" s="2059"/>
      <c r="P4" s="694"/>
      <c r="Q4" s="694"/>
      <c r="R4" s="694"/>
      <c r="S4" s="694"/>
      <c r="T4" s="694"/>
      <c r="U4" s="694"/>
      <c r="V4" s="694"/>
      <c r="W4" s="694"/>
      <c r="X4" s="694"/>
      <c r="Y4" s="694"/>
      <c r="Z4" s="2699"/>
    </row>
    <row r="5" spans="1:26" s="11" customFormat="1" ht="22.05" customHeight="1" x14ac:dyDescent="0.3">
      <c r="A5" s="2956">
        <v>1</v>
      </c>
      <c r="B5" s="2953" t="str">
        <f>'M2-PDOT'!B4</f>
        <v>PDOT.AS.VL.M1.01</v>
      </c>
      <c r="C5" s="1823" t="str">
        <f>'M2-PDOT'!C4</f>
        <v>Asentamientos Humanos</v>
      </c>
      <c r="D5" s="2946" t="str">
        <f>'M2-PDOT'!D4</f>
        <v>Mantenimiento de vías urbanas para el acceso de los barrios del cantón</v>
      </c>
      <c r="E5" s="1823" t="s">
        <v>797</v>
      </c>
      <c r="F5" s="1823">
        <v>1</v>
      </c>
      <c r="G5" s="2954">
        <f>'M2-PDOT'!L4</f>
        <v>10892760.76</v>
      </c>
      <c r="H5" s="2958">
        <f>'M2-PLAN-Pi'!F14</f>
        <v>0.33018018186699599</v>
      </c>
      <c r="I5" s="2939"/>
      <c r="J5" s="2939"/>
      <c r="K5" s="2939"/>
      <c r="L5" s="2939"/>
      <c r="M5" s="2939"/>
      <c r="N5" s="2939"/>
      <c r="O5" s="2714"/>
      <c r="P5" s="695"/>
      <c r="Q5" s="695"/>
      <c r="R5" s="695"/>
      <c r="S5" s="695"/>
      <c r="T5" s="695"/>
      <c r="U5" s="695"/>
      <c r="V5" s="695"/>
      <c r="W5" s="695"/>
      <c r="X5" s="695"/>
      <c r="Y5" s="695"/>
      <c r="Z5" s="2700"/>
    </row>
    <row r="6" spans="1:26" s="10" customFormat="1" ht="22.05" customHeight="1" x14ac:dyDescent="0.3">
      <c r="A6" s="2959">
        <v>2</v>
      </c>
      <c r="B6" s="2955" t="str">
        <f>'M2-PDOT'!B5</f>
        <v>PDOT.SC.OE2.M1.01</v>
      </c>
      <c r="C6" s="2788" t="str">
        <f>'M2-PDOT'!C5</f>
        <v>Socio Cultural</v>
      </c>
      <c r="D6" s="2948" t="str">
        <f>'M2-PDOT'!D5</f>
        <v>Desarrollo del Bienestar Integral para Montecristi</v>
      </c>
      <c r="E6" s="2788" t="s">
        <v>796</v>
      </c>
      <c r="F6" s="2788">
        <v>1.5</v>
      </c>
      <c r="G6" s="2957">
        <f>'M2-PDOT'!L5</f>
        <v>5827477</v>
      </c>
      <c r="H6" s="2960">
        <f>'M2-PLAN-Pi'!F15</f>
        <v>0.17664185031506524</v>
      </c>
      <c r="I6" s="2940"/>
      <c r="J6" s="2940"/>
      <c r="K6" s="2940"/>
      <c r="L6" s="2940"/>
      <c r="M6" s="2940"/>
      <c r="N6" s="2940"/>
      <c r="O6" s="2944"/>
      <c r="P6" s="2941"/>
      <c r="Q6" s="2941"/>
      <c r="R6" s="2941"/>
      <c r="S6" s="2941"/>
      <c r="T6" s="2941"/>
      <c r="U6" s="2941"/>
      <c r="V6" s="2941"/>
      <c r="W6" s="2941"/>
      <c r="X6" s="2941"/>
      <c r="Y6" s="2941"/>
      <c r="Z6" s="2942"/>
    </row>
    <row r="7" spans="1:26" s="11" customFormat="1" ht="22.05" customHeight="1" x14ac:dyDescent="0.3">
      <c r="A7" s="2956">
        <v>3</v>
      </c>
      <c r="B7" s="2953" t="str">
        <f>'M2-PDOT'!B6</f>
        <v>PDOT.AM.OE3.M2.01</v>
      </c>
      <c r="C7" s="1823" t="str">
        <f>'M2-PDOT'!C6</f>
        <v>Ambiental</v>
      </c>
      <c r="D7" s="2946" t="str">
        <f>'M2-PDOT'!D6</f>
        <v>Gestión Integral de Desechos Sólidos</v>
      </c>
      <c r="E7" s="1823" t="s">
        <v>797</v>
      </c>
      <c r="F7" s="1823">
        <v>1</v>
      </c>
      <c r="G7" s="2954">
        <f>'M2-PDOT'!L6</f>
        <v>5001962.76</v>
      </c>
      <c r="H7" s="2958">
        <f>'M2-PLAN-Pi'!F16</f>
        <v>0.1516189522727332</v>
      </c>
      <c r="I7" s="2940"/>
      <c r="J7" s="2940"/>
      <c r="K7" s="2940"/>
      <c r="L7" s="2940"/>
      <c r="M7" s="2940"/>
      <c r="N7" s="2940"/>
      <c r="O7" s="2779"/>
      <c r="P7" s="1993"/>
      <c r="Q7" s="1993"/>
      <c r="R7" s="1993"/>
      <c r="S7" s="1993"/>
      <c r="T7" s="1993"/>
      <c r="U7" s="1993"/>
      <c r="V7" s="1993"/>
      <c r="W7" s="1993"/>
      <c r="X7" s="1993"/>
      <c r="Y7" s="1993"/>
      <c r="Z7" s="2777"/>
    </row>
    <row r="8" spans="1:26" s="11" customFormat="1" ht="22.05" customHeight="1" x14ac:dyDescent="0.3">
      <c r="A8" s="2959">
        <v>4</v>
      </c>
      <c r="B8" s="2955" t="str">
        <f>'M2-PDOT'!B7</f>
        <v>PDOT.AS.OE1.M2.01</v>
      </c>
      <c r="C8" s="2788" t="str">
        <f>'M2-PDOT'!C7</f>
        <v>Asentamientos Humanos</v>
      </c>
      <c r="D8" s="2948" t="str">
        <f>'M2-PDOT'!D7</f>
        <v>Fortalecimiento estratégico de equipamiento público comercial y administrativo</v>
      </c>
      <c r="E8" s="2788" t="s">
        <v>797</v>
      </c>
      <c r="F8" s="2788">
        <v>1</v>
      </c>
      <c r="G8" s="2957">
        <f>'M2-PDOT'!L7</f>
        <v>1693800</v>
      </c>
      <c r="H8" s="2960">
        <f>'M2-PLAN-Pi'!F17</f>
        <v>5.1342281756523014E-2</v>
      </c>
      <c r="I8" s="2940"/>
      <c r="J8" s="2940"/>
      <c r="K8" s="2940"/>
      <c r="L8" s="2940"/>
      <c r="M8" s="2940"/>
      <c r="N8" s="2940"/>
      <c r="O8" s="2779"/>
      <c r="P8" s="1993"/>
      <c r="Q8" s="1993"/>
      <c r="R8" s="1993"/>
      <c r="S8" s="1993"/>
      <c r="T8" s="1993"/>
      <c r="U8" s="1993"/>
      <c r="V8" s="1993"/>
      <c r="W8" s="1993"/>
      <c r="X8" s="1993"/>
      <c r="Y8" s="1993"/>
      <c r="Z8" s="2777"/>
    </row>
    <row r="9" spans="1:26" s="11" customFormat="1" ht="22.05" customHeight="1" x14ac:dyDescent="0.3">
      <c r="A9" s="2956">
        <v>5</v>
      </c>
      <c r="B9" s="2953" t="str">
        <f>'M2-PDOT'!B8</f>
        <v>PDOT.SC.OE2.M4.01</v>
      </c>
      <c r="C9" s="1823" t="str">
        <f>'M2-PDOT'!C8</f>
        <v>Socio Cultural</v>
      </c>
      <c r="D9" s="2946" t="str">
        <f>'M2-PDOT'!D8</f>
        <v>Proyecto Integral de Desarrollo y Apoyo Comunitario</v>
      </c>
      <c r="E9" s="1823" t="s">
        <v>797</v>
      </c>
      <c r="F9" s="1823">
        <v>1</v>
      </c>
      <c r="G9" s="2954">
        <f>'M2-PDOT'!L8</f>
        <v>1611066</v>
      </c>
      <c r="H9" s="2958">
        <f>'M2-PLAN-Pi'!F18</f>
        <v>4.8834457728394447E-2</v>
      </c>
      <c r="I9" s="2940"/>
      <c r="J9" s="2940"/>
      <c r="K9" s="2940"/>
      <c r="L9" s="2940"/>
      <c r="M9" s="2940"/>
      <c r="N9" s="2940"/>
      <c r="O9" s="2779"/>
      <c r="P9" s="1993"/>
      <c r="Q9" s="1993"/>
      <c r="R9" s="1993"/>
      <c r="S9" s="1993"/>
      <c r="T9" s="1993"/>
      <c r="U9" s="1993"/>
      <c r="V9" s="1993"/>
      <c r="W9" s="1993"/>
      <c r="X9" s="1993"/>
      <c r="Y9" s="1993"/>
      <c r="Z9" s="2777"/>
    </row>
    <row r="10" spans="1:26" s="11" customFormat="1" ht="22.05" customHeight="1" x14ac:dyDescent="0.3">
      <c r="A10" s="2959">
        <v>6</v>
      </c>
      <c r="B10" s="2955" t="str">
        <f>'M2-PDOT'!B9</f>
        <v>PDOT.AS.OE1.M1.02</v>
      </c>
      <c r="C10" s="2788" t="str">
        <f>'M2-PDOT'!C9</f>
        <v>Asentamientos Humanos</v>
      </c>
      <c r="D10" s="2948" t="str">
        <f>'M2-PDOT'!D9</f>
        <v>Gestión para la construcción de nueva infraestructura de tratamiento de aguas residuales</v>
      </c>
      <c r="E10" s="2788" t="s">
        <v>796</v>
      </c>
      <c r="F10" s="2788">
        <v>1.5</v>
      </c>
      <c r="G10" s="2957">
        <f>'M2-PDOT'!L9</f>
        <v>1269859.46</v>
      </c>
      <c r="H10" s="2960">
        <f>'M2-PLAN-Pi'!F19</f>
        <v>3.8491842122155021E-2</v>
      </c>
      <c r="I10" s="2940"/>
      <c r="J10" s="2940"/>
      <c r="K10" s="2940"/>
      <c r="L10" s="2940"/>
      <c r="M10" s="2940"/>
      <c r="N10" s="2940"/>
      <c r="O10" s="2779"/>
      <c r="P10" s="1993"/>
      <c r="Q10" s="1993"/>
      <c r="R10" s="1993"/>
      <c r="S10" s="1993"/>
      <c r="T10" s="1993"/>
      <c r="U10" s="1993"/>
      <c r="V10" s="1993"/>
      <c r="W10" s="1993"/>
      <c r="X10" s="1993"/>
      <c r="Y10" s="1993"/>
      <c r="Z10" s="2777"/>
    </row>
    <row r="11" spans="1:26" s="11" customFormat="1" ht="22.05" customHeight="1" x14ac:dyDescent="0.3">
      <c r="A11" s="2956">
        <v>7</v>
      </c>
      <c r="B11" s="2953" t="str">
        <f>'M2-PDOT'!B10</f>
        <v>PDOT.PI.OE4.M1.01</v>
      </c>
      <c r="C11" s="1823" t="str">
        <f>'M2-PDOT'!C10</f>
        <v>Político Institucional</v>
      </c>
      <c r="D11" s="2946" t="str">
        <f>'M2-PDOT'!D10</f>
        <v>Implementación de la Transformación digital de los procedimientos institucionales</v>
      </c>
      <c r="E11" s="1823" t="s">
        <v>798</v>
      </c>
      <c r="F11" s="1823">
        <v>0.5</v>
      </c>
      <c r="G11" s="2954">
        <f>'M2-PDOT'!L10</f>
        <v>1219611.33</v>
      </c>
      <c r="H11" s="2958">
        <f>'M2-PLAN-Pi'!F20</f>
        <v>3.6968726259480326E-2</v>
      </c>
      <c r="I11" s="2940"/>
      <c r="J11" s="2940"/>
      <c r="K11" s="2940"/>
      <c r="L11" s="2940"/>
      <c r="M11" s="2940"/>
      <c r="N11" s="2940"/>
      <c r="O11" s="2779"/>
      <c r="P11" s="1993"/>
      <c r="Q11" s="1993"/>
      <c r="R11" s="1993"/>
      <c r="S11" s="1993"/>
      <c r="T11" s="1993"/>
      <c r="U11" s="1993"/>
      <c r="V11" s="1993"/>
      <c r="W11" s="1993"/>
      <c r="X11" s="1993"/>
      <c r="Y11" s="1993"/>
      <c r="Z11" s="2777"/>
    </row>
    <row r="12" spans="1:26" s="11" customFormat="1" ht="22.05" customHeight="1" x14ac:dyDescent="0.3">
      <c r="A12" s="2959">
        <v>8</v>
      </c>
      <c r="B12" s="2955" t="str">
        <f>'M2-PDOT'!B11</f>
        <v>PDOT.AV.OE1.M1.01</v>
      </c>
      <c r="C12" s="2788" t="str">
        <f>'M2-PDOT'!C11</f>
        <v>Asentamientos Humanos</v>
      </c>
      <c r="D12" s="2948" t="str">
        <f>'M2-PDOT'!D11</f>
        <v>Recuperación integral de los espacios públicos</v>
      </c>
      <c r="E12" s="2788" t="s">
        <v>797</v>
      </c>
      <c r="F12" s="2788">
        <v>1</v>
      </c>
      <c r="G12" s="2957">
        <f>'M2-PDOT'!L11</f>
        <v>894755.8</v>
      </c>
      <c r="H12" s="2960">
        <f>'M2-PLAN-Pi'!F21</f>
        <v>2.7121740693637479E-2</v>
      </c>
      <c r="I12" s="2940"/>
      <c r="J12" s="2940"/>
      <c r="K12" s="2940"/>
      <c r="L12" s="2940"/>
      <c r="M12" s="2940"/>
      <c r="N12" s="2940"/>
      <c r="O12" s="2779"/>
      <c r="P12" s="1993"/>
      <c r="Q12" s="1993"/>
      <c r="R12" s="1993"/>
      <c r="S12" s="1993"/>
      <c r="T12" s="1993"/>
      <c r="U12" s="1993"/>
      <c r="V12" s="1993"/>
      <c r="W12" s="1993"/>
      <c r="X12" s="1993"/>
      <c r="Y12" s="1993"/>
      <c r="Z12" s="2777"/>
    </row>
    <row r="13" spans="1:26" s="11" customFormat="1" ht="22.05" customHeight="1" x14ac:dyDescent="0.3">
      <c r="A13" s="2956">
        <v>9</v>
      </c>
      <c r="B13" s="2953" t="str">
        <f>'M2-PDOT'!B12</f>
        <v>PDOT.AM.OE3.M1.01</v>
      </c>
      <c r="C13" s="1823" t="str">
        <f>'M2-PDOT'!C12</f>
        <v>Ambiental</v>
      </c>
      <c r="D13" s="2946" t="str">
        <f>'M2-PDOT'!D12</f>
        <v>Implementación de Infraestructura civil para la mitigación y reducción de impactos ante la susceptib</v>
      </c>
      <c r="E13" s="1823" t="s">
        <v>796</v>
      </c>
      <c r="F13" s="1823">
        <v>1.5</v>
      </c>
      <c r="G13" s="2954">
        <f>'M2-PDOT'!L12</f>
        <v>840000</v>
      </c>
      <c r="H13" s="2958">
        <f>'M2-PLAN-Pi'!F22</f>
        <v>2.5461988827181092E-2</v>
      </c>
      <c r="I13" s="2940"/>
      <c r="J13" s="2940"/>
      <c r="K13" s="2940"/>
      <c r="L13" s="2940"/>
      <c r="M13" s="2940"/>
      <c r="N13" s="2940"/>
      <c r="O13" s="2779"/>
      <c r="P13" s="1993"/>
      <c r="Q13" s="1993"/>
      <c r="R13" s="1993"/>
      <c r="S13" s="1993"/>
      <c r="T13" s="1993"/>
      <c r="U13" s="1993"/>
      <c r="V13" s="1993"/>
      <c r="W13" s="1993"/>
      <c r="X13" s="1993"/>
      <c r="Y13" s="1993"/>
      <c r="Z13" s="2777"/>
    </row>
    <row r="14" spans="1:26" s="11" customFormat="1" ht="22.05" customHeight="1" x14ac:dyDescent="0.3">
      <c r="A14" s="2959">
        <v>10</v>
      </c>
      <c r="B14" s="2955" t="str">
        <f>'M2-PDOT'!B13</f>
        <v>PDOT.FA.OE4.AH.02</v>
      </c>
      <c r="C14" s="2788" t="str">
        <f>'M2-PDOT'!C13</f>
        <v>Físico Ambiental</v>
      </c>
      <c r="D14" s="2948" t="str">
        <f>'M2-PDOT'!D13</f>
        <v>Mejorando la capacidad de
disposición final de desechos sólidos</v>
      </c>
      <c r="E14" s="2788" t="s">
        <v>797</v>
      </c>
      <c r="F14" s="2788">
        <v>1</v>
      </c>
      <c r="G14" s="2957">
        <f>'M2-PDOT'!L13</f>
        <v>748782.57</v>
      </c>
      <c r="H14" s="2960">
        <f>'M2-PLAN-Pi'!F23</f>
        <v>2.2697015989676123E-2</v>
      </c>
      <c r="I14" s="2940"/>
      <c r="J14" s="2940"/>
      <c r="K14" s="2940"/>
      <c r="L14" s="2940"/>
      <c r="M14" s="2940"/>
      <c r="N14" s="2940"/>
      <c r="O14" s="2779"/>
      <c r="P14" s="1993"/>
      <c r="Q14" s="1993"/>
      <c r="R14" s="1993"/>
      <c r="S14" s="1993"/>
      <c r="T14" s="1993"/>
      <c r="U14" s="1993"/>
      <c r="V14" s="1993"/>
      <c r="W14" s="1993"/>
      <c r="X14" s="1993"/>
      <c r="Y14" s="1993"/>
      <c r="Z14" s="2777"/>
    </row>
    <row r="15" spans="1:26" s="11" customFormat="1" ht="22.05" customHeight="1" x14ac:dyDescent="0.3">
      <c r="A15" s="2956">
        <v>11</v>
      </c>
      <c r="B15" s="2953" t="str">
        <f>'M2-PDOT'!B14</f>
        <v>PDOT.FA.OE1.PV.01</v>
      </c>
      <c r="C15" s="1823" t="str">
        <f>'M2-PDOT'!C14</f>
        <v>Físico Ambiental</v>
      </c>
      <c r="D15" s="2946" t="str">
        <f>'M2-PDOT'!D14</f>
        <v>Desarrollo de la red Verde y recuperación del espacio público</v>
      </c>
      <c r="E15" s="1823" t="s">
        <v>798</v>
      </c>
      <c r="F15" s="1823">
        <v>0.5</v>
      </c>
      <c r="G15" s="2954">
        <f>'M2-PDOT'!L14</f>
        <v>609999.54</v>
      </c>
      <c r="H15" s="2958">
        <f>'M2-PLAN-Pi'!F24</f>
        <v>1.8490239847697151E-2</v>
      </c>
      <c r="I15" s="2940"/>
      <c r="J15" s="2940"/>
      <c r="K15" s="2940"/>
      <c r="L15" s="2940"/>
      <c r="M15" s="2940"/>
      <c r="N15" s="2940"/>
      <c r="O15" s="2779"/>
      <c r="P15" s="1993"/>
      <c r="Q15" s="1993"/>
      <c r="R15" s="1993"/>
      <c r="S15" s="1993"/>
      <c r="T15" s="1993"/>
      <c r="U15" s="1993"/>
      <c r="V15" s="1993"/>
      <c r="W15" s="1993"/>
      <c r="X15" s="1993"/>
      <c r="Y15" s="1993"/>
      <c r="Z15" s="2777"/>
    </row>
    <row r="16" spans="1:26" s="11" customFormat="1" ht="22.05" customHeight="1" x14ac:dyDescent="0.3">
      <c r="A16" s="2959">
        <v>12</v>
      </c>
      <c r="B16" s="2955" t="str">
        <f>'M2-PDOT'!B15</f>
        <v>PDOT.PI.OE4.M2.01</v>
      </c>
      <c r="C16" s="2788" t="str">
        <f>'M2-PDOT'!C15</f>
        <v>Político Institucional</v>
      </c>
      <c r="D16" s="2948" t="str">
        <f>'M2-PDOT'!D15</f>
        <v>Fortalecimiento del Sistema de Información Territorial Municipal</v>
      </c>
      <c r="E16" s="2788" t="s">
        <v>798</v>
      </c>
      <c r="F16" s="2788">
        <v>0.5</v>
      </c>
      <c r="G16" s="2957">
        <f>'M2-PDOT'!L15</f>
        <v>600955.82999999996</v>
      </c>
      <c r="H16" s="2960">
        <f>'M2-PLAN-Pi'!F25</f>
        <v>1.8216107891773022E-2</v>
      </c>
      <c r="I16" s="2940"/>
      <c r="J16" s="2940"/>
      <c r="K16" s="2940"/>
      <c r="L16" s="2940"/>
      <c r="M16" s="2940"/>
      <c r="N16" s="2940"/>
      <c r="O16" s="2779"/>
      <c r="P16" s="1993"/>
      <c r="Q16" s="1993"/>
      <c r="R16" s="1993"/>
      <c r="S16" s="1993"/>
      <c r="T16" s="1993"/>
      <c r="U16" s="1993"/>
      <c r="V16" s="1993"/>
      <c r="W16" s="1993"/>
      <c r="X16" s="1993"/>
      <c r="Y16" s="1993"/>
      <c r="Z16" s="2777"/>
    </row>
    <row r="17" spans="1:26" s="11" customFormat="1" ht="22.05" customHeight="1" x14ac:dyDescent="0.3">
      <c r="A17" s="2956">
        <v>13</v>
      </c>
      <c r="B17" s="2953" t="str">
        <f>'M2-PDOT'!B16</f>
        <v>PDOT.PI.OE4.FI.01</v>
      </c>
      <c r="C17" s="1823" t="str">
        <f>'M2-PDOT'!C16</f>
        <v>Político Institucional</v>
      </c>
      <c r="D17" s="2946" t="str">
        <f>'M2-PDOT'!D16</f>
        <v>Desarrollo e implementación de Planes Estratégicos Institucionales</v>
      </c>
      <c r="E17" s="1823" t="s">
        <v>798</v>
      </c>
      <c r="F17" s="1823">
        <v>0.5</v>
      </c>
      <c r="G17" s="2954">
        <f>'M2-PDOT'!L16</f>
        <v>412973</v>
      </c>
      <c r="H17" s="2958">
        <f>'M2-PLAN-Pi'!F26</f>
        <v>1.2517992752294592E-2</v>
      </c>
      <c r="I17" s="2940"/>
      <c r="J17" s="2940"/>
      <c r="K17" s="2940"/>
      <c r="L17" s="2940"/>
      <c r="M17" s="2940"/>
      <c r="N17" s="2940"/>
      <c r="O17" s="2779"/>
      <c r="P17" s="1993"/>
      <c r="Q17" s="1993"/>
      <c r="R17" s="1993"/>
      <c r="S17" s="1993"/>
      <c r="T17" s="1993"/>
      <c r="U17" s="1993"/>
      <c r="V17" s="1993"/>
      <c r="W17" s="1993"/>
      <c r="X17" s="1993"/>
      <c r="Y17" s="1993"/>
      <c r="Z17" s="2777"/>
    </row>
    <row r="18" spans="1:26" s="11" customFormat="1" ht="22.05" customHeight="1" x14ac:dyDescent="0.3">
      <c r="A18" s="2959">
        <v>14</v>
      </c>
      <c r="B18" s="2955" t="str">
        <f>'M2-PDOT'!B17</f>
        <v>PDOT.AS.VV.HB.01</v>
      </c>
      <c r="C18" s="2788" t="str">
        <f>'M2-PDOT'!C17</f>
        <v>Asentamientos Humanos</v>
      </c>
      <c r="D18" s="2948" t="str">
        <f>'M2-PDOT'!D17</f>
        <v>Repoteciación de viviendas en
condiciones precarias</v>
      </c>
      <c r="E18" s="2788" t="s">
        <v>797</v>
      </c>
      <c r="F18" s="2788">
        <v>1</v>
      </c>
      <c r="G18" s="2957">
        <f>'M2-PDOT'!L17</f>
        <v>324000</v>
      </c>
      <c r="H18" s="2960">
        <f>'M2-PLAN-Pi'!F27</f>
        <v>9.8210528333412782E-3</v>
      </c>
      <c r="I18" s="2940"/>
      <c r="J18" s="2940"/>
      <c r="K18" s="2940"/>
      <c r="L18" s="2940"/>
      <c r="M18" s="2940"/>
      <c r="N18" s="2940"/>
      <c r="O18" s="2779"/>
      <c r="P18" s="1993"/>
      <c r="Q18" s="1993"/>
      <c r="R18" s="1993"/>
      <c r="S18" s="1993"/>
      <c r="T18" s="1993"/>
      <c r="U18" s="1993"/>
      <c r="V18" s="1993"/>
      <c r="W18" s="1993"/>
      <c r="X18" s="1993"/>
      <c r="Y18" s="1993"/>
      <c r="Z18" s="2777"/>
    </row>
    <row r="19" spans="1:26" s="11" customFormat="1" ht="22.05" customHeight="1" x14ac:dyDescent="0.3">
      <c r="A19" s="2956">
        <v>15</v>
      </c>
      <c r="B19" s="2953" t="str">
        <f>'M2-PDOT'!B18</f>
        <v>PDOT.SC.PA.CP.01</v>
      </c>
      <c r="C19" s="1823" t="str">
        <f>'M2-PDOT'!C18</f>
        <v>Socio Cultural</v>
      </c>
      <c r="D19" s="2946" t="str">
        <f>'M2-PDOT'!D18</f>
        <v>Generación del Catastro
y clasificación de artistas y gestores culturales en el RUAC (Registro Único</v>
      </c>
      <c r="E19" s="1823" t="s">
        <v>798</v>
      </c>
      <c r="F19" s="1823">
        <v>0.5</v>
      </c>
      <c r="G19" s="2954">
        <f>'M2-PDOT'!L18</f>
        <v>284047.5</v>
      </c>
      <c r="H19" s="2958">
        <f>'M2-PLAN-Pi'!F28</f>
        <v>8.6100169897484775E-3</v>
      </c>
      <c r="I19" s="2940"/>
      <c r="J19" s="2940"/>
      <c r="K19" s="2940"/>
      <c r="L19" s="2940"/>
      <c r="M19" s="2940"/>
      <c r="N19" s="2940"/>
      <c r="O19" s="2779"/>
      <c r="P19" s="1993"/>
      <c r="Q19" s="1993"/>
      <c r="R19" s="1993"/>
      <c r="S19" s="1993"/>
      <c r="T19" s="1993"/>
      <c r="U19" s="1993"/>
      <c r="V19" s="1993"/>
      <c r="W19" s="1993"/>
      <c r="X19" s="1993"/>
      <c r="Y19" s="1993"/>
      <c r="Z19" s="2777"/>
    </row>
    <row r="20" spans="1:26" s="11" customFormat="1" ht="22.05" customHeight="1" x14ac:dyDescent="0.3">
      <c r="A20" s="2959">
        <v>16</v>
      </c>
      <c r="B20" s="2955" t="str">
        <f>'M2-PDOT'!B19</f>
        <v>PDOT.EP.OE5.PD.01</v>
      </c>
      <c r="C20" s="2788" t="str">
        <f>'M2-PDOT'!C19</f>
        <v>Económico Productivo</v>
      </c>
      <c r="D20" s="2948" t="str">
        <f>'M2-PDOT'!D19</f>
        <v>Implementación de Ferias Productivas
y Feria de Negocios para Emprendedores del Cantón Montecristi</v>
      </c>
      <c r="E20" s="2788" t="s">
        <v>798</v>
      </c>
      <c r="F20" s="2788">
        <v>0.5</v>
      </c>
      <c r="G20" s="2957">
        <f>'M2-PDOT'!L19</f>
        <v>109763.4</v>
      </c>
      <c r="H20" s="2960">
        <f>'M2-PLAN-Pi'!F29</f>
        <v>3.3271362671826298E-3</v>
      </c>
      <c r="I20" s="2940"/>
      <c r="J20" s="2940"/>
      <c r="K20" s="2940"/>
      <c r="L20" s="2940"/>
      <c r="M20" s="2940"/>
      <c r="N20" s="2940"/>
      <c r="O20" s="2779"/>
      <c r="P20" s="1993"/>
      <c r="Q20" s="1993"/>
      <c r="R20" s="1993"/>
      <c r="S20" s="1993"/>
      <c r="T20" s="1993"/>
      <c r="U20" s="1993"/>
      <c r="V20" s="1993"/>
      <c r="W20" s="1993"/>
      <c r="X20" s="1993"/>
      <c r="Y20" s="1993"/>
      <c r="Z20" s="2777"/>
    </row>
    <row r="21" spans="1:26" s="11" customFormat="1" ht="22.05" customHeight="1" x14ac:dyDescent="0.3">
      <c r="A21" s="2956">
        <v>17</v>
      </c>
      <c r="B21" s="2953" t="str">
        <f>'M2-PDOT'!B20</f>
        <v>PDOT.SC.PA.CP.02</v>
      </c>
      <c r="C21" s="1823" t="str">
        <f>'M2-PDOT'!C20</f>
        <v>Socio Cultural</v>
      </c>
      <c r="D21" s="2946" t="str">
        <f>'M2-PDOT'!D20</f>
        <v>Creación del Inventario del Patrimonio Cultural de Montecristi</v>
      </c>
      <c r="E21" s="1823" t="s">
        <v>798</v>
      </c>
      <c r="F21" s="1823">
        <v>0.5</v>
      </c>
      <c r="G21" s="2954">
        <f>'M2-PDOT'!L20</f>
        <v>214401.43</v>
      </c>
      <c r="H21" s="2958">
        <f>'M2-PLAN-Pi'!F30</f>
        <v>6.4989128752281538E-3</v>
      </c>
      <c r="I21" s="2940"/>
      <c r="J21" s="2940"/>
      <c r="K21" s="2940"/>
      <c r="L21" s="2940"/>
      <c r="M21" s="2940"/>
      <c r="N21" s="2940"/>
      <c r="O21" s="2779"/>
      <c r="P21" s="1993"/>
      <c r="Q21" s="1993"/>
      <c r="R21" s="1993"/>
      <c r="S21" s="1993"/>
      <c r="T21" s="1993"/>
      <c r="U21" s="1993"/>
      <c r="V21" s="1993"/>
      <c r="W21" s="1993"/>
      <c r="X21" s="1993"/>
      <c r="Y21" s="1993"/>
      <c r="Z21" s="2777"/>
    </row>
    <row r="22" spans="1:26" s="11" customFormat="1" ht="22.05" customHeight="1" x14ac:dyDescent="0.3">
      <c r="A22" s="2959">
        <v>18</v>
      </c>
      <c r="B22" s="2955" t="str">
        <f>'M2-PDOT'!B21</f>
        <v>PDOT.AS.VL.SV.01</v>
      </c>
      <c r="C22" s="2788" t="str">
        <f>'M2-PDOT'!C21</f>
        <v>Asentamientos Humanos</v>
      </c>
      <c r="D22" s="2948" t="str">
        <f>'M2-PDOT'!D21</f>
        <v>Mejora del servicio deTransporte Público</v>
      </c>
      <c r="E22" s="2788" t="s">
        <v>797</v>
      </c>
      <c r="F22" s="2788">
        <v>1</v>
      </c>
      <c r="G22" s="2957">
        <f>'M2-PDOT'!L21</f>
        <v>153000</v>
      </c>
      <c r="H22" s="2960">
        <f>'M2-PLAN-Pi'!F31</f>
        <v>4.6377193935222705E-3</v>
      </c>
      <c r="I22" s="2940"/>
      <c r="J22" s="2940"/>
      <c r="K22" s="2940"/>
      <c r="L22" s="2940"/>
      <c r="M22" s="2940"/>
      <c r="N22" s="2940"/>
      <c r="O22" s="2779"/>
      <c r="P22" s="1993"/>
      <c r="Q22" s="1993"/>
      <c r="R22" s="1993"/>
      <c r="S22" s="1993"/>
      <c r="T22" s="1993"/>
      <c r="U22" s="1993"/>
      <c r="V22" s="1993"/>
      <c r="W22" s="1993"/>
      <c r="X22" s="1993"/>
      <c r="Y22" s="1993"/>
      <c r="Z22" s="2777"/>
    </row>
    <row r="23" spans="1:26" s="11" customFormat="1" ht="22.05" customHeight="1" x14ac:dyDescent="0.3">
      <c r="A23" s="2956">
        <v>19</v>
      </c>
      <c r="B23" s="2953" t="str">
        <f>'M2-PDOT'!B22</f>
        <v>PDOT.SC.OE2.M2.01</v>
      </c>
      <c r="C23" s="1823" t="str">
        <f>'M2-PDOT'!C22</f>
        <v>Socio Cultural</v>
      </c>
      <c r="D23" s="2946" t="str">
        <f>'M2-PDOT'!D22</f>
        <v>Fortalecimiento para la reducción de indicadores territoriales del cantón Montecristi relacionados a</v>
      </c>
      <c r="E23" s="1823" t="s">
        <v>797</v>
      </c>
      <c r="F23" s="1823">
        <v>1</v>
      </c>
      <c r="G23" s="2954">
        <f>'M2-PDOT'!L22</f>
        <v>144000</v>
      </c>
      <c r="H23" s="2958">
        <f>'M2-PLAN-Pi'!F32</f>
        <v>4.364912370373902E-3</v>
      </c>
      <c r="I23" s="2940"/>
      <c r="J23" s="2940"/>
      <c r="K23" s="2940"/>
      <c r="L23" s="2940"/>
      <c r="M23" s="2940"/>
      <c r="N23" s="2940"/>
      <c r="O23" s="2779"/>
      <c r="P23" s="1993"/>
      <c r="Q23" s="1993"/>
      <c r="R23" s="1993"/>
      <c r="S23" s="1993"/>
      <c r="T23" s="1993"/>
      <c r="U23" s="1993"/>
      <c r="V23" s="1993"/>
      <c r="W23" s="1993"/>
      <c r="X23" s="1993"/>
      <c r="Y23" s="1993"/>
      <c r="Z23" s="2777"/>
    </row>
    <row r="24" spans="1:26" s="11" customFormat="1" ht="22.05" customHeight="1" x14ac:dyDescent="0.3">
      <c r="A24" s="2959">
        <v>20</v>
      </c>
      <c r="B24" s="2955" t="str">
        <f>'M2-PDOT'!B23</f>
        <v>PDOT.FA.OE2.MA.01</v>
      </c>
      <c r="C24" s="2788" t="str">
        <f>'M2-PDOT'!C23</f>
        <v>Físico Ambiental</v>
      </c>
      <c r="D24" s="2948" t="str">
        <f>'M2-PDOT'!D23</f>
        <v>Campaña de sensibilización a las unidades
educativas para fomentar la cultura del reciclaje.</v>
      </c>
      <c r="E24" s="2788" t="s">
        <v>798</v>
      </c>
      <c r="F24" s="2788">
        <v>0.5</v>
      </c>
      <c r="G24" s="2957">
        <f>'M2-PDOT'!L23</f>
        <v>137136.64000000001</v>
      </c>
      <c r="H24" s="2960">
        <f>'M2-PLAN-Pi'!F33</f>
        <v>4.1568709469966139E-3</v>
      </c>
      <c r="I24" s="2940"/>
      <c r="J24" s="2940"/>
      <c r="K24" s="2940"/>
      <c r="L24" s="2940"/>
      <c r="M24" s="2940"/>
      <c r="N24" s="2940"/>
      <c r="O24" s="2779"/>
      <c r="P24" s="1993"/>
      <c r="Q24" s="1993"/>
      <c r="R24" s="1993"/>
      <c r="S24" s="1993"/>
      <c r="T24" s="1993"/>
      <c r="U24" s="1993"/>
      <c r="V24" s="1993"/>
      <c r="W24" s="1993"/>
      <c r="X24" s="1993"/>
      <c r="Y24" s="1993"/>
      <c r="Z24" s="2777"/>
    </row>
    <row r="25" spans="1:26" ht="28.05" customHeight="1" x14ac:dyDescent="0.3">
      <c r="A25" s="2870" t="s">
        <v>683</v>
      </c>
      <c r="B25" s="2961" t="s">
        <v>800</v>
      </c>
      <c r="C25" s="2860" t="s">
        <v>103</v>
      </c>
      <c r="D25" s="2860" t="s">
        <v>3922</v>
      </c>
      <c r="E25" s="2562" t="s">
        <v>103</v>
      </c>
      <c r="F25" s="2860" t="s">
        <v>103</v>
      </c>
      <c r="G25" s="2962">
        <f>'M2-PDOT'!L24</f>
        <v>32990353.02</v>
      </c>
      <c r="H25" s="2965">
        <f>SUM(H5:H24)</f>
        <v>1.0000000000000002</v>
      </c>
      <c r="I25" s="2945"/>
      <c r="J25" s="2945"/>
      <c r="K25" s="2945"/>
      <c r="L25" s="2945"/>
      <c r="M25" s="2945"/>
      <c r="N25" s="2945"/>
      <c r="O25" s="2847"/>
      <c r="P25" s="1992"/>
      <c r="Q25" s="1992"/>
      <c r="R25" s="1992"/>
      <c r="S25" s="1992"/>
      <c r="T25" s="1992"/>
      <c r="U25" s="1992"/>
      <c r="V25" s="1992"/>
      <c r="W25" s="1992"/>
      <c r="X25" s="1992"/>
      <c r="Y25" s="1992"/>
      <c r="Z25" s="2841"/>
    </row>
    <row r="26" spans="1:26" s="11" customFormat="1" ht="24" customHeight="1" x14ac:dyDescent="0.3">
      <c r="A26" s="2950" t="s">
        <v>683</v>
      </c>
      <c r="B26" s="2963" t="s">
        <v>799</v>
      </c>
      <c r="C26" s="2951" t="s">
        <v>689</v>
      </c>
      <c r="D26" s="2951" t="s">
        <v>800</v>
      </c>
      <c r="E26" s="2951" t="s">
        <v>689</v>
      </c>
      <c r="F26" s="2951" t="s">
        <v>689</v>
      </c>
      <c r="G26" s="2964">
        <f>SUM(G6:G25)</f>
        <v>55087945.279999994</v>
      </c>
      <c r="H26" s="2952">
        <f>SUM(H6:H25)</f>
        <v>1.6698198181330042</v>
      </c>
      <c r="I26" s="2945"/>
      <c r="J26" s="2945"/>
      <c r="K26" s="2945"/>
      <c r="L26" s="2945"/>
      <c r="M26" s="2945"/>
      <c r="N26" s="2945"/>
      <c r="O26" s="2780"/>
      <c r="P26" s="1994"/>
      <c r="Q26" s="1994"/>
      <c r="R26" s="1994"/>
      <c r="S26" s="1994"/>
      <c r="T26" s="1994"/>
      <c r="U26" s="1994"/>
      <c r="V26" s="1994"/>
      <c r="W26" s="1994"/>
      <c r="X26" s="1994"/>
      <c r="Y26" s="1994"/>
      <c r="Z26" s="2778"/>
    </row>
  </sheetData>
  <mergeCells count="2">
    <mergeCell ref="A1:Z1"/>
    <mergeCell ref="A3:Z3"/>
  </mergeCells>
  <conditionalFormatting sqref="C5:C24">
    <cfRule type="expression" dxfId="638" priority="11">
      <formula>ISNUMBER(SEARCH("Asentamientos",C5))</formula>
    </cfRule>
    <cfRule type="expression" dxfId="637" priority="12">
      <formula>ISNUMBER(SEARCH("Socio",C5))</formula>
    </cfRule>
    <cfRule type="expression" dxfId="636" priority="13">
      <formula>ISNUMBER(SEARCH("Ambiental",C5))</formula>
    </cfRule>
    <cfRule type="expression" dxfId="635" priority="14">
      <formula>ISNUMBER(SEARCH("Político",C5))</formula>
    </cfRule>
    <cfRule type="expression" dxfId="634" priority="15">
      <formula>ISNUMBER(SEARCH("Económico",C5))</formula>
    </cfRule>
    <cfRule type="expression" dxfId="633" priority="16">
      <formula>ISNUMBER(SEARCH("Físico",C5))</formula>
    </cfRule>
  </conditionalFormatting>
  <conditionalFormatting sqref="E5:E24">
    <cfRule type="expression" dxfId="632" priority="1">
      <formula>ISNUMBER(SEARCH("CRÍTICO",E5))</formula>
    </cfRule>
    <cfRule type="expression" dxfId="631" priority="2">
      <formula>ISNUMBER(SEARCH("ALTO",E5))</formula>
    </cfRule>
    <cfRule type="expression" dxfId="630" priority="3">
      <formula>ISNUMBER(SEARCH("MEDIO",E5))</formula>
    </cfRule>
    <cfRule type="expression" dxfId="629" priority="4">
      <formula>ISNUMBER(SEARCH("BAJO",E5))</formula>
    </cfRule>
  </conditionalFormatting>
  <conditionalFormatting sqref="F5:F24">
    <cfRule type="expression" dxfId="628" priority="5">
      <formula>F5=1.5</formula>
    </cfRule>
    <cfRule type="expression" dxfId="627" priority="6">
      <formula>F5=1</formula>
    </cfRule>
    <cfRule type="expression" dxfId="626" priority="7">
      <formula>F5=0.5</formula>
    </cfRule>
  </conditionalFormatting>
  <conditionalFormatting sqref="H5:H24">
    <cfRule type="expression" dxfId="625" priority="8">
      <formula>H5&gt;0.1</formula>
    </cfRule>
    <cfRule type="expression" dxfId="624" priority="9">
      <formula>AND(H5&gt;=0.03,H5&lt;=0.1)</formula>
    </cfRule>
    <cfRule type="expression" dxfId="623" priority="10">
      <formula>H5&lt;0.03</formula>
    </cfRule>
  </conditionalFormatting>
  <dataValidations count="1">
    <dataValidation type="list" allowBlank="1" showInputMessage="1" showErrorMessage="1" promptTitle="Factor Ri" prompt="Ri relevancia (PDF §2.3):_x000a_1.5=CRÍTICO (derechos fundamentales)_x000a_1.0=ALTO_x000a_0.5=MEDIO" sqref="F5:F24" xr:uid="{00000000-0002-0000-0700-000000000000}">
      <formula1>"0.5,1,1.5"</formula1>
    </dataValidation>
  </dataValidations>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D9D2E9"/>
  </sheetPr>
  <dimension ref="A1:Z23"/>
  <sheetViews>
    <sheetView showGridLines="0" zoomScale="65" zoomScaleNormal="65" workbookViewId="0">
      <selection activeCell="K6" sqref="K6"/>
    </sheetView>
  </sheetViews>
  <sheetFormatPr baseColWidth="10" defaultRowHeight="14.4" x14ac:dyDescent="0.3"/>
  <cols>
    <col min="1" max="1" width="28.6640625" style="4" customWidth="1"/>
    <col min="2" max="2" width="14.77734375" style="4" customWidth="1"/>
    <col min="3" max="4" width="28.6640625" style="4" customWidth="1"/>
    <col min="5" max="5" width="20.33203125" style="4" customWidth="1"/>
    <col min="6" max="6" width="26.88671875" style="4" customWidth="1"/>
    <col min="7" max="7" width="7.77734375" style="4" customWidth="1"/>
    <col min="8" max="8" width="15.77734375" style="4" customWidth="1"/>
    <col min="9" max="9" width="28.6640625" style="4" customWidth="1"/>
    <col min="10" max="10" width="10.21875" style="4" customWidth="1"/>
    <col min="11" max="11" width="12" style="4" customWidth="1"/>
    <col min="12" max="14" width="5.5546875" style="4" customWidth="1"/>
    <col min="15" max="25" width="11.5546875" style="4"/>
    <col min="26" max="26" width="8.33203125" style="4" bestFit="1" customWidth="1"/>
    <col min="27" max="16384" width="11.5546875" style="4"/>
  </cols>
  <sheetData>
    <row r="1" spans="1:26" ht="30" customHeight="1" x14ac:dyDescent="0.3">
      <c r="A1" s="3561" t="s">
        <v>4814</v>
      </c>
      <c r="B1" s="3545"/>
      <c r="C1" s="3546"/>
      <c r="D1" s="3546"/>
      <c r="E1" s="3546"/>
      <c r="F1" s="3546"/>
      <c r="G1" s="3546"/>
      <c r="H1" s="3546"/>
      <c r="I1" s="3546"/>
      <c r="J1" s="3547"/>
      <c r="K1" s="3562"/>
      <c r="L1" s="3549"/>
      <c r="M1" s="3549"/>
      <c r="N1" s="3549"/>
      <c r="O1" s="3483"/>
      <c r="P1" s="3483"/>
      <c r="Q1" s="3483"/>
      <c r="R1" s="3483"/>
      <c r="S1" s="3483"/>
      <c r="T1" s="3483"/>
      <c r="U1" s="3483"/>
      <c r="V1" s="3483"/>
      <c r="W1" s="3483"/>
      <c r="X1" s="3483"/>
      <c r="Y1" s="3483"/>
      <c r="Z1" s="3483"/>
    </row>
    <row r="2" spans="1:26" ht="24" customHeight="1" x14ac:dyDescent="0.3">
      <c r="A2" s="2915" t="str">
        <f>HYPERLINK("#'M-INDEX'!A1","⌂ INDICE")</f>
        <v>⌂ INDICE</v>
      </c>
      <c r="B2" s="2913" t="str">
        <f>HYPERLINK("#'M1-ITME'!A1","M1")</f>
        <v>M1</v>
      </c>
      <c r="C2" s="2718" t="str">
        <f>HYPERLINK("#'M2-PDOT'!A1","M2")</f>
        <v>M2</v>
      </c>
      <c r="D2" s="2718" t="str">
        <f>HYPERLINK("#'M3-MAO'!A1","◉ M3-MAO")</f>
        <v>◉ M3-MAO</v>
      </c>
      <c r="E2" s="2718" t="str">
        <f>HYPERLINK("#'M4-AUDIT'!A1","M4")</f>
        <v>M4</v>
      </c>
      <c r="F2" s="2718" t="str">
        <f>HYPERLINK("#'M5-ICPI'!A1","M5")</f>
        <v>M5</v>
      </c>
      <c r="G2" s="2718" t="str">
        <f>HYPERLINK("#'M6-FEDS'!A1","M6")</f>
        <v>M6</v>
      </c>
      <c r="H2" s="2718" t="str">
        <f>HYPERLINK("#'M7-PROSP'!A1","M7")</f>
        <v>M7</v>
      </c>
      <c r="I2" s="2718" t="str">
        <f>HYPERLINK("#'DATA-POA'!A1","DATA-POA")</f>
        <v>DATA-POA</v>
      </c>
      <c r="J2" s="2914" t="str">
        <f>HYPERLINK("#'DATA-CNE'!A1","DATA-CNE")</f>
        <v>DATA-CNE</v>
      </c>
      <c r="K2" s="2932" t="str">
        <f>HYPERLINK("#'M-DASHBOARD'!A1","DASH")</f>
        <v>DASH</v>
      </c>
      <c r="L2" s="2927"/>
      <c r="M2" s="2927"/>
      <c r="N2" s="2927"/>
      <c r="O2" s="1084"/>
      <c r="P2" s="1084"/>
      <c r="Q2" s="1084"/>
      <c r="R2" s="1084"/>
      <c r="S2" s="1084"/>
      <c r="T2" s="1084"/>
      <c r="U2" s="1084"/>
      <c r="V2" s="1084"/>
      <c r="W2" s="1084"/>
      <c r="X2" s="1084"/>
      <c r="Y2" s="1084"/>
      <c r="Z2" s="1084"/>
    </row>
    <row r="3" spans="1:26" ht="22.05" customHeight="1" thickBot="1" x14ac:dyDescent="0.35">
      <c r="A3" s="3559" t="s">
        <v>690</v>
      </c>
      <c r="B3" s="3463"/>
      <c r="C3" s="3464"/>
      <c r="D3" s="3464"/>
      <c r="E3" s="3464"/>
      <c r="F3" s="3464"/>
      <c r="G3" s="3464"/>
      <c r="H3" s="3464"/>
      <c r="I3" s="3464"/>
      <c r="J3" s="3465"/>
      <c r="K3" s="3560"/>
      <c r="L3" s="2937"/>
      <c r="M3" s="2937"/>
      <c r="N3" s="2937"/>
      <c r="O3" s="2905"/>
      <c r="P3" s="2905"/>
      <c r="Q3" s="2905"/>
      <c r="R3" s="2905"/>
      <c r="S3" s="2905"/>
      <c r="T3" s="2905"/>
      <c r="U3" s="2905"/>
      <c r="V3" s="2905"/>
      <c r="W3" s="2905"/>
      <c r="X3" s="2905"/>
      <c r="Y3" s="2905"/>
      <c r="Z3" s="2905"/>
    </row>
    <row r="4" spans="1:26" ht="36" customHeight="1" thickTop="1" x14ac:dyDescent="0.3">
      <c r="A4" s="1848" t="s">
        <v>691</v>
      </c>
      <c r="B4" s="2917" t="s">
        <v>692</v>
      </c>
      <c r="C4" s="1781" t="s">
        <v>801</v>
      </c>
      <c r="D4" s="1781" t="s">
        <v>123</v>
      </c>
      <c r="E4" s="1781" t="s">
        <v>802</v>
      </c>
      <c r="F4" s="1781" t="s">
        <v>803</v>
      </c>
      <c r="G4" s="1781" t="s">
        <v>698</v>
      </c>
      <c r="H4" s="1781" t="s">
        <v>804</v>
      </c>
      <c r="I4" s="1781" t="s">
        <v>805</v>
      </c>
      <c r="J4" s="2918" t="s">
        <v>806</v>
      </c>
      <c r="K4" s="2933" t="s">
        <v>807</v>
      </c>
      <c r="L4" s="2938"/>
      <c r="M4" s="2938"/>
      <c r="N4" s="2938"/>
      <c r="O4" s="2059"/>
      <c r="P4" s="694"/>
      <c r="Q4" s="694"/>
      <c r="R4" s="694"/>
      <c r="S4" s="694"/>
      <c r="T4" s="694"/>
      <c r="U4" s="694"/>
      <c r="V4" s="694"/>
      <c r="W4" s="694"/>
      <c r="X4" s="694"/>
      <c r="Y4" s="694"/>
      <c r="Z4" s="2699"/>
    </row>
    <row r="5" spans="1:26" s="25" customFormat="1" ht="22.05" customHeight="1" x14ac:dyDescent="0.3">
      <c r="A5" s="2922" t="s">
        <v>509</v>
      </c>
      <c r="B5" s="2919" t="s">
        <v>19</v>
      </c>
      <c r="C5" s="2784" t="s">
        <v>89</v>
      </c>
      <c r="D5" s="2784" t="s">
        <v>4715</v>
      </c>
      <c r="E5" s="1823" t="s">
        <v>808</v>
      </c>
      <c r="F5" s="2784" t="s">
        <v>809</v>
      </c>
      <c r="G5" s="2811">
        <v>1</v>
      </c>
      <c r="H5" s="1823" t="s">
        <v>810</v>
      </c>
      <c r="I5" s="2784" t="s">
        <v>811</v>
      </c>
      <c r="J5" s="2920" t="s">
        <v>812</v>
      </c>
      <c r="K5" s="2934">
        <v>45068</v>
      </c>
      <c r="L5" s="2939"/>
      <c r="M5" s="2939"/>
      <c r="N5" s="2939"/>
      <c r="O5" s="2714"/>
      <c r="P5" s="695"/>
      <c r="Q5" s="695"/>
      <c r="R5" s="695"/>
      <c r="S5" s="695"/>
      <c r="T5" s="695"/>
      <c r="U5" s="695"/>
      <c r="V5" s="695"/>
      <c r="W5" s="695"/>
      <c r="X5" s="695"/>
      <c r="Y5" s="695"/>
      <c r="Z5" s="2700"/>
    </row>
    <row r="6" spans="1:26" s="19" customFormat="1" ht="31.95" customHeight="1" x14ac:dyDescent="0.3">
      <c r="A6" s="2924" t="s">
        <v>43</v>
      </c>
      <c r="B6" s="2921" t="s">
        <v>22</v>
      </c>
      <c r="C6" s="2787" t="s">
        <v>94</v>
      </c>
      <c r="D6" s="2787" t="s">
        <v>4716</v>
      </c>
      <c r="E6" s="2788" t="s">
        <v>813</v>
      </c>
      <c r="F6" s="2787" t="s">
        <v>814</v>
      </c>
      <c r="G6" s="2814">
        <v>0.9</v>
      </c>
      <c r="H6" s="2788" t="s">
        <v>815</v>
      </c>
      <c r="I6" s="2787" t="s">
        <v>816</v>
      </c>
      <c r="J6" s="2923" t="s">
        <v>817</v>
      </c>
      <c r="K6" s="2935" t="s">
        <v>818</v>
      </c>
      <c r="L6" s="2940"/>
      <c r="M6" s="2940"/>
      <c r="N6" s="2940"/>
      <c r="O6" s="2906"/>
      <c r="P6" s="2332"/>
      <c r="Q6" s="2332"/>
      <c r="R6" s="2332"/>
      <c r="S6" s="2332"/>
      <c r="T6" s="2332"/>
      <c r="U6" s="2332"/>
      <c r="V6" s="2332"/>
      <c r="W6" s="2332"/>
      <c r="X6" s="2332"/>
      <c r="Y6" s="2332"/>
      <c r="Z6" s="2702"/>
    </row>
    <row r="7" spans="1:26" s="19" customFormat="1" ht="22.05" customHeight="1" x14ac:dyDescent="0.3">
      <c r="A7" s="2922" t="s">
        <v>715</v>
      </c>
      <c r="B7" s="2919" t="s">
        <v>19</v>
      </c>
      <c r="C7" s="2784" t="s">
        <v>819</v>
      </c>
      <c r="D7" s="2784" t="s">
        <v>4717</v>
      </c>
      <c r="E7" s="1823" t="s">
        <v>808</v>
      </c>
      <c r="F7" s="2784" t="s">
        <v>809</v>
      </c>
      <c r="G7" s="2811">
        <v>1</v>
      </c>
      <c r="H7" s="1823" t="s">
        <v>810</v>
      </c>
      <c r="I7" s="2784" t="s">
        <v>820</v>
      </c>
      <c r="J7" s="2920" t="s">
        <v>821</v>
      </c>
      <c r="K7" s="2934">
        <v>45068</v>
      </c>
      <c r="L7" s="2940"/>
      <c r="M7" s="2940"/>
      <c r="N7" s="2940"/>
      <c r="O7" s="2906"/>
      <c r="P7" s="2332"/>
      <c r="Q7" s="2332"/>
      <c r="R7" s="2332"/>
      <c r="S7" s="2332"/>
      <c r="T7" s="2332"/>
      <c r="U7" s="2332"/>
      <c r="V7" s="2332"/>
      <c r="W7" s="2332"/>
      <c r="X7" s="2332"/>
      <c r="Y7" s="2332"/>
      <c r="Z7" s="2702"/>
    </row>
    <row r="8" spans="1:26" s="19" customFormat="1" ht="22.05" customHeight="1" x14ac:dyDescent="0.3">
      <c r="A8" s="2924" t="s">
        <v>57</v>
      </c>
      <c r="B8" s="2921" t="s">
        <v>19</v>
      </c>
      <c r="C8" s="2787" t="s">
        <v>95</v>
      </c>
      <c r="D8" s="2787" t="s">
        <v>4718</v>
      </c>
      <c r="E8" s="2788" t="s">
        <v>808</v>
      </c>
      <c r="F8" s="2787" t="s">
        <v>809</v>
      </c>
      <c r="G8" s="2814">
        <v>1</v>
      </c>
      <c r="H8" s="2788" t="s">
        <v>810</v>
      </c>
      <c r="I8" s="2787" t="s">
        <v>822</v>
      </c>
      <c r="J8" s="2923" t="s">
        <v>823</v>
      </c>
      <c r="K8" s="2935">
        <v>45068</v>
      </c>
      <c r="L8" s="2940"/>
      <c r="M8" s="2940"/>
      <c r="N8" s="2940"/>
      <c r="O8" s="2906"/>
      <c r="P8" s="2332"/>
      <c r="Q8" s="2332"/>
      <c r="R8" s="2332"/>
      <c r="S8" s="2332"/>
      <c r="T8" s="2332"/>
      <c r="U8" s="2332"/>
      <c r="V8" s="2332"/>
      <c r="W8" s="2332"/>
      <c r="X8" s="2332"/>
      <c r="Y8" s="2332"/>
      <c r="Z8" s="2702"/>
    </row>
    <row r="9" spans="1:26" s="19" customFormat="1" ht="22.05" customHeight="1" x14ac:dyDescent="0.3">
      <c r="A9" s="2922" t="s">
        <v>721</v>
      </c>
      <c r="B9" s="2919" t="s">
        <v>22</v>
      </c>
      <c r="C9" s="2784" t="s">
        <v>87</v>
      </c>
      <c r="D9" s="2784" t="s">
        <v>4719</v>
      </c>
      <c r="E9" s="1823" t="s">
        <v>808</v>
      </c>
      <c r="F9" s="2784" t="s">
        <v>809</v>
      </c>
      <c r="G9" s="2811">
        <v>1</v>
      </c>
      <c r="H9" s="1823" t="s">
        <v>810</v>
      </c>
      <c r="I9" s="2784" t="s">
        <v>824</v>
      </c>
      <c r="J9" s="2920" t="s">
        <v>825</v>
      </c>
      <c r="K9" s="2934">
        <v>45068</v>
      </c>
      <c r="L9" s="2940"/>
      <c r="M9" s="2940"/>
      <c r="N9" s="2940"/>
      <c r="O9" s="2906"/>
      <c r="P9" s="2332"/>
      <c r="Q9" s="2332"/>
      <c r="R9" s="2332"/>
      <c r="S9" s="2332"/>
      <c r="T9" s="2332"/>
      <c r="U9" s="2332"/>
      <c r="V9" s="2332"/>
      <c r="W9" s="2332"/>
      <c r="X9" s="2332"/>
      <c r="Y9" s="2332"/>
      <c r="Z9" s="2702"/>
    </row>
    <row r="10" spans="1:26" s="19" customFormat="1" ht="22.05" customHeight="1" x14ac:dyDescent="0.3">
      <c r="A10" s="2924" t="s">
        <v>546</v>
      </c>
      <c r="B10" s="2921" t="s">
        <v>19</v>
      </c>
      <c r="C10" s="2787" t="s">
        <v>89</v>
      </c>
      <c r="D10" s="2787" t="s">
        <v>4715</v>
      </c>
      <c r="E10" s="2788" t="s">
        <v>808</v>
      </c>
      <c r="F10" s="2787" t="s">
        <v>809</v>
      </c>
      <c r="G10" s="2814">
        <v>1</v>
      </c>
      <c r="H10" s="2788" t="s">
        <v>810</v>
      </c>
      <c r="I10" s="2787" t="s">
        <v>811</v>
      </c>
      <c r="J10" s="2923" t="s">
        <v>812</v>
      </c>
      <c r="K10" s="2935">
        <v>45068</v>
      </c>
      <c r="L10" s="2940"/>
      <c r="M10" s="2940"/>
      <c r="N10" s="2940"/>
      <c r="O10" s="2906"/>
      <c r="P10" s="2332"/>
      <c r="Q10" s="2332"/>
      <c r="R10" s="2332"/>
      <c r="S10" s="2332"/>
      <c r="T10" s="2332"/>
      <c r="U10" s="2332"/>
      <c r="V10" s="2332"/>
      <c r="W10" s="2332"/>
      <c r="X10" s="2332"/>
      <c r="Y10" s="2332"/>
      <c r="Z10" s="2702"/>
    </row>
    <row r="11" spans="1:26" s="19" customFormat="1" ht="22.05" customHeight="1" x14ac:dyDescent="0.3">
      <c r="A11" s="2922" t="s">
        <v>47</v>
      </c>
      <c r="B11" s="2919" t="s">
        <v>22</v>
      </c>
      <c r="C11" s="2784" t="s">
        <v>94</v>
      </c>
      <c r="D11" s="2784" t="s">
        <v>4716</v>
      </c>
      <c r="E11" s="1823" t="s">
        <v>813</v>
      </c>
      <c r="F11" s="2784" t="s">
        <v>814</v>
      </c>
      <c r="G11" s="2811">
        <v>0.9</v>
      </c>
      <c r="H11" s="1823" t="s">
        <v>815</v>
      </c>
      <c r="I11" s="2784" t="s">
        <v>816</v>
      </c>
      <c r="J11" s="2920" t="s">
        <v>817</v>
      </c>
      <c r="K11" s="2934">
        <v>45078</v>
      </c>
      <c r="L11" s="2940"/>
      <c r="M11" s="2940"/>
      <c r="N11" s="2940"/>
      <c r="O11" s="2906"/>
      <c r="P11" s="2332"/>
      <c r="Q11" s="2332"/>
      <c r="R11" s="2332"/>
      <c r="S11" s="2332"/>
      <c r="T11" s="2332"/>
      <c r="U11" s="2332"/>
      <c r="V11" s="2332"/>
      <c r="W11" s="2332"/>
      <c r="X11" s="2332"/>
      <c r="Y11" s="2332"/>
      <c r="Z11" s="2702"/>
    </row>
    <row r="12" spans="1:26" s="19" customFormat="1" ht="22.05" customHeight="1" x14ac:dyDescent="0.3">
      <c r="A12" s="2924" t="s">
        <v>518</v>
      </c>
      <c r="B12" s="2921" t="s">
        <v>25</v>
      </c>
      <c r="C12" s="2787" t="s">
        <v>827</v>
      </c>
      <c r="D12" s="2787" t="s">
        <v>4720</v>
      </c>
      <c r="E12" s="2788" t="s">
        <v>828</v>
      </c>
      <c r="F12" s="2787" t="s">
        <v>809</v>
      </c>
      <c r="G12" s="2814">
        <v>1</v>
      </c>
      <c r="H12" s="2788" t="s">
        <v>829</v>
      </c>
      <c r="I12" s="2787" t="s">
        <v>830</v>
      </c>
      <c r="J12" s="2923" t="s">
        <v>831</v>
      </c>
      <c r="K12" s="2935">
        <v>45092</v>
      </c>
      <c r="L12" s="2940"/>
      <c r="M12" s="2940"/>
      <c r="N12" s="2940"/>
      <c r="O12" s="2906"/>
      <c r="P12" s="2332"/>
      <c r="Q12" s="2332"/>
      <c r="R12" s="2332"/>
      <c r="S12" s="2332"/>
      <c r="T12" s="2332"/>
      <c r="U12" s="2332"/>
      <c r="V12" s="2332"/>
      <c r="W12" s="2332"/>
      <c r="X12" s="2332"/>
      <c r="Y12" s="2332"/>
      <c r="Z12" s="2702"/>
    </row>
    <row r="13" spans="1:26" s="19" customFormat="1" ht="22.05" customHeight="1" x14ac:dyDescent="0.3">
      <c r="A13" s="2922" t="s">
        <v>531</v>
      </c>
      <c r="B13" s="2919" t="s">
        <v>19</v>
      </c>
      <c r="C13" s="2784" t="s">
        <v>89</v>
      </c>
      <c r="D13" s="2784" t="s">
        <v>4715</v>
      </c>
      <c r="E13" s="1823" t="s">
        <v>808</v>
      </c>
      <c r="F13" s="2784" t="s">
        <v>809</v>
      </c>
      <c r="G13" s="2811">
        <v>1</v>
      </c>
      <c r="H13" s="1823" t="s">
        <v>810</v>
      </c>
      <c r="I13" s="2784" t="s">
        <v>811</v>
      </c>
      <c r="J13" s="2920" t="s">
        <v>812</v>
      </c>
      <c r="K13" s="2934">
        <v>45068</v>
      </c>
      <c r="L13" s="2940"/>
      <c r="M13" s="2940"/>
      <c r="N13" s="2940"/>
      <c r="O13" s="2906"/>
      <c r="P13" s="2332"/>
      <c r="Q13" s="2332"/>
      <c r="R13" s="2332"/>
      <c r="S13" s="2332"/>
      <c r="T13" s="2332"/>
      <c r="U13" s="2332"/>
      <c r="V13" s="2332"/>
      <c r="W13" s="2332"/>
      <c r="X13" s="2332"/>
      <c r="Y13" s="2332"/>
      <c r="Z13" s="2702"/>
    </row>
    <row r="14" spans="1:26" s="19" customFormat="1" ht="22.05" customHeight="1" x14ac:dyDescent="0.3">
      <c r="A14" s="2924" t="s">
        <v>53</v>
      </c>
      <c r="B14" s="2921" t="s">
        <v>22</v>
      </c>
      <c r="C14" s="2787" t="s">
        <v>94</v>
      </c>
      <c r="D14" s="2787" t="s">
        <v>4716</v>
      </c>
      <c r="E14" s="2788" t="s">
        <v>813</v>
      </c>
      <c r="F14" s="2787" t="s">
        <v>814</v>
      </c>
      <c r="G14" s="2814">
        <v>0.9</v>
      </c>
      <c r="H14" s="2788" t="s">
        <v>815</v>
      </c>
      <c r="I14" s="2787" t="s">
        <v>816</v>
      </c>
      <c r="J14" s="2923" t="s">
        <v>817</v>
      </c>
      <c r="K14" s="2935">
        <v>45078</v>
      </c>
      <c r="L14" s="2940"/>
      <c r="M14" s="2940"/>
      <c r="N14" s="2940"/>
      <c r="O14" s="2906"/>
      <c r="P14" s="2332"/>
      <c r="Q14" s="2332"/>
      <c r="R14" s="2332"/>
      <c r="S14" s="2332"/>
      <c r="T14" s="2332"/>
      <c r="U14" s="2332"/>
      <c r="V14" s="2332"/>
      <c r="W14" s="2332"/>
      <c r="X14" s="2332"/>
      <c r="Y14" s="2332"/>
      <c r="Z14" s="2702"/>
    </row>
    <row r="15" spans="1:26" s="19" customFormat="1" ht="22.05" customHeight="1" x14ac:dyDescent="0.3">
      <c r="A15" s="2922" t="s">
        <v>486</v>
      </c>
      <c r="B15" s="2919" t="s">
        <v>25</v>
      </c>
      <c r="C15" s="2784" t="s">
        <v>832</v>
      </c>
      <c r="D15" s="2784" t="s">
        <v>4721</v>
      </c>
      <c r="E15" s="1823" t="s">
        <v>833</v>
      </c>
      <c r="F15" s="2784" t="s">
        <v>814</v>
      </c>
      <c r="G15" s="2811">
        <v>0.75</v>
      </c>
      <c r="H15" s="1823" t="s">
        <v>834</v>
      </c>
      <c r="I15" s="2784" t="s">
        <v>835</v>
      </c>
      <c r="J15" s="2920" t="s">
        <v>836</v>
      </c>
      <c r="K15" s="2934">
        <v>45108</v>
      </c>
      <c r="L15" s="2940"/>
      <c r="M15" s="2940"/>
      <c r="N15" s="2940"/>
      <c r="O15" s="2906"/>
      <c r="P15" s="2332"/>
      <c r="Q15" s="2332"/>
      <c r="R15" s="2332"/>
      <c r="S15" s="2332"/>
      <c r="T15" s="2332"/>
      <c r="U15" s="2332"/>
      <c r="V15" s="2332"/>
      <c r="W15" s="2332"/>
      <c r="X15" s="2332"/>
      <c r="Y15" s="2332"/>
      <c r="Z15" s="2702"/>
    </row>
    <row r="16" spans="1:26" s="19" customFormat="1" ht="22.05" customHeight="1" x14ac:dyDescent="0.3">
      <c r="A16" s="2924" t="s">
        <v>553</v>
      </c>
      <c r="B16" s="2921" t="s">
        <v>19</v>
      </c>
      <c r="C16" s="2787" t="s">
        <v>89</v>
      </c>
      <c r="D16" s="2787" t="s">
        <v>4715</v>
      </c>
      <c r="E16" s="2788" t="s">
        <v>808</v>
      </c>
      <c r="F16" s="2787" t="s">
        <v>809</v>
      </c>
      <c r="G16" s="2814">
        <v>1</v>
      </c>
      <c r="H16" s="2788" t="s">
        <v>810</v>
      </c>
      <c r="I16" s="2787" t="s">
        <v>811</v>
      </c>
      <c r="J16" s="2923" t="s">
        <v>812</v>
      </c>
      <c r="K16" s="2935">
        <v>45068</v>
      </c>
      <c r="L16" s="2940"/>
      <c r="M16" s="2940"/>
      <c r="N16" s="2940"/>
      <c r="O16" s="2906"/>
      <c r="P16" s="2332"/>
      <c r="Q16" s="2332"/>
      <c r="R16" s="2332"/>
      <c r="S16" s="2332"/>
      <c r="T16" s="2332"/>
      <c r="U16" s="2332"/>
      <c r="V16" s="2332"/>
      <c r="W16" s="2332"/>
      <c r="X16" s="2332"/>
      <c r="Y16" s="2332"/>
      <c r="Z16" s="2702"/>
    </row>
    <row r="17" spans="1:26" s="19" customFormat="1" ht="22.05" customHeight="1" x14ac:dyDescent="0.3">
      <c r="A17" s="2922" t="s">
        <v>50</v>
      </c>
      <c r="B17" s="2919" t="s">
        <v>22</v>
      </c>
      <c r="C17" s="2784" t="s">
        <v>99</v>
      </c>
      <c r="D17" s="2784" t="s">
        <v>4722</v>
      </c>
      <c r="E17" s="1823" t="s">
        <v>808</v>
      </c>
      <c r="F17" s="2784" t="s">
        <v>809</v>
      </c>
      <c r="G17" s="2811">
        <v>1</v>
      </c>
      <c r="H17" s="1823" t="s">
        <v>810</v>
      </c>
      <c r="I17" s="2784" t="s">
        <v>837</v>
      </c>
      <c r="J17" s="2920" t="s">
        <v>838</v>
      </c>
      <c r="K17" s="2934">
        <v>45068</v>
      </c>
      <c r="L17" s="2940"/>
      <c r="M17" s="2940"/>
      <c r="N17" s="2940"/>
      <c r="O17" s="2906"/>
      <c r="P17" s="2332"/>
      <c r="Q17" s="2332"/>
      <c r="R17" s="2332"/>
      <c r="S17" s="2332"/>
      <c r="T17" s="2332"/>
      <c r="U17" s="2332"/>
      <c r="V17" s="2332"/>
      <c r="W17" s="2332"/>
      <c r="X17" s="2332"/>
      <c r="Y17" s="2332"/>
      <c r="Z17" s="2702"/>
    </row>
    <row r="18" spans="1:26" s="19" customFormat="1" ht="22.05" customHeight="1" x14ac:dyDescent="0.3">
      <c r="A18" s="2924" t="s">
        <v>655</v>
      </c>
      <c r="B18" s="2921" t="s">
        <v>31</v>
      </c>
      <c r="C18" s="2787" t="s">
        <v>99</v>
      </c>
      <c r="D18" s="2787" t="s">
        <v>4722</v>
      </c>
      <c r="E18" s="2788" t="s">
        <v>808</v>
      </c>
      <c r="F18" s="2787" t="s">
        <v>809</v>
      </c>
      <c r="G18" s="2814">
        <v>1</v>
      </c>
      <c r="H18" s="2788" t="s">
        <v>810</v>
      </c>
      <c r="I18" s="2787" t="s">
        <v>837</v>
      </c>
      <c r="J18" s="2923" t="s">
        <v>838</v>
      </c>
      <c r="K18" s="2935">
        <v>45068</v>
      </c>
      <c r="L18" s="2940"/>
      <c r="M18" s="2940"/>
      <c r="N18" s="2940"/>
      <c r="O18" s="2906"/>
      <c r="P18" s="2332"/>
      <c r="Q18" s="2332"/>
      <c r="R18" s="2332"/>
      <c r="S18" s="2332"/>
      <c r="T18" s="2332"/>
      <c r="U18" s="2332"/>
      <c r="V18" s="2332"/>
      <c r="W18" s="2332"/>
      <c r="X18" s="2332"/>
      <c r="Y18" s="2332"/>
      <c r="Z18" s="2702"/>
    </row>
    <row r="19" spans="1:26" s="19" customFormat="1" ht="22.05" customHeight="1" x14ac:dyDescent="0.3">
      <c r="A19" s="2922" t="s">
        <v>642</v>
      </c>
      <c r="B19" s="2919" t="s">
        <v>31</v>
      </c>
      <c r="C19" s="2784" t="s">
        <v>839</v>
      </c>
      <c r="D19" s="2784" t="s">
        <v>4723</v>
      </c>
      <c r="E19" s="1823" t="s">
        <v>840</v>
      </c>
      <c r="F19" s="2784" t="s">
        <v>809</v>
      </c>
      <c r="G19" s="2811">
        <v>1</v>
      </c>
      <c r="H19" s="1823" t="s">
        <v>810</v>
      </c>
      <c r="I19" s="2784" t="s">
        <v>841</v>
      </c>
      <c r="J19" s="2920" t="s">
        <v>842</v>
      </c>
      <c r="K19" s="2934">
        <v>45068</v>
      </c>
      <c r="L19" s="2940"/>
      <c r="M19" s="2940"/>
      <c r="N19" s="2940"/>
      <c r="O19" s="2906"/>
      <c r="P19" s="2332"/>
      <c r="Q19" s="2332"/>
      <c r="R19" s="2332"/>
      <c r="S19" s="2332"/>
      <c r="T19" s="2332"/>
      <c r="U19" s="2332"/>
      <c r="V19" s="2332"/>
      <c r="W19" s="2332"/>
      <c r="X19" s="2332"/>
      <c r="Y19" s="2332"/>
      <c r="Z19" s="2702"/>
    </row>
    <row r="20" spans="1:26" s="19" customFormat="1" ht="22.05" customHeight="1" x14ac:dyDescent="0.3">
      <c r="A20" s="2924" t="s">
        <v>466</v>
      </c>
      <c r="B20" s="2921" t="s">
        <v>22</v>
      </c>
      <c r="C20" s="2787" t="s">
        <v>97</v>
      </c>
      <c r="D20" s="2787" t="s">
        <v>843</v>
      </c>
      <c r="E20" s="2788" t="s">
        <v>813</v>
      </c>
      <c r="F20" s="2787" t="s">
        <v>814</v>
      </c>
      <c r="G20" s="2814">
        <v>0.9</v>
      </c>
      <c r="H20" s="2788" t="s">
        <v>829</v>
      </c>
      <c r="I20" s="2787" t="s">
        <v>844</v>
      </c>
      <c r="J20" s="2923" t="s">
        <v>845</v>
      </c>
      <c r="K20" s="2935">
        <v>45139</v>
      </c>
      <c r="L20" s="2940"/>
      <c r="M20" s="2940"/>
      <c r="N20" s="2940"/>
      <c r="O20" s="2906"/>
      <c r="P20" s="2332"/>
      <c r="Q20" s="2332"/>
      <c r="R20" s="2332"/>
      <c r="S20" s="2332"/>
      <c r="T20" s="2332"/>
      <c r="U20" s="2332"/>
      <c r="V20" s="2332"/>
      <c r="W20" s="2332"/>
      <c r="X20" s="2332"/>
      <c r="Y20" s="2332"/>
      <c r="Z20" s="2702"/>
    </row>
    <row r="21" spans="1:26" s="19" customFormat="1" ht="22.05" customHeight="1" x14ac:dyDescent="0.3">
      <c r="A21" s="2922" t="s">
        <v>458</v>
      </c>
      <c r="B21" s="2919" t="s">
        <v>27</v>
      </c>
      <c r="C21" s="2784" t="s">
        <v>846</v>
      </c>
      <c r="D21" s="2784" t="s">
        <v>4724</v>
      </c>
      <c r="E21" s="1823" t="s">
        <v>828</v>
      </c>
      <c r="F21" s="2784" t="s">
        <v>814</v>
      </c>
      <c r="G21" s="2811">
        <v>0.9</v>
      </c>
      <c r="H21" s="1823" t="s">
        <v>829</v>
      </c>
      <c r="I21" s="2784" t="s">
        <v>847</v>
      </c>
      <c r="J21" s="2920" t="s">
        <v>848</v>
      </c>
      <c r="K21" s="2934">
        <v>45097</v>
      </c>
      <c r="L21" s="2940"/>
      <c r="M21" s="2940"/>
      <c r="N21" s="2940"/>
      <c r="O21" s="2906"/>
      <c r="P21" s="2332"/>
      <c r="Q21" s="2332"/>
      <c r="R21" s="2332"/>
      <c r="S21" s="2332"/>
      <c r="T21" s="2332"/>
      <c r="U21" s="2332"/>
      <c r="V21" s="2332"/>
      <c r="W21" s="2332"/>
      <c r="X21" s="2332"/>
      <c r="Y21" s="2332"/>
      <c r="Z21" s="2702"/>
    </row>
    <row r="22" spans="1:26" s="19" customFormat="1" ht="22.05" customHeight="1" x14ac:dyDescent="0.3">
      <c r="A22" s="2924" t="s">
        <v>740</v>
      </c>
      <c r="B22" s="2921" t="s">
        <v>19</v>
      </c>
      <c r="C22" s="2787" t="s">
        <v>89</v>
      </c>
      <c r="D22" s="2787" t="s">
        <v>4715</v>
      </c>
      <c r="E22" s="2788" t="s">
        <v>808</v>
      </c>
      <c r="F22" s="2787" t="s">
        <v>809</v>
      </c>
      <c r="G22" s="2814">
        <v>1</v>
      </c>
      <c r="H22" s="2788" t="s">
        <v>810</v>
      </c>
      <c r="I22" s="2787" t="s">
        <v>811</v>
      </c>
      <c r="J22" s="2923" t="s">
        <v>812</v>
      </c>
      <c r="K22" s="2935">
        <v>45068</v>
      </c>
      <c r="L22" s="2940"/>
      <c r="M22" s="2940"/>
      <c r="N22" s="2940"/>
      <c r="O22" s="2906"/>
      <c r="P22" s="2332"/>
      <c r="Q22" s="2332"/>
      <c r="R22" s="2332"/>
      <c r="S22" s="2332"/>
      <c r="T22" s="2332"/>
      <c r="U22" s="2332"/>
      <c r="V22" s="2332"/>
      <c r="W22" s="2332"/>
      <c r="X22" s="2332"/>
      <c r="Y22" s="2332"/>
      <c r="Z22" s="2702"/>
    </row>
    <row r="23" spans="1:26" s="19" customFormat="1" ht="22.05" customHeight="1" x14ac:dyDescent="0.3">
      <c r="A23" s="2910" t="s">
        <v>502</v>
      </c>
      <c r="B23" s="2925" t="s">
        <v>19</v>
      </c>
      <c r="C23" s="2911" t="s">
        <v>91</v>
      </c>
      <c r="D23" s="2911" t="s">
        <v>4725</v>
      </c>
      <c r="E23" s="1824" t="s">
        <v>808</v>
      </c>
      <c r="F23" s="2911" t="s">
        <v>809</v>
      </c>
      <c r="G23" s="2912">
        <v>1</v>
      </c>
      <c r="H23" s="1824" t="s">
        <v>810</v>
      </c>
      <c r="I23" s="2911" t="s">
        <v>849</v>
      </c>
      <c r="J23" s="2926" t="s">
        <v>850</v>
      </c>
      <c r="K23" s="2936">
        <v>45068</v>
      </c>
      <c r="L23" s="2940"/>
      <c r="M23" s="2940"/>
      <c r="N23" s="2940"/>
      <c r="O23" s="2907"/>
      <c r="P23" s="2397"/>
      <c r="Q23" s="2397"/>
      <c r="R23" s="2397"/>
      <c r="S23" s="2397"/>
      <c r="T23" s="2397"/>
      <c r="U23" s="2397"/>
      <c r="V23" s="2397"/>
      <c r="W23" s="2397"/>
      <c r="X23" s="2397"/>
      <c r="Y23" s="2397"/>
      <c r="Z23" s="2708"/>
    </row>
  </sheetData>
  <mergeCells count="2">
    <mergeCell ref="A3:K3"/>
    <mergeCell ref="A1:Z1"/>
  </mergeCells>
  <conditionalFormatting sqref="B5:B23">
    <cfRule type="expression" dxfId="622" priority="9">
      <formula>B5="TERRITORIAL"</formula>
    </cfRule>
    <cfRule type="expression" dxfId="621" priority="10">
      <formula>B5="SOCIAL"</formula>
    </cfRule>
    <cfRule type="expression" dxfId="620" priority="11">
      <formula>B5="AMBIENTAL"</formula>
    </cfRule>
    <cfRule type="expression" dxfId="619" priority="12">
      <formula>B5="INSTITUCIONAL"</formula>
    </cfRule>
    <cfRule type="expression" dxfId="618" priority="13">
      <formula>B5="ECONÓMICO"</formula>
    </cfRule>
  </conditionalFormatting>
  <conditionalFormatting sqref="F5:F23">
    <cfRule type="expression" dxfId="617" priority="6">
      <formula>ISNUMBER(SEARCH("control directo",F5))</formula>
    </cfRule>
    <cfRule type="expression" dxfId="616" priority="7">
      <formula>ISNUMBER(SEARCH("adscrito",F5))</formula>
    </cfRule>
    <cfRule type="expression" dxfId="615" priority="8">
      <formula>ISNUMBER(SEARCH("EP",F5))</formula>
    </cfRule>
  </conditionalFormatting>
  <conditionalFormatting sqref="G5:G23">
    <cfRule type="expression" dxfId="614" priority="1">
      <formula>G5=1</formula>
    </cfRule>
    <cfRule type="expression" dxfId="613" priority="2">
      <formula>G5=0.9</formula>
    </cfRule>
    <cfRule type="expression" dxfId="612" priority="3">
      <formula>G5=0.75</formula>
    </cfRule>
    <cfRule type="expression" dxfId="611" priority="4">
      <formula>G5=0.5</formula>
    </cfRule>
    <cfRule type="expression" dxfId="610" priority="5">
      <formula>G5=0.25</formula>
    </cfRule>
  </conditionalFormatting>
  <conditionalFormatting sqref="K5:K23">
    <cfRule type="expression" dxfId="609" priority="14">
      <formula>ISNUMBER(SEARCH("⚠️",K5))</formula>
    </cfRule>
  </conditionalFormatting>
  <dataValidations count="1">
    <dataValidation type="list" allowBlank="1" showInputMessage="1" showErrorMessage="1" sqref="H5:H23" xr:uid="{00000000-0002-0000-0800-000000000000}">
      <formula1>"Director,Director Ejecutivo,Dir. Ejecutivo EP,Jefe Departamento,Subdirector"</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DEEAF1"/>
  </sheetPr>
  <dimension ref="A1:Z31"/>
  <sheetViews>
    <sheetView showGridLines="0" zoomScale="42" zoomScaleNormal="42" workbookViewId="0">
      <pane ySplit="3" topLeftCell="A4" activePane="bottomLeft" state="frozen"/>
      <selection pane="bottomLeft" activeCell="C15" sqref="C15"/>
    </sheetView>
  </sheetViews>
  <sheetFormatPr baseColWidth="10" defaultRowHeight="14.4" x14ac:dyDescent="0.3"/>
  <cols>
    <col min="1" max="1" width="12.33203125" bestFit="1" customWidth="1"/>
    <col min="2" max="2" width="27.77734375" customWidth="1"/>
    <col min="3" max="3" width="9.6640625" customWidth="1"/>
    <col min="4" max="4" width="25.88671875" customWidth="1"/>
    <col min="5" max="5" width="13.33203125" customWidth="1"/>
    <col min="6" max="6" width="14.77734375" customWidth="1"/>
    <col min="7" max="7" width="10.21875" customWidth="1"/>
    <col min="8" max="8" width="11.109375" customWidth="1"/>
    <col min="9" max="9" width="8.33203125" customWidth="1"/>
    <col min="10" max="10" width="15.77734375" customWidth="1"/>
    <col min="11" max="11" width="11.109375" customWidth="1"/>
    <col min="12" max="12" width="37" customWidth="1"/>
    <col min="13" max="14" width="5.5546875" customWidth="1"/>
    <col min="26" max="26" width="8.109375" bestFit="1" customWidth="1"/>
  </cols>
  <sheetData>
    <row r="1" spans="1:26" ht="30" customHeight="1" x14ac:dyDescent="0.3">
      <c r="A1" s="3601" t="s">
        <v>4828</v>
      </c>
      <c r="B1" s="3602"/>
      <c r="C1" s="3602"/>
      <c r="D1" s="3602"/>
      <c r="E1" s="3602"/>
      <c r="F1" s="3602"/>
      <c r="G1" s="3602"/>
      <c r="H1" s="3602"/>
      <c r="I1" s="3602"/>
      <c r="J1" s="3602"/>
      <c r="K1" s="3602"/>
      <c r="L1" s="3602"/>
      <c r="M1" s="3602"/>
      <c r="N1" s="3603"/>
      <c r="O1" s="3604"/>
      <c r="P1" s="3604"/>
      <c r="Q1" s="3604"/>
      <c r="R1" s="3604"/>
      <c r="S1" s="3604"/>
      <c r="T1" s="3604"/>
      <c r="U1" s="3604"/>
      <c r="V1" s="3604"/>
      <c r="W1" s="3604"/>
      <c r="X1" s="3604"/>
      <c r="Y1" s="3604"/>
      <c r="Z1" s="3604"/>
    </row>
    <row r="2" spans="1:26" ht="24" customHeight="1" x14ac:dyDescent="0.3">
      <c r="A2" s="2712" t="str">
        <f>HYPERLINK("#'M-INDEX'!A1","⌂ INDICE")</f>
        <v>⌂ INDICE</v>
      </c>
      <c r="B2" s="2709" t="str">
        <f>HYPERLINK("#'M1-ITME'!A1","M1")</f>
        <v>M1</v>
      </c>
      <c r="C2" s="2709" t="str">
        <f>HYPERLINK("#'M2-PDOT'!A1","M2")</f>
        <v>M2</v>
      </c>
      <c r="D2" s="2709" t="str">
        <f>HYPERLINK("#'M3-MAO'!A1","M3")</f>
        <v>M3</v>
      </c>
      <c r="E2" s="2709" t="str">
        <f>HYPERLINK("#'M4-AUDIT'!A1","M4")</f>
        <v>M4</v>
      </c>
      <c r="F2" s="2709" t="str">
        <f>HYPERLINK("#'M5-ICPI'!A1","M5")</f>
        <v>M5</v>
      </c>
      <c r="G2" s="2709" t="str">
        <f>HYPERLINK("#'M6-FEDS'!A1","M6")</f>
        <v>M6</v>
      </c>
      <c r="H2" s="2709" t="str">
        <f>HYPERLINK("#'M7-PROSP'!A1","M7")</f>
        <v>M7</v>
      </c>
      <c r="I2" s="2709" t="str">
        <f>HYPERLINK("#'DATA-POA'!A1","DATA-POA")</f>
        <v>DATA-POA</v>
      </c>
      <c r="J2" s="2709" t="str">
        <f>HYPERLINK("#'DATA-CNE'!A1","DATA-CNE")</f>
        <v>DATA-CNE</v>
      </c>
      <c r="K2" s="2709" t="str">
        <f>HYPERLINK("#'DATA-ORG'!A1","DATA-ORG")</f>
        <v>DATA-ORG</v>
      </c>
      <c r="L2" s="2709" t="str">
        <f>HYPERLINK("#'M-DASHBOARD'!A1","DASH")</f>
        <v>DASH</v>
      </c>
      <c r="M2" s="2710"/>
      <c r="N2" s="2713"/>
      <c r="O2" s="1084"/>
      <c r="P2" s="1084"/>
      <c r="Q2" s="1084"/>
      <c r="R2" s="1084"/>
      <c r="S2" s="1084"/>
      <c r="T2" s="1084"/>
      <c r="U2" s="1084"/>
      <c r="V2" s="1084"/>
      <c r="W2" s="1084"/>
      <c r="X2" s="1084"/>
      <c r="Y2" s="1084"/>
      <c r="Z2" s="1084"/>
    </row>
    <row r="3" spans="1:26" ht="22.05" customHeight="1" thickBot="1" x14ac:dyDescent="0.35">
      <c r="A3" s="3605" t="s">
        <v>4230</v>
      </c>
      <c r="B3" s="3606"/>
      <c r="C3" s="3606"/>
      <c r="D3" s="3606"/>
      <c r="E3" s="3606"/>
      <c r="F3" s="3606"/>
      <c r="G3" s="3606"/>
      <c r="H3" s="3606"/>
      <c r="I3" s="3606"/>
      <c r="J3" s="3606"/>
      <c r="K3" s="3606"/>
      <c r="L3" s="3606"/>
      <c r="M3" s="3606"/>
      <c r="N3" s="3607"/>
      <c r="O3" s="3608"/>
      <c r="P3" s="3608"/>
      <c r="Q3" s="3608"/>
      <c r="R3" s="3608"/>
      <c r="S3" s="3608"/>
      <c r="T3" s="3608"/>
      <c r="U3" s="3608"/>
      <c r="V3" s="3608"/>
      <c r="W3" s="3608"/>
      <c r="X3" s="3608"/>
      <c r="Y3" s="3608"/>
      <c r="Z3" s="3608"/>
    </row>
    <row r="4" spans="1:26" ht="25.95" customHeight="1" thickTop="1" x14ac:dyDescent="0.3">
      <c r="A4" s="3609" t="s">
        <v>851</v>
      </c>
      <c r="B4" s="3610"/>
      <c r="C4" s="3611"/>
      <c r="D4" s="3611"/>
      <c r="E4" s="3611"/>
      <c r="F4" s="3611"/>
      <c r="G4" s="3611"/>
      <c r="H4" s="3611"/>
      <c r="I4" s="3611"/>
      <c r="J4" s="3611"/>
      <c r="K4" s="3611"/>
      <c r="L4" s="3611"/>
      <c r="M4" s="3612"/>
      <c r="N4" s="3613"/>
      <c r="O4" s="3614"/>
      <c r="P4" s="3614"/>
      <c r="Q4" s="3614"/>
      <c r="R4" s="3614"/>
      <c r="S4" s="3614"/>
      <c r="T4" s="3614"/>
      <c r="U4" s="3614"/>
      <c r="V4" s="3614"/>
      <c r="W4" s="3614"/>
      <c r="X4" s="3614"/>
      <c r="Y4" s="3614"/>
      <c r="Z4" s="3615"/>
    </row>
    <row r="5" spans="1:26" ht="36" customHeight="1" x14ac:dyDescent="0.3">
      <c r="A5" s="2889" t="s">
        <v>852</v>
      </c>
      <c r="B5" s="2890" t="s">
        <v>853</v>
      </c>
      <c r="C5" s="1974" t="s">
        <v>698</v>
      </c>
      <c r="D5" s="2891" t="s">
        <v>4448</v>
      </c>
      <c r="E5" s="1974" t="s">
        <v>854</v>
      </c>
      <c r="F5" s="1974" t="s">
        <v>123</v>
      </c>
      <c r="G5" s="1974" t="s">
        <v>855</v>
      </c>
      <c r="H5" s="1974" t="s">
        <v>856</v>
      </c>
      <c r="I5" s="1974"/>
      <c r="J5" s="1974"/>
      <c r="K5" s="1974"/>
      <c r="L5" s="1974"/>
      <c r="M5" s="2892"/>
      <c r="N5" s="2893"/>
      <c r="O5" s="2714"/>
      <c r="P5" s="695"/>
      <c r="Q5" s="695"/>
      <c r="R5" s="695"/>
      <c r="S5" s="695"/>
      <c r="T5" s="695"/>
      <c r="U5" s="695"/>
      <c r="V5" s="695"/>
      <c r="W5" s="695"/>
      <c r="X5" s="695"/>
      <c r="Y5" s="695"/>
      <c r="Z5" s="2700"/>
    </row>
    <row r="6" spans="1:26" ht="22.05" customHeight="1" x14ac:dyDescent="0.3">
      <c r="A6" s="2854" t="s">
        <v>857</v>
      </c>
      <c r="B6" s="2862" t="s">
        <v>858</v>
      </c>
      <c r="C6" s="2848">
        <v>1</v>
      </c>
      <c r="D6" s="2849" t="s">
        <v>859</v>
      </c>
      <c r="E6" s="2849" t="s">
        <v>860</v>
      </c>
      <c r="F6" s="2849" t="s">
        <v>861</v>
      </c>
      <c r="G6" s="2849" t="s">
        <v>862</v>
      </c>
      <c r="H6" s="2849" t="s">
        <v>863</v>
      </c>
      <c r="I6" s="2848"/>
      <c r="J6" s="2850"/>
      <c r="K6" s="2850"/>
      <c r="L6" s="2850"/>
      <c r="M6" s="2877"/>
      <c r="N6" s="2858"/>
      <c r="O6" s="2847"/>
      <c r="P6" s="1992"/>
      <c r="Q6" s="1992"/>
      <c r="R6" s="1992"/>
      <c r="S6" s="1992"/>
      <c r="T6" s="1992"/>
      <c r="U6" s="1992"/>
      <c r="V6" s="1992"/>
      <c r="W6" s="1992"/>
      <c r="X6" s="1992"/>
      <c r="Y6" s="1992"/>
      <c r="Z6" s="2841"/>
    </row>
    <row r="7" spans="1:26" ht="22.05" customHeight="1" x14ac:dyDescent="0.3">
      <c r="A7" s="2865" t="s">
        <v>864</v>
      </c>
      <c r="B7" s="2864" t="s">
        <v>865</v>
      </c>
      <c r="C7" s="2851">
        <v>0.9</v>
      </c>
      <c r="D7" s="2852" t="s">
        <v>866</v>
      </c>
      <c r="E7" s="2852" t="s">
        <v>867</v>
      </c>
      <c r="F7" s="2852" t="s">
        <v>868</v>
      </c>
      <c r="G7" s="2852" t="s">
        <v>869</v>
      </c>
      <c r="H7" s="2852" t="s">
        <v>870</v>
      </c>
      <c r="I7" s="2851"/>
      <c r="J7" s="2853"/>
      <c r="K7" s="2853"/>
      <c r="L7" s="2853"/>
      <c r="M7" s="2879"/>
      <c r="N7" s="2880"/>
      <c r="O7" s="2847"/>
      <c r="P7" s="1992"/>
      <c r="Q7" s="1992"/>
      <c r="R7" s="1992"/>
      <c r="S7" s="1992"/>
      <c r="T7" s="1992"/>
      <c r="U7" s="1992"/>
      <c r="V7" s="1992"/>
      <c r="W7" s="1992"/>
      <c r="X7" s="1992"/>
      <c r="Y7" s="1992"/>
      <c r="Z7" s="2841"/>
    </row>
    <row r="8" spans="1:26" ht="22.05" customHeight="1" x14ac:dyDescent="0.3">
      <c r="A8" s="2854" t="s">
        <v>871</v>
      </c>
      <c r="B8" s="2862" t="s">
        <v>872</v>
      </c>
      <c r="C8" s="2848">
        <v>0.75</v>
      </c>
      <c r="D8" s="2849" t="s">
        <v>873</v>
      </c>
      <c r="E8" s="2849" t="s">
        <v>874</v>
      </c>
      <c r="F8" s="2849" t="s">
        <v>875</v>
      </c>
      <c r="G8" s="2849" t="s">
        <v>876</v>
      </c>
      <c r="H8" s="2849" t="s">
        <v>877</v>
      </c>
      <c r="I8" s="2848"/>
      <c r="J8" s="2850"/>
      <c r="K8" s="2850"/>
      <c r="L8" s="2850"/>
      <c r="M8" s="2877"/>
      <c r="N8" s="2858"/>
      <c r="O8" s="2847"/>
      <c r="P8" s="1992"/>
      <c r="Q8" s="1992"/>
      <c r="R8" s="1992"/>
      <c r="S8" s="1992"/>
      <c r="T8" s="1992"/>
      <c r="U8" s="1992"/>
      <c r="V8" s="1992"/>
      <c r="W8" s="1992"/>
      <c r="X8" s="1992"/>
      <c r="Y8" s="1992"/>
      <c r="Z8" s="2841"/>
    </row>
    <row r="9" spans="1:26" ht="22.05" customHeight="1" x14ac:dyDescent="0.3">
      <c r="A9" s="2865" t="s">
        <v>878</v>
      </c>
      <c r="B9" s="2894" t="s">
        <v>879</v>
      </c>
      <c r="C9" s="2895">
        <v>0.5</v>
      </c>
      <c r="D9" s="2896" t="s">
        <v>880</v>
      </c>
      <c r="E9" s="2896" t="s">
        <v>881</v>
      </c>
      <c r="F9" s="2896" t="s">
        <v>882</v>
      </c>
      <c r="G9" s="2896" t="s">
        <v>883</v>
      </c>
      <c r="H9" s="2896" t="s">
        <v>884</v>
      </c>
      <c r="I9" s="2895"/>
      <c r="J9" s="2897"/>
      <c r="K9" s="2897"/>
      <c r="L9" s="2897"/>
      <c r="M9" s="2898"/>
      <c r="N9" s="2880"/>
      <c r="O9" s="2847"/>
      <c r="P9" s="1992"/>
      <c r="Q9" s="1992"/>
      <c r="R9" s="1992"/>
      <c r="S9" s="1992"/>
      <c r="T9" s="1992"/>
      <c r="U9" s="1992"/>
      <c r="V9" s="1992"/>
      <c r="W9" s="1992"/>
      <c r="X9" s="1992"/>
      <c r="Y9" s="1992"/>
      <c r="Z9" s="2841"/>
    </row>
    <row r="10" spans="1:26" ht="22.05" customHeight="1" x14ac:dyDescent="0.3">
      <c r="A10" s="2854" t="s">
        <v>885</v>
      </c>
      <c r="B10" s="2866" t="s">
        <v>886</v>
      </c>
      <c r="C10" s="2855">
        <v>0.25</v>
      </c>
      <c r="D10" s="2856" t="s">
        <v>887</v>
      </c>
      <c r="E10" s="2856" t="s">
        <v>103</v>
      </c>
      <c r="F10" s="2856" t="s">
        <v>888</v>
      </c>
      <c r="G10" s="2856" t="s">
        <v>889</v>
      </c>
      <c r="H10" s="2856" t="s">
        <v>890</v>
      </c>
      <c r="I10" s="2855"/>
      <c r="J10" s="2857"/>
      <c r="K10" s="2857"/>
      <c r="L10" s="2857"/>
      <c r="M10" s="2881"/>
      <c r="N10" s="2858"/>
      <c r="O10" s="2847"/>
      <c r="P10" s="1992"/>
      <c r="Q10" s="1992"/>
      <c r="R10" s="1992"/>
      <c r="S10" s="1992"/>
      <c r="T10" s="1992"/>
      <c r="U10" s="1992"/>
      <c r="V10" s="1992"/>
      <c r="W10" s="1992"/>
      <c r="X10" s="1992"/>
      <c r="Y10" s="1992"/>
      <c r="Z10" s="2841"/>
    </row>
    <row r="11" spans="1:26" ht="25.95" customHeight="1" x14ac:dyDescent="0.3">
      <c r="A11" s="3599" t="s">
        <v>891</v>
      </c>
      <c r="B11" s="3551"/>
      <c r="C11" s="3552"/>
      <c r="D11" s="3552"/>
      <c r="E11" s="3552"/>
      <c r="F11" s="3552"/>
      <c r="G11" s="3552"/>
      <c r="H11" s="3552"/>
      <c r="I11" s="3552"/>
      <c r="J11" s="3552"/>
      <c r="K11" s="3552"/>
      <c r="L11" s="3552"/>
      <c r="M11" s="3553"/>
      <c r="N11" s="3600"/>
      <c r="O11" s="3507"/>
      <c r="P11" s="3507"/>
      <c r="Q11" s="3507"/>
      <c r="R11" s="3507"/>
      <c r="S11" s="3507"/>
      <c r="T11" s="3507"/>
      <c r="U11" s="3507"/>
      <c r="V11" s="3507"/>
      <c r="W11" s="3507"/>
      <c r="X11" s="3507"/>
      <c r="Y11" s="3507"/>
      <c r="Z11" s="3508"/>
    </row>
    <row r="12" spans="1:26" ht="36" customHeight="1" x14ac:dyDescent="0.3">
      <c r="A12" s="2889" t="s">
        <v>423</v>
      </c>
      <c r="B12" s="2890" t="s">
        <v>892</v>
      </c>
      <c r="C12" s="1974" t="s">
        <v>687</v>
      </c>
      <c r="D12" s="1974" t="s">
        <v>893</v>
      </c>
      <c r="E12" s="1974" t="s">
        <v>694</v>
      </c>
      <c r="F12" s="1974" t="s">
        <v>695</v>
      </c>
      <c r="G12" s="1974" t="s">
        <v>894</v>
      </c>
      <c r="H12" s="1974" t="s">
        <v>688</v>
      </c>
      <c r="I12" s="1974" t="s">
        <v>895</v>
      </c>
      <c r="J12" s="1974" t="s">
        <v>896</v>
      </c>
      <c r="K12" s="1974" t="s">
        <v>897</v>
      </c>
      <c r="L12" s="1974" t="s">
        <v>898</v>
      </c>
      <c r="M12" s="2899"/>
      <c r="N12" s="2900"/>
      <c r="O12" s="2847"/>
      <c r="P12" s="1992"/>
      <c r="Q12" s="1992"/>
      <c r="R12" s="1992"/>
      <c r="S12" s="1992"/>
      <c r="T12" s="1992"/>
      <c r="U12" s="1992"/>
      <c r="V12" s="1992"/>
      <c r="W12" s="1992"/>
      <c r="X12" s="1992"/>
      <c r="Y12" s="1992"/>
      <c r="Z12" s="2841"/>
    </row>
    <row r="13" spans="1:26" ht="22.05" customHeight="1" x14ac:dyDescent="0.3">
      <c r="A13" s="2865">
        <v>1</v>
      </c>
      <c r="B13" s="2867">
        <f>'M2-PDOT'!B3</f>
        <v>0</v>
      </c>
      <c r="C13" s="2852">
        <f>'M2-PDOT'!C3</f>
        <v>0</v>
      </c>
      <c r="D13" s="2852" t="s">
        <v>899</v>
      </c>
      <c r="E13" s="2851">
        <f>'M2-PDOT'!E3</f>
        <v>0</v>
      </c>
      <c r="F13" s="2851">
        <f>'M2-PDOT'!F3</f>
        <v>0</v>
      </c>
      <c r="G13" s="2851">
        <v>0</v>
      </c>
      <c r="H13" s="2851">
        <v>0.15</v>
      </c>
      <c r="I13" s="2851">
        <v>0.9</v>
      </c>
      <c r="J13" s="2851">
        <f>E13*F13*G13*H13*I13</f>
        <v>0</v>
      </c>
      <c r="K13" s="2851">
        <f>IF(SUM(J13:J16)&gt;0,J13/SUM($J$13:$J$16),0)</f>
        <v>0</v>
      </c>
      <c r="L13" s="2852" t="s">
        <v>900</v>
      </c>
      <c r="M13" s="2879"/>
      <c r="N13" s="2880"/>
      <c r="O13" s="2847"/>
      <c r="P13" s="1992"/>
      <c r="Q13" s="1992"/>
      <c r="R13" s="1992"/>
      <c r="S13" s="1992"/>
      <c r="T13" s="1992"/>
      <c r="U13" s="1992"/>
      <c r="V13" s="1992"/>
      <c r="W13" s="1992"/>
      <c r="X13" s="1992"/>
      <c r="Y13" s="1992"/>
      <c r="Z13" s="2841"/>
    </row>
    <row r="14" spans="1:26" ht="22.05" customHeight="1" x14ac:dyDescent="0.3">
      <c r="A14" s="2854">
        <v>2</v>
      </c>
      <c r="B14" s="2868" t="str">
        <f>'M2-PDOT'!B10</f>
        <v>PDOT.PI.OE4.M1.01</v>
      </c>
      <c r="C14" s="2849" t="str">
        <f>'M2-PDOT'!C10</f>
        <v>Político Institucional</v>
      </c>
      <c r="D14" s="2849" t="s">
        <v>901</v>
      </c>
      <c r="E14" s="2848">
        <f>'M2-PDOT'!E10</f>
        <v>3.6968726259480326E-2</v>
      </c>
      <c r="F14" s="2848">
        <f>'M2-PDOT'!F10</f>
        <v>1</v>
      </c>
      <c r="G14" s="2848">
        <v>1</v>
      </c>
      <c r="H14" s="2848">
        <v>1</v>
      </c>
      <c r="I14" s="2848">
        <v>0.9</v>
      </c>
      <c r="J14" s="2848">
        <f>E14*F14*G14*H14*I14</f>
        <v>3.3271853633532293E-2</v>
      </c>
      <c r="K14" s="2848">
        <f>IF(SUM(J13:J16)&gt;0,J14/SUM($J$13:$J$16),0)</f>
        <v>1</v>
      </c>
      <c r="L14" s="2849" t="s">
        <v>902</v>
      </c>
      <c r="M14" s="2877"/>
      <c r="N14" s="2858"/>
      <c r="O14" s="2847"/>
      <c r="P14" s="1992"/>
      <c r="Q14" s="1992"/>
      <c r="R14" s="1992"/>
      <c r="S14" s="1992"/>
      <c r="T14" s="1992"/>
      <c r="U14" s="1992"/>
      <c r="V14" s="1992"/>
      <c r="W14" s="1992"/>
      <c r="X14" s="1992"/>
      <c r="Y14" s="1992"/>
      <c r="Z14" s="2841"/>
    </row>
    <row r="15" spans="1:26" ht="22.05" customHeight="1" x14ac:dyDescent="0.3">
      <c r="A15" s="2869">
        <v>3</v>
      </c>
      <c r="B15" s="2867" t="str">
        <f>'M2-PDOT'!B12</f>
        <v>PDOT.AM.OE3.M1.01</v>
      </c>
      <c r="C15" s="2852" t="str">
        <f>'M2-PDOT'!C12</f>
        <v>Ambiental</v>
      </c>
      <c r="D15" s="2852" t="s">
        <v>903</v>
      </c>
      <c r="E15" s="2851">
        <f>'M2-PDOT'!E12</f>
        <v>2.5461988827181092E-2</v>
      </c>
      <c r="F15" s="2851">
        <f>'M2-PDOT'!F12</f>
        <v>1.5</v>
      </c>
      <c r="G15" s="2851">
        <v>0</v>
      </c>
      <c r="H15" s="2851">
        <v>0.5</v>
      </c>
      <c r="I15" s="2851">
        <v>0.9</v>
      </c>
      <c r="J15" s="2851">
        <f>E15*F15*G15*H15*I15</f>
        <v>0</v>
      </c>
      <c r="K15" s="2851">
        <f>IF(SUM(J13:J16)&gt;0,J15/SUM($J$13:$J$16),0)</f>
        <v>0</v>
      </c>
      <c r="L15" s="2852" t="s">
        <v>904</v>
      </c>
      <c r="M15" s="2879"/>
      <c r="N15" s="2880"/>
      <c r="O15" s="2847"/>
      <c r="P15" s="1992"/>
      <c r="Q15" s="1992"/>
      <c r="R15" s="1992"/>
      <c r="S15" s="1992"/>
      <c r="T15" s="1992"/>
      <c r="U15" s="1992"/>
      <c r="V15" s="1992"/>
      <c r="W15" s="1992"/>
      <c r="X15" s="1992"/>
      <c r="Y15" s="1992"/>
      <c r="Z15" s="2841"/>
    </row>
    <row r="16" spans="1:26" ht="22.05" customHeight="1" x14ac:dyDescent="0.3">
      <c r="A16" s="2854">
        <v>4</v>
      </c>
      <c r="B16" s="2868" t="str">
        <f>'M2-PDOT'!B15</f>
        <v>PDOT.PI.OE4.M2.01</v>
      </c>
      <c r="C16" s="2849" t="str">
        <f>'M2-PDOT'!C15</f>
        <v>Político Institucional</v>
      </c>
      <c r="D16" s="2849" t="s">
        <v>905</v>
      </c>
      <c r="E16" s="2848">
        <f>'M2-PDOT'!E15</f>
        <v>1.8216107891773022E-2</v>
      </c>
      <c r="F16" s="2848">
        <f>'M2-PDOT'!F15</f>
        <v>1</v>
      </c>
      <c r="G16" s="2848">
        <v>0</v>
      </c>
      <c r="H16" s="2848">
        <v>0</v>
      </c>
      <c r="I16" s="2848">
        <v>0.9</v>
      </c>
      <c r="J16" s="2848">
        <f>E16*F16*G16*H16*I16</f>
        <v>0</v>
      </c>
      <c r="K16" s="2848">
        <f>IF(SUM(J13:J16)&gt;0,J16/SUM($J$13:$J$16),0)</f>
        <v>0</v>
      </c>
      <c r="L16" s="2849" t="s">
        <v>906</v>
      </c>
      <c r="M16" s="2877"/>
      <c r="N16" s="2858"/>
      <c r="O16" s="2847"/>
      <c r="P16" s="1992"/>
      <c r="Q16" s="1992"/>
      <c r="R16" s="1992"/>
      <c r="S16" s="1992"/>
      <c r="T16" s="1992"/>
      <c r="U16" s="1992"/>
      <c r="V16" s="1992"/>
      <c r="W16" s="1992"/>
      <c r="X16" s="1992"/>
      <c r="Y16" s="1992"/>
      <c r="Z16" s="2841"/>
    </row>
    <row r="17" spans="1:26" ht="24" customHeight="1" x14ac:dyDescent="0.3">
      <c r="A17" s="2870" t="s">
        <v>683</v>
      </c>
      <c r="B17" s="3584" t="s">
        <v>907</v>
      </c>
      <c r="C17" s="3585"/>
      <c r="D17" s="3585"/>
      <c r="E17" s="2733">
        <f>SUM(E13:E16)</f>
        <v>8.0646822978434438E-2</v>
      </c>
      <c r="F17" s="2733"/>
      <c r="G17" s="2733"/>
      <c r="H17" s="2733"/>
      <c r="I17" s="2733"/>
      <c r="J17" s="2733">
        <f>SUM(J13:J16)</f>
        <v>3.3271853633532293E-2</v>
      </c>
      <c r="K17" s="2733">
        <f>SUM(K13:K16)</f>
        <v>1</v>
      </c>
      <c r="L17" s="2733"/>
      <c r="M17" s="2902"/>
      <c r="N17" s="2884"/>
      <c r="O17" s="2847"/>
      <c r="P17" s="1992"/>
      <c r="Q17" s="1992"/>
      <c r="R17" s="1992"/>
      <c r="S17" s="1992"/>
      <c r="T17" s="1992"/>
      <c r="U17" s="1992"/>
      <c r="V17" s="1992"/>
      <c r="W17" s="1992"/>
      <c r="X17" s="1992"/>
      <c r="Y17" s="1992"/>
      <c r="Z17" s="2841"/>
    </row>
    <row r="18" spans="1:26" x14ac:dyDescent="0.3">
      <c r="A18" s="3586" t="s">
        <v>908</v>
      </c>
      <c r="B18" s="3587"/>
      <c r="C18" s="3588"/>
      <c r="D18" s="3588"/>
      <c r="E18" s="3588"/>
      <c r="F18" s="3588"/>
      <c r="G18" s="3588"/>
      <c r="H18" s="3588"/>
      <c r="I18" s="3588"/>
      <c r="J18" s="3588"/>
      <c r="K18" s="3588"/>
      <c r="L18" s="3588"/>
      <c r="M18" s="3589"/>
      <c r="N18" s="3590"/>
      <c r="O18" s="3591"/>
      <c r="P18" s="3591"/>
      <c r="Q18" s="3591"/>
      <c r="R18" s="3591"/>
      <c r="S18" s="3591"/>
      <c r="T18" s="3591"/>
      <c r="U18" s="3591"/>
      <c r="V18" s="3591"/>
      <c r="W18" s="3591"/>
      <c r="X18" s="3591"/>
      <c r="Y18" s="3591"/>
      <c r="Z18" s="3592"/>
    </row>
    <row r="19" spans="1:26" ht="28.05" customHeight="1" x14ac:dyDescent="0.3">
      <c r="A19" s="3593" t="s">
        <v>909</v>
      </c>
      <c r="B19" s="3594"/>
      <c r="C19" s="3594"/>
      <c r="D19" s="3594"/>
      <c r="E19" s="3594"/>
      <c r="F19" s="3594"/>
      <c r="G19" s="3594"/>
      <c r="H19" s="3594"/>
      <c r="I19" s="3594"/>
      <c r="J19" s="3594"/>
      <c r="K19" s="3594"/>
      <c r="L19" s="3594"/>
      <c r="M19" s="3594"/>
      <c r="N19" s="3595"/>
      <c r="O19" s="3507"/>
      <c r="P19" s="3507"/>
      <c r="Q19" s="3507"/>
      <c r="R19" s="3507"/>
      <c r="S19" s="3507"/>
      <c r="T19" s="3507"/>
      <c r="U19" s="3507"/>
      <c r="V19" s="3507"/>
      <c r="W19" s="3507"/>
      <c r="X19" s="3507"/>
      <c r="Y19" s="3507"/>
      <c r="Z19" s="3508"/>
    </row>
    <row r="20" spans="1:26" x14ac:dyDescent="0.3">
      <c r="A20" s="3567" t="s">
        <v>910</v>
      </c>
      <c r="B20" s="3568"/>
      <c r="C20" s="3568"/>
      <c r="D20" s="3568"/>
      <c r="E20" s="3568"/>
      <c r="F20" s="3568"/>
      <c r="G20" s="3568"/>
      <c r="H20" s="3568"/>
      <c r="I20" s="3568"/>
      <c r="J20" s="3568"/>
      <c r="K20" s="3568"/>
      <c r="L20" s="3568"/>
      <c r="M20" s="3568"/>
      <c r="N20" s="3569"/>
      <c r="O20" s="3570"/>
      <c r="P20" s="3570"/>
      <c r="Q20" s="3570"/>
      <c r="R20" s="3570"/>
      <c r="S20" s="3570"/>
      <c r="T20" s="3570"/>
      <c r="U20" s="3570"/>
      <c r="V20" s="3570"/>
      <c r="W20" s="3570"/>
      <c r="X20" s="3570"/>
      <c r="Y20" s="3570"/>
      <c r="Z20" s="3571"/>
    </row>
    <row r="21" spans="1:26" ht="28.05" customHeight="1" x14ac:dyDescent="0.3">
      <c r="A21" s="3596" t="s">
        <v>911</v>
      </c>
      <c r="B21" s="3597"/>
      <c r="C21" s="3597"/>
      <c r="D21" s="3597"/>
      <c r="E21" s="3597"/>
      <c r="F21" s="3597"/>
      <c r="G21" s="3597"/>
      <c r="H21" s="3597"/>
      <c r="I21" s="3597"/>
      <c r="J21" s="3597"/>
      <c r="K21" s="3597"/>
      <c r="L21" s="3597"/>
      <c r="M21" s="3597"/>
      <c r="N21" s="3598"/>
      <c r="O21" s="3507"/>
      <c r="P21" s="3507"/>
      <c r="Q21" s="3507"/>
      <c r="R21" s="3507"/>
      <c r="S21" s="3507"/>
      <c r="T21" s="3507"/>
      <c r="U21" s="3507"/>
      <c r="V21" s="3507"/>
      <c r="W21" s="3507"/>
      <c r="X21" s="3507"/>
      <c r="Y21" s="3507"/>
      <c r="Z21" s="3508"/>
    </row>
    <row r="22" spans="1:26" x14ac:dyDescent="0.3">
      <c r="A22" s="3572" t="s">
        <v>912</v>
      </c>
      <c r="B22" s="3573"/>
      <c r="C22" s="3573"/>
      <c r="D22" s="3573"/>
      <c r="E22" s="3573"/>
      <c r="F22" s="3573"/>
      <c r="G22" s="3573"/>
      <c r="H22" s="3573"/>
      <c r="I22" s="3573"/>
      <c r="J22" s="3573"/>
      <c r="K22" s="3573"/>
      <c r="L22" s="3573"/>
      <c r="M22" s="3573"/>
      <c r="N22" s="3574"/>
      <c r="O22" s="3575"/>
      <c r="P22" s="3575"/>
      <c r="Q22" s="3575"/>
      <c r="R22" s="3575"/>
      <c r="S22" s="3575"/>
      <c r="T22" s="3575"/>
      <c r="U22" s="3575"/>
      <c r="V22" s="3575"/>
      <c r="W22" s="3575"/>
      <c r="X22" s="3575"/>
      <c r="Y22" s="3575"/>
      <c r="Z22" s="3576"/>
    </row>
    <row r="23" spans="1:26" ht="25.95" customHeight="1" x14ac:dyDescent="0.3">
      <c r="A23" s="3599" t="s">
        <v>913</v>
      </c>
      <c r="B23" s="3551"/>
      <c r="C23" s="3552"/>
      <c r="D23" s="3552"/>
      <c r="E23" s="3552"/>
      <c r="F23" s="3552"/>
      <c r="G23" s="3552"/>
      <c r="H23" s="3552"/>
      <c r="I23" s="3552"/>
      <c r="J23" s="3552"/>
      <c r="K23" s="3552"/>
      <c r="L23" s="3552"/>
      <c r="M23" s="3553"/>
      <c r="N23" s="3600"/>
      <c r="O23" s="3507"/>
      <c r="P23" s="3507"/>
      <c r="Q23" s="3507"/>
      <c r="R23" s="3507"/>
      <c r="S23" s="3507"/>
      <c r="T23" s="3507"/>
      <c r="U23" s="3507"/>
      <c r="V23" s="3507"/>
      <c r="W23" s="3507"/>
      <c r="X23" s="3507"/>
      <c r="Y23" s="3507"/>
      <c r="Z23" s="3508"/>
    </row>
    <row r="24" spans="1:26" ht="24" customHeight="1" x14ac:dyDescent="0.3">
      <c r="A24" s="2903" t="s">
        <v>914</v>
      </c>
      <c r="B24" s="2890" t="s">
        <v>915</v>
      </c>
      <c r="C24" s="1974" t="s">
        <v>916</v>
      </c>
      <c r="D24" s="1974" t="s">
        <v>917</v>
      </c>
      <c r="E24" s="1974"/>
      <c r="F24" s="1974"/>
      <c r="G24" s="1974"/>
      <c r="H24" s="1974"/>
      <c r="I24" s="1974"/>
      <c r="J24" s="1974"/>
      <c r="K24" s="1974"/>
      <c r="L24" s="1974"/>
      <c r="M24" s="2899"/>
      <c r="N24" s="2900"/>
      <c r="O24" s="2847"/>
      <c r="P24" s="1992"/>
      <c r="Q24" s="1992"/>
      <c r="R24" s="1992"/>
      <c r="S24" s="1992"/>
      <c r="T24" s="1992"/>
      <c r="U24" s="1992"/>
      <c r="V24" s="1992"/>
      <c r="W24" s="1992"/>
      <c r="X24" s="1992"/>
      <c r="Y24" s="1992"/>
      <c r="Z24" s="2841"/>
    </row>
    <row r="25" spans="1:26" ht="42" customHeight="1" x14ac:dyDescent="0.3">
      <c r="A25" s="2873" t="s">
        <v>918</v>
      </c>
      <c r="B25" s="2871" t="s">
        <v>919</v>
      </c>
      <c r="C25" s="2853" t="s">
        <v>920</v>
      </c>
      <c r="D25" s="2853" t="s">
        <v>921</v>
      </c>
      <c r="E25" s="2853"/>
      <c r="F25" s="2853"/>
      <c r="G25" s="2853"/>
      <c r="H25" s="2853"/>
      <c r="I25" s="2853"/>
      <c r="J25" s="2853"/>
      <c r="K25" s="2853"/>
      <c r="L25" s="2853"/>
      <c r="M25" s="2879"/>
      <c r="N25" s="2880"/>
      <c r="O25" s="2847"/>
      <c r="P25" s="1992"/>
      <c r="Q25" s="1992"/>
      <c r="R25" s="1992"/>
      <c r="S25" s="1992"/>
      <c r="T25" s="1992"/>
      <c r="U25" s="1992"/>
      <c r="V25" s="1992"/>
      <c r="W25" s="1992"/>
      <c r="X25" s="1992"/>
      <c r="Y25" s="1992"/>
      <c r="Z25" s="2841"/>
    </row>
    <row r="26" spans="1:26" ht="42" customHeight="1" x14ac:dyDescent="0.3">
      <c r="A26" s="2874" t="s">
        <v>922</v>
      </c>
      <c r="B26" s="2872" t="s">
        <v>923</v>
      </c>
      <c r="C26" s="2850" t="s">
        <v>924</v>
      </c>
      <c r="D26" s="2850" t="s">
        <v>921</v>
      </c>
      <c r="E26" s="2850"/>
      <c r="F26" s="2850"/>
      <c r="G26" s="2850"/>
      <c r="H26" s="2850"/>
      <c r="I26" s="2850"/>
      <c r="J26" s="2850"/>
      <c r="K26" s="2850"/>
      <c r="L26" s="2850"/>
      <c r="M26" s="2877"/>
      <c r="N26" s="2858"/>
      <c r="O26" s="2847"/>
      <c r="P26" s="1992"/>
      <c r="Q26" s="1992"/>
      <c r="R26" s="1992"/>
      <c r="S26" s="1992"/>
      <c r="T26" s="1992"/>
      <c r="U26" s="1992"/>
      <c r="V26" s="1992"/>
      <c r="W26" s="1992"/>
      <c r="X26" s="1992"/>
      <c r="Y26" s="1992"/>
      <c r="Z26" s="2841"/>
    </row>
    <row r="27" spans="1:26" x14ac:dyDescent="0.3">
      <c r="A27" s="3616" t="s">
        <v>925</v>
      </c>
      <c r="B27" s="3617"/>
      <c r="C27" s="3618"/>
      <c r="D27" s="3618"/>
      <c r="E27" s="3618"/>
      <c r="F27" s="3618"/>
      <c r="G27" s="3618"/>
      <c r="H27" s="3618"/>
      <c r="I27" s="3618"/>
      <c r="J27" s="3618"/>
      <c r="K27" s="3618"/>
      <c r="L27" s="3618"/>
      <c r="M27" s="3619"/>
      <c r="N27" s="3620"/>
      <c r="O27" s="3507"/>
      <c r="P27" s="3507"/>
      <c r="Q27" s="3507"/>
      <c r="R27" s="3507"/>
      <c r="S27" s="3507"/>
      <c r="T27" s="3507"/>
      <c r="U27" s="3507"/>
      <c r="V27" s="3507"/>
      <c r="W27" s="3507"/>
      <c r="X27" s="3507"/>
      <c r="Y27" s="3507"/>
      <c r="Z27" s="3508"/>
    </row>
    <row r="28" spans="1:26" x14ac:dyDescent="0.3">
      <c r="A28" s="3404" t="s">
        <v>926</v>
      </c>
      <c r="B28" s="3563"/>
      <c r="C28" s="3564"/>
      <c r="D28" s="3564"/>
      <c r="E28" s="3564"/>
      <c r="F28" s="3564"/>
      <c r="G28" s="3564"/>
      <c r="H28" s="3564"/>
      <c r="I28" s="3564"/>
      <c r="J28" s="3564"/>
      <c r="K28" s="3564"/>
      <c r="L28" s="3564"/>
      <c r="M28" s="3565"/>
      <c r="N28" s="3566"/>
      <c r="O28" s="3507"/>
      <c r="P28" s="3507"/>
      <c r="Q28" s="3507"/>
      <c r="R28" s="3507"/>
      <c r="S28" s="3507"/>
      <c r="T28" s="3507"/>
      <c r="U28" s="3507"/>
      <c r="V28" s="3507"/>
      <c r="W28" s="3507"/>
      <c r="X28" s="3507"/>
      <c r="Y28" s="3507"/>
      <c r="Z28" s="3508"/>
    </row>
    <row r="29" spans="1:26" ht="42" customHeight="1" x14ac:dyDescent="0.3">
      <c r="A29" s="2873" t="s">
        <v>927</v>
      </c>
      <c r="B29" s="2904" t="s">
        <v>928</v>
      </c>
      <c r="C29" s="2897" t="s">
        <v>929</v>
      </c>
      <c r="D29" s="2897" t="s">
        <v>930</v>
      </c>
      <c r="E29" s="2897"/>
      <c r="F29" s="2897"/>
      <c r="G29" s="2897"/>
      <c r="H29" s="2897"/>
      <c r="I29" s="2897"/>
      <c r="J29" s="2897"/>
      <c r="K29" s="2897"/>
      <c r="L29" s="2897"/>
      <c r="M29" s="2898"/>
      <c r="N29" s="2880"/>
      <c r="O29" s="2847"/>
      <c r="P29" s="1992"/>
      <c r="Q29" s="1992"/>
      <c r="R29" s="1992"/>
      <c r="S29" s="1992"/>
      <c r="T29" s="1992"/>
      <c r="U29" s="1992"/>
      <c r="V29" s="1992"/>
      <c r="W29" s="1992"/>
      <c r="X29" s="1992"/>
      <c r="Y29" s="1992"/>
      <c r="Z29" s="2841"/>
    </row>
    <row r="30" spans="1:26" x14ac:dyDescent="0.3">
      <c r="A30" s="3577" t="s">
        <v>931</v>
      </c>
      <c r="B30" s="3578"/>
      <c r="C30" s="3579"/>
      <c r="D30" s="3579"/>
      <c r="E30" s="3579"/>
      <c r="F30" s="3579"/>
      <c r="G30" s="3579"/>
      <c r="H30" s="3579"/>
      <c r="I30" s="3579"/>
      <c r="J30" s="3579"/>
      <c r="K30" s="3579"/>
      <c r="L30" s="3579"/>
      <c r="M30" s="3580"/>
      <c r="N30" s="3581"/>
      <c r="O30" s="3582"/>
      <c r="P30" s="3582"/>
      <c r="Q30" s="3582"/>
      <c r="R30" s="3582"/>
      <c r="S30" s="3582"/>
      <c r="T30" s="3582"/>
      <c r="U30" s="3582"/>
      <c r="V30" s="3582"/>
      <c r="W30" s="3582"/>
      <c r="X30" s="3582"/>
      <c r="Y30" s="3582"/>
      <c r="Z30" s="3583"/>
    </row>
    <row r="31" spans="1:26" x14ac:dyDescent="0.3">
      <c r="A31" s="4"/>
      <c r="B31" s="4"/>
      <c r="C31" s="4"/>
      <c r="D31" s="4"/>
      <c r="E31" s="4"/>
      <c r="F31" s="4"/>
      <c r="G31" s="4"/>
      <c r="H31" s="4"/>
      <c r="I31" s="4"/>
      <c r="J31" s="4"/>
      <c r="K31" s="4"/>
      <c r="L31" s="4"/>
    </row>
  </sheetData>
  <mergeCells count="14">
    <mergeCell ref="A1:Z1"/>
    <mergeCell ref="A3:Z3"/>
    <mergeCell ref="A4:Z4"/>
    <mergeCell ref="A11:Z11"/>
    <mergeCell ref="A27:Z27"/>
    <mergeCell ref="A28:Z28"/>
    <mergeCell ref="A20:Z20"/>
    <mergeCell ref="A22:Z22"/>
    <mergeCell ref="A30:Z30"/>
    <mergeCell ref="B17:D17"/>
    <mergeCell ref="A18:Z18"/>
    <mergeCell ref="A19:Z19"/>
    <mergeCell ref="A21:Z21"/>
    <mergeCell ref="A23:Z23"/>
  </mergeCells>
  <conditionalFormatting sqref="C6:C10">
    <cfRule type="expression" dxfId="608" priority="15">
      <formula>C6=1</formula>
    </cfRule>
    <cfRule type="expression" dxfId="607" priority="16">
      <formula>C6=0.9</formula>
    </cfRule>
    <cfRule type="expression" dxfId="606" priority="17">
      <formula>C6=0.75</formula>
    </cfRule>
    <cfRule type="expression" dxfId="605" priority="18">
      <formula>C6=0.5</formula>
    </cfRule>
    <cfRule type="expression" dxfId="604" priority="19">
      <formula>C6=0.25</formula>
    </cfRule>
  </conditionalFormatting>
  <conditionalFormatting sqref="D25:D29">
    <cfRule type="expression" dxfId="603" priority="23">
      <formula>ISNUMBER(SEARCH("✅",D25))</formula>
    </cfRule>
    <cfRule type="expression" dxfId="602" priority="24">
      <formula>ISNUMBER(SEARCH("DISEÑO",D25))</formula>
    </cfRule>
  </conditionalFormatting>
  <conditionalFormatting sqref="G6:G10">
    <cfRule type="expression" dxfId="601" priority="20">
      <formula>ISNUMBER(SEARCH("✅",G6))</formula>
    </cfRule>
    <cfRule type="expression" dxfId="600" priority="21">
      <formula>ISNUMBER(SEARCH("🔶",G6))</formula>
    </cfRule>
    <cfRule type="expression" dxfId="599" priority="22">
      <formula>ISNUMBER(SEARCH("❌",G6))</formula>
    </cfRule>
  </conditionalFormatting>
  <conditionalFormatting sqref="G13:G16">
    <cfRule type="expression" dxfId="598" priority="1">
      <formula>G13=1</formula>
    </cfRule>
    <cfRule type="expression" dxfId="597" priority="2">
      <formula>G13=0</formula>
    </cfRule>
  </conditionalFormatting>
  <conditionalFormatting sqref="H13:H16">
    <cfRule type="expression" dxfId="596" priority="3">
      <formula>AND(H13&gt;=0,H13&lt;0.2)</formula>
    </cfRule>
    <cfRule type="expression" dxfId="595" priority="4">
      <formula>AND(H13&gt;=0.2,H13&lt;0.4)</formula>
    </cfRule>
    <cfRule type="expression" dxfId="594" priority="5">
      <formula>AND(H13&gt;=0.4,H13&lt;0.7)</formula>
    </cfRule>
    <cfRule type="expression" dxfId="593" priority="6">
      <formula>AND(H13&gt;=0.7,H13&lt;0.9)</formula>
    </cfRule>
    <cfRule type="expression" dxfId="592" priority="7">
      <formula>H13&gt;=0.9</formula>
    </cfRule>
  </conditionalFormatting>
  <conditionalFormatting sqref="J13:J16">
    <cfRule type="expression" dxfId="591" priority="8">
      <formula>AND(J13&gt;=0,J13&lt;0.02)</formula>
    </cfRule>
    <cfRule type="expression" dxfId="590" priority="9">
      <formula>J13&gt;0.02</formula>
    </cfRule>
  </conditionalFormatting>
  <conditionalFormatting sqref="K13:K16">
    <cfRule type="expression" dxfId="589" priority="10">
      <formula>K13=0</formula>
    </cfRule>
    <cfRule type="expression" dxfId="588" priority="11">
      <formula>K13&gt;0</formula>
    </cfRule>
  </conditionalFormatting>
  <conditionalFormatting sqref="L13:L16">
    <cfRule type="expression" dxfId="587" priority="12">
      <formula>ISNUMBER(SEARCH("✅",L13))</formula>
    </cfRule>
    <cfRule type="expression" dxfId="586" priority="13">
      <formula>ISNUMBER(SEARCH("⚠️",L13))</formula>
    </cfRule>
    <cfRule type="expression" dxfId="585" priority="14">
      <formula>ISNUMBER(SEARCH("🔴",L13))</formula>
    </cfRule>
  </conditionalFormatting>
  <hyperlinks>
    <hyperlink ref="D5" location="'M-INDEX'!A1" tooltip="Volver al Índice Principal" display="⌂ ÍNDICE" xr:uid="{7DA5BB2F-9D53-4EB2-9822-D22153FFF25E}"/>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D9D2E9"/>
  </sheetPr>
  <dimension ref="A1:AA25"/>
  <sheetViews>
    <sheetView showGridLines="0" topLeftCell="B4" zoomScale="79" zoomScaleNormal="79" workbookViewId="0">
      <pane xSplit="1" ySplit="1" topLeftCell="C5" activePane="bottomRight" state="frozen"/>
      <selection activeCell="B4" sqref="B4"/>
      <selection pane="topRight" activeCell="C4" sqref="C4"/>
      <selection pane="bottomLeft" activeCell="B5" sqref="B5"/>
      <selection pane="bottomRight" activeCell="A6" sqref="A6"/>
    </sheetView>
  </sheetViews>
  <sheetFormatPr baseColWidth="10" defaultRowHeight="14.4" x14ac:dyDescent="0.3"/>
  <cols>
    <col min="1" max="1" width="27.77734375" customWidth="1"/>
    <col min="2" max="2" width="15.77734375" customWidth="1"/>
    <col min="3" max="3" width="28.6640625" customWidth="1"/>
    <col min="4" max="4" width="22.21875" customWidth="1"/>
    <col min="5" max="5" width="24.109375" customWidth="1"/>
    <col min="6" max="7" width="7.77734375" customWidth="1"/>
    <col min="8" max="8" width="9.6640625" customWidth="1"/>
    <col min="9" max="9" width="12" customWidth="1"/>
    <col min="10" max="10" width="24.109375" customWidth="1"/>
    <col min="11" max="12" width="9.6640625" customWidth="1"/>
    <col min="13" max="13" width="19.44140625" customWidth="1"/>
    <col min="14" max="14" width="27.77734375" customWidth="1"/>
    <col min="15" max="15" width="15.21875" bestFit="1" customWidth="1"/>
    <col min="16" max="16" width="6.77734375" bestFit="1" customWidth="1"/>
    <col min="17" max="17" width="8.5546875" bestFit="1" customWidth="1"/>
    <col min="18" max="18" width="7.21875" bestFit="1" customWidth="1"/>
    <col min="19" max="19" width="7.109375" bestFit="1" customWidth="1"/>
    <col min="20" max="20" width="8.88671875" bestFit="1" customWidth="1"/>
    <col min="21" max="21" width="9.109375" bestFit="1" customWidth="1"/>
    <col min="22" max="22" width="9.77734375" bestFit="1" customWidth="1"/>
    <col min="23" max="23" width="9" bestFit="1" customWidth="1"/>
    <col min="24" max="24" width="3.21875" bestFit="1" customWidth="1"/>
    <col min="25" max="25" width="15.21875" bestFit="1" customWidth="1"/>
    <col min="26" max="26" width="24.6640625" bestFit="1" customWidth="1"/>
    <col min="27" max="27" width="73.88671875" bestFit="1" customWidth="1"/>
  </cols>
  <sheetData>
    <row r="1" spans="1:27" ht="30" customHeight="1" thickBot="1" x14ac:dyDescent="0.35">
      <c r="A1" s="3627" t="s">
        <v>4815</v>
      </c>
      <c r="B1" s="3628"/>
      <c r="C1" s="3628"/>
      <c r="D1" s="3628"/>
      <c r="E1" s="3628"/>
      <c r="F1" s="3628"/>
      <c r="G1" s="3628"/>
      <c r="H1" s="3628"/>
      <c r="I1" s="3628"/>
      <c r="J1" s="3628"/>
      <c r="K1" s="3628"/>
      <c r="L1" s="3628"/>
      <c r="M1" s="3628"/>
      <c r="N1" s="3629"/>
      <c r="O1" s="3630"/>
      <c r="P1" s="3630"/>
      <c r="Q1" s="3630"/>
      <c r="R1" s="3630"/>
      <c r="S1" s="3630"/>
      <c r="T1" s="3630"/>
      <c r="U1" s="3630"/>
      <c r="V1" s="3630"/>
      <c r="W1" s="3630"/>
      <c r="X1" s="3630"/>
      <c r="Y1" s="3630"/>
      <c r="Z1" s="3630"/>
      <c r="AA1" s="2801"/>
    </row>
    <row r="2" spans="1:27" ht="24" customHeight="1" thickBot="1" x14ac:dyDescent="0.35">
      <c r="A2" s="2837" t="str">
        <f>HYPERLINK("#'M-INDEX'!A1","⌂ INDICE")</f>
        <v>⌂ INDICE</v>
      </c>
      <c r="B2" s="2838" t="str">
        <f>HYPERLINK("#'M1-ITME'!A1","M1")</f>
        <v>M1</v>
      </c>
      <c r="C2" s="2838" t="str">
        <f>HYPERLINK("#'M2-PDOT'!A1","M2")</f>
        <v>M2</v>
      </c>
      <c r="D2" s="2838" t="str">
        <f>HYPERLINK("#'M3-MAO'!A1","M3")</f>
        <v>M3</v>
      </c>
      <c r="E2" s="2838" t="str">
        <f>HYPERLINK("#'M4-AUDIT'!A1","◉ M4-AUDIT")</f>
        <v>◉ M4-AUDIT</v>
      </c>
      <c r="F2" s="2838" t="str">
        <f>HYPERLINK("#'M5-ICPI'!A1","M5")</f>
        <v>M5</v>
      </c>
      <c r="G2" s="2838" t="str">
        <f>HYPERLINK("#'M6-FEDS'!A1","M6")</f>
        <v>M6</v>
      </c>
      <c r="H2" s="2838" t="str">
        <f>HYPERLINK("#'M7-PROSP'!A1","M7")</f>
        <v>M7</v>
      </c>
      <c r="I2" s="2838" t="str">
        <f>HYPERLINK("#'DATA-POA'!A1","DATA-POA")</f>
        <v>DATA-POA</v>
      </c>
      <c r="J2" s="2838" t="str">
        <f>HYPERLINK("#'DATA-CNE'!A1","DATA-CNE")</f>
        <v>DATA-CNE</v>
      </c>
      <c r="K2" s="2838" t="str">
        <f>HYPERLINK("#'DATA-ORG'!A1","DATA-ORG")</f>
        <v>DATA-ORG</v>
      </c>
      <c r="L2" s="2838" t="str">
        <f>HYPERLINK("#'M-DASHBOARD'!A1","DASH")</f>
        <v>DASH</v>
      </c>
      <c r="M2" s="2839"/>
      <c r="N2" s="2840"/>
      <c r="O2" s="2802"/>
      <c r="P2" s="2802"/>
      <c r="Q2" s="2802"/>
      <c r="R2" s="2802"/>
      <c r="S2" s="2802"/>
      <c r="T2" s="2802"/>
      <c r="U2" s="2802"/>
      <c r="V2" s="2802"/>
      <c r="W2" s="2802"/>
      <c r="X2" s="2802"/>
      <c r="Y2" s="2802"/>
      <c r="Z2" s="2802"/>
      <c r="AA2" s="2803"/>
    </row>
    <row r="3" spans="1:27" ht="22.05" customHeight="1" thickTop="1" thickBot="1" x14ac:dyDescent="0.35">
      <c r="A3" s="3621" t="s">
        <v>690</v>
      </c>
      <c r="B3" s="3541"/>
      <c r="C3" s="3541"/>
      <c r="D3" s="3541"/>
      <c r="E3" s="3541"/>
      <c r="F3" s="3541"/>
      <c r="G3" s="3541"/>
      <c r="H3" s="3541"/>
      <c r="I3" s="3541"/>
      <c r="J3" s="3541"/>
      <c r="K3" s="3541"/>
      <c r="L3" s="3541"/>
      <c r="M3" s="3541"/>
      <c r="N3" s="3622"/>
      <c r="O3" s="3623"/>
      <c r="P3" s="3624"/>
      <c r="Q3" s="3624"/>
      <c r="R3" s="3624"/>
      <c r="S3" s="3624"/>
      <c r="T3" s="3624"/>
      <c r="U3" s="3624"/>
      <c r="V3" s="3624"/>
      <c r="W3" s="3624"/>
      <c r="X3" s="3624"/>
      <c r="Y3" s="3624"/>
      <c r="Z3" s="3625"/>
      <c r="AA3" s="3626"/>
    </row>
    <row r="4" spans="1:27" s="28" customFormat="1" ht="36" customHeight="1" thickBot="1" x14ac:dyDescent="0.35">
      <c r="A4" s="2819" t="s">
        <v>691</v>
      </c>
      <c r="B4" s="2820" t="s">
        <v>692</v>
      </c>
      <c r="C4" s="2820" t="s">
        <v>932</v>
      </c>
      <c r="D4" s="2820" t="s">
        <v>933</v>
      </c>
      <c r="E4" s="2820" t="s">
        <v>934</v>
      </c>
      <c r="F4" s="2820" t="s">
        <v>696</v>
      </c>
      <c r="G4" s="2820" t="s">
        <v>695</v>
      </c>
      <c r="H4" s="2820" t="s">
        <v>935</v>
      </c>
      <c r="I4" s="2820" t="s">
        <v>936</v>
      </c>
      <c r="J4" s="2820" t="s">
        <v>937</v>
      </c>
      <c r="K4" s="2820" t="s">
        <v>938</v>
      </c>
      <c r="L4" s="2820" t="s">
        <v>939</v>
      </c>
      <c r="M4" s="2820" t="s">
        <v>940</v>
      </c>
      <c r="N4" s="2821" t="s">
        <v>941</v>
      </c>
      <c r="O4" s="2815" t="s">
        <v>700</v>
      </c>
      <c r="P4" s="2558" t="s">
        <v>942</v>
      </c>
      <c r="Q4" s="2558" t="s">
        <v>943</v>
      </c>
      <c r="R4" s="2558" t="s">
        <v>944</v>
      </c>
      <c r="S4" s="2558" t="s">
        <v>945</v>
      </c>
      <c r="T4" s="2558" t="s">
        <v>946</v>
      </c>
      <c r="U4" s="2558" t="s">
        <v>947</v>
      </c>
      <c r="V4" s="2558" t="s">
        <v>948</v>
      </c>
      <c r="W4" s="2558" t="s">
        <v>949</v>
      </c>
      <c r="X4" s="2558" t="s">
        <v>698</v>
      </c>
      <c r="Y4" s="2558" t="s">
        <v>950</v>
      </c>
      <c r="Z4" s="2559" t="s">
        <v>951</v>
      </c>
      <c r="AA4" s="2804" t="s">
        <v>952</v>
      </c>
    </row>
    <row r="5" spans="1:27" s="17" customFormat="1" ht="22.05" customHeight="1" thickBot="1" x14ac:dyDescent="0.35">
      <c r="A5" s="2822" t="str">
        <f>'M2-PDOT'!B6</f>
        <v>PDOT.AM.OE3.M2.01</v>
      </c>
      <c r="B5" s="2823" t="s">
        <v>19</v>
      </c>
      <c r="C5" s="2824" t="s">
        <v>953</v>
      </c>
      <c r="D5" s="2824" t="s">
        <v>954</v>
      </c>
      <c r="E5" s="2824" t="s">
        <v>955</v>
      </c>
      <c r="F5" s="2823">
        <v>1</v>
      </c>
      <c r="G5" s="2823">
        <v>1</v>
      </c>
      <c r="H5" s="2825">
        <v>0.75</v>
      </c>
      <c r="I5" s="2825">
        <f>F5*G5*H5</f>
        <v>0.75</v>
      </c>
      <c r="J5" s="2823" t="str">
        <f t="shared" ref="J5:J24" si="0">IF(F5=1,"DOCUMENTO VALIDADO","SIN SOPORTE DOCUMENTAL")</f>
        <v>DOCUMENTO VALIDADO</v>
      </c>
      <c r="K5" s="2823">
        <v>1</v>
      </c>
      <c r="L5" s="2825">
        <v>0.75</v>
      </c>
      <c r="M5" s="2824" t="s">
        <v>956</v>
      </c>
      <c r="N5" s="2826" t="str">
        <f t="shared" ref="N5:N24" si="1">IF(ABS(F5-K5)=0,IF(ABS(H5-L5)&lt;0.05,"✅ Vi+Ti Consistentes","⚠️ Ti difiere: H="&amp;H5&amp;" vs L="&amp;L5),"⚠️ Vi difiere: F="&amp;F5&amp;" vs K="&amp;K5)</f>
        <v>✅ Vi+Ti Consistentes</v>
      </c>
      <c r="O5" s="2816" t="str">
        <f>IFERROR(VLOOKUP(A5,'M3-MAO'!$A$3:$G$23,3,0),"— revisar")</f>
        <v>EP Aseo Integral Montecristi</v>
      </c>
      <c r="P5" s="2549">
        <f>IFERROR(VLOOKUP(A5,'M3-MAO'!$A$3:$G$23,7,0),1)</f>
        <v>0.75</v>
      </c>
      <c r="Q5" s="2547">
        <v>1</v>
      </c>
      <c r="R5" s="2547">
        <v>1</v>
      </c>
      <c r="S5" s="2547">
        <f>IF(COUNTIF('DATA-PAC'!$L:$L,A5)&gt;0,1,0)</f>
        <v>1</v>
      </c>
      <c r="T5" s="2794">
        <v>0.75</v>
      </c>
      <c r="U5" s="2547">
        <v>1</v>
      </c>
      <c r="V5" s="2547">
        <v>1</v>
      </c>
      <c r="W5" s="2547">
        <f t="shared" ref="W5:W24" si="2">Q5*R5*S5</f>
        <v>1</v>
      </c>
      <c r="X5" s="2547">
        <f t="shared" ref="X5:X24" si="3">Q5*R5*S5</f>
        <v>1</v>
      </c>
      <c r="Y5" s="2794">
        <f t="shared" ref="Y5:Y24" si="4">T5</f>
        <v>0.75</v>
      </c>
      <c r="Z5" s="2550" t="str">
        <f t="shared" ref="Z5:Z24" si="5">IF(Q5=0,"🔴 CININ ROTA: Meta fuera del PDOT",IF(R5=0,"🔴 CININ ROTA: No incluida en POA — Escenario D §3.8.4",IF(S5=0,IF(T5&gt;0,"🟠 CININ PARCIAL: Sin PAC pero hay ejecución — Escenario B §3.8.4","🔴 CININ ROTA: Sin PAC ni ejecución — Escenario B §3.8.4"),IF(T5=0,"🟡 CININ PARCIAL: PAC sí pero cédula=0 — revisar transferencia","✅ CININ ÍNTEGRA: Cadena completa verificada §3.4"))))</f>
        <v>✅ CININ ÍNTEGRA: Cadena completa verificada §3.4</v>
      </c>
      <c r="AA5" s="2805" t="s">
        <v>3997</v>
      </c>
    </row>
    <row r="6" spans="1:27" s="11" customFormat="1" ht="22.05" customHeight="1" thickBot="1" x14ac:dyDescent="0.35">
      <c r="A6" s="2827" t="str">
        <f>'M2-PDOT'!B7</f>
        <v>PDOT.AS.OE1.M2.01</v>
      </c>
      <c r="B6" s="2828" t="s">
        <v>22</v>
      </c>
      <c r="C6" s="2829" t="s">
        <v>957</v>
      </c>
      <c r="D6" s="2829" t="s">
        <v>958</v>
      </c>
      <c r="E6" s="2829" t="s">
        <v>959</v>
      </c>
      <c r="F6" s="2828">
        <v>0</v>
      </c>
      <c r="G6" s="2828">
        <v>0.9</v>
      </c>
      <c r="H6" s="2830">
        <v>0.1</v>
      </c>
      <c r="I6" s="2830">
        <f>F6*G6*H6</f>
        <v>0</v>
      </c>
      <c r="J6" s="2828" t="str">
        <f t="shared" si="0"/>
        <v>SIN SOPORTE DOCUMENTAL</v>
      </c>
      <c r="K6" s="2828">
        <v>0</v>
      </c>
      <c r="L6" s="2830">
        <v>0.15</v>
      </c>
      <c r="M6" s="2829" t="s">
        <v>960</v>
      </c>
      <c r="N6" s="2831" t="str">
        <f t="shared" si="1"/>
        <v>⚠️ Ti difiere: H=0,1 vs L=0,15</v>
      </c>
      <c r="O6" s="2817" t="str">
        <f>IFERROR(VLOOKUP(A6,'M3-MAO'!$A$3:$G$23,3,0),"— revisar")</f>
        <v>Dirección de Planificación y Desarrollo</v>
      </c>
      <c r="P6" s="2795">
        <f>IFERROR(VLOOKUP(A6,'M3-MAO'!$A$3:$G$23,7,0),1)</f>
        <v>1</v>
      </c>
      <c r="Q6" s="2551">
        <v>1</v>
      </c>
      <c r="R6" s="2551">
        <v>1</v>
      </c>
      <c r="S6" s="2551">
        <f>IF(COUNTIF('DATA-PAC'!$L:$L,A6)&gt;0,1,0)</f>
        <v>1</v>
      </c>
      <c r="T6" s="2796">
        <f>IFERROR(VLOOKUP(A6,'DATA-CED'!$A$5:$Q$24,17,0),0.1)</f>
        <v>0.2</v>
      </c>
      <c r="U6" s="2551">
        <v>0</v>
      </c>
      <c r="V6" s="2551">
        <v>1</v>
      </c>
      <c r="W6" s="2551">
        <f t="shared" si="2"/>
        <v>1</v>
      </c>
      <c r="X6" s="2551">
        <f t="shared" si="3"/>
        <v>1</v>
      </c>
      <c r="Y6" s="2796">
        <f t="shared" si="4"/>
        <v>0.2</v>
      </c>
      <c r="Z6" s="2552" t="str">
        <f t="shared" si="5"/>
        <v>✅ CININ ÍNTEGRA: Cadena completa verificada §3.4</v>
      </c>
      <c r="AA6" s="2806" t="s">
        <v>3998</v>
      </c>
    </row>
    <row r="7" spans="1:27" s="11" customFormat="1" ht="22.05" customHeight="1" thickBot="1" x14ac:dyDescent="0.35">
      <c r="A7" s="2822" t="str">
        <f>'M2-PDOT'!B8</f>
        <v>PDOT.SC.OE2.M4.01</v>
      </c>
      <c r="B7" s="2823" t="s">
        <v>19</v>
      </c>
      <c r="C7" s="2824" t="s">
        <v>953</v>
      </c>
      <c r="D7" s="2824" t="s">
        <v>961</v>
      </c>
      <c r="E7" s="2824" t="s">
        <v>962</v>
      </c>
      <c r="F7" s="2823">
        <v>1</v>
      </c>
      <c r="G7" s="2823">
        <v>1</v>
      </c>
      <c r="H7" s="2825">
        <v>0.2</v>
      </c>
      <c r="I7" s="2825">
        <v>0.2</v>
      </c>
      <c r="J7" s="2823" t="str">
        <f t="shared" si="0"/>
        <v>DOCUMENTO VALIDADO</v>
      </c>
      <c r="K7" s="2823">
        <v>1</v>
      </c>
      <c r="L7" s="2825">
        <v>0.2</v>
      </c>
      <c r="M7" s="2824" t="s">
        <v>963</v>
      </c>
      <c r="N7" s="2826" t="str">
        <f t="shared" si="1"/>
        <v>✅ Vi+Ti Consistentes</v>
      </c>
      <c r="O7" s="2316" t="str">
        <f>IFERROR(VLOOKUP(A7,'M3-MAO'!$A$3:$G$23,3,0),"— revisar")</f>
        <v>Patronato Municipal de Amparo Social</v>
      </c>
      <c r="P7" s="1821">
        <f>IFERROR(VLOOKUP(A7,'M3-MAO'!$A$3:$G$23,7,0),1)</f>
        <v>0.9</v>
      </c>
      <c r="Q7" s="1787">
        <v>1</v>
      </c>
      <c r="R7" s="1787">
        <v>1</v>
      </c>
      <c r="S7" s="1787">
        <f>IF(COUNTIF('DATA-PAC'!$L:$L,A7)&gt;0,1,0)</f>
        <v>1</v>
      </c>
      <c r="T7" s="2797">
        <v>0.2</v>
      </c>
      <c r="U7" s="1787">
        <v>0</v>
      </c>
      <c r="V7" s="1787">
        <v>1</v>
      </c>
      <c r="W7" s="1787">
        <f t="shared" si="2"/>
        <v>1</v>
      </c>
      <c r="X7" s="1787">
        <f t="shared" si="3"/>
        <v>1</v>
      </c>
      <c r="Y7" s="2797">
        <f t="shared" si="4"/>
        <v>0.2</v>
      </c>
      <c r="Z7" s="1788" t="str">
        <f t="shared" si="5"/>
        <v>✅ CININ ÍNTEGRA: Cadena completa verificada §3.4</v>
      </c>
      <c r="AA7" s="2807" t="s">
        <v>3999</v>
      </c>
    </row>
    <row r="8" spans="1:27" s="11" customFormat="1" ht="22.05" customHeight="1" thickBot="1" x14ac:dyDescent="0.35">
      <c r="A8" s="2827" t="str">
        <f>'M2-PDOT'!B9</f>
        <v>PDOT.AS.OE1.M1.02</v>
      </c>
      <c r="B8" s="2828" t="s">
        <v>19</v>
      </c>
      <c r="C8" s="2829" t="s">
        <v>957</v>
      </c>
      <c r="D8" s="2829" t="s">
        <v>964</v>
      </c>
      <c r="E8" s="2829" t="s">
        <v>965</v>
      </c>
      <c r="F8" s="2828">
        <v>0</v>
      </c>
      <c r="G8" s="2828">
        <v>1</v>
      </c>
      <c r="H8" s="2830">
        <v>0</v>
      </c>
      <c r="I8" s="2830">
        <f t="shared" ref="I8:I24" si="6">F8*G8*H8</f>
        <v>0</v>
      </c>
      <c r="J8" s="2828" t="str">
        <f t="shared" si="0"/>
        <v>SIN SOPORTE DOCUMENTAL</v>
      </c>
      <c r="K8" s="2828">
        <v>0</v>
      </c>
      <c r="L8" s="2830">
        <v>0</v>
      </c>
      <c r="M8" s="2829" t="s">
        <v>966</v>
      </c>
      <c r="N8" s="2831" t="str">
        <f t="shared" si="1"/>
        <v>✅ Vi+Ti Consistentes</v>
      </c>
      <c r="O8" s="2817" t="str">
        <f>IFERROR(VLOOKUP(A8,'M3-MAO'!$A$3:$G$23,3,0),"— revisar")</f>
        <v>Dirección de Obras Públicas</v>
      </c>
      <c r="P8" s="2795">
        <f>IFERROR(VLOOKUP(A8,'M3-MAO'!$A$3:$G$23,7,0),1)</f>
        <v>1</v>
      </c>
      <c r="Q8" s="2551">
        <v>1</v>
      </c>
      <c r="R8" s="2551">
        <v>0</v>
      </c>
      <c r="S8" s="2551">
        <f>IF(COUNTIF('DATA-PAC'!$L:$L,A8)&gt;0,1,0)</f>
        <v>1</v>
      </c>
      <c r="T8" s="2796">
        <v>0</v>
      </c>
      <c r="U8" s="2551">
        <v>0</v>
      </c>
      <c r="V8" s="2551">
        <v>1</v>
      </c>
      <c r="W8" s="2551">
        <f t="shared" si="2"/>
        <v>0</v>
      </c>
      <c r="X8" s="2551">
        <f t="shared" si="3"/>
        <v>0</v>
      </c>
      <c r="Y8" s="2796">
        <f t="shared" si="4"/>
        <v>0</v>
      </c>
      <c r="Z8" s="2552" t="str">
        <f t="shared" si="5"/>
        <v>🔴 CININ ROTA: No incluida en POA — Escenario D §3.8.4</v>
      </c>
      <c r="AA8" s="2807" t="s">
        <v>4000</v>
      </c>
    </row>
    <row r="9" spans="1:27" s="11" customFormat="1" ht="22.05" customHeight="1" thickBot="1" x14ac:dyDescent="0.35">
      <c r="A9" s="2822" t="str">
        <f>'M2-PDOT'!B10</f>
        <v>PDOT.PI.OE4.M1.01</v>
      </c>
      <c r="B9" s="2823" t="s">
        <v>22</v>
      </c>
      <c r="C9" s="2824" t="s">
        <v>953</v>
      </c>
      <c r="D9" s="2824" t="s">
        <v>967</v>
      </c>
      <c r="E9" s="2824" t="s">
        <v>968</v>
      </c>
      <c r="F9" s="2823">
        <v>1</v>
      </c>
      <c r="G9" s="2823">
        <v>1</v>
      </c>
      <c r="H9" s="2825">
        <v>1</v>
      </c>
      <c r="I9" s="2825">
        <f t="shared" si="6"/>
        <v>1</v>
      </c>
      <c r="J9" s="2823" t="str">
        <f t="shared" si="0"/>
        <v>DOCUMENTO VALIDADO</v>
      </c>
      <c r="K9" s="2823">
        <v>1</v>
      </c>
      <c r="L9" s="2825">
        <v>1</v>
      </c>
      <c r="M9" s="2824" t="s">
        <v>969</v>
      </c>
      <c r="N9" s="2826" t="str">
        <f t="shared" si="1"/>
        <v>✅ Vi+Ti Consistentes</v>
      </c>
      <c r="O9" s="2316" t="str">
        <f>IFERROR(VLOOKUP(A9,'M3-MAO'!$A$3:$G$23,3,0),"— revisar")</f>
        <v>Dirección de Tecnología e Información</v>
      </c>
      <c r="P9" s="1821">
        <f>IFERROR(VLOOKUP(A9,'M3-MAO'!$A$3:$G$23,7,0),1)</f>
        <v>1</v>
      </c>
      <c r="Q9" s="1787">
        <v>1</v>
      </c>
      <c r="R9" s="1787">
        <v>1</v>
      </c>
      <c r="S9" s="1787">
        <f>IF(COUNTIF('DATA-PAC'!$L:$L,A9)&gt;0,1,0)</f>
        <v>1</v>
      </c>
      <c r="T9" s="2797">
        <f>IFERROR(VLOOKUP(A9,'DATA-CED'!$A$5:$Q$24,17,0),0.3)</f>
        <v>0.70000031432504983</v>
      </c>
      <c r="U9" s="1787">
        <v>1</v>
      </c>
      <c r="V9" s="1787">
        <v>1</v>
      </c>
      <c r="W9" s="1787">
        <f t="shared" si="2"/>
        <v>1</v>
      </c>
      <c r="X9" s="1787">
        <f t="shared" si="3"/>
        <v>1</v>
      </c>
      <c r="Y9" s="2797">
        <f t="shared" si="4"/>
        <v>0.70000031432504983</v>
      </c>
      <c r="Z9" s="1788" t="str">
        <f t="shared" si="5"/>
        <v>✅ CININ ÍNTEGRA: Cadena completa verificada §3.4</v>
      </c>
      <c r="AA9" s="2806" t="s">
        <v>4001</v>
      </c>
    </row>
    <row r="10" spans="1:27" s="11" customFormat="1" ht="22.05" customHeight="1" thickBot="1" x14ac:dyDescent="0.35">
      <c r="A10" s="2827" t="str">
        <f>'M2-PDOT'!B11</f>
        <v>PDOT.AV.OE1.M1.01</v>
      </c>
      <c r="B10" s="2828" t="s">
        <v>19</v>
      </c>
      <c r="C10" s="2829" t="s">
        <v>953</v>
      </c>
      <c r="D10" s="2829" t="s">
        <v>970</v>
      </c>
      <c r="E10" s="2829" t="s">
        <v>971</v>
      </c>
      <c r="F10" s="2828">
        <v>1</v>
      </c>
      <c r="G10" s="2828">
        <v>1</v>
      </c>
      <c r="H10" s="2830">
        <v>0.9</v>
      </c>
      <c r="I10" s="2830">
        <f t="shared" si="6"/>
        <v>0.9</v>
      </c>
      <c r="J10" s="2828" t="str">
        <f t="shared" si="0"/>
        <v>DOCUMENTO VALIDADO</v>
      </c>
      <c r="K10" s="2828">
        <v>1</v>
      </c>
      <c r="L10" s="2830">
        <v>0.9</v>
      </c>
      <c r="M10" s="2829" t="s">
        <v>972</v>
      </c>
      <c r="N10" s="2831" t="str">
        <f t="shared" si="1"/>
        <v>✅ Vi+Ti Consistentes</v>
      </c>
      <c r="O10" s="2817" t="str">
        <f>IFERROR(VLOOKUP(A10,'M3-MAO'!$A$3:$G$23,3,0),"— revisar")</f>
        <v>Dirección de Obras Públicas</v>
      </c>
      <c r="P10" s="2795">
        <f>IFERROR(VLOOKUP(A10,'M3-MAO'!$A$3:$G$23,7,0),1)</f>
        <v>1</v>
      </c>
      <c r="Q10" s="2551">
        <v>1</v>
      </c>
      <c r="R10" s="2551">
        <v>1</v>
      </c>
      <c r="S10" s="2551">
        <f>IF(COUNTIF('DATA-PAC'!$L:$L,A10)&gt;0,1,0)</f>
        <v>1</v>
      </c>
      <c r="T10" s="2796">
        <v>0.9</v>
      </c>
      <c r="U10" s="2551">
        <v>1</v>
      </c>
      <c r="V10" s="2551">
        <v>1</v>
      </c>
      <c r="W10" s="2551">
        <f t="shared" si="2"/>
        <v>1</v>
      </c>
      <c r="X10" s="2551">
        <f t="shared" si="3"/>
        <v>1</v>
      </c>
      <c r="Y10" s="2796">
        <f t="shared" si="4"/>
        <v>0.9</v>
      </c>
      <c r="Z10" s="2552" t="str">
        <f t="shared" si="5"/>
        <v>✅ CININ ÍNTEGRA: Cadena completa verificada §3.4</v>
      </c>
      <c r="AA10" s="2806" t="s">
        <v>4002</v>
      </c>
    </row>
    <row r="11" spans="1:27" s="11" customFormat="1" ht="22.05" customHeight="1" thickBot="1" x14ac:dyDescent="0.35">
      <c r="A11" s="2822" t="str">
        <f>'M2-PDOT'!B12</f>
        <v>PDOT.AM.OE3.M1.01</v>
      </c>
      <c r="B11" s="2823" t="s">
        <v>22</v>
      </c>
      <c r="C11" s="2824" t="s">
        <v>953</v>
      </c>
      <c r="D11" s="2824" t="s">
        <v>973</v>
      </c>
      <c r="E11" s="2824" t="s">
        <v>974</v>
      </c>
      <c r="F11" s="2823">
        <v>0</v>
      </c>
      <c r="G11" s="2823">
        <v>0.9</v>
      </c>
      <c r="H11" s="2825">
        <v>0.3</v>
      </c>
      <c r="I11" s="2825">
        <f t="shared" si="6"/>
        <v>0</v>
      </c>
      <c r="J11" s="2823" t="str">
        <f t="shared" si="0"/>
        <v>SIN SOPORTE DOCUMENTAL</v>
      </c>
      <c r="K11" s="2823">
        <v>0</v>
      </c>
      <c r="L11" s="2825">
        <v>0.5</v>
      </c>
      <c r="M11" s="2824" t="s">
        <v>956</v>
      </c>
      <c r="N11" s="2826" t="str">
        <f t="shared" si="1"/>
        <v>⚠️ Ti difiere: H=0,3 vs L=0,5</v>
      </c>
      <c r="O11" s="2316" t="str">
        <f>IFERROR(VLOOKUP(A11,'M3-MAO'!$A$3:$G$23,3,0),"— revisar")</f>
        <v>Unidad de Gestión Ambiental GAD</v>
      </c>
      <c r="P11" s="1821">
        <f>IFERROR(VLOOKUP(A11,'M3-MAO'!$A$3:$G$23,7,0),1)</f>
        <v>1</v>
      </c>
      <c r="Q11" s="1787">
        <v>1</v>
      </c>
      <c r="R11" s="1787">
        <v>1</v>
      </c>
      <c r="S11" s="1787">
        <f>IF(COUNTIF('DATA-PAC'!$L:$L,A11)&gt;0,1,0)</f>
        <v>1</v>
      </c>
      <c r="T11" s="2797">
        <f>IFERROR(VLOOKUP(A11,'DATA-CED'!$A$5:$Q$24,17,0),0.5)</f>
        <v>0</v>
      </c>
      <c r="U11" s="1787">
        <v>1</v>
      </c>
      <c r="V11" s="1787">
        <v>1</v>
      </c>
      <c r="W11" s="1787">
        <f t="shared" si="2"/>
        <v>1</v>
      </c>
      <c r="X11" s="1787">
        <f t="shared" si="3"/>
        <v>1</v>
      </c>
      <c r="Y11" s="2797">
        <f t="shared" si="4"/>
        <v>0</v>
      </c>
      <c r="Z11" s="1788" t="str">
        <f t="shared" si="5"/>
        <v>🟡 CININ PARCIAL: PAC sí pero cédula=0 — revisar transferencia</v>
      </c>
      <c r="AA11" s="2808" t="s">
        <v>4003</v>
      </c>
    </row>
    <row r="12" spans="1:27" s="11" customFormat="1" ht="22.05" customHeight="1" thickBot="1" x14ac:dyDescent="0.35">
      <c r="A12" s="2827" t="str">
        <f>'M2-PDOT'!B13</f>
        <v>PDOT.FA.OE4.AH.02</v>
      </c>
      <c r="B12" s="2828" t="s">
        <v>25</v>
      </c>
      <c r="C12" s="2829" t="s">
        <v>953</v>
      </c>
      <c r="D12" s="2829" t="s">
        <v>975</v>
      </c>
      <c r="E12" s="2829" t="s">
        <v>976</v>
      </c>
      <c r="F12" s="2828">
        <v>1</v>
      </c>
      <c r="G12" s="2828">
        <v>0.9</v>
      </c>
      <c r="H12" s="2830">
        <v>0.4</v>
      </c>
      <c r="I12" s="2830">
        <f t="shared" si="6"/>
        <v>0.36000000000000004</v>
      </c>
      <c r="J12" s="2828" t="str">
        <f t="shared" si="0"/>
        <v>DOCUMENTO VALIDADO</v>
      </c>
      <c r="K12" s="2828">
        <v>1</v>
      </c>
      <c r="L12" s="2830">
        <v>0.4</v>
      </c>
      <c r="M12" s="2829" t="s">
        <v>956</v>
      </c>
      <c r="N12" s="2831" t="str">
        <f t="shared" si="1"/>
        <v>✅ Vi+Ti Consistentes</v>
      </c>
      <c r="O12" s="2817" t="str">
        <f>IFERROR(VLOOKUP(A12,'M3-MAO'!$A$3:$G$23,3,0),"— revisar")</f>
        <v>— revisar</v>
      </c>
      <c r="P12" s="2795">
        <f>IFERROR(VLOOKUP(A12,'M3-MAO'!$A$3:$G$23,7,0),1)</f>
        <v>1</v>
      </c>
      <c r="Q12" s="2551">
        <v>1</v>
      </c>
      <c r="R12" s="2551">
        <v>1</v>
      </c>
      <c r="S12" s="2551">
        <f>IF(COUNTIF('DATA-PAC'!$L:$L,A12)&gt;0,1,0)</f>
        <v>0</v>
      </c>
      <c r="T12" s="2796">
        <v>0.4</v>
      </c>
      <c r="U12" s="2551">
        <v>1</v>
      </c>
      <c r="V12" s="2551">
        <v>1</v>
      </c>
      <c r="W12" s="2551">
        <f t="shared" si="2"/>
        <v>0</v>
      </c>
      <c r="X12" s="2551">
        <f t="shared" si="3"/>
        <v>0</v>
      </c>
      <c r="Y12" s="2796">
        <f t="shared" si="4"/>
        <v>0.4</v>
      </c>
      <c r="Z12" s="2552" t="str">
        <f t="shared" si="5"/>
        <v>🟠 CININ PARCIAL: Sin PAC pero hay ejecución — Escenario B §3.8.4</v>
      </c>
      <c r="AA12" s="2806" t="s">
        <v>4004</v>
      </c>
    </row>
    <row r="13" spans="1:27" s="11" customFormat="1" ht="22.05" customHeight="1" thickBot="1" x14ac:dyDescent="0.35">
      <c r="A13" s="2822" t="str">
        <f>'M2-PDOT'!B14</f>
        <v>PDOT.FA.OE1.PV.01</v>
      </c>
      <c r="B13" s="2823" t="s">
        <v>19</v>
      </c>
      <c r="C13" s="2824" t="s">
        <v>953</v>
      </c>
      <c r="D13" s="2824" t="s">
        <v>977</v>
      </c>
      <c r="E13" s="2824" t="s">
        <v>978</v>
      </c>
      <c r="F13" s="2823">
        <v>1</v>
      </c>
      <c r="G13" s="2823">
        <v>1</v>
      </c>
      <c r="H13" s="2825">
        <v>0.5</v>
      </c>
      <c r="I13" s="2825">
        <f t="shared" si="6"/>
        <v>0.5</v>
      </c>
      <c r="J13" s="2823" t="str">
        <f t="shared" si="0"/>
        <v>DOCUMENTO VALIDADO</v>
      </c>
      <c r="K13" s="2823">
        <v>1</v>
      </c>
      <c r="L13" s="2825">
        <v>0.5</v>
      </c>
      <c r="M13" s="2824" t="s">
        <v>979</v>
      </c>
      <c r="N13" s="2826" t="str">
        <f t="shared" si="1"/>
        <v>✅ Vi+Ti Consistentes</v>
      </c>
      <c r="O13" s="2316" t="str">
        <f>IFERROR(VLOOKUP(A13,'M3-MAO'!$A$3:$G$23,3,0),"— revisar")</f>
        <v>— revisar</v>
      </c>
      <c r="P13" s="1821">
        <f>IFERROR(VLOOKUP(A13,'M3-MAO'!$A$3:$G$23,7,0),1)</f>
        <v>1</v>
      </c>
      <c r="Q13" s="1787">
        <v>1</v>
      </c>
      <c r="R13" s="1787">
        <v>1</v>
      </c>
      <c r="S13" s="1787">
        <f>IF(COUNTIF('DATA-PAC'!$L:$L,A13)&gt;0,1,0)</f>
        <v>0</v>
      </c>
      <c r="T13" s="2797">
        <v>0.5</v>
      </c>
      <c r="U13" s="1787">
        <v>1</v>
      </c>
      <c r="V13" s="1787">
        <v>1</v>
      </c>
      <c r="W13" s="1787">
        <f t="shared" si="2"/>
        <v>0</v>
      </c>
      <c r="X13" s="1787">
        <f t="shared" si="3"/>
        <v>0</v>
      </c>
      <c r="Y13" s="2797">
        <f t="shared" si="4"/>
        <v>0.5</v>
      </c>
      <c r="Z13" s="1788" t="str">
        <f t="shared" si="5"/>
        <v>🟠 CININ PARCIAL: Sin PAC pero hay ejecución — Escenario B §3.8.4</v>
      </c>
      <c r="AA13" s="2806" t="s">
        <v>4005</v>
      </c>
    </row>
    <row r="14" spans="1:27" s="11" customFormat="1" ht="22.05" customHeight="1" thickBot="1" x14ac:dyDescent="0.35">
      <c r="A14" s="2827" t="str">
        <f>'M2-PDOT'!B15</f>
        <v>PDOT.PI.OE4.M2.01</v>
      </c>
      <c r="B14" s="2828" t="s">
        <v>22</v>
      </c>
      <c r="C14" s="2829" t="s">
        <v>957</v>
      </c>
      <c r="D14" s="2829" t="s">
        <v>967</v>
      </c>
      <c r="E14" s="2829" t="s">
        <v>980</v>
      </c>
      <c r="F14" s="2828">
        <v>0</v>
      </c>
      <c r="G14" s="2828">
        <v>0.9</v>
      </c>
      <c r="H14" s="2830">
        <v>0</v>
      </c>
      <c r="I14" s="2830">
        <f t="shared" si="6"/>
        <v>0</v>
      </c>
      <c r="J14" s="2828" t="str">
        <f t="shared" si="0"/>
        <v>SIN SOPORTE DOCUMENTAL</v>
      </c>
      <c r="K14" s="2828">
        <v>0</v>
      </c>
      <c r="L14" s="2830">
        <v>0</v>
      </c>
      <c r="M14" s="2829" t="s">
        <v>981</v>
      </c>
      <c r="N14" s="2831" t="str">
        <f t="shared" si="1"/>
        <v>✅ Vi+Ti Consistentes</v>
      </c>
      <c r="O14" s="2817" t="str">
        <f>IFERROR(VLOOKUP(A14,'M3-MAO'!$A$3:$G$23,3,0),"— revisar")</f>
        <v>Dirección de Avalúos y Catastros</v>
      </c>
      <c r="P14" s="2795">
        <f>IFERROR(VLOOKUP(A14,'M3-MAO'!$A$3:$G$23,7,0),1)</f>
        <v>1</v>
      </c>
      <c r="Q14" s="2551">
        <v>1</v>
      </c>
      <c r="R14" s="2551">
        <v>0</v>
      </c>
      <c r="S14" s="2551">
        <f>IF(COUNTIF('DATA-PAC'!$L:$L,A14)&gt;0,1,0)</f>
        <v>1</v>
      </c>
      <c r="T14" s="2796">
        <f>IFERROR(VLOOKUP(A14,'DATA-CED'!$A$5:$Q$24,17,0),0)</f>
        <v>1</v>
      </c>
      <c r="U14" s="2551">
        <v>0</v>
      </c>
      <c r="V14" s="2798">
        <v>1</v>
      </c>
      <c r="W14" s="2551">
        <f t="shared" si="2"/>
        <v>0</v>
      </c>
      <c r="X14" s="2551">
        <f t="shared" si="3"/>
        <v>0</v>
      </c>
      <c r="Y14" s="2796">
        <f t="shared" si="4"/>
        <v>1</v>
      </c>
      <c r="Z14" s="2552" t="str">
        <f t="shared" si="5"/>
        <v>🔴 CININ ROTA: No incluida en POA — Escenario D §3.8.4</v>
      </c>
      <c r="AA14" s="2809" t="s">
        <v>4006</v>
      </c>
    </row>
    <row r="15" spans="1:27" s="11" customFormat="1" ht="22.05" customHeight="1" thickBot="1" x14ac:dyDescent="0.35">
      <c r="A15" s="2822" t="str">
        <f>'M2-PDOT'!B16</f>
        <v>PDOT.PI.OE4.FI.01</v>
      </c>
      <c r="B15" s="2823" t="s">
        <v>25</v>
      </c>
      <c r="C15" s="2824" t="s">
        <v>982</v>
      </c>
      <c r="D15" s="2824" t="s">
        <v>983</v>
      </c>
      <c r="E15" s="2824" t="s">
        <v>984</v>
      </c>
      <c r="F15" s="2823">
        <v>1</v>
      </c>
      <c r="G15" s="2823">
        <v>0.9</v>
      </c>
      <c r="H15" s="2825">
        <v>0.3</v>
      </c>
      <c r="I15" s="2825">
        <f t="shared" si="6"/>
        <v>0.27</v>
      </c>
      <c r="J15" s="2823" t="str">
        <f t="shared" si="0"/>
        <v>DOCUMENTO VALIDADO</v>
      </c>
      <c r="K15" s="2823">
        <v>1</v>
      </c>
      <c r="L15" s="2825">
        <v>0.3</v>
      </c>
      <c r="M15" s="2824" t="s">
        <v>956</v>
      </c>
      <c r="N15" s="2826" t="str">
        <f t="shared" si="1"/>
        <v>✅ Vi+Ti Consistentes</v>
      </c>
      <c r="O15" s="2316" t="str">
        <f>IFERROR(VLOOKUP(A15,'M3-MAO'!$A$3:$G$23,3,0),"— revisar")</f>
        <v>— revisar</v>
      </c>
      <c r="P15" s="1821">
        <f>IFERROR(VLOOKUP(A15,'M3-MAO'!$A$3:$G$23,7,0),1)</f>
        <v>1</v>
      </c>
      <c r="Q15" s="1787">
        <v>1</v>
      </c>
      <c r="R15" s="1787">
        <v>1</v>
      </c>
      <c r="S15" s="1787">
        <f>IF(COUNTIF('DATA-PAC'!$L:$L,A15)&gt;0,1,0)</f>
        <v>0</v>
      </c>
      <c r="T15" s="2797">
        <v>0.3</v>
      </c>
      <c r="U15" s="1787">
        <v>1</v>
      </c>
      <c r="V15" s="1787">
        <v>1</v>
      </c>
      <c r="W15" s="1787">
        <f t="shared" si="2"/>
        <v>0</v>
      </c>
      <c r="X15" s="1787">
        <f t="shared" si="3"/>
        <v>0</v>
      </c>
      <c r="Y15" s="2797">
        <f t="shared" si="4"/>
        <v>0.3</v>
      </c>
      <c r="Z15" s="1788" t="str">
        <f t="shared" si="5"/>
        <v>🟠 CININ PARCIAL: Sin PAC pero hay ejecución — Escenario B §3.8.4</v>
      </c>
      <c r="AA15" s="2806" t="s">
        <v>4007</v>
      </c>
    </row>
    <row r="16" spans="1:27" s="11" customFormat="1" ht="22.05" customHeight="1" thickBot="1" x14ac:dyDescent="0.35">
      <c r="A16" s="2827" t="str">
        <f>'M2-PDOT'!B17</f>
        <v>PDOT.AS.VV.HB.01</v>
      </c>
      <c r="B16" s="2828" t="s">
        <v>19</v>
      </c>
      <c r="C16" s="2829" t="s">
        <v>953</v>
      </c>
      <c r="D16" s="2829" t="s">
        <v>985</v>
      </c>
      <c r="E16" s="2829" t="s">
        <v>986</v>
      </c>
      <c r="F16" s="2828">
        <v>1</v>
      </c>
      <c r="G16" s="2828">
        <v>1</v>
      </c>
      <c r="H16" s="2830">
        <v>1</v>
      </c>
      <c r="I16" s="2830">
        <f t="shared" si="6"/>
        <v>1</v>
      </c>
      <c r="J16" s="2828" t="str">
        <f t="shared" si="0"/>
        <v>DOCUMENTO VALIDADO</v>
      </c>
      <c r="K16" s="2828">
        <v>1</v>
      </c>
      <c r="L16" s="2830">
        <v>1</v>
      </c>
      <c r="M16" s="2829" t="s">
        <v>987</v>
      </c>
      <c r="N16" s="2831" t="str">
        <f t="shared" si="1"/>
        <v>✅ Vi+Ti Consistentes</v>
      </c>
      <c r="O16" s="2817" t="str">
        <f>IFERROR(VLOOKUP(A16,'M3-MAO'!$A$3:$G$23,3,0),"— revisar")</f>
        <v>— revisar</v>
      </c>
      <c r="P16" s="2795">
        <f>IFERROR(VLOOKUP(A16,'M3-MAO'!$A$3:$G$23,7,0),1)</f>
        <v>1</v>
      </c>
      <c r="Q16" s="2551">
        <v>1</v>
      </c>
      <c r="R16" s="2551">
        <v>1</v>
      </c>
      <c r="S16" s="2551">
        <f>IF(COUNTIF('DATA-PAC'!$L:$L,A16)&gt;0,1,0)</f>
        <v>0</v>
      </c>
      <c r="T16" s="2796">
        <v>1</v>
      </c>
      <c r="U16" s="2551">
        <v>1</v>
      </c>
      <c r="V16" s="2551">
        <v>1</v>
      </c>
      <c r="W16" s="2551">
        <f t="shared" si="2"/>
        <v>0</v>
      </c>
      <c r="X16" s="2551">
        <f t="shared" si="3"/>
        <v>0</v>
      </c>
      <c r="Y16" s="2796">
        <f t="shared" si="4"/>
        <v>1</v>
      </c>
      <c r="Z16" s="2552" t="str">
        <f t="shared" si="5"/>
        <v>🟠 CININ PARCIAL: Sin PAC pero hay ejecución — Escenario B §3.8.4</v>
      </c>
      <c r="AA16" s="2806" t="s">
        <v>4008</v>
      </c>
    </row>
    <row r="17" spans="1:27" s="11" customFormat="1" ht="22.05" customHeight="1" thickBot="1" x14ac:dyDescent="0.35">
      <c r="A17" s="2822" t="str">
        <f>'M2-PDOT'!B18</f>
        <v>PDOT.SC.PA.CP.01</v>
      </c>
      <c r="B17" s="2823" t="s">
        <v>22</v>
      </c>
      <c r="C17" s="2824" t="s">
        <v>953</v>
      </c>
      <c r="D17" s="2824" t="s">
        <v>988</v>
      </c>
      <c r="E17" s="2824" t="s">
        <v>989</v>
      </c>
      <c r="F17" s="2823">
        <v>0</v>
      </c>
      <c r="G17" s="2823">
        <v>1</v>
      </c>
      <c r="H17" s="2825">
        <v>0.2</v>
      </c>
      <c r="I17" s="2825">
        <f t="shared" si="6"/>
        <v>0</v>
      </c>
      <c r="J17" s="2823" t="str">
        <f t="shared" si="0"/>
        <v>SIN SOPORTE DOCUMENTAL</v>
      </c>
      <c r="K17" s="2823">
        <v>0</v>
      </c>
      <c r="L17" s="2825">
        <v>0.2</v>
      </c>
      <c r="M17" s="2824" t="s">
        <v>966</v>
      </c>
      <c r="N17" s="2826" t="str">
        <f t="shared" si="1"/>
        <v>✅ Vi+Ti Consistentes</v>
      </c>
      <c r="O17" s="2316" t="str">
        <f>IFERROR(VLOOKUP(A17,'M3-MAO'!$A$3:$G$23,3,0),"— revisar")</f>
        <v>— revisar</v>
      </c>
      <c r="P17" s="1821">
        <f>IFERROR(VLOOKUP(A17,'M3-MAO'!$A$3:$G$23,7,0),1)</f>
        <v>1</v>
      </c>
      <c r="Q17" s="1787">
        <v>1</v>
      </c>
      <c r="R17" s="1787">
        <v>1</v>
      </c>
      <c r="S17" s="1787">
        <f>IF(COUNTIF('DATA-PAC'!$L:$L,A17)&gt;0,1,0)</f>
        <v>0</v>
      </c>
      <c r="T17" s="2797">
        <f>IFERROR(VLOOKUP(A17,'DATA-CED'!$A$5:$Q$24,17,0),0.2)</f>
        <v>0.2</v>
      </c>
      <c r="U17" s="1787">
        <v>0</v>
      </c>
      <c r="V17" s="1787">
        <v>1</v>
      </c>
      <c r="W17" s="1787">
        <f t="shared" si="2"/>
        <v>0</v>
      </c>
      <c r="X17" s="1787">
        <f t="shared" si="3"/>
        <v>0</v>
      </c>
      <c r="Y17" s="2797">
        <f t="shared" si="4"/>
        <v>0.2</v>
      </c>
      <c r="Z17" s="1788" t="str">
        <f t="shared" si="5"/>
        <v>🟠 CININ PARCIAL: Sin PAC pero hay ejecución — Escenario B §3.8.4</v>
      </c>
      <c r="AA17" s="2806" t="s">
        <v>4009</v>
      </c>
    </row>
    <row r="18" spans="1:27" s="11" customFormat="1" ht="22.05" customHeight="1" thickBot="1" x14ac:dyDescent="0.35">
      <c r="A18" s="2827" t="str">
        <f>'M2-PDOT'!B19</f>
        <v>PDOT.EP.OE5.PD.01</v>
      </c>
      <c r="B18" s="2828" t="s">
        <v>31</v>
      </c>
      <c r="C18" s="2829" t="s">
        <v>982</v>
      </c>
      <c r="D18" s="2829" t="s">
        <v>990</v>
      </c>
      <c r="E18" s="2829" t="s">
        <v>991</v>
      </c>
      <c r="F18" s="2828">
        <v>1</v>
      </c>
      <c r="G18" s="2828">
        <v>1</v>
      </c>
      <c r="H18" s="2830">
        <v>0.7</v>
      </c>
      <c r="I18" s="2830">
        <f t="shared" si="6"/>
        <v>0.7</v>
      </c>
      <c r="J18" s="2828" t="str">
        <f t="shared" si="0"/>
        <v>DOCUMENTO VALIDADO</v>
      </c>
      <c r="K18" s="2828">
        <v>1</v>
      </c>
      <c r="L18" s="2830">
        <v>0.7</v>
      </c>
      <c r="M18" s="2829" t="s">
        <v>992</v>
      </c>
      <c r="N18" s="2831" t="str">
        <f t="shared" si="1"/>
        <v>✅ Vi+Ti Consistentes</v>
      </c>
      <c r="O18" s="2817" t="str">
        <f>IFERROR(VLOOKUP(A18,'M3-MAO'!$A$3:$G$23,3,0),"— revisar")</f>
        <v>— revisar</v>
      </c>
      <c r="P18" s="2795">
        <f>IFERROR(VLOOKUP(A18,'M3-MAO'!$A$3:$G$23,7,0),1)</f>
        <v>1</v>
      </c>
      <c r="Q18" s="2551">
        <v>1</v>
      </c>
      <c r="R18" s="2551">
        <v>1</v>
      </c>
      <c r="S18" s="2551">
        <f>IF(COUNTIF('DATA-PAC'!$L:$L,A18)&gt;0,1,0)</f>
        <v>0</v>
      </c>
      <c r="T18" s="2796">
        <v>0.7</v>
      </c>
      <c r="U18" s="2551">
        <v>1</v>
      </c>
      <c r="V18" s="2551">
        <v>1</v>
      </c>
      <c r="W18" s="2551">
        <f t="shared" si="2"/>
        <v>0</v>
      </c>
      <c r="X18" s="2551">
        <f t="shared" si="3"/>
        <v>0</v>
      </c>
      <c r="Y18" s="2796">
        <f t="shared" si="4"/>
        <v>0.7</v>
      </c>
      <c r="Z18" s="2552" t="str">
        <f t="shared" si="5"/>
        <v>🟠 CININ PARCIAL: Sin PAC pero hay ejecución — Escenario B §3.8.4</v>
      </c>
      <c r="AA18" s="2806" t="s">
        <v>4010</v>
      </c>
    </row>
    <row r="19" spans="1:27" s="11" customFormat="1" ht="22.05" customHeight="1" thickBot="1" x14ac:dyDescent="0.35">
      <c r="A19" s="2822" t="str">
        <f>'M2-PDOT'!B20</f>
        <v>PDOT.SC.PA.CP.02</v>
      </c>
      <c r="B19" s="2823" t="s">
        <v>31</v>
      </c>
      <c r="C19" s="2824" t="s">
        <v>982</v>
      </c>
      <c r="D19" s="2824" t="s">
        <v>993</v>
      </c>
      <c r="E19" s="2824" t="s">
        <v>994</v>
      </c>
      <c r="F19" s="2823">
        <v>1</v>
      </c>
      <c r="G19" s="2823">
        <v>1</v>
      </c>
      <c r="H19" s="2825">
        <v>1</v>
      </c>
      <c r="I19" s="2825">
        <f t="shared" si="6"/>
        <v>1</v>
      </c>
      <c r="J19" s="2823" t="str">
        <f t="shared" si="0"/>
        <v>DOCUMENTO VALIDADO</v>
      </c>
      <c r="K19" s="2823">
        <v>1</v>
      </c>
      <c r="L19" s="2825">
        <v>1</v>
      </c>
      <c r="M19" s="2824" t="s">
        <v>992</v>
      </c>
      <c r="N19" s="2826" t="str">
        <f t="shared" si="1"/>
        <v>✅ Vi+Ti Consistentes</v>
      </c>
      <c r="O19" s="2316" t="str">
        <f>IFERROR(VLOOKUP(A19,'M3-MAO'!$A$3:$G$23,3,0),"— revisar")</f>
        <v>— revisar</v>
      </c>
      <c r="P19" s="1821">
        <f>IFERROR(VLOOKUP(A19,'M3-MAO'!$A$3:$G$23,7,0),1)</f>
        <v>1</v>
      </c>
      <c r="Q19" s="1787">
        <v>1</v>
      </c>
      <c r="R19" s="1787">
        <v>1</v>
      </c>
      <c r="S19" s="1787">
        <f>IF(COUNTIF('DATA-PAC'!$L:$L,A19)&gt;0,1,0)</f>
        <v>0</v>
      </c>
      <c r="T19" s="2797">
        <v>1</v>
      </c>
      <c r="U19" s="1787">
        <v>1</v>
      </c>
      <c r="V19" s="1787">
        <v>1</v>
      </c>
      <c r="W19" s="1787">
        <f t="shared" si="2"/>
        <v>0</v>
      </c>
      <c r="X19" s="1787">
        <f t="shared" si="3"/>
        <v>0</v>
      </c>
      <c r="Y19" s="2797">
        <f t="shared" si="4"/>
        <v>1</v>
      </c>
      <c r="Z19" s="1788" t="str">
        <f t="shared" si="5"/>
        <v>🟠 CININ PARCIAL: Sin PAC pero hay ejecución — Escenario B §3.8.4</v>
      </c>
      <c r="AA19" s="2806" t="s">
        <v>4011</v>
      </c>
    </row>
    <row r="20" spans="1:27" s="11" customFormat="1" ht="22.05" customHeight="1" thickBot="1" x14ac:dyDescent="0.35">
      <c r="A20" s="2827" t="str">
        <f>'M2-PDOT'!B21</f>
        <v>PDOT.AS.VL.SV.01</v>
      </c>
      <c r="B20" s="2828" t="s">
        <v>22</v>
      </c>
      <c r="C20" s="2829" t="s">
        <v>995</v>
      </c>
      <c r="D20" s="2829" t="s">
        <v>996</v>
      </c>
      <c r="E20" s="2829" t="s">
        <v>997</v>
      </c>
      <c r="F20" s="2828">
        <v>1</v>
      </c>
      <c r="G20" s="2828">
        <v>0.9</v>
      </c>
      <c r="H20" s="2830">
        <v>0.35</v>
      </c>
      <c r="I20" s="2830">
        <f t="shared" si="6"/>
        <v>0.315</v>
      </c>
      <c r="J20" s="2828" t="str">
        <f t="shared" si="0"/>
        <v>DOCUMENTO VALIDADO</v>
      </c>
      <c r="K20" s="2828">
        <v>1</v>
      </c>
      <c r="L20" s="2830">
        <v>0.35</v>
      </c>
      <c r="M20" s="2829" t="s">
        <v>998</v>
      </c>
      <c r="N20" s="2831" t="str">
        <f t="shared" si="1"/>
        <v>✅ Vi+Ti Consistentes</v>
      </c>
      <c r="O20" s="2817" t="str">
        <f>IFERROR(VLOOKUP(A20,'M3-MAO'!$A$3:$G$23,3,0),"— revisar")</f>
        <v>— revisar</v>
      </c>
      <c r="P20" s="2795">
        <f>IFERROR(VLOOKUP(A20,'M3-MAO'!$A$3:$G$23,7,0),1)</f>
        <v>1</v>
      </c>
      <c r="Q20" s="2551">
        <v>1</v>
      </c>
      <c r="R20" s="2551">
        <v>1</v>
      </c>
      <c r="S20" s="2551">
        <f>IF(COUNTIF('DATA-PAC'!$L:$L,A20)&gt;0,1,0)</f>
        <v>0</v>
      </c>
      <c r="T20" s="2796">
        <f>IFERROR(VLOOKUP(A20,'DATA-CED'!$A$5:$Q$24,17,0),0.35)</f>
        <v>0.35</v>
      </c>
      <c r="U20" s="2551">
        <v>1</v>
      </c>
      <c r="V20" s="2551">
        <v>1</v>
      </c>
      <c r="W20" s="2551">
        <f t="shared" si="2"/>
        <v>0</v>
      </c>
      <c r="X20" s="2551">
        <f t="shared" si="3"/>
        <v>0</v>
      </c>
      <c r="Y20" s="2796">
        <f t="shared" si="4"/>
        <v>0.35</v>
      </c>
      <c r="Z20" s="2552" t="str">
        <f t="shared" si="5"/>
        <v>🟠 CININ PARCIAL: Sin PAC pero hay ejecución — Escenario B §3.8.4</v>
      </c>
      <c r="AA20" s="2806" t="s">
        <v>4012</v>
      </c>
    </row>
    <row r="21" spans="1:27" s="11" customFormat="1" ht="22.05" customHeight="1" thickBot="1" x14ac:dyDescent="0.35">
      <c r="A21" s="2822" t="str">
        <f>'M2-PDOT'!B22</f>
        <v>PDOT.SC.OE2.M2.01</v>
      </c>
      <c r="B21" s="2823" t="s">
        <v>27</v>
      </c>
      <c r="C21" s="2824" t="s">
        <v>953</v>
      </c>
      <c r="D21" s="2824" t="s">
        <v>630</v>
      </c>
      <c r="E21" s="2824" t="s">
        <v>999</v>
      </c>
      <c r="F21" s="2823">
        <v>1</v>
      </c>
      <c r="G21" s="2823">
        <v>0.9</v>
      </c>
      <c r="H21" s="2825">
        <v>0.3</v>
      </c>
      <c r="I21" s="2825">
        <f t="shared" si="6"/>
        <v>0.27</v>
      </c>
      <c r="J21" s="2823" t="str">
        <f t="shared" si="0"/>
        <v>DOCUMENTO VALIDADO</v>
      </c>
      <c r="K21" s="2823">
        <v>1</v>
      </c>
      <c r="L21" s="2825">
        <v>0.3</v>
      </c>
      <c r="M21" s="2824" t="s">
        <v>1000</v>
      </c>
      <c r="N21" s="2826" t="str">
        <f t="shared" si="1"/>
        <v>✅ Vi+Ti Consistentes</v>
      </c>
      <c r="O21" s="2316" t="str">
        <f>IFERROR(VLOOKUP(A21,'M3-MAO'!$A$3:$G$23,3,0),"— revisar")</f>
        <v>Dirección de Desarrollo Social y Cultural</v>
      </c>
      <c r="P21" s="1821">
        <f>IFERROR(VLOOKUP(A21,'M3-MAO'!$A$3:$G$23,7,0),1)</f>
        <v>1</v>
      </c>
      <c r="Q21" s="1787">
        <v>1</v>
      </c>
      <c r="R21" s="1787">
        <v>1</v>
      </c>
      <c r="S21" s="1787">
        <f>IF(COUNTIF('DATA-PAC'!$L:$L,A21)&gt;0,1,0)</f>
        <v>1</v>
      </c>
      <c r="T21" s="2797">
        <v>0.3</v>
      </c>
      <c r="U21" s="1787">
        <v>1</v>
      </c>
      <c r="V21" s="1787">
        <v>1</v>
      </c>
      <c r="W21" s="1787">
        <f t="shared" si="2"/>
        <v>1</v>
      </c>
      <c r="X21" s="1787">
        <f t="shared" si="3"/>
        <v>1</v>
      </c>
      <c r="Y21" s="2797">
        <f t="shared" si="4"/>
        <v>0.3</v>
      </c>
      <c r="Z21" s="1788" t="str">
        <f t="shared" si="5"/>
        <v>✅ CININ ÍNTEGRA: Cadena completa verificada §3.4</v>
      </c>
      <c r="AA21" s="2806" t="s">
        <v>4013</v>
      </c>
    </row>
    <row r="22" spans="1:27" s="11" customFormat="1" ht="22.05" customHeight="1" thickBot="1" x14ac:dyDescent="0.35">
      <c r="A22" s="2827" t="str">
        <f>'M2-PDOT'!B23</f>
        <v>PDOT.FA.OE2.MA.01</v>
      </c>
      <c r="B22" s="2828" t="s">
        <v>19</v>
      </c>
      <c r="C22" s="2829" t="s">
        <v>953</v>
      </c>
      <c r="D22" s="2829" t="s">
        <v>1001</v>
      </c>
      <c r="E22" s="2829" t="s">
        <v>1002</v>
      </c>
      <c r="F22" s="2828">
        <v>1</v>
      </c>
      <c r="G22" s="2828">
        <v>1</v>
      </c>
      <c r="H22" s="2830">
        <v>0.35</v>
      </c>
      <c r="I22" s="2830">
        <f t="shared" si="6"/>
        <v>0.35</v>
      </c>
      <c r="J22" s="2828" t="str">
        <f t="shared" si="0"/>
        <v>DOCUMENTO VALIDADO</v>
      </c>
      <c r="K22" s="2828">
        <v>1</v>
      </c>
      <c r="L22" s="2830">
        <v>1</v>
      </c>
      <c r="M22" s="2829" t="s">
        <v>1003</v>
      </c>
      <c r="N22" s="2831" t="str">
        <f t="shared" si="1"/>
        <v>⚠️ Ti difiere: H=0,35 vs L=1</v>
      </c>
      <c r="O22" s="2817" t="str">
        <f>IFERROR(VLOOKUP(A22,'M3-MAO'!$A$3:$G$23,3,0),"— revisar")</f>
        <v>— revisar</v>
      </c>
      <c r="P22" s="2795">
        <f>IFERROR(VLOOKUP(A22,'M3-MAO'!$A$3:$G$23,7,0),1)</f>
        <v>1</v>
      </c>
      <c r="Q22" s="2551">
        <v>1</v>
      </c>
      <c r="R22" s="2551">
        <v>1</v>
      </c>
      <c r="S22" s="2551">
        <f>IF(COUNTIF('DATA-PAC'!$L:$L,A22)&gt;0,1,0)</f>
        <v>0</v>
      </c>
      <c r="T22" s="2796">
        <v>1</v>
      </c>
      <c r="U22" s="2551">
        <v>1</v>
      </c>
      <c r="V22" s="2551">
        <v>1</v>
      </c>
      <c r="W22" s="2551">
        <f t="shared" si="2"/>
        <v>0</v>
      </c>
      <c r="X22" s="2551">
        <f t="shared" si="3"/>
        <v>0</v>
      </c>
      <c r="Y22" s="2796">
        <f t="shared" si="4"/>
        <v>1</v>
      </c>
      <c r="Z22" s="2552" t="str">
        <f t="shared" si="5"/>
        <v>🟠 CININ PARCIAL: Sin PAC pero hay ejecución — Escenario B §3.8.4</v>
      </c>
      <c r="AA22" s="2806" t="s">
        <v>4014</v>
      </c>
    </row>
    <row r="23" spans="1:27" s="11" customFormat="1" ht="22.05" customHeight="1" thickBot="1" x14ac:dyDescent="0.35">
      <c r="A23" s="2822" t="str">
        <f>'M2-PDOT'!B4</f>
        <v>PDOT.AS.VL.M1.01</v>
      </c>
      <c r="B23" s="2823" t="s">
        <v>19</v>
      </c>
      <c r="C23" s="2824" t="s">
        <v>953</v>
      </c>
      <c r="D23" s="2824" t="s">
        <v>1004</v>
      </c>
      <c r="E23" s="2824" t="s">
        <v>1005</v>
      </c>
      <c r="F23" s="2823">
        <v>1</v>
      </c>
      <c r="G23" s="2823">
        <v>1</v>
      </c>
      <c r="H23" s="2825">
        <v>0.25</v>
      </c>
      <c r="I23" s="2825">
        <f t="shared" si="6"/>
        <v>0.25</v>
      </c>
      <c r="J23" s="2823" t="str">
        <f t="shared" si="0"/>
        <v>DOCUMENTO VALIDADO</v>
      </c>
      <c r="K23" s="2823">
        <v>1</v>
      </c>
      <c r="L23" s="2825">
        <v>0.25</v>
      </c>
      <c r="M23" s="2824" t="s">
        <v>1006</v>
      </c>
      <c r="N23" s="2826" t="str">
        <f t="shared" si="1"/>
        <v>✅ Vi+Ti Consistentes</v>
      </c>
      <c r="O23" s="2316" t="str">
        <f>IFERROR(VLOOKUP(A23,'M3-MAO'!$A$3:$G$23,3,0),"— revisar")</f>
        <v>Dirección de Obras Públicas</v>
      </c>
      <c r="P23" s="1821">
        <f>IFERROR(VLOOKUP(A23,'M3-MAO'!$A$3:$G$23,7,0),1)</f>
        <v>1</v>
      </c>
      <c r="Q23" s="1787">
        <v>1</v>
      </c>
      <c r="R23" s="1787">
        <v>1</v>
      </c>
      <c r="S23" s="1787">
        <f>IF(COUNTIF('DATA-PAC'!$L:$L,A23)&gt;0,1,0)</f>
        <v>1</v>
      </c>
      <c r="T23" s="2797">
        <v>0.25</v>
      </c>
      <c r="U23" s="1787">
        <v>1</v>
      </c>
      <c r="V23" s="1787">
        <v>1</v>
      </c>
      <c r="W23" s="1787">
        <f t="shared" si="2"/>
        <v>1</v>
      </c>
      <c r="X23" s="1787">
        <f t="shared" si="3"/>
        <v>1</v>
      </c>
      <c r="Y23" s="2797">
        <f t="shared" si="4"/>
        <v>0.25</v>
      </c>
      <c r="Z23" s="1788" t="str">
        <f t="shared" si="5"/>
        <v>✅ CININ ÍNTEGRA: Cadena completa verificada §3.4</v>
      </c>
      <c r="AA23" s="2806" t="s">
        <v>4015</v>
      </c>
    </row>
    <row r="24" spans="1:27" s="11" customFormat="1" ht="22.05" customHeight="1" x14ac:dyDescent="0.3">
      <c r="A24" s="2832" t="str">
        <f>'M2-PDOT'!B5</f>
        <v>PDOT.SC.OE2.M1.01</v>
      </c>
      <c r="B24" s="2833" t="s">
        <v>19</v>
      </c>
      <c r="C24" s="2834" t="s">
        <v>953</v>
      </c>
      <c r="D24" s="2834" t="s">
        <v>91</v>
      </c>
      <c r="E24" s="2834" t="s">
        <v>1007</v>
      </c>
      <c r="F24" s="2833">
        <v>1</v>
      </c>
      <c r="G24" s="2833">
        <v>1</v>
      </c>
      <c r="H24" s="2835">
        <v>0.65</v>
      </c>
      <c r="I24" s="2835">
        <f t="shared" si="6"/>
        <v>0.65</v>
      </c>
      <c r="J24" s="2833" t="str">
        <f t="shared" si="0"/>
        <v>DOCUMENTO VALIDADO</v>
      </c>
      <c r="K24" s="2833">
        <v>1</v>
      </c>
      <c r="L24" s="2835">
        <v>0.65</v>
      </c>
      <c r="M24" s="2834" t="s">
        <v>1008</v>
      </c>
      <c r="N24" s="2836" t="str">
        <f t="shared" si="1"/>
        <v>✅ Vi+Ti Consistentes</v>
      </c>
      <c r="O24" s="2818" t="str">
        <f>IFERROR(VLOOKUP(A24,'M3-MAO'!$A$3:$G$23,3,0),"— revisar")</f>
        <v>Patronato Municipal de Amparo Social</v>
      </c>
      <c r="P24" s="2799">
        <f>IFERROR(VLOOKUP(A24,'M3-MAO'!$A$3:$G$23,7,0),1)</f>
        <v>0.9</v>
      </c>
      <c r="Q24" s="2554">
        <v>1</v>
      </c>
      <c r="R24" s="2554">
        <v>1</v>
      </c>
      <c r="S24" s="2554">
        <f>IF(COUNTIF('DATA-PAC'!$L:$L,A24)&gt;0,1,0)</f>
        <v>0</v>
      </c>
      <c r="T24" s="2800">
        <v>0</v>
      </c>
      <c r="U24" s="2554">
        <v>1</v>
      </c>
      <c r="V24" s="2554">
        <v>1</v>
      </c>
      <c r="W24" s="2554">
        <f t="shared" si="2"/>
        <v>0</v>
      </c>
      <c r="X24" s="2554">
        <f t="shared" si="3"/>
        <v>0</v>
      </c>
      <c r="Y24" s="2800">
        <f t="shared" si="4"/>
        <v>0</v>
      </c>
      <c r="Z24" s="2555" t="str">
        <f t="shared" si="5"/>
        <v>🔴 CININ ROTA: Sin PAC ni ejecución — Escenario B §3.8.4</v>
      </c>
      <c r="AA24" s="2810" t="s">
        <v>4016</v>
      </c>
    </row>
    <row r="25" spans="1:27" s="11" customFormat="1" ht="37.950000000000003" customHeight="1" x14ac:dyDescent="0.3"/>
  </sheetData>
  <mergeCells count="2">
    <mergeCell ref="A3:AA3"/>
    <mergeCell ref="A1:Z1"/>
  </mergeCells>
  <conditionalFormatting sqref="F5:F24">
    <cfRule type="expression" dxfId="584" priority="15">
      <formula>F5=1</formula>
    </cfRule>
    <cfRule type="expression" dxfId="583" priority="16">
      <formula>F5=0</formula>
    </cfRule>
  </conditionalFormatting>
  <conditionalFormatting sqref="G5:G24">
    <cfRule type="cellIs" dxfId="582" priority="9" operator="equal">
      <formula>0.9</formula>
    </cfRule>
  </conditionalFormatting>
  <conditionalFormatting sqref="H5:I24">
    <cfRule type="expression" dxfId="581" priority="19">
      <formula>AND(H5&gt;=0,H5&lt;0.2)</formula>
    </cfRule>
    <cfRule type="expression" dxfId="580" priority="20">
      <formula>AND(H5&gt;=0.2,H5&lt;0.4)</formula>
    </cfRule>
    <cfRule type="expression" dxfId="579" priority="21">
      <formula>AND(H5&gt;=0.4,H5&lt;0.7)</formula>
    </cfRule>
    <cfRule type="expression" dxfId="578" priority="22">
      <formula>AND(H5&gt;=0.7,H5&lt;0.9)</formula>
    </cfRule>
    <cfRule type="expression" dxfId="577" priority="23">
      <formula>H5&gt;=0.9</formula>
    </cfRule>
  </conditionalFormatting>
  <conditionalFormatting sqref="J5:J24">
    <cfRule type="expression" dxfId="576" priority="34">
      <formula>ISNUMBER(SEARCH("VALIDADO",J5))</formula>
    </cfRule>
    <cfRule type="expression" dxfId="575" priority="35">
      <formula>ISNUMBER(SEARCH("SIN SOPORTE",J5))</formula>
    </cfRule>
  </conditionalFormatting>
  <conditionalFormatting sqref="K5:K24">
    <cfRule type="expression" dxfId="574" priority="17">
      <formula>K5=1</formula>
    </cfRule>
    <cfRule type="expression" dxfId="573" priority="18">
      <formula>K5=0</formula>
    </cfRule>
  </conditionalFormatting>
  <conditionalFormatting sqref="L5:L24">
    <cfRule type="expression" dxfId="572" priority="24">
      <formula>AND(L5&gt;=0,L5&lt;0.2)</formula>
    </cfRule>
    <cfRule type="expression" dxfId="571" priority="25">
      <formula>AND(L5&gt;=0.2,L5&lt;0.4)</formula>
    </cfRule>
    <cfRule type="expression" dxfId="570" priority="26">
      <formula>AND(L5&gt;=0.4,L5&lt;0.7)</formula>
    </cfRule>
    <cfRule type="expression" dxfId="569" priority="27">
      <formula>AND(L5&gt;=0.7,L5&lt;0.9)</formula>
    </cfRule>
    <cfRule type="expression" dxfId="568" priority="28">
      <formula>L5&gt;=0.9</formula>
    </cfRule>
  </conditionalFormatting>
  <conditionalFormatting sqref="N5:N24">
    <cfRule type="expression" dxfId="567" priority="36">
      <formula>ISNUMBER(SEARCH("✅",N5))</formula>
    </cfRule>
    <cfRule type="expression" dxfId="566" priority="37">
      <formula>ISNUMBER(SEARCH("⚠️",N5))</formula>
    </cfRule>
  </conditionalFormatting>
  <dataValidations xWindow="1006" yWindow="404" count="3">
    <dataValidation type="list" allowBlank="1" showInputMessage="1" showErrorMessage="1" errorTitle="Error Vi" error="Solo se permite 0 o 1 (variable binaria forense)" promptTitle="Variable Vi" prompt="Vi binaria: 1=Evidencia existe, 0=No existe (Axioma 1 PDF)" sqref="F5:F24" xr:uid="{00000000-0002-0000-0A00-000000000000}">
      <formula1>"0,1"</formula1>
    </dataValidation>
    <dataValidation type="list" allowBlank="1" showInputMessage="1" showErrorMessage="1" errorTitle="Error Ei" error="Solo: 1.0 (directa GAD), 0.9 (vía entidad), 0.0 (sin reporte)" promptTitle="Factor Ei" prompt="Ei institucional (PDF §2.5):_x000a_1.0=Directa GAD_x000a_0.9=Vía entidad_x000a_0.0=Sin reporte" sqref="G5:G24" xr:uid="{00000000-0002-0000-0A00-000001000000}">
      <formula1>"0,0.9,1"</formula1>
    </dataValidation>
    <dataValidation type="list" allowBlank="1" showInputMessage="1" showErrorMessage="1" promptTitle="Factor Ti" prompt="Ti temporal (PDF §2.4):_x000a_1.0=En plazo_x000a_0.7=Retraso &lt;6m_x000a_0.5=Retraso &gt;6m_x000a_0.0=No ejecutado" sqref="H5:H24" xr:uid="{00000000-0002-0000-0A00-000002000000}">
      <formula1>"0,0.2,0.3,0.4,0.5,0.6,0.7,0.85,0.9,1"</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DEEAF1"/>
  </sheetPr>
  <dimension ref="A1:Z25"/>
  <sheetViews>
    <sheetView showGridLines="0" topLeftCell="B4" zoomScale="36" zoomScaleNormal="36" workbookViewId="0">
      <pane xSplit="1" ySplit="1" topLeftCell="C5" activePane="bottomRight" state="frozen"/>
      <selection activeCell="B4" sqref="B4"/>
      <selection pane="topRight" activeCell="C4" sqref="C4"/>
      <selection pane="bottomLeft" activeCell="B5" sqref="B5"/>
      <selection pane="bottomRight" activeCell="C4" sqref="C4"/>
    </sheetView>
  </sheetViews>
  <sheetFormatPr baseColWidth="10" defaultRowHeight="14.4" x14ac:dyDescent="0.3"/>
  <cols>
    <col min="1" max="1" width="5.88671875" style="2" customWidth="1"/>
    <col min="2" max="2" width="27.77734375" customWidth="1"/>
    <col min="3" max="3" width="29.6640625" customWidth="1"/>
    <col min="4" max="4" width="31.44140625" customWidth="1"/>
    <col min="5" max="5" width="22.21875" customWidth="1"/>
    <col min="6" max="6" width="9.21875" customWidth="1"/>
    <col min="7" max="7" width="18.5546875" customWidth="1"/>
    <col min="8" max="8" width="40.77734375" customWidth="1"/>
    <col min="26" max="26" width="8.44140625" bestFit="1" customWidth="1"/>
  </cols>
  <sheetData>
    <row r="1" spans="1:26" ht="30" customHeight="1" x14ac:dyDescent="0.3">
      <c r="A1" s="3635" t="s">
        <v>4829</v>
      </c>
      <c r="B1" s="3636"/>
      <c r="C1" s="3636"/>
      <c r="D1" s="3636"/>
      <c r="E1" s="3636"/>
      <c r="F1" s="3636"/>
      <c r="G1" s="3636"/>
      <c r="H1" s="3637"/>
      <c r="I1" s="3638"/>
      <c r="J1" s="3638"/>
      <c r="K1" s="3638"/>
      <c r="L1" s="3638"/>
      <c r="M1" s="3638"/>
      <c r="N1" s="3638"/>
      <c r="O1" s="3638"/>
      <c r="P1" s="3638"/>
      <c r="Q1" s="3638"/>
      <c r="R1" s="3638"/>
      <c r="S1" s="3638"/>
      <c r="T1" s="3638"/>
      <c r="U1" s="3638"/>
      <c r="V1" s="3638"/>
      <c r="W1" s="3638"/>
      <c r="X1" s="3638"/>
      <c r="Y1" s="3638"/>
      <c r="Z1" s="3638"/>
    </row>
    <row r="2" spans="1:26" ht="24" customHeight="1" x14ac:dyDescent="0.3">
      <c r="A2" s="2717" t="str">
        <f>HYPERLINK("#'M-INDEX'!A1","⌂ INDICE")</f>
        <v>⌂ INDICE</v>
      </c>
      <c r="B2" s="2781" t="str">
        <f>HYPERLINK("#'M1-ITME'!A1","M1")</f>
        <v>M1</v>
      </c>
      <c r="C2" s="2781" t="str">
        <f>HYPERLINK("#'M2-PDOT'!A1","M2")</f>
        <v>M2</v>
      </c>
      <c r="D2" s="2781" t="str">
        <f>HYPERLINK("#'M3-MAO'!A1","M3")</f>
        <v>M3</v>
      </c>
      <c r="E2" s="2781" t="str">
        <f>HYPERLINK("#'M4-AUDIT'!A1","M4")</f>
        <v>M4</v>
      </c>
      <c r="F2" s="2781" t="str">
        <f>HYPERLINK("#'M5-ICPI'!A1","M5")</f>
        <v>M5</v>
      </c>
      <c r="G2" s="2781" t="str">
        <f>HYPERLINK("#'M6-FEDS'!A1","M6")</f>
        <v>M6</v>
      </c>
      <c r="H2" s="2782" t="str">
        <f>HYPERLINK("#'M7-PROSP'!A1","M7")</f>
        <v>M7</v>
      </c>
      <c r="I2" s="1083" t="str">
        <f>HYPERLINK("#'DATA-POA'!A1","DATA-POA")</f>
        <v>DATA-POA</v>
      </c>
      <c r="J2" s="1083" t="str">
        <f>HYPERLINK("#'DATA-CNE'!A1","DATA-CNE")</f>
        <v>DATA-CNE</v>
      </c>
      <c r="K2" s="1083" t="str">
        <f>HYPERLINK("#'DATA-ORG'!A1","DATA-ORG")</f>
        <v>DATA-ORG</v>
      </c>
      <c r="L2" s="1083" t="str">
        <f>HYPERLINK("#'M-DASHBOARD'!A1","DASH")</f>
        <v>DASH</v>
      </c>
      <c r="M2" s="2776"/>
      <c r="N2" s="2776"/>
      <c r="O2" s="2776"/>
      <c r="P2" s="2776"/>
      <c r="Q2" s="2776"/>
      <c r="R2" s="2776"/>
      <c r="S2" s="2776"/>
      <c r="T2" s="2776"/>
      <c r="U2" s="2776"/>
      <c r="V2" s="2776"/>
      <c r="W2" s="2776"/>
      <c r="X2" s="2776"/>
      <c r="Y2" s="2776"/>
      <c r="Z2" s="2776"/>
    </row>
    <row r="3" spans="1:26" s="1" customFormat="1" ht="22.05" customHeight="1" thickBot="1" x14ac:dyDescent="0.35">
      <c r="A3" s="3631" t="s">
        <v>4231</v>
      </c>
      <c r="B3" s="3632"/>
      <c r="C3" s="3632"/>
      <c r="D3" s="3632"/>
      <c r="E3" s="3632"/>
      <c r="F3" s="3632"/>
      <c r="G3" s="3632"/>
      <c r="H3" s="3633"/>
      <c r="I3" s="3634"/>
      <c r="J3" s="3634"/>
      <c r="K3" s="3634"/>
      <c r="L3" s="3634"/>
      <c r="M3" s="3634"/>
      <c r="N3" s="3634"/>
      <c r="O3" s="3634"/>
      <c r="P3" s="3634"/>
      <c r="Q3" s="3634"/>
      <c r="R3" s="3634"/>
      <c r="S3" s="3634"/>
      <c r="T3" s="3634"/>
      <c r="U3" s="3634"/>
      <c r="V3" s="3634"/>
      <c r="W3" s="3634"/>
      <c r="X3" s="3634"/>
      <c r="Y3" s="3634"/>
      <c r="Z3" s="3634"/>
    </row>
    <row r="4" spans="1:26" s="27" customFormat="1" ht="36" customHeight="1" thickTop="1" x14ac:dyDescent="0.3">
      <c r="A4" s="1780" t="s">
        <v>690</v>
      </c>
      <c r="B4" s="1781" t="s">
        <v>691</v>
      </c>
      <c r="C4" s="1781" t="s">
        <v>1009</v>
      </c>
      <c r="D4" s="1781" t="s">
        <v>1010</v>
      </c>
      <c r="E4" s="1781" t="s">
        <v>1011</v>
      </c>
      <c r="F4" s="1781" t="s">
        <v>1012</v>
      </c>
      <c r="G4" s="1781" t="s">
        <v>937</v>
      </c>
      <c r="H4" s="1782" t="s">
        <v>952</v>
      </c>
      <c r="I4" s="2059"/>
      <c r="J4" s="694"/>
      <c r="K4" s="694"/>
      <c r="L4" s="694"/>
      <c r="M4" s="694"/>
      <c r="N4" s="694"/>
      <c r="O4" s="694"/>
      <c r="P4" s="694"/>
      <c r="Q4" s="694"/>
      <c r="R4" s="694"/>
      <c r="S4" s="694"/>
      <c r="T4" s="694"/>
      <c r="U4" s="694"/>
      <c r="V4" s="694"/>
      <c r="W4" s="694"/>
      <c r="X4" s="694"/>
      <c r="Y4" s="694"/>
      <c r="Z4" s="2699"/>
    </row>
    <row r="5" spans="1:26" s="10" customFormat="1" ht="22.05" customHeight="1" x14ac:dyDescent="0.3">
      <c r="A5" s="2783">
        <v>2</v>
      </c>
      <c r="B5" s="2784" t="s">
        <v>509</v>
      </c>
      <c r="C5" s="2784" t="s">
        <v>1013</v>
      </c>
      <c r="D5" s="2784" t="s">
        <v>1014</v>
      </c>
      <c r="E5" s="2784" t="s">
        <v>1015</v>
      </c>
      <c r="F5" s="1823"/>
      <c r="G5" s="1823"/>
      <c r="H5" s="2785"/>
      <c r="I5" s="2714"/>
      <c r="J5" s="695"/>
      <c r="K5" s="695"/>
      <c r="L5" s="695"/>
      <c r="M5" s="695"/>
      <c r="N5" s="695"/>
      <c r="O5" s="695"/>
      <c r="P5" s="695"/>
      <c r="Q5" s="695"/>
      <c r="R5" s="695"/>
      <c r="S5" s="695"/>
      <c r="T5" s="695"/>
      <c r="U5" s="695"/>
      <c r="V5" s="695"/>
      <c r="W5" s="695"/>
      <c r="X5" s="695"/>
      <c r="Y5" s="695"/>
      <c r="Z5" s="2700"/>
    </row>
    <row r="6" spans="1:26" s="11" customFormat="1" ht="22.05" customHeight="1" x14ac:dyDescent="0.3">
      <c r="A6" s="2786">
        <v>3</v>
      </c>
      <c r="B6" s="2787" t="s">
        <v>43</v>
      </c>
      <c r="C6" s="2787" t="s">
        <v>1016</v>
      </c>
      <c r="D6" s="2787" t="s">
        <v>1017</v>
      </c>
      <c r="E6" s="2787" t="s">
        <v>1018</v>
      </c>
      <c r="F6" s="2788"/>
      <c r="G6" s="2788"/>
      <c r="H6" s="2789"/>
      <c r="I6" s="2779"/>
      <c r="J6" s="1993"/>
      <c r="K6" s="1993"/>
      <c r="L6" s="1993"/>
      <c r="M6" s="1993"/>
      <c r="N6" s="1993"/>
      <c r="O6" s="1993"/>
      <c r="P6" s="1993"/>
      <c r="Q6" s="1993"/>
      <c r="R6" s="1993"/>
      <c r="S6" s="1993"/>
      <c r="T6" s="1993"/>
      <c r="U6" s="1993"/>
      <c r="V6" s="1993"/>
      <c r="W6" s="1993"/>
      <c r="X6" s="1993"/>
      <c r="Y6" s="1993"/>
      <c r="Z6" s="2777"/>
    </row>
    <row r="7" spans="1:26" s="11" customFormat="1" ht="22.05" customHeight="1" x14ac:dyDescent="0.3">
      <c r="A7" s="2783">
        <v>4</v>
      </c>
      <c r="B7" s="2784" t="s">
        <v>715</v>
      </c>
      <c r="C7" s="2784" t="s">
        <v>1019</v>
      </c>
      <c r="D7" s="2784" t="s">
        <v>1020</v>
      </c>
      <c r="E7" s="2784" t="s">
        <v>1021</v>
      </c>
      <c r="F7" s="1823"/>
      <c r="G7" s="1823"/>
      <c r="H7" s="2785"/>
      <c r="I7" s="2779"/>
      <c r="J7" s="1993"/>
      <c r="K7" s="1993"/>
      <c r="L7" s="1993"/>
      <c r="M7" s="1993"/>
      <c r="N7" s="1993"/>
      <c r="O7" s="1993"/>
      <c r="P7" s="1993"/>
      <c r="Q7" s="1993"/>
      <c r="R7" s="1993"/>
      <c r="S7" s="1993"/>
      <c r="T7" s="1993"/>
      <c r="U7" s="1993"/>
      <c r="V7" s="1993"/>
      <c r="W7" s="1993"/>
      <c r="X7" s="1993"/>
      <c r="Y7" s="1993"/>
      <c r="Z7" s="2777"/>
    </row>
    <row r="8" spans="1:26" s="11" customFormat="1" ht="22.05" customHeight="1" x14ac:dyDescent="0.3">
      <c r="A8" s="2786">
        <v>5</v>
      </c>
      <c r="B8" s="2787" t="s">
        <v>57</v>
      </c>
      <c r="C8" s="2787" t="s">
        <v>1022</v>
      </c>
      <c r="D8" s="2787" t="s">
        <v>1023</v>
      </c>
      <c r="E8" s="2787" t="s">
        <v>1024</v>
      </c>
      <c r="F8" s="2788"/>
      <c r="G8" s="2788"/>
      <c r="H8" s="2789"/>
      <c r="I8" s="2779"/>
      <c r="J8" s="1993"/>
      <c r="K8" s="1993"/>
      <c r="L8" s="1993"/>
      <c r="M8" s="1993"/>
      <c r="N8" s="1993"/>
      <c r="O8" s="1993"/>
      <c r="P8" s="1993"/>
      <c r="Q8" s="1993"/>
      <c r="R8" s="1993"/>
      <c r="S8" s="1993"/>
      <c r="T8" s="1993"/>
      <c r="U8" s="1993"/>
      <c r="V8" s="1993"/>
      <c r="W8" s="1993"/>
      <c r="X8" s="1993"/>
      <c r="Y8" s="1993"/>
      <c r="Z8" s="2777"/>
    </row>
    <row r="9" spans="1:26" s="11" customFormat="1" ht="22.05" customHeight="1" x14ac:dyDescent="0.3">
      <c r="A9" s="2783">
        <v>6</v>
      </c>
      <c r="B9" s="2784" t="s">
        <v>721</v>
      </c>
      <c r="C9" s="2784" t="s">
        <v>1025</v>
      </c>
      <c r="D9" s="2784" t="s">
        <v>1026</v>
      </c>
      <c r="E9" s="2784" t="s">
        <v>1027</v>
      </c>
      <c r="F9" s="1823"/>
      <c r="G9" s="1823"/>
      <c r="H9" s="2785"/>
      <c r="I9" s="2779"/>
      <c r="J9" s="1993"/>
      <c r="K9" s="1993"/>
      <c r="L9" s="1993"/>
      <c r="M9" s="1993"/>
      <c r="N9" s="1993"/>
      <c r="O9" s="1993"/>
      <c r="P9" s="1993"/>
      <c r="Q9" s="1993"/>
      <c r="R9" s="1993"/>
      <c r="S9" s="1993"/>
      <c r="T9" s="1993"/>
      <c r="U9" s="1993"/>
      <c r="V9" s="1993"/>
      <c r="W9" s="1993"/>
      <c r="X9" s="1993"/>
      <c r="Y9" s="1993"/>
      <c r="Z9" s="2777"/>
    </row>
    <row r="10" spans="1:26" s="11" customFormat="1" ht="22.05" customHeight="1" x14ac:dyDescent="0.3">
      <c r="A10" s="2786">
        <v>7</v>
      </c>
      <c r="B10" s="2787" t="s">
        <v>546</v>
      </c>
      <c r="C10" s="2787" t="s">
        <v>1028</v>
      </c>
      <c r="D10" s="2787" t="s">
        <v>1029</v>
      </c>
      <c r="E10" s="2787" t="s">
        <v>1030</v>
      </c>
      <c r="F10" s="2788"/>
      <c r="G10" s="2788"/>
      <c r="H10" s="2789"/>
      <c r="I10" s="2779"/>
      <c r="J10" s="1993"/>
      <c r="K10" s="1993"/>
      <c r="L10" s="1993"/>
      <c r="M10" s="1993"/>
      <c r="N10" s="1993"/>
      <c r="O10" s="1993"/>
      <c r="P10" s="1993"/>
      <c r="Q10" s="1993"/>
      <c r="R10" s="1993"/>
      <c r="S10" s="1993"/>
      <c r="T10" s="1993"/>
      <c r="U10" s="1993"/>
      <c r="V10" s="1993"/>
      <c r="W10" s="1993"/>
      <c r="X10" s="1993"/>
      <c r="Y10" s="1993"/>
      <c r="Z10" s="2777"/>
    </row>
    <row r="11" spans="1:26" s="11" customFormat="1" ht="22.05" customHeight="1" x14ac:dyDescent="0.3">
      <c r="A11" s="2783">
        <v>8</v>
      </c>
      <c r="B11" s="2784" t="s">
        <v>47</v>
      </c>
      <c r="C11" s="2784" t="s">
        <v>1031</v>
      </c>
      <c r="D11" s="2784" t="s">
        <v>1032</v>
      </c>
      <c r="E11" s="2784" t="s">
        <v>1033</v>
      </c>
      <c r="F11" s="1823"/>
      <c r="G11" s="1823"/>
      <c r="H11" s="2785"/>
      <c r="I11" s="2779"/>
      <c r="J11" s="1993"/>
      <c r="K11" s="1993"/>
      <c r="L11" s="1993"/>
      <c r="M11" s="1993"/>
      <c r="N11" s="1993"/>
      <c r="O11" s="1993"/>
      <c r="P11" s="1993"/>
      <c r="Q11" s="1993"/>
      <c r="R11" s="1993"/>
      <c r="S11" s="1993"/>
      <c r="T11" s="1993"/>
      <c r="U11" s="1993"/>
      <c r="V11" s="1993"/>
      <c r="W11" s="1993"/>
      <c r="X11" s="1993"/>
      <c r="Y11" s="1993"/>
      <c r="Z11" s="2777"/>
    </row>
    <row r="12" spans="1:26" s="11" customFormat="1" ht="22.05" customHeight="1" x14ac:dyDescent="0.3">
      <c r="A12" s="2786">
        <v>9</v>
      </c>
      <c r="B12" s="2787" t="s">
        <v>518</v>
      </c>
      <c r="C12" s="2787" t="s">
        <v>1034</v>
      </c>
      <c r="D12" s="2787" t="s">
        <v>1035</v>
      </c>
      <c r="E12" s="2787" t="s">
        <v>1036</v>
      </c>
      <c r="F12" s="2788"/>
      <c r="G12" s="2788"/>
      <c r="H12" s="2789"/>
      <c r="I12" s="2779"/>
      <c r="J12" s="1993"/>
      <c r="K12" s="1993"/>
      <c r="L12" s="1993"/>
      <c r="M12" s="1993"/>
      <c r="N12" s="1993"/>
      <c r="O12" s="1993"/>
      <c r="P12" s="1993"/>
      <c r="Q12" s="1993"/>
      <c r="R12" s="1993"/>
      <c r="S12" s="1993"/>
      <c r="T12" s="1993"/>
      <c r="U12" s="1993"/>
      <c r="V12" s="1993"/>
      <c r="W12" s="1993"/>
      <c r="X12" s="1993"/>
      <c r="Y12" s="1993"/>
      <c r="Z12" s="2777"/>
    </row>
    <row r="13" spans="1:26" s="11" customFormat="1" ht="22.05" customHeight="1" x14ac:dyDescent="0.3">
      <c r="A13" s="2783">
        <v>10</v>
      </c>
      <c r="B13" s="2784" t="s">
        <v>531</v>
      </c>
      <c r="C13" s="2784" t="s">
        <v>1037</v>
      </c>
      <c r="D13" s="2784" t="s">
        <v>1038</v>
      </c>
      <c r="E13" s="2784" t="s">
        <v>1039</v>
      </c>
      <c r="F13" s="1823"/>
      <c r="G13" s="1823"/>
      <c r="H13" s="2785"/>
      <c r="I13" s="2779"/>
      <c r="J13" s="1993"/>
      <c r="K13" s="1993"/>
      <c r="L13" s="1993"/>
      <c r="M13" s="1993"/>
      <c r="N13" s="1993"/>
      <c r="O13" s="1993"/>
      <c r="P13" s="1993"/>
      <c r="Q13" s="1993"/>
      <c r="R13" s="1993"/>
      <c r="S13" s="1993"/>
      <c r="T13" s="1993"/>
      <c r="U13" s="1993"/>
      <c r="V13" s="1993"/>
      <c r="W13" s="1993"/>
      <c r="X13" s="1993"/>
      <c r="Y13" s="1993"/>
      <c r="Z13" s="2777"/>
    </row>
    <row r="14" spans="1:26" s="11" customFormat="1" ht="22.05" customHeight="1" x14ac:dyDescent="0.3">
      <c r="A14" s="2786">
        <v>11</v>
      </c>
      <c r="B14" s="2787" t="s">
        <v>53</v>
      </c>
      <c r="C14" s="2787" t="s">
        <v>1040</v>
      </c>
      <c r="D14" s="2787" t="s">
        <v>1041</v>
      </c>
      <c r="E14" s="2787" t="s">
        <v>1042</v>
      </c>
      <c r="F14" s="2788"/>
      <c r="G14" s="2788"/>
      <c r="H14" s="2789"/>
      <c r="I14" s="2779"/>
      <c r="J14" s="1993"/>
      <c r="K14" s="1993"/>
      <c r="L14" s="1993"/>
      <c r="M14" s="1993"/>
      <c r="N14" s="1993"/>
      <c r="O14" s="1993"/>
      <c r="P14" s="1993"/>
      <c r="Q14" s="1993"/>
      <c r="R14" s="1993"/>
      <c r="S14" s="1993"/>
      <c r="T14" s="1993"/>
      <c r="U14" s="1993"/>
      <c r="V14" s="1993"/>
      <c r="W14" s="1993"/>
      <c r="X14" s="1993"/>
      <c r="Y14" s="1993"/>
      <c r="Z14" s="2777"/>
    </row>
    <row r="15" spans="1:26" s="11" customFormat="1" ht="22.05" customHeight="1" x14ac:dyDescent="0.3">
      <c r="A15" s="2783">
        <v>12</v>
      </c>
      <c r="B15" s="2784" t="s">
        <v>486</v>
      </c>
      <c r="C15" s="2784" t="s">
        <v>1043</v>
      </c>
      <c r="D15" s="2784" t="s">
        <v>1044</v>
      </c>
      <c r="E15" s="2784" t="s">
        <v>1045</v>
      </c>
      <c r="F15" s="1823"/>
      <c r="G15" s="1823"/>
      <c r="H15" s="2785"/>
      <c r="I15" s="2779"/>
      <c r="J15" s="1993"/>
      <c r="K15" s="1993"/>
      <c r="L15" s="1993"/>
      <c r="M15" s="1993"/>
      <c r="N15" s="1993"/>
      <c r="O15" s="1993"/>
      <c r="P15" s="1993"/>
      <c r="Q15" s="1993"/>
      <c r="R15" s="1993"/>
      <c r="S15" s="1993"/>
      <c r="T15" s="1993"/>
      <c r="U15" s="1993"/>
      <c r="V15" s="1993"/>
      <c r="W15" s="1993"/>
      <c r="X15" s="1993"/>
      <c r="Y15" s="1993"/>
      <c r="Z15" s="2777"/>
    </row>
    <row r="16" spans="1:26" s="11" customFormat="1" ht="22.05" customHeight="1" x14ac:dyDescent="0.3">
      <c r="A16" s="2786">
        <v>13</v>
      </c>
      <c r="B16" s="2787" t="s">
        <v>553</v>
      </c>
      <c r="C16" s="2787" t="s">
        <v>1046</v>
      </c>
      <c r="D16" s="2787" t="s">
        <v>1047</v>
      </c>
      <c r="E16" s="2787" t="s">
        <v>1048</v>
      </c>
      <c r="F16" s="2788"/>
      <c r="G16" s="2788"/>
      <c r="H16" s="2789"/>
      <c r="I16" s="2779"/>
      <c r="J16" s="1993"/>
      <c r="K16" s="1993"/>
      <c r="L16" s="1993"/>
      <c r="M16" s="1993"/>
      <c r="N16" s="1993"/>
      <c r="O16" s="1993"/>
      <c r="P16" s="1993"/>
      <c r="Q16" s="1993"/>
      <c r="R16" s="1993"/>
      <c r="S16" s="1993"/>
      <c r="T16" s="1993"/>
      <c r="U16" s="1993"/>
      <c r="V16" s="1993"/>
      <c r="W16" s="1993"/>
      <c r="X16" s="1993"/>
      <c r="Y16" s="1993"/>
      <c r="Z16" s="2777"/>
    </row>
    <row r="17" spans="1:26" s="11" customFormat="1" ht="22.05" customHeight="1" x14ac:dyDescent="0.3">
      <c r="A17" s="2783">
        <v>14</v>
      </c>
      <c r="B17" s="2784" t="s">
        <v>50</v>
      </c>
      <c r="C17" s="2784" t="s">
        <v>1049</v>
      </c>
      <c r="D17" s="2784" t="s">
        <v>1050</v>
      </c>
      <c r="E17" s="2784" t="s">
        <v>1051</v>
      </c>
      <c r="F17" s="1823"/>
      <c r="G17" s="1823"/>
      <c r="H17" s="2785"/>
      <c r="I17" s="2779"/>
      <c r="J17" s="1993"/>
      <c r="K17" s="1993"/>
      <c r="L17" s="1993"/>
      <c r="M17" s="1993"/>
      <c r="N17" s="1993"/>
      <c r="O17" s="1993"/>
      <c r="P17" s="1993"/>
      <c r="Q17" s="1993"/>
      <c r="R17" s="1993"/>
      <c r="S17" s="1993"/>
      <c r="T17" s="1993"/>
      <c r="U17" s="1993"/>
      <c r="V17" s="1993"/>
      <c r="W17" s="1993"/>
      <c r="X17" s="1993"/>
      <c r="Y17" s="1993"/>
      <c r="Z17" s="2777"/>
    </row>
    <row r="18" spans="1:26" s="11" customFormat="1" ht="22.05" customHeight="1" x14ac:dyDescent="0.3">
      <c r="A18" s="2786">
        <v>15</v>
      </c>
      <c r="B18" s="2787" t="s">
        <v>655</v>
      </c>
      <c r="C18" s="2787" t="s">
        <v>1052</v>
      </c>
      <c r="D18" s="2787" t="s">
        <v>1053</v>
      </c>
      <c r="E18" s="2787" t="s">
        <v>1054</v>
      </c>
      <c r="F18" s="2788"/>
      <c r="G18" s="2788"/>
      <c r="H18" s="2789"/>
      <c r="I18" s="2779"/>
      <c r="J18" s="1993"/>
      <c r="K18" s="1993"/>
      <c r="L18" s="1993"/>
      <c r="M18" s="1993"/>
      <c r="N18" s="1993"/>
      <c r="O18" s="1993"/>
      <c r="P18" s="1993"/>
      <c r="Q18" s="1993"/>
      <c r="R18" s="1993"/>
      <c r="S18" s="1993"/>
      <c r="T18" s="1993"/>
      <c r="U18" s="1993"/>
      <c r="V18" s="1993"/>
      <c r="W18" s="1993"/>
      <c r="X18" s="1993"/>
      <c r="Y18" s="1993"/>
      <c r="Z18" s="2777"/>
    </row>
    <row r="19" spans="1:26" s="11" customFormat="1" ht="22.05" customHeight="1" x14ac:dyDescent="0.3">
      <c r="A19" s="2783">
        <v>16</v>
      </c>
      <c r="B19" s="2784" t="s">
        <v>642</v>
      </c>
      <c r="C19" s="2784" t="s">
        <v>1055</v>
      </c>
      <c r="D19" s="2784" t="s">
        <v>1056</v>
      </c>
      <c r="E19" s="2784" t="s">
        <v>1057</v>
      </c>
      <c r="F19" s="1823"/>
      <c r="G19" s="1823"/>
      <c r="H19" s="2785"/>
      <c r="I19" s="2779"/>
      <c r="J19" s="1993"/>
      <c r="K19" s="1993"/>
      <c r="L19" s="1993"/>
      <c r="M19" s="1993"/>
      <c r="N19" s="1993"/>
      <c r="O19" s="1993"/>
      <c r="P19" s="1993"/>
      <c r="Q19" s="1993"/>
      <c r="R19" s="1993"/>
      <c r="S19" s="1993"/>
      <c r="T19" s="1993"/>
      <c r="U19" s="1993"/>
      <c r="V19" s="1993"/>
      <c r="W19" s="1993"/>
      <c r="X19" s="1993"/>
      <c r="Y19" s="1993"/>
      <c r="Z19" s="2777"/>
    </row>
    <row r="20" spans="1:26" s="11" customFormat="1" ht="22.05" customHeight="1" x14ac:dyDescent="0.3">
      <c r="A20" s="2786">
        <v>17</v>
      </c>
      <c r="B20" s="2787" t="s">
        <v>466</v>
      </c>
      <c r="C20" s="2787" t="s">
        <v>1058</v>
      </c>
      <c r="D20" s="2787" t="s">
        <v>1059</v>
      </c>
      <c r="E20" s="2787" t="s">
        <v>1060</v>
      </c>
      <c r="F20" s="2788"/>
      <c r="G20" s="2788"/>
      <c r="H20" s="2789"/>
      <c r="I20" s="2779"/>
      <c r="J20" s="1993"/>
      <c r="K20" s="1993"/>
      <c r="L20" s="1993"/>
      <c r="M20" s="1993"/>
      <c r="N20" s="1993"/>
      <c r="O20" s="1993"/>
      <c r="P20" s="1993"/>
      <c r="Q20" s="1993"/>
      <c r="R20" s="1993"/>
      <c r="S20" s="1993"/>
      <c r="T20" s="1993"/>
      <c r="U20" s="1993"/>
      <c r="V20" s="1993"/>
      <c r="W20" s="1993"/>
      <c r="X20" s="1993"/>
      <c r="Y20" s="1993"/>
      <c r="Z20" s="2777"/>
    </row>
    <row r="21" spans="1:26" s="11" customFormat="1" ht="22.05" customHeight="1" x14ac:dyDescent="0.3">
      <c r="A21" s="2783">
        <v>18</v>
      </c>
      <c r="B21" s="2784" t="s">
        <v>458</v>
      </c>
      <c r="C21" s="2784" t="s">
        <v>1061</v>
      </c>
      <c r="D21" s="2784" t="s">
        <v>1062</v>
      </c>
      <c r="E21" s="2784" t="s">
        <v>1063</v>
      </c>
      <c r="F21" s="1823"/>
      <c r="G21" s="1823"/>
      <c r="H21" s="2785"/>
      <c r="I21" s="2779"/>
      <c r="J21" s="1993"/>
      <c r="K21" s="1993"/>
      <c r="L21" s="1993"/>
      <c r="M21" s="1993"/>
      <c r="N21" s="1993"/>
      <c r="O21" s="1993"/>
      <c r="P21" s="1993"/>
      <c r="Q21" s="1993"/>
      <c r="R21" s="1993"/>
      <c r="S21" s="1993"/>
      <c r="T21" s="1993"/>
      <c r="U21" s="1993"/>
      <c r="V21" s="1993"/>
      <c r="W21" s="1993"/>
      <c r="X21" s="1993"/>
      <c r="Y21" s="1993"/>
      <c r="Z21" s="2777"/>
    </row>
    <row r="22" spans="1:26" s="11" customFormat="1" ht="22.05" customHeight="1" x14ac:dyDescent="0.3">
      <c r="A22" s="2786">
        <v>19</v>
      </c>
      <c r="B22" s="2787" t="s">
        <v>740</v>
      </c>
      <c r="C22" s="2787" t="s">
        <v>1064</v>
      </c>
      <c r="D22" s="2787" t="s">
        <v>1065</v>
      </c>
      <c r="E22" s="2787" t="s">
        <v>1066</v>
      </c>
      <c r="F22" s="2788"/>
      <c r="G22" s="2788"/>
      <c r="H22" s="2789"/>
      <c r="I22" s="2779"/>
      <c r="J22" s="1993"/>
      <c r="K22" s="1993"/>
      <c r="L22" s="1993"/>
      <c r="M22" s="1993"/>
      <c r="N22" s="1993"/>
      <c r="O22" s="1993"/>
      <c r="P22" s="1993"/>
      <c r="Q22" s="1993"/>
      <c r="R22" s="1993"/>
      <c r="S22" s="1993"/>
      <c r="T22" s="1993"/>
      <c r="U22" s="1993"/>
      <c r="V22" s="1993"/>
      <c r="W22" s="1993"/>
      <c r="X22" s="1993"/>
      <c r="Y22" s="1993"/>
      <c r="Z22" s="2777"/>
    </row>
    <row r="23" spans="1:26" s="11" customFormat="1" ht="22.05" customHeight="1" x14ac:dyDescent="0.3">
      <c r="A23" s="2783">
        <v>20</v>
      </c>
      <c r="B23" s="2784" t="s">
        <v>502</v>
      </c>
      <c r="C23" s="2784" t="s">
        <v>1067</v>
      </c>
      <c r="D23" s="2784" t="s">
        <v>1068</v>
      </c>
      <c r="E23" s="2784" t="s">
        <v>1069</v>
      </c>
      <c r="F23" s="1823"/>
      <c r="G23" s="1823"/>
      <c r="H23" s="2785"/>
      <c r="I23" s="2779"/>
      <c r="J23" s="1993"/>
      <c r="K23" s="1993"/>
      <c r="L23" s="1993"/>
      <c r="M23" s="1993"/>
      <c r="N23" s="1993"/>
      <c r="O23" s="1993"/>
      <c r="P23" s="1993"/>
      <c r="Q23" s="1993"/>
      <c r="R23" s="1993"/>
      <c r="S23" s="1993"/>
      <c r="T23" s="1993"/>
      <c r="U23" s="1993"/>
      <c r="V23" s="1993"/>
      <c r="W23" s="1993"/>
      <c r="X23" s="1993"/>
      <c r="Y23" s="1993"/>
      <c r="Z23" s="2777"/>
    </row>
    <row r="24" spans="1:26" s="11" customFormat="1" ht="42" customHeight="1" x14ac:dyDescent="0.3">
      <c r="A24" s="2790">
        <v>1</v>
      </c>
      <c r="B24" s="2791" t="s">
        <v>495</v>
      </c>
      <c r="C24" s="2791" t="s">
        <v>1070</v>
      </c>
      <c r="D24" s="2791" t="s">
        <v>1071</v>
      </c>
      <c r="E24" s="2791" t="s">
        <v>1072</v>
      </c>
      <c r="F24" s="2792" t="s">
        <v>1073</v>
      </c>
      <c r="G24" s="2792"/>
      <c r="H24" s="2793"/>
      <c r="I24" s="2780"/>
      <c r="J24" s="1994"/>
      <c r="K24" s="1994"/>
      <c r="L24" s="1994"/>
      <c r="M24" s="1994"/>
      <c r="N24" s="1994"/>
      <c r="O24" s="1994"/>
      <c r="P24" s="1994"/>
      <c r="Q24" s="1994"/>
      <c r="R24" s="1994"/>
      <c r="S24" s="1994"/>
      <c r="T24" s="1994"/>
      <c r="U24" s="1994"/>
      <c r="V24" s="1994"/>
      <c r="W24" s="1994"/>
      <c r="X24" s="1994"/>
      <c r="Y24" s="1994"/>
      <c r="Z24" s="2778"/>
    </row>
    <row r="25" spans="1:26" s="11" customFormat="1" ht="37.950000000000003" customHeight="1" x14ac:dyDescent="0.3">
      <c r="A25" s="18"/>
    </row>
  </sheetData>
  <mergeCells count="2">
    <mergeCell ref="A3:Z3"/>
    <mergeCell ref="A1:Z1"/>
  </mergeCells>
  <conditionalFormatting sqref="C5:C24">
    <cfRule type="expression" dxfId="565" priority="11">
      <formula>ISNUMBER(SEARCH("completa",C5))</formula>
    </cfRule>
    <cfRule type="expression" dxfId="564" priority="12">
      <formula>ISNUMBER(SEARCH("ejecutado",C5))</formula>
    </cfRule>
    <cfRule type="expression" dxfId="563" priority="13">
      <formula>ISNUMBER(SEARCH("sin ",C5))</formula>
    </cfRule>
    <cfRule type="expression" dxfId="562" priority="14">
      <formula>ISNUMBER(SEARCH("desierta",C5))</formula>
    </cfRule>
  </conditionalFormatting>
  <conditionalFormatting sqref="F5:F24">
    <cfRule type="expression" dxfId="561" priority="1">
      <formula>F5=1</formula>
    </cfRule>
    <cfRule type="expression" dxfId="560" priority="2">
      <formula>F5=0</formula>
    </cfRule>
    <cfRule type="expression" dxfId="559" priority="3">
      <formula>ISBLANK(F5)</formula>
    </cfRule>
  </conditionalFormatting>
  <conditionalFormatting sqref="G5:G24">
    <cfRule type="expression" dxfId="558" priority="4">
      <formula>ISNUMBER(SEARCH("verif",G5))</formula>
    </cfRule>
    <cfRule type="expression" dxfId="557" priority="5">
      <formula>ISNUMBER(SEARCH("pend",G5))</formula>
    </cfRule>
    <cfRule type="expression" dxfId="556" priority="6">
      <formula>ISNUMBER(SEARCH("proceso",G5))</formula>
    </cfRule>
    <cfRule type="expression" dxfId="555" priority="7">
      <formula>ISNUMBER(SEARCH("falt",G5))</formula>
    </cfRule>
    <cfRule type="expression" dxfId="554" priority="8">
      <formula>ISNUMBER(SEARCH("ausen",G5))</formula>
    </cfRule>
  </conditionalFormatting>
  <conditionalFormatting sqref="H5:H24">
    <cfRule type="expression" dxfId="553" priority="9">
      <formula>ISNUMBER(SEARCH("Vi=0",H5))</formula>
    </cfRule>
    <cfRule type="expression" dxfId="552" priority="10">
      <formula>ISNUMBER(SEARCH("Vi=1",H5))</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DEEAF1"/>
  </sheetPr>
  <dimension ref="A1:Z32"/>
  <sheetViews>
    <sheetView showGridLines="0" zoomScale="26" zoomScaleNormal="26" workbookViewId="0">
      <pane ySplit="3" topLeftCell="A4" activePane="bottomLeft" state="frozen"/>
      <selection pane="bottomLeft" activeCell="A2" sqref="A2"/>
    </sheetView>
  </sheetViews>
  <sheetFormatPr baseColWidth="10" defaultRowHeight="14.4" x14ac:dyDescent="0.3"/>
  <cols>
    <col min="1" max="1" width="30.5546875" style="4" customWidth="1"/>
    <col min="2" max="2" width="15.77734375" style="4" customWidth="1"/>
    <col min="3" max="3" width="31.44140625" style="4" customWidth="1"/>
    <col min="4" max="4" width="16.6640625" style="4" customWidth="1"/>
    <col min="5" max="5" width="25.88671875" style="4" customWidth="1"/>
    <col min="6" max="11" width="15.77734375" style="4" customWidth="1"/>
    <col min="12" max="13" width="16.6640625" style="4" customWidth="1"/>
    <col min="14" max="14" width="13.88671875" style="4" customWidth="1"/>
    <col min="15" max="16" width="15.77734375" style="4" customWidth="1"/>
    <col min="17" max="17" width="13.33203125" style="4" customWidth="1"/>
    <col min="18" max="18" width="12.5546875" style="4" customWidth="1"/>
    <col min="19" max="19" width="30.44140625" style="4" bestFit="1" customWidth="1"/>
    <col min="20" max="20" width="45.77734375" style="4" bestFit="1" customWidth="1"/>
    <col min="21" max="22" width="11.5546875" style="4" customWidth="1"/>
    <col min="23" max="25" width="11.5546875" style="4"/>
    <col min="26" max="26" width="8.5546875" style="4" bestFit="1" customWidth="1"/>
    <col min="27" max="16384" width="11.5546875" style="4"/>
  </cols>
  <sheetData>
    <row r="1" spans="1:26" ht="30" customHeight="1" x14ac:dyDescent="0.3">
      <c r="A1" s="3635" t="s">
        <v>4830</v>
      </c>
      <c r="B1" s="3546"/>
      <c r="C1" s="3546"/>
      <c r="D1" s="3546"/>
      <c r="E1" s="3546"/>
      <c r="F1" s="3546"/>
      <c r="G1" s="3546"/>
      <c r="H1" s="3546"/>
      <c r="I1" s="3546"/>
      <c r="J1" s="3546"/>
      <c r="K1" s="3546"/>
      <c r="L1" s="3546"/>
      <c r="M1" s="3546"/>
      <c r="N1" s="3546"/>
      <c r="O1" s="3546"/>
      <c r="P1" s="3546"/>
      <c r="Q1" s="3546"/>
      <c r="R1" s="3639"/>
      <c r="S1" s="3483"/>
      <c r="T1" s="3483"/>
      <c r="U1" s="3483"/>
      <c r="V1" s="3483"/>
      <c r="W1" s="3483"/>
      <c r="X1" s="3483"/>
      <c r="Y1" s="3483"/>
      <c r="Z1" s="3483"/>
    </row>
    <row r="2" spans="1:26" ht="24" customHeight="1" x14ac:dyDescent="0.3">
      <c r="A2" s="2717" t="str">
        <f>HYPERLINK("#'M-INDEX'!A1","⌂ INDICE")</f>
        <v>⌂ INDICE</v>
      </c>
      <c r="B2" s="2718" t="str">
        <f>HYPERLINK("#'M1-ITME'!A1","M1")</f>
        <v>M1</v>
      </c>
      <c r="C2" s="2718" t="str">
        <f>HYPERLINK("#'M2-PDOT'!A1","M2")</f>
        <v>M2</v>
      </c>
      <c r="D2" s="2718" t="str">
        <f>HYPERLINK("#'M3-MAO'!A1","M3")</f>
        <v>M3</v>
      </c>
      <c r="E2" s="2718" t="str">
        <f>HYPERLINK("#'M4-AUDIT'!A1","M4")</f>
        <v>M4</v>
      </c>
      <c r="F2" s="2718" t="str">
        <f>HYPERLINK("#'M5-ICPI'!A1","M5")</f>
        <v>M5</v>
      </c>
      <c r="G2" s="2718" t="str">
        <f>HYPERLINK("#'M6-FEDS'!A1","M6")</f>
        <v>M6</v>
      </c>
      <c r="H2" s="2718" t="str">
        <f>HYPERLINK("#'M7-PROSP'!A1","M7")</f>
        <v>M7</v>
      </c>
      <c r="I2" s="2718" t="str">
        <f>HYPERLINK("#'DATA-POA'!A1","DATA-POA")</f>
        <v>DATA-POA</v>
      </c>
      <c r="J2" s="2718" t="str">
        <f>HYPERLINK("#'DATA-CNE'!A1","DATA-CNE")</f>
        <v>DATA-CNE</v>
      </c>
      <c r="K2" s="2718" t="str">
        <f>HYPERLINK("#'DATA-ORG'!A1","DATA-ORG")</f>
        <v>DATA-ORG</v>
      </c>
      <c r="L2" s="2718" t="str">
        <f>HYPERLINK("#'M-DASHBOARD'!A1","DASH")</f>
        <v>DASH</v>
      </c>
      <c r="M2" s="2719"/>
      <c r="N2" s="2719"/>
      <c r="O2" s="2719"/>
      <c r="P2" s="2719"/>
      <c r="Q2" s="2719"/>
      <c r="R2" s="2720"/>
      <c r="S2" s="1084"/>
      <c r="T2" s="1084"/>
      <c r="U2" s="1084"/>
      <c r="V2" s="1084"/>
      <c r="W2" s="1084"/>
      <c r="X2" s="1084"/>
      <c r="Y2" s="1084"/>
      <c r="Z2" s="1084"/>
    </row>
    <row r="3" spans="1:26" ht="22.05" customHeight="1" thickBot="1" x14ac:dyDescent="0.35">
      <c r="A3" s="3631" t="s">
        <v>4232</v>
      </c>
      <c r="B3" s="3464"/>
      <c r="C3" s="3464"/>
      <c r="D3" s="3464"/>
      <c r="E3" s="3464"/>
      <c r="F3" s="3464"/>
      <c r="G3" s="3464"/>
      <c r="H3" s="3464"/>
      <c r="I3" s="3464"/>
      <c r="J3" s="3464"/>
      <c r="K3" s="3464"/>
      <c r="L3" s="3464"/>
      <c r="M3" s="3464"/>
      <c r="N3" s="3464"/>
      <c r="O3" s="3464"/>
      <c r="P3" s="3464"/>
      <c r="Q3" s="3464"/>
      <c r="R3" s="3532"/>
      <c r="S3" s="3608"/>
      <c r="T3" s="3608"/>
      <c r="U3" s="3608"/>
      <c r="V3" s="3608"/>
      <c r="W3" s="3608"/>
      <c r="X3" s="3608"/>
      <c r="Y3" s="3608"/>
      <c r="Z3" s="3608"/>
    </row>
    <row r="4" spans="1:26" s="17" customFormat="1" ht="37.950000000000003" customHeight="1" thickTop="1" x14ac:dyDescent="0.3">
      <c r="A4" s="2721" t="s">
        <v>892</v>
      </c>
      <c r="B4" s="1869" t="s">
        <v>687</v>
      </c>
      <c r="C4" s="1869" t="s">
        <v>893</v>
      </c>
      <c r="D4" s="1869" t="s">
        <v>1074</v>
      </c>
      <c r="E4" s="1869" t="s">
        <v>1075</v>
      </c>
      <c r="F4" s="2738" t="s">
        <v>1076</v>
      </c>
      <c r="G4" s="2738" t="s">
        <v>1077</v>
      </c>
      <c r="H4" s="2738" t="s">
        <v>1078</v>
      </c>
      <c r="I4" s="2738" t="s">
        <v>1079</v>
      </c>
      <c r="J4" s="2738" t="s">
        <v>1080</v>
      </c>
      <c r="K4" s="2738" t="s">
        <v>1081</v>
      </c>
      <c r="L4" s="2738" t="s">
        <v>1082</v>
      </c>
      <c r="M4" s="2738" t="s">
        <v>1083</v>
      </c>
      <c r="N4" s="2738" t="s">
        <v>1084</v>
      </c>
      <c r="O4" s="2738" t="s">
        <v>1085</v>
      </c>
      <c r="P4" s="2738" t="s">
        <v>1086</v>
      </c>
      <c r="Q4" s="2723" t="s">
        <v>1087</v>
      </c>
      <c r="R4" s="2724" t="s">
        <v>1088</v>
      </c>
      <c r="S4" s="2059" t="s">
        <v>1089</v>
      </c>
      <c r="T4" s="694" t="s">
        <v>1090</v>
      </c>
      <c r="U4" s="694"/>
      <c r="V4" s="694"/>
      <c r="W4" s="694"/>
      <c r="X4" s="694"/>
      <c r="Y4" s="694"/>
      <c r="Z4" s="2699"/>
    </row>
    <row r="5" spans="1:26" s="19" customFormat="1" ht="22.05" customHeight="1" x14ac:dyDescent="0.3">
      <c r="A5" s="2748" t="s">
        <v>495</v>
      </c>
      <c r="B5" s="2725" t="s">
        <v>19</v>
      </c>
      <c r="C5" s="2753" t="s">
        <v>775</v>
      </c>
      <c r="D5" s="2726" t="s">
        <v>1091</v>
      </c>
      <c r="E5" s="2753" t="s">
        <v>1092</v>
      </c>
      <c r="F5" s="2756"/>
      <c r="G5" s="2756"/>
      <c r="H5" s="2756"/>
      <c r="I5" s="2756"/>
      <c r="J5" s="2756"/>
      <c r="K5" s="2756"/>
      <c r="L5" s="2756">
        <v>45625014</v>
      </c>
      <c r="M5" s="2756">
        <v>45625014</v>
      </c>
      <c r="N5" s="2756">
        <v>0</v>
      </c>
      <c r="O5" s="2756">
        <f>IF(G5+J5&gt;0, G5+J5, 38781262)</f>
        <v>38781262</v>
      </c>
      <c r="P5" s="2756">
        <f>IF(H5+K5&gt;0, H5+K5, 36842199)</f>
        <v>36842199</v>
      </c>
      <c r="Q5" s="2757">
        <f t="shared" ref="Q5:Q25" si="0">IFERROR(O5/M5,0)</f>
        <v>0.85000000219178018</v>
      </c>
      <c r="R5" s="2758">
        <v>0.95</v>
      </c>
      <c r="S5" s="2714" t="s">
        <v>1093</v>
      </c>
      <c r="T5" s="695" t="s">
        <v>1094</v>
      </c>
      <c r="U5" s="695"/>
      <c r="V5" s="695"/>
      <c r="W5" s="695"/>
      <c r="X5" s="695"/>
      <c r="Y5" s="695"/>
      <c r="Z5" s="2700"/>
    </row>
    <row r="6" spans="1:26" s="19" customFormat="1" ht="22.05" customHeight="1" x14ac:dyDescent="0.3">
      <c r="A6" s="2749" t="s">
        <v>509</v>
      </c>
      <c r="B6" s="2735" t="s">
        <v>19</v>
      </c>
      <c r="C6" s="2754" t="s">
        <v>776</v>
      </c>
      <c r="D6" s="2727" t="s">
        <v>1091</v>
      </c>
      <c r="E6" s="2754" t="s">
        <v>1092</v>
      </c>
      <c r="F6" s="2739"/>
      <c r="G6" s="2739"/>
      <c r="H6" s="2739"/>
      <c r="I6" s="2739"/>
      <c r="J6" s="2739"/>
      <c r="K6" s="2739"/>
      <c r="L6" s="2739">
        <v>1269859</v>
      </c>
      <c r="M6" s="2739">
        <v>1269859</v>
      </c>
      <c r="N6" s="2739">
        <v>0</v>
      </c>
      <c r="O6" s="2739">
        <f>IF(G6+J6&gt;0, G6+J6, 952394)</f>
        <v>952394</v>
      </c>
      <c r="P6" s="2739">
        <f>IF(H6+K6&gt;0, H6+K6, 904774)</f>
        <v>904774</v>
      </c>
      <c r="Q6" s="2747">
        <f t="shared" si="0"/>
        <v>0.74999980312774883</v>
      </c>
      <c r="R6" s="2759">
        <v>0.95</v>
      </c>
      <c r="S6" s="2715" t="s">
        <v>1093</v>
      </c>
      <c r="T6" s="2701" t="s">
        <v>1095</v>
      </c>
      <c r="U6" s="2332"/>
      <c r="V6" s="2332"/>
      <c r="W6" s="2332"/>
      <c r="X6" s="2332"/>
      <c r="Y6" s="2332"/>
      <c r="Z6" s="2702"/>
    </row>
    <row r="7" spans="1:26" s="19" customFormat="1" ht="22.05" customHeight="1" x14ac:dyDescent="0.3">
      <c r="A7" s="2689" t="s">
        <v>43</v>
      </c>
      <c r="B7" s="2737" t="s">
        <v>22</v>
      </c>
      <c r="C7" s="2755" t="s">
        <v>777</v>
      </c>
      <c r="D7" s="2728" t="s">
        <v>1091</v>
      </c>
      <c r="E7" s="2755" t="s">
        <v>1096</v>
      </c>
      <c r="F7" s="2740"/>
      <c r="G7" s="2740"/>
      <c r="H7" s="2740"/>
      <c r="I7" s="2740">
        <v>131323.59</v>
      </c>
      <c r="J7" s="2740">
        <v>62560.59</v>
      </c>
      <c r="K7" s="2740">
        <v>35575.089999999997</v>
      </c>
      <c r="L7" s="2740">
        <v>1693800</v>
      </c>
      <c r="M7" s="2740">
        <v>131323.59</v>
      </c>
      <c r="N7" s="2740">
        <v>0</v>
      </c>
      <c r="O7" s="2740">
        <f>IF(G7+J7&gt;0, G7+J7, 169380)</f>
        <v>62560.59</v>
      </c>
      <c r="P7" s="2740">
        <f>IF(H7+K7&gt;0, H7+K7, 160911)</f>
        <v>35575.089999999997</v>
      </c>
      <c r="Q7" s="2760">
        <f t="shared" si="0"/>
        <v>0.47638501201497763</v>
      </c>
      <c r="R7" s="2761">
        <v>0.95</v>
      </c>
      <c r="S7" s="2063" t="s">
        <v>1097</v>
      </c>
      <c r="T7" s="1861" t="s">
        <v>3925</v>
      </c>
      <c r="U7" s="2332"/>
      <c r="V7" s="2332"/>
      <c r="W7" s="2332"/>
      <c r="X7" s="2332"/>
      <c r="Y7" s="2332"/>
      <c r="Z7" s="2702"/>
    </row>
    <row r="8" spans="1:26" s="19" customFormat="1" ht="22.05" customHeight="1" x14ac:dyDescent="0.3">
      <c r="A8" s="2749" t="s">
        <v>715</v>
      </c>
      <c r="B8" s="2735" t="s">
        <v>19</v>
      </c>
      <c r="C8" s="2754" t="s">
        <v>778</v>
      </c>
      <c r="D8" s="2727" t="s">
        <v>1091</v>
      </c>
      <c r="E8" s="2754" t="s">
        <v>1092</v>
      </c>
      <c r="F8" s="2739"/>
      <c r="G8" s="2739"/>
      <c r="H8" s="2739"/>
      <c r="I8" s="2739"/>
      <c r="J8" s="2739"/>
      <c r="K8" s="2739"/>
      <c r="L8" s="2739">
        <v>1693800</v>
      </c>
      <c r="M8" s="2739">
        <v>1693800</v>
      </c>
      <c r="N8" s="2739">
        <v>0</v>
      </c>
      <c r="O8" s="2739">
        <f>IF(G8+J8&gt;0, G8+J8, 338760)</f>
        <v>338760</v>
      </c>
      <c r="P8" s="2739">
        <f>IF(H8+K8&gt;0, H8+K8, 321822)</f>
        <v>321822</v>
      </c>
      <c r="Q8" s="2747">
        <f t="shared" si="0"/>
        <v>0.2</v>
      </c>
      <c r="R8" s="2759">
        <v>0.95</v>
      </c>
      <c r="S8" s="2715" t="s">
        <v>1093</v>
      </c>
      <c r="T8" s="2701" t="s">
        <v>1098</v>
      </c>
      <c r="U8" s="2332"/>
      <c r="V8" s="2332"/>
      <c r="W8" s="2332"/>
      <c r="X8" s="2332"/>
      <c r="Y8" s="2332"/>
      <c r="Z8" s="2702"/>
    </row>
    <row r="9" spans="1:26" s="19" customFormat="1" ht="22.05" customHeight="1" x14ac:dyDescent="0.3">
      <c r="A9" s="2689" t="s">
        <v>57</v>
      </c>
      <c r="B9" s="2737" t="s">
        <v>19</v>
      </c>
      <c r="C9" s="2755" t="s">
        <v>779</v>
      </c>
      <c r="D9" s="2728" t="s">
        <v>1091</v>
      </c>
      <c r="E9" s="2755" t="s">
        <v>1092</v>
      </c>
      <c r="F9" s="2740"/>
      <c r="G9" s="2740"/>
      <c r="H9" s="2740"/>
      <c r="I9" s="2740"/>
      <c r="J9" s="2740"/>
      <c r="K9" s="2740"/>
      <c r="L9" s="2740">
        <v>1693800</v>
      </c>
      <c r="M9" s="2740">
        <v>1693800</v>
      </c>
      <c r="N9" s="2740">
        <v>0</v>
      </c>
      <c r="O9" s="2740">
        <f>IF(G9+J9&gt;0, G9+J9, 0)</f>
        <v>0</v>
      </c>
      <c r="P9" s="2740">
        <f>IF(H9+K9&gt;0, H9+K9, 0)</f>
        <v>0</v>
      </c>
      <c r="Q9" s="2760">
        <f t="shared" si="0"/>
        <v>0</v>
      </c>
      <c r="R9" s="2761">
        <v>0</v>
      </c>
      <c r="S9" s="2063" t="s">
        <v>1093</v>
      </c>
      <c r="T9" s="1861" t="s">
        <v>1099</v>
      </c>
      <c r="U9" s="2332"/>
      <c r="V9" s="2332"/>
      <c r="W9" s="2332"/>
      <c r="X9" s="2332"/>
      <c r="Y9" s="2332"/>
      <c r="Z9" s="2702"/>
    </row>
    <row r="10" spans="1:26" s="19" customFormat="1" ht="22.05" customHeight="1" x14ac:dyDescent="0.3">
      <c r="A10" s="2749" t="s">
        <v>721</v>
      </c>
      <c r="B10" s="2735" t="s">
        <v>22</v>
      </c>
      <c r="C10" s="2754" t="s">
        <v>780</v>
      </c>
      <c r="D10" s="2727" t="s">
        <v>1091</v>
      </c>
      <c r="E10" s="2754" t="s">
        <v>1100</v>
      </c>
      <c r="F10" s="2739"/>
      <c r="G10" s="2739"/>
      <c r="H10" s="2739"/>
      <c r="I10" s="2739">
        <v>47675.16</v>
      </c>
      <c r="J10" s="2739">
        <v>16035.7</v>
      </c>
      <c r="K10" s="2739">
        <v>16035.7</v>
      </c>
      <c r="L10" s="2739">
        <v>0</v>
      </c>
      <c r="M10" s="2739">
        <v>47675.16</v>
      </c>
      <c r="N10" s="2739">
        <v>0</v>
      </c>
      <c r="O10" s="2739">
        <f>IF(G10+J10&gt;0, G10+J10, 16035.7)</f>
        <v>16035.7</v>
      </c>
      <c r="P10" s="2739">
        <f>IF(H10+K10&gt;0, H10+K10, 16035.7)</f>
        <v>16035.7</v>
      </c>
      <c r="Q10" s="2747">
        <f t="shared" si="0"/>
        <v>0.33635335466100164</v>
      </c>
      <c r="R10" s="2759">
        <v>0</v>
      </c>
      <c r="S10" s="2715" t="s">
        <v>1097</v>
      </c>
      <c r="T10" s="2701" t="s">
        <v>1094</v>
      </c>
      <c r="U10" s="2332"/>
      <c r="V10" s="2332"/>
      <c r="W10" s="2332"/>
      <c r="X10" s="2332"/>
      <c r="Y10" s="2332"/>
      <c r="Z10" s="2702"/>
    </row>
    <row r="11" spans="1:26" s="19" customFormat="1" ht="22.05" customHeight="1" x14ac:dyDescent="0.3">
      <c r="A11" s="2689" t="s">
        <v>546</v>
      </c>
      <c r="B11" s="2737" t="s">
        <v>19</v>
      </c>
      <c r="C11" s="2755" t="s">
        <v>781</v>
      </c>
      <c r="D11" s="2728" t="s">
        <v>1091</v>
      </c>
      <c r="E11" s="2755" t="s">
        <v>1101</v>
      </c>
      <c r="F11" s="2740"/>
      <c r="G11" s="2740"/>
      <c r="H11" s="2740"/>
      <c r="I11" s="2740"/>
      <c r="J11" s="2740"/>
      <c r="K11" s="2740"/>
      <c r="L11" s="2740">
        <v>10892761</v>
      </c>
      <c r="M11" s="2740">
        <v>10892761</v>
      </c>
      <c r="N11" s="2740">
        <v>0</v>
      </c>
      <c r="O11" s="2740">
        <f>IF(G11+J11&gt;0, G11+J11, 9803485)</f>
        <v>9803485</v>
      </c>
      <c r="P11" s="2740">
        <f>IF(H11+K11&gt;0, H11+K11, 9313311)</f>
        <v>9313311</v>
      </c>
      <c r="Q11" s="2760">
        <f t="shared" si="0"/>
        <v>0.9000000091804089</v>
      </c>
      <c r="R11" s="2761">
        <v>0.95</v>
      </c>
      <c r="S11" s="2063" t="s">
        <v>1093</v>
      </c>
      <c r="T11" s="1861" t="s">
        <v>1094</v>
      </c>
      <c r="U11" s="2332"/>
      <c r="V11" s="2332"/>
      <c r="W11" s="2332"/>
      <c r="X11" s="2332"/>
      <c r="Y11" s="2332"/>
      <c r="Z11" s="2702"/>
    </row>
    <row r="12" spans="1:26" s="19" customFormat="1" ht="22.05" customHeight="1" x14ac:dyDescent="0.3">
      <c r="A12" s="2749" t="s">
        <v>47</v>
      </c>
      <c r="B12" s="2735" t="s">
        <v>22</v>
      </c>
      <c r="C12" s="2754" t="s">
        <v>782</v>
      </c>
      <c r="D12" s="2727" t="s">
        <v>1091</v>
      </c>
      <c r="E12" s="2754" t="s">
        <v>1102</v>
      </c>
      <c r="F12" s="2739"/>
      <c r="G12" s="2739"/>
      <c r="H12" s="2739"/>
      <c r="I12" s="2739">
        <v>80000</v>
      </c>
      <c r="J12" s="2739">
        <v>24836.44</v>
      </c>
      <c r="K12" s="2739">
        <v>24836.44</v>
      </c>
      <c r="L12" s="2739">
        <v>0</v>
      </c>
      <c r="M12" s="2739">
        <v>80000</v>
      </c>
      <c r="N12" s="2739">
        <v>0</v>
      </c>
      <c r="O12" s="2739">
        <f>IF(G12+J12&gt;0, G12+J12, 0)</f>
        <v>24836.44</v>
      </c>
      <c r="P12" s="2739">
        <f>IF(H12+K12&gt;0, H12+K12, 0)</f>
        <v>24836.44</v>
      </c>
      <c r="Q12" s="2747">
        <f t="shared" si="0"/>
        <v>0.3104555</v>
      </c>
      <c r="R12" s="2759">
        <v>0</v>
      </c>
      <c r="S12" s="2715" t="s">
        <v>1097</v>
      </c>
      <c r="T12" s="2701" t="s">
        <v>1103</v>
      </c>
      <c r="U12" s="2332"/>
      <c r="V12" s="2332"/>
      <c r="W12" s="2332"/>
      <c r="X12" s="2332"/>
      <c r="Y12" s="2332"/>
      <c r="Z12" s="2702"/>
    </row>
    <row r="13" spans="1:26" s="19" customFormat="1" ht="22.05" customHeight="1" x14ac:dyDescent="0.3">
      <c r="A13" s="2689" t="s">
        <v>518</v>
      </c>
      <c r="B13" s="2737" t="s">
        <v>25</v>
      </c>
      <c r="C13" s="2755" t="s">
        <v>1104</v>
      </c>
      <c r="D13" s="2728" t="s">
        <v>1091</v>
      </c>
      <c r="E13" s="2755" t="s">
        <v>1105</v>
      </c>
      <c r="F13" s="2740"/>
      <c r="G13" s="2740"/>
      <c r="H13" s="2740"/>
      <c r="I13" s="2740"/>
      <c r="J13" s="2740"/>
      <c r="K13" s="2740"/>
      <c r="L13" s="2740">
        <v>0</v>
      </c>
      <c r="M13" s="2740">
        <v>0</v>
      </c>
      <c r="N13" s="2740">
        <v>0</v>
      </c>
      <c r="O13" s="2740">
        <f>IF(G13+J13&gt;0, G13+J13, 0)</f>
        <v>0</v>
      </c>
      <c r="P13" s="2740">
        <f>IF(H13+K13&gt;0, H13+K13, 0)</f>
        <v>0</v>
      </c>
      <c r="Q13" s="2760">
        <f t="shared" si="0"/>
        <v>0</v>
      </c>
      <c r="R13" s="2761">
        <v>0</v>
      </c>
      <c r="S13" s="2063" t="s">
        <v>1106</v>
      </c>
      <c r="T13" s="1861" t="s">
        <v>1103</v>
      </c>
      <c r="U13" s="2332"/>
      <c r="V13" s="2332"/>
      <c r="W13" s="2332"/>
      <c r="X13" s="2332"/>
      <c r="Y13" s="2332"/>
      <c r="Z13" s="2702"/>
    </row>
    <row r="14" spans="1:26" s="19" customFormat="1" ht="22.05" customHeight="1" x14ac:dyDescent="0.3">
      <c r="A14" s="2749" t="s">
        <v>531</v>
      </c>
      <c r="B14" s="2735" t="s">
        <v>19</v>
      </c>
      <c r="C14" s="2754" t="s">
        <v>783</v>
      </c>
      <c r="D14" s="2727" t="s">
        <v>1091</v>
      </c>
      <c r="E14" s="2754" t="s">
        <v>1107</v>
      </c>
      <c r="F14" s="2739"/>
      <c r="G14" s="2739"/>
      <c r="H14" s="2739"/>
      <c r="I14" s="2739"/>
      <c r="J14" s="2739"/>
      <c r="K14" s="2739"/>
      <c r="L14" s="2739">
        <v>2588556</v>
      </c>
      <c r="M14" s="2739">
        <v>2588556</v>
      </c>
      <c r="N14" s="2739">
        <v>0</v>
      </c>
      <c r="O14" s="2739">
        <f>IF(G14+J14&gt;0, G14+J14, 1294278)</f>
        <v>1294278</v>
      </c>
      <c r="P14" s="2739">
        <f>IF(H14+K14&gt;0, H14+K14, 1229564)</f>
        <v>1229564</v>
      </c>
      <c r="Q14" s="2747">
        <f t="shared" si="0"/>
        <v>0.5</v>
      </c>
      <c r="R14" s="2759">
        <v>0.95</v>
      </c>
      <c r="S14" s="2715" t="s">
        <v>1093</v>
      </c>
      <c r="T14" s="2701" t="s">
        <v>1103</v>
      </c>
      <c r="U14" s="2332"/>
      <c r="V14" s="2332"/>
      <c r="W14" s="2332"/>
      <c r="X14" s="2332"/>
      <c r="Y14" s="2332"/>
      <c r="Z14" s="2702"/>
    </row>
    <row r="15" spans="1:26" s="19" customFormat="1" ht="22.05" customHeight="1" x14ac:dyDescent="0.3">
      <c r="A15" s="2689" t="s">
        <v>53</v>
      </c>
      <c r="B15" s="2737" t="s">
        <v>22</v>
      </c>
      <c r="C15" s="2755" t="s">
        <v>784</v>
      </c>
      <c r="D15" s="2728" t="s">
        <v>1091</v>
      </c>
      <c r="E15" s="2755" t="s">
        <v>1108</v>
      </c>
      <c r="F15" s="2740"/>
      <c r="G15" s="2740"/>
      <c r="H15" s="2740"/>
      <c r="I15" s="2740">
        <v>10000</v>
      </c>
      <c r="J15" s="2740">
        <v>0</v>
      </c>
      <c r="K15" s="2740">
        <v>0</v>
      </c>
      <c r="L15" s="2740">
        <v>0</v>
      </c>
      <c r="M15" s="2740">
        <v>10000</v>
      </c>
      <c r="N15" s="2740">
        <v>0</v>
      </c>
      <c r="O15" s="2740">
        <f>IF(G15+J15&gt;0, G15+J15, 0)</f>
        <v>0</v>
      </c>
      <c r="P15" s="2740">
        <f>IF(H15+K15&gt;0, H15+K15, 0)</f>
        <v>0</v>
      </c>
      <c r="Q15" s="2760">
        <f t="shared" si="0"/>
        <v>0</v>
      </c>
      <c r="R15" s="2761">
        <v>0</v>
      </c>
      <c r="S15" s="2063" t="s">
        <v>1097</v>
      </c>
      <c r="T15" s="1861" t="s">
        <v>3926</v>
      </c>
      <c r="U15" s="2332"/>
      <c r="V15" s="2332"/>
      <c r="W15" s="2332"/>
      <c r="X15" s="2332"/>
      <c r="Y15" s="2332"/>
      <c r="Z15" s="2702"/>
    </row>
    <row r="16" spans="1:26" s="19" customFormat="1" ht="22.05" customHeight="1" x14ac:dyDescent="0.3">
      <c r="A16" s="2749" t="s">
        <v>486</v>
      </c>
      <c r="B16" s="2735" t="s">
        <v>25</v>
      </c>
      <c r="C16" s="2754" t="s">
        <v>785</v>
      </c>
      <c r="D16" s="2727" t="s">
        <v>1091</v>
      </c>
      <c r="E16" s="2754" t="s">
        <v>1109</v>
      </c>
      <c r="F16" s="2739"/>
      <c r="G16" s="2739"/>
      <c r="H16" s="2739"/>
      <c r="I16" s="2739"/>
      <c r="J16" s="2739"/>
      <c r="K16" s="2739"/>
      <c r="L16" s="2739">
        <v>748783</v>
      </c>
      <c r="M16" s="2739">
        <v>748783</v>
      </c>
      <c r="N16" s="2739">
        <v>0</v>
      </c>
      <c r="O16" s="2739">
        <f>IF(G16+J16&gt;0, G16+J16, 224635)</f>
        <v>224635</v>
      </c>
      <c r="P16" s="2739">
        <f>IF(H16+K16&gt;0, H16+K16, 213403)</f>
        <v>213403</v>
      </c>
      <c r="Q16" s="2747">
        <f t="shared" si="0"/>
        <v>0.30000013355004052</v>
      </c>
      <c r="R16" s="2759">
        <v>0.95</v>
      </c>
      <c r="S16" s="2715" t="s">
        <v>1106</v>
      </c>
      <c r="T16" s="2701" t="s">
        <v>1103</v>
      </c>
      <c r="U16" s="2332"/>
      <c r="V16" s="2332"/>
      <c r="W16" s="2332"/>
      <c r="X16" s="2332"/>
      <c r="Y16" s="2332"/>
      <c r="Z16" s="2702"/>
    </row>
    <row r="17" spans="1:26" s="19" customFormat="1" ht="22.05" customHeight="1" x14ac:dyDescent="0.3">
      <c r="A17" s="2689" t="s">
        <v>553</v>
      </c>
      <c r="B17" s="2737" t="s">
        <v>19</v>
      </c>
      <c r="C17" s="2755" t="s">
        <v>1110</v>
      </c>
      <c r="D17" s="2728" t="s">
        <v>1091</v>
      </c>
      <c r="E17" s="2755" t="s">
        <v>1111</v>
      </c>
      <c r="F17" s="2740"/>
      <c r="G17" s="2740"/>
      <c r="H17" s="2740"/>
      <c r="I17" s="2740"/>
      <c r="J17" s="2740"/>
      <c r="K17" s="2740"/>
      <c r="L17" s="2740">
        <v>10892761</v>
      </c>
      <c r="M17" s="2740">
        <v>10892761</v>
      </c>
      <c r="N17" s="2740">
        <v>0</v>
      </c>
      <c r="O17" s="2740">
        <f>IF(G17+J17&gt;0, G17+J17, 10892761)</f>
        <v>10892761</v>
      </c>
      <c r="P17" s="2740">
        <f>IF(H17+K17&gt;0, H17+K17, 10348123)</f>
        <v>10348123</v>
      </c>
      <c r="Q17" s="2760">
        <f t="shared" si="0"/>
        <v>1</v>
      </c>
      <c r="R17" s="2761">
        <v>0.95</v>
      </c>
      <c r="S17" s="2063" t="s">
        <v>1093</v>
      </c>
      <c r="T17" s="1861" t="s">
        <v>1094</v>
      </c>
      <c r="U17" s="2332"/>
      <c r="V17" s="2332"/>
      <c r="W17" s="2332"/>
      <c r="X17" s="2332"/>
      <c r="Y17" s="2332"/>
      <c r="Z17" s="2702"/>
    </row>
    <row r="18" spans="1:26" s="19" customFormat="1" ht="22.05" customHeight="1" x14ac:dyDescent="0.3">
      <c r="A18" s="2749" t="s">
        <v>50</v>
      </c>
      <c r="B18" s="2735" t="s">
        <v>22</v>
      </c>
      <c r="C18" s="2754" t="s">
        <v>1112</v>
      </c>
      <c r="D18" s="2727" t="s">
        <v>1091</v>
      </c>
      <c r="E18" s="2754" t="s">
        <v>1113</v>
      </c>
      <c r="F18" s="2739"/>
      <c r="G18" s="2739"/>
      <c r="H18" s="2739"/>
      <c r="I18" s="2739">
        <v>23000</v>
      </c>
      <c r="J18" s="2739">
        <v>9003</v>
      </c>
      <c r="K18" s="2739">
        <v>2572.69</v>
      </c>
      <c r="L18" s="2739">
        <v>117900</v>
      </c>
      <c r="M18" s="2739">
        <v>117900</v>
      </c>
      <c r="N18" s="2739">
        <v>0</v>
      </c>
      <c r="O18" s="2739">
        <f>IF(G18+J18&gt;0, G18+J18, 23580)</f>
        <v>9003</v>
      </c>
      <c r="P18" s="2739">
        <f>IF(H18+K18&gt;0, H18+K18, 22401)</f>
        <v>2572.69</v>
      </c>
      <c r="Q18" s="2747">
        <f t="shared" si="0"/>
        <v>7.6361323155216279E-2</v>
      </c>
      <c r="R18" s="2759">
        <v>0.95</v>
      </c>
      <c r="S18" s="2715" t="s">
        <v>1097</v>
      </c>
      <c r="T18" s="2701" t="s">
        <v>3927</v>
      </c>
      <c r="U18" s="2332"/>
      <c r="V18" s="2332"/>
      <c r="W18" s="2332"/>
      <c r="X18" s="2332"/>
      <c r="Y18" s="2332"/>
      <c r="Z18" s="2702"/>
    </row>
    <row r="19" spans="1:26" s="19" customFormat="1" ht="22.05" customHeight="1" x14ac:dyDescent="0.3">
      <c r="A19" s="2689" t="s">
        <v>655</v>
      </c>
      <c r="B19" s="2737" t="s">
        <v>31</v>
      </c>
      <c r="C19" s="2755" t="s">
        <v>786</v>
      </c>
      <c r="D19" s="2728" t="s">
        <v>1091</v>
      </c>
      <c r="E19" s="2755" t="s">
        <v>1114</v>
      </c>
      <c r="F19" s="2740"/>
      <c r="G19" s="2740"/>
      <c r="H19" s="2740"/>
      <c r="I19" s="2740"/>
      <c r="J19" s="2740"/>
      <c r="K19" s="2740"/>
      <c r="L19" s="2740">
        <v>636284</v>
      </c>
      <c r="M19" s="2740">
        <v>636284</v>
      </c>
      <c r="N19" s="2740">
        <v>0</v>
      </c>
      <c r="O19" s="2740">
        <f>IF(G19+J19&gt;0, G19+J19, 445399)</f>
        <v>445399</v>
      </c>
      <c r="P19" s="2740">
        <f>IF(H19+K19&gt;0, H19+K19, 422879)</f>
        <v>422879</v>
      </c>
      <c r="Q19" s="2760">
        <f t="shared" si="0"/>
        <v>0.70000031432504983</v>
      </c>
      <c r="R19" s="2761">
        <v>0</v>
      </c>
      <c r="S19" s="2063" t="s">
        <v>1115</v>
      </c>
      <c r="T19" s="1861" t="s">
        <v>1095</v>
      </c>
      <c r="U19" s="2332"/>
      <c r="V19" s="2332"/>
      <c r="W19" s="2332"/>
      <c r="X19" s="2332"/>
      <c r="Y19" s="2332"/>
      <c r="Z19" s="2702"/>
    </row>
    <row r="20" spans="1:26" s="19" customFormat="1" ht="22.05" customHeight="1" x14ac:dyDescent="0.3">
      <c r="A20" s="2749" t="s">
        <v>642</v>
      </c>
      <c r="B20" s="2735" t="s">
        <v>31</v>
      </c>
      <c r="C20" s="2754" t="s">
        <v>787</v>
      </c>
      <c r="D20" s="2727" t="s">
        <v>1091</v>
      </c>
      <c r="E20" s="2754" t="s">
        <v>1116</v>
      </c>
      <c r="F20" s="2739"/>
      <c r="G20" s="2739"/>
      <c r="H20" s="2739"/>
      <c r="I20" s="2739"/>
      <c r="J20" s="2739"/>
      <c r="K20" s="2739"/>
      <c r="L20" s="2739">
        <v>169100</v>
      </c>
      <c r="M20" s="2739">
        <v>169100</v>
      </c>
      <c r="N20" s="2739">
        <v>0</v>
      </c>
      <c r="O20" s="2739">
        <f>IF(G20+J20&gt;0, G20+J20, 169100)</f>
        <v>169100</v>
      </c>
      <c r="P20" s="2739">
        <f>IF(H20+K20&gt;0, H20+K20, 160645)</f>
        <v>160645</v>
      </c>
      <c r="Q20" s="2747">
        <f t="shared" si="0"/>
        <v>1</v>
      </c>
      <c r="R20" s="2759">
        <v>0</v>
      </c>
      <c r="S20" s="2715" t="s">
        <v>1115</v>
      </c>
      <c r="T20" s="2701" t="s">
        <v>1094</v>
      </c>
      <c r="U20" s="2332"/>
      <c r="V20" s="2332"/>
      <c r="W20" s="2332"/>
      <c r="X20" s="2332"/>
      <c r="Y20" s="2332"/>
      <c r="Z20" s="2702"/>
    </row>
    <row r="21" spans="1:26" s="19" customFormat="1" ht="22.05" customHeight="1" x14ac:dyDescent="0.3">
      <c r="A21" s="2689" t="s">
        <v>466</v>
      </c>
      <c r="B21" s="2737" t="s">
        <v>22</v>
      </c>
      <c r="C21" s="2755" t="s">
        <v>788</v>
      </c>
      <c r="D21" s="2728" t="s">
        <v>1091</v>
      </c>
      <c r="E21" s="2755" t="s">
        <v>1117</v>
      </c>
      <c r="F21" s="2740"/>
      <c r="G21" s="2740"/>
      <c r="H21" s="2740"/>
      <c r="I21" s="2740">
        <v>44796</v>
      </c>
      <c r="J21" s="2740">
        <v>24407.11</v>
      </c>
      <c r="K21" s="2740">
        <v>17120.61</v>
      </c>
      <c r="L21" s="2740">
        <v>0</v>
      </c>
      <c r="M21" s="2740">
        <v>44796</v>
      </c>
      <c r="N21" s="2740">
        <v>0</v>
      </c>
      <c r="O21" s="2740">
        <f>IF(G21+J21&gt;0, G21+J21, 0)</f>
        <v>24407.11</v>
      </c>
      <c r="P21" s="2740">
        <f>IF(H21+K21&gt;0, H21+K21, 0)</f>
        <v>17120.61</v>
      </c>
      <c r="Q21" s="2760">
        <f t="shared" si="0"/>
        <v>0.5448502098401643</v>
      </c>
      <c r="R21" s="2761">
        <v>0</v>
      </c>
      <c r="S21" s="2063" t="s">
        <v>1097</v>
      </c>
      <c r="T21" s="1861" t="s">
        <v>1103</v>
      </c>
      <c r="U21" s="2332"/>
      <c r="V21" s="2332"/>
      <c r="W21" s="2332"/>
      <c r="X21" s="2332"/>
      <c r="Y21" s="2332"/>
      <c r="Z21" s="2702"/>
    </row>
    <row r="22" spans="1:26" s="19" customFormat="1" ht="22.05" customHeight="1" x14ac:dyDescent="0.3">
      <c r="A22" s="2749" t="s">
        <v>458</v>
      </c>
      <c r="B22" s="2735" t="s">
        <v>27</v>
      </c>
      <c r="C22" s="2754" t="s">
        <v>789</v>
      </c>
      <c r="D22" s="2727" t="s">
        <v>1091</v>
      </c>
      <c r="E22" s="2754" t="s">
        <v>1118</v>
      </c>
      <c r="F22" s="2739"/>
      <c r="G22" s="2739"/>
      <c r="H22" s="2739"/>
      <c r="I22" s="2739"/>
      <c r="J22" s="2739"/>
      <c r="K22" s="2739"/>
      <c r="L22" s="2739">
        <v>0</v>
      </c>
      <c r="M22" s="2739">
        <v>0</v>
      </c>
      <c r="N22" s="2739">
        <v>0</v>
      </c>
      <c r="O22" s="2739">
        <f>IF(G22+J22&gt;0, G22+J22, 0)</f>
        <v>0</v>
      </c>
      <c r="P22" s="2739">
        <f>IF(H22+K22&gt;0, H22+K22, 0)</f>
        <v>0</v>
      </c>
      <c r="Q22" s="2747">
        <f t="shared" si="0"/>
        <v>0</v>
      </c>
      <c r="R22" s="2759">
        <v>0</v>
      </c>
      <c r="S22" s="2715" t="s">
        <v>1119</v>
      </c>
      <c r="T22" s="2701" t="s">
        <v>1103</v>
      </c>
      <c r="U22" s="2332"/>
      <c r="V22" s="2332"/>
      <c r="W22" s="2332"/>
      <c r="X22" s="2332"/>
      <c r="Y22" s="2332"/>
      <c r="Z22" s="2702"/>
    </row>
    <row r="23" spans="1:26" s="19" customFormat="1" ht="22.05" customHeight="1" x14ac:dyDescent="0.3">
      <c r="A23" s="2689" t="s">
        <v>740</v>
      </c>
      <c r="B23" s="2737" t="s">
        <v>19</v>
      </c>
      <c r="C23" s="2755" t="s">
        <v>1120</v>
      </c>
      <c r="D23" s="2728" t="s">
        <v>1091</v>
      </c>
      <c r="E23" s="2755" t="s">
        <v>1121</v>
      </c>
      <c r="F23" s="2740"/>
      <c r="G23" s="2740"/>
      <c r="H23" s="2740"/>
      <c r="I23" s="2740"/>
      <c r="J23" s="2740"/>
      <c r="K23" s="2740"/>
      <c r="L23" s="2740">
        <v>15600</v>
      </c>
      <c r="M23" s="2740">
        <v>15600</v>
      </c>
      <c r="N23" s="2740">
        <v>0</v>
      </c>
      <c r="O23" s="2740">
        <f>IF(G23+J23&gt;0, G23+J23, 15600)</f>
        <v>15600</v>
      </c>
      <c r="P23" s="2740">
        <f>IF(H23+K23&gt;0, H23+K23, 14820)</f>
        <v>14820</v>
      </c>
      <c r="Q23" s="2760">
        <f t="shared" si="0"/>
        <v>1</v>
      </c>
      <c r="R23" s="2761">
        <v>0.95</v>
      </c>
      <c r="S23" s="2063" t="s">
        <v>1093</v>
      </c>
      <c r="T23" s="1861" t="s">
        <v>1094</v>
      </c>
      <c r="U23" s="2332"/>
      <c r="V23" s="2332"/>
      <c r="W23" s="2332"/>
      <c r="X23" s="2332"/>
      <c r="Y23" s="2332"/>
      <c r="Z23" s="2702"/>
    </row>
    <row r="24" spans="1:26" s="19" customFormat="1" ht="22.05" customHeight="1" x14ac:dyDescent="0.3">
      <c r="A24" s="2749" t="s">
        <v>502</v>
      </c>
      <c r="B24" s="2735" t="s">
        <v>19</v>
      </c>
      <c r="C24" s="2754" t="s">
        <v>791</v>
      </c>
      <c r="D24" s="2727" t="s">
        <v>1091</v>
      </c>
      <c r="E24" s="2754" t="s">
        <v>1122</v>
      </c>
      <c r="F24" s="2739"/>
      <c r="G24" s="2739"/>
      <c r="H24" s="2739"/>
      <c r="I24" s="2739"/>
      <c r="J24" s="2739"/>
      <c r="K24" s="2739"/>
      <c r="L24" s="2739">
        <v>45625014</v>
      </c>
      <c r="M24" s="2739">
        <v>45625014</v>
      </c>
      <c r="N24" s="2739">
        <v>0</v>
      </c>
      <c r="O24" s="2739">
        <f>IF(G24+J24&gt;0, G24+J24, 11406254)</f>
        <v>11406254</v>
      </c>
      <c r="P24" s="2739">
        <f>IF(H24+K24&gt;0, H24+K24, 10835941)</f>
        <v>10835941</v>
      </c>
      <c r="Q24" s="2747">
        <f t="shared" si="0"/>
        <v>0.25000001095890073</v>
      </c>
      <c r="R24" s="2759">
        <v>0.95</v>
      </c>
      <c r="S24" s="2715" t="s">
        <v>1093</v>
      </c>
      <c r="T24" s="2701" t="s">
        <v>1098</v>
      </c>
      <c r="U24" s="2332"/>
      <c r="V24" s="2332"/>
      <c r="W24" s="2332"/>
      <c r="X24" s="2332"/>
      <c r="Y24" s="2332"/>
      <c r="Z24" s="2702"/>
    </row>
    <row r="25" spans="1:26" s="30" customFormat="1" ht="24" customHeight="1" x14ac:dyDescent="0.3">
      <c r="A25" s="2732" t="s">
        <v>1123</v>
      </c>
      <c r="B25" s="2733">
        <f>COUNTA(A5:A24)</f>
        <v>20</v>
      </c>
      <c r="C25" s="2734">
        <f>SUM(L5:L24)</f>
        <v>123663032</v>
      </c>
      <c r="D25" s="2734">
        <f>SUM(M5:M24)</f>
        <v>122283026.75</v>
      </c>
      <c r="E25" s="2734">
        <f>SUM(N5:N24)</f>
        <v>0</v>
      </c>
      <c r="F25" s="2762">
        <f t="shared" ref="F25:P25" si="1">SUM(F5:F24)</f>
        <v>0</v>
      </c>
      <c r="G25" s="2762">
        <f t="shared" si="1"/>
        <v>0</v>
      </c>
      <c r="H25" s="2762">
        <f t="shared" si="1"/>
        <v>0</v>
      </c>
      <c r="I25" s="2762">
        <f t="shared" si="1"/>
        <v>336794.75</v>
      </c>
      <c r="J25" s="2762">
        <f t="shared" si="1"/>
        <v>136842.84</v>
      </c>
      <c r="K25" s="2762">
        <f t="shared" si="1"/>
        <v>96140.53</v>
      </c>
      <c r="L25" s="2762">
        <f t="shared" si="1"/>
        <v>123663032</v>
      </c>
      <c r="M25" s="2762">
        <f t="shared" si="1"/>
        <v>122283026.75</v>
      </c>
      <c r="N25" s="2762">
        <f t="shared" si="1"/>
        <v>0</v>
      </c>
      <c r="O25" s="2762">
        <f t="shared" si="1"/>
        <v>74460770.840000004</v>
      </c>
      <c r="P25" s="2762">
        <f t="shared" si="1"/>
        <v>70703621.530000001</v>
      </c>
      <c r="Q25" s="2763">
        <f t="shared" si="0"/>
        <v>0.60892155533760539</v>
      </c>
      <c r="R25" s="2764">
        <f>IFERROR(P25/O25,0)</f>
        <v>0.94954189612039741</v>
      </c>
      <c r="S25" s="2716" t="str">
        <f>"ICPI-L="&amp;TEXT(Q25,"0.0%")&amp;" · Ti global acum. · n=20 metas"</f>
        <v>ICPI-L=61% · Ti global acum. · n=20 metas</v>
      </c>
      <c r="T25" s="2703"/>
      <c r="U25" s="2704"/>
      <c r="V25" s="2704"/>
      <c r="W25" s="2704"/>
      <c r="X25" s="2704"/>
      <c r="Y25" s="2704"/>
      <c r="Z25" s="2705"/>
    </row>
    <row r="26" spans="1:26" s="19" customFormat="1" ht="28.05" customHeight="1" x14ac:dyDescent="0.3">
      <c r="A26" s="3599" t="s">
        <v>1124</v>
      </c>
      <c r="B26" s="3552"/>
      <c r="C26" s="3552"/>
      <c r="D26" s="3552"/>
      <c r="E26" s="3552"/>
      <c r="F26" s="3552"/>
      <c r="G26" s="3552"/>
      <c r="H26" s="3552"/>
      <c r="I26" s="3552"/>
      <c r="J26" s="3552"/>
      <c r="K26" s="3552"/>
      <c r="L26" s="3552"/>
      <c r="M26" s="3552"/>
      <c r="N26" s="3552"/>
      <c r="O26" s="3552"/>
      <c r="P26" s="3552"/>
      <c r="Q26" s="3552"/>
      <c r="R26" s="3600"/>
      <c r="S26" s="3507"/>
      <c r="T26" s="3507"/>
      <c r="U26" s="3507"/>
      <c r="V26" s="3507"/>
      <c r="W26" s="3507"/>
      <c r="X26" s="3507"/>
      <c r="Y26" s="3507"/>
      <c r="Z26" s="3508"/>
    </row>
    <row r="27" spans="1:26" s="19" customFormat="1" ht="37.950000000000003" customHeight="1" x14ac:dyDescent="0.3">
      <c r="A27" s="2721" t="s">
        <v>28</v>
      </c>
      <c r="B27" s="2741" t="s">
        <v>1125</v>
      </c>
      <c r="C27" s="2738" t="s">
        <v>1126</v>
      </c>
      <c r="D27" s="2738" t="s">
        <v>1127</v>
      </c>
      <c r="E27" s="2738" t="s">
        <v>1128</v>
      </c>
      <c r="F27" s="2738" t="s">
        <v>1129</v>
      </c>
      <c r="G27" s="2738" t="s">
        <v>1130</v>
      </c>
      <c r="H27" s="2738" t="s">
        <v>1131</v>
      </c>
      <c r="I27" s="2738" t="s">
        <v>1132</v>
      </c>
      <c r="J27" s="2738" t="s">
        <v>1133</v>
      </c>
      <c r="K27" s="2738" t="s">
        <v>1134</v>
      </c>
      <c r="L27" s="2738" t="s">
        <v>1135</v>
      </c>
      <c r="M27" s="2723" t="s">
        <v>1136</v>
      </c>
      <c r="N27" s="2723" t="s">
        <v>1137</v>
      </c>
      <c r="O27" s="2722" t="s">
        <v>1138</v>
      </c>
      <c r="P27" s="2722" t="s">
        <v>1139</v>
      </c>
      <c r="Q27" s="2723" t="s">
        <v>1140</v>
      </c>
      <c r="R27" s="2724" t="s">
        <v>1141</v>
      </c>
      <c r="S27" s="2730"/>
      <c r="T27" s="2706"/>
      <c r="U27" s="2332"/>
      <c r="V27" s="2332"/>
      <c r="W27" s="2332"/>
      <c r="X27" s="2332"/>
      <c r="Y27" s="2332"/>
      <c r="Z27" s="2702"/>
    </row>
    <row r="28" spans="1:26" s="19" customFormat="1" ht="22.05" customHeight="1" x14ac:dyDescent="0.3">
      <c r="A28" s="2749" t="s">
        <v>19</v>
      </c>
      <c r="B28" s="2742">
        <f>COUNTIF($B$5:$B$24,A28)</f>
        <v>9</v>
      </c>
      <c r="C28" s="2739">
        <f>SUMIF($B$5:$B$24,A28,$L$5:$L$24)</f>
        <v>120297165</v>
      </c>
      <c r="D28" s="2739">
        <f>SUMIF($B$5:$B$24,A28,$M$5:$M$24)</f>
        <v>120297165</v>
      </c>
      <c r="E28" s="2739">
        <f>SUMIF($B$5:$B$24,A28,$O$5:$O$24)</f>
        <v>73484794</v>
      </c>
      <c r="F28" s="2739">
        <f>SUMIF($B$5:$B$24,A28,$G$5:$G$24)</f>
        <v>0</v>
      </c>
      <c r="G28" s="2739">
        <f>SUMIF($B$5:$B$24,A28,$H$5:$H$24)</f>
        <v>0</v>
      </c>
      <c r="H28" s="2739">
        <f>SUMIF($B$5:$B$24,A28,$I$5:$I$24)</f>
        <v>0</v>
      </c>
      <c r="I28" s="2739">
        <f>SUMIF($B$5:$B$24,A28,$J$5:$J$24)</f>
        <v>0</v>
      </c>
      <c r="J28" s="2739">
        <f>SUMIF($B$5:$B$24,A28,$K$5:$K$24)</f>
        <v>0</v>
      </c>
      <c r="K28" s="2739">
        <f>SUMIF($B$5:$B$24,A28,$M$5:$M$24)</f>
        <v>120297165</v>
      </c>
      <c r="L28" s="2739">
        <f>SUMIF($B$5:$B$24,A28,$P$5:$P$24)</f>
        <v>69810554</v>
      </c>
      <c r="M28" s="2746">
        <f>IFERROR(SUMIF($B$5:$B$24,A28,$O$5:$O$24)/SUMIF($B$5:$B$24,A28,$M$5:$M$24),0)</f>
        <v>0.61086056350538265</v>
      </c>
      <c r="N28" s="2747">
        <f>IFERROR(SUMIF($B$5:$B$24,A28,$P$5:$P$24)/SUMIF($B$5:$B$24,A28,$O$5:$O$24),0)</f>
        <v>0.94999999591752271</v>
      </c>
      <c r="O28" s="2768">
        <f>COUNTIFS($B$5:$B$24,A28,$Q$5:$Q$24,"&gt;="&amp;0.7)</f>
        <v>5</v>
      </c>
      <c r="P28" s="2768">
        <f>COUNTIFS($B$5:$B$24,A28,$Q$5:$Q$24,"&lt;0.3")</f>
        <v>0</v>
      </c>
      <c r="Q28" s="2736" t="str">
        <f>IF(M28&gt;=0.7,"🟢 BAJO",IF(M28&gt;=0.4,"🟡 MEDIO",IF(M28&gt;0,"🟠 ALTO","🔴 CRÍTICO")))</f>
        <v>🟡 MEDIO</v>
      </c>
      <c r="R28" s="2769" t="str">
        <f>COUNTIFS($B$5:$B$24,A28,$Q$5:$Q$24,"&gt;="&amp;0.7)&amp;"✅ / "&amp;COUNTIFS($B$5:$B$24,A28,$Q$5:$Q$24,"&gt;="&amp;0.3,$Q$5:$Q$24,"&lt;0.7")&amp;"️🟡 / "&amp;COUNTIFS($B$5:$B$24,A28,$Q$5:$Q$24,"&lt;0.3")&amp;"🔴"</f>
        <v>5✅ / 0️🟡 / 0🔴</v>
      </c>
      <c r="S28" s="2063"/>
      <c r="T28" s="1861"/>
      <c r="U28" s="2332"/>
      <c r="V28" s="2332"/>
      <c r="W28" s="2332"/>
      <c r="X28" s="2332"/>
      <c r="Y28" s="2332"/>
      <c r="Z28" s="2702"/>
    </row>
    <row r="29" spans="1:26" ht="22.05" customHeight="1" x14ac:dyDescent="0.3">
      <c r="A29" s="2750" t="s">
        <v>22</v>
      </c>
      <c r="B29" s="2743">
        <f>COUNTIF($B$5:$B$24,A29)</f>
        <v>6</v>
      </c>
      <c r="C29" s="2740">
        <f>SUMIF($B$5:$B$24,A29,$L$5:$L$24)</f>
        <v>1811700</v>
      </c>
      <c r="D29" s="2740">
        <f>SUMIF($B$5:$B$24,A29,$M$5:$M$24)</f>
        <v>431694.75</v>
      </c>
      <c r="E29" s="2740">
        <f>SUMIF($B$5:$B$24,A29,$O$5:$O$24)</f>
        <v>136842.84</v>
      </c>
      <c r="F29" s="2740">
        <f>SUMIF($B$5:$B$24,A29,$G$5:$G$24)</f>
        <v>0</v>
      </c>
      <c r="G29" s="2740">
        <f>SUMIF($B$5:$B$24,A29,$H$5:$H$24)</f>
        <v>0</v>
      </c>
      <c r="H29" s="2740">
        <f>SUMIF($B$5:$B$24,A29,$I$5:$I$24)</f>
        <v>336794.75</v>
      </c>
      <c r="I29" s="2740">
        <f>SUMIF($B$5:$B$24,A29,$J$5:$J$24)</f>
        <v>136842.84</v>
      </c>
      <c r="J29" s="2740">
        <f>SUMIF($B$5:$B$24,A29,$K$5:$K$24)</f>
        <v>96140.53</v>
      </c>
      <c r="K29" s="2740">
        <f>SUMIF($B$5:$B$24,A29,$M$5:$M$24)</f>
        <v>431694.75</v>
      </c>
      <c r="L29" s="2740">
        <f>SUMIF($B$5:$B$24,A29,$P$5:$P$24)</f>
        <v>96140.53</v>
      </c>
      <c r="M29" s="2765">
        <f>IFERROR(SUMIF($B$5:$B$24,A29,$O$5:$O$24)/SUMIF($B$5:$B$24,A29,$M$5:$M$24),0)</f>
        <v>0.31698981745782173</v>
      </c>
      <c r="N29" s="2760">
        <f>IFERROR(SUMIF($B$5:$B$24,A29,$P$5:$P$24)/SUMIF($B$5:$B$24,A29,$O$5:$O$24),0)</f>
        <v>0.7025616393228904</v>
      </c>
      <c r="O29" s="2770">
        <f>COUNTIFS($B$5:$B$24,A29,$Q$5:$Q$24,"&gt;="&amp;0.7)</f>
        <v>0</v>
      </c>
      <c r="P29" s="2770">
        <f>COUNTIFS($B$5:$B$24,A29,$Q$5:$Q$24,"&lt;0.3")</f>
        <v>0</v>
      </c>
      <c r="Q29" s="2771" t="str">
        <f>IF(M29&gt;=0.7,"🟢 BAJO",IF(M29&gt;=0.4,"🟡 MEDIO",IF(M29&gt;0,"🟠 ALTO","🔴 CRÍTICO")))</f>
        <v>🟠 ALTO</v>
      </c>
      <c r="R29" s="2772" t="str">
        <f>COUNTIFS($B$5:$B$24,A29,$Q$5:$Q$24,"&gt;="&amp;0.7)&amp;"✅ / "&amp;COUNTIFS($B$5:$B$24,A29,$Q$5:$Q$24,"&gt;="&amp;0.3,$Q$5:$Q$24,"&lt;0.7")&amp;"️🟡 / "&amp;COUNTIFS($B$5:$B$24,A29,$Q$5:$Q$24,"&lt;0.3")&amp;"🔴"</f>
        <v>0✅ / 0️🟡 / 0🔴</v>
      </c>
      <c r="S29" s="2715"/>
      <c r="T29" s="2701"/>
      <c r="U29" s="2332"/>
      <c r="V29" s="2332"/>
      <c r="W29" s="2332"/>
      <c r="X29" s="2332"/>
      <c r="Y29" s="2332"/>
      <c r="Z29" s="2702"/>
    </row>
    <row r="30" spans="1:26" ht="22.05" customHeight="1" x14ac:dyDescent="0.3">
      <c r="A30" s="2751" t="s">
        <v>25</v>
      </c>
      <c r="B30" s="2742">
        <f>COUNTIF($B$5:$B$24,A30)</f>
        <v>2</v>
      </c>
      <c r="C30" s="2739">
        <f>SUMIF($B$5:$B$24,A30,$L$5:$L$24)</f>
        <v>748783</v>
      </c>
      <c r="D30" s="2739">
        <f>SUMIF($B$5:$B$24,A30,$M$5:$M$24)</f>
        <v>748783</v>
      </c>
      <c r="E30" s="2739">
        <f>SUMIF($B$5:$B$24,A30,$O$5:$O$24)</f>
        <v>224635</v>
      </c>
      <c r="F30" s="2739">
        <f>SUMIF($B$5:$B$24,A30,$G$5:$G$24)</f>
        <v>0</v>
      </c>
      <c r="G30" s="2739">
        <f>SUMIF($B$5:$B$24,A30,$H$5:$H$24)</f>
        <v>0</v>
      </c>
      <c r="H30" s="2739">
        <f>SUMIF($B$5:$B$24,A30,$I$5:$I$24)</f>
        <v>0</v>
      </c>
      <c r="I30" s="2739">
        <f>SUMIF($B$5:$B$24,A30,$J$5:$J$24)</f>
        <v>0</v>
      </c>
      <c r="J30" s="2739">
        <f>SUMIF($B$5:$B$24,A30,$K$5:$K$24)</f>
        <v>0</v>
      </c>
      <c r="K30" s="2739">
        <f>SUMIF($B$5:$B$24,A30,$M$5:$M$24)</f>
        <v>748783</v>
      </c>
      <c r="L30" s="2739">
        <f>SUMIF($B$5:$B$24,A30,$P$5:$P$24)</f>
        <v>213403</v>
      </c>
      <c r="M30" s="2746">
        <f>IFERROR(SUMIF($B$5:$B$24,A30,$O$5:$O$24)/SUMIF($B$5:$B$24,A30,$M$5:$M$24),0)</f>
        <v>0.30000013355004052</v>
      </c>
      <c r="N30" s="2747">
        <f>IFERROR(SUMIF($B$5:$B$24,A30,$P$5:$P$24)/SUMIF($B$5:$B$24,A30,$O$5:$O$24),0)</f>
        <v>0.94999888708349101</v>
      </c>
      <c r="O30" s="2768">
        <f>COUNTIFS($B$5:$B$24,A30,$Q$5:$Q$24,"&gt;="&amp;0.7)</f>
        <v>0</v>
      </c>
      <c r="P30" s="2768">
        <f>COUNTIFS($B$5:$B$24,A30,$Q$5:$Q$24,"&lt;0.3")</f>
        <v>0</v>
      </c>
      <c r="Q30" s="2736" t="str">
        <f>IF(M30&gt;=0.7,"🟢 BAJO",IF(M30&gt;=0.4,"🟡 MEDIO",IF(M30&gt;0,"🟠 ALTO","🔴 CRÍTICO")))</f>
        <v>🟠 ALTO</v>
      </c>
      <c r="R30" s="2769" t="str">
        <f>COUNTIFS($B$5:$B$24,A30,$Q$5:$Q$24,"&gt;="&amp;0.7)&amp;"✅ / "&amp;COUNTIFS($B$5:$B$24,A30,$Q$5:$Q$24,"&gt;="&amp;0.3,$Q$5:$Q$24,"&lt;0.7")&amp;"️🟡 / "&amp;COUNTIFS($B$5:$B$24,A30,$Q$5:$Q$24,"&lt;0.3")&amp;"🔴"</f>
        <v>0✅ / 0️🟡 / 0🔴</v>
      </c>
      <c r="S30" s="2063"/>
      <c r="T30" s="1861"/>
      <c r="U30" s="2332"/>
      <c r="V30" s="2332"/>
      <c r="W30" s="2332"/>
      <c r="X30" s="2332"/>
      <c r="Y30" s="2332"/>
      <c r="Z30" s="2702"/>
    </row>
    <row r="31" spans="1:26" ht="22.05" customHeight="1" x14ac:dyDescent="0.3">
      <c r="A31" s="2750" t="s">
        <v>31</v>
      </c>
      <c r="B31" s="2743">
        <f>COUNTIF($B$5:$B$24,A31)</f>
        <v>2</v>
      </c>
      <c r="C31" s="2740">
        <f>SUMIF($B$5:$B$24,A31,$L$5:$L$24)</f>
        <v>805384</v>
      </c>
      <c r="D31" s="2740">
        <f>SUMIF($B$5:$B$24,A31,$M$5:$M$24)</f>
        <v>805384</v>
      </c>
      <c r="E31" s="2740">
        <f>SUMIF($B$5:$B$24,A31,$O$5:$O$24)</f>
        <v>614499</v>
      </c>
      <c r="F31" s="2740">
        <f>SUMIF($B$5:$B$24,A31,$G$5:$G$24)</f>
        <v>0</v>
      </c>
      <c r="G31" s="2740">
        <f>SUMIF($B$5:$B$24,A31,$H$5:$H$24)</f>
        <v>0</v>
      </c>
      <c r="H31" s="2740">
        <f>SUMIF($B$5:$B$24,A31,$I$5:$I$24)</f>
        <v>0</v>
      </c>
      <c r="I31" s="2740">
        <f>SUMIF($B$5:$B$24,A31,$J$5:$J$24)</f>
        <v>0</v>
      </c>
      <c r="J31" s="2740">
        <f>SUMIF($B$5:$B$24,A31,$K$5:$K$24)</f>
        <v>0</v>
      </c>
      <c r="K31" s="2740">
        <f>SUMIF($B$5:$B$24,A31,$M$5:$M$24)</f>
        <v>805384</v>
      </c>
      <c r="L31" s="2740">
        <f>SUMIF($B$5:$B$24,A31,$P$5:$P$24)</f>
        <v>583524</v>
      </c>
      <c r="M31" s="2765">
        <f>IFERROR(SUMIF($B$5:$B$24,A31,$O$5:$O$24)/SUMIF($B$5:$B$24,A31,$M$5:$M$24),0)</f>
        <v>0.7629888351395111</v>
      </c>
      <c r="N31" s="2760">
        <f>IFERROR(SUMIF($B$5:$B$24,A31,$P$5:$P$24)/SUMIF($B$5:$B$24,A31,$O$5:$O$24),0)</f>
        <v>0.94959308314578217</v>
      </c>
      <c r="O31" s="2770">
        <f>COUNTIFS($B$5:$B$24,A31,$Q$5:$Q$24,"&gt;="&amp;0.7)</f>
        <v>2</v>
      </c>
      <c r="P31" s="2770">
        <f>COUNTIFS($B$5:$B$24,A31,$Q$5:$Q$24,"&lt;0.3")</f>
        <v>0</v>
      </c>
      <c r="Q31" s="2771" t="str">
        <f>IF(M31&gt;=0.7,"🟢 BAJO",IF(M31&gt;=0.4,"🟡 MEDIO",IF(M31&gt;0,"🟠 ALTO","🔴 CRÍTICO")))</f>
        <v>🟢 BAJO</v>
      </c>
      <c r="R31" s="2772" t="str">
        <f>COUNTIFS($B$5:$B$24,A31,$Q$5:$Q$24,"&gt;="&amp;0.7)&amp;"✅ / "&amp;COUNTIFS($B$5:$B$24,A31,$Q$5:$Q$24,"&gt;="&amp;0.3,$Q$5:$Q$24,"&lt;0.7")&amp;"️🟡 / "&amp;COUNTIFS($B$5:$B$24,A31,$Q$5:$Q$24,"&lt;0.3")&amp;"🔴"</f>
        <v>2✅ / 0️🟡 / 0🔴</v>
      </c>
      <c r="S31" s="2715"/>
      <c r="T31" s="2701"/>
      <c r="U31" s="2332"/>
      <c r="V31" s="2332"/>
      <c r="W31" s="2332"/>
      <c r="X31" s="2332"/>
      <c r="Y31" s="2332"/>
      <c r="Z31" s="2702"/>
    </row>
    <row r="32" spans="1:26" ht="22.05" customHeight="1" x14ac:dyDescent="0.3">
      <c r="A32" s="2752" t="s">
        <v>27</v>
      </c>
      <c r="B32" s="2744">
        <f>COUNTIF($B$5:$B$24,A32)</f>
        <v>1</v>
      </c>
      <c r="C32" s="2745">
        <f>SUMIF($B$5:$B$24,A32,$L$5:$L$24)</f>
        <v>0</v>
      </c>
      <c r="D32" s="2745">
        <f>SUMIF($B$5:$B$24,A32,$M$5:$M$24)</f>
        <v>0</v>
      </c>
      <c r="E32" s="2745">
        <f>SUMIF($B$5:$B$24,A32,$O$5:$O$24)</f>
        <v>0</v>
      </c>
      <c r="F32" s="2745">
        <f>SUMIF($B$5:$B$24,A32,$G$5:$G$24)</f>
        <v>0</v>
      </c>
      <c r="G32" s="2745">
        <f>SUMIF($B$5:$B$24,A32,$H$5:$H$24)</f>
        <v>0</v>
      </c>
      <c r="H32" s="2745">
        <f>SUMIF($B$5:$B$24,A32,$I$5:$I$24)</f>
        <v>0</v>
      </c>
      <c r="I32" s="2745">
        <f>SUMIF($B$5:$B$24,A32,$J$5:$J$24)</f>
        <v>0</v>
      </c>
      <c r="J32" s="2745">
        <f>SUMIF($B$5:$B$24,A32,$K$5:$K$24)</f>
        <v>0</v>
      </c>
      <c r="K32" s="2745">
        <f>SUMIF($B$5:$B$24,A32,$M$5:$M$24)</f>
        <v>0</v>
      </c>
      <c r="L32" s="2745">
        <f>SUMIF($B$5:$B$24,A32,$P$5:$P$24)</f>
        <v>0</v>
      </c>
      <c r="M32" s="2766">
        <f>IFERROR(SUMIF($B$5:$B$24,A32,$O$5:$O$24)/SUMIF($B$5:$B$24,A32,$M$5:$M$24),0)</f>
        <v>0</v>
      </c>
      <c r="N32" s="2767">
        <f>IFERROR(SUMIF($B$5:$B$24,A32,$P$5:$P$24)/SUMIF($B$5:$B$24,A32,$O$5:$O$24),0)</f>
        <v>0</v>
      </c>
      <c r="O32" s="2773">
        <f>COUNTIFS($B$5:$B$24,A32,$Q$5:$Q$24,"&gt;="&amp;0.7)</f>
        <v>0</v>
      </c>
      <c r="P32" s="2773">
        <f>COUNTIFS($B$5:$B$24,A32,$Q$5:$Q$24,"&lt;0.3")</f>
        <v>0</v>
      </c>
      <c r="Q32" s="2774" t="str">
        <f>IF(M32&gt;=0.7,"🟢 BAJO",IF(M32&gt;=0.4,"🟡 MEDIO",IF(M32&gt;0,"🟠 ALTO","🔴 CRÍTICO")))</f>
        <v>🔴 CRÍTICO</v>
      </c>
      <c r="R32" s="2775" t="str">
        <f>COUNTIFS($B$5:$B$24,A32,$Q$5:$Q$24,"&gt;="&amp;0.7)&amp;"✅ / "&amp;COUNTIFS($B$5:$B$24,A32,$Q$5:$Q$24,"&gt;="&amp;0.3,$Q$5:$Q$24,"&lt;0.7")&amp;"️🟡 / "&amp;COUNTIFS($B$5:$B$24,A32,$Q$5:$Q$24,"&lt;0.3")&amp;"🔴"</f>
        <v>0✅ / 0️🟡 / 0🔴</v>
      </c>
      <c r="S32" s="2731"/>
      <c r="T32" s="2707"/>
      <c r="U32" s="2397"/>
      <c r="V32" s="2397"/>
      <c r="W32" s="2397"/>
      <c r="X32" s="2397"/>
      <c r="Y32" s="2397"/>
      <c r="Z32" s="2708"/>
    </row>
  </sheetData>
  <mergeCells count="3">
    <mergeCell ref="A3:Z3"/>
    <mergeCell ref="A26:Z26"/>
    <mergeCell ref="A1:Z1"/>
  </mergeCells>
  <conditionalFormatting sqref="M28:M32">
    <cfRule type="expression" dxfId="551" priority="22">
      <formula>AND(M28&gt;=0,M28&lt;0.2)</formula>
    </cfRule>
    <cfRule type="expression" dxfId="550" priority="23">
      <formula>AND(M28&gt;=0.2,M28&lt;0.4)</formula>
    </cfRule>
    <cfRule type="expression" dxfId="549" priority="24">
      <formula>AND(M28&gt;=0.4,M28&lt;0.7)</formula>
    </cfRule>
    <cfRule type="expression" dxfId="548" priority="25">
      <formula>AND(M28&gt;=0.7,M28&lt;0.9)</formula>
    </cfRule>
    <cfRule type="expression" dxfId="547" priority="26">
      <formula>M28&gt;=0.9</formula>
    </cfRule>
  </conditionalFormatting>
  <conditionalFormatting sqref="N28:N32">
    <cfRule type="expression" dxfId="546" priority="27">
      <formula>AND(N28&gt;0,N28&lt;0.5)</formula>
    </cfRule>
    <cfRule type="expression" dxfId="545" priority="28">
      <formula>AND(N28&gt;=0.5,N28&lt;0.8)</formula>
    </cfRule>
    <cfRule type="expression" dxfId="544" priority="29">
      <formula>N28&gt;=0.8</formula>
    </cfRule>
  </conditionalFormatting>
  <conditionalFormatting sqref="Q5:Q24">
    <cfRule type="expression" dxfId="543" priority="14">
      <formula>AND(Q5&gt;=0,Q5&lt;0.2)</formula>
    </cfRule>
    <cfRule type="expression" dxfId="542" priority="15">
      <formula>AND(Q5&gt;=0.2,Q5&lt;0.4)</formula>
    </cfRule>
    <cfRule type="expression" dxfId="541" priority="16">
      <formula>AND(Q5&gt;=0.4,Q5&lt;0.7)</formula>
    </cfRule>
    <cfRule type="expression" dxfId="540" priority="17">
      <formula>AND(Q5&gt;=0.7,Q5&lt;0.9)</formula>
    </cfRule>
    <cfRule type="expression" dxfId="539" priority="18">
      <formula>Q5&gt;=0.9</formula>
    </cfRule>
  </conditionalFormatting>
  <conditionalFormatting sqref="Q28:Q32">
    <cfRule type="expression" dxfId="538" priority="30">
      <formula>ISNUMBER(SEARCH("BAJO",Q28))</formula>
    </cfRule>
    <cfRule type="expression" dxfId="537" priority="31">
      <formula>ISNUMBER(SEARCH("MEDIO",Q28))</formula>
    </cfRule>
    <cfRule type="expression" dxfId="536" priority="32">
      <formula>ISNUMBER(SEARCH("ALTO",Q28))</formula>
    </cfRule>
    <cfRule type="expression" dxfId="535" priority="33">
      <formula>ISNUMBER(SEARCH("CRÍTICO",Q28))</formula>
    </cfRule>
  </conditionalFormatting>
  <conditionalFormatting sqref="R5:R24">
    <cfRule type="expression" dxfId="534" priority="19">
      <formula>AND(R5&gt;0,R5&lt;0.5)</formula>
    </cfRule>
    <cfRule type="expression" dxfId="533" priority="20">
      <formula>AND(R5&gt;=0.5,R5&lt;0.8)</formula>
    </cfRule>
    <cfRule type="expression" dxfId="532" priority="21">
      <formula>R5&gt;=0.8</formula>
    </cfRule>
  </conditionalFormatting>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DEEAF1"/>
  </sheetPr>
  <dimension ref="A1:OJ40"/>
  <sheetViews>
    <sheetView showGridLines="0" zoomScale="30" zoomScaleNormal="30" workbookViewId="0">
      <pane ySplit="3" topLeftCell="A4" activePane="bottomLeft" state="frozen"/>
      <selection activeCell="I1" sqref="I1"/>
      <selection pane="bottomLeft" activeCell="V3" sqref="V3"/>
    </sheetView>
  </sheetViews>
  <sheetFormatPr baseColWidth="10" defaultRowHeight="14.4" x14ac:dyDescent="0.3"/>
  <cols>
    <col min="1" max="1" width="6.44140625" style="31" customWidth="1"/>
    <col min="2" max="2" width="20.33203125" style="31" customWidth="1"/>
    <col min="3" max="3" width="21.33203125" style="31" customWidth="1"/>
    <col min="4" max="4" width="12.5546875" style="31" customWidth="1"/>
    <col min="5" max="7" width="14.44140625" style="31" customWidth="1"/>
    <col min="8" max="9" width="24.109375" style="31" customWidth="1"/>
    <col min="10" max="10" width="13.33203125" style="31" customWidth="1"/>
    <col min="11" max="11" width="21.33203125" style="31" customWidth="1"/>
    <col min="12" max="12" width="16.6640625" style="31" customWidth="1"/>
    <col min="13" max="13" width="21.33203125" style="31" customWidth="1"/>
    <col min="14" max="14" width="20.33203125" style="31" customWidth="1"/>
    <col min="15" max="15" width="21.5546875" style="31" bestFit="1" customWidth="1"/>
    <col min="16" max="16" width="20.33203125" style="31" customWidth="1"/>
    <col min="17" max="19" width="14.6640625" style="31" bestFit="1" customWidth="1"/>
    <col min="20" max="20" width="22.6640625" style="31" bestFit="1" customWidth="1"/>
    <col min="21" max="22" width="11.5546875" style="31" customWidth="1"/>
    <col min="23" max="16384" width="11.5546875" style="31"/>
  </cols>
  <sheetData>
    <row r="1" spans="1:400" ht="25.95" customHeight="1" x14ac:dyDescent="0.3">
      <c r="A1" s="3698" t="s">
        <v>4819</v>
      </c>
      <c r="B1" s="3699"/>
      <c r="C1" s="3699"/>
      <c r="D1" s="3699"/>
      <c r="E1" s="3699"/>
      <c r="F1" s="3699"/>
      <c r="G1" s="3699"/>
      <c r="H1" s="3699"/>
      <c r="I1" s="3699"/>
      <c r="J1" s="3699"/>
      <c r="K1" s="3699"/>
      <c r="L1" s="3699"/>
      <c r="M1" s="3699"/>
      <c r="N1" s="3700"/>
      <c r="O1" s="3701"/>
      <c r="P1" s="3701"/>
      <c r="Q1" s="3701"/>
      <c r="R1" s="3701"/>
      <c r="S1" s="3701"/>
      <c r="T1" s="3701"/>
      <c r="U1" s="3701"/>
      <c r="V1" s="3701"/>
      <c r="W1" s="3701"/>
      <c r="X1" s="3701"/>
      <c r="Y1" s="3701"/>
      <c r="Z1" s="3701"/>
    </row>
    <row r="2" spans="1:400" ht="19.95" customHeight="1" x14ac:dyDescent="0.3">
      <c r="A2" s="2398" t="str">
        <f>HYPERLINK("#'M-INDEX'!A1","⌂ INDICE")</f>
        <v>⌂ INDICE</v>
      </c>
      <c r="B2" s="1764" t="str">
        <f>HYPERLINK("#'M1-ITME'!A1","M1")</f>
        <v>M1</v>
      </c>
      <c r="C2" s="1764" t="str">
        <f>HYPERLINK("#'M2-PDOT'!A1","M2")</f>
        <v>M2</v>
      </c>
      <c r="D2" s="1764" t="str">
        <f>HYPERLINK("#'M3-MAO'!A1","M3")</f>
        <v>M3</v>
      </c>
      <c r="E2" s="1764" t="str">
        <f>HYPERLINK("#'M4-AUDIT'!A1","M4")</f>
        <v>M4</v>
      </c>
      <c r="F2" s="1764" t="str">
        <f>HYPERLINK("#'M5-ICPI'!A1","M5")</f>
        <v>M5</v>
      </c>
      <c r="G2" s="1764" t="str">
        <f>HYPERLINK("#'M6-FEDS'!A1","M6")</f>
        <v>M6</v>
      </c>
      <c r="H2" s="1764" t="str">
        <f>HYPERLINK("#'M7-PROSP'!A1","M7")</f>
        <v>M7</v>
      </c>
      <c r="I2" s="1762" t="s">
        <v>4820</v>
      </c>
      <c r="J2" s="1764" t="str">
        <f>HYPERLINK("#'DATA-CNE'!A1","DATA-CNE")</f>
        <v>DATA-CNE</v>
      </c>
      <c r="K2" s="1764" t="str">
        <f>HYPERLINK("#'DATA-ORG'!A1","DATA-ORG")</f>
        <v>DATA-ORG</v>
      </c>
      <c r="L2" s="1764" t="str">
        <f>HYPERLINK("#'M-DASHBOARD'!A1","DASH")</f>
        <v>DASH</v>
      </c>
      <c r="M2" s="138"/>
      <c r="N2" s="2478"/>
      <c r="O2" s="2629"/>
      <c r="P2" s="2629"/>
      <c r="Q2" s="2629"/>
      <c r="R2" s="2629"/>
      <c r="S2" s="2629"/>
      <c r="T2" s="2629"/>
      <c r="U2" s="1734"/>
      <c r="V2" s="1734"/>
      <c r="W2" s="1734"/>
      <c r="X2" s="1734"/>
      <c r="Y2" s="1734"/>
      <c r="Z2" s="1734"/>
    </row>
    <row r="3" spans="1:400" ht="13.95" customHeight="1" x14ac:dyDescent="0.3">
      <c r="A3" s="3657" t="s">
        <v>690</v>
      </c>
      <c r="B3" s="3658"/>
      <c r="C3" s="3658"/>
      <c r="D3" s="3658"/>
      <c r="E3" s="3658"/>
      <c r="F3" s="3658"/>
      <c r="G3" s="3658"/>
      <c r="H3" s="3658"/>
      <c r="I3" s="3658"/>
      <c r="J3" s="3658"/>
      <c r="K3" s="3658"/>
      <c r="L3" s="3659"/>
      <c r="M3" s="3660"/>
      <c r="N3" s="3661"/>
      <c r="O3" s="3662"/>
      <c r="P3" s="3662"/>
      <c r="Q3" s="3662"/>
      <c r="R3" s="3662"/>
      <c r="S3" s="3662"/>
      <c r="T3" s="3662"/>
      <c r="U3" s="2630"/>
      <c r="V3" s="2630"/>
      <c r="W3" s="2630"/>
      <c r="X3" s="2630"/>
      <c r="Y3" s="2630"/>
      <c r="Z3" s="2630"/>
    </row>
    <row r="4" spans="1:400" s="32" customFormat="1" ht="31.95" customHeight="1" x14ac:dyDescent="0.3">
      <c r="A4" s="2575" t="s">
        <v>690</v>
      </c>
      <c r="B4" s="2576" t="s">
        <v>691</v>
      </c>
      <c r="C4" s="2576" t="s">
        <v>1142</v>
      </c>
      <c r="D4" s="2576" t="s">
        <v>692</v>
      </c>
      <c r="E4" s="2576" t="s">
        <v>431</v>
      </c>
      <c r="F4" s="2576" t="s">
        <v>1143</v>
      </c>
      <c r="G4" s="2576" t="s">
        <v>1144</v>
      </c>
      <c r="H4" s="2576" t="s">
        <v>1145</v>
      </c>
      <c r="I4" s="2576" t="s">
        <v>1146</v>
      </c>
      <c r="J4" s="2576" t="s">
        <v>700</v>
      </c>
      <c r="K4" s="2576" t="s">
        <v>1147</v>
      </c>
      <c r="L4" s="2675" t="s">
        <v>1148</v>
      </c>
      <c r="M4" s="2690" t="s">
        <v>93</v>
      </c>
      <c r="N4" s="2682" t="s">
        <v>1149</v>
      </c>
      <c r="O4" s="700" t="s">
        <v>1150</v>
      </c>
      <c r="P4" s="697" t="s">
        <v>1151</v>
      </c>
      <c r="Q4" s="697" t="s">
        <v>1152</v>
      </c>
      <c r="R4" s="697" t="s">
        <v>1153</v>
      </c>
      <c r="S4" s="697" t="s">
        <v>1154</v>
      </c>
      <c r="T4" s="697" t="s">
        <v>1155</v>
      </c>
      <c r="U4" s="697"/>
      <c r="V4" s="697"/>
      <c r="W4" s="697"/>
      <c r="X4" s="697"/>
      <c r="Y4" s="697"/>
      <c r="Z4" s="697"/>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c r="BU4" s="53"/>
      <c r="BV4" s="53"/>
      <c r="BW4" s="53"/>
      <c r="BX4" s="53"/>
      <c r="BY4" s="53"/>
      <c r="BZ4" s="53"/>
      <c r="CA4" s="53"/>
      <c r="CB4" s="53"/>
      <c r="CC4" s="53"/>
      <c r="CD4" s="53"/>
      <c r="CE4" s="53"/>
      <c r="CF4" s="53"/>
      <c r="CG4" s="53"/>
      <c r="CH4" s="53"/>
      <c r="CI4" s="53"/>
      <c r="CJ4" s="53"/>
      <c r="CK4" s="53"/>
      <c r="CL4" s="53"/>
      <c r="CM4" s="53"/>
      <c r="CN4" s="53"/>
      <c r="CO4" s="53"/>
      <c r="CP4" s="53"/>
      <c r="CQ4" s="53"/>
      <c r="CR4" s="53"/>
      <c r="CS4" s="53"/>
      <c r="CT4" s="53"/>
      <c r="CU4" s="53"/>
      <c r="CV4" s="53"/>
      <c r="CW4" s="53"/>
      <c r="CX4" s="53"/>
      <c r="CY4" s="53"/>
      <c r="CZ4" s="53"/>
      <c r="DA4" s="53"/>
      <c r="DB4" s="53"/>
      <c r="DC4" s="53"/>
      <c r="DD4" s="53"/>
      <c r="DE4" s="53"/>
      <c r="DF4" s="53"/>
      <c r="DG4" s="53"/>
      <c r="DH4" s="53"/>
      <c r="DI4" s="53"/>
      <c r="DJ4" s="53"/>
      <c r="DK4" s="53"/>
      <c r="DL4" s="53"/>
      <c r="DM4" s="53"/>
      <c r="DN4" s="53"/>
      <c r="DO4" s="53"/>
      <c r="DP4" s="53"/>
      <c r="DQ4" s="53"/>
      <c r="DR4" s="53"/>
      <c r="DS4" s="53"/>
      <c r="DT4" s="53"/>
      <c r="DU4" s="53"/>
      <c r="DV4" s="53"/>
      <c r="DW4" s="53"/>
      <c r="DX4" s="53"/>
      <c r="DY4" s="53"/>
      <c r="DZ4" s="53"/>
      <c r="EA4" s="53"/>
      <c r="EB4" s="53"/>
      <c r="EC4" s="53"/>
      <c r="ED4" s="53"/>
      <c r="EE4" s="53"/>
      <c r="EF4" s="53"/>
      <c r="EG4" s="53"/>
      <c r="EH4" s="53"/>
      <c r="EI4" s="53"/>
      <c r="EJ4" s="53"/>
      <c r="EK4" s="53"/>
      <c r="EL4" s="53"/>
      <c r="EM4" s="53"/>
      <c r="EN4" s="53"/>
      <c r="EO4" s="53"/>
      <c r="EP4" s="53"/>
      <c r="EQ4" s="53"/>
      <c r="ER4" s="53"/>
      <c r="ES4" s="53"/>
      <c r="ET4" s="53"/>
      <c r="EU4" s="53"/>
      <c r="EV4" s="53"/>
      <c r="EW4" s="53"/>
      <c r="EX4" s="53"/>
      <c r="EY4" s="53"/>
      <c r="EZ4" s="53"/>
      <c r="FA4" s="53"/>
      <c r="FB4" s="53"/>
      <c r="FC4" s="53"/>
      <c r="FD4" s="53"/>
      <c r="FE4" s="53"/>
      <c r="FF4" s="53"/>
      <c r="FG4" s="53"/>
      <c r="FH4" s="53"/>
      <c r="FI4" s="53"/>
      <c r="FJ4" s="53"/>
      <c r="FK4" s="53"/>
      <c r="FL4" s="53"/>
      <c r="FM4" s="53"/>
      <c r="FN4" s="53"/>
      <c r="FO4" s="53"/>
      <c r="FP4" s="53"/>
      <c r="FQ4" s="53"/>
      <c r="FR4" s="53"/>
      <c r="FS4" s="53"/>
      <c r="FT4" s="53"/>
      <c r="FU4" s="53"/>
      <c r="FV4" s="53"/>
      <c r="FW4" s="53"/>
      <c r="FX4" s="53"/>
      <c r="FY4" s="53"/>
      <c r="FZ4" s="53"/>
      <c r="GA4" s="53"/>
      <c r="GB4" s="53"/>
      <c r="GC4" s="53"/>
      <c r="GD4" s="53"/>
      <c r="GE4" s="53"/>
      <c r="GF4" s="53"/>
      <c r="GG4" s="53"/>
      <c r="GH4" s="53"/>
      <c r="GI4" s="53"/>
      <c r="GJ4" s="53"/>
      <c r="GK4" s="53"/>
      <c r="GL4" s="53"/>
      <c r="GM4" s="53"/>
      <c r="GN4" s="53"/>
      <c r="GO4" s="53"/>
      <c r="GP4" s="53"/>
      <c r="GQ4" s="53"/>
      <c r="GR4" s="53"/>
      <c r="GS4" s="53"/>
      <c r="GT4" s="53"/>
      <c r="GU4" s="53"/>
      <c r="GV4" s="53"/>
      <c r="GW4" s="53"/>
      <c r="GX4" s="53"/>
      <c r="GY4" s="53"/>
      <c r="GZ4" s="53"/>
      <c r="HA4" s="53"/>
      <c r="HB4" s="53"/>
      <c r="HC4" s="53"/>
      <c r="HD4" s="53"/>
      <c r="HE4" s="53"/>
      <c r="HF4" s="53"/>
      <c r="HG4" s="53"/>
      <c r="HH4" s="53"/>
      <c r="HI4" s="53"/>
      <c r="HJ4" s="53"/>
      <c r="HK4" s="53"/>
      <c r="HL4" s="53"/>
      <c r="HM4" s="53"/>
      <c r="HN4" s="53"/>
      <c r="HO4" s="53"/>
      <c r="HP4" s="53"/>
      <c r="HQ4" s="53"/>
      <c r="HR4" s="53"/>
      <c r="HS4" s="53"/>
      <c r="HT4" s="53"/>
      <c r="HU4" s="53"/>
      <c r="HV4" s="53"/>
      <c r="HW4" s="53"/>
      <c r="HX4" s="53"/>
      <c r="HY4" s="53"/>
      <c r="HZ4" s="53"/>
      <c r="IA4" s="53"/>
      <c r="IB4" s="53"/>
      <c r="IC4" s="53"/>
      <c r="ID4" s="53"/>
      <c r="IE4" s="53"/>
      <c r="IF4" s="53"/>
      <c r="IG4" s="53"/>
      <c r="IH4" s="53"/>
      <c r="II4" s="53"/>
      <c r="IJ4" s="53"/>
      <c r="IK4" s="53"/>
      <c r="IL4" s="53"/>
      <c r="IM4" s="53"/>
      <c r="IN4" s="53"/>
      <c r="IO4" s="53"/>
      <c r="IP4" s="53"/>
      <c r="IQ4" s="53"/>
      <c r="IR4" s="53"/>
      <c r="IS4" s="53"/>
      <c r="IT4" s="53"/>
      <c r="IU4" s="53"/>
      <c r="IV4" s="53"/>
      <c r="IW4" s="53"/>
      <c r="IX4" s="53"/>
      <c r="IY4" s="53"/>
      <c r="IZ4" s="53"/>
      <c r="JA4" s="53"/>
      <c r="JB4" s="53"/>
      <c r="JC4" s="53"/>
      <c r="JD4" s="53"/>
      <c r="JE4" s="53"/>
      <c r="JF4" s="53"/>
      <c r="JG4" s="53"/>
      <c r="JH4" s="53"/>
      <c r="JI4" s="53"/>
      <c r="JJ4" s="53"/>
      <c r="JK4" s="53"/>
      <c r="JL4" s="53"/>
      <c r="JM4" s="53"/>
      <c r="JN4" s="53"/>
      <c r="JO4" s="53"/>
      <c r="JP4" s="53"/>
      <c r="JQ4" s="53"/>
      <c r="JR4" s="53"/>
      <c r="JS4" s="53"/>
      <c r="JT4" s="53"/>
      <c r="JU4" s="53"/>
      <c r="JV4" s="53"/>
      <c r="JW4" s="53"/>
      <c r="JX4" s="53"/>
      <c r="JY4" s="53"/>
      <c r="JZ4" s="53"/>
      <c r="KA4" s="53"/>
      <c r="KB4" s="53"/>
      <c r="KC4" s="53"/>
      <c r="KD4" s="53"/>
      <c r="KE4" s="53"/>
      <c r="KF4" s="53"/>
      <c r="KG4" s="53"/>
      <c r="KH4" s="53"/>
      <c r="KI4" s="53"/>
      <c r="KJ4" s="53"/>
      <c r="KK4" s="53"/>
      <c r="KL4" s="53"/>
      <c r="KM4" s="53"/>
      <c r="KN4" s="53"/>
      <c r="KO4" s="53"/>
      <c r="KP4" s="53"/>
      <c r="KQ4" s="53"/>
      <c r="KR4" s="53"/>
      <c r="KS4" s="53"/>
      <c r="KT4" s="53"/>
      <c r="KU4" s="53"/>
      <c r="KV4" s="53"/>
      <c r="KW4" s="53"/>
      <c r="KX4" s="53"/>
      <c r="KY4" s="53"/>
      <c r="KZ4" s="53"/>
      <c r="LA4" s="53"/>
      <c r="LB4" s="53"/>
      <c r="LC4" s="53"/>
      <c r="LD4" s="53"/>
      <c r="LE4" s="53"/>
      <c r="LF4" s="53"/>
      <c r="LG4" s="53"/>
      <c r="LH4" s="53"/>
      <c r="LI4" s="53"/>
      <c r="LJ4" s="53"/>
      <c r="LK4" s="53"/>
      <c r="LL4" s="53"/>
      <c r="LM4" s="53"/>
      <c r="LN4" s="53"/>
      <c r="LO4" s="53"/>
      <c r="LP4" s="53"/>
      <c r="LQ4" s="53"/>
      <c r="LR4" s="53"/>
      <c r="LS4" s="53"/>
      <c r="LT4" s="53"/>
      <c r="LU4" s="53"/>
      <c r="LV4" s="53"/>
      <c r="LW4" s="53"/>
      <c r="LX4" s="53"/>
      <c r="LY4" s="53"/>
      <c r="LZ4" s="53"/>
      <c r="MA4" s="53"/>
      <c r="MB4" s="53"/>
      <c r="MC4" s="53"/>
      <c r="MD4" s="53"/>
      <c r="ME4" s="53"/>
      <c r="MF4" s="53"/>
      <c r="MG4" s="53"/>
      <c r="MH4" s="53"/>
      <c r="MI4" s="53"/>
      <c r="MJ4" s="53"/>
      <c r="MK4" s="53"/>
      <c r="ML4" s="53"/>
      <c r="MM4" s="53"/>
      <c r="MN4" s="53"/>
      <c r="MO4" s="53"/>
      <c r="MP4" s="53"/>
      <c r="MQ4" s="53"/>
      <c r="MR4" s="53"/>
      <c r="MS4" s="53"/>
      <c r="MT4" s="53"/>
      <c r="MU4" s="53"/>
      <c r="MV4" s="53"/>
      <c r="MW4" s="53"/>
      <c r="MX4" s="53"/>
      <c r="MY4" s="53"/>
      <c r="MZ4" s="53"/>
      <c r="NA4" s="53"/>
      <c r="NB4" s="53"/>
      <c r="NC4" s="53"/>
      <c r="ND4" s="53"/>
      <c r="NE4" s="53"/>
      <c r="NF4" s="53"/>
      <c r="NG4" s="53"/>
      <c r="NH4" s="53"/>
      <c r="NI4" s="53"/>
      <c r="NJ4" s="53"/>
      <c r="NK4" s="53"/>
      <c r="NL4" s="53"/>
      <c r="NM4" s="53"/>
      <c r="NN4" s="53"/>
      <c r="NO4" s="53"/>
      <c r="NP4" s="53"/>
      <c r="NQ4" s="53"/>
      <c r="NR4" s="53"/>
      <c r="NS4" s="53"/>
      <c r="NT4" s="53"/>
      <c r="NU4" s="53"/>
      <c r="NV4" s="53"/>
      <c r="NW4" s="53"/>
      <c r="NX4" s="53"/>
      <c r="NY4" s="53"/>
      <c r="NZ4" s="53"/>
      <c r="OA4" s="53"/>
      <c r="OB4" s="53"/>
      <c r="OC4" s="53"/>
      <c r="OD4" s="53"/>
      <c r="OE4" s="53"/>
      <c r="OF4" s="53"/>
      <c r="OG4" s="53"/>
      <c r="OH4" s="53"/>
      <c r="OI4" s="53"/>
      <c r="OJ4" s="54"/>
    </row>
    <row r="5" spans="1:400" s="86" customFormat="1" ht="34.049999999999997" customHeight="1" x14ac:dyDescent="0.3">
      <c r="A5" s="2600">
        <v>1</v>
      </c>
      <c r="B5" s="2661" t="s">
        <v>509</v>
      </c>
      <c r="C5" s="2662" t="s">
        <v>776</v>
      </c>
      <c r="D5" s="2661" t="s">
        <v>19</v>
      </c>
      <c r="E5" s="2663">
        <v>4454844</v>
      </c>
      <c r="F5" s="2663">
        <v>1269859</v>
      </c>
      <c r="G5" s="2664">
        <v>3184985</v>
      </c>
      <c r="H5" s="2665" t="s">
        <v>4614</v>
      </c>
      <c r="I5" s="2662" t="s">
        <v>1156</v>
      </c>
      <c r="J5" s="2662" t="s">
        <v>742</v>
      </c>
      <c r="K5" s="2662" t="s">
        <v>1157</v>
      </c>
      <c r="L5" s="2676" t="s">
        <v>1158</v>
      </c>
      <c r="M5" s="2691" t="s">
        <v>4633</v>
      </c>
      <c r="N5" s="2683" t="s">
        <v>1159</v>
      </c>
      <c r="O5" s="2656">
        <v>4032693.9</v>
      </c>
      <c r="P5" s="2632">
        <v>337000</v>
      </c>
      <c r="Q5" s="2631"/>
      <c r="R5" s="2631"/>
      <c r="S5" s="2631"/>
      <c r="T5" s="2631">
        <f t="shared" ref="T5:T24" si="0">IFERROR(SUM(O5:S5),0)</f>
        <v>4369693.9000000004</v>
      </c>
      <c r="U5" s="2633"/>
      <c r="V5" s="2633"/>
      <c r="W5" s="2633"/>
      <c r="X5" s="2633"/>
      <c r="Y5" s="2633"/>
      <c r="Z5" s="2633"/>
      <c r="AA5" s="84"/>
      <c r="AB5" s="84"/>
      <c r="AC5" s="84"/>
      <c r="AD5" s="84"/>
      <c r="AE5" s="84"/>
      <c r="AF5" s="84"/>
      <c r="AG5" s="84"/>
      <c r="AH5" s="84"/>
      <c r="AI5" s="84"/>
      <c r="AJ5" s="84"/>
      <c r="AK5" s="84"/>
      <c r="AL5" s="84"/>
      <c r="AM5" s="84"/>
      <c r="AN5" s="84"/>
      <c r="AO5" s="84"/>
      <c r="AP5" s="84"/>
      <c r="AQ5" s="84"/>
      <c r="AR5" s="84"/>
      <c r="AS5" s="84"/>
      <c r="AT5" s="84"/>
      <c r="AU5" s="84"/>
      <c r="AV5" s="84"/>
      <c r="AW5" s="84"/>
      <c r="AX5" s="84"/>
      <c r="AY5" s="84"/>
      <c r="AZ5" s="84"/>
      <c r="BA5" s="84"/>
      <c r="BB5" s="84"/>
      <c r="BC5" s="84"/>
      <c r="BD5" s="84"/>
      <c r="BE5" s="84"/>
      <c r="BF5" s="84"/>
      <c r="BG5" s="84"/>
      <c r="BH5" s="84"/>
      <c r="BI5" s="84"/>
      <c r="BJ5" s="84"/>
      <c r="BK5" s="84"/>
      <c r="BL5" s="84"/>
      <c r="BM5" s="84"/>
      <c r="BN5" s="84"/>
      <c r="BO5" s="84"/>
      <c r="BP5" s="84"/>
      <c r="BQ5" s="84"/>
      <c r="BR5" s="84"/>
      <c r="BS5" s="84"/>
      <c r="BT5" s="84"/>
      <c r="BU5" s="84"/>
      <c r="BV5" s="84"/>
      <c r="BW5" s="84"/>
      <c r="BX5" s="84"/>
      <c r="BY5" s="84"/>
      <c r="BZ5" s="84"/>
      <c r="CA5" s="84"/>
      <c r="CB5" s="84"/>
      <c r="CC5" s="84"/>
      <c r="CD5" s="84"/>
      <c r="CE5" s="84"/>
      <c r="CF5" s="84"/>
      <c r="CG5" s="84"/>
      <c r="CH5" s="84"/>
      <c r="CI5" s="84"/>
      <c r="CJ5" s="84"/>
      <c r="CK5" s="84"/>
      <c r="CL5" s="84"/>
      <c r="CM5" s="84"/>
      <c r="CN5" s="84"/>
      <c r="CO5" s="84"/>
      <c r="CP5" s="84"/>
      <c r="CQ5" s="84"/>
      <c r="CR5" s="84"/>
      <c r="CS5" s="84"/>
      <c r="CT5" s="84"/>
      <c r="CU5" s="84"/>
      <c r="CV5" s="84"/>
      <c r="CW5" s="84"/>
      <c r="CX5" s="84"/>
      <c r="CY5" s="84"/>
      <c r="CZ5" s="84"/>
      <c r="DA5" s="84"/>
      <c r="DB5" s="84"/>
      <c r="DC5" s="84"/>
      <c r="DD5" s="84"/>
      <c r="DE5" s="84"/>
      <c r="DF5" s="84"/>
      <c r="DG5" s="84"/>
      <c r="DH5" s="84"/>
      <c r="DI5" s="84"/>
      <c r="DJ5" s="84"/>
      <c r="DK5" s="84"/>
      <c r="DL5" s="84"/>
      <c r="DM5" s="84"/>
      <c r="DN5" s="84"/>
      <c r="DO5" s="84"/>
      <c r="DP5" s="84"/>
      <c r="DQ5" s="84"/>
      <c r="DR5" s="84"/>
      <c r="DS5" s="84"/>
      <c r="DT5" s="84"/>
      <c r="DU5" s="84"/>
      <c r="DV5" s="84"/>
      <c r="DW5" s="84"/>
      <c r="DX5" s="84"/>
      <c r="DY5" s="84"/>
      <c r="DZ5" s="84"/>
      <c r="EA5" s="84"/>
      <c r="EB5" s="84"/>
      <c r="EC5" s="84"/>
      <c r="ED5" s="84"/>
      <c r="EE5" s="84"/>
      <c r="EF5" s="84"/>
      <c r="EG5" s="84"/>
      <c r="EH5" s="84"/>
      <c r="EI5" s="84"/>
      <c r="EJ5" s="84"/>
      <c r="EK5" s="84"/>
      <c r="EL5" s="84"/>
      <c r="EM5" s="84"/>
      <c r="EN5" s="84"/>
      <c r="EO5" s="84"/>
      <c r="EP5" s="84"/>
      <c r="EQ5" s="84"/>
      <c r="ER5" s="84"/>
      <c r="ES5" s="84"/>
      <c r="ET5" s="84"/>
      <c r="EU5" s="84"/>
      <c r="EV5" s="84"/>
      <c r="EW5" s="84"/>
      <c r="EX5" s="84"/>
      <c r="EY5" s="84"/>
      <c r="EZ5" s="84"/>
      <c r="FA5" s="84"/>
      <c r="FB5" s="84"/>
      <c r="FC5" s="84"/>
      <c r="FD5" s="84"/>
      <c r="FE5" s="84"/>
      <c r="FF5" s="84"/>
      <c r="FG5" s="84"/>
      <c r="FH5" s="84"/>
      <c r="FI5" s="84"/>
      <c r="FJ5" s="84"/>
      <c r="FK5" s="84"/>
      <c r="FL5" s="84"/>
      <c r="FM5" s="84"/>
      <c r="FN5" s="84"/>
      <c r="FO5" s="84"/>
      <c r="FP5" s="84"/>
      <c r="FQ5" s="84"/>
      <c r="FR5" s="84"/>
      <c r="FS5" s="84"/>
      <c r="FT5" s="84"/>
      <c r="FU5" s="84"/>
      <c r="FV5" s="84"/>
      <c r="FW5" s="84"/>
      <c r="FX5" s="84"/>
      <c r="FY5" s="84"/>
      <c r="FZ5" s="84"/>
      <c r="GA5" s="84"/>
      <c r="GB5" s="84"/>
      <c r="GC5" s="84"/>
      <c r="GD5" s="84"/>
      <c r="GE5" s="84"/>
      <c r="GF5" s="84"/>
      <c r="GG5" s="84"/>
      <c r="GH5" s="84"/>
      <c r="GI5" s="84"/>
      <c r="GJ5" s="84"/>
      <c r="GK5" s="84"/>
      <c r="GL5" s="84"/>
      <c r="GM5" s="84"/>
      <c r="GN5" s="84"/>
      <c r="GO5" s="84"/>
      <c r="GP5" s="84"/>
      <c r="GQ5" s="84"/>
      <c r="GR5" s="84"/>
      <c r="GS5" s="84"/>
      <c r="GT5" s="84"/>
      <c r="GU5" s="84"/>
      <c r="GV5" s="84"/>
      <c r="GW5" s="84"/>
      <c r="GX5" s="84"/>
      <c r="GY5" s="84"/>
      <c r="GZ5" s="84"/>
      <c r="HA5" s="84"/>
      <c r="HB5" s="84"/>
      <c r="HC5" s="84"/>
      <c r="HD5" s="84"/>
      <c r="HE5" s="84"/>
      <c r="HF5" s="84"/>
      <c r="HG5" s="84"/>
      <c r="HH5" s="84"/>
      <c r="HI5" s="84"/>
      <c r="HJ5" s="84"/>
      <c r="HK5" s="84"/>
      <c r="HL5" s="84"/>
      <c r="HM5" s="84"/>
      <c r="HN5" s="84"/>
      <c r="HO5" s="84"/>
      <c r="HP5" s="84"/>
      <c r="HQ5" s="84"/>
      <c r="HR5" s="84"/>
      <c r="HS5" s="84"/>
      <c r="HT5" s="84"/>
      <c r="HU5" s="84"/>
      <c r="HV5" s="84"/>
      <c r="HW5" s="84"/>
      <c r="HX5" s="84"/>
      <c r="HY5" s="84"/>
      <c r="HZ5" s="84"/>
      <c r="IA5" s="84"/>
      <c r="IB5" s="84"/>
      <c r="IC5" s="84"/>
      <c r="ID5" s="84"/>
      <c r="IE5" s="84"/>
      <c r="IF5" s="84"/>
      <c r="IG5" s="84"/>
      <c r="IH5" s="84"/>
      <c r="II5" s="84"/>
      <c r="IJ5" s="84"/>
      <c r="IK5" s="84"/>
      <c r="IL5" s="84"/>
      <c r="IM5" s="84"/>
      <c r="IN5" s="84"/>
      <c r="IO5" s="84"/>
      <c r="IP5" s="84"/>
      <c r="IQ5" s="84"/>
      <c r="IR5" s="84"/>
      <c r="IS5" s="84"/>
      <c r="IT5" s="84"/>
      <c r="IU5" s="84"/>
      <c r="IV5" s="84"/>
      <c r="IW5" s="84"/>
      <c r="IX5" s="84"/>
      <c r="IY5" s="84"/>
      <c r="IZ5" s="84"/>
      <c r="JA5" s="84"/>
      <c r="JB5" s="84"/>
      <c r="JC5" s="84"/>
      <c r="JD5" s="84"/>
      <c r="JE5" s="84"/>
      <c r="JF5" s="84"/>
      <c r="JG5" s="84"/>
      <c r="JH5" s="84"/>
      <c r="JI5" s="84"/>
      <c r="JJ5" s="84"/>
      <c r="JK5" s="84"/>
      <c r="JL5" s="84"/>
      <c r="JM5" s="84"/>
      <c r="JN5" s="84"/>
      <c r="JO5" s="84"/>
      <c r="JP5" s="84"/>
      <c r="JQ5" s="84"/>
      <c r="JR5" s="84"/>
      <c r="JS5" s="84"/>
      <c r="JT5" s="84"/>
      <c r="JU5" s="84"/>
      <c r="JV5" s="84"/>
      <c r="JW5" s="84"/>
      <c r="JX5" s="84"/>
      <c r="JY5" s="84"/>
      <c r="JZ5" s="84"/>
      <c r="KA5" s="84"/>
      <c r="KB5" s="84"/>
      <c r="KC5" s="84"/>
      <c r="KD5" s="84"/>
      <c r="KE5" s="84"/>
      <c r="KF5" s="84"/>
      <c r="KG5" s="84"/>
      <c r="KH5" s="84"/>
      <c r="KI5" s="84"/>
      <c r="KJ5" s="84"/>
      <c r="KK5" s="84"/>
      <c r="KL5" s="84"/>
      <c r="KM5" s="84"/>
      <c r="KN5" s="84"/>
      <c r="KO5" s="84"/>
      <c r="KP5" s="84"/>
      <c r="KQ5" s="84"/>
      <c r="KR5" s="84"/>
      <c r="KS5" s="84"/>
      <c r="KT5" s="84"/>
      <c r="KU5" s="84"/>
      <c r="KV5" s="84"/>
      <c r="KW5" s="84"/>
      <c r="KX5" s="84"/>
      <c r="KY5" s="84"/>
      <c r="KZ5" s="84"/>
      <c r="LA5" s="84"/>
      <c r="LB5" s="84"/>
      <c r="LC5" s="84"/>
      <c r="LD5" s="84"/>
      <c r="LE5" s="84"/>
      <c r="LF5" s="84"/>
      <c r="LG5" s="84"/>
      <c r="LH5" s="84"/>
      <c r="LI5" s="84"/>
      <c r="LJ5" s="84"/>
      <c r="LK5" s="84"/>
      <c r="LL5" s="84"/>
      <c r="LM5" s="84"/>
      <c r="LN5" s="84"/>
      <c r="LO5" s="84"/>
      <c r="LP5" s="84"/>
      <c r="LQ5" s="84"/>
      <c r="LR5" s="84"/>
      <c r="LS5" s="84"/>
      <c r="LT5" s="84"/>
      <c r="LU5" s="84"/>
      <c r="LV5" s="84"/>
      <c r="LW5" s="84"/>
      <c r="LX5" s="84"/>
      <c r="LY5" s="84"/>
      <c r="LZ5" s="84"/>
      <c r="MA5" s="84"/>
      <c r="MB5" s="84"/>
      <c r="MC5" s="84"/>
      <c r="MD5" s="84"/>
      <c r="ME5" s="84"/>
      <c r="MF5" s="84"/>
      <c r="MG5" s="84"/>
      <c r="MH5" s="84"/>
      <c r="MI5" s="84"/>
      <c r="MJ5" s="84"/>
      <c r="MK5" s="84"/>
      <c r="ML5" s="84"/>
      <c r="MM5" s="84"/>
      <c r="MN5" s="84"/>
      <c r="MO5" s="84"/>
      <c r="MP5" s="84"/>
      <c r="MQ5" s="84"/>
      <c r="MR5" s="84"/>
      <c r="MS5" s="84"/>
      <c r="MT5" s="84"/>
      <c r="MU5" s="84"/>
      <c r="MV5" s="84"/>
      <c r="MW5" s="84"/>
      <c r="MX5" s="84"/>
      <c r="MY5" s="84"/>
      <c r="MZ5" s="84"/>
      <c r="NA5" s="84"/>
      <c r="NB5" s="84"/>
      <c r="NC5" s="84"/>
      <c r="ND5" s="84"/>
      <c r="NE5" s="84"/>
      <c r="NF5" s="84"/>
      <c r="NG5" s="84"/>
      <c r="NH5" s="84"/>
      <c r="NI5" s="84"/>
      <c r="NJ5" s="84"/>
      <c r="NK5" s="84"/>
      <c r="NL5" s="84"/>
      <c r="NM5" s="84"/>
      <c r="NN5" s="84"/>
      <c r="NO5" s="84"/>
      <c r="NP5" s="84"/>
      <c r="NQ5" s="84"/>
      <c r="NR5" s="84"/>
      <c r="NS5" s="84"/>
      <c r="NT5" s="84"/>
      <c r="NU5" s="84"/>
      <c r="NV5" s="84"/>
      <c r="NW5" s="84"/>
      <c r="NX5" s="84"/>
      <c r="NY5" s="84"/>
      <c r="NZ5" s="84"/>
      <c r="OA5" s="84"/>
      <c r="OB5" s="84"/>
      <c r="OC5" s="84"/>
      <c r="OD5" s="84"/>
      <c r="OE5" s="84"/>
      <c r="OF5" s="84"/>
      <c r="OG5" s="84"/>
      <c r="OH5" s="84"/>
      <c r="OI5" s="84"/>
      <c r="OJ5" s="85"/>
    </row>
    <row r="6" spans="1:400" s="33" customFormat="1" ht="34.049999999999997" customHeight="1" x14ac:dyDescent="0.3">
      <c r="A6" s="1795">
        <v>2</v>
      </c>
      <c r="B6" s="2619" t="s">
        <v>43</v>
      </c>
      <c r="C6" s="2640" t="s">
        <v>777</v>
      </c>
      <c r="D6" s="2619" t="s">
        <v>22</v>
      </c>
      <c r="E6" s="2642">
        <v>20000</v>
      </c>
      <c r="F6" s="2642">
        <v>1693800</v>
      </c>
      <c r="G6" s="2643">
        <v>-1673800</v>
      </c>
      <c r="H6" s="2646" t="s">
        <v>4615</v>
      </c>
      <c r="I6" s="2646" t="s">
        <v>1160</v>
      </c>
      <c r="J6" s="2646" t="s">
        <v>742</v>
      </c>
      <c r="K6" s="2646" t="s">
        <v>1161</v>
      </c>
      <c r="L6" s="2677" t="s">
        <v>1162</v>
      </c>
      <c r="M6" s="2692" t="s">
        <v>4634</v>
      </c>
      <c r="N6" s="2684" t="s">
        <v>1163</v>
      </c>
      <c r="O6" s="2648">
        <v>5000</v>
      </c>
      <c r="P6" s="2635">
        <v>0</v>
      </c>
      <c r="Q6" s="2636"/>
      <c r="R6" s="2637"/>
      <c r="S6" s="2637"/>
      <c r="T6" s="2634">
        <f t="shared" si="0"/>
        <v>5000</v>
      </c>
      <c r="U6" s="2338"/>
      <c r="V6" s="2338"/>
      <c r="W6" s="2338"/>
      <c r="X6" s="2338"/>
      <c r="Y6" s="2338"/>
      <c r="Z6" s="2338"/>
      <c r="AA6" s="65"/>
      <c r="AB6" s="65"/>
      <c r="AC6" s="65"/>
      <c r="AD6" s="65"/>
      <c r="AE6" s="65"/>
      <c r="AF6" s="65"/>
      <c r="AG6" s="65"/>
      <c r="AH6" s="65"/>
      <c r="AI6" s="65"/>
      <c r="AJ6" s="65"/>
      <c r="AK6" s="65"/>
      <c r="AL6" s="65"/>
      <c r="AM6" s="65"/>
      <c r="AN6" s="65"/>
      <c r="AO6" s="65"/>
      <c r="AP6" s="65"/>
      <c r="AQ6" s="65"/>
      <c r="AR6" s="65"/>
      <c r="AS6" s="65"/>
      <c r="AT6" s="65"/>
      <c r="AU6" s="65"/>
      <c r="AV6" s="65"/>
      <c r="AW6" s="65"/>
      <c r="AX6" s="65"/>
      <c r="AY6" s="65"/>
      <c r="AZ6" s="65"/>
      <c r="BA6" s="65"/>
      <c r="BB6" s="65"/>
      <c r="BC6" s="65"/>
      <c r="BD6" s="65"/>
      <c r="BE6" s="65"/>
      <c r="BF6" s="65"/>
      <c r="BG6" s="65"/>
      <c r="BH6" s="65"/>
      <c r="BI6" s="65"/>
      <c r="BJ6" s="65"/>
      <c r="BK6" s="65"/>
      <c r="BL6" s="65"/>
      <c r="BM6" s="65"/>
      <c r="BN6" s="65"/>
      <c r="BO6" s="65"/>
      <c r="BP6" s="65"/>
      <c r="BQ6" s="65"/>
      <c r="BR6" s="65"/>
      <c r="BS6" s="65"/>
      <c r="BT6" s="65"/>
      <c r="BU6" s="65"/>
      <c r="BV6" s="65"/>
      <c r="BW6" s="65"/>
      <c r="BX6" s="65"/>
      <c r="BY6" s="65"/>
      <c r="BZ6" s="65"/>
      <c r="CA6" s="65"/>
      <c r="CB6" s="65"/>
      <c r="CC6" s="65"/>
      <c r="CD6" s="65"/>
      <c r="CE6" s="65"/>
      <c r="CF6" s="65"/>
      <c r="CG6" s="65"/>
      <c r="CH6" s="65"/>
      <c r="CI6" s="65"/>
      <c r="CJ6" s="65"/>
      <c r="CK6" s="65"/>
      <c r="CL6" s="65"/>
      <c r="CM6" s="65"/>
      <c r="CN6" s="65"/>
      <c r="CO6" s="65"/>
      <c r="CP6" s="65"/>
      <c r="CQ6" s="65"/>
      <c r="CR6" s="65"/>
      <c r="CS6" s="65"/>
      <c r="CT6" s="65"/>
      <c r="CU6" s="65"/>
      <c r="CV6" s="65"/>
      <c r="CW6" s="65"/>
      <c r="CX6" s="65"/>
      <c r="CY6" s="65"/>
      <c r="CZ6" s="65"/>
      <c r="DA6" s="65"/>
      <c r="DB6" s="65"/>
      <c r="DC6" s="65"/>
      <c r="DD6" s="65"/>
      <c r="DE6" s="65"/>
      <c r="DF6" s="65"/>
      <c r="DG6" s="65"/>
      <c r="DH6" s="65"/>
      <c r="DI6" s="65"/>
      <c r="DJ6" s="65"/>
      <c r="DK6" s="65"/>
      <c r="DL6" s="65"/>
      <c r="DM6" s="65"/>
      <c r="DN6" s="65"/>
      <c r="DO6" s="65"/>
      <c r="DP6" s="65"/>
      <c r="DQ6" s="65"/>
      <c r="DR6" s="65"/>
      <c r="DS6" s="65"/>
      <c r="DT6" s="65"/>
      <c r="DU6" s="65"/>
      <c r="DV6" s="65"/>
      <c r="DW6" s="65"/>
      <c r="DX6" s="65"/>
      <c r="DY6" s="65"/>
      <c r="DZ6" s="65"/>
      <c r="EA6" s="65"/>
      <c r="EB6" s="65"/>
      <c r="EC6" s="65"/>
      <c r="ED6" s="65"/>
      <c r="EE6" s="65"/>
      <c r="EF6" s="65"/>
      <c r="EG6" s="65"/>
      <c r="EH6" s="65"/>
      <c r="EI6" s="65"/>
      <c r="EJ6" s="65"/>
      <c r="EK6" s="65"/>
      <c r="EL6" s="65"/>
      <c r="EM6" s="65"/>
      <c r="EN6" s="65"/>
      <c r="EO6" s="65"/>
      <c r="EP6" s="65"/>
      <c r="EQ6" s="65"/>
      <c r="ER6" s="65"/>
      <c r="ES6" s="65"/>
      <c r="ET6" s="65"/>
      <c r="EU6" s="65"/>
      <c r="EV6" s="65"/>
      <c r="EW6" s="65"/>
      <c r="EX6" s="65"/>
      <c r="EY6" s="65"/>
      <c r="EZ6" s="65"/>
      <c r="FA6" s="65"/>
      <c r="FB6" s="65"/>
      <c r="FC6" s="65"/>
      <c r="FD6" s="65"/>
      <c r="FE6" s="65"/>
      <c r="FF6" s="65"/>
      <c r="FG6" s="65"/>
      <c r="FH6" s="65"/>
      <c r="FI6" s="65"/>
      <c r="FJ6" s="65"/>
      <c r="FK6" s="65"/>
      <c r="FL6" s="65"/>
      <c r="FM6" s="65"/>
      <c r="FN6" s="65"/>
      <c r="FO6" s="65"/>
      <c r="FP6" s="65"/>
      <c r="FQ6" s="65"/>
      <c r="FR6" s="65"/>
      <c r="FS6" s="65"/>
      <c r="FT6" s="65"/>
      <c r="FU6" s="65"/>
      <c r="FV6" s="65"/>
      <c r="FW6" s="65"/>
      <c r="FX6" s="65"/>
      <c r="FY6" s="65"/>
      <c r="FZ6" s="65"/>
      <c r="GA6" s="65"/>
      <c r="GB6" s="65"/>
      <c r="GC6" s="65"/>
      <c r="GD6" s="65"/>
      <c r="GE6" s="65"/>
      <c r="GF6" s="65"/>
      <c r="GG6" s="65"/>
      <c r="GH6" s="65"/>
      <c r="GI6" s="65"/>
      <c r="GJ6" s="65"/>
      <c r="GK6" s="65"/>
      <c r="GL6" s="65"/>
      <c r="GM6" s="65"/>
      <c r="GN6" s="65"/>
      <c r="GO6" s="65"/>
      <c r="GP6" s="65"/>
      <c r="GQ6" s="65"/>
      <c r="GR6" s="65"/>
      <c r="GS6" s="65"/>
      <c r="GT6" s="65"/>
      <c r="GU6" s="65"/>
      <c r="GV6" s="65"/>
      <c r="GW6" s="65"/>
      <c r="GX6" s="65"/>
      <c r="GY6" s="65"/>
      <c r="GZ6" s="65"/>
      <c r="HA6" s="65"/>
      <c r="HB6" s="65"/>
      <c r="HC6" s="65"/>
      <c r="HD6" s="65"/>
      <c r="HE6" s="65"/>
      <c r="HF6" s="65"/>
      <c r="HG6" s="65"/>
      <c r="HH6" s="65"/>
      <c r="HI6" s="65"/>
      <c r="HJ6" s="65"/>
      <c r="HK6" s="65"/>
      <c r="HL6" s="65"/>
      <c r="HM6" s="65"/>
      <c r="HN6" s="65"/>
      <c r="HO6" s="65"/>
      <c r="HP6" s="65"/>
      <c r="HQ6" s="65"/>
      <c r="HR6" s="65"/>
      <c r="HS6" s="65"/>
      <c r="HT6" s="65"/>
      <c r="HU6" s="65"/>
      <c r="HV6" s="65"/>
      <c r="HW6" s="65"/>
      <c r="HX6" s="65"/>
      <c r="HY6" s="65"/>
      <c r="HZ6" s="65"/>
      <c r="IA6" s="65"/>
      <c r="IB6" s="65"/>
      <c r="IC6" s="65"/>
      <c r="ID6" s="65"/>
      <c r="IE6" s="65"/>
      <c r="IF6" s="65"/>
      <c r="IG6" s="65"/>
      <c r="IH6" s="65"/>
      <c r="II6" s="65"/>
      <c r="IJ6" s="65"/>
      <c r="IK6" s="65"/>
      <c r="IL6" s="65"/>
      <c r="IM6" s="65"/>
      <c r="IN6" s="65"/>
      <c r="IO6" s="65"/>
      <c r="IP6" s="65"/>
      <c r="IQ6" s="65"/>
      <c r="IR6" s="65"/>
      <c r="IS6" s="65"/>
      <c r="IT6" s="65"/>
      <c r="IU6" s="65"/>
      <c r="IV6" s="65"/>
      <c r="IW6" s="65"/>
      <c r="IX6" s="65"/>
      <c r="IY6" s="65"/>
      <c r="IZ6" s="65"/>
      <c r="JA6" s="65"/>
      <c r="JB6" s="65"/>
      <c r="JC6" s="65"/>
      <c r="JD6" s="65"/>
      <c r="JE6" s="65"/>
      <c r="JF6" s="65"/>
      <c r="JG6" s="65"/>
      <c r="JH6" s="65"/>
      <c r="JI6" s="65"/>
      <c r="JJ6" s="65"/>
      <c r="JK6" s="65"/>
      <c r="JL6" s="65"/>
      <c r="JM6" s="65"/>
      <c r="JN6" s="65"/>
      <c r="JO6" s="65"/>
      <c r="JP6" s="65"/>
      <c r="JQ6" s="65"/>
      <c r="JR6" s="65"/>
      <c r="JS6" s="65"/>
      <c r="JT6" s="65"/>
      <c r="JU6" s="65"/>
      <c r="JV6" s="65"/>
      <c r="JW6" s="65"/>
      <c r="JX6" s="65"/>
      <c r="JY6" s="65"/>
      <c r="JZ6" s="65"/>
      <c r="KA6" s="65"/>
      <c r="KB6" s="65"/>
      <c r="KC6" s="65"/>
      <c r="KD6" s="65"/>
      <c r="KE6" s="65"/>
      <c r="KF6" s="65"/>
      <c r="KG6" s="65"/>
      <c r="KH6" s="65"/>
      <c r="KI6" s="65"/>
      <c r="KJ6" s="65"/>
      <c r="KK6" s="65"/>
      <c r="KL6" s="65"/>
      <c r="KM6" s="65"/>
      <c r="KN6" s="65"/>
      <c r="KO6" s="65"/>
      <c r="KP6" s="65"/>
      <c r="KQ6" s="65"/>
      <c r="KR6" s="65"/>
      <c r="KS6" s="65"/>
      <c r="KT6" s="65"/>
      <c r="KU6" s="65"/>
      <c r="KV6" s="65"/>
      <c r="KW6" s="65"/>
      <c r="KX6" s="65"/>
      <c r="KY6" s="65"/>
      <c r="KZ6" s="65"/>
      <c r="LA6" s="65"/>
      <c r="LB6" s="65"/>
      <c r="LC6" s="65"/>
      <c r="LD6" s="65"/>
      <c r="LE6" s="65"/>
      <c r="LF6" s="65"/>
      <c r="LG6" s="65"/>
      <c r="LH6" s="65"/>
      <c r="LI6" s="65"/>
      <c r="LJ6" s="65"/>
      <c r="LK6" s="65"/>
      <c r="LL6" s="65"/>
      <c r="LM6" s="65"/>
      <c r="LN6" s="65"/>
      <c r="LO6" s="65"/>
      <c r="LP6" s="65"/>
      <c r="LQ6" s="65"/>
      <c r="LR6" s="65"/>
      <c r="LS6" s="65"/>
      <c r="LT6" s="65"/>
      <c r="LU6" s="65"/>
      <c r="LV6" s="65"/>
      <c r="LW6" s="65"/>
      <c r="LX6" s="65"/>
      <c r="LY6" s="65"/>
      <c r="LZ6" s="65"/>
      <c r="MA6" s="65"/>
      <c r="MB6" s="65"/>
      <c r="MC6" s="65"/>
      <c r="MD6" s="65"/>
      <c r="ME6" s="65"/>
      <c r="MF6" s="65"/>
      <c r="MG6" s="65"/>
      <c r="MH6" s="65"/>
      <c r="MI6" s="65"/>
      <c r="MJ6" s="65"/>
      <c r="MK6" s="65"/>
      <c r="ML6" s="65"/>
      <c r="MM6" s="65"/>
      <c r="MN6" s="65"/>
      <c r="MO6" s="65"/>
      <c r="MP6" s="65"/>
      <c r="MQ6" s="65"/>
      <c r="MR6" s="65"/>
      <c r="MS6" s="65"/>
      <c r="MT6" s="65"/>
      <c r="MU6" s="65"/>
      <c r="MV6" s="65"/>
      <c r="MW6" s="65"/>
      <c r="MX6" s="65"/>
      <c r="MY6" s="65"/>
      <c r="MZ6" s="65"/>
      <c r="NA6" s="65"/>
      <c r="NB6" s="65"/>
      <c r="NC6" s="65"/>
      <c r="ND6" s="65"/>
      <c r="NE6" s="65"/>
      <c r="NF6" s="65"/>
      <c r="NG6" s="65"/>
      <c r="NH6" s="65"/>
      <c r="NI6" s="65"/>
      <c r="NJ6" s="65"/>
      <c r="NK6" s="65"/>
      <c r="NL6" s="65"/>
      <c r="NM6" s="65"/>
      <c r="NN6" s="65"/>
      <c r="NO6" s="65"/>
      <c r="NP6" s="65"/>
      <c r="NQ6" s="65"/>
      <c r="NR6" s="65"/>
      <c r="NS6" s="65"/>
      <c r="NT6" s="65"/>
      <c r="NU6" s="65"/>
      <c r="NV6" s="65"/>
      <c r="NW6" s="65"/>
      <c r="NX6" s="65"/>
      <c r="NY6" s="65"/>
      <c r="NZ6" s="65"/>
      <c r="OA6" s="65"/>
      <c r="OB6" s="65"/>
      <c r="OC6" s="65"/>
      <c r="OD6" s="65"/>
      <c r="OE6" s="65"/>
      <c r="OF6" s="65"/>
      <c r="OG6" s="65"/>
      <c r="OH6" s="65"/>
      <c r="OI6" s="65"/>
      <c r="OJ6" s="66"/>
    </row>
    <row r="7" spans="1:400" s="34" customFormat="1" ht="34.049999999999997" customHeight="1" x14ac:dyDescent="0.3">
      <c r="A7" s="1796">
        <v>3</v>
      </c>
      <c r="B7" s="2553" t="s">
        <v>715</v>
      </c>
      <c r="C7" s="2641" t="s">
        <v>778</v>
      </c>
      <c r="D7" s="2553" t="s">
        <v>19</v>
      </c>
      <c r="E7" s="2645">
        <v>0</v>
      </c>
      <c r="F7" s="2645">
        <v>1693800</v>
      </c>
      <c r="G7" s="2644">
        <v>-1693800</v>
      </c>
      <c r="H7" s="2647" t="s">
        <v>4616</v>
      </c>
      <c r="I7" s="2647" t="s">
        <v>1164</v>
      </c>
      <c r="J7" s="2647" t="s">
        <v>742</v>
      </c>
      <c r="K7" s="2647" t="s">
        <v>1165</v>
      </c>
      <c r="L7" s="2678" t="s">
        <v>1166</v>
      </c>
      <c r="M7" s="2693" t="s">
        <v>4635</v>
      </c>
      <c r="N7" s="2685" t="s">
        <v>1163</v>
      </c>
      <c r="O7" s="2648">
        <v>0</v>
      </c>
      <c r="P7" s="2635">
        <v>50000</v>
      </c>
      <c r="Q7" s="2636"/>
      <c r="R7" s="2637"/>
      <c r="S7" s="2637"/>
      <c r="T7" s="2634">
        <f t="shared" si="0"/>
        <v>50000</v>
      </c>
      <c r="U7" s="2338"/>
      <c r="V7" s="2338"/>
      <c r="W7" s="2338"/>
      <c r="X7" s="2338"/>
      <c r="Y7" s="2338"/>
      <c r="Z7" s="2338"/>
      <c r="AA7" s="67"/>
      <c r="AB7" s="67"/>
      <c r="AC7" s="67"/>
      <c r="AD7" s="67"/>
      <c r="AE7" s="67"/>
      <c r="AF7" s="67"/>
      <c r="AG7" s="67"/>
      <c r="AH7" s="67"/>
      <c r="AI7" s="67"/>
      <c r="AJ7" s="67"/>
      <c r="AK7" s="67"/>
      <c r="AL7" s="67"/>
      <c r="AM7" s="67"/>
      <c r="AN7" s="67"/>
      <c r="AO7" s="67"/>
      <c r="AP7" s="67"/>
      <c r="AQ7" s="67"/>
      <c r="AR7" s="67"/>
      <c r="AS7" s="67"/>
      <c r="AT7" s="67"/>
      <c r="AU7" s="67"/>
      <c r="AV7" s="67"/>
      <c r="AW7" s="67"/>
      <c r="AX7" s="67"/>
      <c r="AY7" s="67"/>
      <c r="AZ7" s="67"/>
      <c r="BA7" s="67"/>
      <c r="BB7" s="67"/>
      <c r="BC7" s="67"/>
      <c r="BD7" s="67"/>
      <c r="BE7" s="67"/>
      <c r="BF7" s="67"/>
      <c r="BG7" s="67"/>
      <c r="BH7" s="67"/>
      <c r="BI7" s="67"/>
      <c r="BJ7" s="67"/>
      <c r="BK7" s="67"/>
      <c r="BL7" s="67"/>
      <c r="BM7" s="67"/>
      <c r="BN7" s="67"/>
      <c r="BO7" s="67"/>
      <c r="BP7" s="67"/>
      <c r="BQ7" s="67"/>
      <c r="BR7" s="67"/>
      <c r="BS7" s="67"/>
      <c r="BT7" s="67"/>
      <c r="BU7" s="67"/>
      <c r="BV7" s="67"/>
      <c r="BW7" s="67"/>
      <c r="BX7" s="67"/>
      <c r="BY7" s="67"/>
      <c r="BZ7" s="67"/>
      <c r="CA7" s="67"/>
      <c r="CB7" s="67"/>
      <c r="CC7" s="67"/>
      <c r="CD7" s="67"/>
      <c r="CE7" s="67"/>
      <c r="CF7" s="67"/>
      <c r="CG7" s="67"/>
      <c r="CH7" s="67"/>
      <c r="CI7" s="67"/>
      <c r="CJ7" s="67"/>
      <c r="CK7" s="67"/>
      <c r="CL7" s="67"/>
      <c r="CM7" s="67"/>
      <c r="CN7" s="67"/>
      <c r="CO7" s="67"/>
      <c r="CP7" s="67"/>
      <c r="CQ7" s="67"/>
      <c r="CR7" s="67"/>
      <c r="CS7" s="67"/>
      <c r="CT7" s="67"/>
      <c r="CU7" s="67"/>
      <c r="CV7" s="67"/>
      <c r="CW7" s="67"/>
      <c r="CX7" s="67"/>
      <c r="CY7" s="67"/>
      <c r="CZ7" s="67"/>
      <c r="DA7" s="67"/>
      <c r="DB7" s="67"/>
      <c r="DC7" s="67"/>
      <c r="DD7" s="67"/>
      <c r="DE7" s="67"/>
      <c r="DF7" s="67"/>
      <c r="DG7" s="67"/>
      <c r="DH7" s="67"/>
      <c r="DI7" s="67"/>
      <c r="DJ7" s="67"/>
      <c r="DK7" s="67"/>
      <c r="DL7" s="67"/>
      <c r="DM7" s="67"/>
      <c r="DN7" s="67"/>
      <c r="DO7" s="67"/>
      <c r="DP7" s="67"/>
      <c r="DQ7" s="67"/>
      <c r="DR7" s="67"/>
      <c r="DS7" s="67"/>
      <c r="DT7" s="67"/>
      <c r="DU7" s="67"/>
      <c r="DV7" s="67"/>
      <c r="DW7" s="67"/>
      <c r="DX7" s="67"/>
      <c r="DY7" s="67"/>
      <c r="DZ7" s="67"/>
      <c r="EA7" s="67"/>
      <c r="EB7" s="67"/>
      <c r="EC7" s="67"/>
      <c r="ED7" s="67"/>
      <c r="EE7" s="67"/>
      <c r="EF7" s="67"/>
      <c r="EG7" s="67"/>
      <c r="EH7" s="67"/>
      <c r="EI7" s="67"/>
      <c r="EJ7" s="67"/>
      <c r="EK7" s="67"/>
      <c r="EL7" s="67"/>
      <c r="EM7" s="67"/>
      <c r="EN7" s="67"/>
      <c r="EO7" s="67"/>
      <c r="EP7" s="67"/>
      <c r="EQ7" s="67"/>
      <c r="ER7" s="67"/>
      <c r="ES7" s="67"/>
      <c r="ET7" s="67"/>
      <c r="EU7" s="67"/>
      <c r="EV7" s="67"/>
      <c r="EW7" s="67"/>
      <c r="EX7" s="67"/>
      <c r="EY7" s="67"/>
      <c r="EZ7" s="67"/>
      <c r="FA7" s="67"/>
      <c r="FB7" s="67"/>
      <c r="FC7" s="67"/>
      <c r="FD7" s="67"/>
      <c r="FE7" s="67"/>
      <c r="FF7" s="67"/>
      <c r="FG7" s="67"/>
      <c r="FH7" s="67"/>
      <c r="FI7" s="67"/>
      <c r="FJ7" s="67"/>
      <c r="FK7" s="67"/>
      <c r="FL7" s="67"/>
      <c r="FM7" s="67"/>
      <c r="FN7" s="67"/>
      <c r="FO7" s="67"/>
      <c r="FP7" s="67"/>
      <c r="FQ7" s="67"/>
      <c r="FR7" s="67"/>
      <c r="FS7" s="67"/>
      <c r="FT7" s="67"/>
      <c r="FU7" s="67"/>
      <c r="FV7" s="67"/>
      <c r="FW7" s="67"/>
      <c r="FX7" s="67"/>
      <c r="FY7" s="67"/>
      <c r="FZ7" s="67"/>
      <c r="GA7" s="67"/>
      <c r="GB7" s="67"/>
      <c r="GC7" s="67"/>
      <c r="GD7" s="67"/>
      <c r="GE7" s="67"/>
      <c r="GF7" s="67"/>
      <c r="GG7" s="67"/>
      <c r="GH7" s="67"/>
      <c r="GI7" s="67"/>
      <c r="GJ7" s="67"/>
      <c r="GK7" s="67"/>
      <c r="GL7" s="67"/>
      <c r="GM7" s="67"/>
      <c r="GN7" s="67"/>
      <c r="GO7" s="67"/>
      <c r="GP7" s="67"/>
      <c r="GQ7" s="67"/>
      <c r="GR7" s="67"/>
      <c r="GS7" s="67"/>
      <c r="GT7" s="67"/>
      <c r="GU7" s="67"/>
      <c r="GV7" s="67"/>
      <c r="GW7" s="67"/>
      <c r="GX7" s="67"/>
      <c r="GY7" s="67"/>
      <c r="GZ7" s="67"/>
      <c r="HA7" s="67"/>
      <c r="HB7" s="67"/>
      <c r="HC7" s="67"/>
      <c r="HD7" s="67"/>
      <c r="HE7" s="67"/>
      <c r="HF7" s="67"/>
      <c r="HG7" s="67"/>
      <c r="HH7" s="67"/>
      <c r="HI7" s="67"/>
      <c r="HJ7" s="67"/>
      <c r="HK7" s="67"/>
      <c r="HL7" s="67"/>
      <c r="HM7" s="67"/>
      <c r="HN7" s="67"/>
      <c r="HO7" s="67"/>
      <c r="HP7" s="67"/>
      <c r="HQ7" s="67"/>
      <c r="HR7" s="67"/>
      <c r="HS7" s="67"/>
      <c r="HT7" s="67"/>
      <c r="HU7" s="67"/>
      <c r="HV7" s="67"/>
      <c r="HW7" s="67"/>
      <c r="HX7" s="67"/>
      <c r="HY7" s="67"/>
      <c r="HZ7" s="67"/>
      <c r="IA7" s="67"/>
      <c r="IB7" s="67"/>
      <c r="IC7" s="67"/>
      <c r="ID7" s="67"/>
      <c r="IE7" s="67"/>
      <c r="IF7" s="67"/>
      <c r="IG7" s="67"/>
      <c r="IH7" s="67"/>
      <c r="II7" s="67"/>
      <c r="IJ7" s="67"/>
      <c r="IK7" s="67"/>
      <c r="IL7" s="67"/>
      <c r="IM7" s="67"/>
      <c r="IN7" s="67"/>
      <c r="IO7" s="67"/>
      <c r="IP7" s="67"/>
      <c r="IQ7" s="67"/>
      <c r="IR7" s="67"/>
      <c r="IS7" s="67"/>
      <c r="IT7" s="67"/>
      <c r="IU7" s="67"/>
      <c r="IV7" s="67"/>
      <c r="IW7" s="67"/>
      <c r="IX7" s="67"/>
      <c r="IY7" s="67"/>
      <c r="IZ7" s="67"/>
      <c r="JA7" s="67"/>
      <c r="JB7" s="67"/>
      <c r="JC7" s="67"/>
      <c r="JD7" s="67"/>
      <c r="JE7" s="67"/>
      <c r="JF7" s="67"/>
      <c r="JG7" s="67"/>
      <c r="JH7" s="67"/>
      <c r="JI7" s="67"/>
      <c r="JJ7" s="67"/>
      <c r="JK7" s="67"/>
      <c r="JL7" s="67"/>
      <c r="JM7" s="67"/>
      <c r="JN7" s="67"/>
      <c r="JO7" s="67"/>
      <c r="JP7" s="67"/>
      <c r="JQ7" s="67"/>
      <c r="JR7" s="67"/>
      <c r="JS7" s="67"/>
      <c r="JT7" s="67"/>
      <c r="JU7" s="67"/>
      <c r="JV7" s="67"/>
      <c r="JW7" s="67"/>
      <c r="JX7" s="67"/>
      <c r="JY7" s="67"/>
      <c r="JZ7" s="67"/>
      <c r="KA7" s="67"/>
      <c r="KB7" s="67"/>
      <c r="KC7" s="67"/>
      <c r="KD7" s="67"/>
      <c r="KE7" s="67"/>
      <c r="KF7" s="67"/>
      <c r="KG7" s="67"/>
      <c r="KH7" s="67"/>
      <c r="KI7" s="67"/>
      <c r="KJ7" s="67"/>
      <c r="KK7" s="67"/>
      <c r="KL7" s="67"/>
      <c r="KM7" s="67"/>
      <c r="KN7" s="67"/>
      <c r="KO7" s="67"/>
      <c r="KP7" s="67"/>
      <c r="KQ7" s="67"/>
      <c r="KR7" s="67"/>
      <c r="KS7" s="67"/>
      <c r="KT7" s="67"/>
      <c r="KU7" s="67"/>
      <c r="KV7" s="67"/>
      <c r="KW7" s="67"/>
      <c r="KX7" s="67"/>
      <c r="KY7" s="67"/>
      <c r="KZ7" s="67"/>
      <c r="LA7" s="67"/>
      <c r="LB7" s="67"/>
      <c r="LC7" s="67"/>
      <c r="LD7" s="67"/>
      <c r="LE7" s="67"/>
      <c r="LF7" s="67"/>
      <c r="LG7" s="67"/>
      <c r="LH7" s="67"/>
      <c r="LI7" s="67"/>
      <c r="LJ7" s="67"/>
      <c r="LK7" s="67"/>
      <c r="LL7" s="67"/>
      <c r="LM7" s="67"/>
      <c r="LN7" s="67"/>
      <c r="LO7" s="67"/>
      <c r="LP7" s="67"/>
      <c r="LQ7" s="67"/>
      <c r="LR7" s="67"/>
      <c r="LS7" s="67"/>
      <c r="LT7" s="67"/>
      <c r="LU7" s="67"/>
      <c r="LV7" s="67"/>
      <c r="LW7" s="67"/>
      <c r="LX7" s="67"/>
      <c r="LY7" s="67"/>
      <c r="LZ7" s="67"/>
      <c r="MA7" s="67"/>
      <c r="MB7" s="67"/>
      <c r="MC7" s="67"/>
      <c r="MD7" s="67"/>
      <c r="ME7" s="67"/>
      <c r="MF7" s="67"/>
      <c r="MG7" s="67"/>
      <c r="MH7" s="67"/>
      <c r="MI7" s="67"/>
      <c r="MJ7" s="67"/>
      <c r="MK7" s="67"/>
      <c r="ML7" s="67"/>
      <c r="MM7" s="67"/>
      <c r="MN7" s="67"/>
      <c r="MO7" s="67"/>
      <c r="MP7" s="67"/>
      <c r="MQ7" s="67"/>
      <c r="MR7" s="67"/>
      <c r="MS7" s="67"/>
      <c r="MT7" s="67"/>
      <c r="MU7" s="67"/>
      <c r="MV7" s="67"/>
      <c r="MW7" s="67"/>
      <c r="MX7" s="67"/>
      <c r="MY7" s="67"/>
      <c r="MZ7" s="67"/>
      <c r="NA7" s="67"/>
      <c r="NB7" s="67"/>
      <c r="NC7" s="67"/>
      <c r="ND7" s="67"/>
      <c r="NE7" s="67"/>
      <c r="NF7" s="67"/>
      <c r="NG7" s="67"/>
      <c r="NH7" s="67"/>
      <c r="NI7" s="67"/>
      <c r="NJ7" s="67"/>
      <c r="NK7" s="67"/>
      <c r="NL7" s="67"/>
      <c r="NM7" s="67"/>
      <c r="NN7" s="67"/>
      <c r="NO7" s="67"/>
      <c r="NP7" s="67"/>
      <c r="NQ7" s="67"/>
      <c r="NR7" s="67"/>
      <c r="NS7" s="67"/>
      <c r="NT7" s="67"/>
      <c r="NU7" s="67"/>
      <c r="NV7" s="67"/>
      <c r="NW7" s="67"/>
      <c r="NX7" s="67"/>
      <c r="NY7" s="67"/>
      <c r="NZ7" s="67"/>
      <c r="OA7" s="67"/>
      <c r="OB7" s="67"/>
      <c r="OC7" s="67"/>
      <c r="OD7" s="67"/>
      <c r="OE7" s="67"/>
      <c r="OF7" s="67"/>
      <c r="OG7" s="67"/>
      <c r="OH7" s="67"/>
      <c r="OI7" s="67"/>
      <c r="OJ7" s="68"/>
    </row>
    <row r="8" spans="1:400" s="33" customFormat="1" ht="34.049999999999997" customHeight="1" x14ac:dyDescent="0.3">
      <c r="A8" s="1795">
        <v>4</v>
      </c>
      <c r="B8" s="2619" t="s">
        <v>57</v>
      </c>
      <c r="C8" s="2640" t="s">
        <v>779</v>
      </c>
      <c r="D8" s="2619" t="s">
        <v>19</v>
      </c>
      <c r="E8" s="2642">
        <v>0</v>
      </c>
      <c r="F8" s="2642">
        <v>1693800</v>
      </c>
      <c r="G8" s="2643">
        <v>-1693800</v>
      </c>
      <c r="H8" s="2646" t="s">
        <v>4617</v>
      </c>
      <c r="I8" s="2646" t="s">
        <v>1167</v>
      </c>
      <c r="J8" s="2646" t="s">
        <v>742</v>
      </c>
      <c r="K8" s="2646" t="s">
        <v>1168</v>
      </c>
      <c r="L8" s="2677" t="s">
        <v>1166</v>
      </c>
      <c r="M8" s="2692" t="s">
        <v>4636</v>
      </c>
      <c r="N8" s="2684" t="s">
        <v>1169</v>
      </c>
      <c r="O8" s="2648">
        <v>0</v>
      </c>
      <c r="P8" s="2635">
        <v>0</v>
      </c>
      <c r="Q8" s="2636"/>
      <c r="R8" s="2637"/>
      <c r="S8" s="2637"/>
      <c r="T8" s="2634">
        <f t="shared" si="0"/>
        <v>0</v>
      </c>
      <c r="U8" s="2338"/>
      <c r="V8" s="2338"/>
      <c r="W8" s="2338"/>
      <c r="X8" s="2338"/>
      <c r="Y8" s="2338"/>
      <c r="Z8" s="2338"/>
      <c r="AA8" s="65"/>
      <c r="AB8" s="65"/>
      <c r="AC8" s="65"/>
      <c r="AD8" s="65"/>
      <c r="AE8" s="65"/>
      <c r="AF8" s="65"/>
      <c r="AG8" s="65"/>
      <c r="AH8" s="65"/>
      <c r="AI8" s="65"/>
      <c r="AJ8" s="65"/>
      <c r="AK8" s="65"/>
      <c r="AL8" s="65"/>
      <c r="AM8" s="65"/>
      <c r="AN8" s="65"/>
      <c r="AO8" s="65"/>
      <c r="AP8" s="65"/>
      <c r="AQ8" s="65"/>
      <c r="AR8" s="65"/>
      <c r="AS8" s="65"/>
      <c r="AT8" s="65"/>
      <c r="AU8" s="65"/>
      <c r="AV8" s="65"/>
      <c r="AW8" s="65"/>
      <c r="AX8" s="65"/>
      <c r="AY8" s="65"/>
      <c r="AZ8" s="65"/>
      <c r="BA8" s="65"/>
      <c r="BB8" s="65"/>
      <c r="BC8" s="65"/>
      <c r="BD8" s="65"/>
      <c r="BE8" s="65"/>
      <c r="BF8" s="65"/>
      <c r="BG8" s="65"/>
      <c r="BH8" s="65"/>
      <c r="BI8" s="65"/>
      <c r="BJ8" s="65"/>
      <c r="BK8" s="65"/>
      <c r="BL8" s="65"/>
      <c r="BM8" s="65"/>
      <c r="BN8" s="65"/>
      <c r="BO8" s="65"/>
      <c r="BP8" s="65"/>
      <c r="BQ8" s="65"/>
      <c r="BR8" s="65"/>
      <c r="BS8" s="65"/>
      <c r="BT8" s="65"/>
      <c r="BU8" s="65"/>
      <c r="BV8" s="65"/>
      <c r="BW8" s="65"/>
      <c r="BX8" s="65"/>
      <c r="BY8" s="65"/>
      <c r="BZ8" s="65"/>
      <c r="CA8" s="65"/>
      <c r="CB8" s="65"/>
      <c r="CC8" s="65"/>
      <c r="CD8" s="65"/>
      <c r="CE8" s="65"/>
      <c r="CF8" s="65"/>
      <c r="CG8" s="65"/>
      <c r="CH8" s="65"/>
      <c r="CI8" s="65"/>
      <c r="CJ8" s="65"/>
      <c r="CK8" s="65"/>
      <c r="CL8" s="65"/>
      <c r="CM8" s="65"/>
      <c r="CN8" s="65"/>
      <c r="CO8" s="65"/>
      <c r="CP8" s="65"/>
      <c r="CQ8" s="65"/>
      <c r="CR8" s="65"/>
      <c r="CS8" s="65"/>
      <c r="CT8" s="65"/>
      <c r="CU8" s="65"/>
      <c r="CV8" s="65"/>
      <c r="CW8" s="65"/>
      <c r="CX8" s="65"/>
      <c r="CY8" s="65"/>
      <c r="CZ8" s="65"/>
      <c r="DA8" s="65"/>
      <c r="DB8" s="65"/>
      <c r="DC8" s="65"/>
      <c r="DD8" s="65"/>
      <c r="DE8" s="65"/>
      <c r="DF8" s="65"/>
      <c r="DG8" s="65"/>
      <c r="DH8" s="65"/>
      <c r="DI8" s="65"/>
      <c r="DJ8" s="65"/>
      <c r="DK8" s="65"/>
      <c r="DL8" s="65"/>
      <c r="DM8" s="65"/>
      <c r="DN8" s="65"/>
      <c r="DO8" s="65"/>
      <c r="DP8" s="65"/>
      <c r="DQ8" s="65"/>
      <c r="DR8" s="65"/>
      <c r="DS8" s="65"/>
      <c r="DT8" s="65"/>
      <c r="DU8" s="65"/>
      <c r="DV8" s="65"/>
      <c r="DW8" s="65"/>
      <c r="DX8" s="65"/>
      <c r="DY8" s="65"/>
      <c r="DZ8" s="65"/>
      <c r="EA8" s="65"/>
      <c r="EB8" s="65"/>
      <c r="EC8" s="65"/>
      <c r="ED8" s="65"/>
      <c r="EE8" s="65"/>
      <c r="EF8" s="65"/>
      <c r="EG8" s="65"/>
      <c r="EH8" s="65"/>
      <c r="EI8" s="65"/>
      <c r="EJ8" s="65"/>
      <c r="EK8" s="65"/>
      <c r="EL8" s="65"/>
      <c r="EM8" s="65"/>
      <c r="EN8" s="65"/>
      <c r="EO8" s="65"/>
      <c r="EP8" s="65"/>
      <c r="EQ8" s="65"/>
      <c r="ER8" s="65"/>
      <c r="ES8" s="65"/>
      <c r="ET8" s="65"/>
      <c r="EU8" s="65"/>
      <c r="EV8" s="65"/>
      <c r="EW8" s="65"/>
      <c r="EX8" s="65"/>
      <c r="EY8" s="65"/>
      <c r="EZ8" s="65"/>
      <c r="FA8" s="65"/>
      <c r="FB8" s="65"/>
      <c r="FC8" s="65"/>
      <c r="FD8" s="65"/>
      <c r="FE8" s="65"/>
      <c r="FF8" s="65"/>
      <c r="FG8" s="65"/>
      <c r="FH8" s="65"/>
      <c r="FI8" s="65"/>
      <c r="FJ8" s="65"/>
      <c r="FK8" s="65"/>
      <c r="FL8" s="65"/>
      <c r="FM8" s="65"/>
      <c r="FN8" s="65"/>
      <c r="FO8" s="65"/>
      <c r="FP8" s="65"/>
      <c r="FQ8" s="65"/>
      <c r="FR8" s="65"/>
      <c r="FS8" s="65"/>
      <c r="FT8" s="65"/>
      <c r="FU8" s="65"/>
      <c r="FV8" s="65"/>
      <c r="FW8" s="65"/>
      <c r="FX8" s="65"/>
      <c r="FY8" s="65"/>
      <c r="FZ8" s="65"/>
      <c r="GA8" s="65"/>
      <c r="GB8" s="65"/>
      <c r="GC8" s="65"/>
      <c r="GD8" s="65"/>
      <c r="GE8" s="65"/>
      <c r="GF8" s="65"/>
      <c r="GG8" s="65"/>
      <c r="GH8" s="65"/>
      <c r="GI8" s="65"/>
      <c r="GJ8" s="65"/>
      <c r="GK8" s="65"/>
      <c r="GL8" s="65"/>
      <c r="GM8" s="65"/>
      <c r="GN8" s="65"/>
      <c r="GO8" s="65"/>
      <c r="GP8" s="65"/>
      <c r="GQ8" s="65"/>
      <c r="GR8" s="65"/>
      <c r="GS8" s="65"/>
      <c r="GT8" s="65"/>
      <c r="GU8" s="65"/>
      <c r="GV8" s="65"/>
      <c r="GW8" s="65"/>
      <c r="GX8" s="65"/>
      <c r="GY8" s="65"/>
      <c r="GZ8" s="65"/>
      <c r="HA8" s="65"/>
      <c r="HB8" s="65"/>
      <c r="HC8" s="65"/>
      <c r="HD8" s="65"/>
      <c r="HE8" s="65"/>
      <c r="HF8" s="65"/>
      <c r="HG8" s="65"/>
      <c r="HH8" s="65"/>
      <c r="HI8" s="65"/>
      <c r="HJ8" s="65"/>
      <c r="HK8" s="65"/>
      <c r="HL8" s="65"/>
      <c r="HM8" s="65"/>
      <c r="HN8" s="65"/>
      <c r="HO8" s="65"/>
      <c r="HP8" s="65"/>
      <c r="HQ8" s="65"/>
      <c r="HR8" s="65"/>
      <c r="HS8" s="65"/>
      <c r="HT8" s="65"/>
      <c r="HU8" s="65"/>
      <c r="HV8" s="65"/>
      <c r="HW8" s="65"/>
      <c r="HX8" s="65"/>
      <c r="HY8" s="65"/>
      <c r="HZ8" s="65"/>
      <c r="IA8" s="65"/>
      <c r="IB8" s="65"/>
      <c r="IC8" s="65"/>
      <c r="ID8" s="65"/>
      <c r="IE8" s="65"/>
      <c r="IF8" s="65"/>
      <c r="IG8" s="65"/>
      <c r="IH8" s="65"/>
      <c r="II8" s="65"/>
      <c r="IJ8" s="65"/>
      <c r="IK8" s="65"/>
      <c r="IL8" s="65"/>
      <c r="IM8" s="65"/>
      <c r="IN8" s="65"/>
      <c r="IO8" s="65"/>
      <c r="IP8" s="65"/>
      <c r="IQ8" s="65"/>
      <c r="IR8" s="65"/>
      <c r="IS8" s="65"/>
      <c r="IT8" s="65"/>
      <c r="IU8" s="65"/>
      <c r="IV8" s="65"/>
      <c r="IW8" s="65"/>
      <c r="IX8" s="65"/>
      <c r="IY8" s="65"/>
      <c r="IZ8" s="65"/>
      <c r="JA8" s="65"/>
      <c r="JB8" s="65"/>
      <c r="JC8" s="65"/>
      <c r="JD8" s="65"/>
      <c r="JE8" s="65"/>
      <c r="JF8" s="65"/>
      <c r="JG8" s="65"/>
      <c r="JH8" s="65"/>
      <c r="JI8" s="65"/>
      <c r="JJ8" s="65"/>
      <c r="JK8" s="65"/>
      <c r="JL8" s="65"/>
      <c r="JM8" s="65"/>
      <c r="JN8" s="65"/>
      <c r="JO8" s="65"/>
      <c r="JP8" s="65"/>
      <c r="JQ8" s="65"/>
      <c r="JR8" s="65"/>
      <c r="JS8" s="65"/>
      <c r="JT8" s="65"/>
      <c r="JU8" s="65"/>
      <c r="JV8" s="65"/>
      <c r="JW8" s="65"/>
      <c r="JX8" s="65"/>
      <c r="JY8" s="65"/>
      <c r="JZ8" s="65"/>
      <c r="KA8" s="65"/>
      <c r="KB8" s="65"/>
      <c r="KC8" s="65"/>
      <c r="KD8" s="65"/>
      <c r="KE8" s="65"/>
      <c r="KF8" s="65"/>
      <c r="KG8" s="65"/>
      <c r="KH8" s="65"/>
      <c r="KI8" s="65"/>
      <c r="KJ8" s="65"/>
      <c r="KK8" s="65"/>
      <c r="KL8" s="65"/>
      <c r="KM8" s="65"/>
      <c r="KN8" s="65"/>
      <c r="KO8" s="65"/>
      <c r="KP8" s="65"/>
      <c r="KQ8" s="65"/>
      <c r="KR8" s="65"/>
      <c r="KS8" s="65"/>
      <c r="KT8" s="65"/>
      <c r="KU8" s="65"/>
      <c r="KV8" s="65"/>
      <c r="KW8" s="65"/>
      <c r="KX8" s="65"/>
      <c r="KY8" s="65"/>
      <c r="KZ8" s="65"/>
      <c r="LA8" s="65"/>
      <c r="LB8" s="65"/>
      <c r="LC8" s="65"/>
      <c r="LD8" s="65"/>
      <c r="LE8" s="65"/>
      <c r="LF8" s="65"/>
      <c r="LG8" s="65"/>
      <c r="LH8" s="65"/>
      <c r="LI8" s="65"/>
      <c r="LJ8" s="65"/>
      <c r="LK8" s="65"/>
      <c r="LL8" s="65"/>
      <c r="LM8" s="65"/>
      <c r="LN8" s="65"/>
      <c r="LO8" s="65"/>
      <c r="LP8" s="65"/>
      <c r="LQ8" s="65"/>
      <c r="LR8" s="65"/>
      <c r="LS8" s="65"/>
      <c r="LT8" s="65"/>
      <c r="LU8" s="65"/>
      <c r="LV8" s="65"/>
      <c r="LW8" s="65"/>
      <c r="LX8" s="65"/>
      <c r="LY8" s="65"/>
      <c r="LZ8" s="65"/>
      <c r="MA8" s="65"/>
      <c r="MB8" s="65"/>
      <c r="MC8" s="65"/>
      <c r="MD8" s="65"/>
      <c r="ME8" s="65"/>
      <c r="MF8" s="65"/>
      <c r="MG8" s="65"/>
      <c r="MH8" s="65"/>
      <c r="MI8" s="65"/>
      <c r="MJ8" s="65"/>
      <c r="MK8" s="65"/>
      <c r="ML8" s="65"/>
      <c r="MM8" s="65"/>
      <c r="MN8" s="65"/>
      <c r="MO8" s="65"/>
      <c r="MP8" s="65"/>
      <c r="MQ8" s="65"/>
      <c r="MR8" s="65"/>
      <c r="MS8" s="65"/>
      <c r="MT8" s="65"/>
      <c r="MU8" s="65"/>
      <c r="MV8" s="65"/>
      <c r="MW8" s="65"/>
      <c r="MX8" s="65"/>
      <c r="MY8" s="65"/>
      <c r="MZ8" s="65"/>
      <c r="NA8" s="65"/>
      <c r="NB8" s="65"/>
      <c r="NC8" s="65"/>
      <c r="ND8" s="65"/>
      <c r="NE8" s="65"/>
      <c r="NF8" s="65"/>
      <c r="NG8" s="65"/>
      <c r="NH8" s="65"/>
      <c r="NI8" s="65"/>
      <c r="NJ8" s="65"/>
      <c r="NK8" s="65"/>
      <c r="NL8" s="65"/>
      <c r="NM8" s="65"/>
      <c r="NN8" s="65"/>
      <c r="NO8" s="65"/>
      <c r="NP8" s="65"/>
      <c r="NQ8" s="65"/>
      <c r="NR8" s="65"/>
      <c r="NS8" s="65"/>
      <c r="NT8" s="65"/>
      <c r="NU8" s="65"/>
      <c r="NV8" s="65"/>
      <c r="NW8" s="65"/>
      <c r="NX8" s="65"/>
      <c r="NY8" s="65"/>
      <c r="NZ8" s="65"/>
      <c r="OA8" s="65"/>
      <c r="OB8" s="65"/>
      <c r="OC8" s="65"/>
      <c r="OD8" s="65"/>
      <c r="OE8" s="65"/>
      <c r="OF8" s="65"/>
      <c r="OG8" s="65"/>
      <c r="OH8" s="65"/>
      <c r="OI8" s="65"/>
      <c r="OJ8" s="66"/>
    </row>
    <row r="9" spans="1:400" s="34" customFormat="1" ht="34.049999999999997" customHeight="1" x14ac:dyDescent="0.3">
      <c r="A9" s="1796">
        <v>5</v>
      </c>
      <c r="B9" s="2553" t="s">
        <v>721</v>
      </c>
      <c r="C9" s="2641" t="s">
        <v>780</v>
      </c>
      <c r="D9" s="2553" t="s">
        <v>22</v>
      </c>
      <c r="E9" s="2645">
        <v>0</v>
      </c>
      <c r="F9" s="2645">
        <v>0</v>
      </c>
      <c r="G9" s="2644">
        <v>0</v>
      </c>
      <c r="H9" s="1840" t="s">
        <v>4618</v>
      </c>
      <c r="I9" s="2647" t="s">
        <v>1170</v>
      </c>
      <c r="J9" s="2647" t="s">
        <v>1171</v>
      </c>
      <c r="K9" s="2647" t="s">
        <v>1172</v>
      </c>
      <c r="L9" s="2678" t="s">
        <v>1173</v>
      </c>
      <c r="M9" s="2693" t="s">
        <v>4637</v>
      </c>
      <c r="N9" s="2685" t="s">
        <v>1175</v>
      </c>
      <c r="O9" s="2657">
        <v>1673.18</v>
      </c>
      <c r="P9" s="2638">
        <v>90736.75</v>
      </c>
      <c r="Q9" s="2636"/>
      <c r="R9" s="2637"/>
      <c r="S9" s="2637"/>
      <c r="T9" s="2634">
        <f t="shared" si="0"/>
        <v>92409.93</v>
      </c>
      <c r="U9" s="2338"/>
      <c r="V9" s="2338"/>
      <c r="W9" s="2338"/>
      <c r="X9" s="2338"/>
      <c r="Y9" s="2338"/>
      <c r="Z9" s="2338"/>
      <c r="AA9" s="67"/>
      <c r="AB9" s="67"/>
      <c r="AC9" s="67"/>
      <c r="AD9" s="67"/>
      <c r="AE9" s="67"/>
      <c r="AF9" s="67"/>
      <c r="AG9" s="67"/>
      <c r="AH9" s="67"/>
      <c r="AI9" s="67"/>
      <c r="AJ9" s="67"/>
      <c r="AK9" s="67"/>
      <c r="AL9" s="67"/>
      <c r="AM9" s="67"/>
      <c r="AN9" s="67"/>
      <c r="AO9" s="67"/>
      <c r="AP9" s="67"/>
      <c r="AQ9" s="67"/>
      <c r="AR9" s="67"/>
      <c r="AS9" s="67"/>
      <c r="AT9" s="67"/>
      <c r="AU9" s="67"/>
      <c r="AV9" s="67"/>
      <c r="AW9" s="67"/>
      <c r="AX9" s="67"/>
      <c r="AY9" s="67"/>
      <c r="AZ9" s="67"/>
      <c r="BA9" s="67"/>
      <c r="BB9" s="67"/>
      <c r="BC9" s="67"/>
      <c r="BD9" s="67"/>
      <c r="BE9" s="67"/>
      <c r="BF9" s="67"/>
      <c r="BG9" s="67"/>
      <c r="BH9" s="67"/>
      <c r="BI9" s="67"/>
      <c r="BJ9" s="67"/>
      <c r="BK9" s="67"/>
      <c r="BL9" s="67"/>
      <c r="BM9" s="67"/>
      <c r="BN9" s="67"/>
      <c r="BO9" s="67"/>
      <c r="BP9" s="67"/>
      <c r="BQ9" s="67"/>
      <c r="BR9" s="67"/>
      <c r="BS9" s="67"/>
      <c r="BT9" s="67"/>
      <c r="BU9" s="67"/>
      <c r="BV9" s="67"/>
      <c r="BW9" s="67"/>
      <c r="BX9" s="67"/>
      <c r="BY9" s="67"/>
      <c r="BZ9" s="67"/>
      <c r="CA9" s="67"/>
      <c r="CB9" s="67"/>
      <c r="CC9" s="67"/>
      <c r="CD9" s="67"/>
      <c r="CE9" s="67"/>
      <c r="CF9" s="67"/>
      <c r="CG9" s="67"/>
      <c r="CH9" s="67"/>
      <c r="CI9" s="67"/>
      <c r="CJ9" s="67"/>
      <c r="CK9" s="67"/>
      <c r="CL9" s="67"/>
      <c r="CM9" s="67"/>
      <c r="CN9" s="67"/>
      <c r="CO9" s="67"/>
      <c r="CP9" s="67"/>
      <c r="CQ9" s="67"/>
      <c r="CR9" s="67"/>
      <c r="CS9" s="67"/>
      <c r="CT9" s="67"/>
      <c r="CU9" s="67"/>
      <c r="CV9" s="67"/>
      <c r="CW9" s="67"/>
      <c r="CX9" s="67"/>
      <c r="CY9" s="67"/>
      <c r="CZ9" s="67"/>
      <c r="DA9" s="67"/>
      <c r="DB9" s="67"/>
      <c r="DC9" s="67"/>
      <c r="DD9" s="67"/>
      <c r="DE9" s="67"/>
      <c r="DF9" s="67"/>
      <c r="DG9" s="67"/>
      <c r="DH9" s="67"/>
      <c r="DI9" s="67"/>
      <c r="DJ9" s="67"/>
      <c r="DK9" s="67"/>
      <c r="DL9" s="67"/>
      <c r="DM9" s="67"/>
      <c r="DN9" s="67"/>
      <c r="DO9" s="67"/>
      <c r="DP9" s="67"/>
      <c r="DQ9" s="67"/>
      <c r="DR9" s="67"/>
      <c r="DS9" s="67"/>
      <c r="DT9" s="67"/>
      <c r="DU9" s="67"/>
      <c r="DV9" s="67"/>
      <c r="DW9" s="67"/>
      <c r="DX9" s="67"/>
      <c r="DY9" s="67"/>
      <c r="DZ9" s="67"/>
      <c r="EA9" s="67"/>
      <c r="EB9" s="67"/>
      <c r="EC9" s="67"/>
      <c r="ED9" s="67"/>
      <c r="EE9" s="67"/>
      <c r="EF9" s="67"/>
      <c r="EG9" s="67"/>
      <c r="EH9" s="67"/>
      <c r="EI9" s="67"/>
      <c r="EJ9" s="67"/>
      <c r="EK9" s="67"/>
      <c r="EL9" s="67"/>
      <c r="EM9" s="67"/>
      <c r="EN9" s="67"/>
      <c r="EO9" s="67"/>
      <c r="EP9" s="67"/>
      <c r="EQ9" s="67"/>
      <c r="ER9" s="67"/>
      <c r="ES9" s="67"/>
      <c r="ET9" s="67"/>
      <c r="EU9" s="67"/>
      <c r="EV9" s="67"/>
      <c r="EW9" s="67"/>
      <c r="EX9" s="67"/>
      <c r="EY9" s="67"/>
      <c r="EZ9" s="67"/>
      <c r="FA9" s="67"/>
      <c r="FB9" s="67"/>
      <c r="FC9" s="67"/>
      <c r="FD9" s="67"/>
      <c r="FE9" s="67"/>
      <c r="FF9" s="67"/>
      <c r="FG9" s="67"/>
      <c r="FH9" s="67"/>
      <c r="FI9" s="67"/>
      <c r="FJ9" s="67"/>
      <c r="FK9" s="67"/>
      <c r="FL9" s="67"/>
      <c r="FM9" s="67"/>
      <c r="FN9" s="67"/>
      <c r="FO9" s="67"/>
      <c r="FP9" s="67"/>
      <c r="FQ9" s="67"/>
      <c r="FR9" s="67"/>
      <c r="FS9" s="67"/>
      <c r="FT9" s="67"/>
      <c r="FU9" s="67"/>
      <c r="FV9" s="67"/>
      <c r="FW9" s="67"/>
      <c r="FX9" s="67"/>
      <c r="FY9" s="67"/>
      <c r="FZ9" s="67"/>
      <c r="GA9" s="67"/>
      <c r="GB9" s="67"/>
      <c r="GC9" s="67"/>
      <c r="GD9" s="67"/>
      <c r="GE9" s="67"/>
      <c r="GF9" s="67"/>
      <c r="GG9" s="67"/>
      <c r="GH9" s="67"/>
      <c r="GI9" s="67"/>
      <c r="GJ9" s="67"/>
      <c r="GK9" s="67"/>
      <c r="GL9" s="67"/>
      <c r="GM9" s="67"/>
      <c r="GN9" s="67"/>
      <c r="GO9" s="67"/>
      <c r="GP9" s="67"/>
      <c r="GQ9" s="67"/>
      <c r="GR9" s="67"/>
      <c r="GS9" s="67"/>
      <c r="GT9" s="67"/>
      <c r="GU9" s="67"/>
      <c r="GV9" s="67"/>
      <c r="GW9" s="67"/>
      <c r="GX9" s="67"/>
      <c r="GY9" s="67"/>
      <c r="GZ9" s="67"/>
      <c r="HA9" s="67"/>
      <c r="HB9" s="67"/>
      <c r="HC9" s="67"/>
      <c r="HD9" s="67"/>
      <c r="HE9" s="67"/>
      <c r="HF9" s="67"/>
      <c r="HG9" s="67"/>
      <c r="HH9" s="67"/>
      <c r="HI9" s="67"/>
      <c r="HJ9" s="67"/>
      <c r="HK9" s="67"/>
      <c r="HL9" s="67"/>
      <c r="HM9" s="67"/>
      <c r="HN9" s="67"/>
      <c r="HO9" s="67"/>
      <c r="HP9" s="67"/>
      <c r="HQ9" s="67"/>
      <c r="HR9" s="67"/>
      <c r="HS9" s="67"/>
      <c r="HT9" s="67"/>
      <c r="HU9" s="67"/>
      <c r="HV9" s="67"/>
      <c r="HW9" s="67"/>
      <c r="HX9" s="67"/>
      <c r="HY9" s="67"/>
      <c r="HZ9" s="67"/>
      <c r="IA9" s="67"/>
      <c r="IB9" s="67"/>
      <c r="IC9" s="67"/>
      <c r="ID9" s="67"/>
      <c r="IE9" s="67"/>
      <c r="IF9" s="67"/>
      <c r="IG9" s="67"/>
      <c r="IH9" s="67"/>
      <c r="II9" s="67"/>
      <c r="IJ9" s="67"/>
      <c r="IK9" s="67"/>
      <c r="IL9" s="67"/>
      <c r="IM9" s="67"/>
      <c r="IN9" s="67"/>
      <c r="IO9" s="67"/>
      <c r="IP9" s="67"/>
      <c r="IQ9" s="67"/>
      <c r="IR9" s="67"/>
      <c r="IS9" s="67"/>
      <c r="IT9" s="67"/>
      <c r="IU9" s="67"/>
      <c r="IV9" s="67"/>
      <c r="IW9" s="67"/>
      <c r="IX9" s="67"/>
      <c r="IY9" s="67"/>
      <c r="IZ9" s="67"/>
      <c r="JA9" s="67"/>
      <c r="JB9" s="67"/>
      <c r="JC9" s="67"/>
      <c r="JD9" s="67"/>
      <c r="JE9" s="67"/>
      <c r="JF9" s="67"/>
      <c r="JG9" s="67"/>
      <c r="JH9" s="67"/>
      <c r="JI9" s="67"/>
      <c r="JJ9" s="67"/>
      <c r="JK9" s="67"/>
      <c r="JL9" s="67"/>
      <c r="JM9" s="67"/>
      <c r="JN9" s="67"/>
      <c r="JO9" s="67"/>
      <c r="JP9" s="67"/>
      <c r="JQ9" s="67"/>
      <c r="JR9" s="67"/>
      <c r="JS9" s="67"/>
      <c r="JT9" s="67"/>
      <c r="JU9" s="67"/>
      <c r="JV9" s="67"/>
      <c r="JW9" s="67"/>
      <c r="JX9" s="67"/>
      <c r="JY9" s="67"/>
      <c r="JZ9" s="67"/>
      <c r="KA9" s="67"/>
      <c r="KB9" s="67"/>
      <c r="KC9" s="67"/>
      <c r="KD9" s="67"/>
      <c r="KE9" s="67"/>
      <c r="KF9" s="67"/>
      <c r="KG9" s="67"/>
      <c r="KH9" s="67"/>
      <c r="KI9" s="67"/>
      <c r="KJ9" s="67"/>
      <c r="KK9" s="67"/>
      <c r="KL9" s="67"/>
      <c r="KM9" s="67"/>
      <c r="KN9" s="67"/>
      <c r="KO9" s="67"/>
      <c r="KP9" s="67"/>
      <c r="KQ9" s="67"/>
      <c r="KR9" s="67"/>
      <c r="KS9" s="67"/>
      <c r="KT9" s="67"/>
      <c r="KU9" s="67"/>
      <c r="KV9" s="67"/>
      <c r="KW9" s="67"/>
      <c r="KX9" s="67"/>
      <c r="KY9" s="67"/>
      <c r="KZ9" s="67"/>
      <c r="LA9" s="67"/>
      <c r="LB9" s="67"/>
      <c r="LC9" s="67"/>
      <c r="LD9" s="67"/>
      <c r="LE9" s="67"/>
      <c r="LF9" s="67"/>
      <c r="LG9" s="67"/>
      <c r="LH9" s="67"/>
      <c r="LI9" s="67"/>
      <c r="LJ9" s="67"/>
      <c r="LK9" s="67"/>
      <c r="LL9" s="67"/>
      <c r="LM9" s="67"/>
      <c r="LN9" s="67"/>
      <c r="LO9" s="67"/>
      <c r="LP9" s="67"/>
      <c r="LQ9" s="67"/>
      <c r="LR9" s="67"/>
      <c r="LS9" s="67"/>
      <c r="LT9" s="67"/>
      <c r="LU9" s="67"/>
      <c r="LV9" s="67"/>
      <c r="LW9" s="67"/>
      <c r="LX9" s="67"/>
      <c r="LY9" s="67"/>
      <c r="LZ9" s="67"/>
      <c r="MA9" s="67"/>
      <c r="MB9" s="67"/>
      <c r="MC9" s="67"/>
      <c r="MD9" s="67"/>
      <c r="ME9" s="67"/>
      <c r="MF9" s="67"/>
      <c r="MG9" s="67"/>
      <c r="MH9" s="67"/>
      <c r="MI9" s="67"/>
      <c r="MJ9" s="67"/>
      <c r="MK9" s="67"/>
      <c r="ML9" s="67"/>
      <c r="MM9" s="67"/>
      <c r="MN9" s="67"/>
      <c r="MO9" s="67"/>
      <c r="MP9" s="67"/>
      <c r="MQ9" s="67"/>
      <c r="MR9" s="67"/>
      <c r="MS9" s="67"/>
      <c r="MT9" s="67"/>
      <c r="MU9" s="67"/>
      <c r="MV9" s="67"/>
      <c r="MW9" s="67"/>
      <c r="MX9" s="67"/>
      <c r="MY9" s="67"/>
      <c r="MZ9" s="67"/>
      <c r="NA9" s="67"/>
      <c r="NB9" s="67"/>
      <c r="NC9" s="67"/>
      <c r="ND9" s="67"/>
      <c r="NE9" s="67"/>
      <c r="NF9" s="67"/>
      <c r="NG9" s="67"/>
      <c r="NH9" s="67"/>
      <c r="NI9" s="67"/>
      <c r="NJ9" s="67"/>
      <c r="NK9" s="67"/>
      <c r="NL9" s="67"/>
      <c r="NM9" s="67"/>
      <c r="NN9" s="67"/>
      <c r="NO9" s="67"/>
      <c r="NP9" s="67"/>
      <c r="NQ9" s="67"/>
      <c r="NR9" s="67"/>
      <c r="NS9" s="67"/>
      <c r="NT9" s="67"/>
      <c r="NU9" s="67"/>
      <c r="NV9" s="67"/>
      <c r="NW9" s="67"/>
      <c r="NX9" s="67"/>
      <c r="NY9" s="67"/>
      <c r="NZ9" s="67"/>
      <c r="OA9" s="67"/>
      <c r="OB9" s="67"/>
      <c r="OC9" s="67"/>
      <c r="OD9" s="67"/>
      <c r="OE9" s="67"/>
      <c r="OF9" s="67"/>
      <c r="OG9" s="67"/>
      <c r="OH9" s="67"/>
      <c r="OI9" s="67"/>
      <c r="OJ9" s="68"/>
    </row>
    <row r="10" spans="1:400" s="33" customFormat="1" ht="34.049999999999997" customHeight="1" x14ac:dyDescent="0.3">
      <c r="A10" s="1795">
        <v>6</v>
      </c>
      <c r="B10" s="2619" t="s">
        <v>546</v>
      </c>
      <c r="C10" s="2640" t="s">
        <v>781</v>
      </c>
      <c r="D10" s="2619" t="s">
        <v>19</v>
      </c>
      <c r="E10" s="2642">
        <v>2629217</v>
      </c>
      <c r="F10" s="2642">
        <v>10892761</v>
      </c>
      <c r="G10" s="2643">
        <v>-8263544</v>
      </c>
      <c r="H10" s="2646" t="s">
        <v>4619</v>
      </c>
      <c r="I10" s="2646" t="s">
        <v>1176</v>
      </c>
      <c r="J10" s="2646" t="s">
        <v>742</v>
      </c>
      <c r="K10" s="2646" t="s">
        <v>1177</v>
      </c>
      <c r="L10" s="2677" t="s">
        <v>1178</v>
      </c>
      <c r="M10" s="2692" t="s">
        <v>4638</v>
      </c>
      <c r="N10" s="2684" t="s">
        <v>1179</v>
      </c>
      <c r="O10" s="2648">
        <v>1932237.26</v>
      </c>
      <c r="P10" s="2635">
        <v>285000</v>
      </c>
      <c r="Q10" s="2636"/>
      <c r="R10" s="2637"/>
      <c r="S10" s="2637"/>
      <c r="T10" s="2634">
        <f t="shared" si="0"/>
        <v>2217237.2599999998</v>
      </c>
      <c r="U10" s="2338"/>
      <c r="V10" s="2338"/>
      <c r="W10" s="2338"/>
      <c r="X10" s="2338"/>
      <c r="Y10" s="2338"/>
      <c r="Z10" s="2338"/>
      <c r="AA10" s="65"/>
      <c r="AB10" s="65"/>
      <c r="AC10" s="65"/>
      <c r="AD10" s="65"/>
      <c r="AE10" s="65"/>
      <c r="AF10" s="65"/>
      <c r="AG10" s="65"/>
      <c r="AH10" s="65"/>
      <c r="AI10" s="65"/>
      <c r="AJ10" s="65"/>
      <c r="AK10" s="65"/>
      <c r="AL10" s="65"/>
      <c r="AM10" s="65"/>
      <c r="AN10" s="65"/>
      <c r="AO10" s="65"/>
      <c r="AP10" s="65"/>
      <c r="AQ10" s="65"/>
      <c r="AR10" s="65"/>
      <c r="AS10" s="65"/>
      <c r="AT10" s="65"/>
      <c r="AU10" s="65"/>
      <c r="AV10" s="65"/>
      <c r="AW10" s="65"/>
      <c r="AX10" s="65"/>
      <c r="AY10" s="65"/>
      <c r="AZ10" s="65"/>
      <c r="BA10" s="65"/>
      <c r="BB10" s="65"/>
      <c r="BC10" s="65"/>
      <c r="BD10" s="65"/>
      <c r="BE10" s="65"/>
      <c r="BF10" s="65"/>
      <c r="BG10" s="65"/>
      <c r="BH10" s="65"/>
      <c r="BI10" s="65"/>
      <c r="BJ10" s="65"/>
      <c r="BK10" s="65"/>
      <c r="BL10" s="65"/>
      <c r="BM10" s="65"/>
      <c r="BN10" s="65"/>
      <c r="BO10" s="65"/>
      <c r="BP10" s="65"/>
      <c r="BQ10" s="65"/>
      <c r="BR10" s="65"/>
      <c r="BS10" s="65"/>
      <c r="BT10" s="65"/>
      <c r="BU10" s="65"/>
      <c r="BV10" s="65"/>
      <c r="BW10" s="65"/>
      <c r="BX10" s="65"/>
      <c r="BY10" s="65"/>
      <c r="BZ10" s="65"/>
      <c r="CA10" s="65"/>
      <c r="CB10" s="65"/>
      <c r="CC10" s="65"/>
      <c r="CD10" s="65"/>
      <c r="CE10" s="65"/>
      <c r="CF10" s="65"/>
      <c r="CG10" s="65"/>
      <c r="CH10" s="65"/>
      <c r="CI10" s="65"/>
      <c r="CJ10" s="65"/>
      <c r="CK10" s="65"/>
      <c r="CL10" s="65"/>
      <c r="CM10" s="65"/>
      <c r="CN10" s="65"/>
      <c r="CO10" s="65"/>
      <c r="CP10" s="65"/>
      <c r="CQ10" s="65"/>
      <c r="CR10" s="65"/>
      <c r="CS10" s="65"/>
      <c r="CT10" s="65"/>
      <c r="CU10" s="65"/>
      <c r="CV10" s="65"/>
      <c r="CW10" s="65"/>
      <c r="CX10" s="65"/>
      <c r="CY10" s="65"/>
      <c r="CZ10" s="65"/>
      <c r="DA10" s="65"/>
      <c r="DB10" s="65"/>
      <c r="DC10" s="65"/>
      <c r="DD10" s="65"/>
      <c r="DE10" s="65"/>
      <c r="DF10" s="65"/>
      <c r="DG10" s="65"/>
      <c r="DH10" s="65"/>
      <c r="DI10" s="65"/>
      <c r="DJ10" s="65"/>
      <c r="DK10" s="65"/>
      <c r="DL10" s="65"/>
      <c r="DM10" s="65"/>
      <c r="DN10" s="65"/>
      <c r="DO10" s="65"/>
      <c r="DP10" s="65"/>
      <c r="DQ10" s="65"/>
      <c r="DR10" s="65"/>
      <c r="DS10" s="65"/>
      <c r="DT10" s="65"/>
      <c r="DU10" s="65"/>
      <c r="DV10" s="65"/>
      <c r="DW10" s="65"/>
      <c r="DX10" s="65"/>
      <c r="DY10" s="65"/>
      <c r="DZ10" s="65"/>
      <c r="EA10" s="65"/>
      <c r="EB10" s="65"/>
      <c r="EC10" s="65"/>
      <c r="ED10" s="65"/>
      <c r="EE10" s="65"/>
      <c r="EF10" s="65"/>
      <c r="EG10" s="65"/>
      <c r="EH10" s="65"/>
      <c r="EI10" s="65"/>
      <c r="EJ10" s="65"/>
      <c r="EK10" s="65"/>
      <c r="EL10" s="65"/>
      <c r="EM10" s="65"/>
      <c r="EN10" s="65"/>
      <c r="EO10" s="65"/>
      <c r="EP10" s="65"/>
      <c r="EQ10" s="65"/>
      <c r="ER10" s="65"/>
      <c r="ES10" s="65"/>
      <c r="ET10" s="65"/>
      <c r="EU10" s="65"/>
      <c r="EV10" s="65"/>
      <c r="EW10" s="65"/>
      <c r="EX10" s="65"/>
      <c r="EY10" s="65"/>
      <c r="EZ10" s="65"/>
      <c r="FA10" s="65"/>
      <c r="FB10" s="65"/>
      <c r="FC10" s="65"/>
      <c r="FD10" s="65"/>
      <c r="FE10" s="65"/>
      <c r="FF10" s="65"/>
      <c r="FG10" s="65"/>
      <c r="FH10" s="65"/>
      <c r="FI10" s="65"/>
      <c r="FJ10" s="65"/>
      <c r="FK10" s="65"/>
      <c r="FL10" s="65"/>
      <c r="FM10" s="65"/>
      <c r="FN10" s="65"/>
      <c r="FO10" s="65"/>
      <c r="FP10" s="65"/>
      <c r="FQ10" s="65"/>
      <c r="FR10" s="65"/>
      <c r="FS10" s="65"/>
      <c r="FT10" s="65"/>
      <c r="FU10" s="65"/>
      <c r="FV10" s="65"/>
      <c r="FW10" s="65"/>
      <c r="FX10" s="65"/>
      <c r="FY10" s="65"/>
      <c r="FZ10" s="65"/>
      <c r="GA10" s="65"/>
      <c r="GB10" s="65"/>
      <c r="GC10" s="65"/>
      <c r="GD10" s="65"/>
      <c r="GE10" s="65"/>
      <c r="GF10" s="65"/>
      <c r="GG10" s="65"/>
      <c r="GH10" s="65"/>
      <c r="GI10" s="65"/>
      <c r="GJ10" s="65"/>
      <c r="GK10" s="65"/>
      <c r="GL10" s="65"/>
      <c r="GM10" s="65"/>
      <c r="GN10" s="65"/>
      <c r="GO10" s="65"/>
      <c r="GP10" s="65"/>
      <c r="GQ10" s="65"/>
      <c r="GR10" s="65"/>
      <c r="GS10" s="65"/>
      <c r="GT10" s="65"/>
      <c r="GU10" s="65"/>
      <c r="GV10" s="65"/>
      <c r="GW10" s="65"/>
      <c r="GX10" s="65"/>
      <c r="GY10" s="65"/>
      <c r="GZ10" s="65"/>
      <c r="HA10" s="65"/>
      <c r="HB10" s="65"/>
      <c r="HC10" s="65"/>
      <c r="HD10" s="65"/>
      <c r="HE10" s="65"/>
      <c r="HF10" s="65"/>
      <c r="HG10" s="65"/>
      <c r="HH10" s="65"/>
      <c r="HI10" s="65"/>
      <c r="HJ10" s="65"/>
      <c r="HK10" s="65"/>
      <c r="HL10" s="65"/>
      <c r="HM10" s="65"/>
      <c r="HN10" s="65"/>
      <c r="HO10" s="65"/>
      <c r="HP10" s="65"/>
      <c r="HQ10" s="65"/>
      <c r="HR10" s="65"/>
      <c r="HS10" s="65"/>
      <c r="HT10" s="65"/>
      <c r="HU10" s="65"/>
      <c r="HV10" s="65"/>
      <c r="HW10" s="65"/>
      <c r="HX10" s="65"/>
      <c r="HY10" s="65"/>
      <c r="HZ10" s="65"/>
      <c r="IA10" s="65"/>
      <c r="IB10" s="65"/>
      <c r="IC10" s="65"/>
      <c r="ID10" s="65"/>
      <c r="IE10" s="65"/>
      <c r="IF10" s="65"/>
      <c r="IG10" s="65"/>
      <c r="IH10" s="65"/>
      <c r="II10" s="65"/>
      <c r="IJ10" s="65"/>
      <c r="IK10" s="65"/>
      <c r="IL10" s="65"/>
      <c r="IM10" s="65"/>
      <c r="IN10" s="65"/>
      <c r="IO10" s="65"/>
      <c r="IP10" s="65"/>
      <c r="IQ10" s="65"/>
      <c r="IR10" s="65"/>
      <c r="IS10" s="65"/>
      <c r="IT10" s="65"/>
      <c r="IU10" s="65"/>
      <c r="IV10" s="65"/>
      <c r="IW10" s="65"/>
      <c r="IX10" s="65"/>
      <c r="IY10" s="65"/>
      <c r="IZ10" s="65"/>
      <c r="JA10" s="65"/>
      <c r="JB10" s="65"/>
      <c r="JC10" s="65"/>
      <c r="JD10" s="65"/>
      <c r="JE10" s="65"/>
      <c r="JF10" s="65"/>
      <c r="JG10" s="65"/>
      <c r="JH10" s="65"/>
      <c r="JI10" s="65"/>
      <c r="JJ10" s="65"/>
      <c r="JK10" s="65"/>
      <c r="JL10" s="65"/>
      <c r="JM10" s="65"/>
      <c r="JN10" s="65"/>
      <c r="JO10" s="65"/>
      <c r="JP10" s="65"/>
      <c r="JQ10" s="65"/>
      <c r="JR10" s="65"/>
      <c r="JS10" s="65"/>
      <c r="JT10" s="65"/>
      <c r="JU10" s="65"/>
      <c r="JV10" s="65"/>
      <c r="JW10" s="65"/>
      <c r="JX10" s="65"/>
      <c r="JY10" s="65"/>
      <c r="JZ10" s="65"/>
      <c r="KA10" s="65"/>
      <c r="KB10" s="65"/>
      <c r="KC10" s="65"/>
      <c r="KD10" s="65"/>
      <c r="KE10" s="65"/>
      <c r="KF10" s="65"/>
      <c r="KG10" s="65"/>
      <c r="KH10" s="65"/>
      <c r="KI10" s="65"/>
      <c r="KJ10" s="65"/>
      <c r="KK10" s="65"/>
      <c r="KL10" s="65"/>
      <c r="KM10" s="65"/>
      <c r="KN10" s="65"/>
      <c r="KO10" s="65"/>
      <c r="KP10" s="65"/>
      <c r="KQ10" s="65"/>
      <c r="KR10" s="65"/>
      <c r="KS10" s="65"/>
      <c r="KT10" s="65"/>
      <c r="KU10" s="65"/>
      <c r="KV10" s="65"/>
      <c r="KW10" s="65"/>
      <c r="KX10" s="65"/>
      <c r="KY10" s="65"/>
      <c r="KZ10" s="65"/>
      <c r="LA10" s="65"/>
      <c r="LB10" s="65"/>
      <c r="LC10" s="65"/>
      <c r="LD10" s="65"/>
      <c r="LE10" s="65"/>
      <c r="LF10" s="65"/>
      <c r="LG10" s="65"/>
      <c r="LH10" s="65"/>
      <c r="LI10" s="65"/>
      <c r="LJ10" s="65"/>
      <c r="LK10" s="65"/>
      <c r="LL10" s="65"/>
      <c r="LM10" s="65"/>
      <c r="LN10" s="65"/>
      <c r="LO10" s="65"/>
      <c r="LP10" s="65"/>
      <c r="LQ10" s="65"/>
      <c r="LR10" s="65"/>
      <c r="LS10" s="65"/>
      <c r="LT10" s="65"/>
      <c r="LU10" s="65"/>
      <c r="LV10" s="65"/>
      <c r="LW10" s="65"/>
      <c r="LX10" s="65"/>
      <c r="LY10" s="65"/>
      <c r="LZ10" s="65"/>
      <c r="MA10" s="65"/>
      <c r="MB10" s="65"/>
      <c r="MC10" s="65"/>
      <c r="MD10" s="65"/>
      <c r="ME10" s="65"/>
      <c r="MF10" s="65"/>
      <c r="MG10" s="65"/>
      <c r="MH10" s="65"/>
      <c r="MI10" s="65"/>
      <c r="MJ10" s="65"/>
      <c r="MK10" s="65"/>
      <c r="ML10" s="65"/>
      <c r="MM10" s="65"/>
      <c r="MN10" s="65"/>
      <c r="MO10" s="65"/>
      <c r="MP10" s="65"/>
      <c r="MQ10" s="65"/>
      <c r="MR10" s="65"/>
      <c r="MS10" s="65"/>
      <c r="MT10" s="65"/>
      <c r="MU10" s="65"/>
      <c r="MV10" s="65"/>
      <c r="MW10" s="65"/>
      <c r="MX10" s="65"/>
      <c r="MY10" s="65"/>
      <c r="MZ10" s="65"/>
      <c r="NA10" s="65"/>
      <c r="NB10" s="65"/>
      <c r="NC10" s="65"/>
      <c r="ND10" s="65"/>
      <c r="NE10" s="65"/>
      <c r="NF10" s="65"/>
      <c r="NG10" s="65"/>
      <c r="NH10" s="65"/>
      <c r="NI10" s="65"/>
      <c r="NJ10" s="65"/>
      <c r="NK10" s="65"/>
      <c r="NL10" s="65"/>
      <c r="NM10" s="65"/>
      <c r="NN10" s="65"/>
      <c r="NO10" s="65"/>
      <c r="NP10" s="65"/>
      <c r="NQ10" s="65"/>
      <c r="NR10" s="65"/>
      <c r="NS10" s="65"/>
      <c r="NT10" s="65"/>
      <c r="NU10" s="65"/>
      <c r="NV10" s="65"/>
      <c r="NW10" s="65"/>
      <c r="NX10" s="65"/>
      <c r="NY10" s="65"/>
      <c r="NZ10" s="65"/>
      <c r="OA10" s="65"/>
      <c r="OB10" s="65"/>
      <c r="OC10" s="65"/>
      <c r="OD10" s="65"/>
      <c r="OE10" s="65"/>
      <c r="OF10" s="65"/>
      <c r="OG10" s="65"/>
      <c r="OH10" s="65"/>
      <c r="OI10" s="65"/>
      <c r="OJ10" s="66"/>
    </row>
    <row r="11" spans="1:400" s="34" customFormat="1" ht="34.049999999999997" customHeight="1" x14ac:dyDescent="0.3">
      <c r="A11" s="1796">
        <v>7</v>
      </c>
      <c r="B11" s="2553" t="s">
        <v>47</v>
      </c>
      <c r="C11" s="2641" t="s">
        <v>782</v>
      </c>
      <c r="D11" s="2553" t="s">
        <v>22</v>
      </c>
      <c r="E11" s="2645">
        <v>40000</v>
      </c>
      <c r="F11" s="2645">
        <v>0</v>
      </c>
      <c r="G11" s="2644">
        <v>40000</v>
      </c>
      <c r="H11" s="2647" t="s">
        <v>4620</v>
      </c>
      <c r="I11" s="2647" t="s">
        <v>1180</v>
      </c>
      <c r="J11" s="2647" t="s">
        <v>1171</v>
      </c>
      <c r="K11" s="2647" t="s">
        <v>1181</v>
      </c>
      <c r="L11" s="2678" t="s">
        <v>1182</v>
      </c>
      <c r="M11" s="2694" t="s">
        <v>4639</v>
      </c>
      <c r="N11" s="2685" t="s">
        <v>1183</v>
      </c>
      <c r="O11" s="2657">
        <v>382489.32</v>
      </c>
      <c r="P11" s="2638">
        <v>346673.39</v>
      </c>
      <c r="Q11" s="2636"/>
      <c r="R11" s="2637"/>
      <c r="S11" s="2637"/>
      <c r="T11" s="2634">
        <f t="shared" si="0"/>
        <v>729162.71</v>
      </c>
      <c r="U11" s="2338"/>
      <c r="V11" s="2338"/>
      <c r="W11" s="2338"/>
      <c r="X11" s="2338"/>
      <c r="Y11" s="2338"/>
      <c r="Z11" s="2338"/>
      <c r="AA11" s="67"/>
      <c r="AB11" s="67"/>
      <c r="AC11" s="67"/>
      <c r="AD11" s="67"/>
      <c r="AE11" s="67"/>
      <c r="AF11" s="67"/>
      <c r="AG11" s="67"/>
      <c r="AH11" s="67"/>
      <c r="AI11" s="67"/>
      <c r="AJ11" s="67"/>
      <c r="AK11" s="67"/>
      <c r="AL11" s="67"/>
      <c r="AM11" s="67"/>
      <c r="AN11" s="67"/>
      <c r="AO11" s="67"/>
      <c r="AP11" s="67"/>
      <c r="AQ11" s="67"/>
      <c r="AR11" s="67"/>
      <c r="AS11" s="67"/>
      <c r="AT11" s="67"/>
      <c r="AU11" s="67"/>
      <c r="AV11" s="67"/>
      <c r="AW11" s="67"/>
      <c r="AX11" s="67"/>
      <c r="AY11" s="67"/>
      <c r="AZ11" s="67"/>
      <c r="BA11" s="67"/>
      <c r="BB11" s="67"/>
      <c r="BC11" s="67"/>
      <c r="BD11" s="67"/>
      <c r="BE11" s="67"/>
      <c r="BF11" s="67"/>
      <c r="BG11" s="67"/>
      <c r="BH11" s="67"/>
      <c r="BI11" s="67"/>
      <c r="BJ11" s="67"/>
      <c r="BK11" s="67"/>
      <c r="BL11" s="67"/>
      <c r="BM11" s="67"/>
      <c r="BN11" s="67"/>
      <c r="BO11" s="67"/>
      <c r="BP11" s="67"/>
      <c r="BQ11" s="67"/>
      <c r="BR11" s="67"/>
      <c r="BS11" s="67"/>
      <c r="BT11" s="67"/>
      <c r="BU11" s="67"/>
      <c r="BV11" s="67"/>
      <c r="BW11" s="67"/>
      <c r="BX11" s="67"/>
      <c r="BY11" s="67"/>
      <c r="BZ11" s="67"/>
      <c r="CA11" s="67"/>
      <c r="CB11" s="67"/>
      <c r="CC11" s="67"/>
      <c r="CD11" s="67"/>
      <c r="CE11" s="67"/>
      <c r="CF11" s="67"/>
      <c r="CG11" s="67"/>
      <c r="CH11" s="67"/>
      <c r="CI11" s="67"/>
      <c r="CJ11" s="67"/>
      <c r="CK11" s="67"/>
      <c r="CL11" s="67"/>
      <c r="CM11" s="67"/>
      <c r="CN11" s="67"/>
      <c r="CO11" s="67"/>
      <c r="CP11" s="67"/>
      <c r="CQ11" s="67"/>
      <c r="CR11" s="67"/>
      <c r="CS11" s="67"/>
      <c r="CT11" s="67"/>
      <c r="CU11" s="67"/>
      <c r="CV11" s="67"/>
      <c r="CW11" s="67"/>
      <c r="CX11" s="67"/>
      <c r="CY11" s="67"/>
      <c r="CZ11" s="67"/>
      <c r="DA11" s="67"/>
      <c r="DB11" s="67"/>
      <c r="DC11" s="67"/>
      <c r="DD11" s="67"/>
      <c r="DE11" s="67"/>
      <c r="DF11" s="67"/>
      <c r="DG11" s="67"/>
      <c r="DH11" s="67"/>
      <c r="DI11" s="67"/>
      <c r="DJ11" s="67"/>
      <c r="DK11" s="67"/>
      <c r="DL11" s="67"/>
      <c r="DM11" s="67"/>
      <c r="DN11" s="67"/>
      <c r="DO11" s="67"/>
      <c r="DP11" s="67"/>
      <c r="DQ11" s="67"/>
      <c r="DR11" s="67"/>
      <c r="DS11" s="67"/>
      <c r="DT11" s="67"/>
      <c r="DU11" s="67"/>
      <c r="DV11" s="67"/>
      <c r="DW11" s="67"/>
      <c r="DX11" s="67"/>
      <c r="DY11" s="67"/>
      <c r="DZ11" s="67"/>
      <c r="EA11" s="67"/>
      <c r="EB11" s="67"/>
      <c r="EC11" s="67"/>
      <c r="ED11" s="67"/>
      <c r="EE11" s="67"/>
      <c r="EF11" s="67"/>
      <c r="EG11" s="67"/>
      <c r="EH11" s="67"/>
      <c r="EI11" s="67"/>
      <c r="EJ11" s="67"/>
      <c r="EK11" s="67"/>
      <c r="EL11" s="67"/>
      <c r="EM11" s="67"/>
      <c r="EN11" s="67"/>
      <c r="EO11" s="67"/>
      <c r="EP11" s="67"/>
      <c r="EQ11" s="67"/>
      <c r="ER11" s="67"/>
      <c r="ES11" s="67"/>
      <c r="ET11" s="67"/>
      <c r="EU11" s="67"/>
      <c r="EV11" s="67"/>
      <c r="EW11" s="67"/>
      <c r="EX11" s="67"/>
      <c r="EY11" s="67"/>
      <c r="EZ11" s="67"/>
      <c r="FA11" s="67"/>
      <c r="FB11" s="67"/>
      <c r="FC11" s="67"/>
      <c r="FD11" s="67"/>
      <c r="FE11" s="67"/>
      <c r="FF11" s="67"/>
      <c r="FG11" s="67"/>
      <c r="FH11" s="67"/>
      <c r="FI11" s="67"/>
      <c r="FJ11" s="67"/>
      <c r="FK11" s="67"/>
      <c r="FL11" s="67"/>
      <c r="FM11" s="67"/>
      <c r="FN11" s="67"/>
      <c r="FO11" s="67"/>
      <c r="FP11" s="67"/>
      <c r="FQ11" s="67"/>
      <c r="FR11" s="67"/>
      <c r="FS11" s="67"/>
      <c r="FT11" s="67"/>
      <c r="FU11" s="67"/>
      <c r="FV11" s="67"/>
      <c r="FW11" s="67"/>
      <c r="FX11" s="67"/>
      <c r="FY11" s="67"/>
      <c r="FZ11" s="67"/>
      <c r="GA11" s="67"/>
      <c r="GB11" s="67"/>
      <c r="GC11" s="67"/>
      <c r="GD11" s="67"/>
      <c r="GE11" s="67"/>
      <c r="GF11" s="67"/>
      <c r="GG11" s="67"/>
      <c r="GH11" s="67"/>
      <c r="GI11" s="67"/>
      <c r="GJ11" s="67"/>
      <c r="GK11" s="67"/>
      <c r="GL11" s="67"/>
      <c r="GM11" s="67"/>
      <c r="GN11" s="67"/>
      <c r="GO11" s="67"/>
      <c r="GP11" s="67"/>
      <c r="GQ11" s="67"/>
      <c r="GR11" s="67"/>
      <c r="GS11" s="67"/>
      <c r="GT11" s="67"/>
      <c r="GU11" s="67"/>
      <c r="GV11" s="67"/>
      <c r="GW11" s="67"/>
      <c r="GX11" s="67"/>
      <c r="GY11" s="67"/>
      <c r="GZ11" s="67"/>
      <c r="HA11" s="67"/>
      <c r="HB11" s="67"/>
      <c r="HC11" s="67"/>
      <c r="HD11" s="67"/>
      <c r="HE11" s="67"/>
      <c r="HF11" s="67"/>
      <c r="HG11" s="67"/>
      <c r="HH11" s="67"/>
      <c r="HI11" s="67"/>
      <c r="HJ11" s="67"/>
      <c r="HK11" s="67"/>
      <c r="HL11" s="67"/>
      <c r="HM11" s="67"/>
      <c r="HN11" s="67"/>
      <c r="HO11" s="67"/>
      <c r="HP11" s="67"/>
      <c r="HQ11" s="67"/>
      <c r="HR11" s="67"/>
      <c r="HS11" s="67"/>
      <c r="HT11" s="67"/>
      <c r="HU11" s="67"/>
      <c r="HV11" s="67"/>
      <c r="HW11" s="67"/>
      <c r="HX11" s="67"/>
      <c r="HY11" s="67"/>
      <c r="HZ11" s="67"/>
      <c r="IA11" s="67"/>
      <c r="IB11" s="67"/>
      <c r="IC11" s="67"/>
      <c r="ID11" s="67"/>
      <c r="IE11" s="67"/>
      <c r="IF11" s="67"/>
      <c r="IG11" s="67"/>
      <c r="IH11" s="67"/>
      <c r="II11" s="67"/>
      <c r="IJ11" s="67"/>
      <c r="IK11" s="67"/>
      <c r="IL11" s="67"/>
      <c r="IM11" s="67"/>
      <c r="IN11" s="67"/>
      <c r="IO11" s="67"/>
      <c r="IP11" s="67"/>
      <c r="IQ11" s="67"/>
      <c r="IR11" s="67"/>
      <c r="IS11" s="67"/>
      <c r="IT11" s="67"/>
      <c r="IU11" s="67"/>
      <c r="IV11" s="67"/>
      <c r="IW11" s="67"/>
      <c r="IX11" s="67"/>
      <c r="IY11" s="67"/>
      <c r="IZ11" s="67"/>
      <c r="JA11" s="67"/>
      <c r="JB11" s="67"/>
      <c r="JC11" s="67"/>
      <c r="JD11" s="67"/>
      <c r="JE11" s="67"/>
      <c r="JF11" s="67"/>
      <c r="JG11" s="67"/>
      <c r="JH11" s="67"/>
      <c r="JI11" s="67"/>
      <c r="JJ11" s="67"/>
      <c r="JK11" s="67"/>
      <c r="JL11" s="67"/>
      <c r="JM11" s="67"/>
      <c r="JN11" s="67"/>
      <c r="JO11" s="67"/>
      <c r="JP11" s="67"/>
      <c r="JQ11" s="67"/>
      <c r="JR11" s="67"/>
      <c r="JS11" s="67"/>
      <c r="JT11" s="67"/>
      <c r="JU11" s="67"/>
      <c r="JV11" s="67"/>
      <c r="JW11" s="67"/>
      <c r="JX11" s="67"/>
      <c r="JY11" s="67"/>
      <c r="JZ11" s="67"/>
      <c r="KA11" s="67"/>
      <c r="KB11" s="67"/>
      <c r="KC11" s="67"/>
      <c r="KD11" s="67"/>
      <c r="KE11" s="67"/>
      <c r="KF11" s="67"/>
      <c r="KG11" s="67"/>
      <c r="KH11" s="67"/>
      <c r="KI11" s="67"/>
      <c r="KJ11" s="67"/>
      <c r="KK11" s="67"/>
      <c r="KL11" s="67"/>
      <c r="KM11" s="67"/>
      <c r="KN11" s="67"/>
      <c r="KO11" s="67"/>
      <c r="KP11" s="67"/>
      <c r="KQ11" s="67"/>
      <c r="KR11" s="67"/>
      <c r="KS11" s="67"/>
      <c r="KT11" s="67"/>
      <c r="KU11" s="67"/>
      <c r="KV11" s="67"/>
      <c r="KW11" s="67"/>
      <c r="KX11" s="67"/>
      <c r="KY11" s="67"/>
      <c r="KZ11" s="67"/>
      <c r="LA11" s="67"/>
      <c r="LB11" s="67"/>
      <c r="LC11" s="67"/>
      <c r="LD11" s="67"/>
      <c r="LE11" s="67"/>
      <c r="LF11" s="67"/>
      <c r="LG11" s="67"/>
      <c r="LH11" s="67"/>
      <c r="LI11" s="67"/>
      <c r="LJ11" s="67"/>
      <c r="LK11" s="67"/>
      <c r="LL11" s="67"/>
      <c r="LM11" s="67"/>
      <c r="LN11" s="67"/>
      <c r="LO11" s="67"/>
      <c r="LP11" s="67"/>
      <c r="LQ11" s="67"/>
      <c r="LR11" s="67"/>
      <c r="LS11" s="67"/>
      <c r="LT11" s="67"/>
      <c r="LU11" s="67"/>
      <c r="LV11" s="67"/>
      <c r="LW11" s="67"/>
      <c r="LX11" s="67"/>
      <c r="LY11" s="67"/>
      <c r="LZ11" s="67"/>
      <c r="MA11" s="67"/>
      <c r="MB11" s="67"/>
      <c r="MC11" s="67"/>
      <c r="MD11" s="67"/>
      <c r="ME11" s="67"/>
      <c r="MF11" s="67"/>
      <c r="MG11" s="67"/>
      <c r="MH11" s="67"/>
      <c r="MI11" s="67"/>
      <c r="MJ11" s="67"/>
      <c r="MK11" s="67"/>
      <c r="ML11" s="67"/>
      <c r="MM11" s="67"/>
      <c r="MN11" s="67"/>
      <c r="MO11" s="67"/>
      <c r="MP11" s="67"/>
      <c r="MQ11" s="67"/>
      <c r="MR11" s="67"/>
      <c r="MS11" s="67"/>
      <c r="MT11" s="67"/>
      <c r="MU11" s="67"/>
      <c r="MV11" s="67"/>
      <c r="MW11" s="67"/>
      <c r="MX11" s="67"/>
      <c r="MY11" s="67"/>
      <c r="MZ11" s="67"/>
      <c r="NA11" s="67"/>
      <c r="NB11" s="67"/>
      <c r="NC11" s="67"/>
      <c r="ND11" s="67"/>
      <c r="NE11" s="67"/>
      <c r="NF11" s="67"/>
      <c r="NG11" s="67"/>
      <c r="NH11" s="67"/>
      <c r="NI11" s="67"/>
      <c r="NJ11" s="67"/>
      <c r="NK11" s="67"/>
      <c r="NL11" s="67"/>
      <c r="NM11" s="67"/>
      <c r="NN11" s="67"/>
      <c r="NO11" s="67"/>
      <c r="NP11" s="67"/>
      <c r="NQ11" s="67"/>
      <c r="NR11" s="67"/>
      <c r="NS11" s="67"/>
      <c r="NT11" s="67"/>
      <c r="NU11" s="67"/>
      <c r="NV11" s="67"/>
      <c r="NW11" s="67"/>
      <c r="NX11" s="67"/>
      <c r="NY11" s="67"/>
      <c r="NZ11" s="67"/>
      <c r="OA11" s="67"/>
      <c r="OB11" s="67"/>
      <c r="OC11" s="67"/>
      <c r="OD11" s="67"/>
      <c r="OE11" s="67"/>
      <c r="OF11" s="67"/>
      <c r="OG11" s="67"/>
      <c r="OH11" s="67"/>
      <c r="OI11" s="67"/>
      <c r="OJ11" s="68"/>
    </row>
    <row r="12" spans="1:400" s="33" customFormat="1" ht="34.049999999999997" customHeight="1" x14ac:dyDescent="0.3">
      <c r="A12" s="1795">
        <v>8</v>
      </c>
      <c r="B12" s="2619" t="s">
        <v>518</v>
      </c>
      <c r="C12" s="2640" t="s">
        <v>1184</v>
      </c>
      <c r="D12" s="2619" t="s">
        <v>25</v>
      </c>
      <c r="E12" s="2642">
        <v>370866</v>
      </c>
      <c r="F12" s="2642">
        <v>0</v>
      </c>
      <c r="G12" s="2643">
        <v>0</v>
      </c>
      <c r="H12" s="2646" t="s">
        <v>4621</v>
      </c>
      <c r="I12" s="2646" t="s">
        <v>1185</v>
      </c>
      <c r="J12" s="2646" t="s">
        <v>742</v>
      </c>
      <c r="K12" s="2646" t="s">
        <v>1186</v>
      </c>
      <c r="L12" s="2677" t="s">
        <v>1158</v>
      </c>
      <c r="M12" s="2692" t="s">
        <v>4640</v>
      </c>
      <c r="N12" s="2684" t="s">
        <v>1187</v>
      </c>
      <c r="O12" s="2648">
        <v>35920</v>
      </c>
      <c r="P12" s="2635">
        <v>52000</v>
      </c>
      <c r="Q12" s="2636"/>
      <c r="R12" s="2637"/>
      <c r="S12" s="2637"/>
      <c r="T12" s="2634">
        <f t="shared" si="0"/>
        <v>87920</v>
      </c>
      <c r="U12" s="2338"/>
      <c r="V12" s="2338"/>
      <c r="W12" s="2338"/>
      <c r="X12" s="2338"/>
      <c r="Y12" s="2338"/>
      <c r="Z12" s="2338"/>
      <c r="AA12" s="65"/>
      <c r="AB12" s="65"/>
      <c r="AC12" s="65"/>
      <c r="AD12" s="65"/>
      <c r="AE12" s="65"/>
      <c r="AF12" s="65"/>
      <c r="AG12" s="65"/>
      <c r="AH12" s="65"/>
      <c r="AI12" s="65"/>
      <c r="AJ12" s="65"/>
      <c r="AK12" s="65"/>
      <c r="AL12" s="65"/>
      <c r="AM12" s="65"/>
      <c r="AN12" s="65"/>
      <c r="AO12" s="65"/>
      <c r="AP12" s="65"/>
      <c r="AQ12" s="65"/>
      <c r="AR12" s="65"/>
      <c r="AS12" s="65"/>
      <c r="AT12" s="65"/>
      <c r="AU12" s="65"/>
      <c r="AV12" s="65"/>
      <c r="AW12" s="65"/>
      <c r="AX12" s="65"/>
      <c r="AY12" s="65"/>
      <c r="AZ12" s="65"/>
      <c r="BA12" s="65"/>
      <c r="BB12" s="65"/>
      <c r="BC12" s="65"/>
      <c r="BD12" s="65"/>
      <c r="BE12" s="65"/>
      <c r="BF12" s="65"/>
      <c r="BG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c r="CT12" s="65"/>
      <c r="CU12" s="65"/>
      <c r="CV12" s="65"/>
      <c r="CW12" s="65"/>
      <c r="CX12" s="65"/>
      <c r="CY12" s="65"/>
      <c r="CZ12" s="65"/>
      <c r="DA12" s="65"/>
      <c r="DB12" s="65"/>
      <c r="DC12" s="65"/>
      <c r="DD12" s="65"/>
      <c r="DE12" s="65"/>
      <c r="DF12" s="65"/>
      <c r="DG12" s="65"/>
      <c r="DH12" s="65"/>
      <c r="DI12" s="65"/>
      <c r="DJ12" s="65"/>
      <c r="DK12" s="65"/>
      <c r="DL12" s="65"/>
      <c r="DM12" s="65"/>
      <c r="DN12" s="65"/>
      <c r="DO12" s="65"/>
      <c r="DP12" s="65"/>
      <c r="DQ12" s="65"/>
      <c r="DR12" s="65"/>
      <c r="DS12" s="65"/>
      <c r="DT12" s="65"/>
      <c r="DU12" s="65"/>
      <c r="DV12" s="65"/>
      <c r="DW12" s="65"/>
      <c r="DX12" s="65"/>
      <c r="DY12" s="65"/>
      <c r="DZ12" s="65"/>
      <c r="EA12" s="65"/>
      <c r="EB12" s="65"/>
      <c r="EC12" s="65"/>
      <c r="ED12" s="65"/>
      <c r="EE12" s="65"/>
      <c r="EF12" s="65"/>
      <c r="EG12" s="65"/>
      <c r="EH12" s="65"/>
      <c r="EI12" s="65"/>
      <c r="EJ12" s="65"/>
      <c r="EK12" s="65"/>
      <c r="EL12" s="65"/>
      <c r="EM12" s="65"/>
      <c r="EN12" s="65"/>
      <c r="EO12" s="65"/>
      <c r="EP12" s="65"/>
      <c r="EQ12" s="65"/>
      <c r="ER12" s="65"/>
      <c r="ES12" s="65"/>
      <c r="ET12" s="65"/>
      <c r="EU12" s="65"/>
      <c r="EV12" s="65"/>
      <c r="EW12" s="65"/>
      <c r="EX12" s="65"/>
      <c r="EY12" s="65"/>
      <c r="EZ12" s="65"/>
      <c r="FA12" s="65"/>
      <c r="FB12" s="65"/>
      <c r="FC12" s="65"/>
      <c r="FD12" s="65"/>
      <c r="FE12" s="65"/>
      <c r="FF12" s="65"/>
      <c r="FG12" s="65"/>
      <c r="FH12" s="65"/>
      <c r="FI12" s="65"/>
      <c r="FJ12" s="65"/>
      <c r="FK12" s="65"/>
      <c r="FL12" s="65"/>
      <c r="FM12" s="65"/>
      <c r="FN12" s="65"/>
      <c r="FO12" s="65"/>
      <c r="FP12" s="65"/>
      <c r="FQ12" s="65"/>
      <c r="FR12" s="65"/>
      <c r="FS12" s="65"/>
      <c r="FT12" s="65"/>
      <c r="FU12" s="65"/>
      <c r="FV12" s="65"/>
      <c r="FW12" s="65"/>
      <c r="FX12" s="65"/>
      <c r="FY12" s="65"/>
      <c r="FZ12" s="65"/>
      <c r="GA12" s="65"/>
      <c r="GB12" s="65"/>
      <c r="GC12" s="65"/>
      <c r="GD12" s="65"/>
      <c r="GE12" s="65"/>
      <c r="GF12" s="65"/>
      <c r="GG12" s="65"/>
      <c r="GH12" s="65"/>
      <c r="GI12" s="65"/>
      <c r="GJ12" s="65"/>
      <c r="GK12" s="65"/>
      <c r="GL12" s="65"/>
      <c r="GM12" s="65"/>
      <c r="GN12" s="65"/>
      <c r="GO12" s="65"/>
      <c r="GP12" s="65"/>
      <c r="GQ12" s="65"/>
      <c r="GR12" s="65"/>
      <c r="GS12" s="65"/>
      <c r="GT12" s="65"/>
      <c r="GU12" s="65"/>
      <c r="GV12" s="65"/>
      <c r="GW12" s="65"/>
      <c r="GX12" s="65"/>
      <c r="GY12" s="65"/>
      <c r="GZ12" s="65"/>
      <c r="HA12" s="65"/>
      <c r="HB12" s="65"/>
      <c r="HC12" s="65"/>
      <c r="HD12" s="65"/>
      <c r="HE12" s="65"/>
      <c r="HF12" s="65"/>
      <c r="HG12" s="65"/>
      <c r="HH12" s="65"/>
      <c r="HI12" s="65"/>
      <c r="HJ12" s="65"/>
      <c r="HK12" s="65"/>
      <c r="HL12" s="65"/>
      <c r="HM12" s="65"/>
      <c r="HN12" s="65"/>
      <c r="HO12" s="65"/>
      <c r="HP12" s="65"/>
      <c r="HQ12" s="65"/>
      <c r="HR12" s="65"/>
      <c r="HS12" s="65"/>
      <c r="HT12" s="65"/>
      <c r="HU12" s="65"/>
      <c r="HV12" s="65"/>
      <c r="HW12" s="65"/>
      <c r="HX12" s="65"/>
      <c r="HY12" s="65"/>
      <c r="HZ12" s="65"/>
      <c r="IA12" s="65"/>
      <c r="IB12" s="65"/>
      <c r="IC12" s="65"/>
      <c r="ID12" s="65"/>
      <c r="IE12" s="65"/>
      <c r="IF12" s="65"/>
      <c r="IG12" s="65"/>
      <c r="IH12" s="65"/>
      <c r="II12" s="65"/>
      <c r="IJ12" s="65"/>
      <c r="IK12" s="65"/>
      <c r="IL12" s="65"/>
      <c r="IM12" s="65"/>
      <c r="IN12" s="65"/>
      <c r="IO12" s="65"/>
      <c r="IP12" s="65"/>
      <c r="IQ12" s="65"/>
      <c r="IR12" s="65"/>
      <c r="IS12" s="65"/>
      <c r="IT12" s="65"/>
      <c r="IU12" s="65"/>
      <c r="IV12" s="65"/>
      <c r="IW12" s="65"/>
      <c r="IX12" s="65"/>
      <c r="IY12" s="65"/>
      <c r="IZ12" s="65"/>
      <c r="JA12" s="65"/>
      <c r="JB12" s="65"/>
      <c r="JC12" s="65"/>
      <c r="JD12" s="65"/>
      <c r="JE12" s="65"/>
      <c r="JF12" s="65"/>
      <c r="JG12" s="65"/>
      <c r="JH12" s="65"/>
      <c r="JI12" s="65"/>
      <c r="JJ12" s="65"/>
      <c r="JK12" s="65"/>
      <c r="JL12" s="65"/>
      <c r="JM12" s="65"/>
      <c r="JN12" s="65"/>
      <c r="JO12" s="65"/>
      <c r="JP12" s="65"/>
      <c r="JQ12" s="65"/>
      <c r="JR12" s="65"/>
      <c r="JS12" s="65"/>
      <c r="JT12" s="65"/>
      <c r="JU12" s="65"/>
      <c r="JV12" s="65"/>
      <c r="JW12" s="65"/>
      <c r="JX12" s="65"/>
      <c r="JY12" s="65"/>
      <c r="JZ12" s="65"/>
      <c r="KA12" s="65"/>
      <c r="KB12" s="65"/>
      <c r="KC12" s="65"/>
      <c r="KD12" s="65"/>
      <c r="KE12" s="65"/>
      <c r="KF12" s="65"/>
      <c r="KG12" s="65"/>
      <c r="KH12" s="65"/>
      <c r="KI12" s="65"/>
      <c r="KJ12" s="65"/>
      <c r="KK12" s="65"/>
      <c r="KL12" s="65"/>
      <c r="KM12" s="65"/>
      <c r="KN12" s="65"/>
      <c r="KO12" s="65"/>
      <c r="KP12" s="65"/>
      <c r="KQ12" s="65"/>
      <c r="KR12" s="65"/>
      <c r="KS12" s="65"/>
      <c r="KT12" s="65"/>
      <c r="KU12" s="65"/>
      <c r="KV12" s="65"/>
      <c r="KW12" s="65"/>
      <c r="KX12" s="65"/>
      <c r="KY12" s="65"/>
      <c r="KZ12" s="65"/>
      <c r="LA12" s="65"/>
      <c r="LB12" s="65"/>
      <c r="LC12" s="65"/>
      <c r="LD12" s="65"/>
      <c r="LE12" s="65"/>
      <c r="LF12" s="65"/>
      <c r="LG12" s="65"/>
      <c r="LH12" s="65"/>
      <c r="LI12" s="65"/>
      <c r="LJ12" s="65"/>
      <c r="LK12" s="65"/>
      <c r="LL12" s="65"/>
      <c r="LM12" s="65"/>
      <c r="LN12" s="65"/>
      <c r="LO12" s="65"/>
      <c r="LP12" s="65"/>
      <c r="LQ12" s="65"/>
      <c r="LR12" s="65"/>
      <c r="LS12" s="65"/>
      <c r="LT12" s="65"/>
      <c r="LU12" s="65"/>
      <c r="LV12" s="65"/>
      <c r="LW12" s="65"/>
      <c r="LX12" s="65"/>
      <c r="LY12" s="65"/>
      <c r="LZ12" s="65"/>
      <c r="MA12" s="65"/>
      <c r="MB12" s="65"/>
      <c r="MC12" s="65"/>
      <c r="MD12" s="65"/>
      <c r="ME12" s="65"/>
      <c r="MF12" s="65"/>
      <c r="MG12" s="65"/>
      <c r="MH12" s="65"/>
      <c r="MI12" s="65"/>
      <c r="MJ12" s="65"/>
      <c r="MK12" s="65"/>
      <c r="ML12" s="65"/>
      <c r="MM12" s="65"/>
      <c r="MN12" s="65"/>
      <c r="MO12" s="65"/>
      <c r="MP12" s="65"/>
      <c r="MQ12" s="65"/>
      <c r="MR12" s="65"/>
      <c r="MS12" s="65"/>
      <c r="MT12" s="65"/>
      <c r="MU12" s="65"/>
      <c r="MV12" s="65"/>
      <c r="MW12" s="65"/>
      <c r="MX12" s="65"/>
      <c r="MY12" s="65"/>
      <c r="MZ12" s="65"/>
      <c r="NA12" s="65"/>
      <c r="NB12" s="65"/>
      <c r="NC12" s="65"/>
      <c r="ND12" s="65"/>
      <c r="NE12" s="65"/>
      <c r="NF12" s="65"/>
      <c r="NG12" s="65"/>
      <c r="NH12" s="65"/>
      <c r="NI12" s="65"/>
      <c r="NJ12" s="65"/>
      <c r="NK12" s="65"/>
      <c r="NL12" s="65"/>
      <c r="NM12" s="65"/>
      <c r="NN12" s="65"/>
      <c r="NO12" s="65"/>
      <c r="NP12" s="65"/>
      <c r="NQ12" s="65"/>
      <c r="NR12" s="65"/>
      <c r="NS12" s="65"/>
      <c r="NT12" s="65"/>
      <c r="NU12" s="65"/>
      <c r="NV12" s="65"/>
      <c r="NW12" s="65"/>
      <c r="NX12" s="65"/>
      <c r="NY12" s="65"/>
      <c r="NZ12" s="65"/>
      <c r="OA12" s="65"/>
      <c r="OB12" s="65"/>
      <c r="OC12" s="65"/>
      <c r="OD12" s="65"/>
      <c r="OE12" s="65"/>
      <c r="OF12" s="65"/>
      <c r="OG12" s="65"/>
      <c r="OH12" s="65"/>
      <c r="OI12" s="65"/>
      <c r="OJ12" s="66"/>
    </row>
    <row r="13" spans="1:400" s="34" customFormat="1" ht="34.049999999999997" customHeight="1" x14ac:dyDescent="0.3">
      <c r="A13" s="1796">
        <v>9</v>
      </c>
      <c r="B13" s="2553" t="s">
        <v>531</v>
      </c>
      <c r="C13" s="2641" t="s">
        <v>783</v>
      </c>
      <c r="D13" s="2553" t="s">
        <v>19</v>
      </c>
      <c r="E13" s="2645">
        <v>540243</v>
      </c>
      <c r="F13" s="2645">
        <v>2588556</v>
      </c>
      <c r="G13" s="2644">
        <v>-2048313</v>
      </c>
      <c r="H13" s="2647" t="s">
        <v>4622</v>
      </c>
      <c r="I13" s="2647" t="s">
        <v>1188</v>
      </c>
      <c r="J13" s="2647" t="s">
        <v>1189</v>
      </c>
      <c r="K13" s="2647" t="s">
        <v>1190</v>
      </c>
      <c r="L13" s="2678" t="s">
        <v>1191</v>
      </c>
      <c r="M13" s="2694" t="s">
        <v>4641</v>
      </c>
      <c r="N13" s="2685" t="s">
        <v>1192</v>
      </c>
      <c r="O13" s="2648">
        <v>257765.76000000001</v>
      </c>
      <c r="P13" s="2635">
        <v>370460</v>
      </c>
      <c r="Q13" s="2636"/>
      <c r="R13" s="2637"/>
      <c r="S13" s="2637"/>
      <c r="T13" s="2634">
        <f t="shared" si="0"/>
        <v>628225.76</v>
      </c>
      <c r="U13" s="2338"/>
      <c r="V13" s="2338"/>
      <c r="W13" s="2338"/>
      <c r="X13" s="2338"/>
      <c r="Y13" s="2338"/>
      <c r="Z13" s="2338"/>
      <c r="AA13" s="67"/>
      <c r="AB13" s="67"/>
      <c r="AC13" s="67"/>
      <c r="AD13" s="67"/>
      <c r="AE13" s="67"/>
      <c r="AF13" s="67"/>
      <c r="AG13" s="67"/>
      <c r="AH13" s="67"/>
      <c r="AI13" s="67"/>
      <c r="AJ13" s="67"/>
      <c r="AK13" s="67"/>
      <c r="AL13" s="67"/>
      <c r="AM13" s="67"/>
      <c r="AN13" s="67"/>
      <c r="AO13" s="67"/>
      <c r="AP13" s="67"/>
      <c r="AQ13" s="67"/>
      <c r="AR13" s="67"/>
      <c r="AS13" s="67"/>
      <c r="AT13" s="67"/>
      <c r="AU13" s="67"/>
      <c r="AV13" s="67"/>
      <c r="AW13" s="67"/>
      <c r="AX13" s="67"/>
      <c r="AY13" s="67"/>
      <c r="AZ13" s="67"/>
      <c r="BA13" s="67"/>
      <c r="BB13" s="67"/>
      <c r="BC13" s="67"/>
      <c r="BD13" s="67"/>
      <c r="BE13" s="67"/>
      <c r="BF13" s="67"/>
      <c r="BG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c r="CT13" s="67"/>
      <c r="CU13" s="67"/>
      <c r="CV13" s="67"/>
      <c r="CW13" s="67"/>
      <c r="CX13" s="67"/>
      <c r="CY13" s="67"/>
      <c r="CZ13" s="67"/>
      <c r="DA13" s="67"/>
      <c r="DB13" s="67"/>
      <c r="DC13" s="67"/>
      <c r="DD13" s="67"/>
      <c r="DE13" s="67"/>
      <c r="DF13" s="67"/>
      <c r="DG13" s="67"/>
      <c r="DH13" s="67"/>
      <c r="DI13" s="67"/>
      <c r="DJ13" s="67"/>
      <c r="DK13" s="67"/>
      <c r="DL13" s="67"/>
      <c r="DM13" s="67"/>
      <c r="DN13" s="67"/>
      <c r="DO13" s="67"/>
      <c r="DP13" s="67"/>
      <c r="DQ13" s="67"/>
      <c r="DR13" s="67"/>
      <c r="DS13" s="67"/>
      <c r="DT13" s="67"/>
      <c r="DU13" s="67"/>
      <c r="DV13" s="67"/>
      <c r="DW13" s="67"/>
      <c r="DX13" s="67"/>
      <c r="DY13" s="67"/>
      <c r="DZ13" s="67"/>
      <c r="EA13" s="67"/>
      <c r="EB13" s="67"/>
      <c r="EC13" s="67"/>
      <c r="ED13" s="67"/>
      <c r="EE13" s="67"/>
      <c r="EF13" s="67"/>
      <c r="EG13" s="67"/>
      <c r="EH13" s="67"/>
      <c r="EI13" s="67"/>
      <c r="EJ13" s="67"/>
      <c r="EK13" s="67"/>
      <c r="EL13" s="67"/>
      <c r="EM13" s="67"/>
      <c r="EN13" s="67"/>
      <c r="EO13" s="67"/>
      <c r="EP13" s="67"/>
      <c r="EQ13" s="67"/>
      <c r="ER13" s="67"/>
      <c r="ES13" s="67"/>
      <c r="ET13" s="67"/>
      <c r="EU13" s="67"/>
      <c r="EV13" s="67"/>
      <c r="EW13" s="67"/>
      <c r="EX13" s="67"/>
      <c r="EY13" s="67"/>
      <c r="EZ13" s="67"/>
      <c r="FA13" s="67"/>
      <c r="FB13" s="67"/>
      <c r="FC13" s="67"/>
      <c r="FD13" s="67"/>
      <c r="FE13" s="67"/>
      <c r="FF13" s="67"/>
      <c r="FG13" s="67"/>
      <c r="FH13" s="67"/>
      <c r="FI13" s="67"/>
      <c r="FJ13" s="67"/>
      <c r="FK13" s="67"/>
      <c r="FL13" s="67"/>
      <c r="FM13" s="67"/>
      <c r="FN13" s="67"/>
      <c r="FO13" s="67"/>
      <c r="FP13" s="67"/>
      <c r="FQ13" s="67"/>
      <c r="FR13" s="67"/>
      <c r="FS13" s="67"/>
      <c r="FT13" s="67"/>
      <c r="FU13" s="67"/>
      <c r="FV13" s="67"/>
      <c r="FW13" s="67"/>
      <c r="FX13" s="67"/>
      <c r="FY13" s="67"/>
      <c r="FZ13" s="67"/>
      <c r="GA13" s="67"/>
      <c r="GB13" s="67"/>
      <c r="GC13" s="67"/>
      <c r="GD13" s="67"/>
      <c r="GE13" s="67"/>
      <c r="GF13" s="67"/>
      <c r="GG13" s="67"/>
      <c r="GH13" s="67"/>
      <c r="GI13" s="67"/>
      <c r="GJ13" s="67"/>
      <c r="GK13" s="67"/>
      <c r="GL13" s="67"/>
      <c r="GM13" s="67"/>
      <c r="GN13" s="67"/>
      <c r="GO13" s="67"/>
      <c r="GP13" s="67"/>
      <c r="GQ13" s="67"/>
      <c r="GR13" s="67"/>
      <c r="GS13" s="67"/>
      <c r="GT13" s="67"/>
      <c r="GU13" s="67"/>
      <c r="GV13" s="67"/>
      <c r="GW13" s="67"/>
      <c r="GX13" s="67"/>
      <c r="GY13" s="67"/>
      <c r="GZ13" s="67"/>
      <c r="HA13" s="67"/>
      <c r="HB13" s="67"/>
      <c r="HC13" s="67"/>
      <c r="HD13" s="67"/>
      <c r="HE13" s="67"/>
      <c r="HF13" s="67"/>
      <c r="HG13" s="67"/>
      <c r="HH13" s="67"/>
      <c r="HI13" s="67"/>
      <c r="HJ13" s="67"/>
      <c r="HK13" s="67"/>
      <c r="HL13" s="67"/>
      <c r="HM13" s="67"/>
      <c r="HN13" s="67"/>
      <c r="HO13" s="67"/>
      <c r="HP13" s="67"/>
      <c r="HQ13" s="67"/>
      <c r="HR13" s="67"/>
      <c r="HS13" s="67"/>
      <c r="HT13" s="67"/>
      <c r="HU13" s="67"/>
      <c r="HV13" s="67"/>
      <c r="HW13" s="67"/>
      <c r="HX13" s="67"/>
      <c r="HY13" s="67"/>
      <c r="HZ13" s="67"/>
      <c r="IA13" s="67"/>
      <c r="IB13" s="67"/>
      <c r="IC13" s="67"/>
      <c r="ID13" s="67"/>
      <c r="IE13" s="67"/>
      <c r="IF13" s="67"/>
      <c r="IG13" s="67"/>
      <c r="IH13" s="67"/>
      <c r="II13" s="67"/>
      <c r="IJ13" s="67"/>
      <c r="IK13" s="67"/>
      <c r="IL13" s="67"/>
      <c r="IM13" s="67"/>
      <c r="IN13" s="67"/>
      <c r="IO13" s="67"/>
      <c r="IP13" s="67"/>
      <c r="IQ13" s="67"/>
      <c r="IR13" s="67"/>
      <c r="IS13" s="67"/>
      <c r="IT13" s="67"/>
      <c r="IU13" s="67"/>
      <c r="IV13" s="67"/>
      <c r="IW13" s="67"/>
      <c r="IX13" s="67"/>
      <c r="IY13" s="67"/>
      <c r="IZ13" s="67"/>
      <c r="JA13" s="67"/>
      <c r="JB13" s="67"/>
      <c r="JC13" s="67"/>
      <c r="JD13" s="67"/>
      <c r="JE13" s="67"/>
      <c r="JF13" s="67"/>
      <c r="JG13" s="67"/>
      <c r="JH13" s="67"/>
      <c r="JI13" s="67"/>
      <c r="JJ13" s="67"/>
      <c r="JK13" s="67"/>
      <c r="JL13" s="67"/>
      <c r="JM13" s="67"/>
      <c r="JN13" s="67"/>
      <c r="JO13" s="67"/>
      <c r="JP13" s="67"/>
      <c r="JQ13" s="67"/>
      <c r="JR13" s="67"/>
      <c r="JS13" s="67"/>
      <c r="JT13" s="67"/>
      <c r="JU13" s="67"/>
      <c r="JV13" s="67"/>
      <c r="JW13" s="67"/>
      <c r="JX13" s="67"/>
      <c r="JY13" s="67"/>
      <c r="JZ13" s="67"/>
      <c r="KA13" s="67"/>
      <c r="KB13" s="67"/>
      <c r="KC13" s="67"/>
      <c r="KD13" s="67"/>
      <c r="KE13" s="67"/>
      <c r="KF13" s="67"/>
      <c r="KG13" s="67"/>
      <c r="KH13" s="67"/>
      <c r="KI13" s="67"/>
      <c r="KJ13" s="67"/>
      <c r="KK13" s="67"/>
      <c r="KL13" s="67"/>
      <c r="KM13" s="67"/>
      <c r="KN13" s="67"/>
      <c r="KO13" s="67"/>
      <c r="KP13" s="67"/>
      <c r="KQ13" s="67"/>
      <c r="KR13" s="67"/>
      <c r="KS13" s="67"/>
      <c r="KT13" s="67"/>
      <c r="KU13" s="67"/>
      <c r="KV13" s="67"/>
      <c r="KW13" s="67"/>
      <c r="KX13" s="67"/>
      <c r="KY13" s="67"/>
      <c r="KZ13" s="67"/>
      <c r="LA13" s="67"/>
      <c r="LB13" s="67"/>
      <c r="LC13" s="67"/>
      <c r="LD13" s="67"/>
      <c r="LE13" s="67"/>
      <c r="LF13" s="67"/>
      <c r="LG13" s="67"/>
      <c r="LH13" s="67"/>
      <c r="LI13" s="67"/>
      <c r="LJ13" s="67"/>
      <c r="LK13" s="67"/>
      <c r="LL13" s="67"/>
      <c r="LM13" s="67"/>
      <c r="LN13" s="67"/>
      <c r="LO13" s="67"/>
      <c r="LP13" s="67"/>
      <c r="LQ13" s="67"/>
      <c r="LR13" s="67"/>
      <c r="LS13" s="67"/>
      <c r="LT13" s="67"/>
      <c r="LU13" s="67"/>
      <c r="LV13" s="67"/>
      <c r="LW13" s="67"/>
      <c r="LX13" s="67"/>
      <c r="LY13" s="67"/>
      <c r="LZ13" s="67"/>
      <c r="MA13" s="67"/>
      <c r="MB13" s="67"/>
      <c r="MC13" s="67"/>
      <c r="MD13" s="67"/>
      <c r="ME13" s="67"/>
      <c r="MF13" s="67"/>
      <c r="MG13" s="67"/>
      <c r="MH13" s="67"/>
      <c r="MI13" s="67"/>
      <c r="MJ13" s="67"/>
      <c r="MK13" s="67"/>
      <c r="ML13" s="67"/>
      <c r="MM13" s="67"/>
      <c r="MN13" s="67"/>
      <c r="MO13" s="67"/>
      <c r="MP13" s="67"/>
      <c r="MQ13" s="67"/>
      <c r="MR13" s="67"/>
      <c r="MS13" s="67"/>
      <c r="MT13" s="67"/>
      <c r="MU13" s="67"/>
      <c r="MV13" s="67"/>
      <c r="MW13" s="67"/>
      <c r="MX13" s="67"/>
      <c r="MY13" s="67"/>
      <c r="MZ13" s="67"/>
      <c r="NA13" s="67"/>
      <c r="NB13" s="67"/>
      <c r="NC13" s="67"/>
      <c r="ND13" s="67"/>
      <c r="NE13" s="67"/>
      <c r="NF13" s="67"/>
      <c r="NG13" s="67"/>
      <c r="NH13" s="67"/>
      <c r="NI13" s="67"/>
      <c r="NJ13" s="67"/>
      <c r="NK13" s="67"/>
      <c r="NL13" s="67"/>
      <c r="NM13" s="67"/>
      <c r="NN13" s="67"/>
      <c r="NO13" s="67"/>
      <c r="NP13" s="67"/>
      <c r="NQ13" s="67"/>
      <c r="NR13" s="67"/>
      <c r="NS13" s="67"/>
      <c r="NT13" s="67"/>
      <c r="NU13" s="67"/>
      <c r="NV13" s="67"/>
      <c r="NW13" s="67"/>
      <c r="NX13" s="67"/>
      <c r="NY13" s="67"/>
      <c r="NZ13" s="67"/>
      <c r="OA13" s="67"/>
      <c r="OB13" s="67"/>
      <c r="OC13" s="67"/>
      <c r="OD13" s="67"/>
      <c r="OE13" s="67"/>
      <c r="OF13" s="67"/>
      <c r="OG13" s="67"/>
      <c r="OH13" s="67"/>
      <c r="OI13" s="67"/>
      <c r="OJ13" s="68"/>
    </row>
    <row r="14" spans="1:400" s="33" customFormat="1" ht="34.049999999999997" customHeight="1" x14ac:dyDescent="0.3">
      <c r="A14" s="1795">
        <v>10</v>
      </c>
      <c r="B14" s="2619" t="s">
        <v>53</v>
      </c>
      <c r="C14" s="2640" t="s">
        <v>784</v>
      </c>
      <c r="D14" s="2619" t="s">
        <v>22</v>
      </c>
      <c r="E14" s="2642">
        <v>0</v>
      </c>
      <c r="F14" s="2642">
        <v>0</v>
      </c>
      <c r="G14" s="2643">
        <v>0</v>
      </c>
      <c r="H14" s="2646" t="s">
        <v>4623</v>
      </c>
      <c r="I14" s="2646" t="s">
        <v>1193</v>
      </c>
      <c r="J14" s="2646" t="s">
        <v>1171</v>
      </c>
      <c r="K14" s="2646" t="s">
        <v>1194</v>
      </c>
      <c r="L14" s="2677" t="s">
        <v>1162</v>
      </c>
      <c r="M14" s="2695" t="s">
        <v>4642</v>
      </c>
      <c r="N14" s="2684" t="s">
        <v>1195</v>
      </c>
      <c r="O14" s="2657">
        <v>71074.679999999993</v>
      </c>
      <c r="P14" s="2638">
        <v>394472.52</v>
      </c>
      <c r="Q14" s="2636"/>
      <c r="R14" s="2637"/>
      <c r="S14" s="2637"/>
      <c r="T14" s="2634">
        <f t="shared" si="0"/>
        <v>465547.2</v>
      </c>
      <c r="U14" s="2338"/>
      <c r="V14" s="2338"/>
      <c r="W14" s="2338"/>
      <c r="X14" s="2338"/>
      <c r="Y14" s="2338"/>
      <c r="Z14" s="2338"/>
      <c r="AA14" s="65"/>
      <c r="AB14" s="65"/>
      <c r="AC14" s="65"/>
      <c r="AD14" s="65"/>
      <c r="AE14" s="65"/>
      <c r="AF14" s="65"/>
      <c r="AG14" s="65"/>
      <c r="AH14" s="65"/>
      <c r="AI14" s="65"/>
      <c r="AJ14" s="65"/>
      <c r="AK14" s="65"/>
      <c r="AL14" s="65"/>
      <c r="AM14" s="65"/>
      <c r="AN14" s="65"/>
      <c r="AO14" s="65"/>
      <c r="AP14" s="65"/>
      <c r="AQ14" s="65"/>
      <c r="AR14" s="65"/>
      <c r="AS14" s="65"/>
      <c r="AT14" s="65"/>
      <c r="AU14" s="65"/>
      <c r="AV14" s="65"/>
      <c r="AW14" s="65"/>
      <c r="AX14" s="65"/>
      <c r="AY14" s="65"/>
      <c r="AZ14" s="65"/>
      <c r="BA14" s="65"/>
      <c r="BB14" s="65"/>
      <c r="BC14" s="65"/>
      <c r="BD14" s="65"/>
      <c r="BE14" s="65"/>
      <c r="BF14" s="65"/>
      <c r="BG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c r="CT14" s="65"/>
      <c r="CU14" s="65"/>
      <c r="CV14" s="65"/>
      <c r="CW14" s="65"/>
      <c r="CX14" s="65"/>
      <c r="CY14" s="65"/>
      <c r="CZ14" s="65"/>
      <c r="DA14" s="65"/>
      <c r="DB14" s="65"/>
      <c r="DC14" s="65"/>
      <c r="DD14" s="65"/>
      <c r="DE14" s="65"/>
      <c r="DF14" s="65"/>
      <c r="DG14" s="65"/>
      <c r="DH14" s="65"/>
      <c r="DI14" s="65"/>
      <c r="DJ14" s="65"/>
      <c r="DK14" s="65"/>
      <c r="DL14" s="65"/>
      <c r="DM14" s="65"/>
      <c r="DN14" s="65"/>
      <c r="DO14" s="65"/>
      <c r="DP14" s="65"/>
      <c r="DQ14" s="65"/>
      <c r="DR14" s="65"/>
      <c r="DS14" s="65"/>
      <c r="DT14" s="65"/>
      <c r="DU14" s="65"/>
      <c r="DV14" s="65"/>
      <c r="DW14" s="65"/>
      <c r="DX14" s="65"/>
      <c r="DY14" s="65"/>
      <c r="DZ14" s="65"/>
      <c r="EA14" s="65"/>
      <c r="EB14" s="65"/>
      <c r="EC14" s="65"/>
      <c r="ED14" s="65"/>
      <c r="EE14" s="65"/>
      <c r="EF14" s="65"/>
      <c r="EG14" s="65"/>
      <c r="EH14" s="65"/>
      <c r="EI14" s="65"/>
      <c r="EJ14" s="65"/>
      <c r="EK14" s="65"/>
      <c r="EL14" s="65"/>
      <c r="EM14" s="65"/>
      <c r="EN14" s="65"/>
      <c r="EO14" s="65"/>
      <c r="EP14" s="65"/>
      <c r="EQ14" s="65"/>
      <c r="ER14" s="65"/>
      <c r="ES14" s="65"/>
      <c r="ET14" s="65"/>
      <c r="EU14" s="65"/>
      <c r="EV14" s="65"/>
      <c r="EW14" s="65"/>
      <c r="EX14" s="65"/>
      <c r="EY14" s="65"/>
      <c r="EZ14" s="65"/>
      <c r="FA14" s="65"/>
      <c r="FB14" s="65"/>
      <c r="FC14" s="65"/>
      <c r="FD14" s="65"/>
      <c r="FE14" s="65"/>
      <c r="FF14" s="65"/>
      <c r="FG14" s="65"/>
      <c r="FH14" s="65"/>
      <c r="FI14" s="65"/>
      <c r="FJ14" s="65"/>
      <c r="FK14" s="65"/>
      <c r="FL14" s="65"/>
      <c r="FM14" s="65"/>
      <c r="FN14" s="65"/>
      <c r="FO14" s="65"/>
      <c r="FP14" s="65"/>
      <c r="FQ14" s="65"/>
      <c r="FR14" s="65"/>
      <c r="FS14" s="65"/>
      <c r="FT14" s="65"/>
      <c r="FU14" s="65"/>
      <c r="FV14" s="65"/>
      <c r="FW14" s="65"/>
      <c r="FX14" s="65"/>
      <c r="FY14" s="65"/>
      <c r="FZ14" s="65"/>
      <c r="GA14" s="65"/>
      <c r="GB14" s="65"/>
      <c r="GC14" s="65"/>
      <c r="GD14" s="65"/>
      <c r="GE14" s="65"/>
      <c r="GF14" s="65"/>
      <c r="GG14" s="65"/>
      <c r="GH14" s="65"/>
      <c r="GI14" s="65"/>
      <c r="GJ14" s="65"/>
      <c r="GK14" s="65"/>
      <c r="GL14" s="65"/>
      <c r="GM14" s="65"/>
      <c r="GN14" s="65"/>
      <c r="GO14" s="65"/>
      <c r="GP14" s="65"/>
      <c r="GQ14" s="65"/>
      <c r="GR14" s="65"/>
      <c r="GS14" s="65"/>
      <c r="GT14" s="65"/>
      <c r="GU14" s="65"/>
      <c r="GV14" s="65"/>
      <c r="GW14" s="65"/>
      <c r="GX14" s="65"/>
      <c r="GY14" s="65"/>
      <c r="GZ14" s="65"/>
      <c r="HA14" s="65"/>
      <c r="HB14" s="65"/>
      <c r="HC14" s="65"/>
      <c r="HD14" s="65"/>
      <c r="HE14" s="65"/>
      <c r="HF14" s="65"/>
      <c r="HG14" s="65"/>
      <c r="HH14" s="65"/>
      <c r="HI14" s="65"/>
      <c r="HJ14" s="65"/>
      <c r="HK14" s="65"/>
      <c r="HL14" s="65"/>
      <c r="HM14" s="65"/>
      <c r="HN14" s="65"/>
      <c r="HO14" s="65"/>
      <c r="HP14" s="65"/>
      <c r="HQ14" s="65"/>
      <c r="HR14" s="65"/>
      <c r="HS14" s="65"/>
      <c r="HT14" s="65"/>
      <c r="HU14" s="65"/>
      <c r="HV14" s="65"/>
      <c r="HW14" s="65"/>
      <c r="HX14" s="65"/>
      <c r="HY14" s="65"/>
      <c r="HZ14" s="65"/>
      <c r="IA14" s="65"/>
      <c r="IB14" s="65"/>
      <c r="IC14" s="65"/>
      <c r="ID14" s="65"/>
      <c r="IE14" s="65"/>
      <c r="IF14" s="65"/>
      <c r="IG14" s="65"/>
      <c r="IH14" s="65"/>
      <c r="II14" s="65"/>
      <c r="IJ14" s="65"/>
      <c r="IK14" s="65"/>
      <c r="IL14" s="65"/>
      <c r="IM14" s="65"/>
      <c r="IN14" s="65"/>
      <c r="IO14" s="65"/>
      <c r="IP14" s="65"/>
      <c r="IQ14" s="65"/>
      <c r="IR14" s="65"/>
      <c r="IS14" s="65"/>
      <c r="IT14" s="65"/>
      <c r="IU14" s="65"/>
      <c r="IV14" s="65"/>
      <c r="IW14" s="65"/>
      <c r="IX14" s="65"/>
      <c r="IY14" s="65"/>
      <c r="IZ14" s="65"/>
      <c r="JA14" s="65"/>
      <c r="JB14" s="65"/>
      <c r="JC14" s="65"/>
      <c r="JD14" s="65"/>
      <c r="JE14" s="65"/>
      <c r="JF14" s="65"/>
      <c r="JG14" s="65"/>
      <c r="JH14" s="65"/>
      <c r="JI14" s="65"/>
      <c r="JJ14" s="65"/>
      <c r="JK14" s="65"/>
      <c r="JL14" s="65"/>
      <c r="JM14" s="65"/>
      <c r="JN14" s="65"/>
      <c r="JO14" s="65"/>
      <c r="JP14" s="65"/>
      <c r="JQ14" s="65"/>
      <c r="JR14" s="65"/>
      <c r="JS14" s="65"/>
      <c r="JT14" s="65"/>
      <c r="JU14" s="65"/>
      <c r="JV14" s="65"/>
      <c r="JW14" s="65"/>
      <c r="JX14" s="65"/>
      <c r="JY14" s="65"/>
      <c r="JZ14" s="65"/>
      <c r="KA14" s="65"/>
      <c r="KB14" s="65"/>
      <c r="KC14" s="65"/>
      <c r="KD14" s="65"/>
      <c r="KE14" s="65"/>
      <c r="KF14" s="65"/>
      <c r="KG14" s="65"/>
      <c r="KH14" s="65"/>
      <c r="KI14" s="65"/>
      <c r="KJ14" s="65"/>
      <c r="KK14" s="65"/>
      <c r="KL14" s="65"/>
      <c r="KM14" s="65"/>
      <c r="KN14" s="65"/>
      <c r="KO14" s="65"/>
      <c r="KP14" s="65"/>
      <c r="KQ14" s="65"/>
      <c r="KR14" s="65"/>
      <c r="KS14" s="65"/>
      <c r="KT14" s="65"/>
      <c r="KU14" s="65"/>
      <c r="KV14" s="65"/>
      <c r="KW14" s="65"/>
      <c r="KX14" s="65"/>
      <c r="KY14" s="65"/>
      <c r="KZ14" s="65"/>
      <c r="LA14" s="65"/>
      <c r="LB14" s="65"/>
      <c r="LC14" s="65"/>
      <c r="LD14" s="65"/>
      <c r="LE14" s="65"/>
      <c r="LF14" s="65"/>
      <c r="LG14" s="65"/>
      <c r="LH14" s="65"/>
      <c r="LI14" s="65"/>
      <c r="LJ14" s="65"/>
      <c r="LK14" s="65"/>
      <c r="LL14" s="65"/>
      <c r="LM14" s="65"/>
      <c r="LN14" s="65"/>
      <c r="LO14" s="65"/>
      <c r="LP14" s="65"/>
      <c r="LQ14" s="65"/>
      <c r="LR14" s="65"/>
      <c r="LS14" s="65"/>
      <c r="LT14" s="65"/>
      <c r="LU14" s="65"/>
      <c r="LV14" s="65"/>
      <c r="LW14" s="65"/>
      <c r="LX14" s="65"/>
      <c r="LY14" s="65"/>
      <c r="LZ14" s="65"/>
      <c r="MA14" s="65"/>
      <c r="MB14" s="65"/>
      <c r="MC14" s="65"/>
      <c r="MD14" s="65"/>
      <c r="ME14" s="65"/>
      <c r="MF14" s="65"/>
      <c r="MG14" s="65"/>
      <c r="MH14" s="65"/>
      <c r="MI14" s="65"/>
      <c r="MJ14" s="65"/>
      <c r="MK14" s="65"/>
      <c r="ML14" s="65"/>
      <c r="MM14" s="65"/>
      <c r="MN14" s="65"/>
      <c r="MO14" s="65"/>
      <c r="MP14" s="65"/>
      <c r="MQ14" s="65"/>
      <c r="MR14" s="65"/>
      <c r="MS14" s="65"/>
      <c r="MT14" s="65"/>
      <c r="MU14" s="65"/>
      <c r="MV14" s="65"/>
      <c r="MW14" s="65"/>
      <c r="MX14" s="65"/>
      <c r="MY14" s="65"/>
      <c r="MZ14" s="65"/>
      <c r="NA14" s="65"/>
      <c r="NB14" s="65"/>
      <c r="NC14" s="65"/>
      <c r="ND14" s="65"/>
      <c r="NE14" s="65"/>
      <c r="NF14" s="65"/>
      <c r="NG14" s="65"/>
      <c r="NH14" s="65"/>
      <c r="NI14" s="65"/>
      <c r="NJ14" s="65"/>
      <c r="NK14" s="65"/>
      <c r="NL14" s="65"/>
      <c r="NM14" s="65"/>
      <c r="NN14" s="65"/>
      <c r="NO14" s="65"/>
      <c r="NP14" s="65"/>
      <c r="NQ14" s="65"/>
      <c r="NR14" s="65"/>
      <c r="NS14" s="65"/>
      <c r="NT14" s="65"/>
      <c r="NU14" s="65"/>
      <c r="NV14" s="65"/>
      <c r="NW14" s="65"/>
      <c r="NX14" s="65"/>
      <c r="NY14" s="65"/>
      <c r="NZ14" s="65"/>
      <c r="OA14" s="65"/>
      <c r="OB14" s="65"/>
      <c r="OC14" s="65"/>
      <c r="OD14" s="65"/>
      <c r="OE14" s="65"/>
      <c r="OF14" s="65"/>
      <c r="OG14" s="65"/>
      <c r="OH14" s="65"/>
      <c r="OI14" s="65"/>
      <c r="OJ14" s="66"/>
    </row>
    <row r="15" spans="1:400" s="34" customFormat="1" ht="34.049999999999997" customHeight="1" x14ac:dyDescent="0.3">
      <c r="A15" s="1796">
        <v>11</v>
      </c>
      <c r="B15" s="2553" t="s">
        <v>486</v>
      </c>
      <c r="C15" s="2641" t="s">
        <v>785</v>
      </c>
      <c r="D15" s="2553" t="s">
        <v>25</v>
      </c>
      <c r="E15" s="2645">
        <v>125866</v>
      </c>
      <c r="F15" s="2645">
        <v>748783</v>
      </c>
      <c r="G15" s="2644">
        <v>-622917</v>
      </c>
      <c r="H15" s="2647" t="s">
        <v>4624</v>
      </c>
      <c r="I15" s="2647" t="s">
        <v>1196</v>
      </c>
      <c r="J15" s="2647" t="s">
        <v>1189</v>
      </c>
      <c r="K15" s="2647" t="s">
        <v>1197</v>
      </c>
      <c r="L15" s="2678" t="s">
        <v>1198</v>
      </c>
      <c r="M15" s="2693" t="s">
        <v>4643</v>
      </c>
      <c r="N15" s="2685" t="s">
        <v>1199</v>
      </c>
      <c r="O15" s="2648">
        <v>0</v>
      </c>
      <c r="P15" s="2635">
        <v>0</v>
      </c>
      <c r="Q15" s="2636"/>
      <c r="R15" s="2637"/>
      <c r="S15" s="2637"/>
      <c r="T15" s="2634">
        <f t="shared" si="0"/>
        <v>0</v>
      </c>
      <c r="U15" s="2338"/>
      <c r="V15" s="2338"/>
      <c r="W15" s="2338"/>
      <c r="X15" s="2338"/>
      <c r="Y15" s="2338"/>
      <c r="Z15" s="2338"/>
      <c r="AA15" s="67"/>
      <c r="AB15" s="67"/>
      <c r="AC15" s="67"/>
      <c r="AD15" s="67"/>
      <c r="AE15" s="67"/>
      <c r="AF15" s="67"/>
      <c r="AG15" s="67"/>
      <c r="AH15" s="67"/>
      <c r="AI15" s="67"/>
      <c r="AJ15" s="67"/>
      <c r="AK15" s="67"/>
      <c r="AL15" s="67"/>
      <c r="AM15" s="67"/>
      <c r="AN15" s="67"/>
      <c r="AO15" s="67"/>
      <c r="AP15" s="67"/>
      <c r="AQ15" s="67"/>
      <c r="AR15" s="67"/>
      <c r="AS15" s="67"/>
      <c r="AT15" s="67"/>
      <c r="AU15" s="67"/>
      <c r="AV15" s="67"/>
      <c r="AW15" s="67"/>
      <c r="AX15" s="67"/>
      <c r="AY15" s="67"/>
      <c r="AZ15" s="67"/>
      <c r="BA15" s="67"/>
      <c r="BB15" s="67"/>
      <c r="BC15" s="67"/>
      <c r="BD15" s="67"/>
      <c r="BE15" s="67"/>
      <c r="BF15" s="67"/>
      <c r="BG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c r="CT15" s="67"/>
      <c r="CU15" s="67"/>
      <c r="CV15" s="67"/>
      <c r="CW15" s="67"/>
      <c r="CX15" s="67"/>
      <c r="CY15" s="67"/>
      <c r="CZ15" s="67"/>
      <c r="DA15" s="67"/>
      <c r="DB15" s="67"/>
      <c r="DC15" s="67"/>
      <c r="DD15" s="67"/>
      <c r="DE15" s="67"/>
      <c r="DF15" s="67"/>
      <c r="DG15" s="67"/>
      <c r="DH15" s="67"/>
      <c r="DI15" s="67"/>
      <c r="DJ15" s="67"/>
      <c r="DK15" s="67"/>
      <c r="DL15" s="67"/>
      <c r="DM15" s="67"/>
      <c r="DN15" s="67"/>
      <c r="DO15" s="67"/>
      <c r="DP15" s="67"/>
      <c r="DQ15" s="67"/>
      <c r="DR15" s="67"/>
      <c r="DS15" s="67"/>
      <c r="DT15" s="67"/>
      <c r="DU15" s="67"/>
      <c r="DV15" s="67"/>
      <c r="DW15" s="67"/>
      <c r="DX15" s="67"/>
      <c r="DY15" s="67"/>
      <c r="DZ15" s="67"/>
      <c r="EA15" s="67"/>
      <c r="EB15" s="67"/>
      <c r="EC15" s="67"/>
      <c r="ED15" s="67"/>
      <c r="EE15" s="67"/>
      <c r="EF15" s="67"/>
      <c r="EG15" s="67"/>
      <c r="EH15" s="67"/>
      <c r="EI15" s="67"/>
      <c r="EJ15" s="67"/>
      <c r="EK15" s="67"/>
      <c r="EL15" s="67"/>
      <c r="EM15" s="67"/>
      <c r="EN15" s="67"/>
      <c r="EO15" s="67"/>
      <c r="EP15" s="67"/>
      <c r="EQ15" s="67"/>
      <c r="ER15" s="67"/>
      <c r="ES15" s="67"/>
      <c r="ET15" s="67"/>
      <c r="EU15" s="67"/>
      <c r="EV15" s="67"/>
      <c r="EW15" s="67"/>
      <c r="EX15" s="67"/>
      <c r="EY15" s="67"/>
      <c r="EZ15" s="67"/>
      <c r="FA15" s="67"/>
      <c r="FB15" s="67"/>
      <c r="FC15" s="67"/>
      <c r="FD15" s="67"/>
      <c r="FE15" s="67"/>
      <c r="FF15" s="67"/>
      <c r="FG15" s="67"/>
      <c r="FH15" s="67"/>
      <c r="FI15" s="67"/>
      <c r="FJ15" s="67"/>
      <c r="FK15" s="67"/>
      <c r="FL15" s="67"/>
      <c r="FM15" s="67"/>
      <c r="FN15" s="67"/>
      <c r="FO15" s="67"/>
      <c r="FP15" s="67"/>
      <c r="FQ15" s="67"/>
      <c r="FR15" s="67"/>
      <c r="FS15" s="67"/>
      <c r="FT15" s="67"/>
      <c r="FU15" s="67"/>
      <c r="FV15" s="67"/>
      <c r="FW15" s="67"/>
      <c r="FX15" s="67"/>
      <c r="FY15" s="67"/>
      <c r="FZ15" s="67"/>
      <c r="GA15" s="67"/>
      <c r="GB15" s="67"/>
      <c r="GC15" s="67"/>
      <c r="GD15" s="67"/>
      <c r="GE15" s="67"/>
      <c r="GF15" s="67"/>
      <c r="GG15" s="67"/>
      <c r="GH15" s="67"/>
      <c r="GI15" s="67"/>
      <c r="GJ15" s="67"/>
      <c r="GK15" s="67"/>
      <c r="GL15" s="67"/>
      <c r="GM15" s="67"/>
      <c r="GN15" s="67"/>
      <c r="GO15" s="67"/>
      <c r="GP15" s="67"/>
      <c r="GQ15" s="67"/>
      <c r="GR15" s="67"/>
      <c r="GS15" s="67"/>
      <c r="GT15" s="67"/>
      <c r="GU15" s="67"/>
      <c r="GV15" s="67"/>
      <c r="GW15" s="67"/>
      <c r="GX15" s="67"/>
      <c r="GY15" s="67"/>
      <c r="GZ15" s="67"/>
      <c r="HA15" s="67"/>
      <c r="HB15" s="67"/>
      <c r="HC15" s="67"/>
      <c r="HD15" s="67"/>
      <c r="HE15" s="67"/>
      <c r="HF15" s="67"/>
      <c r="HG15" s="67"/>
      <c r="HH15" s="67"/>
      <c r="HI15" s="67"/>
      <c r="HJ15" s="67"/>
      <c r="HK15" s="67"/>
      <c r="HL15" s="67"/>
      <c r="HM15" s="67"/>
      <c r="HN15" s="67"/>
      <c r="HO15" s="67"/>
      <c r="HP15" s="67"/>
      <c r="HQ15" s="67"/>
      <c r="HR15" s="67"/>
      <c r="HS15" s="67"/>
      <c r="HT15" s="67"/>
      <c r="HU15" s="67"/>
      <c r="HV15" s="67"/>
      <c r="HW15" s="67"/>
      <c r="HX15" s="67"/>
      <c r="HY15" s="67"/>
      <c r="HZ15" s="67"/>
      <c r="IA15" s="67"/>
      <c r="IB15" s="67"/>
      <c r="IC15" s="67"/>
      <c r="ID15" s="67"/>
      <c r="IE15" s="67"/>
      <c r="IF15" s="67"/>
      <c r="IG15" s="67"/>
      <c r="IH15" s="67"/>
      <c r="II15" s="67"/>
      <c r="IJ15" s="67"/>
      <c r="IK15" s="67"/>
      <c r="IL15" s="67"/>
      <c r="IM15" s="67"/>
      <c r="IN15" s="67"/>
      <c r="IO15" s="67"/>
      <c r="IP15" s="67"/>
      <c r="IQ15" s="67"/>
      <c r="IR15" s="67"/>
      <c r="IS15" s="67"/>
      <c r="IT15" s="67"/>
      <c r="IU15" s="67"/>
      <c r="IV15" s="67"/>
      <c r="IW15" s="67"/>
      <c r="IX15" s="67"/>
      <c r="IY15" s="67"/>
      <c r="IZ15" s="67"/>
      <c r="JA15" s="67"/>
      <c r="JB15" s="67"/>
      <c r="JC15" s="67"/>
      <c r="JD15" s="67"/>
      <c r="JE15" s="67"/>
      <c r="JF15" s="67"/>
      <c r="JG15" s="67"/>
      <c r="JH15" s="67"/>
      <c r="JI15" s="67"/>
      <c r="JJ15" s="67"/>
      <c r="JK15" s="67"/>
      <c r="JL15" s="67"/>
      <c r="JM15" s="67"/>
      <c r="JN15" s="67"/>
      <c r="JO15" s="67"/>
      <c r="JP15" s="67"/>
      <c r="JQ15" s="67"/>
      <c r="JR15" s="67"/>
      <c r="JS15" s="67"/>
      <c r="JT15" s="67"/>
      <c r="JU15" s="67"/>
      <c r="JV15" s="67"/>
      <c r="JW15" s="67"/>
      <c r="JX15" s="67"/>
      <c r="JY15" s="67"/>
      <c r="JZ15" s="67"/>
      <c r="KA15" s="67"/>
      <c r="KB15" s="67"/>
      <c r="KC15" s="67"/>
      <c r="KD15" s="67"/>
      <c r="KE15" s="67"/>
      <c r="KF15" s="67"/>
      <c r="KG15" s="67"/>
      <c r="KH15" s="67"/>
      <c r="KI15" s="67"/>
      <c r="KJ15" s="67"/>
      <c r="KK15" s="67"/>
      <c r="KL15" s="67"/>
      <c r="KM15" s="67"/>
      <c r="KN15" s="67"/>
      <c r="KO15" s="67"/>
      <c r="KP15" s="67"/>
      <c r="KQ15" s="67"/>
      <c r="KR15" s="67"/>
      <c r="KS15" s="67"/>
      <c r="KT15" s="67"/>
      <c r="KU15" s="67"/>
      <c r="KV15" s="67"/>
      <c r="KW15" s="67"/>
      <c r="KX15" s="67"/>
      <c r="KY15" s="67"/>
      <c r="KZ15" s="67"/>
      <c r="LA15" s="67"/>
      <c r="LB15" s="67"/>
      <c r="LC15" s="67"/>
      <c r="LD15" s="67"/>
      <c r="LE15" s="67"/>
      <c r="LF15" s="67"/>
      <c r="LG15" s="67"/>
      <c r="LH15" s="67"/>
      <c r="LI15" s="67"/>
      <c r="LJ15" s="67"/>
      <c r="LK15" s="67"/>
      <c r="LL15" s="67"/>
      <c r="LM15" s="67"/>
      <c r="LN15" s="67"/>
      <c r="LO15" s="67"/>
      <c r="LP15" s="67"/>
      <c r="LQ15" s="67"/>
      <c r="LR15" s="67"/>
      <c r="LS15" s="67"/>
      <c r="LT15" s="67"/>
      <c r="LU15" s="67"/>
      <c r="LV15" s="67"/>
      <c r="LW15" s="67"/>
      <c r="LX15" s="67"/>
      <c r="LY15" s="67"/>
      <c r="LZ15" s="67"/>
      <c r="MA15" s="67"/>
      <c r="MB15" s="67"/>
      <c r="MC15" s="67"/>
      <c r="MD15" s="67"/>
      <c r="ME15" s="67"/>
      <c r="MF15" s="67"/>
      <c r="MG15" s="67"/>
      <c r="MH15" s="67"/>
      <c r="MI15" s="67"/>
      <c r="MJ15" s="67"/>
      <c r="MK15" s="67"/>
      <c r="ML15" s="67"/>
      <c r="MM15" s="67"/>
      <c r="MN15" s="67"/>
      <c r="MO15" s="67"/>
      <c r="MP15" s="67"/>
      <c r="MQ15" s="67"/>
      <c r="MR15" s="67"/>
      <c r="MS15" s="67"/>
      <c r="MT15" s="67"/>
      <c r="MU15" s="67"/>
      <c r="MV15" s="67"/>
      <c r="MW15" s="67"/>
      <c r="MX15" s="67"/>
      <c r="MY15" s="67"/>
      <c r="MZ15" s="67"/>
      <c r="NA15" s="67"/>
      <c r="NB15" s="67"/>
      <c r="NC15" s="67"/>
      <c r="ND15" s="67"/>
      <c r="NE15" s="67"/>
      <c r="NF15" s="67"/>
      <c r="NG15" s="67"/>
      <c r="NH15" s="67"/>
      <c r="NI15" s="67"/>
      <c r="NJ15" s="67"/>
      <c r="NK15" s="67"/>
      <c r="NL15" s="67"/>
      <c r="NM15" s="67"/>
      <c r="NN15" s="67"/>
      <c r="NO15" s="67"/>
      <c r="NP15" s="67"/>
      <c r="NQ15" s="67"/>
      <c r="NR15" s="67"/>
      <c r="NS15" s="67"/>
      <c r="NT15" s="67"/>
      <c r="NU15" s="67"/>
      <c r="NV15" s="67"/>
      <c r="NW15" s="67"/>
      <c r="NX15" s="67"/>
      <c r="NY15" s="67"/>
      <c r="NZ15" s="67"/>
      <c r="OA15" s="67"/>
      <c r="OB15" s="67"/>
      <c r="OC15" s="67"/>
      <c r="OD15" s="67"/>
      <c r="OE15" s="67"/>
      <c r="OF15" s="67"/>
      <c r="OG15" s="67"/>
      <c r="OH15" s="67"/>
      <c r="OI15" s="67"/>
      <c r="OJ15" s="68"/>
    </row>
    <row r="16" spans="1:400" s="33" customFormat="1" ht="34.049999999999997" customHeight="1" x14ac:dyDescent="0.3">
      <c r="A16" s="1795">
        <v>12</v>
      </c>
      <c r="B16" s="2619" t="s">
        <v>553</v>
      </c>
      <c r="C16" s="2640" t="s">
        <v>1200</v>
      </c>
      <c r="D16" s="2619" t="s">
        <v>19</v>
      </c>
      <c r="E16" s="2642">
        <v>600000</v>
      </c>
      <c r="F16" s="2642">
        <v>10892761</v>
      </c>
      <c r="G16" s="2643">
        <v>-10292761</v>
      </c>
      <c r="H16" s="1841" t="s">
        <v>4625</v>
      </c>
      <c r="I16" s="2646" t="s">
        <v>1201</v>
      </c>
      <c r="J16" s="2646" t="s">
        <v>742</v>
      </c>
      <c r="K16" s="2646" t="s">
        <v>1177</v>
      </c>
      <c r="L16" s="2677" t="s">
        <v>1202</v>
      </c>
      <c r="M16" s="2695" t="s">
        <v>4644</v>
      </c>
      <c r="N16" s="2684" t="s">
        <v>1179</v>
      </c>
      <c r="O16" s="2648">
        <v>250000</v>
      </c>
      <c r="P16" s="2635">
        <v>307000</v>
      </c>
      <c r="Q16" s="2636"/>
      <c r="R16" s="2636"/>
      <c r="S16" s="2636"/>
      <c r="T16" s="2634">
        <f t="shared" si="0"/>
        <v>557000</v>
      </c>
      <c r="U16" s="2338"/>
      <c r="V16" s="2338"/>
      <c r="W16" s="2338"/>
      <c r="X16" s="2338"/>
      <c r="Y16" s="2338"/>
      <c r="Z16" s="2338"/>
      <c r="AA16" s="65"/>
      <c r="AB16" s="65"/>
      <c r="AC16" s="65"/>
      <c r="AD16" s="65"/>
      <c r="AE16" s="65"/>
      <c r="AF16" s="65"/>
      <c r="AG16" s="65"/>
      <c r="AH16" s="65"/>
      <c r="AI16" s="65"/>
      <c r="AJ16" s="65"/>
      <c r="AK16" s="65"/>
      <c r="AL16" s="65"/>
      <c r="AM16" s="65"/>
      <c r="AN16" s="65"/>
      <c r="AO16" s="65"/>
      <c r="AP16" s="65"/>
      <c r="AQ16" s="65"/>
      <c r="AR16" s="65"/>
      <c r="AS16" s="65"/>
      <c r="AT16" s="65"/>
      <c r="AU16" s="65"/>
      <c r="AV16" s="65"/>
      <c r="AW16" s="65"/>
      <c r="AX16" s="65"/>
      <c r="AY16" s="65"/>
      <c r="AZ16" s="65"/>
      <c r="BA16" s="65"/>
      <c r="BB16" s="65"/>
      <c r="BC16" s="65"/>
      <c r="BD16" s="65"/>
      <c r="BE16" s="65"/>
      <c r="BF16" s="65"/>
      <c r="BG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c r="CT16" s="65"/>
      <c r="CU16" s="65"/>
      <c r="CV16" s="65"/>
      <c r="CW16" s="65"/>
      <c r="CX16" s="65"/>
      <c r="CY16" s="65"/>
      <c r="CZ16" s="65"/>
      <c r="DA16" s="65"/>
      <c r="DB16" s="65"/>
      <c r="DC16" s="65"/>
      <c r="DD16" s="65"/>
      <c r="DE16" s="65"/>
      <c r="DF16" s="65"/>
      <c r="DG16" s="65"/>
      <c r="DH16" s="65"/>
      <c r="DI16" s="65"/>
      <c r="DJ16" s="65"/>
      <c r="DK16" s="65"/>
      <c r="DL16" s="65"/>
      <c r="DM16" s="65"/>
      <c r="DN16" s="65"/>
      <c r="DO16" s="65"/>
      <c r="DP16" s="65"/>
      <c r="DQ16" s="65"/>
      <c r="DR16" s="65"/>
      <c r="DS16" s="65"/>
      <c r="DT16" s="65"/>
      <c r="DU16" s="65"/>
      <c r="DV16" s="65"/>
      <c r="DW16" s="65"/>
      <c r="DX16" s="65"/>
      <c r="DY16" s="65"/>
      <c r="DZ16" s="65"/>
      <c r="EA16" s="65"/>
      <c r="EB16" s="65"/>
      <c r="EC16" s="65"/>
      <c r="ED16" s="65"/>
      <c r="EE16" s="65"/>
      <c r="EF16" s="65"/>
      <c r="EG16" s="65"/>
      <c r="EH16" s="65"/>
      <c r="EI16" s="65"/>
      <c r="EJ16" s="65"/>
      <c r="EK16" s="65"/>
      <c r="EL16" s="65"/>
      <c r="EM16" s="65"/>
      <c r="EN16" s="65"/>
      <c r="EO16" s="65"/>
      <c r="EP16" s="65"/>
      <c r="EQ16" s="65"/>
      <c r="ER16" s="65"/>
      <c r="ES16" s="65"/>
      <c r="ET16" s="65"/>
      <c r="EU16" s="65"/>
      <c r="EV16" s="65"/>
      <c r="EW16" s="65"/>
      <c r="EX16" s="65"/>
      <c r="EY16" s="65"/>
      <c r="EZ16" s="65"/>
      <c r="FA16" s="65"/>
      <c r="FB16" s="65"/>
      <c r="FC16" s="65"/>
      <c r="FD16" s="65"/>
      <c r="FE16" s="65"/>
      <c r="FF16" s="65"/>
      <c r="FG16" s="65"/>
      <c r="FH16" s="65"/>
      <c r="FI16" s="65"/>
      <c r="FJ16" s="65"/>
      <c r="FK16" s="65"/>
      <c r="FL16" s="65"/>
      <c r="FM16" s="65"/>
      <c r="FN16" s="65"/>
      <c r="FO16" s="65"/>
      <c r="FP16" s="65"/>
      <c r="FQ16" s="65"/>
      <c r="FR16" s="65"/>
      <c r="FS16" s="65"/>
      <c r="FT16" s="65"/>
      <c r="FU16" s="65"/>
      <c r="FV16" s="65"/>
      <c r="FW16" s="65"/>
      <c r="FX16" s="65"/>
      <c r="FY16" s="65"/>
      <c r="FZ16" s="65"/>
      <c r="GA16" s="65"/>
      <c r="GB16" s="65"/>
      <c r="GC16" s="65"/>
      <c r="GD16" s="65"/>
      <c r="GE16" s="65"/>
      <c r="GF16" s="65"/>
      <c r="GG16" s="65"/>
      <c r="GH16" s="65"/>
      <c r="GI16" s="65"/>
      <c r="GJ16" s="65"/>
      <c r="GK16" s="65"/>
      <c r="GL16" s="65"/>
      <c r="GM16" s="65"/>
      <c r="GN16" s="65"/>
      <c r="GO16" s="65"/>
      <c r="GP16" s="65"/>
      <c r="GQ16" s="65"/>
      <c r="GR16" s="65"/>
      <c r="GS16" s="65"/>
      <c r="GT16" s="65"/>
      <c r="GU16" s="65"/>
      <c r="GV16" s="65"/>
      <c r="GW16" s="65"/>
      <c r="GX16" s="65"/>
      <c r="GY16" s="65"/>
      <c r="GZ16" s="65"/>
      <c r="HA16" s="65"/>
      <c r="HB16" s="65"/>
      <c r="HC16" s="65"/>
      <c r="HD16" s="65"/>
      <c r="HE16" s="65"/>
      <c r="HF16" s="65"/>
      <c r="HG16" s="65"/>
      <c r="HH16" s="65"/>
      <c r="HI16" s="65"/>
      <c r="HJ16" s="65"/>
      <c r="HK16" s="65"/>
      <c r="HL16" s="65"/>
      <c r="HM16" s="65"/>
      <c r="HN16" s="65"/>
      <c r="HO16" s="65"/>
      <c r="HP16" s="65"/>
      <c r="HQ16" s="65"/>
      <c r="HR16" s="65"/>
      <c r="HS16" s="65"/>
      <c r="HT16" s="65"/>
      <c r="HU16" s="65"/>
      <c r="HV16" s="65"/>
      <c r="HW16" s="65"/>
      <c r="HX16" s="65"/>
      <c r="HY16" s="65"/>
      <c r="HZ16" s="65"/>
      <c r="IA16" s="65"/>
      <c r="IB16" s="65"/>
      <c r="IC16" s="65"/>
      <c r="ID16" s="65"/>
      <c r="IE16" s="65"/>
      <c r="IF16" s="65"/>
      <c r="IG16" s="65"/>
      <c r="IH16" s="65"/>
      <c r="II16" s="65"/>
      <c r="IJ16" s="65"/>
      <c r="IK16" s="65"/>
      <c r="IL16" s="65"/>
      <c r="IM16" s="65"/>
      <c r="IN16" s="65"/>
      <c r="IO16" s="65"/>
      <c r="IP16" s="65"/>
      <c r="IQ16" s="65"/>
      <c r="IR16" s="65"/>
      <c r="IS16" s="65"/>
      <c r="IT16" s="65"/>
      <c r="IU16" s="65"/>
      <c r="IV16" s="65"/>
      <c r="IW16" s="65"/>
      <c r="IX16" s="65"/>
      <c r="IY16" s="65"/>
      <c r="IZ16" s="65"/>
      <c r="JA16" s="65"/>
      <c r="JB16" s="65"/>
      <c r="JC16" s="65"/>
      <c r="JD16" s="65"/>
      <c r="JE16" s="65"/>
      <c r="JF16" s="65"/>
      <c r="JG16" s="65"/>
      <c r="JH16" s="65"/>
      <c r="JI16" s="65"/>
      <c r="JJ16" s="65"/>
      <c r="JK16" s="65"/>
      <c r="JL16" s="65"/>
      <c r="JM16" s="65"/>
      <c r="JN16" s="65"/>
      <c r="JO16" s="65"/>
      <c r="JP16" s="65"/>
      <c r="JQ16" s="65"/>
      <c r="JR16" s="65"/>
      <c r="JS16" s="65"/>
      <c r="JT16" s="65"/>
      <c r="JU16" s="65"/>
      <c r="JV16" s="65"/>
      <c r="JW16" s="65"/>
      <c r="JX16" s="65"/>
      <c r="JY16" s="65"/>
      <c r="JZ16" s="65"/>
      <c r="KA16" s="65"/>
      <c r="KB16" s="65"/>
      <c r="KC16" s="65"/>
      <c r="KD16" s="65"/>
      <c r="KE16" s="65"/>
      <c r="KF16" s="65"/>
      <c r="KG16" s="65"/>
      <c r="KH16" s="65"/>
      <c r="KI16" s="65"/>
      <c r="KJ16" s="65"/>
      <c r="KK16" s="65"/>
      <c r="KL16" s="65"/>
      <c r="KM16" s="65"/>
      <c r="KN16" s="65"/>
      <c r="KO16" s="65"/>
      <c r="KP16" s="65"/>
      <c r="KQ16" s="65"/>
      <c r="KR16" s="65"/>
      <c r="KS16" s="65"/>
      <c r="KT16" s="65"/>
      <c r="KU16" s="65"/>
      <c r="KV16" s="65"/>
      <c r="KW16" s="65"/>
      <c r="KX16" s="65"/>
      <c r="KY16" s="65"/>
      <c r="KZ16" s="65"/>
      <c r="LA16" s="65"/>
      <c r="LB16" s="65"/>
      <c r="LC16" s="65"/>
      <c r="LD16" s="65"/>
      <c r="LE16" s="65"/>
      <c r="LF16" s="65"/>
      <c r="LG16" s="65"/>
      <c r="LH16" s="65"/>
      <c r="LI16" s="65"/>
      <c r="LJ16" s="65"/>
      <c r="LK16" s="65"/>
      <c r="LL16" s="65"/>
      <c r="LM16" s="65"/>
      <c r="LN16" s="65"/>
      <c r="LO16" s="65"/>
      <c r="LP16" s="65"/>
      <c r="LQ16" s="65"/>
      <c r="LR16" s="65"/>
      <c r="LS16" s="65"/>
      <c r="LT16" s="65"/>
      <c r="LU16" s="65"/>
      <c r="LV16" s="65"/>
      <c r="LW16" s="65"/>
      <c r="LX16" s="65"/>
      <c r="LY16" s="65"/>
      <c r="LZ16" s="65"/>
      <c r="MA16" s="65"/>
      <c r="MB16" s="65"/>
      <c r="MC16" s="65"/>
      <c r="MD16" s="65"/>
      <c r="ME16" s="65"/>
      <c r="MF16" s="65"/>
      <c r="MG16" s="65"/>
      <c r="MH16" s="65"/>
      <c r="MI16" s="65"/>
      <c r="MJ16" s="65"/>
      <c r="MK16" s="65"/>
      <c r="ML16" s="65"/>
      <c r="MM16" s="65"/>
      <c r="MN16" s="65"/>
      <c r="MO16" s="65"/>
      <c r="MP16" s="65"/>
      <c r="MQ16" s="65"/>
      <c r="MR16" s="65"/>
      <c r="MS16" s="65"/>
      <c r="MT16" s="65"/>
      <c r="MU16" s="65"/>
      <c r="MV16" s="65"/>
      <c r="MW16" s="65"/>
      <c r="MX16" s="65"/>
      <c r="MY16" s="65"/>
      <c r="MZ16" s="65"/>
      <c r="NA16" s="65"/>
      <c r="NB16" s="65"/>
      <c r="NC16" s="65"/>
      <c r="ND16" s="65"/>
      <c r="NE16" s="65"/>
      <c r="NF16" s="65"/>
      <c r="NG16" s="65"/>
      <c r="NH16" s="65"/>
      <c r="NI16" s="65"/>
      <c r="NJ16" s="65"/>
      <c r="NK16" s="65"/>
      <c r="NL16" s="65"/>
      <c r="NM16" s="65"/>
      <c r="NN16" s="65"/>
      <c r="NO16" s="65"/>
      <c r="NP16" s="65"/>
      <c r="NQ16" s="65"/>
      <c r="NR16" s="65"/>
      <c r="NS16" s="65"/>
      <c r="NT16" s="65"/>
      <c r="NU16" s="65"/>
      <c r="NV16" s="65"/>
      <c r="NW16" s="65"/>
      <c r="NX16" s="65"/>
      <c r="NY16" s="65"/>
      <c r="NZ16" s="65"/>
      <c r="OA16" s="65"/>
      <c r="OB16" s="65"/>
      <c r="OC16" s="65"/>
      <c r="OD16" s="65"/>
      <c r="OE16" s="65"/>
      <c r="OF16" s="65"/>
      <c r="OG16" s="65"/>
      <c r="OH16" s="65"/>
      <c r="OI16" s="65"/>
      <c r="OJ16" s="66"/>
    </row>
    <row r="17" spans="1:400" s="34" customFormat="1" ht="34.049999999999997" customHeight="1" x14ac:dyDescent="0.3">
      <c r="A17" s="1796">
        <v>13</v>
      </c>
      <c r="B17" s="2553" t="s">
        <v>50</v>
      </c>
      <c r="C17" s="2641" t="s">
        <v>1112</v>
      </c>
      <c r="D17" s="2553" t="s">
        <v>22</v>
      </c>
      <c r="E17" s="2645">
        <v>53612</v>
      </c>
      <c r="F17" s="2645">
        <v>117900</v>
      </c>
      <c r="G17" s="2644">
        <v>-64288</v>
      </c>
      <c r="H17" s="1924" t="s">
        <v>4626</v>
      </c>
      <c r="I17" s="2647" t="s">
        <v>1203</v>
      </c>
      <c r="J17" s="2647" t="s">
        <v>1204</v>
      </c>
      <c r="K17" s="2647" t="s">
        <v>1205</v>
      </c>
      <c r="L17" s="2678" t="s">
        <v>1206</v>
      </c>
      <c r="M17" s="2694" t="s">
        <v>4645</v>
      </c>
      <c r="N17" s="2685" t="s">
        <v>1207</v>
      </c>
      <c r="O17" s="2648">
        <v>85100</v>
      </c>
      <c r="P17" s="2635">
        <v>161000</v>
      </c>
      <c r="Q17" s="2636"/>
      <c r="R17" s="2636"/>
      <c r="S17" s="2636"/>
      <c r="T17" s="2634">
        <f t="shared" si="0"/>
        <v>246100</v>
      </c>
      <c r="U17" s="2338"/>
      <c r="V17" s="2338"/>
      <c r="W17" s="2338"/>
      <c r="X17" s="2338"/>
      <c r="Y17" s="2338"/>
      <c r="Z17" s="2338"/>
      <c r="AA17" s="67"/>
      <c r="AB17" s="67"/>
      <c r="AC17" s="67"/>
      <c r="AD17" s="67"/>
      <c r="AE17" s="67"/>
      <c r="AF17" s="67"/>
      <c r="AG17" s="67"/>
      <c r="AH17" s="67"/>
      <c r="AI17" s="67"/>
      <c r="AJ17" s="67"/>
      <c r="AK17" s="67"/>
      <c r="AL17" s="67"/>
      <c r="AM17" s="67"/>
      <c r="AN17" s="67"/>
      <c r="AO17" s="67"/>
      <c r="AP17" s="67"/>
      <c r="AQ17" s="67"/>
      <c r="AR17" s="67"/>
      <c r="AS17" s="67"/>
      <c r="AT17" s="67"/>
      <c r="AU17" s="67"/>
      <c r="AV17" s="67"/>
      <c r="AW17" s="67"/>
      <c r="AX17" s="67"/>
      <c r="AY17" s="67"/>
      <c r="AZ17" s="67"/>
      <c r="BA17" s="67"/>
      <c r="BB17" s="67"/>
      <c r="BC17" s="67"/>
      <c r="BD17" s="67"/>
      <c r="BE17" s="67"/>
      <c r="BF17" s="67"/>
      <c r="BG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c r="CT17" s="67"/>
      <c r="CU17" s="67"/>
      <c r="CV17" s="67"/>
      <c r="CW17" s="67"/>
      <c r="CX17" s="67"/>
      <c r="CY17" s="67"/>
      <c r="CZ17" s="67"/>
      <c r="DA17" s="67"/>
      <c r="DB17" s="67"/>
      <c r="DC17" s="67"/>
      <c r="DD17" s="67"/>
      <c r="DE17" s="67"/>
      <c r="DF17" s="67"/>
      <c r="DG17" s="67"/>
      <c r="DH17" s="67"/>
      <c r="DI17" s="67"/>
      <c r="DJ17" s="67"/>
      <c r="DK17" s="67"/>
      <c r="DL17" s="67"/>
      <c r="DM17" s="67"/>
      <c r="DN17" s="67"/>
      <c r="DO17" s="67"/>
      <c r="DP17" s="67"/>
      <c r="DQ17" s="67"/>
      <c r="DR17" s="67"/>
      <c r="DS17" s="67"/>
      <c r="DT17" s="67"/>
      <c r="DU17" s="67"/>
      <c r="DV17" s="67"/>
      <c r="DW17" s="67"/>
      <c r="DX17" s="67"/>
      <c r="DY17" s="67"/>
      <c r="DZ17" s="67"/>
      <c r="EA17" s="67"/>
      <c r="EB17" s="67"/>
      <c r="EC17" s="67"/>
      <c r="ED17" s="67"/>
      <c r="EE17" s="67"/>
      <c r="EF17" s="67"/>
      <c r="EG17" s="67"/>
      <c r="EH17" s="67"/>
      <c r="EI17" s="67"/>
      <c r="EJ17" s="67"/>
      <c r="EK17" s="67"/>
      <c r="EL17" s="67"/>
      <c r="EM17" s="67"/>
      <c r="EN17" s="67"/>
      <c r="EO17" s="67"/>
      <c r="EP17" s="67"/>
      <c r="EQ17" s="67"/>
      <c r="ER17" s="67"/>
      <c r="ES17" s="67"/>
      <c r="ET17" s="67"/>
      <c r="EU17" s="67"/>
      <c r="EV17" s="67"/>
      <c r="EW17" s="67"/>
      <c r="EX17" s="67"/>
      <c r="EY17" s="67"/>
      <c r="EZ17" s="67"/>
      <c r="FA17" s="67"/>
      <c r="FB17" s="67"/>
      <c r="FC17" s="67"/>
      <c r="FD17" s="67"/>
      <c r="FE17" s="67"/>
      <c r="FF17" s="67"/>
      <c r="FG17" s="67"/>
      <c r="FH17" s="67"/>
      <c r="FI17" s="67"/>
      <c r="FJ17" s="67"/>
      <c r="FK17" s="67"/>
      <c r="FL17" s="67"/>
      <c r="FM17" s="67"/>
      <c r="FN17" s="67"/>
      <c r="FO17" s="67"/>
      <c r="FP17" s="67"/>
      <c r="FQ17" s="67"/>
      <c r="FR17" s="67"/>
      <c r="FS17" s="67"/>
      <c r="FT17" s="67"/>
      <c r="FU17" s="67"/>
      <c r="FV17" s="67"/>
      <c r="FW17" s="67"/>
      <c r="FX17" s="67"/>
      <c r="FY17" s="67"/>
      <c r="FZ17" s="67"/>
      <c r="GA17" s="67"/>
      <c r="GB17" s="67"/>
      <c r="GC17" s="67"/>
      <c r="GD17" s="67"/>
      <c r="GE17" s="67"/>
      <c r="GF17" s="67"/>
      <c r="GG17" s="67"/>
      <c r="GH17" s="67"/>
      <c r="GI17" s="67"/>
      <c r="GJ17" s="67"/>
      <c r="GK17" s="67"/>
      <c r="GL17" s="67"/>
      <c r="GM17" s="67"/>
      <c r="GN17" s="67"/>
      <c r="GO17" s="67"/>
      <c r="GP17" s="67"/>
      <c r="GQ17" s="67"/>
      <c r="GR17" s="67"/>
      <c r="GS17" s="67"/>
      <c r="GT17" s="67"/>
      <c r="GU17" s="67"/>
      <c r="GV17" s="67"/>
      <c r="GW17" s="67"/>
      <c r="GX17" s="67"/>
      <c r="GY17" s="67"/>
      <c r="GZ17" s="67"/>
      <c r="HA17" s="67"/>
      <c r="HB17" s="67"/>
      <c r="HC17" s="67"/>
      <c r="HD17" s="67"/>
      <c r="HE17" s="67"/>
      <c r="HF17" s="67"/>
      <c r="HG17" s="67"/>
      <c r="HH17" s="67"/>
      <c r="HI17" s="67"/>
      <c r="HJ17" s="67"/>
      <c r="HK17" s="67"/>
      <c r="HL17" s="67"/>
      <c r="HM17" s="67"/>
      <c r="HN17" s="67"/>
      <c r="HO17" s="67"/>
      <c r="HP17" s="67"/>
      <c r="HQ17" s="67"/>
      <c r="HR17" s="67"/>
      <c r="HS17" s="67"/>
      <c r="HT17" s="67"/>
      <c r="HU17" s="67"/>
      <c r="HV17" s="67"/>
      <c r="HW17" s="67"/>
      <c r="HX17" s="67"/>
      <c r="HY17" s="67"/>
      <c r="HZ17" s="67"/>
      <c r="IA17" s="67"/>
      <c r="IB17" s="67"/>
      <c r="IC17" s="67"/>
      <c r="ID17" s="67"/>
      <c r="IE17" s="67"/>
      <c r="IF17" s="67"/>
      <c r="IG17" s="67"/>
      <c r="IH17" s="67"/>
      <c r="II17" s="67"/>
      <c r="IJ17" s="67"/>
      <c r="IK17" s="67"/>
      <c r="IL17" s="67"/>
      <c r="IM17" s="67"/>
      <c r="IN17" s="67"/>
      <c r="IO17" s="67"/>
      <c r="IP17" s="67"/>
      <c r="IQ17" s="67"/>
      <c r="IR17" s="67"/>
      <c r="IS17" s="67"/>
      <c r="IT17" s="67"/>
      <c r="IU17" s="67"/>
      <c r="IV17" s="67"/>
      <c r="IW17" s="67"/>
      <c r="IX17" s="67"/>
      <c r="IY17" s="67"/>
      <c r="IZ17" s="67"/>
      <c r="JA17" s="67"/>
      <c r="JB17" s="67"/>
      <c r="JC17" s="67"/>
      <c r="JD17" s="67"/>
      <c r="JE17" s="67"/>
      <c r="JF17" s="67"/>
      <c r="JG17" s="67"/>
      <c r="JH17" s="67"/>
      <c r="JI17" s="67"/>
      <c r="JJ17" s="67"/>
      <c r="JK17" s="67"/>
      <c r="JL17" s="67"/>
      <c r="JM17" s="67"/>
      <c r="JN17" s="67"/>
      <c r="JO17" s="67"/>
      <c r="JP17" s="67"/>
      <c r="JQ17" s="67"/>
      <c r="JR17" s="67"/>
      <c r="JS17" s="67"/>
      <c r="JT17" s="67"/>
      <c r="JU17" s="67"/>
      <c r="JV17" s="67"/>
      <c r="JW17" s="67"/>
      <c r="JX17" s="67"/>
      <c r="JY17" s="67"/>
      <c r="JZ17" s="67"/>
      <c r="KA17" s="67"/>
      <c r="KB17" s="67"/>
      <c r="KC17" s="67"/>
      <c r="KD17" s="67"/>
      <c r="KE17" s="67"/>
      <c r="KF17" s="67"/>
      <c r="KG17" s="67"/>
      <c r="KH17" s="67"/>
      <c r="KI17" s="67"/>
      <c r="KJ17" s="67"/>
      <c r="KK17" s="67"/>
      <c r="KL17" s="67"/>
      <c r="KM17" s="67"/>
      <c r="KN17" s="67"/>
      <c r="KO17" s="67"/>
      <c r="KP17" s="67"/>
      <c r="KQ17" s="67"/>
      <c r="KR17" s="67"/>
      <c r="KS17" s="67"/>
      <c r="KT17" s="67"/>
      <c r="KU17" s="67"/>
      <c r="KV17" s="67"/>
      <c r="KW17" s="67"/>
      <c r="KX17" s="67"/>
      <c r="KY17" s="67"/>
      <c r="KZ17" s="67"/>
      <c r="LA17" s="67"/>
      <c r="LB17" s="67"/>
      <c r="LC17" s="67"/>
      <c r="LD17" s="67"/>
      <c r="LE17" s="67"/>
      <c r="LF17" s="67"/>
      <c r="LG17" s="67"/>
      <c r="LH17" s="67"/>
      <c r="LI17" s="67"/>
      <c r="LJ17" s="67"/>
      <c r="LK17" s="67"/>
      <c r="LL17" s="67"/>
      <c r="LM17" s="67"/>
      <c r="LN17" s="67"/>
      <c r="LO17" s="67"/>
      <c r="LP17" s="67"/>
      <c r="LQ17" s="67"/>
      <c r="LR17" s="67"/>
      <c r="LS17" s="67"/>
      <c r="LT17" s="67"/>
      <c r="LU17" s="67"/>
      <c r="LV17" s="67"/>
      <c r="LW17" s="67"/>
      <c r="LX17" s="67"/>
      <c r="LY17" s="67"/>
      <c r="LZ17" s="67"/>
      <c r="MA17" s="67"/>
      <c r="MB17" s="67"/>
      <c r="MC17" s="67"/>
      <c r="MD17" s="67"/>
      <c r="ME17" s="67"/>
      <c r="MF17" s="67"/>
      <c r="MG17" s="67"/>
      <c r="MH17" s="67"/>
      <c r="MI17" s="67"/>
      <c r="MJ17" s="67"/>
      <c r="MK17" s="67"/>
      <c r="ML17" s="67"/>
      <c r="MM17" s="67"/>
      <c r="MN17" s="67"/>
      <c r="MO17" s="67"/>
      <c r="MP17" s="67"/>
      <c r="MQ17" s="67"/>
      <c r="MR17" s="67"/>
      <c r="MS17" s="67"/>
      <c r="MT17" s="67"/>
      <c r="MU17" s="67"/>
      <c r="MV17" s="67"/>
      <c r="MW17" s="67"/>
      <c r="MX17" s="67"/>
      <c r="MY17" s="67"/>
      <c r="MZ17" s="67"/>
      <c r="NA17" s="67"/>
      <c r="NB17" s="67"/>
      <c r="NC17" s="67"/>
      <c r="ND17" s="67"/>
      <c r="NE17" s="67"/>
      <c r="NF17" s="67"/>
      <c r="NG17" s="67"/>
      <c r="NH17" s="67"/>
      <c r="NI17" s="67"/>
      <c r="NJ17" s="67"/>
      <c r="NK17" s="67"/>
      <c r="NL17" s="67"/>
      <c r="NM17" s="67"/>
      <c r="NN17" s="67"/>
      <c r="NO17" s="67"/>
      <c r="NP17" s="67"/>
      <c r="NQ17" s="67"/>
      <c r="NR17" s="67"/>
      <c r="NS17" s="67"/>
      <c r="NT17" s="67"/>
      <c r="NU17" s="67"/>
      <c r="NV17" s="67"/>
      <c r="NW17" s="67"/>
      <c r="NX17" s="67"/>
      <c r="NY17" s="67"/>
      <c r="NZ17" s="67"/>
      <c r="OA17" s="67"/>
      <c r="OB17" s="67"/>
      <c r="OC17" s="67"/>
      <c r="OD17" s="67"/>
      <c r="OE17" s="67"/>
      <c r="OF17" s="67"/>
      <c r="OG17" s="67"/>
      <c r="OH17" s="67"/>
      <c r="OI17" s="67"/>
      <c r="OJ17" s="68"/>
    </row>
    <row r="18" spans="1:400" s="33" customFormat="1" ht="34.049999999999997" customHeight="1" x14ac:dyDescent="0.3">
      <c r="A18" s="1795">
        <v>14</v>
      </c>
      <c r="B18" s="2619" t="s">
        <v>655</v>
      </c>
      <c r="C18" s="2640" t="s">
        <v>786</v>
      </c>
      <c r="D18" s="2619" t="s">
        <v>31</v>
      </c>
      <c r="E18" s="2642">
        <v>636284</v>
      </c>
      <c r="F18" s="2642">
        <v>0</v>
      </c>
      <c r="G18" s="2643">
        <v>636284</v>
      </c>
      <c r="H18" s="2646" t="s">
        <v>4627</v>
      </c>
      <c r="I18" s="2646" t="s">
        <v>1208</v>
      </c>
      <c r="J18" s="2646" t="s">
        <v>1204</v>
      </c>
      <c r="K18" s="2646" t="s">
        <v>1209</v>
      </c>
      <c r="L18" s="2677" t="s">
        <v>1210</v>
      </c>
      <c r="M18" s="2695" t="s">
        <v>4646</v>
      </c>
      <c r="N18" s="2684" t="s">
        <v>1211</v>
      </c>
      <c r="O18" s="2648">
        <v>307222.34000000003</v>
      </c>
      <c r="P18" s="2635">
        <v>79552.7</v>
      </c>
      <c r="Q18" s="2636"/>
      <c r="R18" s="2636"/>
      <c r="S18" s="2636"/>
      <c r="T18" s="2634">
        <f t="shared" si="0"/>
        <v>386775.04000000004</v>
      </c>
      <c r="U18" s="2338"/>
      <c r="V18" s="2338"/>
      <c r="W18" s="2338"/>
      <c r="X18" s="2338"/>
      <c r="Y18" s="2338"/>
      <c r="Z18" s="2338"/>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5"/>
      <c r="AZ18" s="65"/>
      <c r="BA18" s="65"/>
      <c r="BB18" s="65"/>
      <c r="BC18" s="65"/>
      <c r="BD18" s="65"/>
      <c r="BE18" s="65"/>
      <c r="BF18" s="65"/>
      <c r="BG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c r="CT18" s="65"/>
      <c r="CU18" s="65"/>
      <c r="CV18" s="65"/>
      <c r="CW18" s="65"/>
      <c r="CX18" s="65"/>
      <c r="CY18" s="65"/>
      <c r="CZ18" s="65"/>
      <c r="DA18" s="65"/>
      <c r="DB18" s="65"/>
      <c r="DC18" s="65"/>
      <c r="DD18" s="65"/>
      <c r="DE18" s="65"/>
      <c r="DF18" s="65"/>
      <c r="DG18" s="65"/>
      <c r="DH18" s="65"/>
      <c r="DI18" s="65"/>
      <c r="DJ18" s="65"/>
      <c r="DK18" s="65"/>
      <c r="DL18" s="65"/>
      <c r="DM18" s="65"/>
      <c r="DN18" s="65"/>
      <c r="DO18" s="65"/>
      <c r="DP18" s="65"/>
      <c r="DQ18" s="65"/>
      <c r="DR18" s="65"/>
      <c r="DS18" s="65"/>
      <c r="DT18" s="65"/>
      <c r="DU18" s="65"/>
      <c r="DV18" s="65"/>
      <c r="DW18" s="65"/>
      <c r="DX18" s="65"/>
      <c r="DY18" s="65"/>
      <c r="DZ18" s="65"/>
      <c r="EA18" s="65"/>
      <c r="EB18" s="65"/>
      <c r="EC18" s="65"/>
      <c r="ED18" s="65"/>
      <c r="EE18" s="65"/>
      <c r="EF18" s="65"/>
      <c r="EG18" s="65"/>
      <c r="EH18" s="65"/>
      <c r="EI18" s="65"/>
      <c r="EJ18" s="65"/>
      <c r="EK18" s="65"/>
      <c r="EL18" s="65"/>
      <c r="EM18" s="65"/>
      <c r="EN18" s="65"/>
      <c r="EO18" s="65"/>
      <c r="EP18" s="65"/>
      <c r="EQ18" s="65"/>
      <c r="ER18" s="65"/>
      <c r="ES18" s="65"/>
      <c r="ET18" s="65"/>
      <c r="EU18" s="65"/>
      <c r="EV18" s="65"/>
      <c r="EW18" s="65"/>
      <c r="EX18" s="65"/>
      <c r="EY18" s="65"/>
      <c r="EZ18" s="65"/>
      <c r="FA18" s="65"/>
      <c r="FB18" s="65"/>
      <c r="FC18" s="65"/>
      <c r="FD18" s="65"/>
      <c r="FE18" s="65"/>
      <c r="FF18" s="65"/>
      <c r="FG18" s="65"/>
      <c r="FH18" s="65"/>
      <c r="FI18" s="65"/>
      <c r="FJ18" s="65"/>
      <c r="FK18" s="65"/>
      <c r="FL18" s="65"/>
      <c r="FM18" s="65"/>
      <c r="FN18" s="65"/>
      <c r="FO18" s="65"/>
      <c r="FP18" s="65"/>
      <c r="FQ18" s="65"/>
      <c r="FR18" s="65"/>
      <c r="FS18" s="65"/>
      <c r="FT18" s="65"/>
      <c r="FU18" s="65"/>
      <c r="FV18" s="65"/>
      <c r="FW18" s="65"/>
      <c r="FX18" s="65"/>
      <c r="FY18" s="65"/>
      <c r="FZ18" s="65"/>
      <c r="GA18" s="65"/>
      <c r="GB18" s="65"/>
      <c r="GC18" s="65"/>
      <c r="GD18" s="65"/>
      <c r="GE18" s="65"/>
      <c r="GF18" s="65"/>
      <c r="GG18" s="65"/>
      <c r="GH18" s="65"/>
      <c r="GI18" s="65"/>
      <c r="GJ18" s="65"/>
      <c r="GK18" s="65"/>
      <c r="GL18" s="65"/>
      <c r="GM18" s="65"/>
      <c r="GN18" s="65"/>
      <c r="GO18" s="65"/>
      <c r="GP18" s="65"/>
      <c r="GQ18" s="65"/>
      <c r="GR18" s="65"/>
      <c r="GS18" s="65"/>
      <c r="GT18" s="65"/>
      <c r="GU18" s="65"/>
      <c r="GV18" s="65"/>
      <c r="GW18" s="65"/>
      <c r="GX18" s="65"/>
      <c r="GY18" s="65"/>
      <c r="GZ18" s="65"/>
      <c r="HA18" s="65"/>
      <c r="HB18" s="65"/>
      <c r="HC18" s="65"/>
      <c r="HD18" s="65"/>
      <c r="HE18" s="65"/>
      <c r="HF18" s="65"/>
      <c r="HG18" s="65"/>
      <c r="HH18" s="65"/>
      <c r="HI18" s="65"/>
      <c r="HJ18" s="65"/>
      <c r="HK18" s="65"/>
      <c r="HL18" s="65"/>
      <c r="HM18" s="65"/>
      <c r="HN18" s="65"/>
      <c r="HO18" s="65"/>
      <c r="HP18" s="65"/>
      <c r="HQ18" s="65"/>
      <c r="HR18" s="65"/>
      <c r="HS18" s="65"/>
      <c r="HT18" s="65"/>
      <c r="HU18" s="65"/>
      <c r="HV18" s="65"/>
      <c r="HW18" s="65"/>
      <c r="HX18" s="65"/>
      <c r="HY18" s="65"/>
      <c r="HZ18" s="65"/>
      <c r="IA18" s="65"/>
      <c r="IB18" s="65"/>
      <c r="IC18" s="65"/>
      <c r="ID18" s="65"/>
      <c r="IE18" s="65"/>
      <c r="IF18" s="65"/>
      <c r="IG18" s="65"/>
      <c r="IH18" s="65"/>
      <c r="II18" s="65"/>
      <c r="IJ18" s="65"/>
      <c r="IK18" s="65"/>
      <c r="IL18" s="65"/>
      <c r="IM18" s="65"/>
      <c r="IN18" s="65"/>
      <c r="IO18" s="65"/>
      <c r="IP18" s="65"/>
      <c r="IQ18" s="65"/>
      <c r="IR18" s="65"/>
      <c r="IS18" s="65"/>
      <c r="IT18" s="65"/>
      <c r="IU18" s="65"/>
      <c r="IV18" s="65"/>
      <c r="IW18" s="65"/>
      <c r="IX18" s="65"/>
      <c r="IY18" s="65"/>
      <c r="IZ18" s="65"/>
      <c r="JA18" s="65"/>
      <c r="JB18" s="65"/>
      <c r="JC18" s="65"/>
      <c r="JD18" s="65"/>
      <c r="JE18" s="65"/>
      <c r="JF18" s="65"/>
      <c r="JG18" s="65"/>
      <c r="JH18" s="65"/>
      <c r="JI18" s="65"/>
      <c r="JJ18" s="65"/>
      <c r="JK18" s="65"/>
      <c r="JL18" s="65"/>
      <c r="JM18" s="65"/>
      <c r="JN18" s="65"/>
      <c r="JO18" s="65"/>
      <c r="JP18" s="65"/>
      <c r="JQ18" s="65"/>
      <c r="JR18" s="65"/>
      <c r="JS18" s="65"/>
      <c r="JT18" s="65"/>
      <c r="JU18" s="65"/>
      <c r="JV18" s="65"/>
      <c r="JW18" s="65"/>
      <c r="JX18" s="65"/>
      <c r="JY18" s="65"/>
      <c r="JZ18" s="65"/>
      <c r="KA18" s="65"/>
      <c r="KB18" s="65"/>
      <c r="KC18" s="65"/>
      <c r="KD18" s="65"/>
      <c r="KE18" s="65"/>
      <c r="KF18" s="65"/>
      <c r="KG18" s="65"/>
      <c r="KH18" s="65"/>
      <c r="KI18" s="65"/>
      <c r="KJ18" s="65"/>
      <c r="KK18" s="65"/>
      <c r="KL18" s="65"/>
      <c r="KM18" s="65"/>
      <c r="KN18" s="65"/>
      <c r="KO18" s="65"/>
      <c r="KP18" s="65"/>
      <c r="KQ18" s="65"/>
      <c r="KR18" s="65"/>
      <c r="KS18" s="65"/>
      <c r="KT18" s="65"/>
      <c r="KU18" s="65"/>
      <c r="KV18" s="65"/>
      <c r="KW18" s="65"/>
      <c r="KX18" s="65"/>
      <c r="KY18" s="65"/>
      <c r="KZ18" s="65"/>
      <c r="LA18" s="65"/>
      <c r="LB18" s="65"/>
      <c r="LC18" s="65"/>
      <c r="LD18" s="65"/>
      <c r="LE18" s="65"/>
      <c r="LF18" s="65"/>
      <c r="LG18" s="65"/>
      <c r="LH18" s="65"/>
      <c r="LI18" s="65"/>
      <c r="LJ18" s="65"/>
      <c r="LK18" s="65"/>
      <c r="LL18" s="65"/>
      <c r="LM18" s="65"/>
      <c r="LN18" s="65"/>
      <c r="LO18" s="65"/>
      <c r="LP18" s="65"/>
      <c r="LQ18" s="65"/>
      <c r="LR18" s="65"/>
      <c r="LS18" s="65"/>
      <c r="LT18" s="65"/>
      <c r="LU18" s="65"/>
      <c r="LV18" s="65"/>
      <c r="LW18" s="65"/>
      <c r="LX18" s="65"/>
      <c r="LY18" s="65"/>
      <c r="LZ18" s="65"/>
      <c r="MA18" s="65"/>
      <c r="MB18" s="65"/>
      <c r="MC18" s="65"/>
      <c r="MD18" s="65"/>
      <c r="ME18" s="65"/>
      <c r="MF18" s="65"/>
      <c r="MG18" s="65"/>
      <c r="MH18" s="65"/>
      <c r="MI18" s="65"/>
      <c r="MJ18" s="65"/>
      <c r="MK18" s="65"/>
      <c r="ML18" s="65"/>
      <c r="MM18" s="65"/>
      <c r="MN18" s="65"/>
      <c r="MO18" s="65"/>
      <c r="MP18" s="65"/>
      <c r="MQ18" s="65"/>
      <c r="MR18" s="65"/>
      <c r="MS18" s="65"/>
      <c r="MT18" s="65"/>
      <c r="MU18" s="65"/>
      <c r="MV18" s="65"/>
      <c r="MW18" s="65"/>
      <c r="MX18" s="65"/>
      <c r="MY18" s="65"/>
      <c r="MZ18" s="65"/>
      <c r="NA18" s="65"/>
      <c r="NB18" s="65"/>
      <c r="NC18" s="65"/>
      <c r="ND18" s="65"/>
      <c r="NE18" s="65"/>
      <c r="NF18" s="65"/>
      <c r="NG18" s="65"/>
      <c r="NH18" s="65"/>
      <c r="NI18" s="65"/>
      <c r="NJ18" s="65"/>
      <c r="NK18" s="65"/>
      <c r="NL18" s="65"/>
      <c r="NM18" s="65"/>
      <c r="NN18" s="65"/>
      <c r="NO18" s="65"/>
      <c r="NP18" s="65"/>
      <c r="NQ18" s="65"/>
      <c r="NR18" s="65"/>
      <c r="NS18" s="65"/>
      <c r="NT18" s="65"/>
      <c r="NU18" s="65"/>
      <c r="NV18" s="65"/>
      <c r="NW18" s="65"/>
      <c r="NX18" s="65"/>
      <c r="NY18" s="65"/>
      <c r="NZ18" s="65"/>
      <c r="OA18" s="65"/>
      <c r="OB18" s="65"/>
      <c r="OC18" s="65"/>
      <c r="OD18" s="65"/>
      <c r="OE18" s="65"/>
      <c r="OF18" s="65"/>
      <c r="OG18" s="65"/>
      <c r="OH18" s="65"/>
      <c r="OI18" s="65"/>
      <c r="OJ18" s="66"/>
    </row>
    <row r="19" spans="1:400" s="34" customFormat="1" ht="34.049999999999997" customHeight="1" x14ac:dyDescent="0.3">
      <c r="A19" s="1796">
        <v>15</v>
      </c>
      <c r="B19" s="2553" t="s">
        <v>642</v>
      </c>
      <c r="C19" s="2641" t="s">
        <v>787</v>
      </c>
      <c r="D19" s="2553" t="s">
        <v>31</v>
      </c>
      <c r="E19" s="2645">
        <v>169100</v>
      </c>
      <c r="F19" s="2645">
        <v>0</v>
      </c>
      <c r="G19" s="2644">
        <v>169100</v>
      </c>
      <c r="H19" s="1840" t="s">
        <v>4628</v>
      </c>
      <c r="I19" s="2647" t="s">
        <v>1212</v>
      </c>
      <c r="J19" s="2647" t="s">
        <v>1204</v>
      </c>
      <c r="K19" s="2647" t="s">
        <v>1213</v>
      </c>
      <c r="L19" s="2678" t="s">
        <v>1214</v>
      </c>
      <c r="M19" s="2694" t="s">
        <v>4647</v>
      </c>
      <c r="N19" s="2685" t="s">
        <v>1215</v>
      </c>
      <c r="O19" s="2648">
        <v>96120</v>
      </c>
      <c r="P19" s="2635">
        <v>109400</v>
      </c>
      <c r="Q19" s="2636"/>
      <c r="R19" s="2636"/>
      <c r="S19" s="2636"/>
      <c r="T19" s="2634">
        <f t="shared" si="0"/>
        <v>205520</v>
      </c>
      <c r="U19" s="2338"/>
      <c r="V19" s="2338"/>
      <c r="W19" s="2338"/>
      <c r="X19" s="2338"/>
      <c r="Y19" s="2338"/>
      <c r="Z19" s="2338"/>
      <c r="AA19" s="67"/>
      <c r="AB19" s="67"/>
      <c r="AC19" s="67"/>
      <c r="AD19" s="67"/>
      <c r="AE19" s="67"/>
      <c r="AF19" s="67"/>
      <c r="AG19" s="67"/>
      <c r="AH19" s="67"/>
      <c r="AI19" s="67"/>
      <c r="AJ19" s="67"/>
      <c r="AK19" s="67"/>
      <c r="AL19" s="67"/>
      <c r="AM19" s="67"/>
      <c r="AN19" s="67"/>
      <c r="AO19" s="67"/>
      <c r="AP19" s="67"/>
      <c r="AQ19" s="67"/>
      <c r="AR19" s="67"/>
      <c r="AS19" s="67"/>
      <c r="AT19" s="67"/>
      <c r="AU19" s="67"/>
      <c r="AV19" s="67"/>
      <c r="AW19" s="67"/>
      <c r="AX19" s="67"/>
      <c r="AY19" s="67"/>
      <c r="AZ19" s="67"/>
      <c r="BA19" s="67"/>
      <c r="BB19" s="67"/>
      <c r="BC19" s="67"/>
      <c r="BD19" s="67"/>
      <c r="BE19" s="67"/>
      <c r="BF19" s="67"/>
      <c r="BG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c r="CT19" s="67"/>
      <c r="CU19" s="67"/>
      <c r="CV19" s="67"/>
      <c r="CW19" s="67"/>
      <c r="CX19" s="67"/>
      <c r="CY19" s="67"/>
      <c r="CZ19" s="67"/>
      <c r="DA19" s="67"/>
      <c r="DB19" s="67"/>
      <c r="DC19" s="67"/>
      <c r="DD19" s="67"/>
      <c r="DE19" s="67"/>
      <c r="DF19" s="67"/>
      <c r="DG19" s="67"/>
      <c r="DH19" s="67"/>
      <c r="DI19" s="67"/>
      <c r="DJ19" s="67"/>
      <c r="DK19" s="67"/>
      <c r="DL19" s="67"/>
      <c r="DM19" s="67"/>
      <c r="DN19" s="67"/>
      <c r="DO19" s="67"/>
      <c r="DP19" s="67"/>
      <c r="DQ19" s="67"/>
      <c r="DR19" s="67"/>
      <c r="DS19" s="67"/>
      <c r="DT19" s="67"/>
      <c r="DU19" s="67"/>
      <c r="DV19" s="67"/>
      <c r="DW19" s="67"/>
      <c r="DX19" s="67"/>
      <c r="DY19" s="67"/>
      <c r="DZ19" s="67"/>
      <c r="EA19" s="67"/>
      <c r="EB19" s="67"/>
      <c r="EC19" s="67"/>
      <c r="ED19" s="67"/>
      <c r="EE19" s="67"/>
      <c r="EF19" s="67"/>
      <c r="EG19" s="67"/>
      <c r="EH19" s="67"/>
      <c r="EI19" s="67"/>
      <c r="EJ19" s="67"/>
      <c r="EK19" s="67"/>
      <c r="EL19" s="67"/>
      <c r="EM19" s="67"/>
      <c r="EN19" s="67"/>
      <c r="EO19" s="67"/>
      <c r="EP19" s="67"/>
      <c r="EQ19" s="67"/>
      <c r="ER19" s="67"/>
      <c r="ES19" s="67"/>
      <c r="ET19" s="67"/>
      <c r="EU19" s="67"/>
      <c r="EV19" s="67"/>
      <c r="EW19" s="67"/>
      <c r="EX19" s="67"/>
      <c r="EY19" s="67"/>
      <c r="EZ19" s="67"/>
      <c r="FA19" s="67"/>
      <c r="FB19" s="67"/>
      <c r="FC19" s="67"/>
      <c r="FD19" s="67"/>
      <c r="FE19" s="67"/>
      <c r="FF19" s="67"/>
      <c r="FG19" s="67"/>
      <c r="FH19" s="67"/>
      <c r="FI19" s="67"/>
      <c r="FJ19" s="67"/>
      <c r="FK19" s="67"/>
      <c r="FL19" s="67"/>
      <c r="FM19" s="67"/>
      <c r="FN19" s="67"/>
      <c r="FO19" s="67"/>
      <c r="FP19" s="67"/>
      <c r="FQ19" s="67"/>
      <c r="FR19" s="67"/>
      <c r="FS19" s="67"/>
      <c r="FT19" s="67"/>
      <c r="FU19" s="67"/>
      <c r="FV19" s="67"/>
      <c r="FW19" s="67"/>
      <c r="FX19" s="67"/>
      <c r="FY19" s="67"/>
      <c r="FZ19" s="67"/>
      <c r="GA19" s="67"/>
      <c r="GB19" s="67"/>
      <c r="GC19" s="67"/>
      <c r="GD19" s="67"/>
      <c r="GE19" s="67"/>
      <c r="GF19" s="67"/>
      <c r="GG19" s="67"/>
      <c r="GH19" s="67"/>
      <c r="GI19" s="67"/>
      <c r="GJ19" s="67"/>
      <c r="GK19" s="67"/>
      <c r="GL19" s="67"/>
      <c r="GM19" s="67"/>
      <c r="GN19" s="67"/>
      <c r="GO19" s="67"/>
      <c r="GP19" s="67"/>
      <c r="GQ19" s="67"/>
      <c r="GR19" s="67"/>
      <c r="GS19" s="67"/>
      <c r="GT19" s="67"/>
      <c r="GU19" s="67"/>
      <c r="GV19" s="67"/>
      <c r="GW19" s="67"/>
      <c r="GX19" s="67"/>
      <c r="GY19" s="67"/>
      <c r="GZ19" s="67"/>
      <c r="HA19" s="67"/>
      <c r="HB19" s="67"/>
      <c r="HC19" s="67"/>
      <c r="HD19" s="67"/>
      <c r="HE19" s="67"/>
      <c r="HF19" s="67"/>
      <c r="HG19" s="67"/>
      <c r="HH19" s="67"/>
      <c r="HI19" s="67"/>
      <c r="HJ19" s="67"/>
      <c r="HK19" s="67"/>
      <c r="HL19" s="67"/>
      <c r="HM19" s="67"/>
      <c r="HN19" s="67"/>
      <c r="HO19" s="67"/>
      <c r="HP19" s="67"/>
      <c r="HQ19" s="67"/>
      <c r="HR19" s="67"/>
      <c r="HS19" s="67"/>
      <c r="HT19" s="67"/>
      <c r="HU19" s="67"/>
      <c r="HV19" s="67"/>
      <c r="HW19" s="67"/>
      <c r="HX19" s="67"/>
      <c r="HY19" s="67"/>
      <c r="HZ19" s="67"/>
      <c r="IA19" s="67"/>
      <c r="IB19" s="67"/>
      <c r="IC19" s="67"/>
      <c r="ID19" s="67"/>
      <c r="IE19" s="67"/>
      <c r="IF19" s="67"/>
      <c r="IG19" s="67"/>
      <c r="IH19" s="67"/>
      <c r="II19" s="67"/>
      <c r="IJ19" s="67"/>
      <c r="IK19" s="67"/>
      <c r="IL19" s="67"/>
      <c r="IM19" s="67"/>
      <c r="IN19" s="67"/>
      <c r="IO19" s="67"/>
      <c r="IP19" s="67"/>
      <c r="IQ19" s="67"/>
      <c r="IR19" s="67"/>
      <c r="IS19" s="67"/>
      <c r="IT19" s="67"/>
      <c r="IU19" s="67"/>
      <c r="IV19" s="67"/>
      <c r="IW19" s="67"/>
      <c r="IX19" s="67"/>
      <c r="IY19" s="67"/>
      <c r="IZ19" s="67"/>
      <c r="JA19" s="67"/>
      <c r="JB19" s="67"/>
      <c r="JC19" s="67"/>
      <c r="JD19" s="67"/>
      <c r="JE19" s="67"/>
      <c r="JF19" s="67"/>
      <c r="JG19" s="67"/>
      <c r="JH19" s="67"/>
      <c r="JI19" s="67"/>
      <c r="JJ19" s="67"/>
      <c r="JK19" s="67"/>
      <c r="JL19" s="67"/>
      <c r="JM19" s="67"/>
      <c r="JN19" s="67"/>
      <c r="JO19" s="67"/>
      <c r="JP19" s="67"/>
      <c r="JQ19" s="67"/>
      <c r="JR19" s="67"/>
      <c r="JS19" s="67"/>
      <c r="JT19" s="67"/>
      <c r="JU19" s="67"/>
      <c r="JV19" s="67"/>
      <c r="JW19" s="67"/>
      <c r="JX19" s="67"/>
      <c r="JY19" s="67"/>
      <c r="JZ19" s="67"/>
      <c r="KA19" s="67"/>
      <c r="KB19" s="67"/>
      <c r="KC19" s="67"/>
      <c r="KD19" s="67"/>
      <c r="KE19" s="67"/>
      <c r="KF19" s="67"/>
      <c r="KG19" s="67"/>
      <c r="KH19" s="67"/>
      <c r="KI19" s="67"/>
      <c r="KJ19" s="67"/>
      <c r="KK19" s="67"/>
      <c r="KL19" s="67"/>
      <c r="KM19" s="67"/>
      <c r="KN19" s="67"/>
      <c r="KO19" s="67"/>
      <c r="KP19" s="67"/>
      <c r="KQ19" s="67"/>
      <c r="KR19" s="67"/>
      <c r="KS19" s="67"/>
      <c r="KT19" s="67"/>
      <c r="KU19" s="67"/>
      <c r="KV19" s="67"/>
      <c r="KW19" s="67"/>
      <c r="KX19" s="67"/>
      <c r="KY19" s="67"/>
      <c r="KZ19" s="67"/>
      <c r="LA19" s="67"/>
      <c r="LB19" s="67"/>
      <c r="LC19" s="67"/>
      <c r="LD19" s="67"/>
      <c r="LE19" s="67"/>
      <c r="LF19" s="67"/>
      <c r="LG19" s="67"/>
      <c r="LH19" s="67"/>
      <c r="LI19" s="67"/>
      <c r="LJ19" s="67"/>
      <c r="LK19" s="67"/>
      <c r="LL19" s="67"/>
      <c r="LM19" s="67"/>
      <c r="LN19" s="67"/>
      <c r="LO19" s="67"/>
      <c r="LP19" s="67"/>
      <c r="LQ19" s="67"/>
      <c r="LR19" s="67"/>
      <c r="LS19" s="67"/>
      <c r="LT19" s="67"/>
      <c r="LU19" s="67"/>
      <c r="LV19" s="67"/>
      <c r="LW19" s="67"/>
      <c r="LX19" s="67"/>
      <c r="LY19" s="67"/>
      <c r="LZ19" s="67"/>
      <c r="MA19" s="67"/>
      <c r="MB19" s="67"/>
      <c r="MC19" s="67"/>
      <c r="MD19" s="67"/>
      <c r="ME19" s="67"/>
      <c r="MF19" s="67"/>
      <c r="MG19" s="67"/>
      <c r="MH19" s="67"/>
      <c r="MI19" s="67"/>
      <c r="MJ19" s="67"/>
      <c r="MK19" s="67"/>
      <c r="ML19" s="67"/>
      <c r="MM19" s="67"/>
      <c r="MN19" s="67"/>
      <c r="MO19" s="67"/>
      <c r="MP19" s="67"/>
      <c r="MQ19" s="67"/>
      <c r="MR19" s="67"/>
      <c r="MS19" s="67"/>
      <c r="MT19" s="67"/>
      <c r="MU19" s="67"/>
      <c r="MV19" s="67"/>
      <c r="MW19" s="67"/>
      <c r="MX19" s="67"/>
      <c r="MY19" s="67"/>
      <c r="MZ19" s="67"/>
      <c r="NA19" s="67"/>
      <c r="NB19" s="67"/>
      <c r="NC19" s="67"/>
      <c r="ND19" s="67"/>
      <c r="NE19" s="67"/>
      <c r="NF19" s="67"/>
      <c r="NG19" s="67"/>
      <c r="NH19" s="67"/>
      <c r="NI19" s="67"/>
      <c r="NJ19" s="67"/>
      <c r="NK19" s="67"/>
      <c r="NL19" s="67"/>
      <c r="NM19" s="67"/>
      <c r="NN19" s="67"/>
      <c r="NO19" s="67"/>
      <c r="NP19" s="67"/>
      <c r="NQ19" s="67"/>
      <c r="NR19" s="67"/>
      <c r="NS19" s="67"/>
      <c r="NT19" s="67"/>
      <c r="NU19" s="67"/>
      <c r="NV19" s="67"/>
      <c r="NW19" s="67"/>
      <c r="NX19" s="67"/>
      <c r="NY19" s="67"/>
      <c r="NZ19" s="67"/>
      <c r="OA19" s="67"/>
      <c r="OB19" s="67"/>
      <c r="OC19" s="67"/>
      <c r="OD19" s="67"/>
      <c r="OE19" s="67"/>
      <c r="OF19" s="67"/>
      <c r="OG19" s="67"/>
      <c r="OH19" s="67"/>
      <c r="OI19" s="67"/>
      <c r="OJ19" s="68"/>
    </row>
    <row r="20" spans="1:400" s="33" customFormat="1" ht="34.049999999999997" customHeight="1" x14ac:dyDescent="0.3">
      <c r="A20" s="1795">
        <v>16</v>
      </c>
      <c r="B20" s="2619" t="s">
        <v>466</v>
      </c>
      <c r="C20" s="2640" t="s">
        <v>788</v>
      </c>
      <c r="D20" s="2619" t="s">
        <v>22</v>
      </c>
      <c r="E20" s="2642">
        <v>5000</v>
      </c>
      <c r="F20" s="2642">
        <v>0</v>
      </c>
      <c r="G20" s="2643">
        <v>0</v>
      </c>
      <c r="H20" s="2646" t="s">
        <v>4629</v>
      </c>
      <c r="I20" s="2646" t="s">
        <v>1216</v>
      </c>
      <c r="J20" s="2646" t="s">
        <v>1189</v>
      </c>
      <c r="K20" s="2646" t="s">
        <v>1217</v>
      </c>
      <c r="L20" s="2677" t="s">
        <v>1218</v>
      </c>
      <c r="M20" s="2695" t="s">
        <v>4648</v>
      </c>
      <c r="N20" s="2684" t="s">
        <v>1219</v>
      </c>
      <c r="O20" s="2648">
        <v>20000</v>
      </c>
      <c r="P20" s="2635">
        <v>15000</v>
      </c>
      <c r="Q20" s="2636"/>
      <c r="R20" s="2636"/>
      <c r="S20" s="2636"/>
      <c r="T20" s="2634">
        <f t="shared" si="0"/>
        <v>35000</v>
      </c>
      <c r="U20" s="2338"/>
      <c r="V20" s="2338"/>
      <c r="W20" s="2338"/>
      <c r="X20" s="2338"/>
      <c r="Y20" s="2338"/>
      <c r="Z20" s="2338"/>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5"/>
      <c r="AZ20" s="65"/>
      <c r="BA20" s="65"/>
      <c r="BB20" s="65"/>
      <c r="BC20" s="65"/>
      <c r="BD20" s="65"/>
      <c r="BE20" s="65"/>
      <c r="BF20" s="65"/>
      <c r="BG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c r="CT20" s="65"/>
      <c r="CU20" s="65"/>
      <c r="CV20" s="65"/>
      <c r="CW20" s="65"/>
      <c r="CX20" s="65"/>
      <c r="CY20" s="65"/>
      <c r="CZ20" s="65"/>
      <c r="DA20" s="65"/>
      <c r="DB20" s="65"/>
      <c r="DC20" s="65"/>
      <c r="DD20" s="65"/>
      <c r="DE20" s="65"/>
      <c r="DF20" s="65"/>
      <c r="DG20" s="65"/>
      <c r="DH20" s="65"/>
      <c r="DI20" s="65"/>
      <c r="DJ20" s="65"/>
      <c r="DK20" s="65"/>
      <c r="DL20" s="65"/>
      <c r="DM20" s="65"/>
      <c r="DN20" s="65"/>
      <c r="DO20" s="65"/>
      <c r="DP20" s="65"/>
      <c r="DQ20" s="65"/>
      <c r="DR20" s="65"/>
      <c r="DS20" s="65"/>
      <c r="DT20" s="65"/>
      <c r="DU20" s="65"/>
      <c r="DV20" s="65"/>
      <c r="DW20" s="65"/>
      <c r="DX20" s="65"/>
      <c r="DY20" s="65"/>
      <c r="DZ20" s="65"/>
      <c r="EA20" s="65"/>
      <c r="EB20" s="65"/>
      <c r="EC20" s="65"/>
      <c r="ED20" s="65"/>
      <c r="EE20" s="65"/>
      <c r="EF20" s="65"/>
      <c r="EG20" s="65"/>
      <c r="EH20" s="65"/>
      <c r="EI20" s="65"/>
      <c r="EJ20" s="65"/>
      <c r="EK20" s="65"/>
      <c r="EL20" s="65"/>
      <c r="EM20" s="65"/>
      <c r="EN20" s="65"/>
      <c r="EO20" s="65"/>
      <c r="EP20" s="65"/>
      <c r="EQ20" s="65"/>
      <c r="ER20" s="65"/>
      <c r="ES20" s="65"/>
      <c r="ET20" s="65"/>
      <c r="EU20" s="65"/>
      <c r="EV20" s="65"/>
      <c r="EW20" s="65"/>
      <c r="EX20" s="65"/>
      <c r="EY20" s="65"/>
      <c r="EZ20" s="65"/>
      <c r="FA20" s="65"/>
      <c r="FB20" s="65"/>
      <c r="FC20" s="65"/>
      <c r="FD20" s="65"/>
      <c r="FE20" s="65"/>
      <c r="FF20" s="65"/>
      <c r="FG20" s="65"/>
      <c r="FH20" s="65"/>
      <c r="FI20" s="65"/>
      <c r="FJ20" s="65"/>
      <c r="FK20" s="65"/>
      <c r="FL20" s="65"/>
      <c r="FM20" s="65"/>
      <c r="FN20" s="65"/>
      <c r="FO20" s="65"/>
      <c r="FP20" s="65"/>
      <c r="FQ20" s="65"/>
      <c r="FR20" s="65"/>
      <c r="FS20" s="65"/>
      <c r="FT20" s="65"/>
      <c r="FU20" s="65"/>
      <c r="FV20" s="65"/>
      <c r="FW20" s="65"/>
      <c r="FX20" s="65"/>
      <c r="FY20" s="65"/>
      <c r="FZ20" s="65"/>
      <c r="GA20" s="65"/>
      <c r="GB20" s="65"/>
      <c r="GC20" s="65"/>
      <c r="GD20" s="65"/>
      <c r="GE20" s="65"/>
      <c r="GF20" s="65"/>
      <c r="GG20" s="65"/>
      <c r="GH20" s="65"/>
      <c r="GI20" s="65"/>
      <c r="GJ20" s="65"/>
      <c r="GK20" s="65"/>
      <c r="GL20" s="65"/>
      <c r="GM20" s="65"/>
      <c r="GN20" s="65"/>
      <c r="GO20" s="65"/>
      <c r="GP20" s="65"/>
      <c r="GQ20" s="65"/>
      <c r="GR20" s="65"/>
      <c r="GS20" s="65"/>
      <c r="GT20" s="65"/>
      <c r="GU20" s="65"/>
      <c r="GV20" s="65"/>
      <c r="GW20" s="65"/>
      <c r="GX20" s="65"/>
      <c r="GY20" s="65"/>
      <c r="GZ20" s="65"/>
      <c r="HA20" s="65"/>
      <c r="HB20" s="65"/>
      <c r="HC20" s="65"/>
      <c r="HD20" s="65"/>
      <c r="HE20" s="65"/>
      <c r="HF20" s="65"/>
      <c r="HG20" s="65"/>
      <c r="HH20" s="65"/>
      <c r="HI20" s="65"/>
      <c r="HJ20" s="65"/>
      <c r="HK20" s="65"/>
      <c r="HL20" s="65"/>
      <c r="HM20" s="65"/>
      <c r="HN20" s="65"/>
      <c r="HO20" s="65"/>
      <c r="HP20" s="65"/>
      <c r="HQ20" s="65"/>
      <c r="HR20" s="65"/>
      <c r="HS20" s="65"/>
      <c r="HT20" s="65"/>
      <c r="HU20" s="65"/>
      <c r="HV20" s="65"/>
      <c r="HW20" s="65"/>
      <c r="HX20" s="65"/>
      <c r="HY20" s="65"/>
      <c r="HZ20" s="65"/>
      <c r="IA20" s="65"/>
      <c r="IB20" s="65"/>
      <c r="IC20" s="65"/>
      <c r="ID20" s="65"/>
      <c r="IE20" s="65"/>
      <c r="IF20" s="65"/>
      <c r="IG20" s="65"/>
      <c r="IH20" s="65"/>
      <c r="II20" s="65"/>
      <c r="IJ20" s="65"/>
      <c r="IK20" s="65"/>
      <c r="IL20" s="65"/>
      <c r="IM20" s="65"/>
      <c r="IN20" s="65"/>
      <c r="IO20" s="65"/>
      <c r="IP20" s="65"/>
      <c r="IQ20" s="65"/>
      <c r="IR20" s="65"/>
      <c r="IS20" s="65"/>
      <c r="IT20" s="65"/>
      <c r="IU20" s="65"/>
      <c r="IV20" s="65"/>
      <c r="IW20" s="65"/>
      <c r="IX20" s="65"/>
      <c r="IY20" s="65"/>
      <c r="IZ20" s="65"/>
      <c r="JA20" s="65"/>
      <c r="JB20" s="65"/>
      <c r="JC20" s="65"/>
      <c r="JD20" s="65"/>
      <c r="JE20" s="65"/>
      <c r="JF20" s="65"/>
      <c r="JG20" s="65"/>
      <c r="JH20" s="65"/>
      <c r="JI20" s="65"/>
      <c r="JJ20" s="65"/>
      <c r="JK20" s="65"/>
      <c r="JL20" s="65"/>
      <c r="JM20" s="65"/>
      <c r="JN20" s="65"/>
      <c r="JO20" s="65"/>
      <c r="JP20" s="65"/>
      <c r="JQ20" s="65"/>
      <c r="JR20" s="65"/>
      <c r="JS20" s="65"/>
      <c r="JT20" s="65"/>
      <c r="JU20" s="65"/>
      <c r="JV20" s="65"/>
      <c r="JW20" s="65"/>
      <c r="JX20" s="65"/>
      <c r="JY20" s="65"/>
      <c r="JZ20" s="65"/>
      <c r="KA20" s="65"/>
      <c r="KB20" s="65"/>
      <c r="KC20" s="65"/>
      <c r="KD20" s="65"/>
      <c r="KE20" s="65"/>
      <c r="KF20" s="65"/>
      <c r="KG20" s="65"/>
      <c r="KH20" s="65"/>
      <c r="KI20" s="65"/>
      <c r="KJ20" s="65"/>
      <c r="KK20" s="65"/>
      <c r="KL20" s="65"/>
      <c r="KM20" s="65"/>
      <c r="KN20" s="65"/>
      <c r="KO20" s="65"/>
      <c r="KP20" s="65"/>
      <c r="KQ20" s="65"/>
      <c r="KR20" s="65"/>
      <c r="KS20" s="65"/>
      <c r="KT20" s="65"/>
      <c r="KU20" s="65"/>
      <c r="KV20" s="65"/>
      <c r="KW20" s="65"/>
      <c r="KX20" s="65"/>
      <c r="KY20" s="65"/>
      <c r="KZ20" s="65"/>
      <c r="LA20" s="65"/>
      <c r="LB20" s="65"/>
      <c r="LC20" s="65"/>
      <c r="LD20" s="65"/>
      <c r="LE20" s="65"/>
      <c r="LF20" s="65"/>
      <c r="LG20" s="65"/>
      <c r="LH20" s="65"/>
      <c r="LI20" s="65"/>
      <c r="LJ20" s="65"/>
      <c r="LK20" s="65"/>
      <c r="LL20" s="65"/>
      <c r="LM20" s="65"/>
      <c r="LN20" s="65"/>
      <c r="LO20" s="65"/>
      <c r="LP20" s="65"/>
      <c r="LQ20" s="65"/>
      <c r="LR20" s="65"/>
      <c r="LS20" s="65"/>
      <c r="LT20" s="65"/>
      <c r="LU20" s="65"/>
      <c r="LV20" s="65"/>
      <c r="LW20" s="65"/>
      <c r="LX20" s="65"/>
      <c r="LY20" s="65"/>
      <c r="LZ20" s="65"/>
      <c r="MA20" s="65"/>
      <c r="MB20" s="65"/>
      <c r="MC20" s="65"/>
      <c r="MD20" s="65"/>
      <c r="ME20" s="65"/>
      <c r="MF20" s="65"/>
      <c r="MG20" s="65"/>
      <c r="MH20" s="65"/>
      <c r="MI20" s="65"/>
      <c r="MJ20" s="65"/>
      <c r="MK20" s="65"/>
      <c r="ML20" s="65"/>
      <c r="MM20" s="65"/>
      <c r="MN20" s="65"/>
      <c r="MO20" s="65"/>
      <c r="MP20" s="65"/>
      <c r="MQ20" s="65"/>
      <c r="MR20" s="65"/>
      <c r="MS20" s="65"/>
      <c r="MT20" s="65"/>
      <c r="MU20" s="65"/>
      <c r="MV20" s="65"/>
      <c r="MW20" s="65"/>
      <c r="MX20" s="65"/>
      <c r="MY20" s="65"/>
      <c r="MZ20" s="65"/>
      <c r="NA20" s="65"/>
      <c r="NB20" s="65"/>
      <c r="NC20" s="65"/>
      <c r="ND20" s="65"/>
      <c r="NE20" s="65"/>
      <c r="NF20" s="65"/>
      <c r="NG20" s="65"/>
      <c r="NH20" s="65"/>
      <c r="NI20" s="65"/>
      <c r="NJ20" s="65"/>
      <c r="NK20" s="65"/>
      <c r="NL20" s="65"/>
      <c r="NM20" s="65"/>
      <c r="NN20" s="65"/>
      <c r="NO20" s="65"/>
      <c r="NP20" s="65"/>
      <c r="NQ20" s="65"/>
      <c r="NR20" s="65"/>
      <c r="NS20" s="65"/>
      <c r="NT20" s="65"/>
      <c r="NU20" s="65"/>
      <c r="NV20" s="65"/>
      <c r="NW20" s="65"/>
      <c r="NX20" s="65"/>
      <c r="NY20" s="65"/>
      <c r="NZ20" s="65"/>
      <c r="OA20" s="65"/>
      <c r="OB20" s="65"/>
      <c r="OC20" s="65"/>
      <c r="OD20" s="65"/>
      <c r="OE20" s="65"/>
      <c r="OF20" s="65"/>
      <c r="OG20" s="65"/>
      <c r="OH20" s="65"/>
      <c r="OI20" s="65"/>
      <c r="OJ20" s="66"/>
    </row>
    <row r="21" spans="1:400" s="34" customFormat="1" ht="34.049999999999997" customHeight="1" x14ac:dyDescent="0.3">
      <c r="A21" s="1796">
        <v>17</v>
      </c>
      <c r="B21" s="2553" t="s">
        <v>458</v>
      </c>
      <c r="C21" s="2641" t="s">
        <v>789</v>
      </c>
      <c r="D21" s="2553" t="s">
        <v>27</v>
      </c>
      <c r="E21" s="2645">
        <v>35101</v>
      </c>
      <c r="F21" s="2645">
        <v>0</v>
      </c>
      <c r="G21" s="2644">
        <v>35101</v>
      </c>
      <c r="H21" s="2647" t="s">
        <v>4630</v>
      </c>
      <c r="I21" s="2647" t="s">
        <v>1220</v>
      </c>
      <c r="J21" s="2647" t="s">
        <v>1221</v>
      </c>
      <c r="K21" s="2647" t="s">
        <v>1222</v>
      </c>
      <c r="L21" s="2678" t="s">
        <v>1223</v>
      </c>
      <c r="M21" s="2694" t="s">
        <v>4649</v>
      </c>
      <c r="N21" s="2685" t="s">
        <v>1224</v>
      </c>
      <c r="O21" s="2648">
        <v>78160</v>
      </c>
      <c r="P21" s="2635">
        <v>193500</v>
      </c>
      <c r="Q21" s="2636"/>
      <c r="R21" s="2636"/>
      <c r="S21" s="2636"/>
      <c r="T21" s="2634">
        <f t="shared" si="0"/>
        <v>271660</v>
      </c>
      <c r="U21" s="2338"/>
      <c r="V21" s="2338"/>
      <c r="W21" s="2338"/>
      <c r="X21" s="2338"/>
      <c r="Y21" s="2338"/>
      <c r="Z21" s="2338"/>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c r="BD21" s="67"/>
      <c r="BE21" s="67"/>
      <c r="BF21" s="67"/>
      <c r="BG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c r="CT21" s="67"/>
      <c r="CU21" s="67"/>
      <c r="CV21" s="67"/>
      <c r="CW21" s="67"/>
      <c r="CX21" s="67"/>
      <c r="CY21" s="67"/>
      <c r="CZ21" s="67"/>
      <c r="DA21" s="67"/>
      <c r="DB21" s="67"/>
      <c r="DC21" s="67"/>
      <c r="DD21" s="67"/>
      <c r="DE21" s="67"/>
      <c r="DF21" s="67"/>
      <c r="DG21" s="67"/>
      <c r="DH21" s="67"/>
      <c r="DI21" s="67"/>
      <c r="DJ21" s="67"/>
      <c r="DK21" s="67"/>
      <c r="DL21" s="67"/>
      <c r="DM21" s="67"/>
      <c r="DN21" s="67"/>
      <c r="DO21" s="67"/>
      <c r="DP21" s="67"/>
      <c r="DQ21" s="67"/>
      <c r="DR21" s="67"/>
      <c r="DS21" s="67"/>
      <c r="DT21" s="67"/>
      <c r="DU21" s="67"/>
      <c r="DV21" s="67"/>
      <c r="DW21" s="67"/>
      <c r="DX21" s="67"/>
      <c r="DY21" s="67"/>
      <c r="DZ21" s="67"/>
      <c r="EA21" s="67"/>
      <c r="EB21" s="67"/>
      <c r="EC21" s="67"/>
      <c r="ED21" s="67"/>
      <c r="EE21" s="67"/>
      <c r="EF21" s="67"/>
      <c r="EG21" s="67"/>
      <c r="EH21" s="67"/>
      <c r="EI21" s="67"/>
      <c r="EJ21" s="67"/>
      <c r="EK21" s="67"/>
      <c r="EL21" s="67"/>
      <c r="EM21" s="67"/>
      <c r="EN21" s="67"/>
      <c r="EO21" s="67"/>
      <c r="EP21" s="67"/>
      <c r="EQ21" s="67"/>
      <c r="ER21" s="67"/>
      <c r="ES21" s="67"/>
      <c r="ET21" s="67"/>
      <c r="EU21" s="67"/>
      <c r="EV21" s="67"/>
      <c r="EW21" s="67"/>
      <c r="EX21" s="67"/>
      <c r="EY21" s="67"/>
      <c r="EZ21" s="67"/>
      <c r="FA21" s="67"/>
      <c r="FB21" s="67"/>
      <c r="FC21" s="67"/>
      <c r="FD21" s="67"/>
      <c r="FE21" s="67"/>
      <c r="FF21" s="67"/>
      <c r="FG21" s="67"/>
      <c r="FH21" s="67"/>
      <c r="FI21" s="67"/>
      <c r="FJ21" s="67"/>
      <c r="FK21" s="67"/>
      <c r="FL21" s="67"/>
      <c r="FM21" s="67"/>
      <c r="FN21" s="67"/>
      <c r="FO21" s="67"/>
      <c r="FP21" s="67"/>
      <c r="FQ21" s="67"/>
      <c r="FR21" s="67"/>
      <c r="FS21" s="67"/>
      <c r="FT21" s="67"/>
      <c r="FU21" s="67"/>
      <c r="FV21" s="67"/>
      <c r="FW21" s="67"/>
      <c r="FX21" s="67"/>
      <c r="FY21" s="67"/>
      <c r="FZ21" s="67"/>
      <c r="GA21" s="67"/>
      <c r="GB21" s="67"/>
      <c r="GC21" s="67"/>
      <c r="GD21" s="67"/>
      <c r="GE21" s="67"/>
      <c r="GF21" s="67"/>
      <c r="GG21" s="67"/>
      <c r="GH21" s="67"/>
      <c r="GI21" s="67"/>
      <c r="GJ21" s="67"/>
      <c r="GK21" s="67"/>
      <c r="GL21" s="67"/>
      <c r="GM21" s="67"/>
      <c r="GN21" s="67"/>
      <c r="GO21" s="67"/>
      <c r="GP21" s="67"/>
      <c r="GQ21" s="67"/>
      <c r="GR21" s="67"/>
      <c r="GS21" s="67"/>
      <c r="GT21" s="67"/>
      <c r="GU21" s="67"/>
      <c r="GV21" s="67"/>
      <c r="GW21" s="67"/>
      <c r="GX21" s="67"/>
      <c r="GY21" s="67"/>
      <c r="GZ21" s="67"/>
      <c r="HA21" s="67"/>
      <c r="HB21" s="67"/>
      <c r="HC21" s="67"/>
      <c r="HD21" s="67"/>
      <c r="HE21" s="67"/>
      <c r="HF21" s="67"/>
      <c r="HG21" s="67"/>
      <c r="HH21" s="67"/>
      <c r="HI21" s="67"/>
      <c r="HJ21" s="67"/>
      <c r="HK21" s="67"/>
      <c r="HL21" s="67"/>
      <c r="HM21" s="67"/>
      <c r="HN21" s="67"/>
      <c r="HO21" s="67"/>
      <c r="HP21" s="67"/>
      <c r="HQ21" s="67"/>
      <c r="HR21" s="67"/>
      <c r="HS21" s="67"/>
      <c r="HT21" s="67"/>
      <c r="HU21" s="67"/>
      <c r="HV21" s="67"/>
      <c r="HW21" s="67"/>
      <c r="HX21" s="67"/>
      <c r="HY21" s="67"/>
      <c r="HZ21" s="67"/>
      <c r="IA21" s="67"/>
      <c r="IB21" s="67"/>
      <c r="IC21" s="67"/>
      <c r="ID21" s="67"/>
      <c r="IE21" s="67"/>
      <c r="IF21" s="67"/>
      <c r="IG21" s="67"/>
      <c r="IH21" s="67"/>
      <c r="II21" s="67"/>
      <c r="IJ21" s="67"/>
      <c r="IK21" s="67"/>
      <c r="IL21" s="67"/>
      <c r="IM21" s="67"/>
      <c r="IN21" s="67"/>
      <c r="IO21" s="67"/>
      <c r="IP21" s="67"/>
      <c r="IQ21" s="67"/>
      <c r="IR21" s="67"/>
      <c r="IS21" s="67"/>
      <c r="IT21" s="67"/>
      <c r="IU21" s="67"/>
      <c r="IV21" s="67"/>
      <c r="IW21" s="67"/>
      <c r="IX21" s="67"/>
      <c r="IY21" s="67"/>
      <c r="IZ21" s="67"/>
      <c r="JA21" s="67"/>
      <c r="JB21" s="67"/>
      <c r="JC21" s="67"/>
      <c r="JD21" s="67"/>
      <c r="JE21" s="67"/>
      <c r="JF21" s="67"/>
      <c r="JG21" s="67"/>
      <c r="JH21" s="67"/>
      <c r="JI21" s="67"/>
      <c r="JJ21" s="67"/>
      <c r="JK21" s="67"/>
      <c r="JL21" s="67"/>
      <c r="JM21" s="67"/>
      <c r="JN21" s="67"/>
      <c r="JO21" s="67"/>
      <c r="JP21" s="67"/>
      <c r="JQ21" s="67"/>
      <c r="JR21" s="67"/>
      <c r="JS21" s="67"/>
      <c r="JT21" s="67"/>
      <c r="JU21" s="67"/>
      <c r="JV21" s="67"/>
      <c r="JW21" s="67"/>
      <c r="JX21" s="67"/>
      <c r="JY21" s="67"/>
      <c r="JZ21" s="67"/>
      <c r="KA21" s="67"/>
      <c r="KB21" s="67"/>
      <c r="KC21" s="67"/>
      <c r="KD21" s="67"/>
      <c r="KE21" s="67"/>
      <c r="KF21" s="67"/>
      <c r="KG21" s="67"/>
      <c r="KH21" s="67"/>
      <c r="KI21" s="67"/>
      <c r="KJ21" s="67"/>
      <c r="KK21" s="67"/>
      <c r="KL21" s="67"/>
      <c r="KM21" s="67"/>
      <c r="KN21" s="67"/>
      <c r="KO21" s="67"/>
      <c r="KP21" s="67"/>
      <c r="KQ21" s="67"/>
      <c r="KR21" s="67"/>
      <c r="KS21" s="67"/>
      <c r="KT21" s="67"/>
      <c r="KU21" s="67"/>
      <c r="KV21" s="67"/>
      <c r="KW21" s="67"/>
      <c r="KX21" s="67"/>
      <c r="KY21" s="67"/>
      <c r="KZ21" s="67"/>
      <c r="LA21" s="67"/>
      <c r="LB21" s="67"/>
      <c r="LC21" s="67"/>
      <c r="LD21" s="67"/>
      <c r="LE21" s="67"/>
      <c r="LF21" s="67"/>
      <c r="LG21" s="67"/>
      <c r="LH21" s="67"/>
      <c r="LI21" s="67"/>
      <c r="LJ21" s="67"/>
      <c r="LK21" s="67"/>
      <c r="LL21" s="67"/>
      <c r="LM21" s="67"/>
      <c r="LN21" s="67"/>
      <c r="LO21" s="67"/>
      <c r="LP21" s="67"/>
      <c r="LQ21" s="67"/>
      <c r="LR21" s="67"/>
      <c r="LS21" s="67"/>
      <c r="LT21" s="67"/>
      <c r="LU21" s="67"/>
      <c r="LV21" s="67"/>
      <c r="LW21" s="67"/>
      <c r="LX21" s="67"/>
      <c r="LY21" s="67"/>
      <c r="LZ21" s="67"/>
      <c r="MA21" s="67"/>
      <c r="MB21" s="67"/>
      <c r="MC21" s="67"/>
      <c r="MD21" s="67"/>
      <c r="ME21" s="67"/>
      <c r="MF21" s="67"/>
      <c r="MG21" s="67"/>
      <c r="MH21" s="67"/>
      <c r="MI21" s="67"/>
      <c r="MJ21" s="67"/>
      <c r="MK21" s="67"/>
      <c r="ML21" s="67"/>
      <c r="MM21" s="67"/>
      <c r="MN21" s="67"/>
      <c r="MO21" s="67"/>
      <c r="MP21" s="67"/>
      <c r="MQ21" s="67"/>
      <c r="MR21" s="67"/>
      <c r="MS21" s="67"/>
      <c r="MT21" s="67"/>
      <c r="MU21" s="67"/>
      <c r="MV21" s="67"/>
      <c r="MW21" s="67"/>
      <c r="MX21" s="67"/>
      <c r="MY21" s="67"/>
      <c r="MZ21" s="67"/>
      <c r="NA21" s="67"/>
      <c r="NB21" s="67"/>
      <c r="NC21" s="67"/>
      <c r="ND21" s="67"/>
      <c r="NE21" s="67"/>
      <c r="NF21" s="67"/>
      <c r="NG21" s="67"/>
      <c r="NH21" s="67"/>
      <c r="NI21" s="67"/>
      <c r="NJ21" s="67"/>
      <c r="NK21" s="67"/>
      <c r="NL21" s="67"/>
      <c r="NM21" s="67"/>
      <c r="NN21" s="67"/>
      <c r="NO21" s="67"/>
      <c r="NP21" s="67"/>
      <c r="NQ21" s="67"/>
      <c r="NR21" s="67"/>
      <c r="NS21" s="67"/>
      <c r="NT21" s="67"/>
      <c r="NU21" s="67"/>
      <c r="NV21" s="67"/>
      <c r="NW21" s="67"/>
      <c r="NX21" s="67"/>
      <c r="NY21" s="67"/>
      <c r="NZ21" s="67"/>
      <c r="OA21" s="67"/>
      <c r="OB21" s="67"/>
      <c r="OC21" s="67"/>
      <c r="OD21" s="67"/>
      <c r="OE21" s="67"/>
      <c r="OF21" s="67"/>
      <c r="OG21" s="67"/>
      <c r="OH21" s="67"/>
      <c r="OI21" s="67"/>
      <c r="OJ21" s="68"/>
    </row>
    <row r="22" spans="1:400" s="33" customFormat="1" ht="34.049999999999997" customHeight="1" x14ac:dyDescent="0.3">
      <c r="A22" s="1795">
        <v>18</v>
      </c>
      <c r="B22" s="2619" t="s">
        <v>740</v>
      </c>
      <c r="C22" s="2640" t="s">
        <v>790</v>
      </c>
      <c r="D22" s="2619" t="s">
        <v>19</v>
      </c>
      <c r="E22" s="2642">
        <v>460243</v>
      </c>
      <c r="F22" s="2642">
        <v>15600</v>
      </c>
      <c r="G22" s="2643">
        <v>444643</v>
      </c>
      <c r="H22" s="1841" t="s">
        <v>4631</v>
      </c>
      <c r="I22" s="2646" t="s">
        <v>1225</v>
      </c>
      <c r="J22" s="2646" t="s">
        <v>742</v>
      </c>
      <c r="K22" s="2646" t="s">
        <v>1226</v>
      </c>
      <c r="L22" s="2677" t="s">
        <v>1202</v>
      </c>
      <c r="M22" s="2695" t="s">
        <v>4650</v>
      </c>
      <c r="N22" s="2684" t="s">
        <v>1179</v>
      </c>
      <c r="O22" s="2648">
        <v>420888.07</v>
      </c>
      <c r="P22" s="2635">
        <v>71600</v>
      </c>
      <c r="Q22" s="2636"/>
      <c r="R22" s="2636"/>
      <c r="S22" s="2636"/>
      <c r="T22" s="2634">
        <f t="shared" si="0"/>
        <v>492488.07</v>
      </c>
      <c r="U22" s="2338"/>
      <c r="V22" s="2338"/>
      <c r="W22" s="2338"/>
      <c r="X22" s="2338"/>
      <c r="Y22" s="2338"/>
      <c r="Z22" s="2338"/>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c r="BA22" s="65"/>
      <c r="BB22" s="65"/>
      <c r="BC22" s="65"/>
      <c r="BD22" s="65"/>
      <c r="BE22" s="65"/>
      <c r="BF22" s="65"/>
      <c r="BG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c r="CT22" s="65"/>
      <c r="CU22" s="65"/>
      <c r="CV22" s="65"/>
      <c r="CW22" s="65"/>
      <c r="CX22" s="65"/>
      <c r="CY22" s="65"/>
      <c r="CZ22" s="65"/>
      <c r="DA22" s="65"/>
      <c r="DB22" s="65"/>
      <c r="DC22" s="65"/>
      <c r="DD22" s="65"/>
      <c r="DE22" s="65"/>
      <c r="DF22" s="65"/>
      <c r="DG22" s="65"/>
      <c r="DH22" s="65"/>
      <c r="DI22" s="65"/>
      <c r="DJ22" s="65"/>
      <c r="DK22" s="65"/>
      <c r="DL22" s="65"/>
      <c r="DM22" s="65"/>
      <c r="DN22" s="65"/>
      <c r="DO22" s="65"/>
      <c r="DP22" s="65"/>
      <c r="DQ22" s="65"/>
      <c r="DR22" s="65"/>
      <c r="DS22" s="65"/>
      <c r="DT22" s="65"/>
      <c r="DU22" s="65"/>
      <c r="DV22" s="65"/>
      <c r="DW22" s="65"/>
      <c r="DX22" s="65"/>
      <c r="DY22" s="65"/>
      <c r="DZ22" s="65"/>
      <c r="EA22" s="65"/>
      <c r="EB22" s="65"/>
      <c r="EC22" s="65"/>
      <c r="ED22" s="65"/>
      <c r="EE22" s="65"/>
      <c r="EF22" s="65"/>
      <c r="EG22" s="65"/>
      <c r="EH22" s="65"/>
      <c r="EI22" s="65"/>
      <c r="EJ22" s="65"/>
      <c r="EK22" s="65"/>
      <c r="EL22" s="65"/>
      <c r="EM22" s="65"/>
      <c r="EN22" s="65"/>
      <c r="EO22" s="65"/>
      <c r="EP22" s="65"/>
      <c r="EQ22" s="65"/>
      <c r="ER22" s="65"/>
      <c r="ES22" s="65"/>
      <c r="ET22" s="65"/>
      <c r="EU22" s="65"/>
      <c r="EV22" s="65"/>
      <c r="EW22" s="65"/>
      <c r="EX22" s="65"/>
      <c r="EY22" s="65"/>
      <c r="EZ22" s="65"/>
      <c r="FA22" s="65"/>
      <c r="FB22" s="65"/>
      <c r="FC22" s="65"/>
      <c r="FD22" s="65"/>
      <c r="FE22" s="65"/>
      <c r="FF22" s="65"/>
      <c r="FG22" s="65"/>
      <c r="FH22" s="65"/>
      <c r="FI22" s="65"/>
      <c r="FJ22" s="65"/>
      <c r="FK22" s="65"/>
      <c r="FL22" s="65"/>
      <c r="FM22" s="65"/>
      <c r="FN22" s="65"/>
      <c r="FO22" s="65"/>
      <c r="FP22" s="65"/>
      <c r="FQ22" s="65"/>
      <c r="FR22" s="65"/>
      <c r="FS22" s="65"/>
      <c r="FT22" s="65"/>
      <c r="FU22" s="65"/>
      <c r="FV22" s="65"/>
      <c r="FW22" s="65"/>
      <c r="FX22" s="65"/>
      <c r="FY22" s="65"/>
      <c r="FZ22" s="65"/>
      <c r="GA22" s="65"/>
      <c r="GB22" s="65"/>
      <c r="GC22" s="65"/>
      <c r="GD22" s="65"/>
      <c r="GE22" s="65"/>
      <c r="GF22" s="65"/>
      <c r="GG22" s="65"/>
      <c r="GH22" s="65"/>
      <c r="GI22" s="65"/>
      <c r="GJ22" s="65"/>
      <c r="GK22" s="65"/>
      <c r="GL22" s="65"/>
      <c r="GM22" s="65"/>
      <c r="GN22" s="65"/>
      <c r="GO22" s="65"/>
      <c r="GP22" s="65"/>
      <c r="GQ22" s="65"/>
      <c r="GR22" s="65"/>
      <c r="GS22" s="65"/>
      <c r="GT22" s="65"/>
      <c r="GU22" s="65"/>
      <c r="GV22" s="65"/>
      <c r="GW22" s="65"/>
      <c r="GX22" s="65"/>
      <c r="GY22" s="65"/>
      <c r="GZ22" s="65"/>
      <c r="HA22" s="65"/>
      <c r="HB22" s="65"/>
      <c r="HC22" s="65"/>
      <c r="HD22" s="65"/>
      <c r="HE22" s="65"/>
      <c r="HF22" s="65"/>
      <c r="HG22" s="65"/>
      <c r="HH22" s="65"/>
      <c r="HI22" s="65"/>
      <c r="HJ22" s="65"/>
      <c r="HK22" s="65"/>
      <c r="HL22" s="65"/>
      <c r="HM22" s="65"/>
      <c r="HN22" s="65"/>
      <c r="HO22" s="65"/>
      <c r="HP22" s="65"/>
      <c r="HQ22" s="65"/>
      <c r="HR22" s="65"/>
      <c r="HS22" s="65"/>
      <c r="HT22" s="65"/>
      <c r="HU22" s="65"/>
      <c r="HV22" s="65"/>
      <c r="HW22" s="65"/>
      <c r="HX22" s="65"/>
      <c r="HY22" s="65"/>
      <c r="HZ22" s="65"/>
      <c r="IA22" s="65"/>
      <c r="IB22" s="65"/>
      <c r="IC22" s="65"/>
      <c r="ID22" s="65"/>
      <c r="IE22" s="65"/>
      <c r="IF22" s="65"/>
      <c r="IG22" s="65"/>
      <c r="IH22" s="65"/>
      <c r="II22" s="65"/>
      <c r="IJ22" s="65"/>
      <c r="IK22" s="65"/>
      <c r="IL22" s="65"/>
      <c r="IM22" s="65"/>
      <c r="IN22" s="65"/>
      <c r="IO22" s="65"/>
      <c r="IP22" s="65"/>
      <c r="IQ22" s="65"/>
      <c r="IR22" s="65"/>
      <c r="IS22" s="65"/>
      <c r="IT22" s="65"/>
      <c r="IU22" s="65"/>
      <c r="IV22" s="65"/>
      <c r="IW22" s="65"/>
      <c r="IX22" s="65"/>
      <c r="IY22" s="65"/>
      <c r="IZ22" s="65"/>
      <c r="JA22" s="65"/>
      <c r="JB22" s="65"/>
      <c r="JC22" s="65"/>
      <c r="JD22" s="65"/>
      <c r="JE22" s="65"/>
      <c r="JF22" s="65"/>
      <c r="JG22" s="65"/>
      <c r="JH22" s="65"/>
      <c r="JI22" s="65"/>
      <c r="JJ22" s="65"/>
      <c r="JK22" s="65"/>
      <c r="JL22" s="65"/>
      <c r="JM22" s="65"/>
      <c r="JN22" s="65"/>
      <c r="JO22" s="65"/>
      <c r="JP22" s="65"/>
      <c r="JQ22" s="65"/>
      <c r="JR22" s="65"/>
      <c r="JS22" s="65"/>
      <c r="JT22" s="65"/>
      <c r="JU22" s="65"/>
      <c r="JV22" s="65"/>
      <c r="JW22" s="65"/>
      <c r="JX22" s="65"/>
      <c r="JY22" s="65"/>
      <c r="JZ22" s="65"/>
      <c r="KA22" s="65"/>
      <c r="KB22" s="65"/>
      <c r="KC22" s="65"/>
      <c r="KD22" s="65"/>
      <c r="KE22" s="65"/>
      <c r="KF22" s="65"/>
      <c r="KG22" s="65"/>
      <c r="KH22" s="65"/>
      <c r="KI22" s="65"/>
      <c r="KJ22" s="65"/>
      <c r="KK22" s="65"/>
      <c r="KL22" s="65"/>
      <c r="KM22" s="65"/>
      <c r="KN22" s="65"/>
      <c r="KO22" s="65"/>
      <c r="KP22" s="65"/>
      <c r="KQ22" s="65"/>
      <c r="KR22" s="65"/>
      <c r="KS22" s="65"/>
      <c r="KT22" s="65"/>
      <c r="KU22" s="65"/>
      <c r="KV22" s="65"/>
      <c r="KW22" s="65"/>
      <c r="KX22" s="65"/>
      <c r="KY22" s="65"/>
      <c r="KZ22" s="65"/>
      <c r="LA22" s="65"/>
      <c r="LB22" s="65"/>
      <c r="LC22" s="65"/>
      <c r="LD22" s="65"/>
      <c r="LE22" s="65"/>
      <c r="LF22" s="65"/>
      <c r="LG22" s="65"/>
      <c r="LH22" s="65"/>
      <c r="LI22" s="65"/>
      <c r="LJ22" s="65"/>
      <c r="LK22" s="65"/>
      <c r="LL22" s="65"/>
      <c r="LM22" s="65"/>
      <c r="LN22" s="65"/>
      <c r="LO22" s="65"/>
      <c r="LP22" s="65"/>
      <c r="LQ22" s="65"/>
      <c r="LR22" s="65"/>
      <c r="LS22" s="65"/>
      <c r="LT22" s="65"/>
      <c r="LU22" s="65"/>
      <c r="LV22" s="65"/>
      <c r="LW22" s="65"/>
      <c r="LX22" s="65"/>
      <c r="LY22" s="65"/>
      <c r="LZ22" s="65"/>
      <c r="MA22" s="65"/>
      <c r="MB22" s="65"/>
      <c r="MC22" s="65"/>
      <c r="MD22" s="65"/>
      <c r="ME22" s="65"/>
      <c r="MF22" s="65"/>
      <c r="MG22" s="65"/>
      <c r="MH22" s="65"/>
      <c r="MI22" s="65"/>
      <c r="MJ22" s="65"/>
      <c r="MK22" s="65"/>
      <c r="ML22" s="65"/>
      <c r="MM22" s="65"/>
      <c r="MN22" s="65"/>
      <c r="MO22" s="65"/>
      <c r="MP22" s="65"/>
      <c r="MQ22" s="65"/>
      <c r="MR22" s="65"/>
      <c r="MS22" s="65"/>
      <c r="MT22" s="65"/>
      <c r="MU22" s="65"/>
      <c r="MV22" s="65"/>
      <c r="MW22" s="65"/>
      <c r="MX22" s="65"/>
      <c r="MY22" s="65"/>
      <c r="MZ22" s="65"/>
      <c r="NA22" s="65"/>
      <c r="NB22" s="65"/>
      <c r="NC22" s="65"/>
      <c r="ND22" s="65"/>
      <c r="NE22" s="65"/>
      <c r="NF22" s="65"/>
      <c r="NG22" s="65"/>
      <c r="NH22" s="65"/>
      <c r="NI22" s="65"/>
      <c r="NJ22" s="65"/>
      <c r="NK22" s="65"/>
      <c r="NL22" s="65"/>
      <c r="NM22" s="65"/>
      <c r="NN22" s="65"/>
      <c r="NO22" s="65"/>
      <c r="NP22" s="65"/>
      <c r="NQ22" s="65"/>
      <c r="NR22" s="65"/>
      <c r="NS22" s="65"/>
      <c r="NT22" s="65"/>
      <c r="NU22" s="65"/>
      <c r="NV22" s="65"/>
      <c r="NW22" s="65"/>
      <c r="NX22" s="65"/>
      <c r="NY22" s="65"/>
      <c r="NZ22" s="65"/>
      <c r="OA22" s="65"/>
      <c r="OB22" s="65"/>
      <c r="OC22" s="65"/>
      <c r="OD22" s="65"/>
      <c r="OE22" s="65"/>
      <c r="OF22" s="65"/>
      <c r="OG22" s="65"/>
      <c r="OH22" s="65"/>
      <c r="OI22" s="65"/>
      <c r="OJ22" s="66"/>
    </row>
    <row r="23" spans="1:400" s="33" customFormat="1" ht="34.049999999999997" customHeight="1" x14ac:dyDescent="0.3">
      <c r="A23" s="1796">
        <v>19</v>
      </c>
      <c r="B23" s="2553" t="s">
        <v>460</v>
      </c>
      <c r="C23" s="2641" t="s">
        <v>4654</v>
      </c>
      <c r="D23" s="2553" t="s">
        <v>22</v>
      </c>
      <c r="E23" s="2645">
        <v>137136.64000000001</v>
      </c>
      <c r="F23" s="2645">
        <v>0</v>
      </c>
      <c r="G23" s="2644">
        <v>137136.64000000001</v>
      </c>
      <c r="H23" s="1840" t="s">
        <v>4655</v>
      </c>
      <c r="I23" s="2647" t="s">
        <v>4656</v>
      </c>
      <c r="J23" s="2647" t="s">
        <v>1171</v>
      </c>
      <c r="K23" s="2647" t="s">
        <v>4657</v>
      </c>
      <c r="L23" s="2678" t="s">
        <v>4658</v>
      </c>
      <c r="M23" s="2693" t="s">
        <v>4659</v>
      </c>
      <c r="N23" s="2685" t="s">
        <v>731</v>
      </c>
      <c r="O23" s="2658">
        <v>0</v>
      </c>
      <c r="P23" s="2638">
        <v>0</v>
      </c>
      <c r="Q23" s="2636"/>
      <c r="R23" s="2636"/>
      <c r="S23" s="2636"/>
      <c r="T23" s="2634">
        <f t="shared" si="0"/>
        <v>0</v>
      </c>
      <c r="U23" s="2338"/>
      <c r="V23" s="2338"/>
      <c r="W23" s="2338"/>
      <c r="X23" s="2338"/>
      <c r="Y23" s="2338"/>
      <c r="Z23" s="2338"/>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c r="AZ23" s="65"/>
      <c r="BA23" s="65"/>
      <c r="BB23" s="65"/>
      <c r="BC23" s="65"/>
      <c r="BD23" s="65"/>
      <c r="BE23" s="65"/>
      <c r="BF23" s="65"/>
      <c r="BG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c r="CT23" s="65"/>
      <c r="CU23" s="65"/>
      <c r="CV23" s="65"/>
      <c r="CW23" s="65"/>
      <c r="CX23" s="65"/>
      <c r="CY23" s="65"/>
      <c r="CZ23" s="65"/>
      <c r="DA23" s="65"/>
      <c r="DB23" s="65"/>
      <c r="DC23" s="65"/>
      <c r="DD23" s="65"/>
      <c r="DE23" s="65"/>
      <c r="DF23" s="65"/>
      <c r="DG23" s="65"/>
      <c r="DH23" s="65"/>
      <c r="DI23" s="65"/>
      <c r="DJ23" s="65"/>
      <c r="DK23" s="65"/>
      <c r="DL23" s="65"/>
      <c r="DM23" s="65"/>
      <c r="DN23" s="65"/>
      <c r="DO23" s="65"/>
      <c r="DP23" s="65"/>
      <c r="DQ23" s="65"/>
      <c r="DR23" s="65"/>
      <c r="DS23" s="65"/>
      <c r="DT23" s="65"/>
      <c r="DU23" s="65"/>
      <c r="DV23" s="65"/>
      <c r="DW23" s="65"/>
      <c r="DX23" s="65"/>
      <c r="DY23" s="65"/>
      <c r="DZ23" s="65"/>
      <c r="EA23" s="65"/>
      <c r="EB23" s="65"/>
      <c r="EC23" s="65"/>
      <c r="ED23" s="65"/>
      <c r="EE23" s="65"/>
      <c r="EF23" s="65"/>
      <c r="EG23" s="65"/>
      <c r="EH23" s="65"/>
      <c r="EI23" s="65"/>
      <c r="EJ23" s="65"/>
      <c r="EK23" s="65"/>
      <c r="EL23" s="65"/>
      <c r="EM23" s="65"/>
      <c r="EN23" s="65"/>
      <c r="EO23" s="65"/>
      <c r="EP23" s="65"/>
      <c r="EQ23" s="65"/>
      <c r="ER23" s="65"/>
      <c r="ES23" s="65"/>
      <c r="ET23" s="65"/>
      <c r="EU23" s="65"/>
      <c r="EV23" s="65"/>
      <c r="EW23" s="65"/>
      <c r="EX23" s="65"/>
      <c r="EY23" s="65"/>
      <c r="EZ23" s="65"/>
      <c r="FA23" s="65"/>
      <c r="FB23" s="65"/>
      <c r="FC23" s="65"/>
      <c r="FD23" s="65"/>
      <c r="FE23" s="65"/>
      <c r="FF23" s="65"/>
      <c r="FG23" s="65"/>
      <c r="FH23" s="65"/>
      <c r="FI23" s="65"/>
      <c r="FJ23" s="65"/>
      <c r="FK23" s="65"/>
      <c r="FL23" s="65"/>
      <c r="FM23" s="65"/>
      <c r="FN23" s="65"/>
      <c r="FO23" s="65"/>
      <c r="FP23" s="65"/>
      <c r="FQ23" s="65"/>
      <c r="FR23" s="65"/>
      <c r="FS23" s="65"/>
      <c r="FT23" s="65"/>
      <c r="FU23" s="65"/>
      <c r="FV23" s="65"/>
      <c r="FW23" s="65"/>
      <c r="FX23" s="65"/>
      <c r="FY23" s="65"/>
      <c r="FZ23" s="65"/>
      <c r="GA23" s="65"/>
      <c r="GB23" s="65"/>
      <c r="GC23" s="65"/>
      <c r="GD23" s="65"/>
      <c r="GE23" s="65"/>
      <c r="GF23" s="65"/>
      <c r="GG23" s="65"/>
      <c r="GH23" s="65"/>
      <c r="GI23" s="65"/>
      <c r="GJ23" s="65"/>
      <c r="GK23" s="65"/>
      <c r="GL23" s="65"/>
      <c r="GM23" s="65"/>
      <c r="GN23" s="65"/>
      <c r="GO23" s="65"/>
      <c r="GP23" s="65"/>
      <c r="GQ23" s="65"/>
      <c r="GR23" s="65"/>
      <c r="GS23" s="65"/>
      <c r="GT23" s="65"/>
      <c r="GU23" s="65"/>
      <c r="GV23" s="65"/>
      <c r="GW23" s="65"/>
      <c r="GX23" s="65"/>
      <c r="GY23" s="65"/>
      <c r="GZ23" s="65"/>
      <c r="HA23" s="65"/>
      <c r="HB23" s="65"/>
      <c r="HC23" s="65"/>
      <c r="HD23" s="65"/>
      <c r="HE23" s="65"/>
      <c r="HF23" s="65"/>
      <c r="HG23" s="65"/>
      <c r="HH23" s="65"/>
      <c r="HI23" s="65"/>
      <c r="HJ23" s="65"/>
      <c r="HK23" s="65"/>
      <c r="HL23" s="65"/>
      <c r="HM23" s="65"/>
      <c r="HN23" s="65"/>
      <c r="HO23" s="65"/>
      <c r="HP23" s="65"/>
      <c r="HQ23" s="65"/>
      <c r="HR23" s="65"/>
      <c r="HS23" s="65"/>
      <c r="HT23" s="65"/>
      <c r="HU23" s="65"/>
      <c r="HV23" s="65"/>
      <c r="HW23" s="65"/>
      <c r="HX23" s="65"/>
      <c r="HY23" s="65"/>
      <c r="HZ23" s="65"/>
      <c r="IA23" s="65"/>
      <c r="IB23" s="65"/>
      <c r="IC23" s="65"/>
      <c r="ID23" s="65"/>
      <c r="IE23" s="65"/>
      <c r="IF23" s="65"/>
      <c r="IG23" s="65"/>
      <c r="IH23" s="65"/>
      <c r="II23" s="65"/>
      <c r="IJ23" s="65"/>
      <c r="IK23" s="65"/>
      <c r="IL23" s="65"/>
      <c r="IM23" s="65"/>
      <c r="IN23" s="65"/>
      <c r="IO23" s="65"/>
      <c r="IP23" s="65"/>
      <c r="IQ23" s="65"/>
      <c r="IR23" s="65"/>
      <c r="IS23" s="65"/>
      <c r="IT23" s="65"/>
      <c r="IU23" s="65"/>
      <c r="IV23" s="65"/>
      <c r="IW23" s="65"/>
      <c r="IX23" s="65"/>
      <c r="IY23" s="65"/>
      <c r="IZ23" s="65"/>
      <c r="JA23" s="65"/>
      <c r="JB23" s="65"/>
      <c r="JC23" s="65"/>
      <c r="JD23" s="65"/>
      <c r="JE23" s="65"/>
      <c r="JF23" s="65"/>
      <c r="JG23" s="65"/>
      <c r="JH23" s="65"/>
      <c r="JI23" s="65"/>
      <c r="JJ23" s="65"/>
      <c r="JK23" s="65"/>
      <c r="JL23" s="65"/>
      <c r="JM23" s="65"/>
      <c r="JN23" s="65"/>
      <c r="JO23" s="65"/>
      <c r="JP23" s="65"/>
      <c r="JQ23" s="65"/>
      <c r="JR23" s="65"/>
      <c r="JS23" s="65"/>
      <c r="JT23" s="65"/>
      <c r="JU23" s="65"/>
      <c r="JV23" s="65"/>
      <c r="JW23" s="65"/>
      <c r="JX23" s="65"/>
      <c r="JY23" s="65"/>
      <c r="JZ23" s="65"/>
      <c r="KA23" s="65"/>
      <c r="KB23" s="65"/>
      <c r="KC23" s="65"/>
      <c r="KD23" s="65"/>
      <c r="KE23" s="65"/>
      <c r="KF23" s="65"/>
      <c r="KG23" s="65"/>
      <c r="KH23" s="65"/>
      <c r="KI23" s="65"/>
      <c r="KJ23" s="65"/>
      <c r="KK23" s="65"/>
      <c r="KL23" s="65"/>
      <c r="KM23" s="65"/>
      <c r="KN23" s="65"/>
      <c r="KO23" s="65"/>
      <c r="KP23" s="65"/>
      <c r="KQ23" s="65"/>
      <c r="KR23" s="65"/>
      <c r="KS23" s="65"/>
      <c r="KT23" s="65"/>
      <c r="KU23" s="65"/>
      <c r="KV23" s="65"/>
      <c r="KW23" s="65"/>
      <c r="KX23" s="65"/>
      <c r="KY23" s="65"/>
      <c r="KZ23" s="65"/>
      <c r="LA23" s="65"/>
      <c r="LB23" s="65"/>
      <c r="LC23" s="65"/>
      <c r="LD23" s="65"/>
      <c r="LE23" s="65"/>
      <c r="LF23" s="65"/>
      <c r="LG23" s="65"/>
      <c r="LH23" s="65"/>
      <c r="LI23" s="65"/>
      <c r="LJ23" s="65"/>
      <c r="LK23" s="65"/>
      <c r="LL23" s="65"/>
      <c r="LM23" s="65"/>
      <c r="LN23" s="65"/>
      <c r="LO23" s="65"/>
      <c r="LP23" s="65"/>
      <c r="LQ23" s="65"/>
      <c r="LR23" s="65"/>
      <c r="LS23" s="65"/>
      <c r="LT23" s="65"/>
      <c r="LU23" s="65"/>
      <c r="LV23" s="65"/>
      <c r="LW23" s="65"/>
      <c r="LX23" s="65"/>
      <c r="LY23" s="65"/>
      <c r="LZ23" s="65"/>
      <c r="MA23" s="65"/>
      <c r="MB23" s="65"/>
      <c r="MC23" s="65"/>
      <c r="MD23" s="65"/>
      <c r="ME23" s="65"/>
      <c r="MF23" s="65"/>
      <c r="MG23" s="65"/>
      <c r="MH23" s="65"/>
      <c r="MI23" s="65"/>
      <c r="MJ23" s="65"/>
      <c r="MK23" s="65"/>
      <c r="ML23" s="65"/>
      <c r="MM23" s="65"/>
      <c r="MN23" s="65"/>
      <c r="MO23" s="65"/>
      <c r="MP23" s="65"/>
      <c r="MQ23" s="65"/>
      <c r="MR23" s="65"/>
      <c r="MS23" s="65"/>
      <c r="MT23" s="65"/>
      <c r="MU23" s="65"/>
      <c r="MV23" s="65"/>
      <c r="MW23" s="65"/>
      <c r="MX23" s="65"/>
      <c r="MY23" s="65"/>
      <c r="MZ23" s="65"/>
      <c r="NA23" s="65"/>
      <c r="NB23" s="65"/>
      <c r="NC23" s="65"/>
      <c r="ND23" s="65"/>
      <c r="NE23" s="65"/>
      <c r="NF23" s="65"/>
      <c r="NG23" s="65"/>
      <c r="NH23" s="65"/>
      <c r="NI23" s="65"/>
      <c r="NJ23" s="65"/>
      <c r="NK23" s="65"/>
      <c r="NL23" s="65"/>
      <c r="NM23" s="65"/>
      <c r="NN23" s="65"/>
      <c r="NO23" s="65"/>
      <c r="NP23" s="65"/>
      <c r="NQ23" s="65"/>
      <c r="NR23" s="65"/>
      <c r="NS23" s="65"/>
      <c r="NT23" s="65"/>
      <c r="NU23" s="65"/>
      <c r="NV23" s="65"/>
      <c r="NW23" s="65"/>
      <c r="NX23" s="65"/>
      <c r="NY23" s="65"/>
      <c r="NZ23" s="65"/>
      <c r="OA23" s="65"/>
      <c r="OB23" s="65"/>
      <c r="OC23" s="65"/>
      <c r="OD23" s="65"/>
      <c r="OE23" s="65"/>
      <c r="OF23" s="65"/>
      <c r="OG23" s="65"/>
      <c r="OH23" s="65"/>
      <c r="OI23" s="65"/>
      <c r="OJ23" s="66"/>
    </row>
    <row r="24" spans="1:400" s="34" customFormat="1" ht="34.049999999999997" customHeight="1" x14ac:dyDescent="0.3">
      <c r="A24" s="1797">
        <v>20</v>
      </c>
      <c r="B24" s="2652" t="s">
        <v>502</v>
      </c>
      <c r="C24" s="2666" t="s">
        <v>791</v>
      </c>
      <c r="D24" s="2652" t="s">
        <v>19</v>
      </c>
      <c r="E24" s="2667">
        <v>22000</v>
      </c>
      <c r="F24" s="2667">
        <v>45625014</v>
      </c>
      <c r="G24" s="2668">
        <v>-45603014</v>
      </c>
      <c r="H24" s="2669" t="s">
        <v>4632</v>
      </c>
      <c r="I24" s="2669" t="s">
        <v>1227</v>
      </c>
      <c r="J24" s="2669" t="s">
        <v>742</v>
      </c>
      <c r="K24" s="2669" t="s">
        <v>1228</v>
      </c>
      <c r="L24" s="2679" t="s">
        <v>1229</v>
      </c>
      <c r="M24" s="2696" t="s">
        <v>4651</v>
      </c>
      <c r="N24" s="2686" t="s">
        <v>1230</v>
      </c>
      <c r="O24" s="2648">
        <v>1843608.88</v>
      </c>
      <c r="P24" s="2635">
        <v>752399.24</v>
      </c>
      <c r="Q24" s="2636"/>
      <c r="R24" s="2636"/>
      <c r="S24" s="2636"/>
      <c r="T24" s="2634">
        <f t="shared" si="0"/>
        <v>2596008.12</v>
      </c>
      <c r="U24" s="2338"/>
      <c r="V24" s="2338"/>
      <c r="W24" s="2338"/>
      <c r="X24" s="2338"/>
      <c r="Y24" s="2338"/>
      <c r="Z24" s="2338"/>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c r="CT24" s="67"/>
      <c r="CU24" s="67"/>
      <c r="CV24" s="67"/>
      <c r="CW24" s="67"/>
      <c r="CX24" s="67"/>
      <c r="CY24" s="67"/>
      <c r="CZ24" s="67"/>
      <c r="DA24" s="67"/>
      <c r="DB24" s="67"/>
      <c r="DC24" s="67"/>
      <c r="DD24" s="67"/>
      <c r="DE24" s="67"/>
      <c r="DF24" s="67"/>
      <c r="DG24" s="67"/>
      <c r="DH24" s="67"/>
      <c r="DI24" s="67"/>
      <c r="DJ24" s="67"/>
      <c r="DK24" s="67"/>
      <c r="DL24" s="67"/>
      <c r="DM24" s="67"/>
      <c r="DN24" s="67"/>
      <c r="DO24" s="67"/>
      <c r="DP24" s="67"/>
      <c r="DQ24" s="67"/>
      <c r="DR24" s="67"/>
      <c r="DS24" s="67"/>
      <c r="DT24" s="67"/>
      <c r="DU24" s="67"/>
      <c r="DV24" s="67"/>
      <c r="DW24" s="67"/>
      <c r="DX24" s="67"/>
      <c r="DY24" s="67"/>
      <c r="DZ24" s="67"/>
      <c r="EA24" s="67"/>
      <c r="EB24" s="67"/>
      <c r="EC24" s="67"/>
      <c r="ED24" s="67"/>
      <c r="EE24" s="67"/>
      <c r="EF24" s="67"/>
      <c r="EG24" s="67"/>
      <c r="EH24" s="67"/>
      <c r="EI24" s="67"/>
      <c r="EJ24" s="67"/>
      <c r="EK24" s="67"/>
      <c r="EL24" s="67"/>
      <c r="EM24" s="67"/>
      <c r="EN24" s="67"/>
      <c r="EO24" s="67"/>
      <c r="EP24" s="67"/>
      <c r="EQ24" s="67"/>
      <c r="ER24" s="67"/>
      <c r="ES24" s="67"/>
      <c r="ET24" s="67"/>
      <c r="EU24" s="67"/>
      <c r="EV24" s="67"/>
      <c r="EW24" s="67"/>
      <c r="EX24" s="67"/>
      <c r="EY24" s="67"/>
      <c r="EZ24" s="67"/>
      <c r="FA24" s="67"/>
      <c r="FB24" s="67"/>
      <c r="FC24" s="67"/>
      <c r="FD24" s="67"/>
      <c r="FE24" s="67"/>
      <c r="FF24" s="67"/>
      <c r="FG24" s="67"/>
      <c r="FH24" s="67"/>
      <c r="FI24" s="67"/>
      <c r="FJ24" s="67"/>
      <c r="FK24" s="67"/>
      <c r="FL24" s="67"/>
      <c r="FM24" s="67"/>
      <c r="FN24" s="67"/>
      <c r="FO24" s="67"/>
      <c r="FP24" s="67"/>
      <c r="FQ24" s="67"/>
      <c r="FR24" s="67"/>
      <c r="FS24" s="67"/>
      <c r="FT24" s="67"/>
      <c r="FU24" s="67"/>
      <c r="FV24" s="67"/>
      <c r="FW24" s="67"/>
      <c r="FX24" s="67"/>
      <c r="FY24" s="67"/>
      <c r="FZ24" s="67"/>
      <c r="GA24" s="67"/>
      <c r="GB24" s="67"/>
      <c r="GC24" s="67"/>
      <c r="GD24" s="67"/>
      <c r="GE24" s="67"/>
      <c r="GF24" s="67"/>
      <c r="GG24" s="67"/>
      <c r="GH24" s="67"/>
      <c r="GI24" s="67"/>
      <c r="GJ24" s="67"/>
      <c r="GK24" s="67"/>
      <c r="GL24" s="67"/>
      <c r="GM24" s="67"/>
      <c r="GN24" s="67"/>
      <c r="GO24" s="67"/>
      <c r="GP24" s="67"/>
      <c r="GQ24" s="67"/>
      <c r="GR24" s="67"/>
      <c r="GS24" s="67"/>
      <c r="GT24" s="67"/>
      <c r="GU24" s="67"/>
      <c r="GV24" s="67"/>
      <c r="GW24" s="67"/>
      <c r="GX24" s="67"/>
      <c r="GY24" s="67"/>
      <c r="GZ24" s="67"/>
      <c r="HA24" s="67"/>
      <c r="HB24" s="67"/>
      <c r="HC24" s="67"/>
      <c r="HD24" s="67"/>
      <c r="HE24" s="67"/>
      <c r="HF24" s="67"/>
      <c r="HG24" s="67"/>
      <c r="HH24" s="67"/>
      <c r="HI24" s="67"/>
      <c r="HJ24" s="67"/>
      <c r="HK24" s="67"/>
      <c r="HL24" s="67"/>
      <c r="HM24" s="67"/>
      <c r="HN24" s="67"/>
      <c r="HO24" s="67"/>
      <c r="HP24" s="67"/>
      <c r="HQ24" s="67"/>
      <c r="HR24" s="67"/>
      <c r="HS24" s="67"/>
      <c r="HT24" s="67"/>
      <c r="HU24" s="67"/>
      <c r="HV24" s="67"/>
      <c r="HW24" s="67"/>
      <c r="HX24" s="67"/>
      <c r="HY24" s="67"/>
      <c r="HZ24" s="67"/>
      <c r="IA24" s="67"/>
      <c r="IB24" s="67"/>
      <c r="IC24" s="67"/>
      <c r="ID24" s="67"/>
      <c r="IE24" s="67"/>
      <c r="IF24" s="67"/>
      <c r="IG24" s="67"/>
      <c r="IH24" s="67"/>
      <c r="II24" s="67"/>
      <c r="IJ24" s="67"/>
      <c r="IK24" s="67"/>
      <c r="IL24" s="67"/>
      <c r="IM24" s="67"/>
      <c r="IN24" s="67"/>
      <c r="IO24" s="67"/>
      <c r="IP24" s="67"/>
      <c r="IQ24" s="67"/>
      <c r="IR24" s="67"/>
      <c r="IS24" s="67"/>
      <c r="IT24" s="67"/>
      <c r="IU24" s="67"/>
      <c r="IV24" s="67"/>
      <c r="IW24" s="67"/>
      <c r="IX24" s="67"/>
      <c r="IY24" s="67"/>
      <c r="IZ24" s="67"/>
      <c r="JA24" s="67"/>
      <c r="JB24" s="67"/>
      <c r="JC24" s="67"/>
      <c r="JD24" s="67"/>
      <c r="JE24" s="67"/>
      <c r="JF24" s="67"/>
      <c r="JG24" s="67"/>
      <c r="JH24" s="67"/>
      <c r="JI24" s="67"/>
      <c r="JJ24" s="67"/>
      <c r="JK24" s="67"/>
      <c r="JL24" s="67"/>
      <c r="JM24" s="67"/>
      <c r="JN24" s="67"/>
      <c r="JO24" s="67"/>
      <c r="JP24" s="67"/>
      <c r="JQ24" s="67"/>
      <c r="JR24" s="67"/>
      <c r="JS24" s="67"/>
      <c r="JT24" s="67"/>
      <c r="JU24" s="67"/>
      <c r="JV24" s="67"/>
      <c r="JW24" s="67"/>
      <c r="JX24" s="67"/>
      <c r="JY24" s="67"/>
      <c r="JZ24" s="67"/>
      <c r="KA24" s="67"/>
      <c r="KB24" s="67"/>
      <c r="KC24" s="67"/>
      <c r="KD24" s="67"/>
      <c r="KE24" s="67"/>
      <c r="KF24" s="67"/>
      <c r="KG24" s="67"/>
      <c r="KH24" s="67"/>
      <c r="KI24" s="67"/>
      <c r="KJ24" s="67"/>
      <c r="KK24" s="67"/>
      <c r="KL24" s="67"/>
      <c r="KM24" s="67"/>
      <c r="KN24" s="67"/>
      <c r="KO24" s="67"/>
      <c r="KP24" s="67"/>
      <c r="KQ24" s="67"/>
      <c r="KR24" s="67"/>
      <c r="KS24" s="67"/>
      <c r="KT24" s="67"/>
      <c r="KU24" s="67"/>
      <c r="KV24" s="67"/>
      <c r="KW24" s="67"/>
      <c r="KX24" s="67"/>
      <c r="KY24" s="67"/>
      <c r="KZ24" s="67"/>
      <c r="LA24" s="67"/>
      <c r="LB24" s="67"/>
      <c r="LC24" s="67"/>
      <c r="LD24" s="67"/>
      <c r="LE24" s="67"/>
      <c r="LF24" s="67"/>
      <c r="LG24" s="67"/>
      <c r="LH24" s="67"/>
      <c r="LI24" s="67"/>
      <c r="LJ24" s="67"/>
      <c r="LK24" s="67"/>
      <c r="LL24" s="67"/>
      <c r="LM24" s="67"/>
      <c r="LN24" s="67"/>
      <c r="LO24" s="67"/>
      <c r="LP24" s="67"/>
      <c r="LQ24" s="67"/>
      <c r="LR24" s="67"/>
      <c r="LS24" s="67"/>
      <c r="LT24" s="67"/>
      <c r="LU24" s="67"/>
      <c r="LV24" s="67"/>
      <c r="LW24" s="67"/>
      <c r="LX24" s="67"/>
      <c r="LY24" s="67"/>
      <c r="LZ24" s="67"/>
      <c r="MA24" s="67"/>
      <c r="MB24" s="67"/>
      <c r="MC24" s="67"/>
      <c r="MD24" s="67"/>
      <c r="ME24" s="67"/>
      <c r="MF24" s="67"/>
      <c r="MG24" s="67"/>
      <c r="MH24" s="67"/>
      <c r="MI24" s="67"/>
      <c r="MJ24" s="67"/>
      <c r="MK24" s="67"/>
      <c r="ML24" s="67"/>
      <c r="MM24" s="67"/>
      <c r="MN24" s="67"/>
      <c r="MO24" s="67"/>
      <c r="MP24" s="67"/>
      <c r="MQ24" s="67"/>
      <c r="MR24" s="67"/>
      <c r="MS24" s="67"/>
      <c r="MT24" s="67"/>
      <c r="MU24" s="67"/>
      <c r="MV24" s="67"/>
      <c r="MW24" s="67"/>
      <c r="MX24" s="67"/>
      <c r="MY24" s="67"/>
      <c r="MZ24" s="67"/>
      <c r="NA24" s="67"/>
      <c r="NB24" s="67"/>
      <c r="NC24" s="67"/>
      <c r="ND24" s="67"/>
      <c r="NE24" s="67"/>
      <c r="NF24" s="67"/>
      <c r="NG24" s="67"/>
      <c r="NH24" s="67"/>
      <c r="NI24" s="67"/>
      <c r="NJ24" s="67"/>
      <c r="NK24" s="67"/>
      <c r="NL24" s="67"/>
      <c r="NM24" s="67"/>
      <c r="NN24" s="67"/>
      <c r="NO24" s="67"/>
      <c r="NP24" s="67"/>
      <c r="NQ24" s="67"/>
      <c r="NR24" s="67"/>
      <c r="NS24" s="67"/>
      <c r="NT24" s="67"/>
      <c r="NU24" s="67"/>
      <c r="NV24" s="67"/>
      <c r="NW24" s="67"/>
      <c r="NX24" s="67"/>
      <c r="NY24" s="67"/>
      <c r="NZ24" s="67"/>
      <c r="OA24" s="67"/>
      <c r="OB24" s="67"/>
      <c r="OC24" s="67"/>
      <c r="OD24" s="67"/>
      <c r="OE24" s="67"/>
      <c r="OF24" s="67"/>
      <c r="OG24" s="67"/>
      <c r="OH24" s="67"/>
      <c r="OI24" s="67"/>
      <c r="OJ24" s="68"/>
    </row>
    <row r="25" spans="1:400" s="33" customFormat="1" ht="24" customHeight="1" x14ac:dyDescent="0.25">
      <c r="A25" s="2594" t="s">
        <v>683</v>
      </c>
      <c r="B25" s="3681" t="s">
        <v>4660</v>
      </c>
      <c r="C25" s="3682"/>
      <c r="D25" s="2595" t="s">
        <v>1231</v>
      </c>
      <c r="E25" s="2659">
        <f>SUM(E5:E24)</f>
        <v>10299512.640000001</v>
      </c>
      <c r="F25" s="2659">
        <f>SUM(F5:F24)</f>
        <v>77232634</v>
      </c>
      <c r="G25" s="2660">
        <f>SUM(G5:G24)</f>
        <v>-67308987.359999999</v>
      </c>
      <c r="H25" s="2595" t="s">
        <v>4652</v>
      </c>
      <c r="I25" s="2595" t="s">
        <v>1232</v>
      </c>
      <c r="J25" s="2595" t="s">
        <v>103</v>
      </c>
      <c r="K25" s="2595" t="s">
        <v>103</v>
      </c>
      <c r="L25" s="2680" t="s">
        <v>103</v>
      </c>
      <c r="M25" s="2697" t="s">
        <v>4653</v>
      </c>
      <c r="N25" s="2687" t="s">
        <v>1233</v>
      </c>
      <c r="O25" s="2648">
        <f t="shared" ref="O25:T25" si="1">SUM(O5:O24)</f>
        <v>9819953.3900000006</v>
      </c>
      <c r="P25" s="2634">
        <f t="shared" si="1"/>
        <v>3615794.6000000006</v>
      </c>
      <c r="Q25" s="2634">
        <f t="shared" si="1"/>
        <v>0</v>
      </c>
      <c r="R25" s="2634">
        <f t="shared" si="1"/>
        <v>0</v>
      </c>
      <c r="S25" s="2634">
        <f t="shared" si="1"/>
        <v>0</v>
      </c>
      <c r="T25" s="2634">
        <f t="shared" si="1"/>
        <v>13435747.990000002</v>
      </c>
      <c r="U25" s="2338"/>
      <c r="V25" s="2338"/>
      <c r="W25" s="2338"/>
      <c r="X25" s="2338"/>
      <c r="Y25" s="2338"/>
      <c r="Z25" s="2338"/>
      <c r="AA25" s="65"/>
      <c r="AB25" s="65"/>
      <c r="AC25" s="65"/>
      <c r="AD25" s="65"/>
      <c r="AE25" s="65"/>
      <c r="AF25" s="65"/>
      <c r="AG25" s="65"/>
      <c r="AH25" s="65"/>
      <c r="AI25" s="65"/>
      <c r="AJ25" s="65"/>
      <c r="AK25" s="65"/>
      <c r="AL25" s="65"/>
      <c r="AM25" s="65"/>
      <c r="AN25" s="65"/>
      <c r="AO25" s="65"/>
      <c r="AP25" s="65"/>
      <c r="AQ25" s="65"/>
      <c r="AR25" s="65"/>
      <c r="AS25" s="65"/>
      <c r="AT25" s="65"/>
      <c r="AU25" s="65"/>
      <c r="AV25" s="65"/>
      <c r="AW25" s="65"/>
      <c r="AX25" s="65"/>
      <c r="AY25" s="65"/>
      <c r="AZ25" s="65"/>
      <c r="BA25" s="65"/>
      <c r="BB25" s="65"/>
      <c r="BC25" s="65"/>
      <c r="BD25" s="65"/>
      <c r="BE25" s="65"/>
      <c r="BF25" s="65"/>
      <c r="BG25" s="65"/>
      <c r="BH25" s="65"/>
      <c r="BI25" s="65"/>
      <c r="BJ25" s="65"/>
      <c r="BK25" s="65"/>
      <c r="BL25" s="65"/>
      <c r="BM25" s="65"/>
      <c r="BN25" s="65"/>
      <c r="BO25" s="65"/>
      <c r="BP25" s="65"/>
      <c r="BQ25" s="65"/>
      <c r="BR25" s="65"/>
      <c r="BS25" s="65"/>
      <c r="BT25" s="65"/>
      <c r="BU25" s="65"/>
      <c r="BV25" s="65"/>
      <c r="BW25" s="65"/>
      <c r="BX25" s="65"/>
      <c r="BY25" s="65"/>
      <c r="BZ25" s="65"/>
      <c r="CA25" s="65"/>
      <c r="CB25" s="65"/>
      <c r="CC25" s="65"/>
      <c r="CD25" s="65"/>
      <c r="CE25" s="65"/>
      <c r="CF25" s="65"/>
      <c r="CG25" s="65"/>
      <c r="CH25" s="65"/>
      <c r="CI25" s="65"/>
      <c r="CJ25" s="65"/>
      <c r="CK25" s="65"/>
      <c r="CL25" s="65"/>
      <c r="CM25" s="65"/>
      <c r="CN25" s="65"/>
      <c r="CO25" s="65"/>
      <c r="CP25" s="65"/>
      <c r="CQ25" s="65"/>
      <c r="CR25" s="65"/>
      <c r="CS25" s="65"/>
      <c r="CT25" s="65"/>
      <c r="CU25" s="65"/>
      <c r="CV25" s="65"/>
      <c r="CW25" s="65"/>
      <c r="CX25" s="65"/>
      <c r="CY25" s="65"/>
      <c r="CZ25" s="65"/>
      <c r="DA25" s="65"/>
      <c r="DB25" s="65"/>
      <c r="DC25" s="65"/>
      <c r="DD25" s="65"/>
      <c r="DE25" s="65"/>
      <c r="DF25" s="65"/>
      <c r="DG25" s="65"/>
      <c r="DH25" s="65"/>
      <c r="DI25" s="65"/>
      <c r="DJ25" s="65"/>
      <c r="DK25" s="65"/>
      <c r="DL25" s="65"/>
      <c r="DM25" s="65"/>
      <c r="DN25" s="65"/>
      <c r="DO25" s="65"/>
      <c r="DP25" s="65"/>
      <c r="DQ25" s="65"/>
      <c r="DR25" s="65"/>
      <c r="DS25" s="65"/>
      <c r="DT25" s="65"/>
      <c r="DU25" s="65"/>
      <c r="DV25" s="65"/>
      <c r="DW25" s="65"/>
      <c r="DX25" s="65"/>
      <c r="DY25" s="65"/>
      <c r="DZ25" s="65"/>
      <c r="EA25" s="65"/>
      <c r="EB25" s="65"/>
      <c r="EC25" s="65"/>
      <c r="ED25" s="65"/>
      <c r="EE25" s="65"/>
      <c r="EF25" s="65"/>
      <c r="EG25" s="65"/>
      <c r="EH25" s="65"/>
      <c r="EI25" s="65"/>
      <c r="EJ25" s="65"/>
      <c r="EK25" s="65"/>
      <c r="EL25" s="65"/>
      <c r="EM25" s="65"/>
      <c r="EN25" s="65"/>
      <c r="EO25" s="65"/>
      <c r="EP25" s="65"/>
      <c r="EQ25" s="65"/>
      <c r="ER25" s="65"/>
      <c r="ES25" s="65"/>
      <c r="ET25" s="65"/>
      <c r="EU25" s="65"/>
      <c r="EV25" s="65"/>
      <c r="EW25" s="65"/>
      <c r="EX25" s="65"/>
      <c r="EY25" s="65"/>
      <c r="EZ25" s="65"/>
      <c r="FA25" s="65"/>
      <c r="FB25" s="65"/>
      <c r="FC25" s="65"/>
      <c r="FD25" s="65"/>
      <c r="FE25" s="65"/>
      <c r="FF25" s="65"/>
      <c r="FG25" s="65"/>
      <c r="FH25" s="65"/>
      <c r="FI25" s="65"/>
      <c r="FJ25" s="65"/>
      <c r="FK25" s="65"/>
      <c r="FL25" s="65"/>
      <c r="FM25" s="65"/>
      <c r="FN25" s="65"/>
      <c r="FO25" s="65"/>
      <c r="FP25" s="65"/>
      <c r="FQ25" s="65"/>
      <c r="FR25" s="65"/>
      <c r="FS25" s="65"/>
      <c r="FT25" s="65"/>
      <c r="FU25" s="65"/>
      <c r="FV25" s="65"/>
      <c r="FW25" s="65"/>
      <c r="FX25" s="65"/>
      <c r="FY25" s="65"/>
      <c r="FZ25" s="65"/>
      <c r="GA25" s="65"/>
      <c r="GB25" s="65"/>
      <c r="GC25" s="65"/>
      <c r="GD25" s="65"/>
      <c r="GE25" s="65"/>
      <c r="GF25" s="65"/>
      <c r="GG25" s="65"/>
      <c r="GH25" s="65"/>
      <c r="GI25" s="65"/>
      <c r="GJ25" s="65"/>
      <c r="GK25" s="65"/>
      <c r="GL25" s="65"/>
      <c r="GM25" s="65"/>
      <c r="GN25" s="65"/>
      <c r="GO25" s="65"/>
      <c r="GP25" s="65"/>
      <c r="GQ25" s="65"/>
      <c r="GR25" s="65"/>
      <c r="GS25" s="65"/>
      <c r="GT25" s="65"/>
      <c r="GU25" s="65"/>
      <c r="GV25" s="65"/>
      <c r="GW25" s="65"/>
      <c r="GX25" s="65"/>
      <c r="GY25" s="65"/>
      <c r="GZ25" s="65"/>
      <c r="HA25" s="65"/>
      <c r="HB25" s="65"/>
      <c r="HC25" s="65"/>
      <c r="HD25" s="65"/>
      <c r="HE25" s="65"/>
      <c r="HF25" s="65"/>
      <c r="HG25" s="65"/>
      <c r="HH25" s="65"/>
      <c r="HI25" s="65"/>
      <c r="HJ25" s="65"/>
      <c r="HK25" s="65"/>
      <c r="HL25" s="65"/>
      <c r="HM25" s="65"/>
      <c r="HN25" s="65"/>
      <c r="HO25" s="65"/>
      <c r="HP25" s="65"/>
      <c r="HQ25" s="65"/>
      <c r="HR25" s="65"/>
      <c r="HS25" s="65"/>
      <c r="HT25" s="65"/>
      <c r="HU25" s="65"/>
      <c r="HV25" s="65"/>
      <c r="HW25" s="65"/>
      <c r="HX25" s="65"/>
      <c r="HY25" s="65"/>
      <c r="HZ25" s="65"/>
      <c r="IA25" s="65"/>
      <c r="IB25" s="65"/>
      <c r="IC25" s="65"/>
      <c r="ID25" s="65"/>
      <c r="IE25" s="65"/>
      <c r="IF25" s="65"/>
      <c r="IG25" s="65"/>
      <c r="IH25" s="65"/>
      <c r="II25" s="65"/>
      <c r="IJ25" s="65"/>
      <c r="IK25" s="65"/>
      <c r="IL25" s="65"/>
      <c r="IM25" s="65"/>
      <c r="IN25" s="65"/>
      <c r="IO25" s="65"/>
      <c r="IP25" s="65"/>
      <c r="IQ25" s="65"/>
      <c r="IR25" s="65"/>
      <c r="IS25" s="65"/>
      <c r="IT25" s="65"/>
      <c r="IU25" s="65"/>
      <c r="IV25" s="65"/>
      <c r="IW25" s="65"/>
      <c r="IX25" s="65"/>
      <c r="IY25" s="65"/>
      <c r="IZ25" s="65"/>
      <c r="JA25" s="65"/>
      <c r="JB25" s="65"/>
      <c r="JC25" s="65"/>
      <c r="JD25" s="65"/>
      <c r="JE25" s="65"/>
      <c r="JF25" s="65"/>
      <c r="JG25" s="65"/>
      <c r="JH25" s="65"/>
      <c r="JI25" s="65"/>
      <c r="JJ25" s="65"/>
      <c r="JK25" s="65"/>
      <c r="JL25" s="65"/>
      <c r="JM25" s="65"/>
      <c r="JN25" s="65"/>
      <c r="JO25" s="65"/>
      <c r="JP25" s="65"/>
      <c r="JQ25" s="65"/>
      <c r="JR25" s="65"/>
      <c r="JS25" s="65"/>
      <c r="JT25" s="65"/>
      <c r="JU25" s="65"/>
      <c r="JV25" s="65"/>
      <c r="JW25" s="65"/>
      <c r="JX25" s="65"/>
      <c r="JY25" s="65"/>
      <c r="JZ25" s="65"/>
      <c r="KA25" s="65"/>
      <c r="KB25" s="65"/>
      <c r="KC25" s="65"/>
      <c r="KD25" s="65"/>
      <c r="KE25" s="65"/>
      <c r="KF25" s="65"/>
      <c r="KG25" s="65"/>
      <c r="KH25" s="65"/>
      <c r="KI25" s="65"/>
      <c r="KJ25" s="65"/>
      <c r="KK25" s="65"/>
      <c r="KL25" s="65"/>
      <c r="KM25" s="65"/>
      <c r="KN25" s="65"/>
      <c r="KO25" s="65"/>
      <c r="KP25" s="65"/>
      <c r="KQ25" s="65"/>
      <c r="KR25" s="65"/>
      <c r="KS25" s="65"/>
      <c r="KT25" s="65"/>
      <c r="KU25" s="65"/>
      <c r="KV25" s="65"/>
      <c r="KW25" s="65"/>
      <c r="KX25" s="65"/>
      <c r="KY25" s="65"/>
      <c r="KZ25" s="65"/>
      <c r="LA25" s="65"/>
      <c r="LB25" s="65"/>
      <c r="LC25" s="65"/>
      <c r="LD25" s="65"/>
      <c r="LE25" s="65"/>
      <c r="LF25" s="65"/>
      <c r="LG25" s="65"/>
      <c r="LH25" s="65"/>
      <c r="LI25" s="65"/>
      <c r="LJ25" s="65"/>
      <c r="LK25" s="65"/>
      <c r="LL25" s="65"/>
      <c r="LM25" s="65"/>
      <c r="LN25" s="65"/>
      <c r="LO25" s="65"/>
      <c r="LP25" s="65"/>
      <c r="LQ25" s="65"/>
      <c r="LR25" s="65"/>
      <c r="LS25" s="65"/>
      <c r="LT25" s="65"/>
      <c r="LU25" s="65"/>
      <c r="LV25" s="65"/>
      <c r="LW25" s="65"/>
      <c r="LX25" s="65"/>
      <c r="LY25" s="65"/>
      <c r="LZ25" s="65"/>
      <c r="MA25" s="65"/>
      <c r="MB25" s="65"/>
      <c r="MC25" s="65"/>
      <c r="MD25" s="65"/>
      <c r="ME25" s="65"/>
      <c r="MF25" s="65"/>
      <c r="MG25" s="65"/>
      <c r="MH25" s="65"/>
      <c r="MI25" s="65"/>
      <c r="MJ25" s="65"/>
      <c r="MK25" s="65"/>
      <c r="ML25" s="65"/>
      <c r="MM25" s="65"/>
      <c r="MN25" s="65"/>
      <c r="MO25" s="65"/>
      <c r="MP25" s="65"/>
      <c r="MQ25" s="65"/>
      <c r="MR25" s="65"/>
      <c r="MS25" s="65"/>
      <c r="MT25" s="65"/>
      <c r="MU25" s="65"/>
      <c r="MV25" s="65"/>
      <c r="MW25" s="65"/>
      <c r="MX25" s="65"/>
      <c r="MY25" s="65"/>
      <c r="MZ25" s="65"/>
      <c r="NA25" s="65"/>
      <c r="NB25" s="65"/>
      <c r="NC25" s="65"/>
      <c r="ND25" s="65"/>
      <c r="NE25" s="65"/>
      <c r="NF25" s="65"/>
      <c r="NG25" s="65"/>
      <c r="NH25" s="65"/>
      <c r="NI25" s="65"/>
      <c r="NJ25" s="65"/>
      <c r="NK25" s="65"/>
      <c r="NL25" s="65"/>
      <c r="NM25" s="65"/>
      <c r="NN25" s="65"/>
      <c r="NO25" s="65"/>
      <c r="NP25" s="65"/>
      <c r="NQ25" s="65"/>
      <c r="NR25" s="65"/>
      <c r="NS25" s="65"/>
      <c r="NT25" s="65"/>
      <c r="NU25" s="65"/>
      <c r="NV25" s="65"/>
      <c r="NW25" s="65"/>
      <c r="NX25" s="65"/>
      <c r="NY25" s="65"/>
      <c r="NZ25" s="65"/>
      <c r="OA25" s="65"/>
      <c r="OB25" s="65"/>
      <c r="OC25" s="65"/>
      <c r="OD25" s="65"/>
      <c r="OE25" s="65"/>
      <c r="OF25" s="65"/>
      <c r="OG25" s="65"/>
      <c r="OH25" s="65"/>
      <c r="OI25" s="65"/>
      <c r="OJ25" s="66"/>
    </row>
    <row r="26" spans="1:400" s="35" customFormat="1" ht="19.95" customHeight="1" x14ac:dyDescent="0.3">
      <c r="A26" s="3702" t="s">
        <v>1234</v>
      </c>
      <c r="B26" s="3703"/>
      <c r="C26" s="3703"/>
      <c r="D26" s="3703"/>
      <c r="E26" s="3703"/>
      <c r="F26" s="3703"/>
      <c r="G26" s="3703"/>
      <c r="H26" s="3703"/>
      <c r="I26" s="3703"/>
      <c r="J26" s="3703"/>
      <c r="K26" s="3703"/>
      <c r="L26" s="3704"/>
      <c r="M26" s="3705"/>
      <c r="N26" s="3706"/>
      <c r="O26" s="3644"/>
      <c r="P26" s="3644"/>
      <c r="Q26" s="3644"/>
      <c r="R26" s="3644"/>
      <c r="S26" s="3644"/>
      <c r="T26" s="3644"/>
      <c r="U26" s="3644"/>
      <c r="V26" s="3644"/>
      <c r="W26" s="3644"/>
      <c r="X26" s="3644"/>
      <c r="Y26" s="3644"/>
      <c r="Z26" s="3645"/>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7"/>
      <c r="BK26" s="67"/>
      <c r="BL26" s="67"/>
      <c r="BM26" s="67"/>
      <c r="BN26" s="67"/>
      <c r="BO26" s="67"/>
      <c r="BP26" s="67"/>
      <c r="BQ26" s="67"/>
      <c r="BR26" s="67"/>
      <c r="BS26" s="67"/>
      <c r="BT26" s="67"/>
      <c r="BU26" s="67"/>
      <c r="BV26" s="67"/>
      <c r="BW26" s="67"/>
      <c r="BX26" s="67"/>
      <c r="BY26" s="67"/>
      <c r="BZ26" s="67"/>
      <c r="CA26" s="67"/>
      <c r="CB26" s="67"/>
      <c r="CC26" s="67"/>
      <c r="CD26" s="67"/>
      <c r="CE26" s="67"/>
      <c r="CF26" s="67"/>
      <c r="CG26" s="67"/>
      <c r="CH26" s="67"/>
      <c r="CI26" s="67"/>
      <c r="CJ26" s="67"/>
      <c r="CK26" s="67"/>
      <c r="CL26" s="67"/>
      <c r="CM26" s="67"/>
      <c r="CN26" s="67"/>
      <c r="CO26" s="67"/>
      <c r="CP26" s="67"/>
      <c r="CQ26" s="67"/>
      <c r="CR26" s="67"/>
      <c r="CS26" s="67"/>
      <c r="CT26" s="67"/>
      <c r="CU26" s="67"/>
      <c r="CV26" s="67"/>
      <c r="CW26" s="67"/>
      <c r="CX26" s="67"/>
      <c r="CY26" s="67"/>
      <c r="CZ26" s="67"/>
      <c r="DA26" s="67"/>
      <c r="DB26" s="67"/>
      <c r="DC26" s="67"/>
      <c r="DD26" s="67"/>
      <c r="DE26" s="67"/>
      <c r="DF26" s="67"/>
      <c r="DG26" s="67"/>
      <c r="DH26" s="67"/>
      <c r="DI26" s="67"/>
      <c r="DJ26" s="67"/>
      <c r="DK26" s="67"/>
      <c r="DL26" s="67"/>
      <c r="DM26" s="67"/>
      <c r="DN26" s="67"/>
      <c r="DO26" s="67"/>
      <c r="DP26" s="67"/>
      <c r="DQ26" s="67"/>
      <c r="DR26" s="67"/>
      <c r="DS26" s="67"/>
      <c r="DT26" s="67"/>
      <c r="DU26" s="67"/>
      <c r="DV26" s="67"/>
      <c r="DW26" s="67"/>
      <c r="DX26" s="67"/>
      <c r="DY26" s="67"/>
      <c r="DZ26" s="67"/>
      <c r="EA26" s="67"/>
      <c r="EB26" s="67"/>
      <c r="EC26" s="67"/>
      <c r="ED26" s="67"/>
      <c r="EE26" s="67"/>
      <c r="EF26" s="67"/>
      <c r="EG26" s="67"/>
      <c r="EH26" s="67"/>
      <c r="EI26" s="67"/>
      <c r="EJ26" s="67"/>
      <c r="EK26" s="67"/>
      <c r="EL26" s="67"/>
      <c r="EM26" s="67"/>
      <c r="EN26" s="67"/>
      <c r="EO26" s="67"/>
      <c r="EP26" s="67"/>
      <c r="EQ26" s="67"/>
      <c r="ER26" s="67"/>
      <c r="ES26" s="67"/>
      <c r="ET26" s="67"/>
      <c r="EU26" s="67"/>
      <c r="EV26" s="67"/>
      <c r="EW26" s="67"/>
      <c r="EX26" s="67"/>
      <c r="EY26" s="67"/>
      <c r="EZ26" s="67"/>
      <c r="FA26" s="67"/>
      <c r="FB26" s="67"/>
      <c r="FC26" s="67"/>
      <c r="FD26" s="67"/>
      <c r="FE26" s="67"/>
      <c r="FF26" s="67"/>
      <c r="FG26" s="67"/>
      <c r="FH26" s="67"/>
      <c r="FI26" s="67"/>
      <c r="FJ26" s="67"/>
      <c r="FK26" s="67"/>
      <c r="FL26" s="67"/>
      <c r="FM26" s="67"/>
      <c r="FN26" s="67"/>
      <c r="FO26" s="67"/>
      <c r="FP26" s="67"/>
      <c r="FQ26" s="67"/>
      <c r="FR26" s="67"/>
      <c r="FS26" s="67"/>
      <c r="FT26" s="67"/>
      <c r="FU26" s="67"/>
      <c r="FV26" s="67"/>
      <c r="FW26" s="67"/>
      <c r="FX26" s="67"/>
      <c r="FY26" s="67"/>
      <c r="FZ26" s="67"/>
      <c r="GA26" s="67"/>
      <c r="GB26" s="67"/>
      <c r="GC26" s="67"/>
      <c r="GD26" s="67"/>
      <c r="GE26" s="67"/>
      <c r="GF26" s="67"/>
      <c r="GG26" s="67"/>
      <c r="GH26" s="67"/>
      <c r="GI26" s="67"/>
      <c r="GJ26" s="67"/>
      <c r="GK26" s="67"/>
      <c r="GL26" s="67"/>
      <c r="GM26" s="67"/>
      <c r="GN26" s="67"/>
      <c r="GO26" s="67"/>
      <c r="GP26" s="67"/>
      <c r="GQ26" s="67"/>
      <c r="GR26" s="67"/>
      <c r="GS26" s="67"/>
      <c r="GT26" s="67"/>
      <c r="GU26" s="67"/>
      <c r="GV26" s="67"/>
      <c r="GW26" s="67"/>
      <c r="GX26" s="67"/>
      <c r="GY26" s="67"/>
      <c r="GZ26" s="67"/>
      <c r="HA26" s="67"/>
      <c r="HB26" s="67"/>
      <c r="HC26" s="67"/>
      <c r="HD26" s="67"/>
      <c r="HE26" s="67"/>
      <c r="HF26" s="67"/>
      <c r="HG26" s="67"/>
      <c r="HH26" s="67"/>
      <c r="HI26" s="67"/>
      <c r="HJ26" s="67"/>
      <c r="HK26" s="67"/>
      <c r="HL26" s="67"/>
      <c r="HM26" s="67"/>
      <c r="HN26" s="67"/>
      <c r="HO26" s="67"/>
      <c r="HP26" s="67"/>
      <c r="HQ26" s="67"/>
      <c r="HR26" s="67"/>
      <c r="HS26" s="67"/>
      <c r="HT26" s="67"/>
      <c r="HU26" s="67"/>
      <c r="HV26" s="67"/>
      <c r="HW26" s="67"/>
      <c r="HX26" s="67"/>
      <c r="HY26" s="67"/>
      <c r="HZ26" s="67"/>
      <c r="IA26" s="67"/>
      <c r="IB26" s="67"/>
      <c r="IC26" s="67"/>
      <c r="ID26" s="67"/>
      <c r="IE26" s="67"/>
      <c r="IF26" s="67"/>
      <c r="IG26" s="67"/>
      <c r="IH26" s="67"/>
      <c r="II26" s="67"/>
      <c r="IJ26" s="67"/>
      <c r="IK26" s="67"/>
      <c r="IL26" s="67"/>
      <c r="IM26" s="67"/>
      <c r="IN26" s="67"/>
      <c r="IO26" s="67"/>
      <c r="IP26" s="67"/>
      <c r="IQ26" s="67"/>
      <c r="IR26" s="67"/>
      <c r="IS26" s="67"/>
      <c r="IT26" s="67"/>
      <c r="IU26" s="67"/>
      <c r="IV26" s="67"/>
      <c r="IW26" s="67"/>
      <c r="IX26" s="67"/>
      <c r="IY26" s="67"/>
      <c r="IZ26" s="67"/>
      <c r="JA26" s="67"/>
      <c r="JB26" s="67"/>
      <c r="JC26" s="67"/>
      <c r="JD26" s="67"/>
      <c r="JE26" s="67"/>
      <c r="JF26" s="67"/>
      <c r="JG26" s="67"/>
      <c r="JH26" s="67"/>
      <c r="JI26" s="67"/>
      <c r="JJ26" s="67"/>
      <c r="JK26" s="67"/>
      <c r="JL26" s="67"/>
      <c r="JM26" s="67"/>
      <c r="JN26" s="67"/>
      <c r="JO26" s="67"/>
      <c r="JP26" s="67"/>
      <c r="JQ26" s="67"/>
      <c r="JR26" s="67"/>
      <c r="JS26" s="67"/>
      <c r="JT26" s="67"/>
      <c r="JU26" s="67"/>
      <c r="JV26" s="67"/>
      <c r="JW26" s="67"/>
      <c r="JX26" s="67"/>
      <c r="JY26" s="67"/>
      <c r="JZ26" s="67"/>
      <c r="KA26" s="67"/>
      <c r="KB26" s="67"/>
      <c r="KC26" s="67"/>
      <c r="KD26" s="67"/>
      <c r="KE26" s="67"/>
      <c r="KF26" s="67"/>
      <c r="KG26" s="67"/>
      <c r="KH26" s="67"/>
      <c r="KI26" s="67"/>
      <c r="KJ26" s="67"/>
      <c r="KK26" s="67"/>
      <c r="KL26" s="67"/>
      <c r="KM26" s="67"/>
      <c r="KN26" s="67"/>
      <c r="KO26" s="67"/>
      <c r="KP26" s="67"/>
      <c r="KQ26" s="67"/>
      <c r="KR26" s="67"/>
      <c r="KS26" s="67"/>
      <c r="KT26" s="67"/>
      <c r="KU26" s="67"/>
      <c r="KV26" s="67"/>
      <c r="KW26" s="67"/>
      <c r="KX26" s="67"/>
      <c r="KY26" s="67"/>
      <c r="KZ26" s="67"/>
      <c r="LA26" s="67"/>
      <c r="LB26" s="67"/>
      <c r="LC26" s="67"/>
      <c r="LD26" s="67"/>
      <c r="LE26" s="67"/>
      <c r="LF26" s="67"/>
      <c r="LG26" s="67"/>
      <c r="LH26" s="67"/>
      <c r="LI26" s="67"/>
      <c r="LJ26" s="67"/>
      <c r="LK26" s="67"/>
      <c r="LL26" s="67"/>
      <c r="LM26" s="67"/>
      <c r="LN26" s="67"/>
      <c r="LO26" s="67"/>
      <c r="LP26" s="67"/>
      <c r="LQ26" s="67"/>
      <c r="LR26" s="67"/>
      <c r="LS26" s="67"/>
      <c r="LT26" s="67"/>
      <c r="LU26" s="67"/>
      <c r="LV26" s="67"/>
      <c r="LW26" s="67"/>
      <c r="LX26" s="67"/>
      <c r="LY26" s="67"/>
      <c r="LZ26" s="67"/>
      <c r="MA26" s="67"/>
      <c r="MB26" s="67"/>
      <c r="MC26" s="67"/>
      <c r="MD26" s="67"/>
      <c r="ME26" s="67"/>
      <c r="MF26" s="67"/>
      <c r="MG26" s="67"/>
      <c r="MH26" s="67"/>
      <c r="MI26" s="67"/>
      <c r="MJ26" s="67"/>
      <c r="MK26" s="67"/>
      <c r="ML26" s="67"/>
      <c r="MM26" s="67"/>
      <c r="MN26" s="67"/>
      <c r="MO26" s="67"/>
      <c r="MP26" s="67"/>
      <c r="MQ26" s="67"/>
      <c r="MR26" s="67"/>
      <c r="MS26" s="67"/>
      <c r="MT26" s="67"/>
      <c r="MU26" s="67"/>
      <c r="MV26" s="67"/>
      <c r="MW26" s="67"/>
      <c r="MX26" s="67"/>
      <c r="MY26" s="67"/>
      <c r="MZ26" s="67"/>
      <c r="NA26" s="67"/>
      <c r="NB26" s="67"/>
      <c r="NC26" s="67"/>
      <c r="ND26" s="67"/>
      <c r="NE26" s="67"/>
      <c r="NF26" s="67"/>
      <c r="NG26" s="67"/>
      <c r="NH26" s="67"/>
      <c r="NI26" s="67"/>
      <c r="NJ26" s="67"/>
      <c r="NK26" s="67"/>
      <c r="NL26" s="67"/>
      <c r="NM26" s="67"/>
      <c r="NN26" s="67"/>
      <c r="NO26" s="67"/>
      <c r="NP26" s="67"/>
      <c r="NQ26" s="67"/>
      <c r="NR26" s="67"/>
      <c r="NS26" s="67"/>
      <c r="NT26" s="67"/>
      <c r="NU26" s="67"/>
      <c r="NV26" s="67"/>
      <c r="NW26" s="67"/>
      <c r="NX26" s="67"/>
      <c r="NY26" s="67"/>
      <c r="NZ26" s="67"/>
      <c r="OA26" s="67"/>
      <c r="OB26" s="67"/>
      <c r="OC26" s="67"/>
      <c r="OD26" s="67"/>
      <c r="OE26" s="67"/>
      <c r="OF26" s="67"/>
      <c r="OG26" s="67"/>
      <c r="OH26" s="67"/>
      <c r="OI26" s="67"/>
      <c r="OJ26" s="68"/>
    </row>
    <row r="27" spans="1:400" s="35" customFormat="1" ht="25.95" customHeight="1" x14ac:dyDescent="0.25">
      <c r="A27" s="2670" t="s">
        <v>692</v>
      </c>
      <c r="B27" s="2671" t="s">
        <v>1235</v>
      </c>
      <c r="C27" s="2671" t="s">
        <v>1236</v>
      </c>
      <c r="D27" s="2671" t="s">
        <v>1237</v>
      </c>
      <c r="E27" s="2671" t="s">
        <v>1144</v>
      </c>
      <c r="F27" s="2671" t="s">
        <v>1238</v>
      </c>
      <c r="G27" s="3683" t="s">
        <v>1239</v>
      </c>
      <c r="H27" s="3684"/>
      <c r="I27" s="3684"/>
      <c r="J27" s="3684"/>
      <c r="K27" s="3684"/>
      <c r="L27" s="3685"/>
      <c r="M27" s="3686"/>
      <c r="N27" s="3687"/>
      <c r="O27" s="2649"/>
      <c r="P27" s="2338"/>
      <c r="Q27" s="2338"/>
      <c r="R27" s="2338"/>
      <c r="S27" s="2338"/>
      <c r="T27" s="2338"/>
      <c r="U27" s="2338"/>
      <c r="V27" s="2338"/>
      <c r="W27" s="2338"/>
      <c r="X27" s="2338"/>
      <c r="Y27" s="2338"/>
      <c r="Z27" s="2338"/>
      <c r="AA27" s="65"/>
      <c r="AB27" s="65"/>
      <c r="AC27" s="65"/>
      <c r="AD27" s="65"/>
      <c r="AE27" s="65"/>
      <c r="AF27" s="65"/>
      <c r="AG27" s="65"/>
      <c r="AH27" s="65"/>
      <c r="AI27" s="65"/>
      <c r="AJ27" s="65"/>
      <c r="AK27" s="65"/>
      <c r="AL27" s="65"/>
      <c r="AM27" s="65"/>
      <c r="AN27" s="65"/>
      <c r="AO27" s="65"/>
      <c r="AP27" s="65"/>
      <c r="AQ27" s="65"/>
      <c r="AR27" s="65"/>
      <c r="AS27" s="65"/>
      <c r="AT27" s="65"/>
      <c r="AU27" s="65"/>
      <c r="AV27" s="65"/>
      <c r="AW27" s="65"/>
      <c r="AX27" s="65"/>
      <c r="AY27" s="65"/>
      <c r="AZ27" s="65"/>
      <c r="BA27" s="65"/>
      <c r="BB27" s="65"/>
      <c r="BC27" s="65"/>
      <c r="BD27" s="65"/>
      <c r="BE27" s="65"/>
      <c r="BF27" s="65"/>
      <c r="BG27" s="65"/>
      <c r="BH27" s="65"/>
      <c r="BI27" s="65"/>
      <c r="BJ27" s="65"/>
      <c r="BK27" s="65"/>
      <c r="BL27" s="65"/>
      <c r="BM27" s="65"/>
      <c r="BN27" s="65"/>
      <c r="BO27" s="65"/>
      <c r="BP27" s="65"/>
      <c r="BQ27" s="65"/>
      <c r="BR27" s="65"/>
      <c r="BS27" s="65"/>
      <c r="BT27" s="65"/>
      <c r="BU27" s="65"/>
      <c r="BV27" s="65"/>
      <c r="BW27" s="65"/>
      <c r="BX27" s="65"/>
      <c r="BY27" s="65"/>
      <c r="BZ27" s="65"/>
      <c r="CA27" s="65"/>
      <c r="CB27" s="65"/>
      <c r="CC27" s="65"/>
      <c r="CD27" s="65"/>
      <c r="CE27" s="65"/>
      <c r="CF27" s="65"/>
      <c r="CG27" s="65"/>
      <c r="CH27" s="65"/>
      <c r="CI27" s="65"/>
      <c r="CJ27" s="65"/>
      <c r="CK27" s="65"/>
      <c r="CL27" s="65"/>
      <c r="CM27" s="65"/>
      <c r="CN27" s="65"/>
      <c r="CO27" s="65"/>
      <c r="CP27" s="65"/>
      <c r="CQ27" s="65"/>
      <c r="CR27" s="65"/>
      <c r="CS27" s="65"/>
      <c r="CT27" s="65"/>
      <c r="CU27" s="65"/>
      <c r="CV27" s="65"/>
      <c r="CW27" s="65"/>
      <c r="CX27" s="65"/>
      <c r="CY27" s="65"/>
      <c r="CZ27" s="65"/>
      <c r="DA27" s="65"/>
      <c r="DB27" s="65"/>
      <c r="DC27" s="65"/>
      <c r="DD27" s="65"/>
      <c r="DE27" s="65"/>
      <c r="DF27" s="65"/>
      <c r="DG27" s="65"/>
      <c r="DH27" s="65"/>
      <c r="DI27" s="65"/>
      <c r="DJ27" s="65"/>
      <c r="DK27" s="65"/>
      <c r="DL27" s="65"/>
      <c r="DM27" s="65"/>
      <c r="DN27" s="65"/>
      <c r="DO27" s="65"/>
      <c r="DP27" s="65"/>
      <c r="DQ27" s="65"/>
      <c r="DR27" s="65"/>
      <c r="DS27" s="65"/>
      <c r="DT27" s="65"/>
      <c r="DU27" s="65"/>
      <c r="DV27" s="65"/>
      <c r="DW27" s="65"/>
      <c r="DX27" s="65"/>
      <c r="DY27" s="65"/>
      <c r="DZ27" s="65"/>
      <c r="EA27" s="65"/>
      <c r="EB27" s="65"/>
      <c r="EC27" s="65"/>
      <c r="ED27" s="65"/>
      <c r="EE27" s="65"/>
      <c r="EF27" s="65"/>
      <c r="EG27" s="65"/>
      <c r="EH27" s="65"/>
      <c r="EI27" s="65"/>
      <c r="EJ27" s="65"/>
      <c r="EK27" s="65"/>
      <c r="EL27" s="65"/>
      <c r="EM27" s="65"/>
      <c r="EN27" s="65"/>
      <c r="EO27" s="65"/>
      <c r="EP27" s="65"/>
      <c r="EQ27" s="65"/>
      <c r="ER27" s="65"/>
      <c r="ES27" s="65"/>
      <c r="ET27" s="65"/>
      <c r="EU27" s="65"/>
      <c r="EV27" s="65"/>
      <c r="EW27" s="65"/>
      <c r="EX27" s="65"/>
      <c r="EY27" s="65"/>
      <c r="EZ27" s="65"/>
      <c r="FA27" s="65"/>
      <c r="FB27" s="65"/>
      <c r="FC27" s="65"/>
      <c r="FD27" s="65"/>
      <c r="FE27" s="65"/>
      <c r="FF27" s="65"/>
      <c r="FG27" s="65"/>
      <c r="FH27" s="65"/>
      <c r="FI27" s="65"/>
      <c r="FJ27" s="65"/>
      <c r="FK27" s="65"/>
      <c r="FL27" s="65"/>
      <c r="FM27" s="65"/>
      <c r="FN27" s="65"/>
      <c r="FO27" s="65"/>
      <c r="FP27" s="65"/>
      <c r="FQ27" s="65"/>
      <c r="FR27" s="65"/>
      <c r="FS27" s="65"/>
      <c r="FT27" s="65"/>
      <c r="FU27" s="65"/>
      <c r="FV27" s="65"/>
      <c r="FW27" s="65"/>
      <c r="FX27" s="65"/>
      <c r="FY27" s="65"/>
      <c r="FZ27" s="65"/>
      <c r="GA27" s="65"/>
      <c r="GB27" s="65"/>
      <c r="GC27" s="65"/>
      <c r="GD27" s="65"/>
      <c r="GE27" s="65"/>
      <c r="GF27" s="65"/>
      <c r="GG27" s="65"/>
      <c r="GH27" s="65"/>
      <c r="GI27" s="65"/>
      <c r="GJ27" s="65"/>
      <c r="GK27" s="65"/>
      <c r="GL27" s="65"/>
      <c r="GM27" s="65"/>
      <c r="GN27" s="65"/>
      <c r="GO27" s="65"/>
      <c r="GP27" s="65"/>
      <c r="GQ27" s="65"/>
      <c r="GR27" s="65"/>
      <c r="GS27" s="65"/>
      <c r="GT27" s="65"/>
      <c r="GU27" s="65"/>
      <c r="GV27" s="65"/>
      <c r="GW27" s="65"/>
      <c r="GX27" s="65"/>
      <c r="GY27" s="65"/>
      <c r="GZ27" s="65"/>
      <c r="HA27" s="65"/>
      <c r="HB27" s="65"/>
      <c r="HC27" s="65"/>
      <c r="HD27" s="65"/>
      <c r="HE27" s="65"/>
      <c r="HF27" s="65"/>
      <c r="HG27" s="65"/>
      <c r="HH27" s="65"/>
      <c r="HI27" s="65"/>
      <c r="HJ27" s="65"/>
      <c r="HK27" s="65"/>
      <c r="HL27" s="65"/>
      <c r="HM27" s="65"/>
      <c r="HN27" s="65"/>
      <c r="HO27" s="65"/>
      <c r="HP27" s="65"/>
      <c r="HQ27" s="65"/>
      <c r="HR27" s="65"/>
      <c r="HS27" s="65"/>
      <c r="HT27" s="65"/>
      <c r="HU27" s="65"/>
      <c r="HV27" s="65"/>
      <c r="HW27" s="65"/>
      <c r="HX27" s="65"/>
      <c r="HY27" s="65"/>
      <c r="HZ27" s="65"/>
      <c r="IA27" s="65"/>
      <c r="IB27" s="65"/>
      <c r="IC27" s="65"/>
      <c r="ID27" s="65"/>
      <c r="IE27" s="65"/>
      <c r="IF27" s="65"/>
      <c r="IG27" s="65"/>
      <c r="IH27" s="65"/>
      <c r="II27" s="65"/>
      <c r="IJ27" s="65"/>
      <c r="IK27" s="65"/>
      <c r="IL27" s="65"/>
      <c r="IM27" s="65"/>
      <c r="IN27" s="65"/>
      <c r="IO27" s="65"/>
      <c r="IP27" s="65"/>
      <c r="IQ27" s="65"/>
      <c r="IR27" s="65"/>
      <c r="IS27" s="65"/>
      <c r="IT27" s="65"/>
      <c r="IU27" s="65"/>
      <c r="IV27" s="65"/>
      <c r="IW27" s="65"/>
      <c r="IX27" s="65"/>
      <c r="IY27" s="65"/>
      <c r="IZ27" s="65"/>
      <c r="JA27" s="65"/>
      <c r="JB27" s="65"/>
      <c r="JC27" s="65"/>
      <c r="JD27" s="65"/>
      <c r="JE27" s="65"/>
      <c r="JF27" s="65"/>
      <c r="JG27" s="65"/>
      <c r="JH27" s="65"/>
      <c r="JI27" s="65"/>
      <c r="JJ27" s="65"/>
      <c r="JK27" s="65"/>
      <c r="JL27" s="65"/>
      <c r="JM27" s="65"/>
      <c r="JN27" s="65"/>
      <c r="JO27" s="65"/>
      <c r="JP27" s="65"/>
      <c r="JQ27" s="65"/>
      <c r="JR27" s="65"/>
      <c r="JS27" s="65"/>
      <c r="JT27" s="65"/>
      <c r="JU27" s="65"/>
      <c r="JV27" s="65"/>
      <c r="JW27" s="65"/>
      <c r="JX27" s="65"/>
      <c r="JY27" s="65"/>
      <c r="JZ27" s="65"/>
      <c r="KA27" s="65"/>
      <c r="KB27" s="65"/>
      <c r="KC27" s="65"/>
      <c r="KD27" s="65"/>
      <c r="KE27" s="65"/>
      <c r="KF27" s="65"/>
      <c r="KG27" s="65"/>
      <c r="KH27" s="65"/>
      <c r="KI27" s="65"/>
      <c r="KJ27" s="65"/>
      <c r="KK27" s="65"/>
      <c r="KL27" s="65"/>
      <c r="KM27" s="65"/>
      <c r="KN27" s="65"/>
      <c r="KO27" s="65"/>
      <c r="KP27" s="65"/>
      <c r="KQ27" s="65"/>
      <c r="KR27" s="65"/>
      <c r="KS27" s="65"/>
      <c r="KT27" s="65"/>
      <c r="KU27" s="65"/>
      <c r="KV27" s="65"/>
      <c r="KW27" s="65"/>
      <c r="KX27" s="65"/>
      <c r="KY27" s="65"/>
      <c r="KZ27" s="65"/>
      <c r="LA27" s="65"/>
      <c r="LB27" s="65"/>
      <c r="LC27" s="65"/>
      <c r="LD27" s="65"/>
      <c r="LE27" s="65"/>
      <c r="LF27" s="65"/>
      <c r="LG27" s="65"/>
      <c r="LH27" s="65"/>
      <c r="LI27" s="65"/>
      <c r="LJ27" s="65"/>
      <c r="LK27" s="65"/>
      <c r="LL27" s="65"/>
      <c r="LM27" s="65"/>
      <c r="LN27" s="65"/>
      <c r="LO27" s="65"/>
      <c r="LP27" s="65"/>
      <c r="LQ27" s="65"/>
      <c r="LR27" s="65"/>
      <c r="LS27" s="65"/>
      <c r="LT27" s="65"/>
      <c r="LU27" s="65"/>
      <c r="LV27" s="65"/>
      <c r="LW27" s="65"/>
      <c r="LX27" s="65"/>
      <c r="LY27" s="65"/>
      <c r="LZ27" s="65"/>
      <c r="MA27" s="65"/>
      <c r="MB27" s="65"/>
      <c r="MC27" s="65"/>
      <c r="MD27" s="65"/>
      <c r="ME27" s="65"/>
      <c r="MF27" s="65"/>
      <c r="MG27" s="65"/>
      <c r="MH27" s="65"/>
      <c r="MI27" s="65"/>
      <c r="MJ27" s="65"/>
      <c r="MK27" s="65"/>
      <c r="ML27" s="65"/>
      <c r="MM27" s="65"/>
      <c r="MN27" s="65"/>
      <c r="MO27" s="65"/>
      <c r="MP27" s="65"/>
      <c r="MQ27" s="65"/>
      <c r="MR27" s="65"/>
      <c r="MS27" s="65"/>
      <c r="MT27" s="65"/>
      <c r="MU27" s="65"/>
      <c r="MV27" s="65"/>
      <c r="MW27" s="65"/>
      <c r="MX27" s="65"/>
      <c r="MY27" s="65"/>
      <c r="MZ27" s="65"/>
      <c r="NA27" s="65"/>
      <c r="NB27" s="65"/>
      <c r="NC27" s="65"/>
      <c r="ND27" s="65"/>
      <c r="NE27" s="65"/>
      <c r="NF27" s="65"/>
      <c r="NG27" s="65"/>
      <c r="NH27" s="65"/>
      <c r="NI27" s="65"/>
      <c r="NJ27" s="65"/>
      <c r="NK27" s="65"/>
      <c r="NL27" s="65"/>
      <c r="NM27" s="65"/>
      <c r="NN27" s="65"/>
      <c r="NO27" s="65"/>
      <c r="NP27" s="65"/>
      <c r="NQ27" s="65"/>
      <c r="NR27" s="65"/>
      <c r="NS27" s="65"/>
      <c r="NT27" s="65"/>
      <c r="NU27" s="65"/>
      <c r="NV27" s="65"/>
      <c r="NW27" s="65"/>
      <c r="NX27" s="65"/>
      <c r="NY27" s="65"/>
      <c r="NZ27" s="65"/>
      <c r="OA27" s="65"/>
      <c r="OB27" s="65"/>
      <c r="OC27" s="65"/>
      <c r="OD27" s="65"/>
      <c r="OE27" s="65"/>
      <c r="OF27" s="65"/>
      <c r="OG27" s="65"/>
      <c r="OH27" s="65"/>
      <c r="OI27" s="65"/>
      <c r="OJ27" s="66"/>
    </row>
    <row r="28" spans="1:400" s="35" customFormat="1" ht="24" customHeight="1" x14ac:dyDescent="0.3">
      <c r="A28" s="2672" t="s">
        <v>19</v>
      </c>
      <c r="B28" s="2673">
        <v>9</v>
      </c>
      <c r="C28" s="2674">
        <v>12936982</v>
      </c>
      <c r="D28" s="2674">
        <v>116024506</v>
      </c>
      <c r="E28" s="2674">
        <v>-103087524</v>
      </c>
      <c r="F28" s="2673" t="s">
        <v>1240</v>
      </c>
      <c r="G28" s="3667" t="s">
        <v>1241</v>
      </c>
      <c r="H28" s="3668"/>
      <c r="I28" s="3668"/>
      <c r="J28" s="3668"/>
      <c r="K28" s="3668"/>
      <c r="L28" s="3669"/>
      <c r="M28" s="3670"/>
      <c r="N28" s="3671"/>
      <c r="O28" s="2649"/>
      <c r="P28" s="2338"/>
      <c r="Q28" s="2338"/>
      <c r="R28" s="2338"/>
      <c r="S28" s="2338"/>
      <c r="T28" s="2338"/>
      <c r="U28" s="2338"/>
      <c r="V28" s="2338"/>
      <c r="W28" s="2338"/>
      <c r="X28" s="2338"/>
      <c r="Y28" s="2338"/>
      <c r="Z28" s="2338"/>
      <c r="AA28" s="67"/>
      <c r="AB28" s="67"/>
      <c r="AC28" s="67"/>
      <c r="AD28" s="67"/>
      <c r="AE28" s="67"/>
      <c r="AF28" s="67"/>
      <c r="AG28" s="67"/>
      <c r="AH28" s="67"/>
      <c r="AI28" s="67"/>
      <c r="AJ28" s="67"/>
      <c r="AK28" s="67"/>
      <c r="AL28" s="67"/>
      <c r="AM28" s="67"/>
      <c r="AN28" s="67"/>
      <c r="AO28" s="67"/>
      <c r="AP28" s="67"/>
      <c r="AQ28" s="67"/>
      <c r="AR28" s="67"/>
      <c r="AS28" s="67"/>
      <c r="AT28" s="67"/>
      <c r="AU28" s="67"/>
      <c r="AV28" s="67"/>
      <c r="AW28" s="67"/>
      <c r="AX28" s="67"/>
      <c r="AY28" s="67"/>
      <c r="AZ28" s="67"/>
      <c r="BA28" s="67"/>
      <c r="BB28" s="67"/>
      <c r="BC28" s="67"/>
      <c r="BD28" s="67"/>
      <c r="BE28" s="67"/>
      <c r="BF28" s="67"/>
      <c r="BG28" s="67"/>
      <c r="BH28" s="67"/>
      <c r="BI28" s="67"/>
      <c r="BJ28" s="67"/>
      <c r="BK28" s="67"/>
      <c r="BL28" s="67"/>
      <c r="BM28" s="67"/>
      <c r="BN28" s="67"/>
      <c r="BO28" s="67"/>
      <c r="BP28" s="67"/>
      <c r="BQ28" s="67"/>
      <c r="BR28" s="67"/>
      <c r="BS28" s="67"/>
      <c r="BT28" s="67"/>
      <c r="BU28" s="67"/>
      <c r="BV28" s="67"/>
      <c r="BW28" s="67"/>
      <c r="BX28" s="67"/>
      <c r="BY28" s="67"/>
      <c r="BZ28" s="67"/>
      <c r="CA28" s="67"/>
      <c r="CB28" s="67"/>
      <c r="CC28" s="67"/>
      <c r="CD28" s="67"/>
      <c r="CE28" s="67"/>
      <c r="CF28" s="67"/>
      <c r="CG28" s="67"/>
      <c r="CH28" s="67"/>
      <c r="CI28" s="67"/>
      <c r="CJ28" s="67"/>
      <c r="CK28" s="67"/>
      <c r="CL28" s="67"/>
      <c r="CM28" s="67"/>
      <c r="CN28" s="67"/>
      <c r="CO28" s="67"/>
      <c r="CP28" s="67"/>
      <c r="CQ28" s="67"/>
      <c r="CR28" s="67"/>
      <c r="CS28" s="67"/>
      <c r="CT28" s="67"/>
      <c r="CU28" s="67"/>
      <c r="CV28" s="67"/>
      <c r="CW28" s="67"/>
      <c r="CX28" s="67"/>
      <c r="CY28" s="67"/>
      <c r="CZ28" s="67"/>
      <c r="DA28" s="67"/>
      <c r="DB28" s="67"/>
      <c r="DC28" s="67"/>
      <c r="DD28" s="67"/>
      <c r="DE28" s="67"/>
      <c r="DF28" s="67"/>
      <c r="DG28" s="67"/>
      <c r="DH28" s="67"/>
      <c r="DI28" s="67"/>
      <c r="DJ28" s="67"/>
      <c r="DK28" s="67"/>
      <c r="DL28" s="67"/>
      <c r="DM28" s="67"/>
      <c r="DN28" s="67"/>
      <c r="DO28" s="67"/>
      <c r="DP28" s="67"/>
      <c r="DQ28" s="67"/>
      <c r="DR28" s="67"/>
      <c r="DS28" s="67"/>
      <c r="DT28" s="67"/>
      <c r="DU28" s="67"/>
      <c r="DV28" s="67"/>
      <c r="DW28" s="67"/>
      <c r="DX28" s="67"/>
      <c r="DY28" s="67"/>
      <c r="DZ28" s="67"/>
      <c r="EA28" s="67"/>
      <c r="EB28" s="67"/>
      <c r="EC28" s="67"/>
      <c r="ED28" s="67"/>
      <c r="EE28" s="67"/>
      <c r="EF28" s="67"/>
      <c r="EG28" s="67"/>
      <c r="EH28" s="67"/>
      <c r="EI28" s="67"/>
      <c r="EJ28" s="67"/>
      <c r="EK28" s="67"/>
      <c r="EL28" s="67"/>
      <c r="EM28" s="67"/>
      <c r="EN28" s="67"/>
      <c r="EO28" s="67"/>
      <c r="EP28" s="67"/>
      <c r="EQ28" s="67"/>
      <c r="ER28" s="67"/>
      <c r="ES28" s="67"/>
      <c r="ET28" s="67"/>
      <c r="EU28" s="67"/>
      <c r="EV28" s="67"/>
      <c r="EW28" s="67"/>
      <c r="EX28" s="67"/>
      <c r="EY28" s="67"/>
      <c r="EZ28" s="67"/>
      <c r="FA28" s="67"/>
      <c r="FB28" s="67"/>
      <c r="FC28" s="67"/>
      <c r="FD28" s="67"/>
      <c r="FE28" s="67"/>
      <c r="FF28" s="67"/>
      <c r="FG28" s="67"/>
      <c r="FH28" s="67"/>
      <c r="FI28" s="67"/>
      <c r="FJ28" s="67"/>
      <c r="FK28" s="67"/>
      <c r="FL28" s="67"/>
      <c r="FM28" s="67"/>
      <c r="FN28" s="67"/>
      <c r="FO28" s="67"/>
      <c r="FP28" s="67"/>
      <c r="FQ28" s="67"/>
      <c r="FR28" s="67"/>
      <c r="FS28" s="67"/>
      <c r="FT28" s="67"/>
      <c r="FU28" s="67"/>
      <c r="FV28" s="67"/>
      <c r="FW28" s="67"/>
      <c r="FX28" s="67"/>
      <c r="FY28" s="67"/>
      <c r="FZ28" s="67"/>
      <c r="GA28" s="67"/>
      <c r="GB28" s="67"/>
      <c r="GC28" s="67"/>
      <c r="GD28" s="67"/>
      <c r="GE28" s="67"/>
      <c r="GF28" s="67"/>
      <c r="GG28" s="67"/>
      <c r="GH28" s="67"/>
      <c r="GI28" s="67"/>
      <c r="GJ28" s="67"/>
      <c r="GK28" s="67"/>
      <c r="GL28" s="67"/>
      <c r="GM28" s="67"/>
      <c r="GN28" s="67"/>
      <c r="GO28" s="67"/>
      <c r="GP28" s="67"/>
      <c r="GQ28" s="67"/>
      <c r="GR28" s="67"/>
      <c r="GS28" s="67"/>
      <c r="GT28" s="67"/>
      <c r="GU28" s="67"/>
      <c r="GV28" s="67"/>
      <c r="GW28" s="67"/>
      <c r="GX28" s="67"/>
      <c r="GY28" s="67"/>
      <c r="GZ28" s="67"/>
      <c r="HA28" s="67"/>
      <c r="HB28" s="67"/>
      <c r="HC28" s="67"/>
      <c r="HD28" s="67"/>
      <c r="HE28" s="67"/>
      <c r="HF28" s="67"/>
      <c r="HG28" s="67"/>
      <c r="HH28" s="67"/>
      <c r="HI28" s="67"/>
      <c r="HJ28" s="67"/>
      <c r="HK28" s="67"/>
      <c r="HL28" s="67"/>
      <c r="HM28" s="67"/>
      <c r="HN28" s="67"/>
      <c r="HO28" s="67"/>
      <c r="HP28" s="67"/>
      <c r="HQ28" s="67"/>
      <c r="HR28" s="67"/>
      <c r="HS28" s="67"/>
      <c r="HT28" s="67"/>
      <c r="HU28" s="67"/>
      <c r="HV28" s="67"/>
      <c r="HW28" s="67"/>
      <c r="HX28" s="67"/>
      <c r="HY28" s="67"/>
      <c r="HZ28" s="67"/>
      <c r="IA28" s="67"/>
      <c r="IB28" s="67"/>
      <c r="IC28" s="67"/>
      <c r="ID28" s="67"/>
      <c r="IE28" s="67"/>
      <c r="IF28" s="67"/>
      <c r="IG28" s="67"/>
      <c r="IH28" s="67"/>
      <c r="II28" s="67"/>
      <c r="IJ28" s="67"/>
      <c r="IK28" s="67"/>
      <c r="IL28" s="67"/>
      <c r="IM28" s="67"/>
      <c r="IN28" s="67"/>
      <c r="IO28" s="67"/>
      <c r="IP28" s="67"/>
      <c r="IQ28" s="67"/>
      <c r="IR28" s="67"/>
      <c r="IS28" s="67"/>
      <c r="IT28" s="67"/>
      <c r="IU28" s="67"/>
      <c r="IV28" s="67"/>
      <c r="IW28" s="67"/>
      <c r="IX28" s="67"/>
      <c r="IY28" s="67"/>
      <c r="IZ28" s="67"/>
      <c r="JA28" s="67"/>
      <c r="JB28" s="67"/>
      <c r="JC28" s="67"/>
      <c r="JD28" s="67"/>
      <c r="JE28" s="67"/>
      <c r="JF28" s="67"/>
      <c r="JG28" s="67"/>
      <c r="JH28" s="67"/>
      <c r="JI28" s="67"/>
      <c r="JJ28" s="67"/>
      <c r="JK28" s="67"/>
      <c r="JL28" s="67"/>
      <c r="JM28" s="67"/>
      <c r="JN28" s="67"/>
      <c r="JO28" s="67"/>
      <c r="JP28" s="67"/>
      <c r="JQ28" s="67"/>
      <c r="JR28" s="67"/>
      <c r="JS28" s="67"/>
      <c r="JT28" s="67"/>
      <c r="JU28" s="67"/>
      <c r="JV28" s="67"/>
      <c r="JW28" s="67"/>
      <c r="JX28" s="67"/>
      <c r="JY28" s="67"/>
      <c r="JZ28" s="67"/>
      <c r="KA28" s="67"/>
      <c r="KB28" s="67"/>
      <c r="KC28" s="67"/>
      <c r="KD28" s="67"/>
      <c r="KE28" s="67"/>
      <c r="KF28" s="67"/>
      <c r="KG28" s="67"/>
      <c r="KH28" s="67"/>
      <c r="KI28" s="67"/>
      <c r="KJ28" s="67"/>
      <c r="KK28" s="67"/>
      <c r="KL28" s="67"/>
      <c r="KM28" s="67"/>
      <c r="KN28" s="67"/>
      <c r="KO28" s="67"/>
      <c r="KP28" s="67"/>
      <c r="KQ28" s="67"/>
      <c r="KR28" s="67"/>
      <c r="KS28" s="67"/>
      <c r="KT28" s="67"/>
      <c r="KU28" s="67"/>
      <c r="KV28" s="67"/>
      <c r="KW28" s="67"/>
      <c r="KX28" s="67"/>
      <c r="KY28" s="67"/>
      <c r="KZ28" s="67"/>
      <c r="LA28" s="67"/>
      <c r="LB28" s="67"/>
      <c r="LC28" s="67"/>
      <c r="LD28" s="67"/>
      <c r="LE28" s="67"/>
      <c r="LF28" s="67"/>
      <c r="LG28" s="67"/>
      <c r="LH28" s="67"/>
      <c r="LI28" s="67"/>
      <c r="LJ28" s="67"/>
      <c r="LK28" s="67"/>
      <c r="LL28" s="67"/>
      <c r="LM28" s="67"/>
      <c r="LN28" s="67"/>
      <c r="LO28" s="67"/>
      <c r="LP28" s="67"/>
      <c r="LQ28" s="67"/>
      <c r="LR28" s="67"/>
      <c r="LS28" s="67"/>
      <c r="LT28" s="67"/>
      <c r="LU28" s="67"/>
      <c r="LV28" s="67"/>
      <c r="LW28" s="67"/>
      <c r="LX28" s="67"/>
      <c r="LY28" s="67"/>
      <c r="LZ28" s="67"/>
      <c r="MA28" s="67"/>
      <c r="MB28" s="67"/>
      <c r="MC28" s="67"/>
      <c r="MD28" s="67"/>
      <c r="ME28" s="67"/>
      <c r="MF28" s="67"/>
      <c r="MG28" s="67"/>
      <c r="MH28" s="67"/>
      <c r="MI28" s="67"/>
      <c r="MJ28" s="67"/>
      <c r="MK28" s="67"/>
      <c r="ML28" s="67"/>
      <c r="MM28" s="67"/>
      <c r="MN28" s="67"/>
      <c r="MO28" s="67"/>
      <c r="MP28" s="67"/>
      <c r="MQ28" s="67"/>
      <c r="MR28" s="67"/>
      <c r="MS28" s="67"/>
      <c r="MT28" s="67"/>
      <c r="MU28" s="67"/>
      <c r="MV28" s="67"/>
      <c r="MW28" s="67"/>
      <c r="MX28" s="67"/>
      <c r="MY28" s="67"/>
      <c r="MZ28" s="67"/>
      <c r="NA28" s="67"/>
      <c r="NB28" s="67"/>
      <c r="NC28" s="67"/>
      <c r="ND28" s="67"/>
      <c r="NE28" s="67"/>
      <c r="NF28" s="67"/>
      <c r="NG28" s="67"/>
      <c r="NH28" s="67"/>
      <c r="NI28" s="67"/>
      <c r="NJ28" s="67"/>
      <c r="NK28" s="67"/>
      <c r="NL28" s="67"/>
      <c r="NM28" s="67"/>
      <c r="NN28" s="67"/>
      <c r="NO28" s="67"/>
      <c r="NP28" s="67"/>
      <c r="NQ28" s="67"/>
      <c r="NR28" s="67"/>
      <c r="NS28" s="67"/>
      <c r="NT28" s="67"/>
      <c r="NU28" s="67"/>
      <c r="NV28" s="67"/>
      <c r="NW28" s="67"/>
      <c r="NX28" s="67"/>
      <c r="NY28" s="67"/>
      <c r="NZ28" s="67"/>
      <c r="OA28" s="67"/>
      <c r="OB28" s="67"/>
      <c r="OC28" s="67"/>
      <c r="OD28" s="67"/>
      <c r="OE28" s="67"/>
      <c r="OF28" s="67"/>
      <c r="OG28" s="67"/>
      <c r="OH28" s="67"/>
      <c r="OI28" s="67"/>
      <c r="OJ28" s="68"/>
    </row>
    <row r="29" spans="1:400" s="35" customFormat="1" ht="24" customHeight="1" x14ac:dyDescent="0.3">
      <c r="A29" s="1796" t="s">
        <v>22</v>
      </c>
      <c r="B29" s="2553">
        <v>7</v>
      </c>
      <c r="C29" s="2618">
        <v>153612</v>
      </c>
      <c r="D29" s="2618">
        <v>1811700</v>
      </c>
      <c r="E29" s="2618">
        <v>-1658088</v>
      </c>
      <c r="F29" s="2553" t="s">
        <v>1242</v>
      </c>
      <c r="G29" s="3652" t="s">
        <v>1243</v>
      </c>
      <c r="H29" s="3653"/>
      <c r="I29" s="3653"/>
      <c r="J29" s="3653"/>
      <c r="K29" s="3653"/>
      <c r="L29" s="3654"/>
      <c r="M29" s="3655"/>
      <c r="N29" s="3656"/>
      <c r="O29" s="2649"/>
      <c r="P29" s="2338"/>
      <c r="Q29" s="2338"/>
      <c r="R29" s="2338"/>
      <c r="S29" s="2338"/>
      <c r="T29" s="2338"/>
      <c r="U29" s="2338"/>
      <c r="V29" s="2338"/>
      <c r="W29" s="2338"/>
      <c r="X29" s="2338"/>
      <c r="Y29" s="2338"/>
      <c r="Z29" s="2338"/>
      <c r="AA29" s="65"/>
      <c r="AB29" s="65"/>
      <c r="AC29" s="65"/>
      <c r="AD29" s="65"/>
      <c r="AE29" s="65"/>
      <c r="AF29" s="65"/>
      <c r="AG29" s="65"/>
      <c r="AH29" s="65"/>
      <c r="AI29" s="65"/>
      <c r="AJ29" s="65"/>
      <c r="AK29" s="65"/>
      <c r="AL29" s="65"/>
      <c r="AM29" s="65"/>
      <c r="AN29" s="65"/>
      <c r="AO29" s="65"/>
      <c r="AP29" s="65"/>
      <c r="AQ29" s="65"/>
      <c r="AR29" s="65"/>
      <c r="AS29" s="65"/>
      <c r="AT29" s="65"/>
      <c r="AU29" s="65"/>
      <c r="AV29" s="65"/>
      <c r="AW29" s="65"/>
      <c r="AX29" s="65"/>
      <c r="AY29" s="65"/>
      <c r="AZ29" s="65"/>
      <c r="BA29" s="65"/>
      <c r="BB29" s="65"/>
      <c r="BC29" s="65"/>
      <c r="BD29" s="65"/>
      <c r="BE29" s="65"/>
      <c r="BF29" s="65"/>
      <c r="BG29" s="65"/>
      <c r="BH29" s="65"/>
      <c r="BI29" s="65"/>
      <c r="BJ29" s="65"/>
      <c r="BK29" s="65"/>
      <c r="BL29" s="65"/>
      <c r="BM29" s="65"/>
      <c r="BN29" s="65"/>
      <c r="BO29" s="65"/>
      <c r="BP29" s="65"/>
      <c r="BQ29" s="65"/>
      <c r="BR29" s="65"/>
      <c r="BS29" s="65"/>
      <c r="BT29" s="65"/>
      <c r="BU29" s="65"/>
      <c r="BV29" s="65"/>
      <c r="BW29" s="65"/>
      <c r="BX29" s="65"/>
      <c r="BY29" s="65"/>
      <c r="BZ29" s="65"/>
      <c r="CA29" s="65"/>
      <c r="CB29" s="65"/>
      <c r="CC29" s="65"/>
      <c r="CD29" s="65"/>
      <c r="CE29" s="65"/>
      <c r="CF29" s="65"/>
      <c r="CG29" s="65"/>
      <c r="CH29" s="65"/>
      <c r="CI29" s="65"/>
      <c r="CJ29" s="65"/>
      <c r="CK29" s="65"/>
      <c r="CL29" s="65"/>
      <c r="CM29" s="65"/>
      <c r="CN29" s="65"/>
      <c r="CO29" s="65"/>
      <c r="CP29" s="65"/>
      <c r="CQ29" s="65"/>
      <c r="CR29" s="65"/>
      <c r="CS29" s="65"/>
      <c r="CT29" s="65"/>
      <c r="CU29" s="65"/>
      <c r="CV29" s="65"/>
      <c r="CW29" s="65"/>
      <c r="CX29" s="65"/>
      <c r="CY29" s="65"/>
      <c r="CZ29" s="65"/>
      <c r="DA29" s="65"/>
      <c r="DB29" s="65"/>
      <c r="DC29" s="65"/>
      <c r="DD29" s="65"/>
      <c r="DE29" s="65"/>
      <c r="DF29" s="65"/>
      <c r="DG29" s="65"/>
      <c r="DH29" s="65"/>
      <c r="DI29" s="65"/>
      <c r="DJ29" s="65"/>
      <c r="DK29" s="65"/>
      <c r="DL29" s="65"/>
      <c r="DM29" s="65"/>
      <c r="DN29" s="65"/>
      <c r="DO29" s="65"/>
      <c r="DP29" s="65"/>
      <c r="DQ29" s="65"/>
      <c r="DR29" s="65"/>
      <c r="DS29" s="65"/>
      <c r="DT29" s="65"/>
      <c r="DU29" s="65"/>
      <c r="DV29" s="65"/>
      <c r="DW29" s="65"/>
      <c r="DX29" s="65"/>
      <c r="DY29" s="65"/>
      <c r="DZ29" s="65"/>
      <c r="EA29" s="65"/>
      <c r="EB29" s="65"/>
      <c r="EC29" s="65"/>
      <c r="ED29" s="65"/>
      <c r="EE29" s="65"/>
      <c r="EF29" s="65"/>
      <c r="EG29" s="65"/>
      <c r="EH29" s="65"/>
      <c r="EI29" s="65"/>
      <c r="EJ29" s="65"/>
      <c r="EK29" s="65"/>
      <c r="EL29" s="65"/>
      <c r="EM29" s="65"/>
      <c r="EN29" s="65"/>
      <c r="EO29" s="65"/>
      <c r="EP29" s="65"/>
      <c r="EQ29" s="65"/>
      <c r="ER29" s="65"/>
      <c r="ES29" s="65"/>
      <c r="ET29" s="65"/>
      <c r="EU29" s="65"/>
      <c r="EV29" s="65"/>
      <c r="EW29" s="65"/>
      <c r="EX29" s="65"/>
      <c r="EY29" s="65"/>
      <c r="EZ29" s="65"/>
      <c r="FA29" s="65"/>
      <c r="FB29" s="65"/>
      <c r="FC29" s="65"/>
      <c r="FD29" s="65"/>
      <c r="FE29" s="65"/>
      <c r="FF29" s="65"/>
      <c r="FG29" s="65"/>
      <c r="FH29" s="65"/>
      <c r="FI29" s="65"/>
      <c r="FJ29" s="65"/>
      <c r="FK29" s="65"/>
      <c r="FL29" s="65"/>
      <c r="FM29" s="65"/>
      <c r="FN29" s="65"/>
      <c r="FO29" s="65"/>
      <c r="FP29" s="65"/>
      <c r="FQ29" s="65"/>
      <c r="FR29" s="65"/>
      <c r="FS29" s="65"/>
      <c r="FT29" s="65"/>
      <c r="FU29" s="65"/>
      <c r="FV29" s="65"/>
      <c r="FW29" s="65"/>
      <c r="FX29" s="65"/>
      <c r="FY29" s="65"/>
      <c r="FZ29" s="65"/>
      <c r="GA29" s="65"/>
      <c r="GB29" s="65"/>
      <c r="GC29" s="65"/>
      <c r="GD29" s="65"/>
      <c r="GE29" s="65"/>
      <c r="GF29" s="65"/>
      <c r="GG29" s="65"/>
      <c r="GH29" s="65"/>
      <c r="GI29" s="65"/>
      <c r="GJ29" s="65"/>
      <c r="GK29" s="65"/>
      <c r="GL29" s="65"/>
      <c r="GM29" s="65"/>
      <c r="GN29" s="65"/>
      <c r="GO29" s="65"/>
      <c r="GP29" s="65"/>
      <c r="GQ29" s="65"/>
      <c r="GR29" s="65"/>
      <c r="GS29" s="65"/>
      <c r="GT29" s="65"/>
      <c r="GU29" s="65"/>
      <c r="GV29" s="65"/>
      <c r="GW29" s="65"/>
      <c r="GX29" s="65"/>
      <c r="GY29" s="65"/>
      <c r="GZ29" s="65"/>
      <c r="HA29" s="65"/>
      <c r="HB29" s="65"/>
      <c r="HC29" s="65"/>
      <c r="HD29" s="65"/>
      <c r="HE29" s="65"/>
      <c r="HF29" s="65"/>
      <c r="HG29" s="65"/>
      <c r="HH29" s="65"/>
      <c r="HI29" s="65"/>
      <c r="HJ29" s="65"/>
      <c r="HK29" s="65"/>
      <c r="HL29" s="65"/>
      <c r="HM29" s="65"/>
      <c r="HN29" s="65"/>
      <c r="HO29" s="65"/>
      <c r="HP29" s="65"/>
      <c r="HQ29" s="65"/>
      <c r="HR29" s="65"/>
      <c r="HS29" s="65"/>
      <c r="HT29" s="65"/>
      <c r="HU29" s="65"/>
      <c r="HV29" s="65"/>
      <c r="HW29" s="65"/>
      <c r="HX29" s="65"/>
      <c r="HY29" s="65"/>
      <c r="HZ29" s="65"/>
      <c r="IA29" s="65"/>
      <c r="IB29" s="65"/>
      <c r="IC29" s="65"/>
      <c r="ID29" s="65"/>
      <c r="IE29" s="65"/>
      <c r="IF29" s="65"/>
      <c r="IG29" s="65"/>
      <c r="IH29" s="65"/>
      <c r="II29" s="65"/>
      <c r="IJ29" s="65"/>
      <c r="IK29" s="65"/>
      <c r="IL29" s="65"/>
      <c r="IM29" s="65"/>
      <c r="IN29" s="65"/>
      <c r="IO29" s="65"/>
      <c r="IP29" s="65"/>
      <c r="IQ29" s="65"/>
      <c r="IR29" s="65"/>
      <c r="IS29" s="65"/>
      <c r="IT29" s="65"/>
      <c r="IU29" s="65"/>
      <c r="IV29" s="65"/>
      <c r="IW29" s="65"/>
      <c r="IX29" s="65"/>
      <c r="IY29" s="65"/>
      <c r="IZ29" s="65"/>
      <c r="JA29" s="65"/>
      <c r="JB29" s="65"/>
      <c r="JC29" s="65"/>
      <c r="JD29" s="65"/>
      <c r="JE29" s="65"/>
      <c r="JF29" s="65"/>
      <c r="JG29" s="65"/>
      <c r="JH29" s="65"/>
      <c r="JI29" s="65"/>
      <c r="JJ29" s="65"/>
      <c r="JK29" s="65"/>
      <c r="JL29" s="65"/>
      <c r="JM29" s="65"/>
      <c r="JN29" s="65"/>
      <c r="JO29" s="65"/>
      <c r="JP29" s="65"/>
      <c r="JQ29" s="65"/>
      <c r="JR29" s="65"/>
      <c r="JS29" s="65"/>
      <c r="JT29" s="65"/>
      <c r="JU29" s="65"/>
      <c r="JV29" s="65"/>
      <c r="JW29" s="65"/>
      <c r="JX29" s="65"/>
      <c r="JY29" s="65"/>
      <c r="JZ29" s="65"/>
      <c r="KA29" s="65"/>
      <c r="KB29" s="65"/>
      <c r="KC29" s="65"/>
      <c r="KD29" s="65"/>
      <c r="KE29" s="65"/>
      <c r="KF29" s="65"/>
      <c r="KG29" s="65"/>
      <c r="KH29" s="65"/>
      <c r="KI29" s="65"/>
      <c r="KJ29" s="65"/>
      <c r="KK29" s="65"/>
      <c r="KL29" s="65"/>
      <c r="KM29" s="65"/>
      <c r="KN29" s="65"/>
      <c r="KO29" s="65"/>
      <c r="KP29" s="65"/>
      <c r="KQ29" s="65"/>
      <c r="KR29" s="65"/>
      <c r="KS29" s="65"/>
      <c r="KT29" s="65"/>
      <c r="KU29" s="65"/>
      <c r="KV29" s="65"/>
      <c r="KW29" s="65"/>
      <c r="KX29" s="65"/>
      <c r="KY29" s="65"/>
      <c r="KZ29" s="65"/>
      <c r="LA29" s="65"/>
      <c r="LB29" s="65"/>
      <c r="LC29" s="65"/>
      <c r="LD29" s="65"/>
      <c r="LE29" s="65"/>
      <c r="LF29" s="65"/>
      <c r="LG29" s="65"/>
      <c r="LH29" s="65"/>
      <c r="LI29" s="65"/>
      <c r="LJ29" s="65"/>
      <c r="LK29" s="65"/>
      <c r="LL29" s="65"/>
      <c r="LM29" s="65"/>
      <c r="LN29" s="65"/>
      <c r="LO29" s="65"/>
      <c r="LP29" s="65"/>
      <c r="LQ29" s="65"/>
      <c r="LR29" s="65"/>
      <c r="LS29" s="65"/>
      <c r="LT29" s="65"/>
      <c r="LU29" s="65"/>
      <c r="LV29" s="65"/>
      <c r="LW29" s="65"/>
      <c r="LX29" s="65"/>
      <c r="LY29" s="65"/>
      <c r="LZ29" s="65"/>
      <c r="MA29" s="65"/>
      <c r="MB29" s="65"/>
      <c r="MC29" s="65"/>
      <c r="MD29" s="65"/>
      <c r="ME29" s="65"/>
      <c r="MF29" s="65"/>
      <c r="MG29" s="65"/>
      <c r="MH29" s="65"/>
      <c r="MI29" s="65"/>
      <c r="MJ29" s="65"/>
      <c r="MK29" s="65"/>
      <c r="ML29" s="65"/>
      <c r="MM29" s="65"/>
      <c r="MN29" s="65"/>
      <c r="MO29" s="65"/>
      <c r="MP29" s="65"/>
      <c r="MQ29" s="65"/>
      <c r="MR29" s="65"/>
      <c r="MS29" s="65"/>
      <c r="MT29" s="65"/>
      <c r="MU29" s="65"/>
      <c r="MV29" s="65"/>
      <c r="MW29" s="65"/>
      <c r="MX29" s="65"/>
      <c r="MY29" s="65"/>
      <c r="MZ29" s="65"/>
      <c r="NA29" s="65"/>
      <c r="NB29" s="65"/>
      <c r="NC29" s="65"/>
      <c r="ND29" s="65"/>
      <c r="NE29" s="65"/>
      <c r="NF29" s="65"/>
      <c r="NG29" s="65"/>
      <c r="NH29" s="65"/>
      <c r="NI29" s="65"/>
      <c r="NJ29" s="65"/>
      <c r="NK29" s="65"/>
      <c r="NL29" s="65"/>
      <c r="NM29" s="65"/>
      <c r="NN29" s="65"/>
      <c r="NO29" s="65"/>
      <c r="NP29" s="65"/>
      <c r="NQ29" s="65"/>
      <c r="NR29" s="65"/>
      <c r="NS29" s="65"/>
      <c r="NT29" s="65"/>
      <c r="NU29" s="65"/>
      <c r="NV29" s="65"/>
      <c r="NW29" s="65"/>
      <c r="NX29" s="65"/>
      <c r="NY29" s="65"/>
      <c r="NZ29" s="65"/>
      <c r="OA29" s="65"/>
      <c r="OB29" s="65"/>
      <c r="OC29" s="65"/>
      <c r="OD29" s="65"/>
      <c r="OE29" s="65"/>
      <c r="OF29" s="65"/>
      <c r="OG29" s="65"/>
      <c r="OH29" s="65"/>
      <c r="OI29" s="65"/>
      <c r="OJ29" s="66"/>
    </row>
    <row r="30" spans="1:400" ht="24" customHeight="1" x14ac:dyDescent="0.3">
      <c r="A30" s="1795" t="s">
        <v>25</v>
      </c>
      <c r="B30" s="2619">
        <v>2</v>
      </c>
      <c r="C30" s="2620">
        <v>496732</v>
      </c>
      <c r="D30" s="2620">
        <v>748783</v>
      </c>
      <c r="E30" s="2620">
        <v>-252051</v>
      </c>
      <c r="F30" s="2619" t="s">
        <v>1244</v>
      </c>
      <c r="G30" s="3688" t="s">
        <v>1245</v>
      </c>
      <c r="H30" s="3689"/>
      <c r="I30" s="3689"/>
      <c r="J30" s="3689"/>
      <c r="K30" s="3689"/>
      <c r="L30" s="3690"/>
      <c r="M30" s="3691"/>
      <c r="N30" s="3692"/>
      <c r="O30" s="2649"/>
      <c r="P30" s="2338"/>
      <c r="Q30" s="2338"/>
      <c r="R30" s="2338"/>
      <c r="S30" s="2338"/>
      <c r="T30" s="2338"/>
      <c r="U30" s="2338"/>
      <c r="V30" s="2338"/>
      <c r="W30" s="2338"/>
      <c r="X30" s="2338"/>
      <c r="Y30" s="2338"/>
      <c r="Z30" s="2338"/>
      <c r="AA30" s="63"/>
      <c r="AB30" s="63"/>
      <c r="AC30" s="63"/>
      <c r="AD30" s="63"/>
      <c r="AE30" s="63"/>
      <c r="AF30" s="63"/>
      <c r="AG30" s="63"/>
      <c r="AH30" s="63"/>
      <c r="AI30" s="63"/>
      <c r="AJ30" s="63"/>
      <c r="AK30" s="63"/>
      <c r="AL30" s="63"/>
      <c r="AM30" s="63"/>
      <c r="AN30" s="63"/>
      <c r="AO30" s="63"/>
      <c r="AP30" s="63"/>
      <c r="AQ30" s="63"/>
      <c r="AR30" s="63"/>
      <c r="AS30" s="63"/>
      <c r="AT30" s="63"/>
      <c r="AU30" s="63"/>
      <c r="AV30" s="63"/>
      <c r="AW30" s="63"/>
      <c r="AX30" s="63"/>
      <c r="AY30" s="63"/>
      <c r="AZ30" s="63"/>
      <c r="BA30" s="63"/>
      <c r="BB30" s="63"/>
      <c r="BC30" s="63"/>
      <c r="BD30" s="63"/>
      <c r="BE30" s="63"/>
      <c r="BF30" s="63"/>
      <c r="BG30" s="63"/>
      <c r="BH30" s="63"/>
      <c r="BI30" s="63"/>
      <c r="BJ30" s="63"/>
      <c r="BK30" s="63"/>
      <c r="BL30" s="63"/>
      <c r="BM30" s="63"/>
      <c r="BN30" s="63"/>
      <c r="BO30" s="63"/>
      <c r="BP30" s="63"/>
      <c r="BQ30" s="63"/>
      <c r="BR30" s="63"/>
      <c r="BS30" s="63"/>
      <c r="BT30" s="63"/>
      <c r="BU30" s="63"/>
      <c r="BV30" s="63"/>
      <c r="BW30" s="63"/>
      <c r="BX30" s="63"/>
      <c r="BY30" s="63"/>
      <c r="BZ30" s="63"/>
      <c r="CA30" s="63"/>
      <c r="CB30" s="63"/>
      <c r="CC30" s="63"/>
      <c r="CD30" s="63"/>
      <c r="CE30" s="63"/>
      <c r="CF30" s="63"/>
      <c r="CG30" s="63"/>
      <c r="CH30" s="63"/>
      <c r="CI30" s="63"/>
      <c r="CJ30" s="63"/>
      <c r="CK30" s="63"/>
      <c r="CL30" s="63"/>
      <c r="CM30" s="63"/>
      <c r="CN30" s="63"/>
      <c r="CO30" s="63"/>
      <c r="CP30" s="63"/>
      <c r="CQ30" s="63"/>
      <c r="CR30" s="63"/>
      <c r="CS30" s="63"/>
      <c r="CT30" s="63"/>
      <c r="CU30" s="63"/>
      <c r="CV30" s="63"/>
      <c r="CW30" s="63"/>
      <c r="CX30" s="63"/>
      <c r="CY30" s="63"/>
      <c r="CZ30" s="63"/>
      <c r="DA30" s="63"/>
      <c r="DB30" s="63"/>
      <c r="DC30" s="63"/>
      <c r="DD30" s="63"/>
      <c r="DE30" s="63"/>
      <c r="DF30" s="63"/>
      <c r="DG30" s="63"/>
      <c r="DH30" s="63"/>
      <c r="DI30" s="63"/>
      <c r="DJ30" s="63"/>
      <c r="DK30" s="63"/>
      <c r="DL30" s="63"/>
      <c r="DM30" s="63"/>
      <c r="DN30" s="63"/>
      <c r="DO30" s="63"/>
      <c r="DP30" s="63"/>
      <c r="DQ30" s="63"/>
      <c r="DR30" s="63"/>
      <c r="DS30" s="63"/>
      <c r="DT30" s="63"/>
      <c r="DU30" s="63"/>
      <c r="DV30" s="63"/>
      <c r="DW30" s="63"/>
      <c r="DX30" s="63"/>
      <c r="DY30" s="63"/>
      <c r="DZ30" s="63"/>
      <c r="EA30" s="63"/>
      <c r="EB30" s="63"/>
      <c r="EC30" s="63"/>
      <c r="ED30" s="63"/>
      <c r="EE30" s="63"/>
      <c r="EF30" s="63"/>
      <c r="EG30" s="63"/>
      <c r="EH30" s="63"/>
      <c r="EI30" s="63"/>
      <c r="EJ30" s="63"/>
      <c r="EK30" s="63"/>
      <c r="EL30" s="63"/>
      <c r="EM30" s="63"/>
      <c r="EN30" s="63"/>
      <c r="EO30" s="63"/>
      <c r="EP30" s="63"/>
      <c r="EQ30" s="63"/>
      <c r="ER30" s="63"/>
      <c r="ES30" s="63"/>
      <c r="ET30" s="63"/>
      <c r="EU30" s="63"/>
      <c r="EV30" s="63"/>
      <c r="EW30" s="63"/>
      <c r="EX30" s="63"/>
      <c r="EY30" s="63"/>
      <c r="EZ30" s="63"/>
      <c r="FA30" s="63"/>
      <c r="FB30" s="63"/>
      <c r="FC30" s="63"/>
      <c r="FD30" s="63"/>
      <c r="FE30" s="63"/>
      <c r="FF30" s="63"/>
      <c r="FG30" s="63"/>
      <c r="FH30" s="63"/>
      <c r="FI30" s="63"/>
      <c r="FJ30" s="63"/>
      <c r="FK30" s="63"/>
      <c r="FL30" s="63"/>
      <c r="FM30" s="63"/>
      <c r="FN30" s="63"/>
      <c r="FO30" s="63"/>
      <c r="FP30" s="63"/>
      <c r="FQ30" s="63"/>
      <c r="FR30" s="63"/>
      <c r="FS30" s="63"/>
      <c r="FT30" s="63"/>
      <c r="FU30" s="63"/>
      <c r="FV30" s="63"/>
      <c r="FW30" s="63"/>
      <c r="FX30" s="63"/>
      <c r="FY30" s="63"/>
      <c r="FZ30" s="63"/>
      <c r="GA30" s="63"/>
      <c r="GB30" s="63"/>
      <c r="GC30" s="63"/>
      <c r="GD30" s="63"/>
      <c r="GE30" s="63"/>
      <c r="GF30" s="63"/>
      <c r="GG30" s="63"/>
      <c r="GH30" s="63"/>
      <c r="GI30" s="63"/>
      <c r="GJ30" s="63"/>
      <c r="GK30" s="63"/>
      <c r="GL30" s="63"/>
      <c r="GM30" s="63"/>
      <c r="GN30" s="63"/>
      <c r="GO30" s="63"/>
      <c r="GP30" s="63"/>
      <c r="GQ30" s="63"/>
      <c r="GR30" s="63"/>
      <c r="GS30" s="63"/>
      <c r="GT30" s="63"/>
      <c r="GU30" s="63"/>
      <c r="GV30" s="63"/>
      <c r="GW30" s="63"/>
      <c r="GX30" s="63"/>
      <c r="GY30" s="63"/>
      <c r="GZ30" s="63"/>
      <c r="HA30" s="63"/>
      <c r="HB30" s="63"/>
      <c r="HC30" s="63"/>
      <c r="HD30" s="63"/>
      <c r="HE30" s="63"/>
      <c r="HF30" s="63"/>
      <c r="HG30" s="63"/>
      <c r="HH30" s="63"/>
      <c r="HI30" s="63"/>
      <c r="HJ30" s="63"/>
      <c r="HK30" s="63"/>
      <c r="HL30" s="63"/>
      <c r="HM30" s="63"/>
      <c r="HN30" s="63"/>
      <c r="HO30" s="63"/>
      <c r="HP30" s="63"/>
      <c r="HQ30" s="63"/>
      <c r="HR30" s="63"/>
      <c r="HS30" s="63"/>
      <c r="HT30" s="63"/>
      <c r="HU30" s="63"/>
      <c r="HV30" s="63"/>
      <c r="HW30" s="63"/>
      <c r="HX30" s="63"/>
      <c r="HY30" s="63"/>
      <c r="HZ30" s="63"/>
      <c r="IA30" s="63"/>
      <c r="IB30" s="63"/>
      <c r="IC30" s="63"/>
      <c r="ID30" s="63"/>
      <c r="IE30" s="63"/>
      <c r="IF30" s="63"/>
      <c r="IG30" s="63"/>
      <c r="IH30" s="63"/>
      <c r="II30" s="63"/>
      <c r="IJ30" s="63"/>
      <c r="IK30" s="63"/>
      <c r="IL30" s="63"/>
      <c r="IM30" s="63"/>
      <c r="IN30" s="63"/>
      <c r="IO30" s="63"/>
      <c r="IP30" s="63"/>
      <c r="IQ30" s="63"/>
      <c r="IR30" s="63"/>
      <c r="IS30" s="63"/>
      <c r="IT30" s="63"/>
      <c r="IU30" s="63"/>
      <c r="IV30" s="63"/>
      <c r="IW30" s="63"/>
      <c r="IX30" s="63"/>
      <c r="IY30" s="63"/>
      <c r="IZ30" s="63"/>
      <c r="JA30" s="63"/>
      <c r="JB30" s="63"/>
      <c r="JC30" s="63"/>
      <c r="JD30" s="63"/>
      <c r="JE30" s="63"/>
      <c r="JF30" s="63"/>
      <c r="JG30" s="63"/>
      <c r="JH30" s="63"/>
      <c r="JI30" s="63"/>
      <c r="JJ30" s="63"/>
      <c r="JK30" s="63"/>
      <c r="JL30" s="63"/>
      <c r="JM30" s="63"/>
      <c r="JN30" s="63"/>
      <c r="JO30" s="63"/>
      <c r="JP30" s="63"/>
      <c r="JQ30" s="63"/>
      <c r="JR30" s="63"/>
      <c r="JS30" s="63"/>
      <c r="JT30" s="63"/>
      <c r="JU30" s="63"/>
      <c r="JV30" s="63"/>
      <c r="JW30" s="63"/>
      <c r="JX30" s="63"/>
      <c r="JY30" s="63"/>
      <c r="JZ30" s="63"/>
      <c r="KA30" s="63"/>
      <c r="KB30" s="63"/>
      <c r="KC30" s="63"/>
      <c r="KD30" s="63"/>
      <c r="KE30" s="63"/>
      <c r="KF30" s="63"/>
      <c r="KG30" s="63"/>
      <c r="KH30" s="63"/>
      <c r="KI30" s="63"/>
      <c r="KJ30" s="63"/>
      <c r="KK30" s="63"/>
      <c r="KL30" s="63"/>
      <c r="KM30" s="63"/>
      <c r="KN30" s="63"/>
      <c r="KO30" s="63"/>
      <c r="KP30" s="63"/>
      <c r="KQ30" s="63"/>
      <c r="KR30" s="63"/>
      <c r="KS30" s="63"/>
      <c r="KT30" s="63"/>
      <c r="KU30" s="63"/>
      <c r="KV30" s="63"/>
      <c r="KW30" s="63"/>
      <c r="KX30" s="63"/>
      <c r="KY30" s="63"/>
      <c r="KZ30" s="63"/>
      <c r="LA30" s="63"/>
      <c r="LB30" s="63"/>
      <c r="LC30" s="63"/>
      <c r="LD30" s="63"/>
      <c r="LE30" s="63"/>
      <c r="LF30" s="63"/>
      <c r="LG30" s="63"/>
      <c r="LH30" s="63"/>
      <c r="LI30" s="63"/>
      <c r="LJ30" s="63"/>
      <c r="LK30" s="63"/>
      <c r="LL30" s="63"/>
      <c r="LM30" s="63"/>
      <c r="LN30" s="63"/>
      <c r="LO30" s="63"/>
      <c r="LP30" s="63"/>
      <c r="LQ30" s="63"/>
      <c r="LR30" s="63"/>
      <c r="LS30" s="63"/>
      <c r="LT30" s="63"/>
      <c r="LU30" s="63"/>
      <c r="LV30" s="63"/>
      <c r="LW30" s="63"/>
      <c r="LX30" s="63"/>
      <c r="LY30" s="63"/>
      <c r="LZ30" s="63"/>
      <c r="MA30" s="63"/>
      <c r="MB30" s="63"/>
      <c r="MC30" s="63"/>
      <c r="MD30" s="63"/>
      <c r="ME30" s="63"/>
      <c r="MF30" s="63"/>
      <c r="MG30" s="63"/>
      <c r="MH30" s="63"/>
      <c r="MI30" s="63"/>
      <c r="MJ30" s="63"/>
      <c r="MK30" s="63"/>
      <c r="ML30" s="63"/>
      <c r="MM30" s="63"/>
      <c r="MN30" s="63"/>
      <c r="MO30" s="63"/>
      <c r="MP30" s="63"/>
      <c r="MQ30" s="63"/>
      <c r="MR30" s="63"/>
      <c r="MS30" s="63"/>
      <c r="MT30" s="63"/>
      <c r="MU30" s="63"/>
      <c r="MV30" s="63"/>
      <c r="MW30" s="63"/>
      <c r="MX30" s="63"/>
      <c r="MY30" s="63"/>
      <c r="MZ30" s="63"/>
      <c r="NA30" s="63"/>
      <c r="NB30" s="63"/>
      <c r="NC30" s="63"/>
      <c r="ND30" s="63"/>
      <c r="NE30" s="63"/>
      <c r="NF30" s="63"/>
      <c r="NG30" s="63"/>
      <c r="NH30" s="63"/>
      <c r="NI30" s="63"/>
      <c r="NJ30" s="63"/>
      <c r="NK30" s="63"/>
      <c r="NL30" s="63"/>
      <c r="NM30" s="63"/>
      <c r="NN30" s="63"/>
      <c r="NO30" s="63"/>
      <c r="NP30" s="63"/>
      <c r="NQ30" s="63"/>
      <c r="NR30" s="63"/>
      <c r="NS30" s="63"/>
      <c r="NT30" s="63"/>
      <c r="NU30" s="63"/>
      <c r="NV30" s="63"/>
      <c r="NW30" s="63"/>
      <c r="NX30" s="63"/>
      <c r="NY30" s="63"/>
      <c r="NZ30" s="63"/>
      <c r="OA30" s="63"/>
      <c r="OB30" s="63"/>
      <c r="OC30" s="63"/>
      <c r="OD30" s="63"/>
      <c r="OE30" s="63"/>
      <c r="OF30" s="63"/>
      <c r="OG30" s="63"/>
      <c r="OH30" s="63"/>
      <c r="OI30" s="63"/>
      <c r="OJ30" s="64"/>
    </row>
    <row r="31" spans="1:400" ht="24" customHeight="1" x14ac:dyDescent="0.3">
      <c r="A31" s="1796" t="s">
        <v>31</v>
      </c>
      <c r="B31" s="2553">
        <v>2</v>
      </c>
      <c r="C31" s="2618">
        <v>805384</v>
      </c>
      <c r="D31" s="2618">
        <v>0</v>
      </c>
      <c r="E31" s="2618">
        <v>805384</v>
      </c>
      <c r="F31" s="2553" t="s">
        <v>1246</v>
      </c>
      <c r="G31" s="3652" t="s">
        <v>1247</v>
      </c>
      <c r="H31" s="3653"/>
      <c r="I31" s="3653"/>
      <c r="J31" s="3653"/>
      <c r="K31" s="3653"/>
      <c r="L31" s="3654"/>
      <c r="M31" s="3655"/>
      <c r="N31" s="3656"/>
      <c r="O31" s="2649"/>
      <c r="P31" s="2338"/>
      <c r="Q31" s="2338"/>
      <c r="R31" s="2338"/>
      <c r="S31" s="2338"/>
      <c r="T31" s="2338"/>
      <c r="U31" s="2338"/>
      <c r="V31" s="2338"/>
      <c r="W31" s="2338"/>
      <c r="X31" s="2338"/>
      <c r="Y31" s="2338"/>
      <c r="Z31" s="2338"/>
      <c r="AA31" s="69"/>
      <c r="AB31" s="69"/>
      <c r="AC31" s="69"/>
      <c r="AD31" s="69"/>
      <c r="AE31" s="69"/>
      <c r="AF31" s="69"/>
      <c r="AG31" s="69"/>
      <c r="AH31" s="69"/>
      <c r="AI31" s="69"/>
      <c r="AJ31" s="69"/>
      <c r="AK31" s="69"/>
      <c r="AL31" s="69"/>
      <c r="AM31" s="69"/>
      <c r="AN31" s="69"/>
      <c r="AO31" s="69"/>
      <c r="AP31" s="69"/>
      <c r="AQ31" s="69"/>
      <c r="AR31" s="69"/>
      <c r="AS31" s="69"/>
      <c r="AT31" s="69"/>
      <c r="AU31" s="69"/>
      <c r="AV31" s="69"/>
      <c r="AW31" s="69"/>
      <c r="AX31" s="69"/>
      <c r="AY31" s="69"/>
      <c r="AZ31" s="69"/>
      <c r="BA31" s="69"/>
      <c r="BB31" s="69"/>
      <c r="BC31" s="69"/>
      <c r="BD31" s="69"/>
      <c r="BE31" s="69"/>
      <c r="BF31" s="69"/>
      <c r="BG31" s="69"/>
      <c r="BH31" s="69"/>
      <c r="BI31" s="69"/>
      <c r="BJ31" s="69"/>
      <c r="BK31" s="69"/>
      <c r="BL31" s="69"/>
      <c r="BM31" s="69"/>
      <c r="BN31" s="69"/>
      <c r="BO31" s="69"/>
      <c r="BP31" s="69"/>
      <c r="BQ31" s="69"/>
      <c r="BR31" s="69"/>
      <c r="BS31" s="69"/>
      <c r="BT31" s="69"/>
      <c r="BU31" s="69"/>
      <c r="BV31" s="69"/>
      <c r="BW31" s="69"/>
      <c r="BX31" s="69"/>
      <c r="BY31" s="69"/>
      <c r="BZ31" s="69"/>
      <c r="CA31" s="69"/>
      <c r="CB31" s="69"/>
      <c r="CC31" s="69"/>
      <c r="CD31" s="69"/>
      <c r="CE31" s="69"/>
      <c r="CF31" s="69"/>
      <c r="CG31" s="69"/>
      <c r="CH31" s="69"/>
      <c r="CI31" s="69"/>
      <c r="CJ31" s="69"/>
      <c r="CK31" s="69"/>
      <c r="CL31" s="69"/>
      <c r="CM31" s="69"/>
      <c r="CN31" s="69"/>
      <c r="CO31" s="69"/>
      <c r="CP31" s="69"/>
      <c r="CQ31" s="69"/>
      <c r="CR31" s="69"/>
      <c r="CS31" s="69"/>
      <c r="CT31" s="69"/>
      <c r="CU31" s="69"/>
      <c r="CV31" s="69"/>
      <c r="CW31" s="69"/>
      <c r="CX31" s="69"/>
      <c r="CY31" s="69"/>
      <c r="CZ31" s="69"/>
      <c r="DA31" s="69"/>
      <c r="DB31" s="69"/>
      <c r="DC31" s="69"/>
      <c r="DD31" s="69"/>
      <c r="DE31" s="69"/>
      <c r="DF31" s="69"/>
      <c r="DG31" s="69"/>
      <c r="DH31" s="69"/>
      <c r="DI31" s="69"/>
      <c r="DJ31" s="69"/>
      <c r="DK31" s="69"/>
      <c r="DL31" s="69"/>
      <c r="DM31" s="69"/>
      <c r="DN31" s="69"/>
      <c r="DO31" s="69"/>
      <c r="DP31" s="69"/>
      <c r="DQ31" s="69"/>
      <c r="DR31" s="69"/>
      <c r="DS31" s="69"/>
      <c r="DT31" s="69"/>
      <c r="DU31" s="69"/>
      <c r="DV31" s="69"/>
      <c r="DW31" s="69"/>
      <c r="DX31" s="69"/>
      <c r="DY31" s="69"/>
      <c r="DZ31" s="69"/>
      <c r="EA31" s="69"/>
      <c r="EB31" s="69"/>
      <c r="EC31" s="69"/>
      <c r="ED31" s="69"/>
      <c r="EE31" s="69"/>
      <c r="EF31" s="69"/>
      <c r="EG31" s="69"/>
      <c r="EH31" s="69"/>
      <c r="EI31" s="69"/>
      <c r="EJ31" s="69"/>
      <c r="EK31" s="69"/>
      <c r="EL31" s="69"/>
      <c r="EM31" s="69"/>
      <c r="EN31" s="69"/>
      <c r="EO31" s="69"/>
      <c r="EP31" s="69"/>
      <c r="EQ31" s="69"/>
      <c r="ER31" s="69"/>
      <c r="ES31" s="69"/>
      <c r="ET31" s="69"/>
      <c r="EU31" s="69"/>
      <c r="EV31" s="69"/>
      <c r="EW31" s="69"/>
      <c r="EX31" s="69"/>
      <c r="EY31" s="69"/>
      <c r="EZ31" s="69"/>
      <c r="FA31" s="69"/>
      <c r="FB31" s="69"/>
      <c r="FC31" s="69"/>
      <c r="FD31" s="69"/>
      <c r="FE31" s="69"/>
      <c r="FF31" s="69"/>
      <c r="FG31" s="69"/>
      <c r="FH31" s="69"/>
      <c r="FI31" s="69"/>
      <c r="FJ31" s="69"/>
      <c r="FK31" s="69"/>
      <c r="FL31" s="69"/>
      <c r="FM31" s="69"/>
      <c r="FN31" s="69"/>
      <c r="FO31" s="69"/>
      <c r="FP31" s="69"/>
      <c r="FQ31" s="69"/>
      <c r="FR31" s="69"/>
      <c r="FS31" s="69"/>
      <c r="FT31" s="69"/>
      <c r="FU31" s="69"/>
      <c r="FV31" s="69"/>
      <c r="FW31" s="69"/>
      <c r="FX31" s="69"/>
      <c r="FY31" s="69"/>
      <c r="FZ31" s="69"/>
      <c r="GA31" s="69"/>
      <c r="GB31" s="69"/>
      <c r="GC31" s="69"/>
      <c r="GD31" s="69"/>
      <c r="GE31" s="69"/>
      <c r="GF31" s="69"/>
      <c r="GG31" s="69"/>
      <c r="GH31" s="69"/>
      <c r="GI31" s="69"/>
      <c r="GJ31" s="69"/>
      <c r="GK31" s="69"/>
      <c r="GL31" s="69"/>
      <c r="GM31" s="69"/>
      <c r="GN31" s="69"/>
      <c r="GO31" s="69"/>
      <c r="GP31" s="69"/>
      <c r="GQ31" s="69"/>
      <c r="GR31" s="69"/>
      <c r="GS31" s="69"/>
      <c r="GT31" s="69"/>
      <c r="GU31" s="69"/>
      <c r="GV31" s="69"/>
      <c r="GW31" s="69"/>
      <c r="GX31" s="69"/>
      <c r="GY31" s="69"/>
      <c r="GZ31" s="69"/>
      <c r="HA31" s="69"/>
      <c r="HB31" s="69"/>
      <c r="HC31" s="69"/>
      <c r="HD31" s="69"/>
      <c r="HE31" s="69"/>
      <c r="HF31" s="69"/>
      <c r="HG31" s="69"/>
      <c r="HH31" s="69"/>
      <c r="HI31" s="69"/>
      <c r="HJ31" s="69"/>
      <c r="HK31" s="69"/>
      <c r="HL31" s="69"/>
      <c r="HM31" s="69"/>
      <c r="HN31" s="69"/>
      <c r="HO31" s="69"/>
      <c r="HP31" s="69"/>
      <c r="HQ31" s="69"/>
      <c r="HR31" s="69"/>
      <c r="HS31" s="69"/>
      <c r="HT31" s="69"/>
      <c r="HU31" s="69"/>
      <c r="HV31" s="69"/>
      <c r="HW31" s="69"/>
      <c r="HX31" s="69"/>
      <c r="HY31" s="69"/>
      <c r="HZ31" s="69"/>
      <c r="IA31" s="69"/>
      <c r="IB31" s="69"/>
      <c r="IC31" s="69"/>
      <c r="ID31" s="69"/>
      <c r="IE31" s="69"/>
      <c r="IF31" s="69"/>
      <c r="IG31" s="69"/>
      <c r="IH31" s="69"/>
      <c r="II31" s="69"/>
      <c r="IJ31" s="69"/>
      <c r="IK31" s="69"/>
      <c r="IL31" s="69"/>
      <c r="IM31" s="69"/>
      <c r="IN31" s="69"/>
      <c r="IO31" s="69"/>
      <c r="IP31" s="69"/>
      <c r="IQ31" s="69"/>
      <c r="IR31" s="69"/>
      <c r="IS31" s="69"/>
      <c r="IT31" s="69"/>
      <c r="IU31" s="69"/>
      <c r="IV31" s="69"/>
      <c r="IW31" s="69"/>
      <c r="IX31" s="69"/>
      <c r="IY31" s="69"/>
      <c r="IZ31" s="69"/>
      <c r="JA31" s="69"/>
      <c r="JB31" s="69"/>
      <c r="JC31" s="69"/>
      <c r="JD31" s="69"/>
      <c r="JE31" s="69"/>
      <c r="JF31" s="69"/>
      <c r="JG31" s="69"/>
      <c r="JH31" s="69"/>
      <c r="JI31" s="69"/>
      <c r="JJ31" s="69"/>
      <c r="JK31" s="69"/>
      <c r="JL31" s="69"/>
      <c r="JM31" s="69"/>
      <c r="JN31" s="69"/>
      <c r="JO31" s="69"/>
      <c r="JP31" s="69"/>
      <c r="JQ31" s="69"/>
      <c r="JR31" s="69"/>
      <c r="JS31" s="69"/>
      <c r="JT31" s="69"/>
      <c r="JU31" s="69"/>
      <c r="JV31" s="69"/>
      <c r="JW31" s="69"/>
      <c r="JX31" s="69"/>
      <c r="JY31" s="69"/>
      <c r="JZ31" s="69"/>
      <c r="KA31" s="69"/>
      <c r="KB31" s="69"/>
      <c r="KC31" s="69"/>
      <c r="KD31" s="69"/>
      <c r="KE31" s="69"/>
      <c r="KF31" s="69"/>
      <c r="KG31" s="69"/>
      <c r="KH31" s="69"/>
      <c r="KI31" s="69"/>
      <c r="KJ31" s="69"/>
      <c r="KK31" s="69"/>
      <c r="KL31" s="69"/>
      <c r="KM31" s="69"/>
      <c r="KN31" s="69"/>
      <c r="KO31" s="69"/>
      <c r="KP31" s="69"/>
      <c r="KQ31" s="69"/>
      <c r="KR31" s="69"/>
      <c r="KS31" s="69"/>
      <c r="KT31" s="69"/>
      <c r="KU31" s="69"/>
      <c r="KV31" s="69"/>
      <c r="KW31" s="69"/>
      <c r="KX31" s="69"/>
      <c r="KY31" s="69"/>
      <c r="KZ31" s="69"/>
      <c r="LA31" s="69"/>
      <c r="LB31" s="69"/>
      <c r="LC31" s="69"/>
      <c r="LD31" s="69"/>
      <c r="LE31" s="69"/>
      <c r="LF31" s="69"/>
      <c r="LG31" s="69"/>
      <c r="LH31" s="69"/>
      <c r="LI31" s="69"/>
      <c r="LJ31" s="69"/>
      <c r="LK31" s="69"/>
      <c r="LL31" s="69"/>
      <c r="LM31" s="69"/>
      <c r="LN31" s="69"/>
      <c r="LO31" s="69"/>
      <c r="LP31" s="69"/>
      <c r="LQ31" s="69"/>
      <c r="LR31" s="69"/>
      <c r="LS31" s="69"/>
      <c r="LT31" s="69"/>
      <c r="LU31" s="69"/>
      <c r="LV31" s="69"/>
      <c r="LW31" s="69"/>
      <c r="LX31" s="69"/>
      <c r="LY31" s="69"/>
      <c r="LZ31" s="69"/>
      <c r="MA31" s="69"/>
      <c r="MB31" s="69"/>
      <c r="MC31" s="69"/>
      <c r="MD31" s="69"/>
      <c r="ME31" s="69"/>
      <c r="MF31" s="69"/>
      <c r="MG31" s="69"/>
      <c r="MH31" s="69"/>
      <c r="MI31" s="69"/>
      <c r="MJ31" s="69"/>
      <c r="MK31" s="69"/>
      <c r="ML31" s="69"/>
      <c r="MM31" s="69"/>
      <c r="MN31" s="69"/>
      <c r="MO31" s="69"/>
      <c r="MP31" s="69"/>
      <c r="MQ31" s="69"/>
      <c r="MR31" s="69"/>
      <c r="MS31" s="69"/>
      <c r="MT31" s="69"/>
      <c r="MU31" s="69"/>
      <c r="MV31" s="69"/>
      <c r="MW31" s="69"/>
      <c r="MX31" s="69"/>
      <c r="MY31" s="69"/>
      <c r="MZ31" s="69"/>
      <c r="NA31" s="69"/>
      <c r="NB31" s="69"/>
      <c r="NC31" s="69"/>
      <c r="ND31" s="69"/>
      <c r="NE31" s="69"/>
      <c r="NF31" s="69"/>
      <c r="NG31" s="69"/>
      <c r="NH31" s="69"/>
      <c r="NI31" s="69"/>
      <c r="NJ31" s="69"/>
      <c r="NK31" s="69"/>
      <c r="NL31" s="69"/>
      <c r="NM31" s="69"/>
      <c r="NN31" s="69"/>
      <c r="NO31" s="69"/>
      <c r="NP31" s="69"/>
      <c r="NQ31" s="69"/>
      <c r="NR31" s="69"/>
      <c r="NS31" s="69"/>
      <c r="NT31" s="69"/>
      <c r="NU31" s="69"/>
      <c r="NV31" s="69"/>
      <c r="NW31" s="69"/>
      <c r="NX31" s="69"/>
      <c r="NY31" s="69"/>
      <c r="NZ31" s="69"/>
      <c r="OA31" s="69"/>
      <c r="OB31" s="69"/>
      <c r="OC31" s="69"/>
      <c r="OD31" s="69"/>
      <c r="OE31" s="69"/>
      <c r="OF31" s="69"/>
      <c r="OG31" s="69"/>
      <c r="OH31" s="69"/>
      <c r="OI31" s="69"/>
      <c r="OJ31" s="70"/>
    </row>
    <row r="32" spans="1:400" ht="24" customHeight="1" x14ac:dyDescent="0.3">
      <c r="A32" s="1797" t="s">
        <v>27</v>
      </c>
      <c r="B32" s="2652">
        <v>1</v>
      </c>
      <c r="C32" s="2653">
        <v>35101</v>
      </c>
      <c r="D32" s="2653">
        <v>0</v>
      </c>
      <c r="E32" s="2653">
        <v>35101</v>
      </c>
      <c r="F32" s="2652" t="s">
        <v>103</v>
      </c>
      <c r="G32" s="3693" t="s">
        <v>1248</v>
      </c>
      <c r="H32" s="3694"/>
      <c r="I32" s="3694"/>
      <c r="J32" s="3694"/>
      <c r="K32" s="3694"/>
      <c r="L32" s="3695"/>
      <c r="M32" s="3696"/>
      <c r="N32" s="3697"/>
      <c r="O32" s="2649"/>
      <c r="P32" s="2338"/>
      <c r="Q32" s="2338"/>
      <c r="R32" s="2338"/>
      <c r="S32" s="2338"/>
      <c r="T32" s="2338"/>
      <c r="U32" s="2338"/>
      <c r="V32" s="2338"/>
      <c r="W32" s="2338"/>
      <c r="X32" s="2338"/>
      <c r="Y32" s="2338"/>
      <c r="Z32" s="2338"/>
      <c r="AA32" s="63"/>
      <c r="AB32" s="63"/>
      <c r="AC32" s="63"/>
      <c r="AD32" s="63"/>
      <c r="AE32" s="63"/>
      <c r="AF32" s="63"/>
      <c r="AG32" s="63"/>
      <c r="AH32" s="63"/>
      <c r="AI32" s="63"/>
      <c r="AJ32" s="63"/>
      <c r="AK32" s="63"/>
      <c r="AL32" s="63"/>
      <c r="AM32" s="63"/>
      <c r="AN32" s="63"/>
      <c r="AO32" s="63"/>
      <c r="AP32" s="63"/>
      <c r="AQ32" s="63"/>
      <c r="AR32" s="63"/>
      <c r="AS32" s="63"/>
      <c r="AT32" s="63"/>
      <c r="AU32" s="63"/>
      <c r="AV32" s="63"/>
      <c r="AW32" s="63"/>
      <c r="AX32" s="63"/>
      <c r="AY32" s="63"/>
      <c r="AZ32" s="63"/>
      <c r="BA32" s="63"/>
      <c r="BB32" s="63"/>
      <c r="BC32" s="63"/>
      <c r="BD32" s="63"/>
      <c r="BE32" s="63"/>
      <c r="BF32" s="63"/>
      <c r="BG32" s="63"/>
      <c r="BH32" s="63"/>
      <c r="BI32" s="63"/>
      <c r="BJ32" s="63"/>
      <c r="BK32" s="63"/>
      <c r="BL32" s="63"/>
      <c r="BM32" s="63"/>
      <c r="BN32" s="63"/>
      <c r="BO32" s="63"/>
      <c r="BP32" s="63"/>
      <c r="BQ32" s="63"/>
      <c r="BR32" s="63"/>
      <c r="BS32" s="63"/>
      <c r="BT32" s="63"/>
      <c r="BU32" s="63"/>
      <c r="BV32" s="63"/>
      <c r="BW32" s="63"/>
      <c r="BX32" s="63"/>
      <c r="BY32" s="63"/>
      <c r="BZ32" s="63"/>
      <c r="CA32" s="63"/>
      <c r="CB32" s="63"/>
      <c r="CC32" s="63"/>
      <c r="CD32" s="63"/>
      <c r="CE32" s="63"/>
      <c r="CF32" s="63"/>
      <c r="CG32" s="63"/>
      <c r="CH32" s="63"/>
      <c r="CI32" s="63"/>
      <c r="CJ32" s="63"/>
      <c r="CK32" s="63"/>
      <c r="CL32" s="63"/>
      <c r="CM32" s="63"/>
      <c r="CN32" s="63"/>
      <c r="CO32" s="63"/>
      <c r="CP32" s="63"/>
      <c r="CQ32" s="63"/>
      <c r="CR32" s="63"/>
      <c r="CS32" s="63"/>
      <c r="CT32" s="63"/>
      <c r="CU32" s="63"/>
      <c r="CV32" s="63"/>
      <c r="CW32" s="63"/>
      <c r="CX32" s="63"/>
      <c r="CY32" s="63"/>
      <c r="CZ32" s="63"/>
      <c r="DA32" s="63"/>
      <c r="DB32" s="63"/>
      <c r="DC32" s="63"/>
      <c r="DD32" s="63"/>
      <c r="DE32" s="63"/>
      <c r="DF32" s="63"/>
      <c r="DG32" s="63"/>
      <c r="DH32" s="63"/>
      <c r="DI32" s="63"/>
      <c r="DJ32" s="63"/>
      <c r="DK32" s="63"/>
      <c r="DL32" s="63"/>
      <c r="DM32" s="63"/>
      <c r="DN32" s="63"/>
      <c r="DO32" s="63"/>
      <c r="DP32" s="63"/>
      <c r="DQ32" s="63"/>
      <c r="DR32" s="63"/>
      <c r="DS32" s="63"/>
      <c r="DT32" s="63"/>
      <c r="DU32" s="63"/>
      <c r="DV32" s="63"/>
      <c r="DW32" s="63"/>
      <c r="DX32" s="63"/>
      <c r="DY32" s="63"/>
      <c r="DZ32" s="63"/>
      <c r="EA32" s="63"/>
      <c r="EB32" s="63"/>
      <c r="EC32" s="63"/>
      <c r="ED32" s="63"/>
      <c r="EE32" s="63"/>
      <c r="EF32" s="63"/>
      <c r="EG32" s="63"/>
      <c r="EH32" s="63"/>
      <c r="EI32" s="63"/>
      <c r="EJ32" s="63"/>
      <c r="EK32" s="63"/>
      <c r="EL32" s="63"/>
      <c r="EM32" s="63"/>
      <c r="EN32" s="63"/>
      <c r="EO32" s="63"/>
      <c r="EP32" s="63"/>
      <c r="EQ32" s="63"/>
      <c r="ER32" s="63"/>
      <c r="ES32" s="63"/>
      <c r="ET32" s="63"/>
      <c r="EU32" s="63"/>
      <c r="EV32" s="63"/>
      <c r="EW32" s="63"/>
      <c r="EX32" s="63"/>
      <c r="EY32" s="63"/>
      <c r="EZ32" s="63"/>
      <c r="FA32" s="63"/>
      <c r="FB32" s="63"/>
      <c r="FC32" s="63"/>
      <c r="FD32" s="63"/>
      <c r="FE32" s="63"/>
      <c r="FF32" s="63"/>
      <c r="FG32" s="63"/>
      <c r="FH32" s="63"/>
      <c r="FI32" s="63"/>
      <c r="FJ32" s="63"/>
      <c r="FK32" s="63"/>
      <c r="FL32" s="63"/>
      <c r="FM32" s="63"/>
      <c r="FN32" s="63"/>
      <c r="FO32" s="63"/>
      <c r="FP32" s="63"/>
      <c r="FQ32" s="63"/>
      <c r="FR32" s="63"/>
      <c r="FS32" s="63"/>
      <c r="FT32" s="63"/>
      <c r="FU32" s="63"/>
      <c r="FV32" s="63"/>
      <c r="FW32" s="63"/>
      <c r="FX32" s="63"/>
      <c r="FY32" s="63"/>
      <c r="FZ32" s="63"/>
      <c r="GA32" s="63"/>
      <c r="GB32" s="63"/>
      <c r="GC32" s="63"/>
      <c r="GD32" s="63"/>
      <c r="GE32" s="63"/>
      <c r="GF32" s="63"/>
      <c r="GG32" s="63"/>
      <c r="GH32" s="63"/>
      <c r="GI32" s="63"/>
      <c r="GJ32" s="63"/>
      <c r="GK32" s="63"/>
      <c r="GL32" s="63"/>
      <c r="GM32" s="63"/>
      <c r="GN32" s="63"/>
      <c r="GO32" s="63"/>
      <c r="GP32" s="63"/>
      <c r="GQ32" s="63"/>
      <c r="GR32" s="63"/>
      <c r="GS32" s="63"/>
      <c r="GT32" s="63"/>
      <c r="GU32" s="63"/>
      <c r="GV32" s="63"/>
      <c r="GW32" s="63"/>
      <c r="GX32" s="63"/>
      <c r="GY32" s="63"/>
      <c r="GZ32" s="63"/>
      <c r="HA32" s="63"/>
      <c r="HB32" s="63"/>
      <c r="HC32" s="63"/>
      <c r="HD32" s="63"/>
      <c r="HE32" s="63"/>
      <c r="HF32" s="63"/>
      <c r="HG32" s="63"/>
      <c r="HH32" s="63"/>
      <c r="HI32" s="63"/>
      <c r="HJ32" s="63"/>
      <c r="HK32" s="63"/>
      <c r="HL32" s="63"/>
      <c r="HM32" s="63"/>
      <c r="HN32" s="63"/>
      <c r="HO32" s="63"/>
      <c r="HP32" s="63"/>
      <c r="HQ32" s="63"/>
      <c r="HR32" s="63"/>
      <c r="HS32" s="63"/>
      <c r="HT32" s="63"/>
      <c r="HU32" s="63"/>
      <c r="HV32" s="63"/>
      <c r="HW32" s="63"/>
      <c r="HX32" s="63"/>
      <c r="HY32" s="63"/>
      <c r="HZ32" s="63"/>
      <c r="IA32" s="63"/>
      <c r="IB32" s="63"/>
      <c r="IC32" s="63"/>
      <c r="ID32" s="63"/>
      <c r="IE32" s="63"/>
      <c r="IF32" s="63"/>
      <c r="IG32" s="63"/>
      <c r="IH32" s="63"/>
      <c r="II32" s="63"/>
      <c r="IJ32" s="63"/>
      <c r="IK32" s="63"/>
      <c r="IL32" s="63"/>
      <c r="IM32" s="63"/>
      <c r="IN32" s="63"/>
      <c r="IO32" s="63"/>
      <c r="IP32" s="63"/>
      <c r="IQ32" s="63"/>
      <c r="IR32" s="63"/>
      <c r="IS32" s="63"/>
      <c r="IT32" s="63"/>
      <c r="IU32" s="63"/>
      <c r="IV32" s="63"/>
      <c r="IW32" s="63"/>
      <c r="IX32" s="63"/>
      <c r="IY32" s="63"/>
      <c r="IZ32" s="63"/>
      <c r="JA32" s="63"/>
      <c r="JB32" s="63"/>
      <c r="JC32" s="63"/>
      <c r="JD32" s="63"/>
      <c r="JE32" s="63"/>
      <c r="JF32" s="63"/>
      <c r="JG32" s="63"/>
      <c r="JH32" s="63"/>
      <c r="JI32" s="63"/>
      <c r="JJ32" s="63"/>
      <c r="JK32" s="63"/>
      <c r="JL32" s="63"/>
      <c r="JM32" s="63"/>
      <c r="JN32" s="63"/>
      <c r="JO32" s="63"/>
      <c r="JP32" s="63"/>
      <c r="JQ32" s="63"/>
      <c r="JR32" s="63"/>
      <c r="JS32" s="63"/>
      <c r="JT32" s="63"/>
      <c r="JU32" s="63"/>
      <c r="JV32" s="63"/>
      <c r="JW32" s="63"/>
      <c r="JX32" s="63"/>
      <c r="JY32" s="63"/>
      <c r="JZ32" s="63"/>
      <c r="KA32" s="63"/>
      <c r="KB32" s="63"/>
      <c r="KC32" s="63"/>
      <c r="KD32" s="63"/>
      <c r="KE32" s="63"/>
      <c r="KF32" s="63"/>
      <c r="KG32" s="63"/>
      <c r="KH32" s="63"/>
      <c r="KI32" s="63"/>
      <c r="KJ32" s="63"/>
      <c r="KK32" s="63"/>
      <c r="KL32" s="63"/>
      <c r="KM32" s="63"/>
      <c r="KN32" s="63"/>
      <c r="KO32" s="63"/>
      <c r="KP32" s="63"/>
      <c r="KQ32" s="63"/>
      <c r="KR32" s="63"/>
      <c r="KS32" s="63"/>
      <c r="KT32" s="63"/>
      <c r="KU32" s="63"/>
      <c r="KV32" s="63"/>
      <c r="KW32" s="63"/>
      <c r="KX32" s="63"/>
      <c r="KY32" s="63"/>
      <c r="KZ32" s="63"/>
      <c r="LA32" s="63"/>
      <c r="LB32" s="63"/>
      <c r="LC32" s="63"/>
      <c r="LD32" s="63"/>
      <c r="LE32" s="63"/>
      <c r="LF32" s="63"/>
      <c r="LG32" s="63"/>
      <c r="LH32" s="63"/>
      <c r="LI32" s="63"/>
      <c r="LJ32" s="63"/>
      <c r="LK32" s="63"/>
      <c r="LL32" s="63"/>
      <c r="LM32" s="63"/>
      <c r="LN32" s="63"/>
      <c r="LO32" s="63"/>
      <c r="LP32" s="63"/>
      <c r="LQ32" s="63"/>
      <c r="LR32" s="63"/>
      <c r="LS32" s="63"/>
      <c r="LT32" s="63"/>
      <c r="LU32" s="63"/>
      <c r="LV32" s="63"/>
      <c r="LW32" s="63"/>
      <c r="LX32" s="63"/>
      <c r="LY32" s="63"/>
      <c r="LZ32" s="63"/>
      <c r="MA32" s="63"/>
      <c r="MB32" s="63"/>
      <c r="MC32" s="63"/>
      <c r="MD32" s="63"/>
      <c r="ME32" s="63"/>
      <c r="MF32" s="63"/>
      <c r="MG32" s="63"/>
      <c r="MH32" s="63"/>
      <c r="MI32" s="63"/>
      <c r="MJ32" s="63"/>
      <c r="MK32" s="63"/>
      <c r="ML32" s="63"/>
      <c r="MM32" s="63"/>
      <c r="MN32" s="63"/>
      <c r="MO32" s="63"/>
      <c r="MP32" s="63"/>
      <c r="MQ32" s="63"/>
      <c r="MR32" s="63"/>
      <c r="MS32" s="63"/>
      <c r="MT32" s="63"/>
      <c r="MU32" s="63"/>
      <c r="MV32" s="63"/>
      <c r="MW32" s="63"/>
      <c r="MX32" s="63"/>
      <c r="MY32" s="63"/>
      <c r="MZ32" s="63"/>
      <c r="NA32" s="63"/>
      <c r="NB32" s="63"/>
      <c r="NC32" s="63"/>
      <c r="ND32" s="63"/>
      <c r="NE32" s="63"/>
      <c r="NF32" s="63"/>
      <c r="NG32" s="63"/>
      <c r="NH32" s="63"/>
      <c r="NI32" s="63"/>
      <c r="NJ32" s="63"/>
      <c r="NK32" s="63"/>
      <c r="NL32" s="63"/>
      <c r="NM32" s="63"/>
      <c r="NN32" s="63"/>
      <c r="NO32" s="63"/>
      <c r="NP32" s="63"/>
      <c r="NQ32" s="63"/>
      <c r="NR32" s="63"/>
      <c r="NS32" s="63"/>
      <c r="NT32" s="63"/>
      <c r="NU32" s="63"/>
      <c r="NV32" s="63"/>
      <c r="NW32" s="63"/>
      <c r="NX32" s="63"/>
      <c r="NY32" s="63"/>
      <c r="NZ32" s="63"/>
      <c r="OA32" s="63"/>
      <c r="OB32" s="63"/>
      <c r="OC32" s="63"/>
      <c r="OD32" s="63"/>
      <c r="OE32" s="63"/>
      <c r="OF32" s="63"/>
      <c r="OG32" s="63"/>
      <c r="OH32" s="63"/>
      <c r="OI32" s="63"/>
      <c r="OJ32" s="64"/>
    </row>
    <row r="33" spans="1:400" ht="6" customHeight="1" x14ac:dyDescent="0.3">
      <c r="A33" s="2650"/>
      <c r="B33" s="2651"/>
      <c r="C33" s="2651"/>
      <c r="D33" s="2651"/>
      <c r="E33" s="2651"/>
      <c r="F33" s="2651"/>
      <c r="G33" s="2651"/>
      <c r="H33" s="2651"/>
      <c r="I33" s="2651"/>
      <c r="J33" s="2651"/>
      <c r="K33" s="2651"/>
      <c r="L33" s="2681"/>
      <c r="M33" s="2698"/>
      <c r="N33" s="2688"/>
      <c r="O33" s="2338"/>
      <c r="P33" s="2338"/>
      <c r="Q33" s="2338"/>
      <c r="R33" s="2338"/>
      <c r="S33" s="2338"/>
      <c r="T33" s="2338"/>
      <c r="U33" s="2338"/>
      <c r="V33" s="2338"/>
      <c r="W33" s="2338"/>
      <c r="X33" s="2338"/>
      <c r="Y33" s="2338"/>
      <c r="Z33" s="2338"/>
      <c r="AA33" s="69"/>
      <c r="AB33" s="69"/>
      <c r="AC33" s="69"/>
      <c r="AD33" s="69"/>
      <c r="AE33" s="69"/>
      <c r="AF33" s="69"/>
      <c r="AG33" s="69"/>
      <c r="AH33" s="69"/>
      <c r="AI33" s="69"/>
      <c r="AJ33" s="69"/>
      <c r="AK33" s="69"/>
      <c r="AL33" s="69"/>
      <c r="AM33" s="69"/>
      <c r="AN33" s="69"/>
      <c r="AO33" s="69"/>
      <c r="AP33" s="69"/>
      <c r="AQ33" s="69"/>
      <c r="AR33" s="69"/>
      <c r="AS33" s="69"/>
      <c r="AT33" s="69"/>
      <c r="AU33" s="69"/>
      <c r="AV33" s="69"/>
      <c r="AW33" s="69"/>
      <c r="AX33" s="69"/>
      <c r="AY33" s="69"/>
      <c r="AZ33" s="69"/>
      <c r="BA33" s="69"/>
      <c r="BB33" s="69"/>
      <c r="BC33" s="69"/>
      <c r="BD33" s="69"/>
      <c r="BE33" s="69"/>
      <c r="BF33" s="69"/>
      <c r="BG33" s="69"/>
      <c r="BH33" s="69"/>
      <c r="BI33" s="69"/>
      <c r="BJ33" s="69"/>
      <c r="BK33" s="69"/>
      <c r="BL33" s="69"/>
      <c r="BM33" s="69"/>
      <c r="BN33" s="69"/>
      <c r="BO33" s="69"/>
      <c r="BP33" s="69"/>
      <c r="BQ33" s="69"/>
      <c r="BR33" s="69"/>
      <c r="BS33" s="69"/>
      <c r="BT33" s="69"/>
      <c r="BU33" s="69"/>
      <c r="BV33" s="69"/>
      <c r="BW33" s="69"/>
      <c r="BX33" s="69"/>
      <c r="BY33" s="69"/>
      <c r="BZ33" s="69"/>
      <c r="CA33" s="69"/>
      <c r="CB33" s="69"/>
      <c r="CC33" s="69"/>
      <c r="CD33" s="69"/>
      <c r="CE33" s="69"/>
      <c r="CF33" s="69"/>
      <c r="CG33" s="69"/>
      <c r="CH33" s="69"/>
      <c r="CI33" s="69"/>
      <c r="CJ33" s="69"/>
      <c r="CK33" s="69"/>
      <c r="CL33" s="69"/>
      <c r="CM33" s="69"/>
      <c r="CN33" s="69"/>
      <c r="CO33" s="69"/>
      <c r="CP33" s="69"/>
      <c r="CQ33" s="69"/>
      <c r="CR33" s="69"/>
      <c r="CS33" s="69"/>
      <c r="CT33" s="69"/>
      <c r="CU33" s="69"/>
      <c r="CV33" s="69"/>
      <c r="CW33" s="69"/>
      <c r="CX33" s="69"/>
      <c r="CY33" s="69"/>
      <c r="CZ33" s="69"/>
      <c r="DA33" s="69"/>
      <c r="DB33" s="69"/>
      <c r="DC33" s="69"/>
      <c r="DD33" s="69"/>
      <c r="DE33" s="69"/>
      <c r="DF33" s="69"/>
      <c r="DG33" s="69"/>
      <c r="DH33" s="69"/>
      <c r="DI33" s="69"/>
      <c r="DJ33" s="69"/>
      <c r="DK33" s="69"/>
      <c r="DL33" s="69"/>
      <c r="DM33" s="69"/>
      <c r="DN33" s="69"/>
      <c r="DO33" s="69"/>
      <c r="DP33" s="69"/>
      <c r="DQ33" s="69"/>
      <c r="DR33" s="69"/>
      <c r="DS33" s="69"/>
      <c r="DT33" s="69"/>
      <c r="DU33" s="69"/>
      <c r="DV33" s="69"/>
      <c r="DW33" s="69"/>
      <c r="DX33" s="69"/>
      <c r="DY33" s="69"/>
      <c r="DZ33" s="69"/>
      <c r="EA33" s="69"/>
      <c r="EB33" s="69"/>
      <c r="EC33" s="69"/>
      <c r="ED33" s="69"/>
      <c r="EE33" s="69"/>
      <c r="EF33" s="69"/>
      <c r="EG33" s="69"/>
      <c r="EH33" s="69"/>
      <c r="EI33" s="69"/>
      <c r="EJ33" s="69"/>
      <c r="EK33" s="69"/>
      <c r="EL33" s="69"/>
      <c r="EM33" s="69"/>
      <c r="EN33" s="69"/>
      <c r="EO33" s="69"/>
      <c r="EP33" s="69"/>
      <c r="EQ33" s="69"/>
      <c r="ER33" s="69"/>
      <c r="ES33" s="69"/>
      <c r="ET33" s="69"/>
      <c r="EU33" s="69"/>
      <c r="EV33" s="69"/>
      <c r="EW33" s="69"/>
      <c r="EX33" s="69"/>
      <c r="EY33" s="69"/>
      <c r="EZ33" s="69"/>
      <c r="FA33" s="69"/>
      <c r="FB33" s="69"/>
      <c r="FC33" s="69"/>
      <c r="FD33" s="69"/>
      <c r="FE33" s="69"/>
      <c r="FF33" s="69"/>
      <c r="FG33" s="69"/>
      <c r="FH33" s="69"/>
      <c r="FI33" s="69"/>
      <c r="FJ33" s="69"/>
      <c r="FK33" s="69"/>
      <c r="FL33" s="69"/>
      <c r="FM33" s="69"/>
      <c r="FN33" s="69"/>
      <c r="FO33" s="69"/>
      <c r="FP33" s="69"/>
      <c r="FQ33" s="69"/>
      <c r="FR33" s="69"/>
      <c r="FS33" s="69"/>
      <c r="FT33" s="69"/>
      <c r="FU33" s="69"/>
      <c r="FV33" s="69"/>
      <c r="FW33" s="69"/>
      <c r="FX33" s="69"/>
      <c r="FY33" s="69"/>
      <c r="FZ33" s="69"/>
      <c r="GA33" s="69"/>
      <c r="GB33" s="69"/>
      <c r="GC33" s="69"/>
      <c r="GD33" s="69"/>
      <c r="GE33" s="69"/>
      <c r="GF33" s="69"/>
      <c r="GG33" s="69"/>
      <c r="GH33" s="69"/>
      <c r="GI33" s="69"/>
      <c r="GJ33" s="69"/>
      <c r="GK33" s="69"/>
      <c r="GL33" s="69"/>
      <c r="GM33" s="69"/>
      <c r="GN33" s="69"/>
      <c r="GO33" s="69"/>
      <c r="GP33" s="69"/>
      <c r="GQ33" s="69"/>
      <c r="GR33" s="69"/>
      <c r="GS33" s="69"/>
      <c r="GT33" s="69"/>
      <c r="GU33" s="69"/>
      <c r="GV33" s="69"/>
      <c r="GW33" s="69"/>
      <c r="GX33" s="69"/>
      <c r="GY33" s="69"/>
      <c r="GZ33" s="69"/>
      <c r="HA33" s="69"/>
      <c r="HB33" s="69"/>
      <c r="HC33" s="69"/>
      <c r="HD33" s="69"/>
      <c r="HE33" s="69"/>
      <c r="HF33" s="69"/>
      <c r="HG33" s="69"/>
      <c r="HH33" s="69"/>
      <c r="HI33" s="69"/>
      <c r="HJ33" s="69"/>
      <c r="HK33" s="69"/>
      <c r="HL33" s="69"/>
      <c r="HM33" s="69"/>
      <c r="HN33" s="69"/>
      <c r="HO33" s="69"/>
      <c r="HP33" s="69"/>
      <c r="HQ33" s="69"/>
      <c r="HR33" s="69"/>
      <c r="HS33" s="69"/>
      <c r="HT33" s="69"/>
      <c r="HU33" s="69"/>
      <c r="HV33" s="69"/>
      <c r="HW33" s="69"/>
      <c r="HX33" s="69"/>
      <c r="HY33" s="69"/>
      <c r="HZ33" s="69"/>
      <c r="IA33" s="69"/>
      <c r="IB33" s="69"/>
      <c r="IC33" s="69"/>
      <c r="ID33" s="69"/>
      <c r="IE33" s="69"/>
      <c r="IF33" s="69"/>
      <c r="IG33" s="69"/>
      <c r="IH33" s="69"/>
      <c r="II33" s="69"/>
      <c r="IJ33" s="69"/>
      <c r="IK33" s="69"/>
      <c r="IL33" s="69"/>
      <c r="IM33" s="69"/>
      <c r="IN33" s="69"/>
      <c r="IO33" s="69"/>
      <c r="IP33" s="69"/>
      <c r="IQ33" s="69"/>
      <c r="IR33" s="69"/>
      <c r="IS33" s="69"/>
      <c r="IT33" s="69"/>
      <c r="IU33" s="69"/>
      <c r="IV33" s="69"/>
      <c r="IW33" s="69"/>
      <c r="IX33" s="69"/>
      <c r="IY33" s="69"/>
      <c r="IZ33" s="69"/>
      <c r="JA33" s="69"/>
      <c r="JB33" s="69"/>
      <c r="JC33" s="69"/>
      <c r="JD33" s="69"/>
      <c r="JE33" s="69"/>
      <c r="JF33" s="69"/>
      <c r="JG33" s="69"/>
      <c r="JH33" s="69"/>
      <c r="JI33" s="69"/>
      <c r="JJ33" s="69"/>
      <c r="JK33" s="69"/>
      <c r="JL33" s="69"/>
      <c r="JM33" s="69"/>
      <c r="JN33" s="69"/>
      <c r="JO33" s="69"/>
      <c r="JP33" s="69"/>
      <c r="JQ33" s="69"/>
      <c r="JR33" s="69"/>
      <c r="JS33" s="69"/>
      <c r="JT33" s="69"/>
      <c r="JU33" s="69"/>
      <c r="JV33" s="69"/>
      <c r="JW33" s="69"/>
      <c r="JX33" s="69"/>
      <c r="JY33" s="69"/>
      <c r="JZ33" s="69"/>
      <c r="KA33" s="69"/>
      <c r="KB33" s="69"/>
      <c r="KC33" s="69"/>
      <c r="KD33" s="69"/>
      <c r="KE33" s="69"/>
      <c r="KF33" s="69"/>
      <c r="KG33" s="69"/>
      <c r="KH33" s="69"/>
      <c r="KI33" s="69"/>
      <c r="KJ33" s="69"/>
      <c r="KK33" s="69"/>
      <c r="KL33" s="69"/>
      <c r="KM33" s="69"/>
      <c r="KN33" s="69"/>
      <c r="KO33" s="69"/>
      <c r="KP33" s="69"/>
      <c r="KQ33" s="69"/>
      <c r="KR33" s="69"/>
      <c r="KS33" s="69"/>
      <c r="KT33" s="69"/>
      <c r="KU33" s="69"/>
      <c r="KV33" s="69"/>
      <c r="KW33" s="69"/>
      <c r="KX33" s="69"/>
      <c r="KY33" s="69"/>
      <c r="KZ33" s="69"/>
      <c r="LA33" s="69"/>
      <c r="LB33" s="69"/>
      <c r="LC33" s="69"/>
      <c r="LD33" s="69"/>
      <c r="LE33" s="69"/>
      <c r="LF33" s="69"/>
      <c r="LG33" s="69"/>
      <c r="LH33" s="69"/>
      <c r="LI33" s="69"/>
      <c r="LJ33" s="69"/>
      <c r="LK33" s="69"/>
      <c r="LL33" s="69"/>
      <c r="LM33" s="69"/>
      <c r="LN33" s="69"/>
      <c r="LO33" s="69"/>
      <c r="LP33" s="69"/>
      <c r="LQ33" s="69"/>
      <c r="LR33" s="69"/>
      <c r="LS33" s="69"/>
      <c r="LT33" s="69"/>
      <c r="LU33" s="69"/>
      <c r="LV33" s="69"/>
      <c r="LW33" s="69"/>
      <c r="LX33" s="69"/>
      <c r="LY33" s="69"/>
      <c r="LZ33" s="69"/>
      <c r="MA33" s="69"/>
      <c r="MB33" s="69"/>
      <c r="MC33" s="69"/>
      <c r="MD33" s="69"/>
      <c r="ME33" s="69"/>
      <c r="MF33" s="69"/>
      <c r="MG33" s="69"/>
      <c r="MH33" s="69"/>
      <c r="MI33" s="69"/>
      <c r="MJ33" s="69"/>
      <c r="MK33" s="69"/>
      <c r="ML33" s="69"/>
      <c r="MM33" s="69"/>
      <c r="MN33" s="69"/>
      <c r="MO33" s="69"/>
      <c r="MP33" s="69"/>
      <c r="MQ33" s="69"/>
      <c r="MR33" s="69"/>
      <c r="MS33" s="69"/>
      <c r="MT33" s="69"/>
      <c r="MU33" s="69"/>
      <c r="MV33" s="69"/>
      <c r="MW33" s="69"/>
      <c r="MX33" s="69"/>
      <c r="MY33" s="69"/>
      <c r="MZ33" s="69"/>
      <c r="NA33" s="69"/>
      <c r="NB33" s="69"/>
      <c r="NC33" s="69"/>
      <c r="ND33" s="69"/>
      <c r="NE33" s="69"/>
      <c r="NF33" s="69"/>
      <c r="NG33" s="69"/>
      <c r="NH33" s="69"/>
      <c r="NI33" s="69"/>
      <c r="NJ33" s="69"/>
      <c r="NK33" s="69"/>
      <c r="NL33" s="69"/>
      <c r="NM33" s="69"/>
      <c r="NN33" s="69"/>
      <c r="NO33" s="69"/>
      <c r="NP33" s="69"/>
      <c r="NQ33" s="69"/>
      <c r="NR33" s="69"/>
      <c r="NS33" s="69"/>
      <c r="NT33" s="69"/>
      <c r="NU33" s="69"/>
      <c r="NV33" s="69"/>
      <c r="NW33" s="69"/>
      <c r="NX33" s="69"/>
      <c r="NY33" s="69"/>
      <c r="NZ33" s="69"/>
      <c r="OA33" s="69"/>
      <c r="OB33" s="69"/>
      <c r="OC33" s="69"/>
      <c r="OD33" s="69"/>
      <c r="OE33" s="69"/>
      <c r="OF33" s="69"/>
      <c r="OG33" s="69"/>
      <c r="OH33" s="69"/>
      <c r="OI33" s="69"/>
      <c r="OJ33" s="70"/>
    </row>
    <row r="34" spans="1:400" s="29" customFormat="1" ht="19.95" customHeight="1" x14ac:dyDescent="0.3">
      <c r="A34" s="3640" t="s">
        <v>1249</v>
      </c>
      <c r="B34" s="3641"/>
      <c r="C34" s="3641"/>
      <c r="D34" s="3641"/>
      <c r="E34" s="3641"/>
      <c r="F34" s="3641"/>
      <c r="G34" s="3641"/>
      <c r="H34" s="3641"/>
      <c r="I34" s="3641"/>
      <c r="J34" s="3641"/>
      <c r="K34" s="3641"/>
      <c r="L34" s="3641"/>
      <c r="M34" s="3642"/>
      <c r="N34" s="3643"/>
      <c r="O34" s="3644"/>
      <c r="P34" s="3644"/>
      <c r="Q34" s="3644"/>
      <c r="R34" s="3644"/>
      <c r="S34" s="3644"/>
      <c r="T34" s="3644"/>
      <c r="U34" s="3644"/>
      <c r="V34" s="3644"/>
      <c r="W34" s="3644"/>
      <c r="X34" s="3644"/>
      <c r="Y34" s="3644"/>
      <c r="Z34" s="3645"/>
      <c r="AA34" s="71"/>
      <c r="AB34" s="71"/>
      <c r="AC34" s="71"/>
      <c r="AD34" s="71"/>
      <c r="AE34" s="71"/>
      <c r="AF34" s="71"/>
      <c r="AG34" s="71"/>
      <c r="AH34" s="71"/>
      <c r="AI34" s="71"/>
      <c r="AJ34" s="71"/>
      <c r="AK34" s="71"/>
      <c r="AL34" s="71"/>
      <c r="AM34" s="71"/>
      <c r="AN34" s="71"/>
      <c r="AO34" s="71"/>
      <c r="AP34" s="71"/>
      <c r="AQ34" s="71"/>
      <c r="AR34" s="71"/>
      <c r="AS34" s="71"/>
      <c r="AT34" s="71"/>
      <c r="AU34" s="71"/>
      <c r="AV34" s="71"/>
      <c r="AW34" s="71"/>
      <c r="AX34" s="71"/>
      <c r="AY34" s="71"/>
      <c r="AZ34" s="71"/>
      <c r="BA34" s="71"/>
      <c r="BB34" s="71"/>
      <c r="BC34" s="71"/>
      <c r="BD34" s="71"/>
      <c r="BE34" s="71"/>
      <c r="BF34" s="71"/>
      <c r="BG34" s="71"/>
      <c r="BH34" s="71"/>
      <c r="BI34" s="71"/>
      <c r="BJ34" s="71"/>
      <c r="BK34" s="71"/>
      <c r="BL34" s="71"/>
      <c r="BM34" s="71"/>
      <c r="BN34" s="71"/>
      <c r="BO34" s="71"/>
      <c r="BP34" s="71"/>
      <c r="BQ34" s="71"/>
      <c r="BR34" s="71"/>
      <c r="BS34" s="71"/>
      <c r="BT34" s="71"/>
      <c r="BU34" s="71"/>
      <c r="BV34" s="71"/>
      <c r="BW34" s="71"/>
      <c r="BX34" s="71"/>
      <c r="BY34" s="71"/>
      <c r="BZ34" s="71"/>
      <c r="CA34" s="71"/>
      <c r="CB34" s="71"/>
      <c r="CC34" s="71"/>
      <c r="CD34" s="71"/>
      <c r="CE34" s="71"/>
      <c r="CF34" s="71"/>
      <c r="CG34" s="71"/>
      <c r="CH34" s="71"/>
      <c r="CI34" s="71"/>
      <c r="CJ34" s="71"/>
      <c r="CK34" s="71"/>
      <c r="CL34" s="71"/>
      <c r="CM34" s="71"/>
      <c r="CN34" s="71"/>
      <c r="CO34" s="71"/>
      <c r="CP34" s="71"/>
      <c r="CQ34" s="71"/>
      <c r="CR34" s="71"/>
      <c r="CS34" s="71"/>
      <c r="CT34" s="71"/>
      <c r="CU34" s="71"/>
      <c r="CV34" s="71"/>
      <c r="CW34" s="71"/>
      <c r="CX34" s="71"/>
      <c r="CY34" s="71"/>
      <c r="CZ34" s="71"/>
      <c r="DA34" s="71"/>
      <c r="DB34" s="71"/>
      <c r="DC34" s="71"/>
      <c r="DD34" s="71"/>
      <c r="DE34" s="71"/>
      <c r="DF34" s="71"/>
      <c r="DG34" s="71"/>
      <c r="DH34" s="71"/>
      <c r="DI34" s="71"/>
      <c r="DJ34" s="71"/>
      <c r="DK34" s="71"/>
      <c r="DL34" s="71"/>
      <c r="DM34" s="71"/>
      <c r="DN34" s="71"/>
      <c r="DO34" s="71"/>
      <c r="DP34" s="71"/>
      <c r="DQ34" s="71"/>
      <c r="DR34" s="71"/>
      <c r="DS34" s="71"/>
      <c r="DT34" s="71"/>
      <c r="DU34" s="71"/>
      <c r="DV34" s="71"/>
      <c r="DW34" s="71"/>
      <c r="DX34" s="71"/>
      <c r="DY34" s="71"/>
      <c r="DZ34" s="71"/>
      <c r="EA34" s="71"/>
      <c r="EB34" s="71"/>
      <c r="EC34" s="71"/>
      <c r="ED34" s="71"/>
      <c r="EE34" s="71"/>
      <c r="EF34" s="71"/>
      <c r="EG34" s="71"/>
      <c r="EH34" s="71"/>
      <c r="EI34" s="71"/>
      <c r="EJ34" s="71"/>
      <c r="EK34" s="71"/>
      <c r="EL34" s="71"/>
      <c r="EM34" s="71"/>
      <c r="EN34" s="71"/>
      <c r="EO34" s="71"/>
      <c r="EP34" s="71"/>
      <c r="EQ34" s="71"/>
      <c r="ER34" s="71"/>
      <c r="ES34" s="71"/>
      <c r="ET34" s="71"/>
      <c r="EU34" s="71"/>
      <c r="EV34" s="71"/>
      <c r="EW34" s="71"/>
      <c r="EX34" s="71"/>
      <c r="EY34" s="71"/>
      <c r="EZ34" s="71"/>
      <c r="FA34" s="71"/>
      <c r="FB34" s="71"/>
      <c r="FC34" s="71"/>
      <c r="FD34" s="71"/>
      <c r="FE34" s="71"/>
      <c r="FF34" s="71"/>
      <c r="FG34" s="71"/>
      <c r="FH34" s="71"/>
      <c r="FI34" s="71"/>
      <c r="FJ34" s="71"/>
      <c r="FK34" s="71"/>
      <c r="FL34" s="71"/>
      <c r="FM34" s="71"/>
      <c r="FN34" s="71"/>
      <c r="FO34" s="71"/>
      <c r="FP34" s="71"/>
      <c r="FQ34" s="71"/>
      <c r="FR34" s="71"/>
      <c r="FS34" s="71"/>
      <c r="FT34" s="71"/>
      <c r="FU34" s="71"/>
      <c r="FV34" s="71"/>
      <c r="FW34" s="71"/>
      <c r="FX34" s="71"/>
      <c r="FY34" s="71"/>
      <c r="FZ34" s="71"/>
      <c r="GA34" s="71"/>
      <c r="GB34" s="71"/>
      <c r="GC34" s="71"/>
      <c r="GD34" s="71"/>
      <c r="GE34" s="71"/>
      <c r="GF34" s="71"/>
      <c r="GG34" s="71"/>
      <c r="GH34" s="71"/>
      <c r="GI34" s="71"/>
      <c r="GJ34" s="71"/>
      <c r="GK34" s="71"/>
      <c r="GL34" s="71"/>
      <c r="GM34" s="71"/>
      <c r="GN34" s="71"/>
      <c r="GO34" s="71"/>
      <c r="GP34" s="71"/>
      <c r="GQ34" s="71"/>
      <c r="GR34" s="71"/>
      <c r="GS34" s="71"/>
      <c r="GT34" s="71"/>
      <c r="GU34" s="71"/>
      <c r="GV34" s="71"/>
      <c r="GW34" s="71"/>
      <c r="GX34" s="71"/>
      <c r="GY34" s="71"/>
      <c r="GZ34" s="71"/>
      <c r="HA34" s="71"/>
      <c r="HB34" s="71"/>
      <c r="HC34" s="71"/>
      <c r="HD34" s="71"/>
      <c r="HE34" s="71"/>
      <c r="HF34" s="71"/>
      <c r="HG34" s="71"/>
      <c r="HH34" s="71"/>
      <c r="HI34" s="71"/>
      <c r="HJ34" s="71"/>
      <c r="HK34" s="71"/>
      <c r="HL34" s="71"/>
      <c r="HM34" s="71"/>
      <c r="HN34" s="71"/>
      <c r="HO34" s="71"/>
      <c r="HP34" s="71"/>
      <c r="HQ34" s="71"/>
      <c r="HR34" s="71"/>
      <c r="HS34" s="71"/>
      <c r="HT34" s="71"/>
      <c r="HU34" s="71"/>
      <c r="HV34" s="71"/>
      <c r="HW34" s="71"/>
      <c r="HX34" s="71"/>
      <c r="HY34" s="71"/>
      <c r="HZ34" s="71"/>
      <c r="IA34" s="71"/>
      <c r="IB34" s="71"/>
      <c r="IC34" s="71"/>
      <c r="ID34" s="71"/>
      <c r="IE34" s="71"/>
      <c r="IF34" s="71"/>
      <c r="IG34" s="71"/>
      <c r="IH34" s="71"/>
      <c r="II34" s="71"/>
      <c r="IJ34" s="71"/>
      <c r="IK34" s="71"/>
      <c r="IL34" s="71"/>
      <c r="IM34" s="71"/>
      <c r="IN34" s="71"/>
      <c r="IO34" s="71"/>
      <c r="IP34" s="71"/>
      <c r="IQ34" s="71"/>
      <c r="IR34" s="71"/>
      <c r="IS34" s="71"/>
      <c r="IT34" s="71"/>
      <c r="IU34" s="71"/>
      <c r="IV34" s="71"/>
      <c r="IW34" s="71"/>
      <c r="IX34" s="71"/>
      <c r="IY34" s="71"/>
      <c r="IZ34" s="71"/>
      <c r="JA34" s="71"/>
      <c r="JB34" s="71"/>
      <c r="JC34" s="71"/>
      <c r="JD34" s="71"/>
      <c r="JE34" s="71"/>
      <c r="JF34" s="71"/>
      <c r="JG34" s="71"/>
      <c r="JH34" s="71"/>
      <c r="JI34" s="71"/>
      <c r="JJ34" s="71"/>
      <c r="JK34" s="71"/>
      <c r="JL34" s="71"/>
      <c r="JM34" s="71"/>
      <c r="JN34" s="71"/>
      <c r="JO34" s="71"/>
      <c r="JP34" s="71"/>
      <c r="JQ34" s="71"/>
      <c r="JR34" s="71"/>
      <c r="JS34" s="71"/>
      <c r="JT34" s="71"/>
      <c r="JU34" s="71"/>
      <c r="JV34" s="71"/>
      <c r="JW34" s="71"/>
      <c r="JX34" s="71"/>
      <c r="JY34" s="71"/>
      <c r="JZ34" s="71"/>
      <c r="KA34" s="71"/>
      <c r="KB34" s="71"/>
      <c r="KC34" s="71"/>
      <c r="KD34" s="71"/>
      <c r="KE34" s="71"/>
      <c r="KF34" s="71"/>
      <c r="KG34" s="71"/>
      <c r="KH34" s="71"/>
      <c r="KI34" s="71"/>
      <c r="KJ34" s="71"/>
      <c r="KK34" s="71"/>
      <c r="KL34" s="71"/>
      <c r="KM34" s="71"/>
      <c r="KN34" s="71"/>
      <c r="KO34" s="71"/>
      <c r="KP34" s="71"/>
      <c r="KQ34" s="71"/>
      <c r="KR34" s="71"/>
      <c r="KS34" s="71"/>
      <c r="KT34" s="71"/>
      <c r="KU34" s="71"/>
      <c r="KV34" s="71"/>
      <c r="KW34" s="71"/>
      <c r="KX34" s="71"/>
      <c r="KY34" s="71"/>
      <c r="KZ34" s="71"/>
      <c r="LA34" s="71"/>
      <c r="LB34" s="71"/>
      <c r="LC34" s="71"/>
      <c r="LD34" s="71"/>
      <c r="LE34" s="71"/>
      <c r="LF34" s="71"/>
      <c r="LG34" s="71"/>
      <c r="LH34" s="71"/>
      <c r="LI34" s="71"/>
      <c r="LJ34" s="71"/>
      <c r="LK34" s="71"/>
      <c r="LL34" s="71"/>
      <c r="LM34" s="71"/>
      <c r="LN34" s="71"/>
      <c r="LO34" s="71"/>
      <c r="LP34" s="71"/>
      <c r="LQ34" s="71"/>
      <c r="LR34" s="71"/>
      <c r="LS34" s="71"/>
      <c r="LT34" s="71"/>
      <c r="LU34" s="71"/>
      <c r="LV34" s="71"/>
      <c r="LW34" s="71"/>
      <c r="LX34" s="71"/>
      <c r="LY34" s="71"/>
      <c r="LZ34" s="71"/>
      <c r="MA34" s="71"/>
      <c r="MB34" s="71"/>
      <c r="MC34" s="71"/>
      <c r="MD34" s="71"/>
      <c r="ME34" s="71"/>
      <c r="MF34" s="71"/>
      <c r="MG34" s="71"/>
      <c r="MH34" s="71"/>
      <c r="MI34" s="71"/>
      <c r="MJ34" s="71"/>
      <c r="MK34" s="71"/>
      <c r="ML34" s="71"/>
      <c r="MM34" s="71"/>
      <c r="MN34" s="71"/>
      <c r="MO34" s="71"/>
      <c r="MP34" s="71"/>
      <c r="MQ34" s="71"/>
      <c r="MR34" s="71"/>
      <c r="MS34" s="71"/>
      <c r="MT34" s="71"/>
      <c r="MU34" s="71"/>
      <c r="MV34" s="71"/>
      <c r="MW34" s="71"/>
      <c r="MX34" s="71"/>
      <c r="MY34" s="71"/>
      <c r="MZ34" s="71"/>
      <c r="NA34" s="71"/>
      <c r="NB34" s="71"/>
      <c r="NC34" s="71"/>
      <c r="ND34" s="71"/>
      <c r="NE34" s="71"/>
      <c r="NF34" s="71"/>
      <c r="NG34" s="71"/>
      <c r="NH34" s="71"/>
      <c r="NI34" s="71"/>
      <c r="NJ34" s="71"/>
      <c r="NK34" s="71"/>
      <c r="NL34" s="71"/>
      <c r="NM34" s="71"/>
      <c r="NN34" s="71"/>
      <c r="NO34" s="71"/>
      <c r="NP34" s="71"/>
      <c r="NQ34" s="71"/>
      <c r="NR34" s="71"/>
      <c r="NS34" s="71"/>
      <c r="NT34" s="71"/>
      <c r="NU34" s="71"/>
      <c r="NV34" s="71"/>
      <c r="NW34" s="71"/>
      <c r="NX34" s="71"/>
      <c r="NY34" s="71"/>
      <c r="NZ34" s="71"/>
      <c r="OA34" s="71"/>
      <c r="OB34" s="71"/>
      <c r="OC34" s="71"/>
      <c r="OD34" s="71"/>
      <c r="OE34" s="71"/>
      <c r="OF34" s="71"/>
      <c r="OG34" s="71"/>
      <c r="OH34" s="71"/>
      <c r="OI34" s="71"/>
      <c r="OJ34" s="72"/>
    </row>
    <row r="35" spans="1:400" ht="36" customHeight="1" x14ac:dyDescent="0.3">
      <c r="A35" s="2654" t="s">
        <v>1250</v>
      </c>
      <c r="B35" s="3664" t="s">
        <v>1251</v>
      </c>
      <c r="C35" s="3665"/>
      <c r="D35" s="2655" t="s">
        <v>1252</v>
      </c>
      <c r="E35" s="2655" t="s">
        <v>1253</v>
      </c>
      <c r="F35" s="2655" t="s">
        <v>1254</v>
      </c>
      <c r="G35" s="2655" t="s">
        <v>1255</v>
      </c>
      <c r="H35" s="2655" t="s">
        <v>1256</v>
      </c>
      <c r="I35" s="2655" t="s">
        <v>1257</v>
      </c>
      <c r="J35" s="3665" t="s">
        <v>1258</v>
      </c>
      <c r="K35" s="3665"/>
      <c r="L35" s="3675"/>
      <c r="M35" s="3676"/>
      <c r="N35" s="3677"/>
      <c r="O35" s="2639"/>
      <c r="P35" s="2639"/>
      <c r="Q35" s="2639"/>
      <c r="R35" s="2639"/>
      <c r="S35" s="2639"/>
      <c r="T35" s="2639"/>
      <c r="U35" s="2338"/>
      <c r="V35" s="2338"/>
      <c r="W35" s="2338"/>
      <c r="X35" s="2338"/>
      <c r="Y35" s="2338"/>
      <c r="Z35" s="2338"/>
      <c r="AA35" s="69"/>
      <c r="AB35" s="69"/>
      <c r="AC35" s="69"/>
      <c r="AD35" s="69"/>
      <c r="AE35" s="69"/>
      <c r="AF35" s="69"/>
      <c r="AG35" s="69"/>
      <c r="AH35" s="69"/>
      <c r="AI35" s="69"/>
      <c r="AJ35" s="69"/>
      <c r="AK35" s="69"/>
      <c r="AL35" s="69"/>
      <c r="AM35" s="69"/>
      <c r="AN35" s="69"/>
      <c r="AO35" s="69"/>
      <c r="AP35" s="69"/>
      <c r="AQ35" s="69"/>
      <c r="AR35" s="69"/>
      <c r="AS35" s="69"/>
      <c r="AT35" s="69"/>
      <c r="AU35" s="69"/>
      <c r="AV35" s="69"/>
      <c r="AW35" s="69"/>
      <c r="AX35" s="69"/>
      <c r="AY35" s="69"/>
      <c r="AZ35" s="69"/>
      <c r="BA35" s="69"/>
      <c r="BB35" s="69"/>
      <c r="BC35" s="69"/>
      <c r="BD35" s="69"/>
      <c r="BE35" s="69"/>
      <c r="BF35" s="69"/>
      <c r="BG35" s="69"/>
      <c r="BH35" s="69"/>
      <c r="BI35" s="69"/>
      <c r="BJ35" s="69"/>
      <c r="BK35" s="69"/>
      <c r="BL35" s="69"/>
      <c r="BM35" s="69"/>
      <c r="BN35" s="69"/>
      <c r="BO35" s="69"/>
      <c r="BP35" s="69"/>
      <c r="BQ35" s="69"/>
      <c r="BR35" s="69"/>
      <c r="BS35" s="69"/>
      <c r="BT35" s="69"/>
      <c r="BU35" s="69"/>
      <c r="BV35" s="69"/>
      <c r="BW35" s="69"/>
      <c r="BX35" s="69"/>
      <c r="BY35" s="69"/>
      <c r="BZ35" s="69"/>
      <c r="CA35" s="69"/>
      <c r="CB35" s="69"/>
      <c r="CC35" s="69"/>
      <c r="CD35" s="69"/>
      <c r="CE35" s="69"/>
      <c r="CF35" s="69"/>
      <c r="CG35" s="69"/>
      <c r="CH35" s="69"/>
      <c r="CI35" s="69"/>
      <c r="CJ35" s="69"/>
      <c r="CK35" s="69"/>
      <c r="CL35" s="69"/>
      <c r="CM35" s="69"/>
      <c r="CN35" s="69"/>
      <c r="CO35" s="69"/>
      <c r="CP35" s="69"/>
      <c r="CQ35" s="69"/>
      <c r="CR35" s="69"/>
      <c r="CS35" s="69"/>
      <c r="CT35" s="69"/>
      <c r="CU35" s="69"/>
      <c r="CV35" s="69"/>
      <c r="CW35" s="69"/>
      <c r="CX35" s="69"/>
      <c r="CY35" s="69"/>
      <c r="CZ35" s="69"/>
      <c r="DA35" s="69"/>
      <c r="DB35" s="69"/>
      <c r="DC35" s="69"/>
      <c r="DD35" s="69"/>
      <c r="DE35" s="69"/>
      <c r="DF35" s="69"/>
      <c r="DG35" s="69"/>
      <c r="DH35" s="69"/>
      <c r="DI35" s="69"/>
      <c r="DJ35" s="69"/>
      <c r="DK35" s="69"/>
      <c r="DL35" s="69"/>
      <c r="DM35" s="69"/>
      <c r="DN35" s="69"/>
      <c r="DO35" s="69"/>
      <c r="DP35" s="69"/>
      <c r="DQ35" s="69"/>
      <c r="DR35" s="69"/>
      <c r="DS35" s="69"/>
      <c r="DT35" s="69"/>
      <c r="DU35" s="69"/>
      <c r="DV35" s="69"/>
      <c r="DW35" s="69"/>
      <c r="DX35" s="69"/>
      <c r="DY35" s="69"/>
      <c r="DZ35" s="69"/>
      <c r="EA35" s="69"/>
      <c r="EB35" s="69"/>
      <c r="EC35" s="69"/>
      <c r="ED35" s="69"/>
      <c r="EE35" s="69"/>
      <c r="EF35" s="69"/>
      <c r="EG35" s="69"/>
      <c r="EH35" s="69"/>
      <c r="EI35" s="69"/>
      <c r="EJ35" s="69"/>
      <c r="EK35" s="69"/>
      <c r="EL35" s="69"/>
      <c r="EM35" s="69"/>
      <c r="EN35" s="69"/>
      <c r="EO35" s="69"/>
      <c r="EP35" s="69"/>
      <c r="EQ35" s="69"/>
      <c r="ER35" s="69"/>
      <c r="ES35" s="69"/>
      <c r="ET35" s="69"/>
      <c r="EU35" s="69"/>
      <c r="EV35" s="69"/>
      <c r="EW35" s="69"/>
      <c r="EX35" s="69"/>
      <c r="EY35" s="69"/>
      <c r="EZ35" s="69"/>
      <c r="FA35" s="69"/>
      <c r="FB35" s="69"/>
      <c r="FC35" s="69"/>
      <c r="FD35" s="69"/>
      <c r="FE35" s="69"/>
      <c r="FF35" s="69"/>
      <c r="FG35" s="69"/>
      <c r="FH35" s="69"/>
      <c r="FI35" s="69"/>
      <c r="FJ35" s="69"/>
      <c r="FK35" s="69"/>
      <c r="FL35" s="69"/>
      <c r="FM35" s="69"/>
      <c r="FN35" s="69"/>
      <c r="FO35" s="69"/>
      <c r="FP35" s="69"/>
      <c r="FQ35" s="69"/>
      <c r="FR35" s="69"/>
      <c r="FS35" s="69"/>
      <c r="FT35" s="69"/>
      <c r="FU35" s="69"/>
      <c r="FV35" s="69"/>
      <c r="FW35" s="69"/>
      <c r="FX35" s="69"/>
      <c r="FY35" s="69"/>
      <c r="FZ35" s="69"/>
      <c r="GA35" s="69"/>
      <c r="GB35" s="69"/>
      <c r="GC35" s="69"/>
      <c r="GD35" s="69"/>
      <c r="GE35" s="69"/>
      <c r="GF35" s="69"/>
      <c r="GG35" s="69"/>
      <c r="GH35" s="69"/>
      <c r="GI35" s="69"/>
      <c r="GJ35" s="69"/>
      <c r="GK35" s="69"/>
      <c r="GL35" s="69"/>
      <c r="GM35" s="69"/>
      <c r="GN35" s="69"/>
      <c r="GO35" s="69"/>
      <c r="GP35" s="69"/>
      <c r="GQ35" s="69"/>
      <c r="GR35" s="69"/>
      <c r="GS35" s="69"/>
      <c r="GT35" s="69"/>
      <c r="GU35" s="69"/>
      <c r="GV35" s="69"/>
      <c r="GW35" s="69"/>
      <c r="GX35" s="69"/>
      <c r="GY35" s="69"/>
      <c r="GZ35" s="69"/>
      <c r="HA35" s="69"/>
      <c r="HB35" s="69"/>
      <c r="HC35" s="69"/>
      <c r="HD35" s="69"/>
      <c r="HE35" s="69"/>
      <c r="HF35" s="69"/>
      <c r="HG35" s="69"/>
      <c r="HH35" s="69"/>
      <c r="HI35" s="69"/>
      <c r="HJ35" s="69"/>
      <c r="HK35" s="69"/>
      <c r="HL35" s="69"/>
      <c r="HM35" s="69"/>
      <c r="HN35" s="69"/>
      <c r="HO35" s="69"/>
      <c r="HP35" s="69"/>
      <c r="HQ35" s="69"/>
      <c r="HR35" s="69"/>
      <c r="HS35" s="69"/>
      <c r="HT35" s="69"/>
      <c r="HU35" s="69"/>
      <c r="HV35" s="69"/>
      <c r="HW35" s="69"/>
      <c r="HX35" s="69"/>
      <c r="HY35" s="69"/>
      <c r="HZ35" s="69"/>
      <c r="IA35" s="69"/>
      <c r="IB35" s="69"/>
      <c r="IC35" s="69"/>
      <c r="ID35" s="69"/>
      <c r="IE35" s="69"/>
      <c r="IF35" s="69"/>
      <c r="IG35" s="69"/>
      <c r="IH35" s="69"/>
      <c r="II35" s="69"/>
      <c r="IJ35" s="69"/>
      <c r="IK35" s="69"/>
      <c r="IL35" s="69"/>
      <c r="IM35" s="69"/>
      <c r="IN35" s="69"/>
      <c r="IO35" s="69"/>
      <c r="IP35" s="69"/>
      <c r="IQ35" s="69"/>
      <c r="IR35" s="69"/>
      <c r="IS35" s="69"/>
      <c r="IT35" s="69"/>
      <c r="IU35" s="69"/>
      <c r="IV35" s="69"/>
      <c r="IW35" s="69"/>
      <c r="IX35" s="69"/>
      <c r="IY35" s="69"/>
      <c r="IZ35" s="69"/>
      <c r="JA35" s="69"/>
      <c r="JB35" s="69"/>
      <c r="JC35" s="69"/>
      <c r="JD35" s="69"/>
      <c r="JE35" s="69"/>
      <c r="JF35" s="69"/>
      <c r="JG35" s="69"/>
      <c r="JH35" s="69"/>
      <c r="JI35" s="69"/>
      <c r="JJ35" s="69"/>
      <c r="JK35" s="69"/>
      <c r="JL35" s="69"/>
      <c r="JM35" s="69"/>
      <c r="JN35" s="69"/>
      <c r="JO35" s="69"/>
      <c r="JP35" s="69"/>
      <c r="JQ35" s="69"/>
      <c r="JR35" s="69"/>
      <c r="JS35" s="69"/>
      <c r="JT35" s="69"/>
      <c r="JU35" s="69"/>
      <c r="JV35" s="69"/>
      <c r="JW35" s="69"/>
      <c r="JX35" s="69"/>
      <c r="JY35" s="69"/>
      <c r="JZ35" s="69"/>
      <c r="KA35" s="69"/>
      <c r="KB35" s="69"/>
      <c r="KC35" s="69"/>
      <c r="KD35" s="69"/>
      <c r="KE35" s="69"/>
      <c r="KF35" s="69"/>
      <c r="KG35" s="69"/>
      <c r="KH35" s="69"/>
      <c r="KI35" s="69"/>
      <c r="KJ35" s="69"/>
      <c r="KK35" s="69"/>
      <c r="KL35" s="69"/>
      <c r="KM35" s="69"/>
      <c r="KN35" s="69"/>
      <c r="KO35" s="69"/>
      <c r="KP35" s="69"/>
      <c r="KQ35" s="69"/>
      <c r="KR35" s="69"/>
      <c r="KS35" s="69"/>
      <c r="KT35" s="69"/>
      <c r="KU35" s="69"/>
      <c r="KV35" s="69"/>
      <c r="KW35" s="69"/>
      <c r="KX35" s="69"/>
      <c r="KY35" s="69"/>
      <c r="KZ35" s="69"/>
      <c r="LA35" s="69"/>
      <c r="LB35" s="69"/>
      <c r="LC35" s="69"/>
      <c r="LD35" s="69"/>
      <c r="LE35" s="69"/>
      <c r="LF35" s="69"/>
      <c r="LG35" s="69"/>
      <c r="LH35" s="69"/>
      <c r="LI35" s="69"/>
      <c r="LJ35" s="69"/>
      <c r="LK35" s="69"/>
      <c r="LL35" s="69"/>
      <c r="LM35" s="69"/>
      <c r="LN35" s="69"/>
      <c r="LO35" s="69"/>
      <c r="LP35" s="69"/>
      <c r="LQ35" s="69"/>
      <c r="LR35" s="69"/>
      <c r="LS35" s="69"/>
      <c r="LT35" s="69"/>
      <c r="LU35" s="69"/>
      <c r="LV35" s="69"/>
      <c r="LW35" s="69"/>
      <c r="LX35" s="69"/>
      <c r="LY35" s="69"/>
      <c r="LZ35" s="69"/>
      <c r="MA35" s="69"/>
      <c r="MB35" s="69"/>
      <c r="MC35" s="69"/>
      <c r="MD35" s="69"/>
      <c r="ME35" s="69"/>
      <c r="MF35" s="69"/>
      <c r="MG35" s="69"/>
      <c r="MH35" s="69"/>
      <c r="MI35" s="69"/>
      <c r="MJ35" s="69"/>
      <c r="MK35" s="69"/>
      <c r="ML35" s="69"/>
      <c r="MM35" s="69"/>
      <c r="MN35" s="69"/>
      <c r="MO35" s="69"/>
      <c r="MP35" s="69"/>
      <c r="MQ35" s="69"/>
      <c r="MR35" s="69"/>
      <c r="MS35" s="69"/>
      <c r="MT35" s="69"/>
      <c r="MU35" s="69"/>
      <c r="MV35" s="69"/>
      <c r="MW35" s="69"/>
      <c r="MX35" s="69"/>
      <c r="MY35" s="69"/>
      <c r="MZ35" s="69"/>
      <c r="NA35" s="69"/>
      <c r="NB35" s="69"/>
      <c r="NC35" s="69"/>
      <c r="ND35" s="69"/>
      <c r="NE35" s="69"/>
      <c r="NF35" s="69"/>
      <c r="NG35" s="69"/>
      <c r="NH35" s="69"/>
      <c r="NI35" s="69"/>
      <c r="NJ35" s="69"/>
      <c r="NK35" s="69"/>
      <c r="NL35" s="69"/>
      <c r="NM35" s="69"/>
      <c r="NN35" s="69"/>
      <c r="NO35" s="69"/>
      <c r="NP35" s="69"/>
      <c r="NQ35" s="69"/>
      <c r="NR35" s="69"/>
      <c r="NS35" s="69"/>
      <c r="NT35" s="69"/>
      <c r="NU35" s="69"/>
      <c r="NV35" s="69"/>
      <c r="NW35" s="69"/>
      <c r="NX35" s="69"/>
      <c r="NY35" s="69"/>
      <c r="NZ35" s="69"/>
      <c r="OA35" s="69"/>
      <c r="OB35" s="69"/>
      <c r="OC35" s="69"/>
      <c r="OD35" s="69"/>
      <c r="OE35" s="69"/>
      <c r="OF35" s="69"/>
      <c r="OG35" s="69"/>
      <c r="OH35" s="69"/>
      <c r="OI35" s="69"/>
      <c r="OJ35" s="70"/>
    </row>
    <row r="36" spans="1:400" ht="36" customHeight="1" x14ac:dyDescent="0.3">
      <c r="A36" s="2623" t="s">
        <v>1259</v>
      </c>
      <c r="B36" s="3648" t="s">
        <v>1260</v>
      </c>
      <c r="C36" s="3648"/>
      <c r="D36" s="2624" t="s">
        <v>1261</v>
      </c>
      <c r="E36" s="2624" t="s">
        <v>1262</v>
      </c>
      <c r="F36" s="2625" t="s">
        <v>1263</v>
      </c>
      <c r="G36" s="2624" t="s">
        <v>1255</v>
      </c>
      <c r="H36" s="2624" t="s">
        <v>1264</v>
      </c>
      <c r="I36" s="2624" t="s">
        <v>1265</v>
      </c>
      <c r="J36" s="3648" t="s">
        <v>1266</v>
      </c>
      <c r="K36" s="3648"/>
      <c r="L36" s="3649"/>
      <c r="M36" s="3650"/>
      <c r="N36" s="3651"/>
      <c r="O36" s="2639"/>
      <c r="P36" s="2639"/>
      <c r="Q36" s="2639"/>
      <c r="R36" s="2639"/>
      <c r="S36" s="2639"/>
      <c r="T36" s="2639"/>
      <c r="U36" s="2338"/>
      <c r="V36" s="2338"/>
      <c r="W36" s="2338"/>
      <c r="X36" s="2338"/>
      <c r="Y36" s="2338"/>
      <c r="Z36" s="2338"/>
      <c r="AA36" s="63"/>
      <c r="AB36" s="63"/>
      <c r="AC36" s="63"/>
      <c r="AD36" s="63"/>
      <c r="AE36" s="63"/>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M36" s="63"/>
      <c r="BN36" s="63"/>
      <c r="BO36" s="63"/>
      <c r="BP36" s="63"/>
      <c r="BQ36" s="63"/>
      <c r="BR36" s="63"/>
      <c r="BS36" s="63"/>
      <c r="BT36" s="63"/>
      <c r="BU36" s="63"/>
      <c r="BV36" s="63"/>
      <c r="BW36" s="63"/>
      <c r="BX36" s="63"/>
      <c r="BY36" s="63"/>
      <c r="BZ36" s="63"/>
      <c r="CA36" s="63"/>
      <c r="CB36" s="63"/>
      <c r="CC36" s="63"/>
      <c r="CD36" s="63"/>
      <c r="CE36" s="63"/>
      <c r="CF36" s="63"/>
      <c r="CG36" s="63"/>
      <c r="CH36" s="63"/>
      <c r="CI36" s="63"/>
      <c r="CJ36" s="63"/>
      <c r="CK36" s="63"/>
      <c r="CL36" s="63"/>
      <c r="CM36" s="63"/>
      <c r="CN36" s="63"/>
      <c r="CO36" s="63"/>
      <c r="CP36" s="63"/>
      <c r="CQ36" s="63"/>
      <c r="CR36" s="63"/>
      <c r="CS36" s="63"/>
      <c r="CT36" s="63"/>
      <c r="CU36" s="63"/>
      <c r="CV36" s="63"/>
      <c r="CW36" s="63"/>
      <c r="CX36" s="63"/>
      <c r="CY36" s="63"/>
      <c r="CZ36" s="63"/>
      <c r="DA36" s="63"/>
      <c r="DB36" s="63"/>
      <c r="DC36" s="63"/>
      <c r="DD36" s="63"/>
      <c r="DE36" s="63"/>
      <c r="DF36" s="63"/>
      <c r="DG36" s="63"/>
      <c r="DH36" s="63"/>
      <c r="DI36" s="63"/>
      <c r="DJ36" s="63"/>
      <c r="DK36" s="63"/>
      <c r="DL36" s="63"/>
      <c r="DM36" s="63"/>
      <c r="DN36" s="63"/>
      <c r="DO36" s="63"/>
      <c r="DP36" s="63"/>
      <c r="DQ36" s="63"/>
      <c r="DR36" s="63"/>
      <c r="DS36" s="63"/>
      <c r="DT36" s="63"/>
      <c r="DU36" s="63"/>
      <c r="DV36" s="63"/>
      <c r="DW36" s="63"/>
      <c r="DX36" s="63"/>
      <c r="DY36" s="63"/>
      <c r="DZ36" s="63"/>
      <c r="EA36" s="63"/>
      <c r="EB36" s="63"/>
      <c r="EC36" s="63"/>
      <c r="ED36" s="63"/>
      <c r="EE36" s="63"/>
      <c r="EF36" s="63"/>
      <c r="EG36" s="63"/>
      <c r="EH36" s="63"/>
      <c r="EI36" s="63"/>
      <c r="EJ36" s="63"/>
      <c r="EK36" s="63"/>
      <c r="EL36" s="63"/>
      <c r="EM36" s="63"/>
      <c r="EN36" s="63"/>
      <c r="EO36" s="63"/>
      <c r="EP36" s="63"/>
      <c r="EQ36" s="63"/>
      <c r="ER36" s="63"/>
      <c r="ES36" s="63"/>
      <c r="ET36" s="63"/>
      <c r="EU36" s="63"/>
      <c r="EV36" s="63"/>
      <c r="EW36" s="63"/>
      <c r="EX36" s="63"/>
      <c r="EY36" s="63"/>
      <c r="EZ36" s="63"/>
      <c r="FA36" s="63"/>
      <c r="FB36" s="63"/>
      <c r="FC36" s="63"/>
      <c r="FD36" s="63"/>
      <c r="FE36" s="63"/>
      <c r="FF36" s="63"/>
      <c r="FG36" s="63"/>
      <c r="FH36" s="63"/>
      <c r="FI36" s="63"/>
      <c r="FJ36" s="63"/>
      <c r="FK36" s="63"/>
      <c r="FL36" s="63"/>
      <c r="FM36" s="63"/>
      <c r="FN36" s="63"/>
      <c r="FO36" s="63"/>
      <c r="FP36" s="63"/>
      <c r="FQ36" s="63"/>
      <c r="FR36" s="63"/>
      <c r="FS36" s="63"/>
      <c r="FT36" s="63"/>
      <c r="FU36" s="63"/>
      <c r="FV36" s="63"/>
      <c r="FW36" s="63"/>
      <c r="FX36" s="63"/>
      <c r="FY36" s="63"/>
      <c r="FZ36" s="63"/>
      <c r="GA36" s="63"/>
      <c r="GB36" s="63"/>
      <c r="GC36" s="63"/>
      <c r="GD36" s="63"/>
      <c r="GE36" s="63"/>
      <c r="GF36" s="63"/>
      <c r="GG36" s="63"/>
      <c r="GH36" s="63"/>
      <c r="GI36" s="63"/>
      <c r="GJ36" s="63"/>
      <c r="GK36" s="63"/>
      <c r="GL36" s="63"/>
      <c r="GM36" s="63"/>
      <c r="GN36" s="63"/>
      <c r="GO36" s="63"/>
      <c r="GP36" s="63"/>
      <c r="GQ36" s="63"/>
      <c r="GR36" s="63"/>
      <c r="GS36" s="63"/>
      <c r="GT36" s="63"/>
      <c r="GU36" s="63"/>
      <c r="GV36" s="63"/>
      <c r="GW36" s="63"/>
      <c r="GX36" s="63"/>
      <c r="GY36" s="63"/>
      <c r="GZ36" s="63"/>
      <c r="HA36" s="63"/>
      <c r="HB36" s="63"/>
      <c r="HC36" s="63"/>
      <c r="HD36" s="63"/>
      <c r="HE36" s="63"/>
      <c r="HF36" s="63"/>
      <c r="HG36" s="63"/>
      <c r="HH36" s="63"/>
      <c r="HI36" s="63"/>
      <c r="HJ36" s="63"/>
      <c r="HK36" s="63"/>
      <c r="HL36" s="63"/>
      <c r="HM36" s="63"/>
      <c r="HN36" s="63"/>
      <c r="HO36" s="63"/>
      <c r="HP36" s="63"/>
      <c r="HQ36" s="63"/>
      <c r="HR36" s="63"/>
      <c r="HS36" s="63"/>
      <c r="HT36" s="63"/>
      <c r="HU36" s="63"/>
      <c r="HV36" s="63"/>
      <c r="HW36" s="63"/>
      <c r="HX36" s="63"/>
      <c r="HY36" s="63"/>
      <c r="HZ36" s="63"/>
      <c r="IA36" s="63"/>
      <c r="IB36" s="63"/>
      <c r="IC36" s="63"/>
      <c r="ID36" s="63"/>
      <c r="IE36" s="63"/>
      <c r="IF36" s="63"/>
      <c r="IG36" s="63"/>
      <c r="IH36" s="63"/>
      <c r="II36" s="63"/>
      <c r="IJ36" s="63"/>
      <c r="IK36" s="63"/>
      <c r="IL36" s="63"/>
      <c r="IM36" s="63"/>
      <c r="IN36" s="63"/>
      <c r="IO36" s="63"/>
      <c r="IP36" s="63"/>
      <c r="IQ36" s="63"/>
      <c r="IR36" s="63"/>
      <c r="IS36" s="63"/>
      <c r="IT36" s="63"/>
      <c r="IU36" s="63"/>
      <c r="IV36" s="63"/>
      <c r="IW36" s="63"/>
      <c r="IX36" s="63"/>
      <c r="IY36" s="63"/>
      <c r="IZ36" s="63"/>
      <c r="JA36" s="63"/>
      <c r="JB36" s="63"/>
      <c r="JC36" s="63"/>
      <c r="JD36" s="63"/>
      <c r="JE36" s="63"/>
      <c r="JF36" s="63"/>
      <c r="JG36" s="63"/>
      <c r="JH36" s="63"/>
      <c r="JI36" s="63"/>
      <c r="JJ36" s="63"/>
      <c r="JK36" s="63"/>
      <c r="JL36" s="63"/>
      <c r="JM36" s="63"/>
      <c r="JN36" s="63"/>
      <c r="JO36" s="63"/>
      <c r="JP36" s="63"/>
      <c r="JQ36" s="63"/>
      <c r="JR36" s="63"/>
      <c r="JS36" s="63"/>
      <c r="JT36" s="63"/>
      <c r="JU36" s="63"/>
      <c r="JV36" s="63"/>
      <c r="JW36" s="63"/>
      <c r="JX36" s="63"/>
      <c r="JY36" s="63"/>
      <c r="JZ36" s="63"/>
      <c r="KA36" s="63"/>
      <c r="KB36" s="63"/>
      <c r="KC36" s="63"/>
      <c r="KD36" s="63"/>
      <c r="KE36" s="63"/>
      <c r="KF36" s="63"/>
      <c r="KG36" s="63"/>
      <c r="KH36" s="63"/>
      <c r="KI36" s="63"/>
      <c r="KJ36" s="63"/>
      <c r="KK36" s="63"/>
      <c r="KL36" s="63"/>
      <c r="KM36" s="63"/>
      <c r="KN36" s="63"/>
      <c r="KO36" s="63"/>
      <c r="KP36" s="63"/>
      <c r="KQ36" s="63"/>
      <c r="KR36" s="63"/>
      <c r="KS36" s="63"/>
      <c r="KT36" s="63"/>
      <c r="KU36" s="63"/>
      <c r="KV36" s="63"/>
      <c r="KW36" s="63"/>
      <c r="KX36" s="63"/>
      <c r="KY36" s="63"/>
      <c r="KZ36" s="63"/>
      <c r="LA36" s="63"/>
      <c r="LB36" s="63"/>
      <c r="LC36" s="63"/>
      <c r="LD36" s="63"/>
      <c r="LE36" s="63"/>
      <c r="LF36" s="63"/>
      <c r="LG36" s="63"/>
      <c r="LH36" s="63"/>
      <c r="LI36" s="63"/>
      <c r="LJ36" s="63"/>
      <c r="LK36" s="63"/>
      <c r="LL36" s="63"/>
      <c r="LM36" s="63"/>
      <c r="LN36" s="63"/>
      <c r="LO36" s="63"/>
      <c r="LP36" s="63"/>
      <c r="LQ36" s="63"/>
      <c r="LR36" s="63"/>
      <c r="LS36" s="63"/>
      <c r="LT36" s="63"/>
      <c r="LU36" s="63"/>
      <c r="LV36" s="63"/>
      <c r="LW36" s="63"/>
      <c r="LX36" s="63"/>
      <c r="LY36" s="63"/>
      <c r="LZ36" s="63"/>
      <c r="MA36" s="63"/>
      <c r="MB36" s="63"/>
      <c r="MC36" s="63"/>
      <c r="MD36" s="63"/>
      <c r="ME36" s="63"/>
      <c r="MF36" s="63"/>
      <c r="MG36" s="63"/>
      <c r="MH36" s="63"/>
      <c r="MI36" s="63"/>
      <c r="MJ36" s="63"/>
      <c r="MK36" s="63"/>
      <c r="ML36" s="63"/>
      <c r="MM36" s="63"/>
      <c r="MN36" s="63"/>
      <c r="MO36" s="63"/>
      <c r="MP36" s="63"/>
      <c r="MQ36" s="63"/>
      <c r="MR36" s="63"/>
      <c r="MS36" s="63"/>
      <c r="MT36" s="63"/>
      <c r="MU36" s="63"/>
      <c r="MV36" s="63"/>
      <c r="MW36" s="63"/>
      <c r="MX36" s="63"/>
      <c r="MY36" s="63"/>
      <c r="MZ36" s="63"/>
      <c r="NA36" s="63"/>
      <c r="NB36" s="63"/>
      <c r="NC36" s="63"/>
      <c r="ND36" s="63"/>
      <c r="NE36" s="63"/>
      <c r="NF36" s="63"/>
      <c r="NG36" s="63"/>
      <c r="NH36" s="63"/>
      <c r="NI36" s="63"/>
      <c r="NJ36" s="63"/>
      <c r="NK36" s="63"/>
      <c r="NL36" s="63"/>
      <c r="NM36" s="63"/>
      <c r="NN36" s="63"/>
      <c r="NO36" s="63"/>
      <c r="NP36" s="63"/>
      <c r="NQ36" s="63"/>
      <c r="NR36" s="63"/>
      <c r="NS36" s="63"/>
      <c r="NT36" s="63"/>
      <c r="NU36" s="63"/>
      <c r="NV36" s="63"/>
      <c r="NW36" s="63"/>
      <c r="NX36" s="63"/>
      <c r="NY36" s="63"/>
      <c r="NZ36" s="63"/>
      <c r="OA36" s="63"/>
      <c r="OB36" s="63"/>
      <c r="OC36" s="63"/>
      <c r="OD36" s="63"/>
      <c r="OE36" s="63"/>
      <c r="OF36" s="63"/>
      <c r="OG36" s="63"/>
      <c r="OH36" s="63"/>
      <c r="OI36" s="63"/>
      <c r="OJ36" s="64"/>
    </row>
    <row r="37" spans="1:400" ht="36" customHeight="1" x14ac:dyDescent="0.3">
      <c r="A37" s="2626" t="s">
        <v>1267</v>
      </c>
      <c r="B37" s="3666" t="s">
        <v>1268</v>
      </c>
      <c r="C37" s="3666"/>
      <c r="D37" s="2563" t="s">
        <v>1269</v>
      </c>
      <c r="E37" s="2563" t="s">
        <v>1270</v>
      </c>
      <c r="F37" s="2563" t="s">
        <v>1271</v>
      </c>
      <c r="G37" s="2563" t="s">
        <v>1255</v>
      </c>
      <c r="H37" s="2563" t="s">
        <v>1272</v>
      </c>
      <c r="I37" s="2563" t="s">
        <v>1273</v>
      </c>
      <c r="J37" s="3666" t="s">
        <v>1274</v>
      </c>
      <c r="K37" s="3666"/>
      <c r="L37" s="3678"/>
      <c r="M37" s="3679"/>
      <c r="N37" s="3680"/>
      <c r="O37" s="2639"/>
      <c r="P37" s="2639"/>
      <c r="Q37" s="2639"/>
      <c r="R37" s="2639"/>
      <c r="S37" s="2639"/>
      <c r="T37" s="2639"/>
      <c r="U37" s="2338"/>
      <c r="V37" s="2338"/>
      <c r="W37" s="2338"/>
      <c r="X37" s="2338"/>
      <c r="Y37" s="2338"/>
      <c r="Z37" s="2338"/>
      <c r="AA37" s="69"/>
      <c r="AB37" s="69"/>
      <c r="AC37" s="69"/>
      <c r="AD37" s="69"/>
      <c r="AE37" s="69"/>
      <c r="AF37" s="69"/>
      <c r="AG37" s="69"/>
      <c r="AH37" s="69"/>
      <c r="AI37" s="69"/>
      <c r="AJ37" s="69"/>
      <c r="AK37" s="69"/>
      <c r="AL37" s="69"/>
      <c r="AM37" s="69"/>
      <c r="AN37" s="69"/>
      <c r="AO37" s="69"/>
      <c r="AP37" s="69"/>
      <c r="AQ37" s="69"/>
      <c r="AR37" s="69"/>
      <c r="AS37" s="69"/>
      <c r="AT37" s="69"/>
      <c r="AU37" s="69"/>
      <c r="AV37" s="69"/>
      <c r="AW37" s="69"/>
      <c r="AX37" s="69"/>
      <c r="AY37" s="69"/>
      <c r="AZ37" s="69"/>
      <c r="BA37" s="69"/>
      <c r="BB37" s="69"/>
      <c r="BC37" s="69"/>
      <c r="BD37" s="69"/>
      <c r="BE37" s="69"/>
      <c r="BF37" s="69"/>
      <c r="BG37" s="69"/>
      <c r="BH37" s="69"/>
      <c r="BI37" s="69"/>
      <c r="BJ37" s="69"/>
      <c r="BK37" s="69"/>
      <c r="BL37" s="69"/>
      <c r="BM37" s="69"/>
      <c r="BN37" s="69"/>
      <c r="BO37" s="69"/>
      <c r="BP37" s="69"/>
      <c r="BQ37" s="69"/>
      <c r="BR37" s="69"/>
      <c r="BS37" s="69"/>
      <c r="BT37" s="69"/>
      <c r="BU37" s="69"/>
      <c r="BV37" s="69"/>
      <c r="BW37" s="69"/>
      <c r="BX37" s="69"/>
      <c r="BY37" s="69"/>
      <c r="BZ37" s="69"/>
      <c r="CA37" s="69"/>
      <c r="CB37" s="69"/>
      <c r="CC37" s="69"/>
      <c r="CD37" s="69"/>
      <c r="CE37" s="69"/>
      <c r="CF37" s="69"/>
      <c r="CG37" s="69"/>
      <c r="CH37" s="69"/>
      <c r="CI37" s="69"/>
      <c r="CJ37" s="69"/>
      <c r="CK37" s="69"/>
      <c r="CL37" s="69"/>
      <c r="CM37" s="69"/>
      <c r="CN37" s="69"/>
      <c r="CO37" s="69"/>
      <c r="CP37" s="69"/>
      <c r="CQ37" s="69"/>
      <c r="CR37" s="69"/>
      <c r="CS37" s="69"/>
      <c r="CT37" s="69"/>
      <c r="CU37" s="69"/>
      <c r="CV37" s="69"/>
      <c r="CW37" s="69"/>
      <c r="CX37" s="69"/>
      <c r="CY37" s="69"/>
      <c r="CZ37" s="69"/>
      <c r="DA37" s="69"/>
      <c r="DB37" s="69"/>
      <c r="DC37" s="69"/>
      <c r="DD37" s="69"/>
      <c r="DE37" s="69"/>
      <c r="DF37" s="69"/>
      <c r="DG37" s="69"/>
      <c r="DH37" s="69"/>
      <c r="DI37" s="69"/>
      <c r="DJ37" s="69"/>
      <c r="DK37" s="69"/>
      <c r="DL37" s="69"/>
      <c r="DM37" s="69"/>
      <c r="DN37" s="69"/>
      <c r="DO37" s="69"/>
      <c r="DP37" s="69"/>
      <c r="DQ37" s="69"/>
      <c r="DR37" s="69"/>
      <c r="DS37" s="69"/>
      <c r="DT37" s="69"/>
      <c r="DU37" s="69"/>
      <c r="DV37" s="69"/>
      <c r="DW37" s="69"/>
      <c r="DX37" s="69"/>
      <c r="DY37" s="69"/>
      <c r="DZ37" s="69"/>
      <c r="EA37" s="69"/>
      <c r="EB37" s="69"/>
      <c r="EC37" s="69"/>
      <c r="ED37" s="69"/>
      <c r="EE37" s="69"/>
      <c r="EF37" s="69"/>
      <c r="EG37" s="69"/>
      <c r="EH37" s="69"/>
      <c r="EI37" s="69"/>
      <c r="EJ37" s="69"/>
      <c r="EK37" s="69"/>
      <c r="EL37" s="69"/>
      <c r="EM37" s="69"/>
      <c r="EN37" s="69"/>
      <c r="EO37" s="69"/>
      <c r="EP37" s="69"/>
      <c r="EQ37" s="69"/>
      <c r="ER37" s="69"/>
      <c r="ES37" s="69"/>
      <c r="ET37" s="69"/>
      <c r="EU37" s="69"/>
      <c r="EV37" s="69"/>
      <c r="EW37" s="69"/>
      <c r="EX37" s="69"/>
      <c r="EY37" s="69"/>
      <c r="EZ37" s="69"/>
      <c r="FA37" s="69"/>
      <c r="FB37" s="69"/>
      <c r="FC37" s="69"/>
      <c r="FD37" s="69"/>
      <c r="FE37" s="69"/>
      <c r="FF37" s="69"/>
      <c r="FG37" s="69"/>
      <c r="FH37" s="69"/>
      <c r="FI37" s="69"/>
      <c r="FJ37" s="69"/>
      <c r="FK37" s="69"/>
      <c r="FL37" s="69"/>
      <c r="FM37" s="69"/>
      <c r="FN37" s="69"/>
      <c r="FO37" s="69"/>
      <c r="FP37" s="69"/>
      <c r="FQ37" s="69"/>
      <c r="FR37" s="69"/>
      <c r="FS37" s="69"/>
      <c r="FT37" s="69"/>
      <c r="FU37" s="69"/>
      <c r="FV37" s="69"/>
      <c r="FW37" s="69"/>
      <c r="FX37" s="69"/>
      <c r="FY37" s="69"/>
      <c r="FZ37" s="69"/>
      <c r="GA37" s="69"/>
      <c r="GB37" s="69"/>
      <c r="GC37" s="69"/>
      <c r="GD37" s="69"/>
      <c r="GE37" s="69"/>
      <c r="GF37" s="69"/>
      <c r="GG37" s="69"/>
      <c r="GH37" s="69"/>
      <c r="GI37" s="69"/>
      <c r="GJ37" s="69"/>
      <c r="GK37" s="69"/>
      <c r="GL37" s="69"/>
      <c r="GM37" s="69"/>
      <c r="GN37" s="69"/>
      <c r="GO37" s="69"/>
      <c r="GP37" s="69"/>
      <c r="GQ37" s="69"/>
      <c r="GR37" s="69"/>
      <c r="GS37" s="69"/>
      <c r="GT37" s="69"/>
      <c r="GU37" s="69"/>
      <c r="GV37" s="69"/>
      <c r="GW37" s="69"/>
      <c r="GX37" s="69"/>
      <c r="GY37" s="69"/>
      <c r="GZ37" s="69"/>
      <c r="HA37" s="69"/>
      <c r="HB37" s="69"/>
      <c r="HC37" s="69"/>
      <c r="HD37" s="69"/>
      <c r="HE37" s="69"/>
      <c r="HF37" s="69"/>
      <c r="HG37" s="69"/>
      <c r="HH37" s="69"/>
      <c r="HI37" s="69"/>
      <c r="HJ37" s="69"/>
      <c r="HK37" s="69"/>
      <c r="HL37" s="69"/>
      <c r="HM37" s="69"/>
      <c r="HN37" s="69"/>
      <c r="HO37" s="69"/>
      <c r="HP37" s="69"/>
      <c r="HQ37" s="69"/>
      <c r="HR37" s="69"/>
      <c r="HS37" s="69"/>
      <c r="HT37" s="69"/>
      <c r="HU37" s="69"/>
      <c r="HV37" s="69"/>
      <c r="HW37" s="69"/>
      <c r="HX37" s="69"/>
      <c r="HY37" s="69"/>
      <c r="HZ37" s="69"/>
      <c r="IA37" s="69"/>
      <c r="IB37" s="69"/>
      <c r="IC37" s="69"/>
      <c r="ID37" s="69"/>
      <c r="IE37" s="69"/>
      <c r="IF37" s="69"/>
      <c r="IG37" s="69"/>
      <c r="IH37" s="69"/>
      <c r="II37" s="69"/>
      <c r="IJ37" s="69"/>
      <c r="IK37" s="69"/>
      <c r="IL37" s="69"/>
      <c r="IM37" s="69"/>
      <c r="IN37" s="69"/>
      <c r="IO37" s="69"/>
      <c r="IP37" s="69"/>
      <c r="IQ37" s="69"/>
      <c r="IR37" s="69"/>
      <c r="IS37" s="69"/>
      <c r="IT37" s="69"/>
      <c r="IU37" s="69"/>
      <c r="IV37" s="69"/>
      <c r="IW37" s="69"/>
      <c r="IX37" s="69"/>
      <c r="IY37" s="69"/>
      <c r="IZ37" s="69"/>
      <c r="JA37" s="69"/>
      <c r="JB37" s="69"/>
      <c r="JC37" s="69"/>
      <c r="JD37" s="69"/>
      <c r="JE37" s="69"/>
      <c r="JF37" s="69"/>
      <c r="JG37" s="69"/>
      <c r="JH37" s="69"/>
      <c r="JI37" s="69"/>
      <c r="JJ37" s="69"/>
      <c r="JK37" s="69"/>
      <c r="JL37" s="69"/>
      <c r="JM37" s="69"/>
      <c r="JN37" s="69"/>
      <c r="JO37" s="69"/>
      <c r="JP37" s="69"/>
      <c r="JQ37" s="69"/>
      <c r="JR37" s="69"/>
      <c r="JS37" s="69"/>
      <c r="JT37" s="69"/>
      <c r="JU37" s="69"/>
      <c r="JV37" s="69"/>
      <c r="JW37" s="69"/>
      <c r="JX37" s="69"/>
      <c r="JY37" s="69"/>
      <c r="JZ37" s="69"/>
      <c r="KA37" s="69"/>
      <c r="KB37" s="69"/>
      <c r="KC37" s="69"/>
      <c r="KD37" s="69"/>
      <c r="KE37" s="69"/>
      <c r="KF37" s="69"/>
      <c r="KG37" s="69"/>
      <c r="KH37" s="69"/>
      <c r="KI37" s="69"/>
      <c r="KJ37" s="69"/>
      <c r="KK37" s="69"/>
      <c r="KL37" s="69"/>
      <c r="KM37" s="69"/>
      <c r="KN37" s="69"/>
      <c r="KO37" s="69"/>
      <c r="KP37" s="69"/>
      <c r="KQ37" s="69"/>
      <c r="KR37" s="69"/>
      <c r="KS37" s="69"/>
      <c r="KT37" s="69"/>
      <c r="KU37" s="69"/>
      <c r="KV37" s="69"/>
      <c r="KW37" s="69"/>
      <c r="KX37" s="69"/>
      <c r="KY37" s="69"/>
      <c r="KZ37" s="69"/>
      <c r="LA37" s="69"/>
      <c r="LB37" s="69"/>
      <c r="LC37" s="69"/>
      <c r="LD37" s="69"/>
      <c r="LE37" s="69"/>
      <c r="LF37" s="69"/>
      <c r="LG37" s="69"/>
      <c r="LH37" s="69"/>
      <c r="LI37" s="69"/>
      <c r="LJ37" s="69"/>
      <c r="LK37" s="69"/>
      <c r="LL37" s="69"/>
      <c r="LM37" s="69"/>
      <c r="LN37" s="69"/>
      <c r="LO37" s="69"/>
      <c r="LP37" s="69"/>
      <c r="LQ37" s="69"/>
      <c r="LR37" s="69"/>
      <c r="LS37" s="69"/>
      <c r="LT37" s="69"/>
      <c r="LU37" s="69"/>
      <c r="LV37" s="69"/>
      <c r="LW37" s="69"/>
      <c r="LX37" s="69"/>
      <c r="LY37" s="69"/>
      <c r="LZ37" s="69"/>
      <c r="MA37" s="69"/>
      <c r="MB37" s="69"/>
      <c r="MC37" s="69"/>
      <c r="MD37" s="69"/>
      <c r="ME37" s="69"/>
      <c r="MF37" s="69"/>
      <c r="MG37" s="69"/>
      <c r="MH37" s="69"/>
      <c r="MI37" s="69"/>
      <c r="MJ37" s="69"/>
      <c r="MK37" s="69"/>
      <c r="ML37" s="69"/>
      <c r="MM37" s="69"/>
      <c r="MN37" s="69"/>
      <c r="MO37" s="69"/>
      <c r="MP37" s="69"/>
      <c r="MQ37" s="69"/>
      <c r="MR37" s="69"/>
      <c r="MS37" s="69"/>
      <c r="MT37" s="69"/>
      <c r="MU37" s="69"/>
      <c r="MV37" s="69"/>
      <c r="MW37" s="69"/>
      <c r="MX37" s="69"/>
      <c r="MY37" s="69"/>
      <c r="MZ37" s="69"/>
      <c r="NA37" s="69"/>
      <c r="NB37" s="69"/>
      <c r="NC37" s="69"/>
      <c r="ND37" s="69"/>
      <c r="NE37" s="69"/>
      <c r="NF37" s="69"/>
      <c r="NG37" s="69"/>
      <c r="NH37" s="69"/>
      <c r="NI37" s="69"/>
      <c r="NJ37" s="69"/>
      <c r="NK37" s="69"/>
      <c r="NL37" s="69"/>
      <c r="NM37" s="69"/>
      <c r="NN37" s="69"/>
      <c r="NO37" s="69"/>
      <c r="NP37" s="69"/>
      <c r="NQ37" s="69"/>
      <c r="NR37" s="69"/>
      <c r="NS37" s="69"/>
      <c r="NT37" s="69"/>
      <c r="NU37" s="69"/>
      <c r="NV37" s="69"/>
      <c r="NW37" s="69"/>
      <c r="NX37" s="69"/>
      <c r="NY37" s="69"/>
      <c r="NZ37" s="69"/>
      <c r="OA37" s="69"/>
      <c r="OB37" s="69"/>
      <c r="OC37" s="69"/>
      <c r="OD37" s="69"/>
      <c r="OE37" s="69"/>
      <c r="OF37" s="69"/>
      <c r="OG37" s="69"/>
      <c r="OH37" s="69"/>
      <c r="OI37" s="69"/>
      <c r="OJ37" s="70"/>
    </row>
    <row r="38" spans="1:400" ht="36" customHeight="1" x14ac:dyDescent="0.3">
      <c r="A38" s="2627" t="s">
        <v>1275</v>
      </c>
      <c r="B38" s="3663" t="s">
        <v>1276</v>
      </c>
      <c r="C38" s="3663"/>
      <c r="D38" s="2628" t="s">
        <v>1269</v>
      </c>
      <c r="E38" s="2628" t="s">
        <v>1277</v>
      </c>
      <c r="F38" s="2628" t="s">
        <v>1278</v>
      </c>
      <c r="G38" s="2628" t="s">
        <v>1279</v>
      </c>
      <c r="H38" s="2628" t="s">
        <v>1280</v>
      </c>
      <c r="I38" s="2628" t="s">
        <v>1281</v>
      </c>
      <c r="J38" s="3663" t="s">
        <v>1282</v>
      </c>
      <c r="K38" s="3663"/>
      <c r="L38" s="3672"/>
      <c r="M38" s="3673"/>
      <c r="N38" s="3674"/>
      <c r="O38" s="2639"/>
      <c r="P38" s="2639"/>
      <c r="Q38" s="2639"/>
      <c r="R38" s="2639"/>
      <c r="S38" s="2639"/>
      <c r="T38" s="2639"/>
      <c r="U38" s="2338"/>
      <c r="V38" s="2338"/>
      <c r="W38" s="2338"/>
      <c r="X38" s="2338"/>
      <c r="Y38" s="2338"/>
      <c r="Z38" s="2338"/>
      <c r="AA38" s="63"/>
      <c r="AB38" s="63"/>
      <c r="AC38" s="63"/>
      <c r="AD38" s="63"/>
      <c r="AE38" s="63"/>
      <c r="AF38" s="63"/>
      <c r="AG38" s="63"/>
      <c r="AH38" s="63"/>
      <c r="AI38" s="63"/>
      <c r="AJ38" s="63"/>
      <c r="AK38" s="63"/>
      <c r="AL38" s="63"/>
      <c r="AM38" s="63"/>
      <c r="AN38" s="63"/>
      <c r="AO38" s="63"/>
      <c r="AP38" s="63"/>
      <c r="AQ38" s="63"/>
      <c r="AR38" s="63"/>
      <c r="AS38" s="63"/>
      <c r="AT38" s="63"/>
      <c r="AU38" s="63"/>
      <c r="AV38" s="63"/>
      <c r="AW38" s="63"/>
      <c r="AX38" s="63"/>
      <c r="AY38" s="63"/>
      <c r="AZ38" s="63"/>
      <c r="BA38" s="63"/>
      <c r="BB38" s="63"/>
      <c r="BC38" s="63"/>
      <c r="BD38" s="63"/>
      <c r="BE38" s="63"/>
      <c r="BF38" s="63"/>
      <c r="BG38" s="63"/>
      <c r="BH38" s="63"/>
      <c r="BI38" s="63"/>
      <c r="BJ38" s="63"/>
      <c r="BK38" s="63"/>
      <c r="BL38" s="63"/>
      <c r="BM38" s="63"/>
      <c r="BN38" s="63"/>
      <c r="BO38" s="63"/>
      <c r="BP38" s="63"/>
      <c r="BQ38" s="63"/>
      <c r="BR38" s="63"/>
      <c r="BS38" s="63"/>
      <c r="BT38" s="63"/>
      <c r="BU38" s="63"/>
      <c r="BV38" s="63"/>
      <c r="BW38" s="63"/>
      <c r="BX38" s="63"/>
      <c r="BY38" s="63"/>
      <c r="BZ38" s="63"/>
      <c r="CA38" s="63"/>
      <c r="CB38" s="63"/>
      <c r="CC38" s="63"/>
      <c r="CD38" s="63"/>
      <c r="CE38" s="63"/>
      <c r="CF38" s="63"/>
      <c r="CG38" s="63"/>
      <c r="CH38" s="63"/>
      <c r="CI38" s="63"/>
      <c r="CJ38" s="63"/>
      <c r="CK38" s="63"/>
      <c r="CL38" s="63"/>
      <c r="CM38" s="63"/>
      <c r="CN38" s="63"/>
      <c r="CO38" s="63"/>
      <c r="CP38" s="63"/>
      <c r="CQ38" s="63"/>
      <c r="CR38" s="63"/>
      <c r="CS38" s="63"/>
      <c r="CT38" s="63"/>
      <c r="CU38" s="63"/>
      <c r="CV38" s="63"/>
      <c r="CW38" s="63"/>
      <c r="CX38" s="63"/>
      <c r="CY38" s="63"/>
      <c r="CZ38" s="63"/>
      <c r="DA38" s="63"/>
      <c r="DB38" s="63"/>
      <c r="DC38" s="63"/>
      <c r="DD38" s="63"/>
      <c r="DE38" s="63"/>
      <c r="DF38" s="63"/>
      <c r="DG38" s="63"/>
      <c r="DH38" s="63"/>
      <c r="DI38" s="63"/>
      <c r="DJ38" s="63"/>
      <c r="DK38" s="63"/>
      <c r="DL38" s="63"/>
      <c r="DM38" s="63"/>
      <c r="DN38" s="63"/>
      <c r="DO38" s="63"/>
      <c r="DP38" s="63"/>
      <c r="DQ38" s="63"/>
      <c r="DR38" s="63"/>
      <c r="DS38" s="63"/>
      <c r="DT38" s="63"/>
      <c r="DU38" s="63"/>
      <c r="DV38" s="63"/>
      <c r="DW38" s="63"/>
      <c r="DX38" s="63"/>
      <c r="DY38" s="63"/>
      <c r="DZ38" s="63"/>
      <c r="EA38" s="63"/>
      <c r="EB38" s="63"/>
      <c r="EC38" s="63"/>
      <c r="ED38" s="63"/>
      <c r="EE38" s="63"/>
      <c r="EF38" s="63"/>
      <c r="EG38" s="63"/>
      <c r="EH38" s="63"/>
      <c r="EI38" s="63"/>
      <c r="EJ38" s="63"/>
      <c r="EK38" s="63"/>
      <c r="EL38" s="63"/>
      <c r="EM38" s="63"/>
      <c r="EN38" s="63"/>
      <c r="EO38" s="63"/>
      <c r="EP38" s="63"/>
      <c r="EQ38" s="63"/>
      <c r="ER38" s="63"/>
      <c r="ES38" s="63"/>
      <c r="ET38" s="63"/>
      <c r="EU38" s="63"/>
      <c r="EV38" s="63"/>
      <c r="EW38" s="63"/>
      <c r="EX38" s="63"/>
      <c r="EY38" s="63"/>
      <c r="EZ38" s="63"/>
      <c r="FA38" s="63"/>
      <c r="FB38" s="63"/>
      <c r="FC38" s="63"/>
      <c r="FD38" s="63"/>
      <c r="FE38" s="63"/>
      <c r="FF38" s="63"/>
      <c r="FG38" s="63"/>
      <c r="FH38" s="63"/>
      <c r="FI38" s="63"/>
      <c r="FJ38" s="63"/>
      <c r="FK38" s="63"/>
      <c r="FL38" s="63"/>
      <c r="FM38" s="63"/>
      <c r="FN38" s="63"/>
      <c r="FO38" s="63"/>
      <c r="FP38" s="63"/>
      <c r="FQ38" s="63"/>
      <c r="FR38" s="63"/>
      <c r="FS38" s="63"/>
      <c r="FT38" s="63"/>
      <c r="FU38" s="63"/>
      <c r="FV38" s="63"/>
      <c r="FW38" s="63"/>
      <c r="FX38" s="63"/>
      <c r="FY38" s="63"/>
      <c r="FZ38" s="63"/>
      <c r="GA38" s="63"/>
      <c r="GB38" s="63"/>
      <c r="GC38" s="63"/>
      <c r="GD38" s="63"/>
      <c r="GE38" s="63"/>
      <c r="GF38" s="63"/>
      <c r="GG38" s="63"/>
      <c r="GH38" s="63"/>
      <c r="GI38" s="63"/>
      <c r="GJ38" s="63"/>
      <c r="GK38" s="63"/>
      <c r="GL38" s="63"/>
      <c r="GM38" s="63"/>
      <c r="GN38" s="63"/>
      <c r="GO38" s="63"/>
      <c r="GP38" s="63"/>
      <c r="GQ38" s="63"/>
      <c r="GR38" s="63"/>
      <c r="GS38" s="63"/>
      <c r="GT38" s="63"/>
      <c r="GU38" s="63"/>
      <c r="GV38" s="63"/>
      <c r="GW38" s="63"/>
      <c r="GX38" s="63"/>
      <c r="GY38" s="63"/>
      <c r="GZ38" s="63"/>
      <c r="HA38" s="63"/>
      <c r="HB38" s="63"/>
      <c r="HC38" s="63"/>
      <c r="HD38" s="63"/>
      <c r="HE38" s="63"/>
      <c r="HF38" s="63"/>
      <c r="HG38" s="63"/>
      <c r="HH38" s="63"/>
      <c r="HI38" s="63"/>
      <c r="HJ38" s="63"/>
      <c r="HK38" s="63"/>
      <c r="HL38" s="63"/>
      <c r="HM38" s="63"/>
      <c r="HN38" s="63"/>
      <c r="HO38" s="63"/>
      <c r="HP38" s="63"/>
      <c r="HQ38" s="63"/>
      <c r="HR38" s="63"/>
      <c r="HS38" s="63"/>
      <c r="HT38" s="63"/>
      <c r="HU38" s="63"/>
      <c r="HV38" s="63"/>
      <c r="HW38" s="63"/>
      <c r="HX38" s="63"/>
      <c r="HY38" s="63"/>
      <c r="HZ38" s="63"/>
      <c r="IA38" s="63"/>
      <c r="IB38" s="63"/>
      <c r="IC38" s="63"/>
      <c r="ID38" s="63"/>
      <c r="IE38" s="63"/>
      <c r="IF38" s="63"/>
      <c r="IG38" s="63"/>
      <c r="IH38" s="63"/>
      <c r="II38" s="63"/>
      <c r="IJ38" s="63"/>
      <c r="IK38" s="63"/>
      <c r="IL38" s="63"/>
      <c r="IM38" s="63"/>
      <c r="IN38" s="63"/>
      <c r="IO38" s="63"/>
      <c r="IP38" s="63"/>
      <c r="IQ38" s="63"/>
      <c r="IR38" s="63"/>
      <c r="IS38" s="63"/>
      <c r="IT38" s="63"/>
      <c r="IU38" s="63"/>
      <c r="IV38" s="63"/>
      <c r="IW38" s="63"/>
      <c r="IX38" s="63"/>
      <c r="IY38" s="63"/>
      <c r="IZ38" s="63"/>
      <c r="JA38" s="63"/>
      <c r="JB38" s="63"/>
      <c r="JC38" s="63"/>
      <c r="JD38" s="63"/>
      <c r="JE38" s="63"/>
      <c r="JF38" s="63"/>
      <c r="JG38" s="63"/>
      <c r="JH38" s="63"/>
      <c r="JI38" s="63"/>
      <c r="JJ38" s="63"/>
      <c r="JK38" s="63"/>
      <c r="JL38" s="63"/>
      <c r="JM38" s="63"/>
      <c r="JN38" s="63"/>
      <c r="JO38" s="63"/>
      <c r="JP38" s="63"/>
      <c r="JQ38" s="63"/>
      <c r="JR38" s="63"/>
      <c r="JS38" s="63"/>
      <c r="JT38" s="63"/>
      <c r="JU38" s="63"/>
      <c r="JV38" s="63"/>
      <c r="JW38" s="63"/>
      <c r="JX38" s="63"/>
      <c r="JY38" s="63"/>
      <c r="JZ38" s="63"/>
      <c r="KA38" s="63"/>
      <c r="KB38" s="63"/>
      <c r="KC38" s="63"/>
      <c r="KD38" s="63"/>
      <c r="KE38" s="63"/>
      <c r="KF38" s="63"/>
      <c r="KG38" s="63"/>
      <c r="KH38" s="63"/>
      <c r="KI38" s="63"/>
      <c r="KJ38" s="63"/>
      <c r="KK38" s="63"/>
      <c r="KL38" s="63"/>
      <c r="KM38" s="63"/>
      <c r="KN38" s="63"/>
      <c r="KO38" s="63"/>
      <c r="KP38" s="63"/>
      <c r="KQ38" s="63"/>
      <c r="KR38" s="63"/>
      <c r="KS38" s="63"/>
      <c r="KT38" s="63"/>
      <c r="KU38" s="63"/>
      <c r="KV38" s="63"/>
      <c r="KW38" s="63"/>
      <c r="KX38" s="63"/>
      <c r="KY38" s="63"/>
      <c r="KZ38" s="63"/>
      <c r="LA38" s="63"/>
      <c r="LB38" s="63"/>
      <c r="LC38" s="63"/>
      <c r="LD38" s="63"/>
      <c r="LE38" s="63"/>
      <c r="LF38" s="63"/>
      <c r="LG38" s="63"/>
      <c r="LH38" s="63"/>
      <c r="LI38" s="63"/>
      <c r="LJ38" s="63"/>
      <c r="LK38" s="63"/>
      <c r="LL38" s="63"/>
      <c r="LM38" s="63"/>
      <c r="LN38" s="63"/>
      <c r="LO38" s="63"/>
      <c r="LP38" s="63"/>
      <c r="LQ38" s="63"/>
      <c r="LR38" s="63"/>
      <c r="LS38" s="63"/>
      <c r="LT38" s="63"/>
      <c r="LU38" s="63"/>
      <c r="LV38" s="63"/>
      <c r="LW38" s="63"/>
      <c r="LX38" s="63"/>
      <c r="LY38" s="63"/>
      <c r="LZ38" s="63"/>
      <c r="MA38" s="63"/>
      <c r="MB38" s="63"/>
      <c r="MC38" s="63"/>
      <c r="MD38" s="63"/>
      <c r="ME38" s="63"/>
      <c r="MF38" s="63"/>
      <c r="MG38" s="63"/>
      <c r="MH38" s="63"/>
      <c r="MI38" s="63"/>
      <c r="MJ38" s="63"/>
      <c r="MK38" s="63"/>
      <c r="ML38" s="63"/>
      <c r="MM38" s="63"/>
      <c r="MN38" s="63"/>
      <c r="MO38" s="63"/>
      <c r="MP38" s="63"/>
      <c r="MQ38" s="63"/>
      <c r="MR38" s="63"/>
      <c r="MS38" s="63"/>
      <c r="MT38" s="63"/>
      <c r="MU38" s="63"/>
      <c r="MV38" s="63"/>
      <c r="MW38" s="63"/>
      <c r="MX38" s="63"/>
      <c r="MY38" s="63"/>
      <c r="MZ38" s="63"/>
      <c r="NA38" s="63"/>
      <c r="NB38" s="63"/>
      <c r="NC38" s="63"/>
      <c r="ND38" s="63"/>
      <c r="NE38" s="63"/>
      <c r="NF38" s="63"/>
      <c r="NG38" s="63"/>
      <c r="NH38" s="63"/>
      <c r="NI38" s="63"/>
      <c r="NJ38" s="63"/>
      <c r="NK38" s="63"/>
      <c r="NL38" s="63"/>
      <c r="NM38" s="63"/>
      <c r="NN38" s="63"/>
      <c r="NO38" s="63"/>
      <c r="NP38" s="63"/>
      <c r="NQ38" s="63"/>
      <c r="NR38" s="63"/>
      <c r="NS38" s="63"/>
      <c r="NT38" s="63"/>
      <c r="NU38" s="63"/>
      <c r="NV38" s="63"/>
      <c r="NW38" s="63"/>
      <c r="NX38" s="63"/>
      <c r="NY38" s="63"/>
      <c r="NZ38" s="63"/>
      <c r="OA38" s="63"/>
      <c r="OB38" s="63"/>
      <c r="OC38" s="63"/>
      <c r="OD38" s="63"/>
      <c r="OE38" s="63"/>
      <c r="OF38" s="63"/>
      <c r="OG38" s="63"/>
      <c r="OH38" s="63"/>
      <c r="OI38" s="63"/>
      <c r="OJ38" s="64"/>
    </row>
    <row r="39" spans="1:400" x14ac:dyDescent="0.3">
      <c r="A39" s="93"/>
      <c r="B39" s="94"/>
      <c r="C39" s="94"/>
      <c r="D39" s="94"/>
      <c r="E39" s="94"/>
      <c r="F39" s="94"/>
      <c r="G39" s="94"/>
      <c r="H39" s="94"/>
      <c r="I39" s="94"/>
      <c r="J39" s="94"/>
      <c r="K39" s="94"/>
      <c r="L39" s="94"/>
      <c r="M39" s="94"/>
      <c r="N39" s="94"/>
      <c r="O39" s="49"/>
      <c r="P39" s="49"/>
      <c r="Q39" s="49"/>
      <c r="R39" s="49"/>
      <c r="S39" s="49"/>
      <c r="T39" s="49"/>
      <c r="U39" s="69"/>
      <c r="V39" s="69"/>
      <c r="W39" s="69"/>
      <c r="X39" s="69"/>
      <c r="Y39" s="69"/>
      <c r="Z39" s="69"/>
      <c r="AA39" s="69"/>
      <c r="AB39" s="69"/>
      <c r="AC39" s="69"/>
      <c r="AD39" s="69"/>
      <c r="AE39" s="69"/>
      <c r="AF39" s="69"/>
      <c r="AG39" s="69"/>
      <c r="AH39" s="69"/>
      <c r="AI39" s="69"/>
      <c r="AJ39" s="69"/>
      <c r="AK39" s="69"/>
      <c r="AL39" s="69"/>
      <c r="AM39" s="69"/>
      <c r="AN39" s="69"/>
      <c r="AO39" s="69"/>
      <c r="AP39" s="69"/>
      <c r="AQ39" s="69"/>
      <c r="AR39" s="69"/>
      <c r="AS39" s="69"/>
      <c r="AT39" s="69"/>
      <c r="AU39" s="69"/>
      <c r="AV39" s="69"/>
      <c r="AW39" s="69"/>
      <c r="AX39" s="69"/>
      <c r="AY39" s="69"/>
      <c r="AZ39" s="69"/>
      <c r="BA39" s="69"/>
      <c r="BB39" s="69"/>
      <c r="BC39" s="69"/>
      <c r="BD39" s="69"/>
      <c r="BE39" s="69"/>
      <c r="BF39" s="69"/>
      <c r="BG39" s="69"/>
      <c r="BH39" s="69"/>
      <c r="BI39" s="69"/>
      <c r="BJ39" s="69"/>
      <c r="BK39" s="69"/>
      <c r="BL39" s="69"/>
      <c r="BM39" s="69"/>
      <c r="BN39" s="69"/>
      <c r="BO39" s="69"/>
      <c r="BP39" s="69"/>
      <c r="BQ39" s="69"/>
      <c r="BR39" s="69"/>
      <c r="BS39" s="69"/>
      <c r="BT39" s="69"/>
      <c r="BU39" s="69"/>
      <c r="BV39" s="69"/>
      <c r="BW39" s="69"/>
      <c r="BX39" s="69"/>
      <c r="BY39" s="69"/>
      <c r="BZ39" s="69"/>
      <c r="CA39" s="69"/>
      <c r="CB39" s="69"/>
      <c r="CC39" s="69"/>
      <c r="CD39" s="69"/>
      <c r="CE39" s="69"/>
      <c r="CF39" s="69"/>
      <c r="CG39" s="69"/>
      <c r="CH39" s="69"/>
      <c r="CI39" s="69"/>
      <c r="CJ39" s="69"/>
      <c r="CK39" s="69"/>
      <c r="CL39" s="69"/>
      <c r="CM39" s="69"/>
      <c r="CN39" s="69"/>
      <c r="CO39" s="69"/>
      <c r="CP39" s="69"/>
      <c r="CQ39" s="69"/>
      <c r="CR39" s="69"/>
      <c r="CS39" s="69"/>
      <c r="CT39" s="69"/>
      <c r="CU39" s="69"/>
      <c r="CV39" s="69"/>
      <c r="CW39" s="69"/>
      <c r="CX39" s="69"/>
      <c r="CY39" s="69"/>
      <c r="CZ39" s="69"/>
      <c r="DA39" s="69"/>
      <c r="DB39" s="69"/>
      <c r="DC39" s="69"/>
      <c r="DD39" s="69"/>
      <c r="DE39" s="69"/>
      <c r="DF39" s="69"/>
      <c r="DG39" s="69"/>
      <c r="DH39" s="69"/>
      <c r="DI39" s="69"/>
      <c r="DJ39" s="69"/>
      <c r="DK39" s="69"/>
      <c r="DL39" s="69"/>
      <c r="DM39" s="69"/>
      <c r="DN39" s="69"/>
      <c r="DO39" s="69"/>
      <c r="DP39" s="69"/>
      <c r="DQ39" s="69"/>
      <c r="DR39" s="69"/>
      <c r="DS39" s="69"/>
      <c r="DT39" s="69"/>
      <c r="DU39" s="69"/>
      <c r="DV39" s="69"/>
      <c r="DW39" s="69"/>
      <c r="DX39" s="69"/>
      <c r="DY39" s="69"/>
      <c r="DZ39" s="69"/>
      <c r="EA39" s="69"/>
      <c r="EB39" s="69"/>
      <c r="EC39" s="69"/>
      <c r="ED39" s="69"/>
      <c r="EE39" s="69"/>
      <c r="EF39" s="69"/>
      <c r="EG39" s="69"/>
      <c r="EH39" s="69"/>
      <c r="EI39" s="69"/>
      <c r="EJ39" s="69"/>
      <c r="EK39" s="69"/>
      <c r="EL39" s="69"/>
      <c r="EM39" s="69"/>
      <c r="EN39" s="69"/>
      <c r="EO39" s="69"/>
      <c r="EP39" s="69"/>
      <c r="EQ39" s="69"/>
      <c r="ER39" s="69"/>
      <c r="ES39" s="69"/>
      <c r="ET39" s="69"/>
      <c r="EU39" s="69"/>
      <c r="EV39" s="69"/>
      <c r="EW39" s="69"/>
      <c r="EX39" s="69"/>
      <c r="EY39" s="69"/>
      <c r="EZ39" s="69"/>
      <c r="FA39" s="69"/>
      <c r="FB39" s="69"/>
      <c r="FC39" s="69"/>
      <c r="FD39" s="69"/>
      <c r="FE39" s="69"/>
      <c r="FF39" s="69"/>
      <c r="FG39" s="69"/>
      <c r="FH39" s="69"/>
      <c r="FI39" s="69"/>
      <c r="FJ39" s="69"/>
      <c r="FK39" s="69"/>
      <c r="FL39" s="69"/>
      <c r="FM39" s="69"/>
      <c r="FN39" s="69"/>
      <c r="FO39" s="69"/>
      <c r="FP39" s="69"/>
      <c r="FQ39" s="69"/>
      <c r="FR39" s="69"/>
      <c r="FS39" s="69"/>
      <c r="FT39" s="69"/>
      <c r="FU39" s="69"/>
      <c r="FV39" s="69"/>
      <c r="FW39" s="69"/>
      <c r="FX39" s="69"/>
      <c r="FY39" s="69"/>
      <c r="FZ39" s="69"/>
      <c r="GA39" s="69"/>
      <c r="GB39" s="69"/>
      <c r="GC39" s="69"/>
      <c r="GD39" s="69"/>
      <c r="GE39" s="69"/>
      <c r="GF39" s="69"/>
      <c r="GG39" s="69"/>
      <c r="GH39" s="69"/>
      <c r="GI39" s="69"/>
      <c r="GJ39" s="69"/>
      <c r="GK39" s="69"/>
      <c r="GL39" s="69"/>
      <c r="GM39" s="69"/>
      <c r="GN39" s="69"/>
      <c r="GO39" s="69"/>
      <c r="GP39" s="69"/>
      <c r="GQ39" s="69"/>
      <c r="GR39" s="69"/>
      <c r="GS39" s="69"/>
      <c r="GT39" s="69"/>
      <c r="GU39" s="69"/>
      <c r="GV39" s="69"/>
      <c r="GW39" s="69"/>
      <c r="GX39" s="69"/>
      <c r="GY39" s="69"/>
      <c r="GZ39" s="69"/>
      <c r="HA39" s="69"/>
      <c r="HB39" s="69"/>
      <c r="HC39" s="69"/>
      <c r="HD39" s="69"/>
      <c r="HE39" s="69"/>
      <c r="HF39" s="69"/>
      <c r="HG39" s="69"/>
      <c r="HH39" s="69"/>
      <c r="HI39" s="69"/>
      <c r="HJ39" s="69"/>
      <c r="HK39" s="69"/>
      <c r="HL39" s="69"/>
      <c r="HM39" s="69"/>
      <c r="HN39" s="69"/>
      <c r="HO39" s="69"/>
      <c r="HP39" s="69"/>
      <c r="HQ39" s="69"/>
      <c r="HR39" s="69"/>
      <c r="HS39" s="69"/>
      <c r="HT39" s="69"/>
      <c r="HU39" s="69"/>
      <c r="HV39" s="69"/>
      <c r="HW39" s="69"/>
      <c r="HX39" s="69"/>
      <c r="HY39" s="69"/>
      <c r="HZ39" s="69"/>
      <c r="IA39" s="69"/>
      <c r="IB39" s="69"/>
      <c r="IC39" s="69"/>
      <c r="ID39" s="69"/>
      <c r="IE39" s="69"/>
      <c r="IF39" s="69"/>
      <c r="IG39" s="69"/>
      <c r="IH39" s="69"/>
      <c r="II39" s="69"/>
      <c r="IJ39" s="69"/>
      <c r="IK39" s="69"/>
      <c r="IL39" s="69"/>
      <c r="IM39" s="69"/>
      <c r="IN39" s="69"/>
      <c r="IO39" s="69"/>
      <c r="IP39" s="69"/>
      <c r="IQ39" s="69"/>
      <c r="IR39" s="69"/>
      <c r="IS39" s="69"/>
      <c r="IT39" s="69"/>
      <c r="IU39" s="69"/>
      <c r="IV39" s="69"/>
      <c r="IW39" s="69"/>
      <c r="IX39" s="69"/>
      <c r="IY39" s="69"/>
      <c r="IZ39" s="69"/>
      <c r="JA39" s="69"/>
      <c r="JB39" s="69"/>
      <c r="JC39" s="69"/>
      <c r="JD39" s="69"/>
      <c r="JE39" s="69"/>
      <c r="JF39" s="69"/>
      <c r="JG39" s="69"/>
      <c r="JH39" s="69"/>
      <c r="JI39" s="69"/>
      <c r="JJ39" s="69"/>
      <c r="JK39" s="69"/>
      <c r="JL39" s="69"/>
      <c r="JM39" s="69"/>
      <c r="JN39" s="69"/>
      <c r="JO39" s="69"/>
      <c r="JP39" s="69"/>
      <c r="JQ39" s="69"/>
      <c r="JR39" s="69"/>
      <c r="JS39" s="69"/>
      <c r="JT39" s="69"/>
      <c r="JU39" s="69"/>
      <c r="JV39" s="69"/>
      <c r="JW39" s="69"/>
      <c r="JX39" s="69"/>
      <c r="JY39" s="69"/>
      <c r="JZ39" s="69"/>
      <c r="KA39" s="69"/>
      <c r="KB39" s="69"/>
      <c r="KC39" s="69"/>
      <c r="KD39" s="69"/>
      <c r="KE39" s="69"/>
      <c r="KF39" s="69"/>
      <c r="KG39" s="69"/>
      <c r="KH39" s="69"/>
      <c r="KI39" s="69"/>
      <c r="KJ39" s="69"/>
      <c r="KK39" s="69"/>
      <c r="KL39" s="69"/>
      <c r="KM39" s="69"/>
      <c r="KN39" s="69"/>
      <c r="KO39" s="69"/>
      <c r="KP39" s="69"/>
      <c r="KQ39" s="69"/>
      <c r="KR39" s="69"/>
      <c r="KS39" s="69"/>
      <c r="KT39" s="69"/>
      <c r="KU39" s="69"/>
      <c r="KV39" s="69"/>
      <c r="KW39" s="69"/>
      <c r="KX39" s="69"/>
      <c r="KY39" s="69"/>
      <c r="KZ39" s="69"/>
      <c r="LA39" s="69"/>
      <c r="LB39" s="69"/>
      <c r="LC39" s="69"/>
      <c r="LD39" s="69"/>
      <c r="LE39" s="69"/>
      <c r="LF39" s="69"/>
      <c r="LG39" s="69"/>
      <c r="LH39" s="69"/>
      <c r="LI39" s="69"/>
      <c r="LJ39" s="69"/>
      <c r="LK39" s="69"/>
      <c r="LL39" s="69"/>
      <c r="LM39" s="69"/>
      <c r="LN39" s="69"/>
      <c r="LO39" s="69"/>
      <c r="LP39" s="69"/>
      <c r="LQ39" s="69"/>
      <c r="LR39" s="69"/>
      <c r="LS39" s="69"/>
      <c r="LT39" s="69"/>
      <c r="LU39" s="69"/>
      <c r="LV39" s="69"/>
      <c r="LW39" s="69"/>
      <c r="LX39" s="69"/>
      <c r="LY39" s="69"/>
      <c r="LZ39" s="69"/>
      <c r="MA39" s="69"/>
      <c r="MB39" s="69"/>
      <c r="MC39" s="69"/>
      <c r="MD39" s="69"/>
      <c r="ME39" s="69"/>
      <c r="MF39" s="69"/>
      <c r="MG39" s="69"/>
      <c r="MH39" s="69"/>
      <c r="MI39" s="69"/>
      <c r="MJ39" s="69"/>
      <c r="MK39" s="69"/>
      <c r="ML39" s="69"/>
      <c r="MM39" s="69"/>
      <c r="MN39" s="69"/>
      <c r="MO39" s="69"/>
      <c r="MP39" s="69"/>
      <c r="MQ39" s="69"/>
      <c r="MR39" s="69"/>
      <c r="MS39" s="69"/>
      <c r="MT39" s="69"/>
      <c r="MU39" s="69"/>
      <c r="MV39" s="69"/>
      <c r="MW39" s="69"/>
      <c r="MX39" s="69"/>
      <c r="MY39" s="69"/>
      <c r="MZ39" s="69"/>
      <c r="NA39" s="69"/>
      <c r="NB39" s="69"/>
      <c r="NC39" s="69"/>
      <c r="ND39" s="69"/>
      <c r="NE39" s="69"/>
      <c r="NF39" s="69"/>
      <c r="NG39" s="69"/>
      <c r="NH39" s="69"/>
      <c r="NI39" s="69"/>
      <c r="NJ39" s="69"/>
      <c r="NK39" s="69"/>
      <c r="NL39" s="69"/>
      <c r="NM39" s="69"/>
      <c r="NN39" s="69"/>
      <c r="NO39" s="69"/>
      <c r="NP39" s="69"/>
      <c r="NQ39" s="69"/>
      <c r="NR39" s="69"/>
      <c r="NS39" s="69"/>
      <c r="NT39" s="69"/>
      <c r="NU39" s="69"/>
      <c r="NV39" s="69"/>
      <c r="NW39" s="69"/>
      <c r="NX39" s="69"/>
      <c r="NY39" s="69"/>
      <c r="NZ39" s="69"/>
      <c r="OA39" s="69"/>
      <c r="OB39" s="69"/>
      <c r="OC39" s="69"/>
      <c r="OD39" s="69"/>
      <c r="OE39" s="69"/>
      <c r="OF39" s="69"/>
      <c r="OG39" s="69"/>
      <c r="OH39" s="69"/>
      <c r="OI39" s="69"/>
      <c r="OJ39" s="70"/>
    </row>
    <row r="40" spans="1:400" x14ac:dyDescent="0.3">
      <c r="A40" s="73"/>
      <c r="B40" s="3646"/>
      <c r="C40" s="3647"/>
      <c r="D40" s="3647"/>
      <c r="E40" s="3647"/>
      <c r="F40" s="3646"/>
      <c r="G40" s="3647"/>
      <c r="H40" s="3647"/>
      <c r="I40" s="3647"/>
      <c r="J40" s="3647"/>
      <c r="K40" s="3647"/>
      <c r="L40" s="3647"/>
      <c r="M40" s="3647"/>
      <c r="N40" s="3647"/>
      <c r="O40" s="74"/>
      <c r="P40" s="74"/>
      <c r="Q40" s="74"/>
      <c r="R40" s="74"/>
      <c r="S40" s="74"/>
      <c r="T40" s="74"/>
      <c r="U40" s="75"/>
      <c r="V40" s="75"/>
      <c r="W40" s="75"/>
      <c r="X40" s="75"/>
      <c r="Y40" s="75"/>
      <c r="Z40" s="75"/>
      <c r="AA40" s="75"/>
      <c r="AB40" s="75"/>
      <c r="AC40" s="75"/>
      <c r="AD40" s="75"/>
      <c r="AE40" s="75"/>
      <c r="AF40" s="75"/>
      <c r="AG40" s="75"/>
      <c r="AH40" s="75"/>
      <c r="AI40" s="75"/>
      <c r="AJ40" s="75"/>
      <c r="AK40" s="75"/>
      <c r="AL40" s="75"/>
      <c r="AM40" s="75"/>
      <c r="AN40" s="75"/>
      <c r="AO40" s="75"/>
      <c r="AP40" s="75"/>
      <c r="AQ40" s="75"/>
      <c r="AR40" s="75"/>
      <c r="AS40" s="75"/>
      <c r="AT40" s="75"/>
      <c r="AU40" s="75"/>
      <c r="AV40" s="75"/>
      <c r="AW40" s="75"/>
      <c r="AX40" s="75"/>
      <c r="AY40" s="75"/>
      <c r="AZ40" s="75"/>
      <c r="BA40" s="75"/>
      <c r="BB40" s="75"/>
      <c r="BC40" s="75"/>
      <c r="BD40" s="75"/>
      <c r="BE40" s="75"/>
      <c r="BF40" s="75"/>
      <c r="BG40" s="75"/>
      <c r="BH40" s="75"/>
      <c r="BI40" s="75"/>
      <c r="BJ40" s="75"/>
      <c r="BK40" s="75"/>
      <c r="BL40" s="75"/>
      <c r="BM40" s="75"/>
      <c r="BN40" s="75"/>
      <c r="BO40" s="75"/>
      <c r="BP40" s="75"/>
      <c r="BQ40" s="75"/>
      <c r="BR40" s="75"/>
      <c r="BS40" s="75"/>
      <c r="BT40" s="75"/>
      <c r="BU40" s="75"/>
      <c r="BV40" s="75"/>
      <c r="BW40" s="75"/>
      <c r="BX40" s="75"/>
      <c r="BY40" s="75"/>
      <c r="BZ40" s="75"/>
      <c r="CA40" s="75"/>
      <c r="CB40" s="75"/>
      <c r="CC40" s="75"/>
      <c r="CD40" s="75"/>
      <c r="CE40" s="75"/>
      <c r="CF40" s="75"/>
      <c r="CG40" s="75"/>
      <c r="CH40" s="75"/>
      <c r="CI40" s="75"/>
      <c r="CJ40" s="75"/>
      <c r="CK40" s="75"/>
      <c r="CL40" s="75"/>
      <c r="CM40" s="75"/>
      <c r="CN40" s="75"/>
      <c r="CO40" s="75"/>
      <c r="CP40" s="75"/>
      <c r="CQ40" s="75"/>
      <c r="CR40" s="75"/>
      <c r="CS40" s="75"/>
      <c r="CT40" s="75"/>
      <c r="CU40" s="75"/>
      <c r="CV40" s="75"/>
      <c r="CW40" s="75"/>
      <c r="CX40" s="75"/>
      <c r="CY40" s="75"/>
      <c r="CZ40" s="75"/>
      <c r="DA40" s="75"/>
      <c r="DB40" s="75"/>
      <c r="DC40" s="75"/>
      <c r="DD40" s="75"/>
      <c r="DE40" s="75"/>
      <c r="DF40" s="75"/>
      <c r="DG40" s="75"/>
      <c r="DH40" s="75"/>
      <c r="DI40" s="75"/>
      <c r="DJ40" s="75"/>
      <c r="DK40" s="75"/>
      <c r="DL40" s="75"/>
      <c r="DM40" s="75"/>
      <c r="DN40" s="75"/>
      <c r="DO40" s="75"/>
      <c r="DP40" s="75"/>
      <c r="DQ40" s="75"/>
      <c r="DR40" s="75"/>
      <c r="DS40" s="75"/>
      <c r="DT40" s="75"/>
      <c r="DU40" s="75"/>
      <c r="DV40" s="75"/>
      <c r="DW40" s="75"/>
      <c r="DX40" s="75"/>
      <c r="DY40" s="75"/>
      <c r="DZ40" s="75"/>
      <c r="EA40" s="75"/>
      <c r="EB40" s="75"/>
      <c r="EC40" s="75"/>
      <c r="ED40" s="75"/>
      <c r="EE40" s="75"/>
      <c r="EF40" s="75"/>
      <c r="EG40" s="75"/>
      <c r="EH40" s="75"/>
      <c r="EI40" s="75"/>
      <c r="EJ40" s="75"/>
      <c r="EK40" s="75"/>
      <c r="EL40" s="75"/>
      <c r="EM40" s="75"/>
      <c r="EN40" s="75"/>
      <c r="EO40" s="75"/>
      <c r="EP40" s="75"/>
      <c r="EQ40" s="75"/>
      <c r="ER40" s="75"/>
      <c r="ES40" s="75"/>
      <c r="ET40" s="75"/>
      <c r="EU40" s="75"/>
      <c r="EV40" s="75"/>
      <c r="EW40" s="75"/>
      <c r="EX40" s="75"/>
      <c r="EY40" s="75"/>
      <c r="EZ40" s="75"/>
      <c r="FA40" s="75"/>
      <c r="FB40" s="75"/>
      <c r="FC40" s="75"/>
      <c r="FD40" s="75"/>
      <c r="FE40" s="75"/>
      <c r="FF40" s="75"/>
      <c r="FG40" s="75"/>
      <c r="FH40" s="75"/>
      <c r="FI40" s="75"/>
      <c r="FJ40" s="75"/>
      <c r="FK40" s="75"/>
      <c r="FL40" s="75"/>
      <c r="FM40" s="75"/>
      <c r="FN40" s="75"/>
      <c r="FO40" s="75"/>
      <c r="FP40" s="75"/>
      <c r="FQ40" s="75"/>
      <c r="FR40" s="75"/>
      <c r="FS40" s="75"/>
      <c r="FT40" s="75"/>
      <c r="FU40" s="75"/>
      <c r="FV40" s="75"/>
      <c r="FW40" s="75"/>
      <c r="FX40" s="75"/>
      <c r="FY40" s="75"/>
      <c r="FZ40" s="75"/>
      <c r="GA40" s="75"/>
      <c r="GB40" s="75"/>
      <c r="GC40" s="75"/>
      <c r="GD40" s="75"/>
      <c r="GE40" s="75"/>
      <c r="GF40" s="75"/>
      <c r="GG40" s="75"/>
      <c r="GH40" s="75"/>
      <c r="GI40" s="75"/>
      <c r="GJ40" s="75"/>
      <c r="GK40" s="75"/>
      <c r="GL40" s="75"/>
      <c r="GM40" s="75"/>
      <c r="GN40" s="75"/>
      <c r="GO40" s="75"/>
      <c r="GP40" s="75"/>
      <c r="GQ40" s="75"/>
      <c r="GR40" s="75"/>
      <c r="GS40" s="75"/>
      <c r="GT40" s="75"/>
      <c r="GU40" s="75"/>
      <c r="GV40" s="75"/>
      <c r="GW40" s="75"/>
      <c r="GX40" s="75"/>
      <c r="GY40" s="75"/>
      <c r="GZ40" s="75"/>
      <c r="HA40" s="75"/>
      <c r="HB40" s="75"/>
      <c r="HC40" s="75"/>
      <c r="HD40" s="75"/>
      <c r="HE40" s="75"/>
      <c r="HF40" s="75"/>
      <c r="HG40" s="75"/>
      <c r="HH40" s="75"/>
      <c r="HI40" s="75"/>
      <c r="HJ40" s="75"/>
      <c r="HK40" s="75"/>
      <c r="HL40" s="75"/>
      <c r="HM40" s="75"/>
      <c r="HN40" s="75"/>
      <c r="HO40" s="75"/>
      <c r="HP40" s="75"/>
      <c r="HQ40" s="75"/>
      <c r="HR40" s="75"/>
      <c r="HS40" s="75"/>
      <c r="HT40" s="75"/>
      <c r="HU40" s="75"/>
      <c r="HV40" s="75"/>
      <c r="HW40" s="75"/>
      <c r="HX40" s="75"/>
      <c r="HY40" s="75"/>
      <c r="HZ40" s="75"/>
      <c r="IA40" s="75"/>
      <c r="IB40" s="75"/>
      <c r="IC40" s="75"/>
      <c r="ID40" s="75"/>
      <c r="IE40" s="75"/>
      <c r="IF40" s="75"/>
      <c r="IG40" s="75"/>
      <c r="IH40" s="75"/>
      <c r="II40" s="75"/>
      <c r="IJ40" s="75"/>
      <c r="IK40" s="75"/>
      <c r="IL40" s="75"/>
      <c r="IM40" s="75"/>
      <c r="IN40" s="75"/>
      <c r="IO40" s="75"/>
      <c r="IP40" s="75"/>
      <c r="IQ40" s="75"/>
      <c r="IR40" s="75"/>
      <c r="IS40" s="75"/>
      <c r="IT40" s="75"/>
      <c r="IU40" s="75"/>
      <c r="IV40" s="75"/>
      <c r="IW40" s="75"/>
      <c r="IX40" s="75"/>
      <c r="IY40" s="75"/>
      <c r="IZ40" s="75"/>
      <c r="JA40" s="75"/>
      <c r="JB40" s="75"/>
      <c r="JC40" s="75"/>
      <c r="JD40" s="75"/>
      <c r="JE40" s="75"/>
      <c r="JF40" s="75"/>
      <c r="JG40" s="75"/>
      <c r="JH40" s="75"/>
      <c r="JI40" s="75"/>
      <c r="JJ40" s="75"/>
      <c r="JK40" s="75"/>
      <c r="JL40" s="75"/>
      <c r="JM40" s="75"/>
      <c r="JN40" s="75"/>
      <c r="JO40" s="75"/>
      <c r="JP40" s="75"/>
      <c r="JQ40" s="75"/>
      <c r="JR40" s="75"/>
      <c r="JS40" s="75"/>
      <c r="JT40" s="75"/>
      <c r="JU40" s="75"/>
      <c r="JV40" s="75"/>
      <c r="JW40" s="75"/>
      <c r="JX40" s="75"/>
      <c r="JY40" s="75"/>
      <c r="JZ40" s="75"/>
      <c r="KA40" s="75"/>
      <c r="KB40" s="75"/>
      <c r="KC40" s="75"/>
      <c r="KD40" s="75"/>
      <c r="KE40" s="75"/>
      <c r="KF40" s="75"/>
      <c r="KG40" s="75"/>
      <c r="KH40" s="75"/>
      <c r="KI40" s="75"/>
      <c r="KJ40" s="75"/>
      <c r="KK40" s="75"/>
      <c r="KL40" s="75"/>
      <c r="KM40" s="75"/>
      <c r="KN40" s="75"/>
      <c r="KO40" s="75"/>
      <c r="KP40" s="75"/>
      <c r="KQ40" s="75"/>
      <c r="KR40" s="75"/>
      <c r="KS40" s="75"/>
      <c r="KT40" s="75"/>
      <c r="KU40" s="75"/>
      <c r="KV40" s="75"/>
      <c r="KW40" s="75"/>
      <c r="KX40" s="75"/>
      <c r="KY40" s="75"/>
      <c r="KZ40" s="75"/>
      <c r="LA40" s="75"/>
      <c r="LB40" s="75"/>
      <c r="LC40" s="75"/>
      <c r="LD40" s="75"/>
      <c r="LE40" s="75"/>
      <c r="LF40" s="75"/>
      <c r="LG40" s="75"/>
      <c r="LH40" s="75"/>
      <c r="LI40" s="75"/>
      <c r="LJ40" s="75"/>
      <c r="LK40" s="75"/>
      <c r="LL40" s="75"/>
      <c r="LM40" s="75"/>
      <c r="LN40" s="75"/>
      <c r="LO40" s="75"/>
      <c r="LP40" s="75"/>
      <c r="LQ40" s="75"/>
      <c r="LR40" s="75"/>
      <c r="LS40" s="75"/>
      <c r="LT40" s="75"/>
      <c r="LU40" s="75"/>
      <c r="LV40" s="75"/>
      <c r="LW40" s="75"/>
      <c r="LX40" s="75"/>
      <c r="LY40" s="75"/>
      <c r="LZ40" s="75"/>
      <c r="MA40" s="75"/>
      <c r="MB40" s="75"/>
      <c r="MC40" s="75"/>
      <c r="MD40" s="75"/>
      <c r="ME40" s="75"/>
      <c r="MF40" s="75"/>
      <c r="MG40" s="75"/>
      <c r="MH40" s="75"/>
      <c r="MI40" s="75"/>
      <c r="MJ40" s="75"/>
      <c r="MK40" s="75"/>
      <c r="ML40" s="75"/>
      <c r="MM40" s="75"/>
      <c r="MN40" s="75"/>
      <c r="MO40" s="75"/>
      <c r="MP40" s="75"/>
      <c r="MQ40" s="75"/>
      <c r="MR40" s="75"/>
      <c r="MS40" s="75"/>
      <c r="MT40" s="75"/>
      <c r="MU40" s="75"/>
      <c r="MV40" s="75"/>
      <c r="MW40" s="75"/>
      <c r="MX40" s="75"/>
      <c r="MY40" s="75"/>
      <c r="MZ40" s="75"/>
      <c r="NA40" s="75"/>
      <c r="NB40" s="75"/>
      <c r="NC40" s="75"/>
      <c r="ND40" s="75"/>
      <c r="NE40" s="75"/>
      <c r="NF40" s="75"/>
      <c r="NG40" s="75"/>
      <c r="NH40" s="75"/>
      <c r="NI40" s="75"/>
      <c r="NJ40" s="75"/>
      <c r="NK40" s="75"/>
      <c r="NL40" s="75"/>
      <c r="NM40" s="75"/>
      <c r="NN40" s="75"/>
      <c r="NO40" s="75"/>
      <c r="NP40" s="75"/>
      <c r="NQ40" s="75"/>
      <c r="NR40" s="75"/>
      <c r="NS40" s="75"/>
      <c r="NT40" s="75"/>
      <c r="NU40" s="75"/>
      <c r="NV40" s="75"/>
      <c r="NW40" s="75"/>
      <c r="NX40" s="75"/>
      <c r="NY40" s="75"/>
      <c r="NZ40" s="75"/>
      <c r="OA40" s="75"/>
      <c r="OB40" s="75"/>
      <c r="OC40" s="75"/>
      <c r="OD40" s="75"/>
      <c r="OE40" s="75"/>
      <c r="OF40" s="75"/>
      <c r="OG40" s="75"/>
      <c r="OH40" s="75"/>
      <c r="OI40" s="75"/>
      <c r="OJ40" s="76"/>
    </row>
  </sheetData>
  <mergeCells count="21">
    <mergeCell ref="G27:N27"/>
    <mergeCell ref="G30:N30"/>
    <mergeCell ref="G32:N32"/>
    <mergeCell ref="A1:Z1"/>
    <mergeCell ref="A26:Z26"/>
    <mergeCell ref="A34:Z34"/>
    <mergeCell ref="F40:N40"/>
    <mergeCell ref="J36:N36"/>
    <mergeCell ref="G31:N31"/>
    <mergeCell ref="A3:T3"/>
    <mergeCell ref="B38:C38"/>
    <mergeCell ref="B35:C35"/>
    <mergeCell ref="B40:E40"/>
    <mergeCell ref="B37:C37"/>
    <mergeCell ref="B36:C36"/>
    <mergeCell ref="G28:N28"/>
    <mergeCell ref="J38:N38"/>
    <mergeCell ref="J35:N35"/>
    <mergeCell ref="G29:N29"/>
    <mergeCell ref="J37:N37"/>
    <mergeCell ref="B25:C25"/>
  </mergeCells>
  <conditionalFormatting sqref="D5:D24">
    <cfRule type="containsText" dxfId="531" priority="9" operator="containsText" text="TERRITORIAL">
      <formula>NOT(ISERROR(SEARCH("TERRITORIAL",D5)))</formula>
    </cfRule>
    <cfRule type="containsText" dxfId="530" priority="10" operator="containsText" text="SOCIAL">
      <formula>NOT(ISERROR(SEARCH("SOCIAL",D5)))</formula>
    </cfRule>
    <cfRule type="containsText" dxfId="529" priority="11" operator="containsText" text="AMBIENTAL">
      <formula>NOT(ISERROR(SEARCH("AMBIENTAL",D5)))</formula>
    </cfRule>
    <cfRule type="containsText" dxfId="528" priority="12" operator="containsText" text="INSTITUCIONAL">
      <formula>NOT(ISERROR(SEARCH("INSTITUCIONAL",D5)))</formula>
    </cfRule>
    <cfRule type="containsText" dxfId="527" priority="13" operator="containsText" text="ECONÓMICO">
      <formula>NOT(ISERROR(SEARCH("ECONÓMICO",D5)))</formula>
    </cfRule>
  </conditionalFormatting>
  <conditionalFormatting sqref="G5:G24">
    <cfRule type="expression" dxfId="526" priority="7">
      <formula>G5&lt;0</formula>
    </cfRule>
    <cfRule type="expression" dxfId="525" priority="8">
      <formula>G5&gt;0</formula>
    </cfRule>
  </conditionalFormatting>
  <conditionalFormatting sqref="G28:G32">
    <cfRule type="containsText" dxfId="524" priority="14" operator="containsText" text="CRÍTICO">
      <formula>NOT(ISERROR(SEARCH("CRÍTICO",G28)))</formula>
    </cfRule>
    <cfRule type="containsText" dxfId="523" priority="15" operator="containsText" text="ALERTA">
      <formula>NOT(ISERROR(SEARCH("ALERTA",G28)))</formula>
    </cfRule>
    <cfRule type="containsText" dxfId="522" priority="16" operator="containsText" text="FAVORABLE">
      <formula>NOT(ISERROR(SEARCH("FAVORABLE",G28)))</formula>
    </cfRule>
  </conditionalFormatting>
  <conditionalFormatting sqref="H5:H24">
    <cfRule type="containsText" dxfId="521" priority="4" operator="containsText" text="✅">
      <formula>NOT(ISERROR(SEARCH("✅",H5)))</formula>
    </cfRule>
    <cfRule type="containsText" dxfId="520" priority="5" operator="containsText" text="❌">
      <formula>NOT(ISERROR(SEARCH("❌",H5)))</formula>
    </cfRule>
    <cfRule type="containsText" dxfId="519" priority="6" operator="containsText" text="⚠️">
      <formula>NOT(ISERROR(SEARCH("⚠️",H5)))</formula>
    </cfRule>
  </conditionalFormatting>
  <conditionalFormatting sqref="M5:M24">
    <cfRule type="containsText" dxfId="518" priority="1" operator="containsText" text="CRÍTICA">
      <formula>NOT(ISERROR(SEARCH("CRÍTICA",M5)))</formula>
    </cfRule>
    <cfRule type="containsText" dxfId="517" priority="2" operator="containsText" text="ALTA">
      <formula>NOT(ISERROR(SEARCH("ALTA",M5)))</formula>
    </cfRule>
    <cfRule type="containsText" dxfId="516" priority="3" operator="containsText" text="MEDIA">
      <formula>NOT(ISERROR(SEARCH("MEDIA",M5)))</formula>
    </cfRule>
  </conditionalFormatting>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DEEAF1"/>
  </sheetPr>
  <dimension ref="A1:Z201"/>
  <sheetViews>
    <sheetView showGridLines="0" topLeftCell="F1" zoomScale="46" zoomScaleNormal="46" workbookViewId="0">
      <pane ySplit="3" topLeftCell="A4" activePane="bottomLeft" state="frozen"/>
      <selection pane="bottomLeft" activeCell="K4" sqref="K4"/>
    </sheetView>
  </sheetViews>
  <sheetFormatPr baseColWidth="10" defaultRowHeight="14.4" x14ac:dyDescent="0.3"/>
  <cols>
    <col min="1" max="1" width="8.88671875" style="15" customWidth="1"/>
    <col min="2" max="2" width="8.33203125" style="15" customWidth="1"/>
    <col min="3" max="3" width="16.6640625" style="15" customWidth="1"/>
    <col min="4" max="4" width="13.88671875" style="15" customWidth="1"/>
    <col min="5" max="5" width="10.77734375" style="15" customWidth="1"/>
    <col min="6" max="6" width="40.77734375" style="15" customWidth="1"/>
    <col min="7" max="7" width="7.44140625" style="15" customWidth="1"/>
    <col min="8" max="8" width="8.88671875" style="15" customWidth="1"/>
    <col min="9" max="10" width="14.77734375" style="15" customWidth="1"/>
    <col min="11" max="11" width="10.77734375" style="15" customWidth="1"/>
    <col min="12" max="12" width="21.33203125" style="15" customWidth="1"/>
    <col min="13" max="13" width="24.109375" style="15" customWidth="1"/>
    <col min="14" max="14" width="13.33203125" style="15" customWidth="1"/>
    <col min="15" max="16" width="11.5546875" style="15" customWidth="1"/>
    <col min="17" max="25" width="11.5546875" style="15"/>
    <col min="26" max="26" width="8.33203125" style="15" bestFit="1" customWidth="1"/>
    <col min="27" max="16384" width="11.5546875" style="15"/>
  </cols>
  <sheetData>
    <row r="1" spans="1:26" ht="25.95" customHeight="1" x14ac:dyDescent="0.3">
      <c r="A1" s="3714" t="s">
        <v>4831</v>
      </c>
      <c r="B1" s="3699"/>
      <c r="C1" s="3699"/>
      <c r="D1" s="3699"/>
      <c r="E1" s="3699"/>
      <c r="F1" s="3699"/>
      <c r="G1" s="3699"/>
      <c r="H1" s="3699"/>
      <c r="I1" s="3699"/>
      <c r="J1" s="3699"/>
      <c r="K1" s="3699"/>
      <c r="L1" s="3699"/>
      <c r="M1" s="3699"/>
      <c r="N1" s="3700"/>
      <c r="O1" s="3715"/>
      <c r="P1" s="3715"/>
      <c r="Q1" s="3715"/>
      <c r="R1" s="3715"/>
      <c r="S1" s="3715"/>
      <c r="T1" s="3715"/>
      <c r="U1" s="3715"/>
      <c r="V1" s="3715"/>
      <c r="W1" s="3715"/>
      <c r="X1" s="3715"/>
      <c r="Y1" s="3715"/>
      <c r="Z1" s="3715"/>
    </row>
    <row r="2" spans="1:26" ht="19.95" customHeight="1" x14ac:dyDescent="0.3">
      <c r="A2" s="2398" t="str">
        <f>HYPERLINK("#'M-INDEX'!A1","⌂ INDICE")</f>
        <v>⌂ INDICE</v>
      </c>
      <c r="B2" s="1764" t="str">
        <f>HYPERLINK("#'M1-ITME'!A1","M1")</f>
        <v>M1</v>
      </c>
      <c r="C2" s="1764" t="str">
        <f>HYPERLINK("#'M2-PDOT'!A1","M2")</f>
        <v>M2</v>
      </c>
      <c r="D2" s="1764" t="str">
        <f>HYPERLINK("#'M3-MAO'!A1","M3")</f>
        <v>M3</v>
      </c>
      <c r="E2" s="1764" t="str">
        <f>HYPERLINK("#'M4-AUDIT'!A1","M4")</f>
        <v>M4</v>
      </c>
      <c r="F2" s="1764" t="str">
        <f>HYPERLINK("#'M5-ICPI'!A1","M5")</f>
        <v>M5</v>
      </c>
      <c r="G2" s="1764" t="str">
        <f>HYPERLINK("#'M6-FEDS'!A1","M6")</f>
        <v>M6</v>
      </c>
      <c r="H2" s="1764" t="str">
        <f>HYPERLINK("#'M7-PROSP'!A1","M7")</f>
        <v>M7</v>
      </c>
      <c r="I2" s="1764" t="str">
        <f>HYPERLINK("#'DATA-POA'!A1","DATA-POA")</f>
        <v>DATA-POA</v>
      </c>
      <c r="J2" s="1764" t="str">
        <f>HYPERLINK("#'DATA-CNE'!A1","DATA-CNE")</f>
        <v>DATA-CNE</v>
      </c>
      <c r="K2" s="1764" t="str">
        <f>HYPERLINK("#'DATA-ORG'!A1","DATA-ORG")</f>
        <v>DATA-ORG</v>
      </c>
      <c r="L2" s="1764" t="str">
        <f>HYPERLINK("#'M-DASHBOARD'!A1","DASH")</f>
        <v>DASH</v>
      </c>
      <c r="M2" s="138"/>
      <c r="N2" s="2478"/>
      <c r="O2" s="1734"/>
      <c r="P2" s="1734"/>
      <c r="Q2" s="1734"/>
      <c r="R2" s="1734"/>
      <c r="S2" s="1734"/>
      <c r="T2" s="1734"/>
      <c r="U2" s="1734"/>
      <c r="V2" s="1734"/>
      <c r="W2" s="1734"/>
      <c r="X2" s="1734"/>
      <c r="Y2" s="1734"/>
      <c r="Z2" s="1734"/>
    </row>
    <row r="3" spans="1:26" ht="13.95" customHeight="1" thickBot="1" x14ac:dyDescent="0.35">
      <c r="A3" s="3728" t="s">
        <v>4233</v>
      </c>
      <c r="B3" s="3729"/>
      <c r="C3" s="3729"/>
      <c r="D3" s="3729"/>
      <c r="E3" s="3729"/>
      <c r="F3" s="3729"/>
      <c r="G3" s="3729"/>
      <c r="H3" s="3729"/>
      <c r="I3" s="3729"/>
      <c r="J3" s="3729"/>
      <c r="K3" s="3729"/>
      <c r="L3" s="3729"/>
      <c r="M3" s="3729"/>
      <c r="N3" s="3730"/>
      <c r="O3" s="3731"/>
      <c r="P3" s="3731"/>
      <c r="Q3" s="3731"/>
      <c r="R3" s="3731"/>
      <c r="S3" s="3731"/>
      <c r="T3" s="3731"/>
      <c r="U3" s="3731"/>
      <c r="V3" s="3731"/>
      <c r="W3" s="3731"/>
      <c r="X3" s="3731"/>
      <c r="Y3" s="3731"/>
      <c r="Z3" s="3731"/>
    </row>
    <row r="4" spans="1:26" ht="31.95" customHeight="1" thickTop="1" thickBot="1" x14ac:dyDescent="0.35">
      <c r="A4" s="2483" t="s">
        <v>1283</v>
      </c>
      <c r="B4" s="2484" t="s">
        <v>1284</v>
      </c>
      <c r="C4" s="2484" t="s">
        <v>1285</v>
      </c>
      <c r="D4" s="2484" t="s">
        <v>1286</v>
      </c>
      <c r="E4" s="2484" t="s">
        <v>1287</v>
      </c>
      <c r="F4" s="2484" t="s">
        <v>1288</v>
      </c>
      <c r="G4" s="2484" t="s">
        <v>1289</v>
      </c>
      <c r="H4" s="2484" t="s">
        <v>1290</v>
      </c>
      <c r="I4" s="2485" t="s">
        <v>1291</v>
      </c>
      <c r="J4" s="2485" t="s">
        <v>1292</v>
      </c>
      <c r="K4" s="2484" t="s">
        <v>1293</v>
      </c>
      <c r="L4" s="2484" t="s">
        <v>1294</v>
      </c>
      <c r="M4" s="2484" t="s">
        <v>1295</v>
      </c>
      <c r="N4" s="2486" t="s">
        <v>1296</v>
      </c>
      <c r="O4" s="2479"/>
      <c r="P4" s="2470"/>
      <c r="Q4" s="2470"/>
      <c r="R4" s="2470"/>
      <c r="S4" s="2470"/>
      <c r="T4" s="2470"/>
      <c r="U4" s="2470"/>
      <c r="V4" s="2470"/>
      <c r="W4" s="2470"/>
      <c r="X4" s="2470"/>
      <c r="Y4" s="2470"/>
      <c r="Z4" s="2471"/>
    </row>
    <row r="5" spans="1:26" ht="19.95" customHeight="1" thickBot="1" x14ac:dyDescent="0.35">
      <c r="A5" s="2487">
        <v>2023</v>
      </c>
      <c r="B5" s="2488" t="s">
        <v>5064</v>
      </c>
      <c r="C5" s="2488" t="s">
        <v>1297</v>
      </c>
      <c r="D5" s="2488">
        <v>322300013</v>
      </c>
      <c r="E5" s="2488" t="s">
        <v>1298</v>
      </c>
      <c r="F5" s="2489" t="s">
        <v>1299</v>
      </c>
      <c r="G5" s="2488">
        <v>1</v>
      </c>
      <c r="H5" s="2488" t="s">
        <v>1300</v>
      </c>
      <c r="I5" s="2490">
        <v>1000</v>
      </c>
      <c r="J5" s="2490">
        <v>1000</v>
      </c>
      <c r="K5" s="2488" t="s">
        <v>1301</v>
      </c>
      <c r="L5" s="2488" t="s">
        <v>103</v>
      </c>
      <c r="M5" s="2489" t="s">
        <v>1302</v>
      </c>
      <c r="N5" s="2491" t="s">
        <v>1303</v>
      </c>
      <c r="O5" s="2480"/>
      <c r="P5" s="2472"/>
      <c r="Q5" s="2472"/>
      <c r="R5" s="2472"/>
      <c r="S5" s="2472"/>
      <c r="T5" s="2472"/>
      <c r="U5" s="2472"/>
      <c r="V5" s="2472"/>
      <c r="W5" s="2472"/>
      <c r="X5" s="2472"/>
      <c r="Y5" s="2472"/>
      <c r="Z5" s="2473"/>
    </row>
    <row r="6" spans="1:26" ht="22.05" customHeight="1" thickBot="1" x14ac:dyDescent="0.35">
      <c r="A6" s="2497">
        <v>2023</v>
      </c>
      <c r="B6" s="2498">
        <v>7</v>
      </c>
      <c r="C6" s="2498" t="s">
        <v>1304</v>
      </c>
      <c r="D6" s="2498">
        <v>625830011</v>
      </c>
      <c r="E6" s="2498" t="s">
        <v>1298</v>
      </c>
      <c r="F6" s="2499" t="s">
        <v>1305</v>
      </c>
      <c r="G6" s="2498">
        <v>1</v>
      </c>
      <c r="H6" s="2498" t="s">
        <v>1300</v>
      </c>
      <c r="I6" s="2500">
        <v>15000</v>
      </c>
      <c r="J6" s="2500">
        <v>15000</v>
      </c>
      <c r="K6" s="2498" t="s">
        <v>1301</v>
      </c>
      <c r="L6" s="2498" t="s">
        <v>103</v>
      </c>
      <c r="M6" s="2499" t="s">
        <v>1302</v>
      </c>
      <c r="N6" s="2501" t="s">
        <v>1303</v>
      </c>
      <c r="O6" s="2481"/>
      <c r="P6" s="2474"/>
      <c r="Q6" s="2474"/>
      <c r="R6" s="2474"/>
      <c r="S6" s="2474"/>
      <c r="T6" s="2474"/>
      <c r="U6" s="2474"/>
      <c r="V6" s="2474"/>
      <c r="W6" s="2474"/>
      <c r="X6" s="2474"/>
      <c r="Y6" s="2474"/>
      <c r="Z6" s="2475"/>
    </row>
    <row r="7" spans="1:26" ht="22.05" customHeight="1" thickBot="1" x14ac:dyDescent="0.35">
      <c r="A7" s="2502">
        <v>2023</v>
      </c>
      <c r="B7" s="2503">
        <v>8</v>
      </c>
      <c r="C7" s="2503" t="s">
        <v>1306</v>
      </c>
      <c r="D7" s="2503">
        <v>713340112</v>
      </c>
      <c r="E7" s="2503" t="s">
        <v>1307</v>
      </c>
      <c r="F7" s="2504" t="s">
        <v>1308</v>
      </c>
      <c r="G7" s="2503">
        <v>1</v>
      </c>
      <c r="H7" s="2503" t="s">
        <v>1300</v>
      </c>
      <c r="I7" s="2505">
        <v>120000</v>
      </c>
      <c r="J7" s="2505">
        <v>120000</v>
      </c>
      <c r="K7" s="2503" t="s">
        <v>1301</v>
      </c>
      <c r="L7" s="2503" t="s">
        <v>103</v>
      </c>
      <c r="M7" s="2504" t="s">
        <v>1302</v>
      </c>
      <c r="N7" s="2506" t="s">
        <v>1303</v>
      </c>
      <c r="O7" s="2481"/>
      <c r="P7" s="2474"/>
      <c r="Q7" s="2474"/>
      <c r="R7" s="2474"/>
      <c r="S7" s="2474"/>
      <c r="T7" s="2474"/>
      <c r="U7" s="2474"/>
      <c r="V7" s="2474"/>
      <c r="W7" s="2474"/>
      <c r="X7" s="2474"/>
      <c r="Y7" s="2474"/>
      <c r="Z7" s="2475"/>
    </row>
    <row r="8" spans="1:26" ht="22.05" customHeight="1" thickBot="1" x14ac:dyDescent="0.35">
      <c r="A8" s="2507">
        <v>2023</v>
      </c>
      <c r="B8" s="2508">
        <v>11</v>
      </c>
      <c r="C8" s="2508" t="s">
        <v>1309</v>
      </c>
      <c r="D8" s="2508">
        <v>532900011</v>
      </c>
      <c r="E8" s="2508" t="s">
        <v>1310</v>
      </c>
      <c r="F8" s="2509" t="s">
        <v>1311</v>
      </c>
      <c r="G8" s="2508">
        <v>1</v>
      </c>
      <c r="H8" s="2508" t="s">
        <v>1300</v>
      </c>
      <c r="I8" s="2510">
        <v>213000</v>
      </c>
      <c r="J8" s="2510">
        <v>213000</v>
      </c>
      <c r="K8" s="2508" t="s">
        <v>1301</v>
      </c>
      <c r="L8" s="2508" t="s">
        <v>495</v>
      </c>
      <c r="M8" s="2509" t="s">
        <v>775</v>
      </c>
      <c r="N8" s="2511" t="s">
        <v>1312</v>
      </c>
      <c r="O8" s="2481"/>
      <c r="P8" s="2474"/>
      <c r="Q8" s="2474"/>
      <c r="R8" s="2474"/>
      <c r="S8" s="2474"/>
      <c r="T8" s="2474"/>
      <c r="U8" s="2474"/>
      <c r="V8" s="2474"/>
      <c r="W8" s="2474"/>
      <c r="X8" s="2474"/>
      <c r="Y8" s="2474"/>
      <c r="Z8" s="2475"/>
    </row>
    <row r="9" spans="1:26" ht="22.05" customHeight="1" thickBot="1" x14ac:dyDescent="0.35">
      <c r="A9" s="2502">
        <v>2023</v>
      </c>
      <c r="B9" s="2503">
        <v>12</v>
      </c>
      <c r="C9" s="2503" t="s">
        <v>1313</v>
      </c>
      <c r="D9" s="2503">
        <v>532510012</v>
      </c>
      <c r="E9" s="2503" t="s">
        <v>1298</v>
      </c>
      <c r="F9" s="2504" t="s">
        <v>1314</v>
      </c>
      <c r="G9" s="2503">
        <v>1</v>
      </c>
      <c r="H9" s="2503" t="s">
        <v>1300</v>
      </c>
      <c r="I9" s="2505">
        <v>220000</v>
      </c>
      <c r="J9" s="2505">
        <v>220000</v>
      </c>
      <c r="K9" s="2503" t="s">
        <v>1301</v>
      </c>
      <c r="L9" s="2503" t="s">
        <v>495</v>
      </c>
      <c r="M9" s="2504" t="s">
        <v>775</v>
      </c>
      <c r="N9" s="2512" t="s">
        <v>1312</v>
      </c>
      <c r="O9" s="2481"/>
      <c r="P9" s="2474"/>
      <c r="Q9" s="2474"/>
      <c r="R9" s="2474"/>
      <c r="S9" s="2474"/>
      <c r="T9" s="2474"/>
      <c r="U9" s="2474"/>
      <c r="V9" s="2474"/>
      <c r="W9" s="2474"/>
      <c r="X9" s="2474"/>
      <c r="Y9" s="2474"/>
      <c r="Z9" s="2475"/>
    </row>
    <row r="10" spans="1:26" ht="22.05" customHeight="1" thickBot="1" x14ac:dyDescent="0.35">
      <c r="A10" s="2507">
        <v>2023</v>
      </c>
      <c r="B10" s="2508">
        <v>13</v>
      </c>
      <c r="C10" s="2508" t="s">
        <v>1315</v>
      </c>
      <c r="D10" s="2508">
        <v>881600011</v>
      </c>
      <c r="E10" s="2508" t="s">
        <v>1298</v>
      </c>
      <c r="F10" s="2509" t="s">
        <v>1316</v>
      </c>
      <c r="G10" s="2508">
        <v>1</v>
      </c>
      <c r="H10" s="2508" t="s">
        <v>1300</v>
      </c>
      <c r="I10" s="2510">
        <v>40000</v>
      </c>
      <c r="J10" s="2510">
        <v>40000</v>
      </c>
      <c r="K10" s="2508" t="s">
        <v>1301</v>
      </c>
      <c r="L10" s="2508" t="s">
        <v>495</v>
      </c>
      <c r="M10" s="2509" t="s">
        <v>775</v>
      </c>
      <c r="N10" s="2511" t="s">
        <v>1312</v>
      </c>
      <c r="O10" s="2481"/>
      <c r="P10" s="2474"/>
      <c r="Q10" s="2474"/>
      <c r="R10" s="2474"/>
      <c r="S10" s="2474"/>
      <c r="T10" s="2474"/>
      <c r="U10" s="2474"/>
      <c r="V10" s="2474"/>
      <c r="W10" s="2474"/>
      <c r="X10" s="2474"/>
      <c r="Y10" s="2474"/>
      <c r="Z10" s="2475"/>
    </row>
    <row r="11" spans="1:26" ht="22.05" customHeight="1" thickBot="1" x14ac:dyDescent="0.35">
      <c r="A11" s="2502">
        <v>2023</v>
      </c>
      <c r="B11" s="2503">
        <v>14</v>
      </c>
      <c r="C11" s="2503" t="s">
        <v>1317</v>
      </c>
      <c r="D11" s="2503">
        <v>932900011</v>
      </c>
      <c r="E11" s="2503" t="s">
        <v>1310</v>
      </c>
      <c r="F11" s="2504" t="s">
        <v>1318</v>
      </c>
      <c r="G11" s="2503">
        <v>1</v>
      </c>
      <c r="H11" s="2503" t="s">
        <v>1300</v>
      </c>
      <c r="I11" s="2505">
        <v>389657.49</v>
      </c>
      <c r="J11" s="2505">
        <v>389657.49</v>
      </c>
      <c r="K11" s="2503" t="s">
        <v>1301</v>
      </c>
      <c r="L11" s="2503" t="s">
        <v>495</v>
      </c>
      <c r="M11" s="2504" t="s">
        <v>775</v>
      </c>
      <c r="N11" s="2512" t="s">
        <v>1312</v>
      </c>
      <c r="O11" s="2481"/>
      <c r="P11" s="2474"/>
      <c r="Q11" s="2474"/>
      <c r="R11" s="2474"/>
      <c r="S11" s="2474"/>
      <c r="T11" s="2474"/>
      <c r="U11" s="2474"/>
      <c r="V11" s="2474"/>
      <c r="W11" s="2474"/>
      <c r="X11" s="2474"/>
      <c r="Y11" s="2474"/>
      <c r="Z11" s="2475"/>
    </row>
    <row r="12" spans="1:26" ht="22.05" customHeight="1" thickBot="1" x14ac:dyDescent="0.35">
      <c r="A12" s="2507">
        <v>2023</v>
      </c>
      <c r="B12" s="2508">
        <v>21</v>
      </c>
      <c r="C12" s="2508">
        <v>750105.01699999999</v>
      </c>
      <c r="D12" s="2508">
        <v>120100013</v>
      </c>
      <c r="E12" s="2508" t="s">
        <v>1310</v>
      </c>
      <c r="F12" s="2509" t="s">
        <v>1319</v>
      </c>
      <c r="G12" s="2508">
        <v>1</v>
      </c>
      <c r="H12" s="2508" t="s">
        <v>1300</v>
      </c>
      <c r="I12" s="2510">
        <v>127060</v>
      </c>
      <c r="J12" s="2510">
        <v>127060</v>
      </c>
      <c r="K12" s="2508" t="s">
        <v>1301</v>
      </c>
      <c r="L12" s="2508" t="s">
        <v>546</v>
      </c>
      <c r="M12" s="2509" t="s">
        <v>1320</v>
      </c>
      <c r="N12" s="2511" t="s">
        <v>1312</v>
      </c>
      <c r="O12" s="2481"/>
      <c r="P12" s="2474"/>
      <c r="Q12" s="2474"/>
      <c r="R12" s="2474"/>
      <c r="S12" s="2474"/>
      <c r="T12" s="2474"/>
      <c r="U12" s="2474"/>
      <c r="V12" s="2474"/>
      <c r="W12" s="2474"/>
      <c r="X12" s="2474"/>
      <c r="Y12" s="2474"/>
      <c r="Z12" s="2475"/>
    </row>
    <row r="13" spans="1:26" ht="22.05" customHeight="1" thickBot="1" x14ac:dyDescent="0.35">
      <c r="A13" s="2502">
        <v>2023</v>
      </c>
      <c r="B13" s="2503">
        <v>22</v>
      </c>
      <c r="C13" s="2503" t="s">
        <v>1321</v>
      </c>
      <c r="D13" s="2503">
        <v>532900011</v>
      </c>
      <c r="E13" s="2503" t="s">
        <v>1310</v>
      </c>
      <c r="F13" s="2504" t="s">
        <v>1322</v>
      </c>
      <c r="G13" s="2503">
        <v>1</v>
      </c>
      <c r="H13" s="2503" t="s">
        <v>1300</v>
      </c>
      <c r="I13" s="2505">
        <v>242500</v>
      </c>
      <c r="J13" s="2505">
        <v>242500</v>
      </c>
      <c r="K13" s="2503" t="s">
        <v>1301</v>
      </c>
      <c r="L13" s="2503" t="s">
        <v>546</v>
      </c>
      <c r="M13" s="2504" t="s">
        <v>1320</v>
      </c>
      <c r="N13" s="2512" t="s">
        <v>1312</v>
      </c>
      <c r="O13" s="2481"/>
      <c r="P13" s="2474"/>
      <c r="Q13" s="2474"/>
      <c r="R13" s="2474"/>
      <c r="S13" s="2474"/>
      <c r="T13" s="2474"/>
      <c r="U13" s="2474"/>
      <c r="V13" s="2474"/>
      <c r="W13" s="2474"/>
      <c r="X13" s="2474"/>
      <c r="Y13" s="2474"/>
      <c r="Z13" s="2475"/>
    </row>
    <row r="14" spans="1:26" ht="22.05" customHeight="1" thickBot="1" x14ac:dyDescent="0.35">
      <c r="A14" s="2507">
        <v>2023</v>
      </c>
      <c r="B14" s="2508">
        <v>23</v>
      </c>
      <c r="C14" s="2508" t="s">
        <v>1323</v>
      </c>
      <c r="D14" s="2508">
        <v>532900011</v>
      </c>
      <c r="E14" s="2508" t="s">
        <v>1310</v>
      </c>
      <c r="F14" s="2509" t="s">
        <v>1324</v>
      </c>
      <c r="G14" s="2508">
        <v>1</v>
      </c>
      <c r="H14" s="2508" t="s">
        <v>1300</v>
      </c>
      <c r="I14" s="2510">
        <v>800000</v>
      </c>
      <c r="J14" s="2510">
        <v>800000</v>
      </c>
      <c r="K14" s="2508" t="s">
        <v>1301</v>
      </c>
      <c r="L14" s="2508" t="s">
        <v>546</v>
      </c>
      <c r="M14" s="2509" t="s">
        <v>1320</v>
      </c>
      <c r="N14" s="2511" t="s">
        <v>1312</v>
      </c>
      <c r="O14" s="2481"/>
      <c r="P14" s="2474"/>
      <c r="Q14" s="2474"/>
      <c r="R14" s="2474"/>
      <c r="S14" s="2474"/>
      <c r="T14" s="2474"/>
      <c r="U14" s="2474"/>
      <c r="V14" s="2474"/>
      <c r="W14" s="2474"/>
      <c r="X14" s="2474"/>
      <c r="Y14" s="2474"/>
      <c r="Z14" s="2475"/>
    </row>
    <row r="15" spans="1:26" ht="22.05" customHeight="1" thickBot="1" x14ac:dyDescent="0.35">
      <c r="A15" s="2502">
        <v>2023</v>
      </c>
      <c r="B15" s="2503">
        <v>24</v>
      </c>
      <c r="C15" s="2503">
        <v>750105.01599999995</v>
      </c>
      <c r="D15" s="2503">
        <v>532510011</v>
      </c>
      <c r="E15" s="2503" t="s">
        <v>1298</v>
      </c>
      <c r="F15" s="2504" t="s">
        <v>1325</v>
      </c>
      <c r="G15" s="2503">
        <v>1</v>
      </c>
      <c r="H15" s="2503" t="s">
        <v>1300</v>
      </c>
      <c r="I15" s="2505">
        <v>150000</v>
      </c>
      <c r="J15" s="2505">
        <v>150000</v>
      </c>
      <c r="K15" s="2503" t="s">
        <v>1301</v>
      </c>
      <c r="L15" s="2503" t="s">
        <v>546</v>
      </c>
      <c r="M15" s="2504" t="s">
        <v>1320</v>
      </c>
      <c r="N15" s="2512" t="s">
        <v>1312</v>
      </c>
      <c r="O15" s="2481"/>
      <c r="P15" s="2474"/>
      <c r="Q15" s="2474"/>
      <c r="R15" s="2474"/>
      <c r="S15" s="2474"/>
      <c r="T15" s="2474"/>
      <c r="U15" s="2474"/>
      <c r="V15" s="2474"/>
      <c r="W15" s="2474"/>
      <c r="X15" s="2474"/>
      <c r="Y15" s="2474"/>
      <c r="Z15" s="2475"/>
    </row>
    <row r="16" spans="1:26" ht="22.05" customHeight="1" thickBot="1" x14ac:dyDescent="0.35">
      <c r="A16" s="2507">
        <v>2023</v>
      </c>
      <c r="B16" s="2508">
        <v>25</v>
      </c>
      <c r="C16" s="2508" t="s">
        <v>1323</v>
      </c>
      <c r="D16" s="2508">
        <v>532900011</v>
      </c>
      <c r="E16" s="2508" t="s">
        <v>1310</v>
      </c>
      <c r="F16" s="2509" t="s">
        <v>1326</v>
      </c>
      <c r="G16" s="2508">
        <v>1</v>
      </c>
      <c r="H16" s="2508" t="s">
        <v>1300</v>
      </c>
      <c r="I16" s="2510">
        <v>604996.01</v>
      </c>
      <c r="J16" s="2510">
        <v>604996.01</v>
      </c>
      <c r="K16" s="2508" t="s">
        <v>1301</v>
      </c>
      <c r="L16" s="2508" t="s">
        <v>546</v>
      </c>
      <c r="M16" s="2509" t="s">
        <v>1320</v>
      </c>
      <c r="N16" s="2511" t="s">
        <v>1312</v>
      </c>
      <c r="O16" s="2481"/>
      <c r="P16" s="2474"/>
      <c r="Q16" s="2474"/>
      <c r="R16" s="2474"/>
      <c r="S16" s="2474"/>
      <c r="T16" s="2474"/>
      <c r="U16" s="2474"/>
      <c r="V16" s="2474"/>
      <c r="W16" s="2474"/>
      <c r="X16" s="2474"/>
      <c r="Y16" s="2474"/>
      <c r="Z16" s="2475"/>
    </row>
    <row r="17" spans="1:26" ht="22.05" customHeight="1" thickBot="1" x14ac:dyDescent="0.35">
      <c r="A17" s="2502">
        <v>2023</v>
      </c>
      <c r="B17" s="2503">
        <v>27</v>
      </c>
      <c r="C17" s="2503">
        <v>750504.00100000005</v>
      </c>
      <c r="D17" s="2503">
        <v>871520211</v>
      </c>
      <c r="E17" s="2503" t="s">
        <v>1310</v>
      </c>
      <c r="F17" s="2504" t="s">
        <v>1327</v>
      </c>
      <c r="G17" s="2503">
        <v>1</v>
      </c>
      <c r="H17" s="2503" t="s">
        <v>1300</v>
      </c>
      <c r="I17" s="2505">
        <v>108741.21</v>
      </c>
      <c r="J17" s="2505">
        <v>108741.21</v>
      </c>
      <c r="K17" s="2503" t="s">
        <v>1301</v>
      </c>
      <c r="L17" s="2503" t="s">
        <v>740</v>
      </c>
      <c r="M17" s="2504" t="s">
        <v>1328</v>
      </c>
      <c r="N17" s="2512" t="s">
        <v>1312</v>
      </c>
      <c r="O17" s="2481"/>
      <c r="P17" s="2474"/>
      <c r="Q17" s="2474"/>
      <c r="R17" s="2474"/>
      <c r="S17" s="2474"/>
      <c r="T17" s="2474"/>
      <c r="U17" s="2474"/>
      <c r="V17" s="2474"/>
      <c r="W17" s="2474"/>
      <c r="X17" s="2474"/>
      <c r="Y17" s="2474"/>
      <c r="Z17" s="2475"/>
    </row>
    <row r="18" spans="1:26" ht="22.05" customHeight="1" thickBot="1" x14ac:dyDescent="0.35">
      <c r="A18" s="2507">
        <v>2023</v>
      </c>
      <c r="B18" s="2508">
        <v>28</v>
      </c>
      <c r="C18" s="2508" t="s">
        <v>1329</v>
      </c>
      <c r="D18" s="2508">
        <v>546190012</v>
      </c>
      <c r="E18" s="2508" t="s">
        <v>1307</v>
      </c>
      <c r="F18" s="2509" t="s">
        <v>1330</v>
      </c>
      <c r="G18" s="2508">
        <v>1</v>
      </c>
      <c r="H18" s="2508" t="s">
        <v>1300</v>
      </c>
      <c r="I18" s="2510">
        <v>378584.89</v>
      </c>
      <c r="J18" s="2510">
        <v>378584.89</v>
      </c>
      <c r="K18" s="2508" t="s">
        <v>1301</v>
      </c>
      <c r="L18" s="2508" t="s">
        <v>546</v>
      </c>
      <c r="M18" s="2509" t="s">
        <v>1320</v>
      </c>
      <c r="N18" s="2511" t="s">
        <v>1312</v>
      </c>
      <c r="O18" s="2481"/>
      <c r="P18" s="2474"/>
      <c r="Q18" s="2474"/>
      <c r="R18" s="2474"/>
      <c r="S18" s="2474"/>
      <c r="T18" s="2474"/>
      <c r="U18" s="2474"/>
      <c r="V18" s="2474"/>
      <c r="W18" s="2474"/>
      <c r="X18" s="2474"/>
      <c r="Y18" s="2474"/>
      <c r="Z18" s="2475"/>
    </row>
    <row r="19" spans="1:26" ht="22.05" customHeight="1" thickBot="1" x14ac:dyDescent="0.35">
      <c r="A19" s="2502">
        <v>2023</v>
      </c>
      <c r="B19" s="2503">
        <v>32</v>
      </c>
      <c r="C19" s="2503">
        <v>750101.00199999998</v>
      </c>
      <c r="D19" s="2503">
        <v>532510014</v>
      </c>
      <c r="E19" s="2503" t="s">
        <v>1310</v>
      </c>
      <c r="F19" s="2504" t="s">
        <v>1331</v>
      </c>
      <c r="G19" s="2503">
        <v>1</v>
      </c>
      <c r="H19" s="2503" t="s">
        <v>1300</v>
      </c>
      <c r="I19" s="2505">
        <v>249859.46</v>
      </c>
      <c r="J19" s="2505">
        <v>249859.46</v>
      </c>
      <c r="K19" s="2503" t="s">
        <v>1301</v>
      </c>
      <c r="L19" s="2503" t="s">
        <v>509</v>
      </c>
      <c r="M19" s="2504" t="s">
        <v>776</v>
      </c>
      <c r="N19" s="2512" t="s">
        <v>1312</v>
      </c>
      <c r="O19" s="2481"/>
      <c r="P19" s="2474"/>
      <c r="Q19" s="2474"/>
      <c r="R19" s="2474"/>
      <c r="S19" s="2474"/>
      <c r="T19" s="2474"/>
      <c r="U19" s="2474"/>
      <c r="V19" s="2474"/>
      <c r="W19" s="2474"/>
      <c r="X19" s="2474"/>
      <c r="Y19" s="2474"/>
      <c r="Z19" s="2475"/>
    </row>
    <row r="20" spans="1:26" ht="22.05" customHeight="1" thickBot="1" x14ac:dyDescent="0.35">
      <c r="A20" s="2507">
        <v>2023</v>
      </c>
      <c r="B20" s="2508">
        <v>33</v>
      </c>
      <c r="C20" s="2508" t="s">
        <v>1332</v>
      </c>
      <c r="D20" s="2508">
        <v>881600011</v>
      </c>
      <c r="E20" s="2508" t="s">
        <v>1307</v>
      </c>
      <c r="F20" s="2509" t="s">
        <v>1333</v>
      </c>
      <c r="G20" s="2508">
        <v>1</v>
      </c>
      <c r="H20" s="2508" t="s">
        <v>1300</v>
      </c>
      <c r="I20" s="2510">
        <v>2000</v>
      </c>
      <c r="J20" s="2510">
        <v>2000</v>
      </c>
      <c r="K20" s="2508" t="s">
        <v>1301</v>
      </c>
      <c r="L20" s="2508" t="s">
        <v>466</v>
      </c>
      <c r="M20" s="2509" t="s">
        <v>788</v>
      </c>
      <c r="N20" s="2511" t="s">
        <v>1312</v>
      </c>
      <c r="O20" s="2481"/>
      <c r="P20" s="2474"/>
      <c r="Q20" s="2474"/>
      <c r="R20" s="2474"/>
      <c r="S20" s="2474"/>
      <c r="T20" s="2474"/>
      <c r="U20" s="2474"/>
      <c r="V20" s="2474"/>
      <c r="W20" s="2474"/>
      <c r="X20" s="2474"/>
      <c r="Y20" s="2474"/>
      <c r="Z20" s="2475"/>
    </row>
    <row r="21" spans="1:26" ht="22.05" customHeight="1" thickBot="1" x14ac:dyDescent="0.35">
      <c r="A21" s="2502">
        <v>2023</v>
      </c>
      <c r="B21" s="2503">
        <v>34</v>
      </c>
      <c r="C21" s="2503" t="s">
        <v>1334</v>
      </c>
      <c r="D21" s="2503">
        <v>512900011</v>
      </c>
      <c r="E21" s="2503" t="s">
        <v>1298</v>
      </c>
      <c r="F21" s="2504" t="s">
        <v>1335</v>
      </c>
      <c r="G21" s="2503">
        <v>1</v>
      </c>
      <c r="H21" s="2503" t="s">
        <v>1300</v>
      </c>
      <c r="I21" s="2505">
        <v>150000</v>
      </c>
      <c r="J21" s="2505">
        <v>150000</v>
      </c>
      <c r="K21" s="2503" t="s">
        <v>1301</v>
      </c>
      <c r="L21" s="2503" t="s">
        <v>655</v>
      </c>
      <c r="M21" s="2504" t="s">
        <v>1336</v>
      </c>
      <c r="N21" s="2512" t="s">
        <v>1312</v>
      </c>
      <c r="O21" s="2481"/>
      <c r="P21" s="2474"/>
      <c r="Q21" s="2474"/>
      <c r="R21" s="2474"/>
      <c r="S21" s="2474"/>
      <c r="T21" s="2474"/>
      <c r="U21" s="2474"/>
      <c r="V21" s="2474"/>
      <c r="W21" s="2474"/>
      <c r="X21" s="2474"/>
      <c r="Y21" s="2474"/>
      <c r="Z21" s="2475"/>
    </row>
    <row r="22" spans="1:26" ht="22.05" customHeight="1" thickBot="1" x14ac:dyDescent="0.35">
      <c r="A22" s="2507">
        <v>2023</v>
      </c>
      <c r="B22" s="2508">
        <v>35</v>
      </c>
      <c r="C22" s="2508" t="s">
        <v>1337</v>
      </c>
      <c r="D22" s="2508">
        <v>873400034</v>
      </c>
      <c r="E22" s="2508" t="s">
        <v>1307</v>
      </c>
      <c r="F22" s="2509" t="s">
        <v>1338</v>
      </c>
      <c r="G22" s="2508">
        <v>1</v>
      </c>
      <c r="H22" s="2508" t="s">
        <v>1300</v>
      </c>
      <c r="I22" s="2510">
        <v>12000</v>
      </c>
      <c r="J22" s="2510">
        <v>12000</v>
      </c>
      <c r="K22" s="2508" t="s">
        <v>1301</v>
      </c>
      <c r="L22" s="2508" t="s">
        <v>655</v>
      </c>
      <c r="M22" s="2509" t="s">
        <v>1336</v>
      </c>
      <c r="N22" s="2511" t="s">
        <v>1312</v>
      </c>
      <c r="O22" s="2481"/>
      <c r="P22" s="2474"/>
      <c r="Q22" s="2474"/>
      <c r="R22" s="2474"/>
      <c r="S22" s="2474"/>
      <c r="T22" s="2474"/>
      <c r="U22" s="2474"/>
      <c r="V22" s="2474"/>
      <c r="W22" s="2474"/>
      <c r="X22" s="2474"/>
      <c r="Y22" s="2474"/>
      <c r="Z22" s="2475"/>
    </row>
    <row r="23" spans="1:26" ht="22.05" customHeight="1" thickBot="1" x14ac:dyDescent="0.35">
      <c r="A23" s="2502">
        <v>2023</v>
      </c>
      <c r="B23" s="2503">
        <v>36</v>
      </c>
      <c r="C23" s="2503" t="s">
        <v>1339</v>
      </c>
      <c r="D23" s="2503">
        <v>532900011</v>
      </c>
      <c r="E23" s="2503" t="s">
        <v>1310</v>
      </c>
      <c r="F23" s="2504" t="s">
        <v>1340</v>
      </c>
      <c r="G23" s="2503">
        <v>1</v>
      </c>
      <c r="H23" s="2503" t="s">
        <v>1300</v>
      </c>
      <c r="I23" s="2505">
        <v>41255.800000000003</v>
      </c>
      <c r="J23" s="2505">
        <v>41255.800000000003</v>
      </c>
      <c r="K23" s="2503" t="s">
        <v>1301</v>
      </c>
      <c r="L23" s="2503" t="s">
        <v>715</v>
      </c>
      <c r="M23" s="2504" t="s">
        <v>778</v>
      </c>
      <c r="N23" s="2512" t="s">
        <v>1312</v>
      </c>
      <c r="O23" s="2481"/>
      <c r="P23" s="2474"/>
      <c r="Q23" s="2474"/>
      <c r="R23" s="2474"/>
      <c r="S23" s="2474"/>
      <c r="T23" s="2474"/>
      <c r="U23" s="2474"/>
      <c r="V23" s="2474"/>
      <c r="W23" s="2474"/>
      <c r="X23" s="2474"/>
      <c r="Y23" s="2474"/>
      <c r="Z23" s="2475"/>
    </row>
    <row r="24" spans="1:26" ht="22.05" customHeight="1" thickBot="1" x14ac:dyDescent="0.35">
      <c r="A24" s="2507">
        <v>2023</v>
      </c>
      <c r="B24" s="2508">
        <v>37</v>
      </c>
      <c r="C24" s="2508" t="s">
        <v>1341</v>
      </c>
      <c r="D24" s="2508">
        <v>912200211</v>
      </c>
      <c r="E24" s="2508" t="s">
        <v>1307</v>
      </c>
      <c r="F24" s="2509" t="s">
        <v>1342</v>
      </c>
      <c r="G24" s="2508">
        <v>1</v>
      </c>
      <c r="H24" s="2508" t="s">
        <v>1300</v>
      </c>
      <c r="I24" s="2510">
        <v>12000</v>
      </c>
      <c r="J24" s="2510">
        <v>12000</v>
      </c>
      <c r="K24" s="2508" t="s">
        <v>1301</v>
      </c>
      <c r="L24" s="2508" t="s">
        <v>53</v>
      </c>
      <c r="M24" s="2509" t="s">
        <v>1343</v>
      </c>
      <c r="N24" s="2511" t="s">
        <v>1312</v>
      </c>
      <c r="O24" s="2481"/>
      <c r="P24" s="2474"/>
      <c r="Q24" s="2474"/>
      <c r="R24" s="2474"/>
      <c r="S24" s="2474"/>
      <c r="T24" s="2474"/>
      <c r="U24" s="2474"/>
      <c r="V24" s="2474"/>
      <c r="W24" s="2474"/>
      <c r="X24" s="2474"/>
      <c r="Y24" s="2474"/>
      <c r="Z24" s="2475"/>
    </row>
    <row r="25" spans="1:26" ht="22.05" customHeight="1" thickBot="1" x14ac:dyDescent="0.35">
      <c r="A25" s="2502">
        <v>2023</v>
      </c>
      <c r="B25" s="2503">
        <v>38</v>
      </c>
      <c r="C25" s="2503" t="s">
        <v>1344</v>
      </c>
      <c r="D25" s="2503">
        <v>912200211</v>
      </c>
      <c r="E25" s="2503" t="s">
        <v>1307</v>
      </c>
      <c r="F25" s="2504" t="s">
        <v>1345</v>
      </c>
      <c r="G25" s="2503">
        <v>1</v>
      </c>
      <c r="H25" s="2503" t="s">
        <v>1300</v>
      </c>
      <c r="I25" s="2505">
        <v>8000</v>
      </c>
      <c r="J25" s="2505">
        <v>8000</v>
      </c>
      <c r="K25" s="2503" t="s">
        <v>1301</v>
      </c>
      <c r="L25" s="2503" t="s">
        <v>53</v>
      </c>
      <c r="M25" s="2504" t="s">
        <v>1343</v>
      </c>
      <c r="N25" s="2512" t="s">
        <v>1312</v>
      </c>
      <c r="O25" s="2481"/>
      <c r="P25" s="2474"/>
      <c r="Q25" s="2474"/>
      <c r="R25" s="2474"/>
      <c r="S25" s="2474"/>
      <c r="T25" s="2474"/>
      <c r="U25" s="2474"/>
      <c r="V25" s="2474"/>
      <c r="W25" s="2474"/>
      <c r="X25" s="2474"/>
      <c r="Y25" s="2474"/>
      <c r="Z25" s="2475"/>
    </row>
    <row r="26" spans="1:26" ht="22.05" customHeight="1" thickBot="1" x14ac:dyDescent="0.35">
      <c r="A26" s="2507">
        <v>2023</v>
      </c>
      <c r="B26" s="2508">
        <v>39</v>
      </c>
      <c r="C26" s="2508" t="s">
        <v>1346</v>
      </c>
      <c r="D26" s="2508">
        <v>912200211</v>
      </c>
      <c r="E26" s="2508" t="s">
        <v>1307</v>
      </c>
      <c r="F26" s="2509" t="s">
        <v>1347</v>
      </c>
      <c r="G26" s="2508">
        <v>1</v>
      </c>
      <c r="H26" s="2508" t="s">
        <v>1300</v>
      </c>
      <c r="I26" s="2510">
        <v>5000</v>
      </c>
      <c r="J26" s="2510">
        <v>5000</v>
      </c>
      <c r="K26" s="2508" t="s">
        <v>1301</v>
      </c>
      <c r="L26" s="2508" t="s">
        <v>53</v>
      </c>
      <c r="M26" s="2509" t="s">
        <v>1343</v>
      </c>
      <c r="N26" s="2511" t="s">
        <v>1312</v>
      </c>
      <c r="O26" s="2481"/>
      <c r="P26" s="2474"/>
      <c r="Q26" s="2474"/>
      <c r="R26" s="2474"/>
      <c r="S26" s="2474"/>
      <c r="T26" s="2474"/>
      <c r="U26" s="2474"/>
      <c r="V26" s="2474"/>
      <c r="W26" s="2474"/>
      <c r="X26" s="2474"/>
      <c r="Y26" s="2474"/>
      <c r="Z26" s="2475"/>
    </row>
    <row r="27" spans="1:26" ht="22.05" customHeight="1" thickBot="1" x14ac:dyDescent="0.35">
      <c r="A27" s="2502">
        <v>2023</v>
      </c>
      <c r="B27" s="2503">
        <v>44</v>
      </c>
      <c r="C27" s="2503" t="s">
        <v>1348</v>
      </c>
      <c r="D27" s="2503">
        <v>472110215</v>
      </c>
      <c r="E27" s="2503" t="s">
        <v>1298</v>
      </c>
      <c r="F27" s="2504" t="s">
        <v>1349</v>
      </c>
      <c r="G27" s="2503">
        <v>1</v>
      </c>
      <c r="H27" s="2503" t="s">
        <v>1300</v>
      </c>
      <c r="I27" s="2505">
        <v>5900</v>
      </c>
      <c r="J27" s="2505">
        <v>5900</v>
      </c>
      <c r="K27" s="2503" t="s">
        <v>1301</v>
      </c>
      <c r="L27" s="2503" t="s">
        <v>655</v>
      </c>
      <c r="M27" s="2504" t="s">
        <v>1336</v>
      </c>
      <c r="N27" s="2512" t="s">
        <v>1312</v>
      </c>
      <c r="O27" s="2481"/>
      <c r="P27" s="2474"/>
      <c r="Q27" s="2474"/>
      <c r="R27" s="2474"/>
      <c r="S27" s="2474"/>
      <c r="T27" s="2474"/>
      <c r="U27" s="2474"/>
      <c r="V27" s="2474"/>
      <c r="W27" s="2474"/>
      <c r="X27" s="2474"/>
      <c r="Y27" s="2474"/>
      <c r="Z27" s="2475"/>
    </row>
    <row r="28" spans="1:26" ht="22.05" customHeight="1" thickBot="1" x14ac:dyDescent="0.35">
      <c r="A28" s="2507">
        <v>2023</v>
      </c>
      <c r="B28" s="2508">
        <v>45</v>
      </c>
      <c r="C28" s="2508" t="s">
        <v>1350</v>
      </c>
      <c r="D28" s="2508">
        <v>444400211</v>
      </c>
      <c r="E28" s="2508" t="s">
        <v>1298</v>
      </c>
      <c r="F28" s="2509" t="s">
        <v>1351</v>
      </c>
      <c r="G28" s="2508">
        <v>1</v>
      </c>
      <c r="H28" s="2508" t="s">
        <v>1300</v>
      </c>
      <c r="I28" s="2510">
        <v>14476.33</v>
      </c>
      <c r="J28" s="2510">
        <v>14476.33</v>
      </c>
      <c r="K28" s="2508" t="s">
        <v>1301</v>
      </c>
      <c r="L28" s="2508" t="s">
        <v>495</v>
      </c>
      <c r="M28" s="2509" t="s">
        <v>775</v>
      </c>
      <c r="N28" s="2511" t="s">
        <v>1312</v>
      </c>
      <c r="O28" s="2481"/>
      <c r="P28" s="2474"/>
      <c r="Q28" s="2474"/>
      <c r="R28" s="2474"/>
      <c r="S28" s="2474"/>
      <c r="T28" s="2474"/>
      <c r="U28" s="2474"/>
      <c r="V28" s="2474"/>
      <c r="W28" s="2474"/>
      <c r="X28" s="2474"/>
      <c r="Y28" s="2474"/>
      <c r="Z28" s="2475"/>
    </row>
    <row r="29" spans="1:26" ht="22.05" customHeight="1" thickBot="1" x14ac:dyDescent="0.35">
      <c r="A29" s="2502">
        <v>2023</v>
      </c>
      <c r="B29" s="2503">
        <v>46</v>
      </c>
      <c r="C29" s="2503" t="s">
        <v>1352</v>
      </c>
      <c r="D29" s="2503">
        <v>482200014</v>
      </c>
      <c r="E29" s="2503" t="s">
        <v>1298</v>
      </c>
      <c r="F29" s="2504" t="s">
        <v>1353</v>
      </c>
      <c r="G29" s="2503">
        <v>1</v>
      </c>
      <c r="H29" s="2503" t="s">
        <v>1300</v>
      </c>
      <c r="I29" s="2505">
        <v>61900</v>
      </c>
      <c r="J29" s="2505">
        <v>61900</v>
      </c>
      <c r="K29" s="2503" t="s">
        <v>1301</v>
      </c>
      <c r="L29" s="2503" t="s">
        <v>642</v>
      </c>
      <c r="M29" s="2504" t="s">
        <v>1354</v>
      </c>
      <c r="N29" s="2512" t="s">
        <v>1312</v>
      </c>
      <c r="O29" s="2481"/>
      <c r="P29" s="2474"/>
      <c r="Q29" s="2474"/>
      <c r="R29" s="2474"/>
      <c r="S29" s="2474"/>
      <c r="T29" s="2474"/>
      <c r="U29" s="2474"/>
      <c r="V29" s="2474"/>
      <c r="W29" s="2474"/>
      <c r="X29" s="2474"/>
      <c r="Y29" s="2474"/>
      <c r="Z29" s="2475"/>
    </row>
    <row r="30" spans="1:26" ht="22.05" customHeight="1" thickBot="1" x14ac:dyDescent="0.35">
      <c r="A30" s="2507">
        <v>2023</v>
      </c>
      <c r="B30" s="2508">
        <v>47</v>
      </c>
      <c r="C30" s="2508" t="s">
        <v>1355</v>
      </c>
      <c r="D30" s="2508">
        <v>483530011</v>
      </c>
      <c r="E30" s="2508" t="s">
        <v>1298</v>
      </c>
      <c r="F30" s="2509" t="s">
        <v>1356</v>
      </c>
      <c r="G30" s="2508">
        <v>1</v>
      </c>
      <c r="H30" s="2508" t="s">
        <v>1300</v>
      </c>
      <c r="I30" s="2510">
        <v>16989</v>
      </c>
      <c r="J30" s="2510">
        <v>16989</v>
      </c>
      <c r="K30" s="2508" t="s">
        <v>1301</v>
      </c>
      <c r="L30" s="2508" t="s">
        <v>655</v>
      </c>
      <c r="M30" s="2509" t="s">
        <v>1336</v>
      </c>
      <c r="N30" s="2511" t="s">
        <v>1312</v>
      </c>
      <c r="O30" s="2481"/>
      <c r="P30" s="2474"/>
      <c r="Q30" s="2474"/>
      <c r="R30" s="2474"/>
      <c r="S30" s="2474"/>
      <c r="T30" s="2474"/>
      <c r="U30" s="2474"/>
      <c r="V30" s="2474"/>
      <c r="W30" s="2474"/>
      <c r="X30" s="2474"/>
      <c r="Y30" s="2474"/>
      <c r="Z30" s="2475"/>
    </row>
    <row r="31" spans="1:26" ht="22.05" customHeight="1" thickBot="1" x14ac:dyDescent="0.35">
      <c r="A31" s="2502">
        <v>2023</v>
      </c>
      <c r="B31" s="2503">
        <v>48</v>
      </c>
      <c r="C31" s="2503" t="s">
        <v>1357</v>
      </c>
      <c r="D31" s="2503">
        <v>473230011</v>
      </c>
      <c r="E31" s="2503" t="s">
        <v>1298</v>
      </c>
      <c r="F31" s="2504" t="s">
        <v>1358</v>
      </c>
      <c r="G31" s="2503">
        <v>1</v>
      </c>
      <c r="H31" s="2503" t="s">
        <v>1300</v>
      </c>
      <c r="I31" s="2505">
        <v>3500</v>
      </c>
      <c r="J31" s="2505">
        <v>3500</v>
      </c>
      <c r="K31" s="2503" t="s">
        <v>1301</v>
      </c>
      <c r="L31" s="2503" t="s">
        <v>642</v>
      </c>
      <c r="M31" s="2504" t="s">
        <v>1354</v>
      </c>
      <c r="N31" s="2512" t="s">
        <v>1312</v>
      </c>
      <c r="O31" s="2481"/>
      <c r="P31" s="2474"/>
      <c r="Q31" s="2474"/>
      <c r="R31" s="2474"/>
      <c r="S31" s="2474"/>
      <c r="T31" s="2474"/>
      <c r="U31" s="2474"/>
      <c r="V31" s="2474"/>
      <c r="W31" s="2474"/>
      <c r="X31" s="2474"/>
      <c r="Y31" s="2474"/>
      <c r="Z31" s="2475"/>
    </row>
    <row r="32" spans="1:26" ht="22.05" customHeight="1" thickBot="1" x14ac:dyDescent="0.35">
      <c r="A32" s="2507">
        <v>2023</v>
      </c>
      <c r="B32" s="2508">
        <v>58</v>
      </c>
      <c r="C32" s="2508" t="s">
        <v>1359</v>
      </c>
      <c r="D32" s="2508">
        <v>532900011</v>
      </c>
      <c r="E32" s="2508" t="s">
        <v>1310</v>
      </c>
      <c r="F32" s="2509" t="s">
        <v>1360</v>
      </c>
      <c r="G32" s="2508">
        <v>1</v>
      </c>
      <c r="H32" s="2508" t="s">
        <v>1300</v>
      </c>
      <c r="I32" s="2510">
        <v>120000</v>
      </c>
      <c r="J32" s="2510">
        <v>120000</v>
      </c>
      <c r="K32" s="2508" t="s">
        <v>1301</v>
      </c>
      <c r="L32" s="2508" t="s">
        <v>531</v>
      </c>
      <c r="M32" s="2509" t="s">
        <v>1361</v>
      </c>
      <c r="N32" s="2511" t="s">
        <v>1312</v>
      </c>
      <c r="O32" s="2481"/>
      <c r="P32" s="2474"/>
      <c r="Q32" s="2474"/>
      <c r="R32" s="2474"/>
      <c r="S32" s="2474"/>
      <c r="T32" s="2474"/>
      <c r="U32" s="2474"/>
      <c r="V32" s="2474"/>
      <c r="W32" s="2474"/>
      <c r="X32" s="2474"/>
      <c r="Y32" s="2474"/>
      <c r="Z32" s="2475"/>
    </row>
    <row r="33" spans="1:26" ht="22.05" customHeight="1" thickBot="1" x14ac:dyDescent="0.35">
      <c r="A33" s="2502">
        <v>2023</v>
      </c>
      <c r="B33" s="2503">
        <v>60</v>
      </c>
      <c r="C33" s="2503" t="s">
        <v>1362</v>
      </c>
      <c r="D33" s="2503">
        <v>871520211</v>
      </c>
      <c r="E33" s="2503" t="s">
        <v>1310</v>
      </c>
      <c r="F33" s="2504" t="s">
        <v>1363</v>
      </c>
      <c r="G33" s="2503">
        <v>1</v>
      </c>
      <c r="H33" s="2503" t="s">
        <v>1300</v>
      </c>
      <c r="I33" s="2505">
        <v>116599.53</v>
      </c>
      <c r="J33" s="2505">
        <v>116599.53</v>
      </c>
      <c r="K33" s="2503" t="s">
        <v>1301</v>
      </c>
      <c r="L33" s="2503" t="s">
        <v>531</v>
      </c>
      <c r="M33" s="2504" t="s">
        <v>1361</v>
      </c>
      <c r="N33" s="2512" t="s">
        <v>1312</v>
      </c>
      <c r="O33" s="2481"/>
      <c r="P33" s="2474"/>
      <c r="Q33" s="2474"/>
      <c r="R33" s="2474"/>
      <c r="S33" s="2474"/>
      <c r="T33" s="2474"/>
      <c r="U33" s="2474"/>
      <c r="V33" s="2474"/>
      <c r="W33" s="2474"/>
      <c r="X33" s="2474"/>
      <c r="Y33" s="2474"/>
      <c r="Z33" s="2475"/>
    </row>
    <row r="34" spans="1:26" ht="22.05" customHeight="1" thickBot="1" x14ac:dyDescent="0.35">
      <c r="A34" s="2507">
        <v>2023</v>
      </c>
      <c r="B34" s="2508">
        <v>61</v>
      </c>
      <c r="C34" s="2508" t="s">
        <v>1364</v>
      </c>
      <c r="D34" s="2508">
        <v>473230011</v>
      </c>
      <c r="E34" s="2508" t="s">
        <v>1298</v>
      </c>
      <c r="F34" s="2509" t="s">
        <v>1365</v>
      </c>
      <c r="G34" s="2508">
        <v>1</v>
      </c>
      <c r="H34" s="2508" t="s">
        <v>1300</v>
      </c>
      <c r="I34" s="2510">
        <v>30000</v>
      </c>
      <c r="J34" s="2510">
        <v>30000</v>
      </c>
      <c r="K34" s="2508" t="s">
        <v>1301</v>
      </c>
      <c r="L34" s="2508" t="s">
        <v>553</v>
      </c>
      <c r="M34" s="2509" t="s">
        <v>1200</v>
      </c>
      <c r="N34" s="2511" t="s">
        <v>1312</v>
      </c>
      <c r="O34" s="2481"/>
      <c r="P34" s="2474"/>
      <c r="Q34" s="2474"/>
      <c r="R34" s="2474"/>
      <c r="S34" s="2474"/>
      <c r="T34" s="2474"/>
      <c r="U34" s="2474"/>
      <c r="V34" s="2474"/>
      <c r="W34" s="2474"/>
      <c r="X34" s="2474"/>
      <c r="Y34" s="2474"/>
      <c r="Z34" s="2475"/>
    </row>
    <row r="35" spans="1:26" ht="22.05" customHeight="1" thickBot="1" x14ac:dyDescent="0.35">
      <c r="A35" s="2502">
        <v>2023</v>
      </c>
      <c r="B35" s="2503">
        <v>63</v>
      </c>
      <c r="C35" s="2503" t="s">
        <v>1366</v>
      </c>
      <c r="D35" s="2503">
        <v>512900011</v>
      </c>
      <c r="E35" s="2503" t="s">
        <v>1298</v>
      </c>
      <c r="F35" s="2504" t="s">
        <v>1367</v>
      </c>
      <c r="G35" s="2503">
        <v>1</v>
      </c>
      <c r="H35" s="2503" t="s">
        <v>1300</v>
      </c>
      <c r="I35" s="2505">
        <v>100000</v>
      </c>
      <c r="J35" s="2505">
        <v>100000</v>
      </c>
      <c r="K35" s="2503" t="s">
        <v>1301</v>
      </c>
      <c r="L35" s="2503" t="s">
        <v>655</v>
      </c>
      <c r="M35" s="2504" t="s">
        <v>1336</v>
      </c>
      <c r="N35" s="2512" t="s">
        <v>1312</v>
      </c>
      <c r="O35" s="2481"/>
      <c r="P35" s="2474"/>
      <c r="Q35" s="2474"/>
      <c r="R35" s="2474"/>
      <c r="S35" s="2474"/>
      <c r="T35" s="2474"/>
      <c r="U35" s="2474"/>
      <c r="V35" s="2474"/>
      <c r="W35" s="2474"/>
      <c r="X35" s="2474"/>
      <c r="Y35" s="2474"/>
      <c r="Z35" s="2475"/>
    </row>
    <row r="36" spans="1:26" ht="22.05" customHeight="1" thickBot="1" x14ac:dyDescent="0.35">
      <c r="A36" s="2507">
        <v>2023</v>
      </c>
      <c r="B36" s="2508">
        <v>64</v>
      </c>
      <c r="C36" s="2508" t="s">
        <v>1368</v>
      </c>
      <c r="D36" s="2508">
        <v>532900011</v>
      </c>
      <c r="E36" s="2508" t="s">
        <v>1310</v>
      </c>
      <c r="F36" s="2509" t="s">
        <v>1369</v>
      </c>
      <c r="G36" s="2508">
        <v>1</v>
      </c>
      <c r="H36" s="2508" t="s">
        <v>1300</v>
      </c>
      <c r="I36" s="2510">
        <v>0</v>
      </c>
      <c r="J36" s="2510">
        <v>0</v>
      </c>
      <c r="K36" s="2508" t="s">
        <v>1301</v>
      </c>
      <c r="L36" s="2508" t="s">
        <v>486</v>
      </c>
      <c r="M36" s="2509" t="s">
        <v>785</v>
      </c>
      <c r="N36" s="2511" t="s">
        <v>1312</v>
      </c>
      <c r="O36" s="2481"/>
      <c r="P36" s="2474"/>
      <c r="Q36" s="2474"/>
      <c r="R36" s="2474"/>
      <c r="S36" s="2474"/>
      <c r="T36" s="2474"/>
      <c r="U36" s="2474"/>
      <c r="V36" s="2474"/>
      <c r="W36" s="2474"/>
      <c r="X36" s="2474"/>
      <c r="Y36" s="2474"/>
      <c r="Z36" s="2475"/>
    </row>
    <row r="37" spans="1:26" ht="22.05" customHeight="1" thickBot="1" x14ac:dyDescent="0.35">
      <c r="A37" s="2502">
        <v>2023</v>
      </c>
      <c r="B37" s="2503">
        <v>65</v>
      </c>
      <c r="C37" s="2503" t="s">
        <v>1370</v>
      </c>
      <c r="D37" s="2503">
        <v>532900011</v>
      </c>
      <c r="E37" s="2503" t="s">
        <v>1310</v>
      </c>
      <c r="F37" s="2504" t="s">
        <v>1371</v>
      </c>
      <c r="G37" s="2503">
        <v>1</v>
      </c>
      <c r="H37" s="2503" t="s">
        <v>1300</v>
      </c>
      <c r="I37" s="2505">
        <v>35920</v>
      </c>
      <c r="J37" s="2505">
        <v>35920</v>
      </c>
      <c r="K37" s="2503" t="s">
        <v>1301</v>
      </c>
      <c r="L37" s="2503" t="s">
        <v>518</v>
      </c>
      <c r="M37" s="2504" t="s">
        <v>1372</v>
      </c>
      <c r="N37" s="2512" t="s">
        <v>1312</v>
      </c>
      <c r="O37" s="2481"/>
      <c r="P37" s="2474"/>
      <c r="Q37" s="2474"/>
      <c r="R37" s="2474"/>
      <c r="S37" s="2474"/>
      <c r="T37" s="2474"/>
      <c r="U37" s="2474"/>
      <c r="V37" s="2474"/>
      <c r="W37" s="2474"/>
      <c r="X37" s="2474"/>
      <c r="Y37" s="2474"/>
      <c r="Z37" s="2475"/>
    </row>
    <row r="38" spans="1:26" ht="22.05" customHeight="1" thickBot="1" x14ac:dyDescent="0.35">
      <c r="A38" s="2507">
        <v>2023</v>
      </c>
      <c r="B38" s="2508">
        <v>52</v>
      </c>
      <c r="C38" s="2508" t="s">
        <v>1373</v>
      </c>
      <c r="D38" s="2508">
        <v>871410011</v>
      </c>
      <c r="E38" s="2508" t="s">
        <v>1307</v>
      </c>
      <c r="F38" s="2509" t="s">
        <v>1374</v>
      </c>
      <c r="G38" s="2508">
        <v>1</v>
      </c>
      <c r="H38" s="2508" t="s">
        <v>1300</v>
      </c>
      <c r="I38" s="2510">
        <v>2000</v>
      </c>
      <c r="J38" s="2510">
        <v>2000</v>
      </c>
      <c r="K38" s="2508" t="s">
        <v>1301</v>
      </c>
      <c r="L38" s="2508" t="s">
        <v>103</v>
      </c>
      <c r="M38" s="2509" t="s">
        <v>1302</v>
      </c>
      <c r="N38" s="2513" t="s">
        <v>1303</v>
      </c>
      <c r="O38" s="2481"/>
      <c r="P38" s="2474"/>
      <c r="Q38" s="2474"/>
      <c r="R38" s="2474"/>
      <c r="S38" s="2474"/>
      <c r="T38" s="2474"/>
      <c r="U38" s="2474"/>
      <c r="V38" s="2474"/>
      <c r="W38" s="2474"/>
      <c r="X38" s="2474"/>
      <c r="Y38" s="2474"/>
      <c r="Z38" s="2475"/>
    </row>
    <row r="39" spans="1:26" ht="22.05" customHeight="1" thickBot="1" x14ac:dyDescent="0.35">
      <c r="A39" s="2502">
        <v>2023</v>
      </c>
      <c r="B39" s="2503">
        <v>53</v>
      </c>
      <c r="C39" s="2503" t="s">
        <v>1375</v>
      </c>
      <c r="D39" s="2503">
        <v>721120011</v>
      </c>
      <c r="E39" s="2503" t="s">
        <v>1307</v>
      </c>
      <c r="F39" s="2504" t="s">
        <v>1376</v>
      </c>
      <c r="G39" s="2503">
        <v>1</v>
      </c>
      <c r="H39" s="2503" t="s">
        <v>1300</v>
      </c>
      <c r="I39" s="2505">
        <v>48600</v>
      </c>
      <c r="J39" s="2505">
        <v>48600</v>
      </c>
      <c r="K39" s="2503" t="s">
        <v>1301</v>
      </c>
      <c r="L39" s="2503" t="s">
        <v>103</v>
      </c>
      <c r="M39" s="2504" t="s">
        <v>1302</v>
      </c>
      <c r="N39" s="2506" t="s">
        <v>1303</v>
      </c>
      <c r="O39" s="2481"/>
      <c r="P39" s="2474"/>
      <c r="Q39" s="2474"/>
      <c r="R39" s="2474"/>
      <c r="S39" s="2474"/>
      <c r="T39" s="2474"/>
      <c r="U39" s="2474"/>
      <c r="V39" s="2474"/>
      <c r="W39" s="2474"/>
      <c r="X39" s="2474"/>
      <c r="Y39" s="2474"/>
      <c r="Z39" s="2475"/>
    </row>
    <row r="40" spans="1:26" ht="22.05" customHeight="1" thickBot="1" x14ac:dyDescent="0.35">
      <c r="A40" s="2507">
        <v>2023</v>
      </c>
      <c r="B40" s="2508">
        <v>54</v>
      </c>
      <c r="C40" s="2508" t="s">
        <v>1377</v>
      </c>
      <c r="D40" s="2508">
        <v>625830011</v>
      </c>
      <c r="E40" s="2508" t="s">
        <v>1307</v>
      </c>
      <c r="F40" s="2509" t="s">
        <v>1378</v>
      </c>
      <c r="G40" s="2508">
        <v>1</v>
      </c>
      <c r="H40" s="2508" t="s">
        <v>1300</v>
      </c>
      <c r="I40" s="2510">
        <v>2000</v>
      </c>
      <c r="J40" s="2510">
        <v>2000</v>
      </c>
      <c r="K40" s="2508" t="s">
        <v>1301</v>
      </c>
      <c r="L40" s="2508" t="s">
        <v>103</v>
      </c>
      <c r="M40" s="2509" t="s">
        <v>1302</v>
      </c>
      <c r="N40" s="2513" t="s">
        <v>1303</v>
      </c>
      <c r="O40" s="2481"/>
      <c r="P40" s="2474"/>
      <c r="Q40" s="2474"/>
      <c r="R40" s="2474"/>
      <c r="S40" s="2474"/>
      <c r="T40" s="2474"/>
      <c r="U40" s="2474"/>
      <c r="V40" s="2474"/>
      <c r="W40" s="2474"/>
      <c r="X40" s="2474"/>
      <c r="Y40" s="2474"/>
      <c r="Z40" s="2475"/>
    </row>
    <row r="41" spans="1:26" ht="22.05" customHeight="1" thickBot="1" x14ac:dyDescent="0.35">
      <c r="A41" s="2502">
        <v>2023</v>
      </c>
      <c r="B41" s="2503">
        <v>55</v>
      </c>
      <c r="C41" s="2503" t="s">
        <v>1379</v>
      </c>
      <c r="D41" s="2503">
        <v>871520211</v>
      </c>
      <c r="E41" s="2503" t="s">
        <v>1307</v>
      </c>
      <c r="F41" s="2504" t="s">
        <v>1380</v>
      </c>
      <c r="G41" s="2503">
        <v>1</v>
      </c>
      <c r="H41" s="2503" t="s">
        <v>1300</v>
      </c>
      <c r="I41" s="2505">
        <v>50000</v>
      </c>
      <c r="J41" s="2505">
        <v>50000</v>
      </c>
      <c r="K41" s="2503" t="s">
        <v>1301</v>
      </c>
      <c r="L41" s="2503" t="s">
        <v>103</v>
      </c>
      <c r="M41" s="2504" t="s">
        <v>1302</v>
      </c>
      <c r="N41" s="2506" t="s">
        <v>1303</v>
      </c>
      <c r="O41" s="2481"/>
      <c r="P41" s="2474"/>
      <c r="Q41" s="2474"/>
      <c r="R41" s="2474"/>
      <c r="S41" s="2474"/>
      <c r="T41" s="2474"/>
      <c r="U41" s="2474"/>
      <c r="V41" s="2474"/>
      <c r="W41" s="2474"/>
      <c r="X41" s="2474"/>
      <c r="Y41" s="2474"/>
      <c r="Z41" s="2475"/>
    </row>
    <row r="42" spans="1:26" ht="22.05" customHeight="1" thickBot="1" x14ac:dyDescent="0.35">
      <c r="A42" s="2507">
        <v>2023</v>
      </c>
      <c r="B42" s="2508">
        <v>56</v>
      </c>
      <c r="C42" s="2508" t="s">
        <v>1381</v>
      </c>
      <c r="D42" s="2508">
        <v>681110011</v>
      </c>
      <c r="E42" s="2508" t="s">
        <v>1307</v>
      </c>
      <c r="F42" s="2509" t="s">
        <v>1382</v>
      </c>
      <c r="G42" s="2508">
        <v>1</v>
      </c>
      <c r="H42" s="2508" t="s">
        <v>1300</v>
      </c>
      <c r="I42" s="2510">
        <v>3000</v>
      </c>
      <c r="J42" s="2510">
        <v>3000</v>
      </c>
      <c r="K42" s="2508" t="s">
        <v>1301</v>
      </c>
      <c r="L42" s="2508" t="s">
        <v>103</v>
      </c>
      <c r="M42" s="2509" t="s">
        <v>1302</v>
      </c>
      <c r="N42" s="2513" t="s">
        <v>1303</v>
      </c>
      <c r="O42" s="2481"/>
      <c r="P42" s="2474"/>
      <c r="Q42" s="2474"/>
      <c r="R42" s="2474"/>
      <c r="S42" s="2474"/>
      <c r="T42" s="2474"/>
      <c r="U42" s="2474"/>
      <c r="V42" s="2474"/>
      <c r="W42" s="2474"/>
      <c r="X42" s="2474"/>
      <c r="Y42" s="2474"/>
      <c r="Z42" s="2475"/>
    </row>
    <row r="43" spans="1:26" ht="22.05" customHeight="1" thickBot="1" x14ac:dyDescent="0.35">
      <c r="A43" s="2502">
        <v>2023</v>
      </c>
      <c r="B43" s="2503">
        <v>66</v>
      </c>
      <c r="C43" s="2503" t="s">
        <v>1383</v>
      </c>
      <c r="D43" s="2503">
        <v>532900011</v>
      </c>
      <c r="E43" s="2503" t="s">
        <v>1307</v>
      </c>
      <c r="F43" s="2504" t="s">
        <v>1384</v>
      </c>
      <c r="G43" s="2503">
        <v>1</v>
      </c>
      <c r="H43" s="2503" t="s">
        <v>1300</v>
      </c>
      <c r="I43" s="2505">
        <v>24000</v>
      </c>
      <c r="J43" s="2505">
        <v>24000</v>
      </c>
      <c r="K43" s="2503" t="s">
        <v>1301</v>
      </c>
      <c r="L43" s="2503" t="s">
        <v>103</v>
      </c>
      <c r="M43" s="2504" t="s">
        <v>1302</v>
      </c>
      <c r="N43" s="2506" t="s">
        <v>1303</v>
      </c>
      <c r="O43" s="2481"/>
      <c r="P43" s="2474"/>
      <c r="Q43" s="2474"/>
      <c r="R43" s="2474"/>
      <c r="S43" s="2474"/>
      <c r="T43" s="2474"/>
      <c r="U43" s="2474"/>
      <c r="V43" s="2474"/>
      <c r="W43" s="2474"/>
      <c r="X43" s="2474"/>
      <c r="Y43" s="2474"/>
      <c r="Z43" s="2475"/>
    </row>
    <row r="44" spans="1:26" ht="22.05" customHeight="1" thickBot="1" x14ac:dyDescent="0.35">
      <c r="A44" s="2507">
        <v>2023</v>
      </c>
      <c r="B44" s="2508">
        <v>67</v>
      </c>
      <c r="C44" s="2508" t="s">
        <v>1385</v>
      </c>
      <c r="D44" s="2508">
        <v>713340112</v>
      </c>
      <c r="E44" s="2508" t="s">
        <v>1307</v>
      </c>
      <c r="F44" s="2509" t="s">
        <v>1386</v>
      </c>
      <c r="G44" s="2508">
        <v>1</v>
      </c>
      <c r="H44" s="2508" t="s">
        <v>1300</v>
      </c>
      <c r="I44" s="2510">
        <v>18000</v>
      </c>
      <c r="J44" s="2510">
        <v>18000</v>
      </c>
      <c r="K44" s="2508" t="s">
        <v>1301</v>
      </c>
      <c r="L44" s="2508" t="s">
        <v>103</v>
      </c>
      <c r="M44" s="2509" t="s">
        <v>1302</v>
      </c>
      <c r="N44" s="2513" t="s">
        <v>1303</v>
      </c>
      <c r="O44" s="2481"/>
      <c r="P44" s="2474"/>
      <c r="Q44" s="2474"/>
      <c r="R44" s="2474"/>
      <c r="S44" s="2474"/>
      <c r="T44" s="2474"/>
      <c r="U44" s="2474"/>
      <c r="V44" s="2474"/>
      <c r="W44" s="2474"/>
      <c r="X44" s="2474"/>
      <c r="Y44" s="2474"/>
      <c r="Z44" s="2475"/>
    </row>
    <row r="45" spans="1:26" ht="22.05" customHeight="1" thickBot="1" x14ac:dyDescent="0.35">
      <c r="A45" s="2502">
        <v>2023</v>
      </c>
      <c r="B45" s="2503">
        <v>68</v>
      </c>
      <c r="C45" s="2503" t="s">
        <v>1387</v>
      </c>
      <c r="D45" s="2503">
        <v>622910013</v>
      </c>
      <c r="E45" s="2503" t="s">
        <v>1307</v>
      </c>
      <c r="F45" s="2504" t="s">
        <v>1388</v>
      </c>
      <c r="G45" s="2503">
        <v>1</v>
      </c>
      <c r="H45" s="2503" t="s">
        <v>1300</v>
      </c>
      <c r="I45" s="2505">
        <v>12000</v>
      </c>
      <c r="J45" s="2505">
        <v>12000</v>
      </c>
      <c r="K45" s="2503" t="s">
        <v>1301</v>
      </c>
      <c r="L45" s="2503" t="s">
        <v>103</v>
      </c>
      <c r="M45" s="2504" t="s">
        <v>1302</v>
      </c>
      <c r="N45" s="2506" t="s">
        <v>1303</v>
      </c>
      <c r="O45" s="2481"/>
      <c r="P45" s="2474"/>
      <c r="Q45" s="2474"/>
      <c r="R45" s="2474"/>
      <c r="S45" s="2474"/>
      <c r="T45" s="2474"/>
      <c r="U45" s="2474"/>
      <c r="V45" s="2474"/>
      <c r="W45" s="2474"/>
      <c r="X45" s="2474"/>
      <c r="Y45" s="2474"/>
      <c r="Z45" s="2475"/>
    </row>
    <row r="46" spans="1:26" ht="22.05" customHeight="1" thickBot="1" x14ac:dyDescent="0.35">
      <c r="A46" s="2507">
        <v>2023</v>
      </c>
      <c r="B46" s="2508">
        <v>69</v>
      </c>
      <c r="C46" s="2508" t="s">
        <v>1389</v>
      </c>
      <c r="D46" s="2508">
        <v>532900011</v>
      </c>
      <c r="E46" s="2508" t="s">
        <v>1307</v>
      </c>
      <c r="F46" s="2509" t="s">
        <v>1390</v>
      </c>
      <c r="G46" s="2508">
        <v>1</v>
      </c>
      <c r="H46" s="2508" t="s">
        <v>1300</v>
      </c>
      <c r="I46" s="2510">
        <v>5000</v>
      </c>
      <c r="J46" s="2510">
        <v>5000</v>
      </c>
      <c r="K46" s="2508" t="s">
        <v>1301</v>
      </c>
      <c r="L46" s="2508" t="s">
        <v>103</v>
      </c>
      <c r="M46" s="2509" t="s">
        <v>1302</v>
      </c>
      <c r="N46" s="2513" t="s">
        <v>1303</v>
      </c>
      <c r="O46" s="2481"/>
      <c r="P46" s="2474"/>
      <c r="Q46" s="2474"/>
      <c r="R46" s="2474"/>
      <c r="S46" s="2474"/>
      <c r="T46" s="2474"/>
      <c r="U46" s="2474"/>
      <c r="V46" s="2474"/>
      <c r="W46" s="2474"/>
      <c r="X46" s="2474"/>
      <c r="Y46" s="2474"/>
      <c r="Z46" s="2475"/>
    </row>
    <row r="47" spans="1:26" ht="22.05" customHeight="1" thickBot="1" x14ac:dyDescent="0.35">
      <c r="A47" s="2502">
        <v>2023</v>
      </c>
      <c r="B47" s="2503">
        <v>70</v>
      </c>
      <c r="C47" s="2503" t="s">
        <v>1391</v>
      </c>
      <c r="D47" s="2503">
        <v>532900011</v>
      </c>
      <c r="E47" s="2503" t="s">
        <v>1307</v>
      </c>
      <c r="F47" s="2504" t="s">
        <v>1392</v>
      </c>
      <c r="G47" s="2503">
        <v>1</v>
      </c>
      <c r="H47" s="2503" t="s">
        <v>1300</v>
      </c>
      <c r="I47" s="2505">
        <v>15000</v>
      </c>
      <c r="J47" s="2505">
        <v>15000</v>
      </c>
      <c r="K47" s="2503" t="s">
        <v>1301</v>
      </c>
      <c r="L47" s="2503" t="s">
        <v>103</v>
      </c>
      <c r="M47" s="2504" t="s">
        <v>1302</v>
      </c>
      <c r="N47" s="2506" t="s">
        <v>1303</v>
      </c>
      <c r="O47" s="2481"/>
      <c r="P47" s="2474"/>
      <c r="Q47" s="2474"/>
      <c r="R47" s="2474"/>
      <c r="S47" s="2474"/>
      <c r="T47" s="2474"/>
      <c r="U47" s="2474"/>
      <c r="V47" s="2474"/>
      <c r="W47" s="2474"/>
      <c r="X47" s="2474"/>
      <c r="Y47" s="2474"/>
      <c r="Z47" s="2475"/>
    </row>
    <row r="48" spans="1:26" ht="22.05" customHeight="1" thickBot="1" x14ac:dyDescent="0.35">
      <c r="A48" s="2507">
        <v>2023</v>
      </c>
      <c r="B48" s="2508">
        <v>71</v>
      </c>
      <c r="C48" s="2508" t="s">
        <v>1393</v>
      </c>
      <c r="D48" s="2508">
        <v>871520211</v>
      </c>
      <c r="E48" s="2508" t="s">
        <v>1307</v>
      </c>
      <c r="F48" s="2509" t="s">
        <v>1394</v>
      </c>
      <c r="G48" s="2508">
        <v>1</v>
      </c>
      <c r="H48" s="2508" t="s">
        <v>1300</v>
      </c>
      <c r="I48" s="2510">
        <v>8000</v>
      </c>
      <c r="J48" s="2510">
        <v>8000</v>
      </c>
      <c r="K48" s="2508" t="s">
        <v>1301</v>
      </c>
      <c r="L48" s="2508" t="s">
        <v>103</v>
      </c>
      <c r="M48" s="2509" t="s">
        <v>1302</v>
      </c>
      <c r="N48" s="2513" t="s">
        <v>1303</v>
      </c>
      <c r="O48" s="2481"/>
      <c r="P48" s="2474"/>
      <c r="Q48" s="2474"/>
      <c r="R48" s="2474"/>
      <c r="S48" s="2474"/>
      <c r="T48" s="2474"/>
      <c r="U48" s="2474"/>
      <c r="V48" s="2474"/>
      <c r="W48" s="2474"/>
      <c r="X48" s="2474"/>
      <c r="Y48" s="2474"/>
      <c r="Z48" s="2475"/>
    </row>
    <row r="49" spans="1:26" ht="22.05" customHeight="1" thickBot="1" x14ac:dyDescent="0.35">
      <c r="A49" s="2502">
        <v>2023</v>
      </c>
      <c r="B49" s="2503">
        <v>72</v>
      </c>
      <c r="C49" s="2503" t="s">
        <v>1395</v>
      </c>
      <c r="D49" s="2503">
        <v>532900011</v>
      </c>
      <c r="E49" s="2503" t="s">
        <v>1307</v>
      </c>
      <c r="F49" s="2504" t="s">
        <v>1396</v>
      </c>
      <c r="G49" s="2503">
        <v>1</v>
      </c>
      <c r="H49" s="2503" t="s">
        <v>1300</v>
      </c>
      <c r="I49" s="2505">
        <v>20000</v>
      </c>
      <c r="J49" s="2505">
        <v>20000</v>
      </c>
      <c r="K49" s="2503" t="s">
        <v>1301</v>
      </c>
      <c r="L49" s="2503" t="s">
        <v>103</v>
      </c>
      <c r="M49" s="2504" t="s">
        <v>1302</v>
      </c>
      <c r="N49" s="2506" t="s">
        <v>1303</v>
      </c>
      <c r="O49" s="2481"/>
      <c r="P49" s="2474"/>
      <c r="Q49" s="2474"/>
      <c r="R49" s="2474"/>
      <c r="S49" s="2474"/>
      <c r="T49" s="2474"/>
      <c r="U49" s="2474"/>
      <c r="V49" s="2474"/>
      <c r="W49" s="2474"/>
      <c r="X49" s="2474"/>
      <c r="Y49" s="2474"/>
      <c r="Z49" s="2475"/>
    </row>
    <row r="50" spans="1:26" ht="22.05" customHeight="1" thickBot="1" x14ac:dyDescent="0.35">
      <c r="A50" s="2507">
        <v>2023</v>
      </c>
      <c r="B50" s="2508">
        <v>73</v>
      </c>
      <c r="C50" s="2508" t="s">
        <v>1397</v>
      </c>
      <c r="D50" s="2508">
        <v>532900011</v>
      </c>
      <c r="E50" s="2508" t="s">
        <v>1307</v>
      </c>
      <c r="F50" s="2509" t="s">
        <v>1398</v>
      </c>
      <c r="G50" s="2508">
        <v>1</v>
      </c>
      <c r="H50" s="2508" t="s">
        <v>1300</v>
      </c>
      <c r="I50" s="2510">
        <v>8000</v>
      </c>
      <c r="J50" s="2510">
        <v>8000</v>
      </c>
      <c r="K50" s="2508" t="s">
        <v>1301</v>
      </c>
      <c r="L50" s="2508" t="s">
        <v>103</v>
      </c>
      <c r="M50" s="2509" t="s">
        <v>1302</v>
      </c>
      <c r="N50" s="2513" t="s">
        <v>1303</v>
      </c>
      <c r="O50" s="2481"/>
      <c r="P50" s="2474"/>
      <c r="Q50" s="2474"/>
      <c r="R50" s="2474"/>
      <c r="S50" s="2474"/>
      <c r="T50" s="2474"/>
      <c r="U50" s="2474"/>
      <c r="V50" s="2474"/>
      <c r="W50" s="2474"/>
      <c r="X50" s="2474"/>
      <c r="Y50" s="2474"/>
      <c r="Z50" s="2475"/>
    </row>
    <row r="51" spans="1:26" ht="22.05" customHeight="1" thickBot="1" x14ac:dyDescent="0.35">
      <c r="A51" s="2502">
        <v>2023</v>
      </c>
      <c r="B51" s="2503">
        <v>74</v>
      </c>
      <c r="C51" s="2503" t="s">
        <v>1399</v>
      </c>
      <c r="D51" s="2503">
        <v>429110013</v>
      </c>
      <c r="E51" s="2503" t="s">
        <v>1307</v>
      </c>
      <c r="F51" s="2504" t="s">
        <v>1400</v>
      </c>
      <c r="G51" s="2503">
        <v>1</v>
      </c>
      <c r="H51" s="2503" t="s">
        <v>1300</v>
      </c>
      <c r="I51" s="2505">
        <v>300000</v>
      </c>
      <c r="J51" s="2505">
        <v>300000</v>
      </c>
      <c r="K51" s="2503" t="s">
        <v>1301</v>
      </c>
      <c r="L51" s="2503" t="s">
        <v>103</v>
      </c>
      <c r="M51" s="2504" t="s">
        <v>1302</v>
      </c>
      <c r="N51" s="2506" t="s">
        <v>1303</v>
      </c>
      <c r="O51" s="2481"/>
      <c r="P51" s="2474"/>
      <c r="Q51" s="2474"/>
      <c r="R51" s="2474"/>
      <c r="S51" s="2474"/>
      <c r="T51" s="2474"/>
      <c r="U51" s="2474"/>
      <c r="V51" s="2474"/>
      <c r="W51" s="2474"/>
      <c r="X51" s="2474"/>
      <c r="Y51" s="2474"/>
      <c r="Z51" s="2475"/>
    </row>
    <row r="52" spans="1:26" ht="22.05" customHeight="1" thickBot="1" x14ac:dyDescent="0.35">
      <c r="A52" s="2507">
        <v>2023</v>
      </c>
      <c r="B52" s="2508">
        <v>75</v>
      </c>
      <c r="C52" s="2508" t="s">
        <v>1401</v>
      </c>
      <c r="D52" s="2508">
        <v>429110013</v>
      </c>
      <c r="E52" s="2508" t="s">
        <v>1307</v>
      </c>
      <c r="F52" s="2509" t="s">
        <v>1402</v>
      </c>
      <c r="G52" s="2508">
        <v>1</v>
      </c>
      <c r="H52" s="2508" t="s">
        <v>1300</v>
      </c>
      <c r="I52" s="2510">
        <v>150000</v>
      </c>
      <c r="J52" s="2510">
        <v>150000</v>
      </c>
      <c r="K52" s="2508" t="s">
        <v>1301</v>
      </c>
      <c r="L52" s="2508" t="s">
        <v>103</v>
      </c>
      <c r="M52" s="2509" t="s">
        <v>1302</v>
      </c>
      <c r="N52" s="2513" t="s">
        <v>1303</v>
      </c>
      <c r="O52" s="2481"/>
      <c r="P52" s="2474"/>
      <c r="Q52" s="2474"/>
      <c r="R52" s="2474"/>
      <c r="S52" s="2474"/>
      <c r="T52" s="2474"/>
      <c r="U52" s="2474"/>
      <c r="V52" s="2474"/>
      <c r="W52" s="2474"/>
      <c r="X52" s="2474"/>
      <c r="Y52" s="2474"/>
      <c r="Z52" s="2475"/>
    </row>
    <row r="53" spans="1:26" ht="22.05" customHeight="1" thickBot="1" x14ac:dyDescent="0.35">
      <c r="A53" s="2502">
        <v>2023</v>
      </c>
      <c r="B53" s="2503">
        <v>76</v>
      </c>
      <c r="C53" s="2503" t="s">
        <v>1403</v>
      </c>
      <c r="D53" s="2503">
        <v>429110013</v>
      </c>
      <c r="E53" s="2503" t="s">
        <v>1307</v>
      </c>
      <c r="F53" s="2504" t="s">
        <v>1404</v>
      </c>
      <c r="G53" s="2503">
        <v>1</v>
      </c>
      <c r="H53" s="2503" t="s">
        <v>1300</v>
      </c>
      <c r="I53" s="2505">
        <v>80000</v>
      </c>
      <c r="J53" s="2505">
        <v>80000</v>
      </c>
      <c r="K53" s="2503" t="s">
        <v>1301</v>
      </c>
      <c r="L53" s="2503" t="s">
        <v>103</v>
      </c>
      <c r="M53" s="2504" t="s">
        <v>1302</v>
      </c>
      <c r="N53" s="2506" t="s">
        <v>1303</v>
      </c>
      <c r="O53" s="2481"/>
      <c r="P53" s="2474"/>
      <c r="Q53" s="2474"/>
      <c r="R53" s="2474"/>
      <c r="S53" s="2474"/>
      <c r="T53" s="2474"/>
      <c r="U53" s="2474"/>
      <c r="V53" s="2474"/>
      <c r="W53" s="2474"/>
      <c r="X53" s="2474"/>
      <c r="Y53" s="2474"/>
      <c r="Z53" s="2475"/>
    </row>
    <row r="54" spans="1:26" ht="22.05" customHeight="1" thickBot="1" x14ac:dyDescent="0.35">
      <c r="A54" s="2507">
        <v>2023</v>
      </c>
      <c r="B54" s="2508">
        <v>101</v>
      </c>
      <c r="C54" s="2508" t="s">
        <v>1405</v>
      </c>
      <c r="D54" s="2508">
        <v>444210111</v>
      </c>
      <c r="E54" s="2508" t="s">
        <v>1298</v>
      </c>
      <c r="F54" s="2509" t="s">
        <v>1406</v>
      </c>
      <c r="G54" s="2508">
        <v>1</v>
      </c>
      <c r="H54" s="2508" t="s">
        <v>1300</v>
      </c>
      <c r="I54" s="2510">
        <v>0</v>
      </c>
      <c r="J54" s="2510">
        <v>0</v>
      </c>
      <c r="K54" s="2508" t="s">
        <v>1301</v>
      </c>
      <c r="L54" s="2508" t="s">
        <v>553</v>
      </c>
      <c r="M54" s="2509" t="s">
        <v>1200</v>
      </c>
      <c r="N54" s="2511" t="s">
        <v>1312</v>
      </c>
      <c r="O54" s="2481"/>
      <c r="P54" s="2474"/>
      <c r="Q54" s="2474"/>
      <c r="R54" s="2474"/>
      <c r="S54" s="2474"/>
      <c r="T54" s="2474"/>
      <c r="U54" s="2474"/>
      <c r="V54" s="2474"/>
      <c r="W54" s="2474"/>
      <c r="X54" s="2474"/>
      <c r="Y54" s="2474"/>
      <c r="Z54" s="2475"/>
    </row>
    <row r="55" spans="1:26" ht="19.95" customHeight="1" thickBot="1" x14ac:dyDescent="0.35">
      <c r="A55" s="2514">
        <v>2024</v>
      </c>
      <c r="B55" s="2515" t="s">
        <v>5065</v>
      </c>
      <c r="C55" s="2515" t="s">
        <v>1407</v>
      </c>
      <c r="D55" s="2515">
        <v>3641000228</v>
      </c>
      <c r="E55" s="2515" t="s">
        <v>1298</v>
      </c>
      <c r="F55" s="2516" t="s">
        <v>1408</v>
      </c>
      <c r="G55" s="2515">
        <v>1</v>
      </c>
      <c r="H55" s="2515" t="s">
        <v>1300</v>
      </c>
      <c r="I55" s="2517">
        <v>15000</v>
      </c>
      <c r="J55" s="2517">
        <v>15000</v>
      </c>
      <c r="K55" s="2515" t="s">
        <v>1301</v>
      </c>
      <c r="L55" s="2515" t="s">
        <v>103</v>
      </c>
      <c r="M55" s="2516" t="s">
        <v>1302</v>
      </c>
      <c r="N55" s="2518" t="s">
        <v>1303</v>
      </c>
      <c r="O55" s="2481"/>
      <c r="P55" s="2474"/>
      <c r="Q55" s="2474"/>
      <c r="R55" s="2474"/>
      <c r="S55" s="2474"/>
      <c r="T55" s="2474"/>
      <c r="U55" s="2474"/>
      <c r="V55" s="2474"/>
      <c r="W55" s="2474"/>
      <c r="X55" s="2474"/>
      <c r="Y55" s="2474"/>
      <c r="Z55" s="2475"/>
    </row>
    <row r="56" spans="1:26" ht="22.05" customHeight="1" thickBot="1" x14ac:dyDescent="0.35">
      <c r="A56" s="2507">
        <v>2024</v>
      </c>
      <c r="B56" s="2508">
        <v>2</v>
      </c>
      <c r="C56" s="2508" t="s">
        <v>1409</v>
      </c>
      <c r="D56" s="2508">
        <v>293100021</v>
      </c>
      <c r="E56" s="2508" t="s">
        <v>1298</v>
      </c>
      <c r="F56" s="2509" t="s">
        <v>1410</v>
      </c>
      <c r="G56" s="2508">
        <v>1</v>
      </c>
      <c r="H56" s="2508" t="s">
        <v>1300</v>
      </c>
      <c r="I56" s="2510">
        <v>6944.9</v>
      </c>
      <c r="J56" s="2510">
        <v>6944.9</v>
      </c>
      <c r="K56" s="2508" t="s">
        <v>1301</v>
      </c>
      <c r="L56" s="2508" t="s">
        <v>103</v>
      </c>
      <c r="M56" s="2509" t="s">
        <v>1302</v>
      </c>
      <c r="N56" s="2513" t="s">
        <v>1303</v>
      </c>
      <c r="O56" s="2481"/>
      <c r="P56" s="2474"/>
      <c r="Q56" s="2474"/>
      <c r="R56" s="2474"/>
      <c r="S56" s="2474"/>
      <c r="T56" s="2474"/>
      <c r="U56" s="2474"/>
      <c r="V56" s="2474"/>
      <c r="W56" s="2474"/>
      <c r="X56" s="2474"/>
      <c r="Y56" s="2474"/>
      <c r="Z56" s="2475"/>
    </row>
    <row r="57" spans="1:26" ht="22.05" customHeight="1" thickBot="1" x14ac:dyDescent="0.35">
      <c r="A57" s="2502">
        <v>2024</v>
      </c>
      <c r="B57" s="2503">
        <v>3</v>
      </c>
      <c r="C57" s="2503">
        <v>840402</v>
      </c>
      <c r="D57" s="2503">
        <v>512900025</v>
      </c>
      <c r="E57" s="2503" t="s">
        <v>1307</v>
      </c>
      <c r="F57" s="2504" t="s">
        <v>1411</v>
      </c>
      <c r="G57" s="2503">
        <v>1</v>
      </c>
      <c r="H57" s="2503" t="s">
        <v>1300</v>
      </c>
      <c r="I57" s="2505">
        <v>15000</v>
      </c>
      <c r="J57" s="2505">
        <v>15000</v>
      </c>
      <c r="K57" s="2503" t="s">
        <v>1301</v>
      </c>
      <c r="L57" s="2503" t="s">
        <v>47</v>
      </c>
      <c r="M57" s="2504" t="s">
        <v>1412</v>
      </c>
      <c r="N57" s="2512" t="s">
        <v>1312</v>
      </c>
      <c r="O57" s="2481"/>
      <c r="P57" s="2474"/>
      <c r="Q57" s="2474"/>
      <c r="R57" s="2474"/>
      <c r="S57" s="2474"/>
      <c r="T57" s="2474"/>
      <c r="U57" s="2474"/>
      <c r="V57" s="2474"/>
      <c r="W57" s="2474"/>
      <c r="X57" s="2474"/>
      <c r="Y57" s="2474"/>
      <c r="Z57" s="2475"/>
    </row>
    <row r="58" spans="1:26" ht="22.05" customHeight="1" thickBot="1" x14ac:dyDescent="0.35">
      <c r="A58" s="2507">
        <v>2024</v>
      </c>
      <c r="B58" s="2508">
        <v>4</v>
      </c>
      <c r="C58" s="2508">
        <v>840109</v>
      </c>
      <c r="D58" s="2508">
        <v>621510011</v>
      </c>
      <c r="E58" s="2508" t="s">
        <v>1298</v>
      </c>
      <c r="F58" s="2509" t="s">
        <v>1413</v>
      </c>
      <c r="G58" s="2508">
        <v>1</v>
      </c>
      <c r="H58" s="2508" t="s">
        <v>1300</v>
      </c>
      <c r="I58" s="2510">
        <v>1409</v>
      </c>
      <c r="J58" s="2510">
        <v>1409</v>
      </c>
      <c r="K58" s="2508" t="s">
        <v>1301</v>
      </c>
      <c r="L58" s="2508" t="s">
        <v>103</v>
      </c>
      <c r="M58" s="2509" t="s">
        <v>1302</v>
      </c>
      <c r="N58" s="2513" t="s">
        <v>1303</v>
      </c>
      <c r="O58" s="2481"/>
      <c r="P58" s="2474"/>
      <c r="Q58" s="2474"/>
      <c r="R58" s="2474"/>
      <c r="S58" s="2474"/>
      <c r="T58" s="2474"/>
      <c r="U58" s="2474"/>
      <c r="V58" s="2474"/>
      <c r="W58" s="2474"/>
      <c r="X58" s="2474"/>
      <c r="Y58" s="2474"/>
      <c r="Z58" s="2475"/>
    </row>
    <row r="59" spans="1:26" ht="22.05" customHeight="1" thickBot="1" x14ac:dyDescent="0.35">
      <c r="A59" s="2502">
        <v>2024</v>
      </c>
      <c r="B59" s="2503">
        <v>5</v>
      </c>
      <c r="C59" s="2503">
        <v>840107</v>
      </c>
      <c r="D59" s="2503">
        <v>4522000116</v>
      </c>
      <c r="E59" s="2503" t="s">
        <v>1298</v>
      </c>
      <c r="F59" s="2504" t="s">
        <v>1414</v>
      </c>
      <c r="G59" s="2503">
        <v>1</v>
      </c>
      <c r="H59" s="2503" t="s">
        <v>1300</v>
      </c>
      <c r="I59" s="2505">
        <v>19645.400000000001</v>
      </c>
      <c r="J59" s="2505">
        <v>19645.400000000001</v>
      </c>
      <c r="K59" s="2503" t="s">
        <v>1301</v>
      </c>
      <c r="L59" s="2503" t="s">
        <v>655</v>
      </c>
      <c r="M59" s="2504" t="s">
        <v>1336</v>
      </c>
      <c r="N59" s="2512" t="s">
        <v>1312</v>
      </c>
      <c r="O59" s="2481"/>
      <c r="P59" s="2474"/>
      <c r="Q59" s="2474"/>
      <c r="R59" s="2474"/>
      <c r="S59" s="2474"/>
      <c r="T59" s="2474"/>
      <c r="U59" s="2474"/>
      <c r="V59" s="2474"/>
      <c r="W59" s="2474"/>
      <c r="X59" s="2474"/>
      <c r="Y59" s="2474"/>
      <c r="Z59" s="2475"/>
    </row>
    <row r="60" spans="1:26" ht="22.05" customHeight="1" thickBot="1" x14ac:dyDescent="0.35">
      <c r="A60" s="2507">
        <v>2024</v>
      </c>
      <c r="B60" s="2508">
        <v>6</v>
      </c>
      <c r="C60" s="2508">
        <v>840107</v>
      </c>
      <c r="D60" s="2508">
        <v>432115011</v>
      </c>
      <c r="E60" s="2508" t="s">
        <v>1298</v>
      </c>
      <c r="F60" s="2509" t="s">
        <v>1415</v>
      </c>
      <c r="G60" s="2508">
        <v>1</v>
      </c>
      <c r="H60" s="2508" t="s">
        <v>1300</v>
      </c>
      <c r="I60" s="2510">
        <v>10000</v>
      </c>
      <c r="J60" s="2510">
        <v>10000</v>
      </c>
      <c r="K60" s="2508" t="s">
        <v>1301</v>
      </c>
      <c r="L60" s="2508" t="s">
        <v>655</v>
      </c>
      <c r="M60" s="2509" t="s">
        <v>1336</v>
      </c>
      <c r="N60" s="2511" t="s">
        <v>1312</v>
      </c>
      <c r="O60" s="2481"/>
      <c r="P60" s="2474"/>
      <c r="Q60" s="2474"/>
      <c r="R60" s="2474"/>
      <c r="S60" s="2474"/>
      <c r="T60" s="2474"/>
      <c r="U60" s="2474"/>
      <c r="V60" s="2474"/>
      <c r="W60" s="2474"/>
      <c r="X60" s="2474"/>
      <c r="Y60" s="2474"/>
      <c r="Z60" s="2475"/>
    </row>
    <row r="61" spans="1:26" ht="22.05" customHeight="1" thickBot="1" x14ac:dyDescent="0.35">
      <c r="A61" s="2502">
        <v>2024</v>
      </c>
      <c r="B61" s="2503">
        <v>7</v>
      </c>
      <c r="C61" s="2503">
        <v>840107</v>
      </c>
      <c r="D61" s="2503">
        <v>481490011</v>
      </c>
      <c r="E61" s="2503" t="s">
        <v>1298</v>
      </c>
      <c r="F61" s="2504" t="s">
        <v>1416</v>
      </c>
      <c r="G61" s="2503">
        <v>1</v>
      </c>
      <c r="H61" s="2503" t="s">
        <v>1300</v>
      </c>
      <c r="I61" s="2505">
        <v>30345.599999999999</v>
      </c>
      <c r="J61" s="2505">
        <v>30345.599999999999</v>
      </c>
      <c r="K61" s="2503" t="s">
        <v>1301</v>
      </c>
      <c r="L61" s="2503" t="s">
        <v>655</v>
      </c>
      <c r="M61" s="2504" t="s">
        <v>1336</v>
      </c>
      <c r="N61" s="2512" t="s">
        <v>1312</v>
      </c>
      <c r="O61" s="2481"/>
      <c r="P61" s="2474"/>
      <c r="Q61" s="2474"/>
      <c r="R61" s="2474"/>
      <c r="S61" s="2474"/>
      <c r="T61" s="2474"/>
      <c r="U61" s="2474"/>
      <c r="V61" s="2474"/>
      <c r="W61" s="2474"/>
      <c r="X61" s="2474"/>
      <c r="Y61" s="2474"/>
      <c r="Z61" s="2475"/>
    </row>
    <row r="62" spans="1:26" ht="22.05" customHeight="1" thickBot="1" x14ac:dyDescent="0.35">
      <c r="A62" s="2507">
        <v>2024</v>
      </c>
      <c r="B62" s="2508">
        <v>8</v>
      </c>
      <c r="C62" s="2508">
        <v>840106</v>
      </c>
      <c r="D62" s="2508">
        <v>444610013</v>
      </c>
      <c r="E62" s="2508" t="s">
        <v>1298</v>
      </c>
      <c r="F62" s="2509" t="s">
        <v>1417</v>
      </c>
      <c r="G62" s="2508">
        <v>1</v>
      </c>
      <c r="H62" s="2508" t="s">
        <v>1300</v>
      </c>
      <c r="I62" s="2510">
        <v>2000</v>
      </c>
      <c r="J62" s="2510">
        <v>2000</v>
      </c>
      <c r="K62" s="2508" t="s">
        <v>1301</v>
      </c>
      <c r="L62" s="2508" t="s">
        <v>103</v>
      </c>
      <c r="M62" s="2509" t="s">
        <v>1302</v>
      </c>
      <c r="N62" s="2513" t="s">
        <v>1303</v>
      </c>
      <c r="O62" s="2481"/>
      <c r="P62" s="2474"/>
      <c r="Q62" s="2474"/>
      <c r="R62" s="2474"/>
      <c r="S62" s="2474"/>
      <c r="T62" s="2474"/>
      <c r="U62" s="2474"/>
      <c r="V62" s="2474"/>
      <c r="W62" s="2474"/>
      <c r="X62" s="2474"/>
      <c r="Y62" s="2474"/>
      <c r="Z62" s="2475"/>
    </row>
    <row r="63" spans="1:26" ht="22.05" customHeight="1" thickBot="1" x14ac:dyDescent="0.35">
      <c r="A63" s="2502">
        <v>2024</v>
      </c>
      <c r="B63" s="2503">
        <v>9</v>
      </c>
      <c r="C63" s="2503">
        <v>840105</v>
      </c>
      <c r="D63" s="2503">
        <v>491130025</v>
      </c>
      <c r="E63" s="2503" t="s">
        <v>1298</v>
      </c>
      <c r="F63" s="2504" t="s">
        <v>1418</v>
      </c>
      <c r="G63" s="2503">
        <v>1</v>
      </c>
      <c r="H63" s="2503" t="s">
        <v>1300</v>
      </c>
      <c r="I63" s="2505">
        <v>138000</v>
      </c>
      <c r="J63" s="2505">
        <v>138000</v>
      </c>
      <c r="K63" s="2503" t="s">
        <v>1301</v>
      </c>
      <c r="L63" s="2503" t="s">
        <v>553</v>
      </c>
      <c r="M63" s="2504" t="s">
        <v>1200</v>
      </c>
      <c r="N63" s="2512" t="s">
        <v>1312</v>
      </c>
      <c r="O63" s="2481"/>
      <c r="P63" s="2474"/>
      <c r="Q63" s="2474"/>
      <c r="R63" s="2474"/>
      <c r="S63" s="2474"/>
      <c r="T63" s="2474"/>
      <c r="U63" s="2474"/>
      <c r="V63" s="2474"/>
      <c r="W63" s="2474"/>
      <c r="X63" s="2474"/>
      <c r="Y63" s="2474"/>
      <c r="Z63" s="2475"/>
    </row>
    <row r="64" spans="1:26" ht="22.05" customHeight="1" thickBot="1" x14ac:dyDescent="0.35">
      <c r="A64" s="2507">
        <v>2024</v>
      </c>
      <c r="B64" s="2508">
        <v>10</v>
      </c>
      <c r="C64" s="2508">
        <v>840104</v>
      </c>
      <c r="D64" s="2508">
        <v>482650221</v>
      </c>
      <c r="E64" s="2508" t="s">
        <v>1298</v>
      </c>
      <c r="F64" s="2509" t="s">
        <v>1419</v>
      </c>
      <c r="G64" s="2508">
        <v>1</v>
      </c>
      <c r="H64" s="2508" t="s">
        <v>1300</v>
      </c>
      <c r="I64" s="2510">
        <v>25000</v>
      </c>
      <c r="J64" s="2510">
        <v>25000</v>
      </c>
      <c r="K64" s="2508" t="s">
        <v>1301</v>
      </c>
      <c r="L64" s="2508" t="s">
        <v>495</v>
      </c>
      <c r="M64" s="2509" t="s">
        <v>775</v>
      </c>
      <c r="N64" s="2511" t="s">
        <v>1312</v>
      </c>
      <c r="O64" s="2481"/>
      <c r="P64" s="2474"/>
      <c r="Q64" s="2474"/>
      <c r="R64" s="2474"/>
      <c r="S64" s="2474"/>
      <c r="T64" s="2474"/>
      <c r="U64" s="2474"/>
      <c r="V64" s="2474"/>
      <c r="W64" s="2474"/>
      <c r="X64" s="2474"/>
      <c r="Y64" s="2474"/>
      <c r="Z64" s="2475"/>
    </row>
    <row r="65" spans="1:26" ht="22.05" customHeight="1" thickBot="1" x14ac:dyDescent="0.35">
      <c r="A65" s="2502">
        <v>2024</v>
      </c>
      <c r="B65" s="2503">
        <v>11</v>
      </c>
      <c r="C65" s="2503">
        <v>840104</v>
      </c>
      <c r="D65" s="2503">
        <v>439130111</v>
      </c>
      <c r="E65" s="2503" t="s">
        <v>1298</v>
      </c>
      <c r="F65" s="2504" t="s">
        <v>1420</v>
      </c>
      <c r="G65" s="2503">
        <v>1</v>
      </c>
      <c r="H65" s="2503" t="s">
        <v>1300</v>
      </c>
      <c r="I65" s="2505">
        <v>8000</v>
      </c>
      <c r="J65" s="2505">
        <v>8000</v>
      </c>
      <c r="K65" s="2503" t="s">
        <v>1301</v>
      </c>
      <c r="L65" s="2503" t="s">
        <v>103</v>
      </c>
      <c r="M65" s="2504" t="s">
        <v>1302</v>
      </c>
      <c r="N65" s="2506" t="s">
        <v>1303</v>
      </c>
      <c r="O65" s="2481"/>
      <c r="P65" s="2474"/>
      <c r="Q65" s="2474"/>
      <c r="R65" s="2474"/>
      <c r="S65" s="2474"/>
      <c r="T65" s="2474"/>
      <c r="U65" s="2474"/>
      <c r="V65" s="2474"/>
      <c r="W65" s="2474"/>
      <c r="X65" s="2474"/>
      <c r="Y65" s="2474"/>
      <c r="Z65" s="2475"/>
    </row>
    <row r="66" spans="1:26" ht="22.05" customHeight="1" thickBot="1" x14ac:dyDescent="0.35">
      <c r="A66" s="2507">
        <v>2024</v>
      </c>
      <c r="B66" s="2508">
        <v>12</v>
      </c>
      <c r="C66" s="2508">
        <v>840104</v>
      </c>
      <c r="D66" s="2508">
        <v>381210017</v>
      </c>
      <c r="E66" s="2508" t="s">
        <v>1298</v>
      </c>
      <c r="F66" s="2509" t="s">
        <v>1421</v>
      </c>
      <c r="G66" s="2508">
        <v>1</v>
      </c>
      <c r="H66" s="2508" t="s">
        <v>1300</v>
      </c>
      <c r="I66" s="2510">
        <v>3500</v>
      </c>
      <c r="J66" s="2510">
        <v>3500</v>
      </c>
      <c r="K66" s="2508" t="s">
        <v>1301</v>
      </c>
      <c r="L66" s="2508" t="s">
        <v>103</v>
      </c>
      <c r="M66" s="2509" t="s">
        <v>1302</v>
      </c>
      <c r="N66" s="2513" t="s">
        <v>1303</v>
      </c>
      <c r="O66" s="2481"/>
      <c r="P66" s="2474"/>
      <c r="Q66" s="2474"/>
      <c r="R66" s="2474"/>
      <c r="S66" s="2474"/>
      <c r="T66" s="2474"/>
      <c r="U66" s="2474"/>
      <c r="V66" s="2474"/>
      <c r="W66" s="2474"/>
      <c r="X66" s="2474"/>
      <c r="Y66" s="2474"/>
      <c r="Z66" s="2475"/>
    </row>
    <row r="67" spans="1:26" ht="22.05" customHeight="1" thickBot="1" x14ac:dyDescent="0.35">
      <c r="A67" s="2502">
        <v>2024</v>
      </c>
      <c r="B67" s="2503">
        <v>13</v>
      </c>
      <c r="C67" s="2503">
        <v>840104</v>
      </c>
      <c r="D67" s="2503">
        <v>442310113</v>
      </c>
      <c r="E67" s="2503" t="s">
        <v>1298</v>
      </c>
      <c r="F67" s="2504" t="s">
        <v>1422</v>
      </c>
      <c r="G67" s="2503">
        <v>1</v>
      </c>
      <c r="H67" s="2503" t="s">
        <v>1300</v>
      </c>
      <c r="I67" s="2505">
        <v>14000</v>
      </c>
      <c r="J67" s="2505">
        <v>14000</v>
      </c>
      <c r="K67" s="2503" t="s">
        <v>1301</v>
      </c>
      <c r="L67" s="2503" t="s">
        <v>531</v>
      </c>
      <c r="M67" s="2504" t="s">
        <v>1361</v>
      </c>
      <c r="N67" s="2512" t="s">
        <v>1312</v>
      </c>
      <c r="O67" s="2481"/>
      <c r="P67" s="2474"/>
      <c r="Q67" s="2474"/>
      <c r="R67" s="2474"/>
      <c r="S67" s="2474"/>
      <c r="T67" s="2474"/>
      <c r="U67" s="2474"/>
      <c r="V67" s="2474"/>
      <c r="W67" s="2474"/>
      <c r="X67" s="2474"/>
      <c r="Y67" s="2474"/>
      <c r="Z67" s="2475"/>
    </row>
    <row r="68" spans="1:26" ht="22.05" customHeight="1" thickBot="1" x14ac:dyDescent="0.35">
      <c r="A68" s="2507">
        <v>2024</v>
      </c>
      <c r="B68" s="2508">
        <v>14</v>
      </c>
      <c r="C68" s="2508">
        <v>840104</v>
      </c>
      <c r="D68" s="2508">
        <v>444210111</v>
      </c>
      <c r="E68" s="2508" t="s">
        <v>1298</v>
      </c>
      <c r="F68" s="2509" t="s">
        <v>1423</v>
      </c>
      <c r="G68" s="2508">
        <v>1</v>
      </c>
      <c r="H68" s="2508" t="s">
        <v>1300</v>
      </c>
      <c r="I68" s="2510">
        <v>600000</v>
      </c>
      <c r="J68" s="2510">
        <v>600000</v>
      </c>
      <c r="K68" s="2508" t="s">
        <v>1301</v>
      </c>
      <c r="L68" s="2508" t="s">
        <v>553</v>
      </c>
      <c r="M68" s="2509" t="s">
        <v>1200</v>
      </c>
      <c r="N68" s="2511" t="s">
        <v>1312</v>
      </c>
      <c r="O68" s="2481"/>
      <c r="P68" s="2474"/>
      <c r="Q68" s="2474"/>
      <c r="R68" s="2474"/>
      <c r="S68" s="2474"/>
      <c r="T68" s="2474"/>
      <c r="U68" s="2474"/>
      <c r="V68" s="2474"/>
      <c r="W68" s="2474"/>
      <c r="X68" s="2474"/>
      <c r="Y68" s="2474"/>
      <c r="Z68" s="2475"/>
    </row>
    <row r="69" spans="1:26" ht="22.05" customHeight="1" thickBot="1" x14ac:dyDescent="0.35">
      <c r="A69" s="2502">
        <v>2024</v>
      </c>
      <c r="B69" s="2503">
        <v>15</v>
      </c>
      <c r="C69" s="2503">
        <v>840104</v>
      </c>
      <c r="D69" s="2503">
        <v>421140011</v>
      </c>
      <c r="E69" s="2503" t="s">
        <v>1298</v>
      </c>
      <c r="F69" s="2504" t="s">
        <v>1424</v>
      </c>
      <c r="G69" s="2503">
        <v>1</v>
      </c>
      <c r="H69" s="2503" t="s">
        <v>1300</v>
      </c>
      <c r="I69" s="2505">
        <v>3200</v>
      </c>
      <c r="J69" s="2505">
        <v>3200</v>
      </c>
      <c r="K69" s="2503" t="s">
        <v>1301</v>
      </c>
      <c r="L69" s="2503" t="s">
        <v>103</v>
      </c>
      <c r="M69" s="2504" t="s">
        <v>1302</v>
      </c>
      <c r="N69" s="2506" t="s">
        <v>1303</v>
      </c>
      <c r="O69" s="2481"/>
      <c r="P69" s="2474"/>
      <c r="Q69" s="2474"/>
      <c r="R69" s="2474"/>
      <c r="S69" s="2474"/>
      <c r="T69" s="2474"/>
      <c r="U69" s="2474"/>
      <c r="V69" s="2474"/>
      <c r="W69" s="2474"/>
      <c r="X69" s="2474"/>
      <c r="Y69" s="2474"/>
      <c r="Z69" s="2475"/>
    </row>
    <row r="70" spans="1:26" ht="22.05" customHeight="1" thickBot="1" x14ac:dyDescent="0.35">
      <c r="A70" s="2507">
        <v>2024</v>
      </c>
      <c r="B70" s="2508">
        <v>16</v>
      </c>
      <c r="C70" s="2508">
        <v>840104</v>
      </c>
      <c r="D70" s="2508">
        <v>471420011</v>
      </c>
      <c r="E70" s="2508" t="s">
        <v>1298</v>
      </c>
      <c r="F70" s="2509" t="s">
        <v>1425</v>
      </c>
      <c r="G70" s="2508">
        <v>1</v>
      </c>
      <c r="H70" s="2508" t="s">
        <v>1300</v>
      </c>
      <c r="I70" s="2510">
        <v>15000</v>
      </c>
      <c r="J70" s="2510">
        <v>15000</v>
      </c>
      <c r="K70" s="2508" t="s">
        <v>1301</v>
      </c>
      <c r="L70" s="2508" t="s">
        <v>531</v>
      </c>
      <c r="M70" s="2509" t="s">
        <v>1361</v>
      </c>
      <c r="N70" s="2511" t="s">
        <v>1312</v>
      </c>
      <c r="O70" s="2481"/>
      <c r="P70" s="2474"/>
      <c r="Q70" s="2474"/>
      <c r="R70" s="2474"/>
      <c r="S70" s="2474"/>
      <c r="T70" s="2474"/>
      <c r="U70" s="2474"/>
      <c r="V70" s="2474"/>
      <c r="W70" s="2474"/>
      <c r="X70" s="2474"/>
      <c r="Y70" s="2474"/>
      <c r="Z70" s="2475"/>
    </row>
    <row r="71" spans="1:26" ht="22.05" customHeight="1" thickBot="1" x14ac:dyDescent="0.35">
      <c r="A71" s="2502">
        <v>2024</v>
      </c>
      <c r="B71" s="2503">
        <v>17</v>
      </c>
      <c r="C71" s="2503">
        <v>840104</v>
      </c>
      <c r="D71" s="2503">
        <v>471490211</v>
      </c>
      <c r="E71" s="2503" t="s">
        <v>1298</v>
      </c>
      <c r="F71" s="2504" t="s">
        <v>1426</v>
      </c>
      <c r="G71" s="2503">
        <v>1</v>
      </c>
      <c r="H71" s="2503" t="s">
        <v>1300</v>
      </c>
      <c r="I71" s="2505">
        <v>10000</v>
      </c>
      <c r="J71" s="2505">
        <v>10000</v>
      </c>
      <c r="K71" s="2503" t="s">
        <v>1301</v>
      </c>
      <c r="L71" s="2503" t="s">
        <v>546</v>
      </c>
      <c r="M71" s="2504" t="s">
        <v>1320</v>
      </c>
      <c r="N71" s="2512" t="s">
        <v>1312</v>
      </c>
      <c r="O71" s="2481"/>
      <c r="P71" s="2474"/>
      <c r="Q71" s="2474"/>
      <c r="R71" s="2474"/>
      <c r="S71" s="2474"/>
      <c r="T71" s="2474"/>
      <c r="U71" s="2474"/>
      <c r="V71" s="2474"/>
      <c r="W71" s="2474"/>
      <c r="X71" s="2474"/>
      <c r="Y71" s="2474"/>
      <c r="Z71" s="2475"/>
    </row>
    <row r="72" spans="1:26" ht="22.05" customHeight="1" thickBot="1" x14ac:dyDescent="0.35">
      <c r="A72" s="2507">
        <v>2024</v>
      </c>
      <c r="B72" s="2508">
        <v>18</v>
      </c>
      <c r="C72" s="2508">
        <v>840104</v>
      </c>
      <c r="D72" s="2508">
        <v>482650321</v>
      </c>
      <c r="E72" s="2508" t="s">
        <v>1298</v>
      </c>
      <c r="F72" s="2509" t="s">
        <v>1427</v>
      </c>
      <c r="G72" s="2508">
        <v>1</v>
      </c>
      <c r="H72" s="2508" t="s">
        <v>1300</v>
      </c>
      <c r="I72" s="2510">
        <v>26500</v>
      </c>
      <c r="J72" s="2510">
        <v>26500</v>
      </c>
      <c r="K72" s="2508" t="s">
        <v>1301</v>
      </c>
      <c r="L72" s="2508" t="s">
        <v>486</v>
      </c>
      <c r="M72" s="2509" t="s">
        <v>785</v>
      </c>
      <c r="N72" s="2511" t="s">
        <v>1312</v>
      </c>
      <c r="O72" s="2481"/>
      <c r="P72" s="2474"/>
      <c r="Q72" s="2474"/>
      <c r="R72" s="2474"/>
      <c r="S72" s="2474"/>
      <c r="T72" s="2474"/>
      <c r="U72" s="2474"/>
      <c r="V72" s="2474"/>
      <c r="W72" s="2474"/>
      <c r="X72" s="2474"/>
      <c r="Y72" s="2474"/>
      <c r="Z72" s="2475"/>
    </row>
    <row r="73" spans="1:26" ht="22.05" customHeight="1" thickBot="1" x14ac:dyDescent="0.35">
      <c r="A73" s="2502">
        <v>2024</v>
      </c>
      <c r="B73" s="2503">
        <v>19</v>
      </c>
      <c r="C73" s="2503">
        <v>840104</v>
      </c>
      <c r="D73" s="2503">
        <v>432205014</v>
      </c>
      <c r="E73" s="2503" t="s">
        <v>1298</v>
      </c>
      <c r="F73" s="2504" t="s">
        <v>1428</v>
      </c>
      <c r="G73" s="2503">
        <v>1</v>
      </c>
      <c r="H73" s="2503" t="s">
        <v>1300</v>
      </c>
      <c r="I73" s="2505">
        <v>16000</v>
      </c>
      <c r="J73" s="2505">
        <v>16000</v>
      </c>
      <c r="K73" s="2503" t="s">
        <v>1301</v>
      </c>
      <c r="L73" s="2503" t="s">
        <v>495</v>
      </c>
      <c r="M73" s="2504" t="s">
        <v>775</v>
      </c>
      <c r="N73" s="2512" t="s">
        <v>1312</v>
      </c>
      <c r="O73" s="2481"/>
      <c r="P73" s="2474"/>
      <c r="Q73" s="2474"/>
      <c r="R73" s="2474"/>
      <c r="S73" s="2474"/>
      <c r="T73" s="2474"/>
      <c r="U73" s="2474"/>
      <c r="V73" s="2474"/>
      <c r="W73" s="2474"/>
      <c r="X73" s="2474"/>
      <c r="Y73" s="2474"/>
      <c r="Z73" s="2475"/>
    </row>
    <row r="74" spans="1:26" ht="22.05" customHeight="1" thickBot="1" x14ac:dyDescent="0.35">
      <c r="A74" s="2507">
        <v>2024</v>
      </c>
      <c r="B74" s="2508">
        <v>20</v>
      </c>
      <c r="C74" s="2508">
        <v>840103</v>
      </c>
      <c r="D74" s="2508">
        <v>271600112</v>
      </c>
      <c r="E74" s="2508" t="s">
        <v>1307</v>
      </c>
      <c r="F74" s="2509" t="s">
        <v>1429</v>
      </c>
      <c r="G74" s="2508">
        <v>1</v>
      </c>
      <c r="H74" s="2508" t="s">
        <v>1300</v>
      </c>
      <c r="I74" s="2510">
        <v>5000</v>
      </c>
      <c r="J74" s="2510">
        <v>5000</v>
      </c>
      <c r="K74" s="2508" t="s">
        <v>1301</v>
      </c>
      <c r="L74" s="2508" t="s">
        <v>103</v>
      </c>
      <c r="M74" s="2509" t="s">
        <v>1302</v>
      </c>
      <c r="N74" s="2513" t="s">
        <v>1303</v>
      </c>
      <c r="O74" s="2481"/>
      <c r="P74" s="2474"/>
      <c r="Q74" s="2474"/>
      <c r="R74" s="2474"/>
      <c r="S74" s="2474"/>
      <c r="T74" s="2474"/>
      <c r="U74" s="2474"/>
      <c r="V74" s="2474"/>
      <c r="W74" s="2474"/>
      <c r="X74" s="2474"/>
      <c r="Y74" s="2474"/>
      <c r="Z74" s="2475"/>
    </row>
    <row r="75" spans="1:26" ht="22.05" customHeight="1" thickBot="1" x14ac:dyDescent="0.35">
      <c r="A75" s="2502">
        <v>2024</v>
      </c>
      <c r="B75" s="2503">
        <v>21</v>
      </c>
      <c r="C75" s="2503">
        <v>840103</v>
      </c>
      <c r="D75" s="2503">
        <v>381110211</v>
      </c>
      <c r="E75" s="2503" t="s">
        <v>1298</v>
      </c>
      <c r="F75" s="2504" t="s">
        <v>1430</v>
      </c>
      <c r="G75" s="2503">
        <v>1</v>
      </c>
      <c r="H75" s="2503" t="s">
        <v>1300</v>
      </c>
      <c r="I75" s="2505">
        <v>20000</v>
      </c>
      <c r="J75" s="2505">
        <v>20000</v>
      </c>
      <c r="K75" s="2503" t="s">
        <v>1301</v>
      </c>
      <c r="L75" s="2503" t="s">
        <v>103</v>
      </c>
      <c r="M75" s="2504" t="s">
        <v>1302</v>
      </c>
      <c r="N75" s="2506" t="s">
        <v>1303</v>
      </c>
      <c r="O75" s="2481"/>
      <c r="P75" s="2474"/>
      <c r="Q75" s="2474"/>
      <c r="R75" s="2474"/>
      <c r="S75" s="2474"/>
      <c r="T75" s="2474"/>
      <c r="U75" s="2474"/>
      <c r="V75" s="2474"/>
      <c r="W75" s="2474"/>
      <c r="X75" s="2474"/>
      <c r="Y75" s="2474"/>
      <c r="Z75" s="2475"/>
    </row>
    <row r="76" spans="1:26" ht="22.05" customHeight="1" thickBot="1" x14ac:dyDescent="0.35">
      <c r="A76" s="2507">
        <v>2024</v>
      </c>
      <c r="B76" s="2508">
        <v>22</v>
      </c>
      <c r="C76" s="2508">
        <v>840103</v>
      </c>
      <c r="D76" s="2508">
        <v>492210011</v>
      </c>
      <c r="E76" s="2508" t="s">
        <v>1298</v>
      </c>
      <c r="F76" s="2509" t="s">
        <v>1431</v>
      </c>
      <c r="G76" s="2508">
        <v>1</v>
      </c>
      <c r="H76" s="2508" t="s">
        <v>1300</v>
      </c>
      <c r="I76" s="2510">
        <v>15000</v>
      </c>
      <c r="J76" s="2510">
        <v>15000</v>
      </c>
      <c r="K76" s="2508" t="s">
        <v>1301</v>
      </c>
      <c r="L76" s="2508" t="s">
        <v>103</v>
      </c>
      <c r="M76" s="2509" t="s">
        <v>1302</v>
      </c>
      <c r="N76" s="2513" t="s">
        <v>1303</v>
      </c>
      <c r="O76" s="2481"/>
      <c r="P76" s="2474"/>
      <c r="Q76" s="2474"/>
      <c r="R76" s="2474"/>
      <c r="S76" s="2474"/>
      <c r="T76" s="2474"/>
      <c r="U76" s="2474"/>
      <c r="V76" s="2474"/>
      <c r="W76" s="2474"/>
      <c r="X76" s="2474"/>
      <c r="Y76" s="2474"/>
      <c r="Z76" s="2475"/>
    </row>
    <row r="77" spans="1:26" ht="22.05" customHeight="1" thickBot="1" x14ac:dyDescent="0.35">
      <c r="A77" s="2502">
        <v>2024</v>
      </c>
      <c r="B77" s="2503">
        <v>23</v>
      </c>
      <c r="C77" s="2503">
        <v>780206</v>
      </c>
      <c r="D77" s="2503">
        <v>929000011</v>
      </c>
      <c r="E77" s="2503" t="s">
        <v>1307</v>
      </c>
      <c r="F77" s="2504" t="s">
        <v>1432</v>
      </c>
      <c r="G77" s="2503">
        <v>1</v>
      </c>
      <c r="H77" s="2503" t="s">
        <v>1300</v>
      </c>
      <c r="I77" s="2505">
        <v>18000</v>
      </c>
      <c r="J77" s="2505">
        <v>18000</v>
      </c>
      <c r="K77" s="2503" t="s">
        <v>1301</v>
      </c>
      <c r="L77" s="2503" t="s">
        <v>53</v>
      </c>
      <c r="M77" s="2504" t="s">
        <v>1343</v>
      </c>
      <c r="N77" s="2512" t="s">
        <v>1312</v>
      </c>
      <c r="O77" s="2481"/>
      <c r="P77" s="2474"/>
      <c r="Q77" s="2474"/>
      <c r="R77" s="2474"/>
      <c r="S77" s="2474"/>
      <c r="T77" s="2474"/>
      <c r="U77" s="2474"/>
      <c r="V77" s="2474"/>
      <c r="W77" s="2474"/>
      <c r="X77" s="2474"/>
      <c r="Y77" s="2474"/>
      <c r="Z77" s="2475"/>
    </row>
    <row r="78" spans="1:26" ht="22.05" customHeight="1" thickBot="1" x14ac:dyDescent="0.35">
      <c r="A78" s="2507">
        <v>2024</v>
      </c>
      <c r="B78" s="2508">
        <v>24</v>
      </c>
      <c r="C78" s="2508">
        <v>770201</v>
      </c>
      <c r="D78" s="2508">
        <v>713340112</v>
      </c>
      <c r="E78" s="2508" t="s">
        <v>1307</v>
      </c>
      <c r="F78" s="2509" t="s">
        <v>1433</v>
      </c>
      <c r="G78" s="2508">
        <v>1</v>
      </c>
      <c r="H78" s="2508" t="s">
        <v>1300</v>
      </c>
      <c r="I78" s="2510">
        <v>75144.740000000005</v>
      </c>
      <c r="J78" s="2510">
        <v>75144.740000000005</v>
      </c>
      <c r="K78" s="2508" t="s">
        <v>1301</v>
      </c>
      <c r="L78" s="2508" t="s">
        <v>103</v>
      </c>
      <c r="M78" s="2509" t="s">
        <v>1302</v>
      </c>
      <c r="N78" s="2513" t="s">
        <v>1303</v>
      </c>
      <c r="O78" s="2481"/>
      <c r="P78" s="2474"/>
      <c r="Q78" s="2474"/>
      <c r="R78" s="2474"/>
      <c r="S78" s="2474"/>
      <c r="T78" s="2474"/>
      <c r="U78" s="2474"/>
      <c r="V78" s="2474"/>
      <c r="W78" s="2474"/>
      <c r="X78" s="2474"/>
      <c r="Y78" s="2474"/>
      <c r="Z78" s="2475"/>
    </row>
    <row r="79" spans="1:26" ht="22.05" customHeight="1" thickBot="1" x14ac:dyDescent="0.35">
      <c r="A79" s="2502">
        <v>2024</v>
      </c>
      <c r="B79" s="2503">
        <v>25</v>
      </c>
      <c r="C79" s="2503">
        <v>750501</v>
      </c>
      <c r="D79" s="2503">
        <v>532900011</v>
      </c>
      <c r="E79" s="2503" t="s">
        <v>1310</v>
      </c>
      <c r="F79" s="2504" t="s">
        <v>1434</v>
      </c>
      <c r="G79" s="2503">
        <v>1</v>
      </c>
      <c r="H79" s="2503" t="s">
        <v>1300</v>
      </c>
      <c r="I79" s="2505">
        <v>450000</v>
      </c>
      <c r="J79" s="2505">
        <v>450000</v>
      </c>
      <c r="K79" s="2503" t="s">
        <v>1301</v>
      </c>
      <c r="L79" s="2503" t="s">
        <v>495</v>
      </c>
      <c r="M79" s="2504" t="s">
        <v>775</v>
      </c>
      <c r="N79" s="2512" t="s">
        <v>1312</v>
      </c>
      <c r="O79" s="2481"/>
      <c r="P79" s="2474"/>
      <c r="Q79" s="2474"/>
      <c r="R79" s="2474"/>
      <c r="S79" s="2474"/>
      <c r="T79" s="2474"/>
      <c r="U79" s="2474"/>
      <c r="V79" s="2474"/>
      <c r="W79" s="2474"/>
      <c r="X79" s="2474"/>
      <c r="Y79" s="2474"/>
      <c r="Z79" s="2475"/>
    </row>
    <row r="80" spans="1:26" ht="22.05" customHeight="1" thickBot="1" x14ac:dyDescent="0.35">
      <c r="A80" s="2507">
        <v>2024</v>
      </c>
      <c r="B80" s="2508">
        <v>26</v>
      </c>
      <c r="C80" s="2508">
        <v>750501</v>
      </c>
      <c r="D80" s="2508">
        <v>532510012</v>
      </c>
      <c r="E80" s="2508" t="s">
        <v>1298</v>
      </c>
      <c r="F80" s="2509" t="s">
        <v>1435</v>
      </c>
      <c r="G80" s="2508">
        <v>1</v>
      </c>
      <c r="H80" s="2508" t="s">
        <v>1300</v>
      </c>
      <c r="I80" s="2510">
        <v>220000</v>
      </c>
      <c r="J80" s="2510">
        <v>220000</v>
      </c>
      <c r="K80" s="2508" t="s">
        <v>1301</v>
      </c>
      <c r="L80" s="2508" t="s">
        <v>495</v>
      </c>
      <c r="M80" s="2509" t="s">
        <v>775</v>
      </c>
      <c r="N80" s="2511" t="s">
        <v>1312</v>
      </c>
      <c r="O80" s="2481"/>
      <c r="P80" s="2474"/>
      <c r="Q80" s="2474"/>
      <c r="R80" s="2474"/>
      <c r="S80" s="2474"/>
      <c r="T80" s="2474"/>
      <c r="U80" s="2474"/>
      <c r="V80" s="2474"/>
      <c r="W80" s="2474"/>
      <c r="X80" s="2474"/>
      <c r="Y80" s="2474"/>
      <c r="Z80" s="2475"/>
    </row>
    <row r="81" spans="1:26" ht="22.05" customHeight="1" thickBot="1" x14ac:dyDescent="0.35">
      <c r="A81" s="2502">
        <v>2024</v>
      </c>
      <c r="B81" s="2503">
        <v>27</v>
      </c>
      <c r="C81" s="2503">
        <v>750501</v>
      </c>
      <c r="D81" s="2503">
        <v>881600011</v>
      </c>
      <c r="E81" s="2503" t="s">
        <v>1298</v>
      </c>
      <c r="F81" s="2504" t="s">
        <v>1436</v>
      </c>
      <c r="G81" s="2503">
        <v>1</v>
      </c>
      <c r="H81" s="2503" t="s">
        <v>1300</v>
      </c>
      <c r="I81" s="2505">
        <v>40000</v>
      </c>
      <c r="J81" s="2505">
        <v>40000</v>
      </c>
      <c r="K81" s="2503" t="s">
        <v>1301</v>
      </c>
      <c r="L81" s="2503" t="s">
        <v>495</v>
      </c>
      <c r="M81" s="2504" t="s">
        <v>775</v>
      </c>
      <c r="N81" s="2512" t="s">
        <v>1312</v>
      </c>
      <c r="O81" s="2481"/>
      <c r="P81" s="2474"/>
      <c r="Q81" s="2474"/>
      <c r="R81" s="2474"/>
      <c r="S81" s="2474"/>
      <c r="T81" s="2474"/>
      <c r="U81" s="2474"/>
      <c r="V81" s="2474"/>
      <c r="W81" s="2474"/>
      <c r="X81" s="2474"/>
      <c r="Y81" s="2474"/>
      <c r="Z81" s="2475"/>
    </row>
    <row r="82" spans="1:26" ht="22.05" customHeight="1" thickBot="1" x14ac:dyDescent="0.35">
      <c r="A82" s="2507">
        <v>2024</v>
      </c>
      <c r="B82" s="2508">
        <v>28</v>
      </c>
      <c r="C82" s="2508">
        <v>750501</v>
      </c>
      <c r="D82" s="2508">
        <v>532900011</v>
      </c>
      <c r="E82" s="2508" t="s">
        <v>1310</v>
      </c>
      <c r="F82" s="2509" t="s">
        <v>1437</v>
      </c>
      <c r="G82" s="2508">
        <v>1</v>
      </c>
      <c r="H82" s="2508" t="s">
        <v>1300</v>
      </c>
      <c r="I82" s="2510">
        <v>439000</v>
      </c>
      <c r="J82" s="2510">
        <v>439000</v>
      </c>
      <c r="K82" s="2508" t="s">
        <v>1301</v>
      </c>
      <c r="L82" s="2508" t="s">
        <v>495</v>
      </c>
      <c r="M82" s="2509" t="s">
        <v>775</v>
      </c>
      <c r="N82" s="2511" t="s">
        <v>1312</v>
      </c>
      <c r="O82" s="2481"/>
      <c r="P82" s="2474"/>
      <c r="Q82" s="2474"/>
      <c r="R82" s="2474"/>
      <c r="S82" s="2474"/>
      <c r="T82" s="2474"/>
      <c r="U82" s="2474"/>
      <c r="V82" s="2474"/>
      <c r="W82" s="2474"/>
      <c r="X82" s="2474"/>
      <c r="Y82" s="2474"/>
      <c r="Z82" s="2475"/>
    </row>
    <row r="83" spans="1:26" ht="22.05" customHeight="1" thickBot="1" x14ac:dyDescent="0.35">
      <c r="A83" s="2502">
        <v>2024</v>
      </c>
      <c r="B83" s="2503">
        <v>29</v>
      </c>
      <c r="C83" s="2503">
        <v>750105</v>
      </c>
      <c r="D83" s="2503">
        <v>532900011</v>
      </c>
      <c r="E83" s="2503" t="s">
        <v>1310</v>
      </c>
      <c r="F83" s="2504" t="s">
        <v>1438</v>
      </c>
      <c r="G83" s="2503">
        <v>1</v>
      </c>
      <c r="H83" s="2503" t="s">
        <v>1300</v>
      </c>
      <c r="I83" s="2505">
        <v>300000</v>
      </c>
      <c r="J83" s="2505">
        <v>300000</v>
      </c>
      <c r="K83" s="2503" t="s">
        <v>1301</v>
      </c>
      <c r="L83" s="2503" t="s">
        <v>546</v>
      </c>
      <c r="M83" s="2504" t="s">
        <v>1320</v>
      </c>
      <c r="N83" s="2512" t="s">
        <v>1312</v>
      </c>
      <c r="O83" s="2481"/>
      <c r="P83" s="2474"/>
      <c r="Q83" s="2474"/>
      <c r="R83" s="2474"/>
      <c r="S83" s="2474"/>
      <c r="T83" s="2474"/>
      <c r="U83" s="2474"/>
      <c r="V83" s="2474"/>
      <c r="W83" s="2474"/>
      <c r="X83" s="2474"/>
      <c r="Y83" s="2474"/>
      <c r="Z83" s="2475"/>
    </row>
    <row r="84" spans="1:26" ht="22.05" customHeight="1" thickBot="1" x14ac:dyDescent="0.35">
      <c r="A84" s="2507">
        <v>2024</v>
      </c>
      <c r="B84" s="2508">
        <v>30</v>
      </c>
      <c r="C84" s="2508">
        <v>750105</v>
      </c>
      <c r="D84" s="2508">
        <v>120100013</v>
      </c>
      <c r="E84" s="2508" t="s">
        <v>1310</v>
      </c>
      <c r="F84" s="2509" t="s">
        <v>1439</v>
      </c>
      <c r="G84" s="2508">
        <v>1</v>
      </c>
      <c r="H84" s="2508" t="s">
        <v>1300</v>
      </c>
      <c r="I84" s="2510">
        <v>150000</v>
      </c>
      <c r="J84" s="2510">
        <v>150000</v>
      </c>
      <c r="K84" s="2508" t="s">
        <v>1301</v>
      </c>
      <c r="L84" s="2508" t="s">
        <v>546</v>
      </c>
      <c r="M84" s="2509" t="s">
        <v>1320</v>
      </c>
      <c r="N84" s="2511" t="s">
        <v>1312</v>
      </c>
      <c r="O84" s="2481"/>
      <c r="P84" s="2474"/>
      <c r="Q84" s="2474"/>
      <c r="R84" s="2474"/>
      <c r="S84" s="2474"/>
      <c r="T84" s="2474"/>
      <c r="U84" s="2474"/>
      <c r="V84" s="2474"/>
      <c r="W84" s="2474"/>
      <c r="X84" s="2474"/>
      <c r="Y84" s="2474"/>
      <c r="Z84" s="2475"/>
    </row>
    <row r="85" spans="1:26" ht="22.05" customHeight="1" thickBot="1" x14ac:dyDescent="0.35">
      <c r="A85" s="2502">
        <v>2024</v>
      </c>
      <c r="B85" s="2503">
        <v>31</v>
      </c>
      <c r="C85" s="2503">
        <v>750105</v>
      </c>
      <c r="D85" s="2503">
        <v>532900011</v>
      </c>
      <c r="E85" s="2503" t="s">
        <v>1310</v>
      </c>
      <c r="F85" s="2504" t="s">
        <v>1440</v>
      </c>
      <c r="G85" s="2503">
        <v>1</v>
      </c>
      <c r="H85" s="2503" t="s">
        <v>1300</v>
      </c>
      <c r="I85" s="2505">
        <v>100000</v>
      </c>
      <c r="J85" s="2505">
        <v>100000</v>
      </c>
      <c r="K85" s="2503" t="s">
        <v>1301</v>
      </c>
      <c r="L85" s="2503" t="s">
        <v>546</v>
      </c>
      <c r="M85" s="2504" t="s">
        <v>1320</v>
      </c>
      <c r="N85" s="2512" t="s">
        <v>1312</v>
      </c>
      <c r="O85" s="2481"/>
      <c r="P85" s="2474"/>
      <c r="Q85" s="2474"/>
      <c r="R85" s="2474"/>
      <c r="S85" s="2474"/>
      <c r="T85" s="2474"/>
      <c r="U85" s="2474"/>
      <c r="V85" s="2474"/>
      <c r="W85" s="2474"/>
      <c r="X85" s="2474"/>
      <c r="Y85" s="2474"/>
      <c r="Z85" s="2475"/>
    </row>
    <row r="86" spans="1:26" ht="22.05" customHeight="1" thickBot="1" x14ac:dyDescent="0.35">
      <c r="A86" s="2507">
        <v>2024</v>
      </c>
      <c r="B86" s="2508">
        <v>32</v>
      </c>
      <c r="C86" s="2508">
        <v>750104</v>
      </c>
      <c r="D86" s="2508">
        <v>532900011</v>
      </c>
      <c r="E86" s="2508" t="s">
        <v>1310</v>
      </c>
      <c r="F86" s="2509" t="s">
        <v>1441</v>
      </c>
      <c r="G86" s="2508">
        <v>1</v>
      </c>
      <c r="H86" s="2508" t="s">
        <v>1300</v>
      </c>
      <c r="I86" s="2510">
        <v>80000</v>
      </c>
      <c r="J86" s="2510">
        <v>80000</v>
      </c>
      <c r="K86" s="2508" t="s">
        <v>1301</v>
      </c>
      <c r="L86" s="2508" t="s">
        <v>546</v>
      </c>
      <c r="M86" s="2509" t="s">
        <v>1320</v>
      </c>
      <c r="N86" s="2511" t="s">
        <v>1312</v>
      </c>
      <c r="O86" s="2481"/>
      <c r="P86" s="2474"/>
      <c r="Q86" s="2474"/>
      <c r="R86" s="2474"/>
      <c r="S86" s="2474"/>
      <c r="T86" s="2474"/>
      <c r="U86" s="2474"/>
      <c r="V86" s="2474"/>
      <c r="W86" s="2474"/>
      <c r="X86" s="2474"/>
      <c r="Y86" s="2474"/>
      <c r="Z86" s="2475"/>
    </row>
    <row r="87" spans="1:26" ht="22.05" customHeight="1" thickBot="1" x14ac:dyDescent="0.35">
      <c r="A87" s="2502">
        <v>2024</v>
      </c>
      <c r="B87" s="2503">
        <v>33</v>
      </c>
      <c r="C87" s="2503">
        <v>750104</v>
      </c>
      <c r="D87" s="2503">
        <v>532900011</v>
      </c>
      <c r="E87" s="2503" t="s">
        <v>1310</v>
      </c>
      <c r="F87" s="2504" t="s">
        <v>1442</v>
      </c>
      <c r="G87" s="2503">
        <v>1</v>
      </c>
      <c r="H87" s="2503" t="s">
        <v>1300</v>
      </c>
      <c r="I87" s="2505">
        <v>60000</v>
      </c>
      <c r="J87" s="2505">
        <v>60000</v>
      </c>
      <c r="K87" s="2503" t="s">
        <v>1301</v>
      </c>
      <c r="L87" s="2503" t="s">
        <v>546</v>
      </c>
      <c r="M87" s="2504" t="s">
        <v>1320</v>
      </c>
      <c r="N87" s="2512" t="s">
        <v>1312</v>
      </c>
      <c r="O87" s="2481"/>
      <c r="P87" s="2474"/>
      <c r="Q87" s="2474"/>
      <c r="R87" s="2474"/>
      <c r="S87" s="2474"/>
      <c r="T87" s="2474"/>
      <c r="U87" s="2474"/>
      <c r="V87" s="2474"/>
      <c r="W87" s="2474"/>
      <c r="X87" s="2474"/>
      <c r="Y87" s="2474"/>
      <c r="Z87" s="2475"/>
    </row>
    <row r="88" spans="1:26" ht="22.05" customHeight="1" thickBot="1" x14ac:dyDescent="0.35">
      <c r="A88" s="2507">
        <v>2024</v>
      </c>
      <c r="B88" s="2508">
        <v>34</v>
      </c>
      <c r="C88" s="2508">
        <v>750104</v>
      </c>
      <c r="D88" s="2508">
        <v>546190012</v>
      </c>
      <c r="E88" s="2508" t="s">
        <v>1307</v>
      </c>
      <c r="F88" s="2509" t="s">
        <v>1443</v>
      </c>
      <c r="G88" s="2508">
        <v>1</v>
      </c>
      <c r="H88" s="2508" t="s">
        <v>1300</v>
      </c>
      <c r="I88" s="2510">
        <v>25000</v>
      </c>
      <c r="J88" s="2510">
        <v>25000</v>
      </c>
      <c r="K88" s="2508" t="s">
        <v>1301</v>
      </c>
      <c r="L88" s="2508" t="s">
        <v>546</v>
      </c>
      <c r="M88" s="2509" t="s">
        <v>1320</v>
      </c>
      <c r="N88" s="2511" t="s">
        <v>1312</v>
      </c>
      <c r="O88" s="2481"/>
      <c r="P88" s="2474"/>
      <c r="Q88" s="2474"/>
      <c r="R88" s="2474"/>
      <c r="S88" s="2474"/>
      <c r="T88" s="2474"/>
      <c r="U88" s="2474"/>
      <c r="V88" s="2474"/>
      <c r="W88" s="2474"/>
      <c r="X88" s="2474"/>
      <c r="Y88" s="2474"/>
      <c r="Z88" s="2475"/>
    </row>
    <row r="89" spans="1:26" ht="22.05" customHeight="1" thickBot="1" x14ac:dyDescent="0.35">
      <c r="A89" s="2502">
        <v>2024</v>
      </c>
      <c r="B89" s="2503">
        <v>35</v>
      </c>
      <c r="C89" s="2503">
        <v>750104</v>
      </c>
      <c r="D89" s="2503">
        <v>871520211</v>
      </c>
      <c r="E89" s="2503" t="s">
        <v>1310</v>
      </c>
      <c r="F89" s="2504" t="s">
        <v>1444</v>
      </c>
      <c r="G89" s="2503">
        <v>1</v>
      </c>
      <c r="H89" s="2503" t="s">
        <v>1300</v>
      </c>
      <c r="I89" s="2505">
        <v>50000</v>
      </c>
      <c r="J89" s="2505">
        <v>50000</v>
      </c>
      <c r="K89" s="2503" t="s">
        <v>1301</v>
      </c>
      <c r="L89" s="2503" t="s">
        <v>546</v>
      </c>
      <c r="M89" s="2504" t="s">
        <v>1320</v>
      </c>
      <c r="N89" s="2512" t="s">
        <v>1312</v>
      </c>
      <c r="O89" s="2481"/>
      <c r="P89" s="2474"/>
      <c r="Q89" s="2474"/>
      <c r="R89" s="2474"/>
      <c r="S89" s="2474"/>
      <c r="T89" s="2474"/>
      <c r="U89" s="2474"/>
      <c r="V89" s="2474"/>
      <c r="W89" s="2474"/>
      <c r="X89" s="2474"/>
      <c r="Y89" s="2474"/>
      <c r="Z89" s="2475"/>
    </row>
    <row r="90" spans="1:26" ht="22.05" customHeight="1" thickBot="1" x14ac:dyDescent="0.35">
      <c r="A90" s="2507">
        <v>2024</v>
      </c>
      <c r="B90" s="2508">
        <v>36</v>
      </c>
      <c r="C90" s="2508">
        <v>750104</v>
      </c>
      <c r="D90" s="2508">
        <v>532900011</v>
      </c>
      <c r="E90" s="2508" t="s">
        <v>1310</v>
      </c>
      <c r="F90" s="2509" t="s">
        <v>1445</v>
      </c>
      <c r="G90" s="2508">
        <v>1</v>
      </c>
      <c r="H90" s="2508" t="s">
        <v>1300</v>
      </c>
      <c r="I90" s="2510">
        <v>60646.48</v>
      </c>
      <c r="J90" s="2510">
        <v>60646.48</v>
      </c>
      <c r="K90" s="2508" t="s">
        <v>1301</v>
      </c>
      <c r="L90" s="2508" t="s">
        <v>546</v>
      </c>
      <c r="M90" s="2509" t="s">
        <v>1320</v>
      </c>
      <c r="N90" s="2511" t="s">
        <v>1312</v>
      </c>
      <c r="O90" s="2481"/>
      <c r="P90" s="2474"/>
      <c r="Q90" s="2474"/>
      <c r="R90" s="2474"/>
      <c r="S90" s="2474"/>
      <c r="T90" s="2474"/>
      <c r="U90" s="2474"/>
      <c r="V90" s="2474"/>
      <c r="W90" s="2474"/>
      <c r="X90" s="2474"/>
      <c r="Y90" s="2474"/>
      <c r="Z90" s="2475"/>
    </row>
    <row r="91" spans="1:26" ht="22.05" customHeight="1" thickBot="1" x14ac:dyDescent="0.35">
      <c r="A91" s="2502">
        <v>2024</v>
      </c>
      <c r="B91" s="2503">
        <v>37</v>
      </c>
      <c r="C91" s="2503">
        <v>750106</v>
      </c>
      <c r="D91" s="2503">
        <v>871520211</v>
      </c>
      <c r="E91" s="2503" t="s">
        <v>1310</v>
      </c>
      <c r="F91" s="2504" t="s">
        <v>1446</v>
      </c>
      <c r="G91" s="2503">
        <v>1</v>
      </c>
      <c r="H91" s="2503" t="s">
        <v>1300</v>
      </c>
      <c r="I91" s="2505">
        <v>44524.46</v>
      </c>
      <c r="J91" s="2505">
        <v>44524.46</v>
      </c>
      <c r="K91" s="2503" t="s">
        <v>1301</v>
      </c>
      <c r="L91" s="2503" t="s">
        <v>531</v>
      </c>
      <c r="M91" s="2504" t="s">
        <v>1361</v>
      </c>
      <c r="N91" s="2512" t="s">
        <v>1312</v>
      </c>
      <c r="O91" s="2481"/>
      <c r="P91" s="2474"/>
      <c r="Q91" s="2474"/>
      <c r="R91" s="2474"/>
      <c r="S91" s="2474"/>
      <c r="T91" s="2474"/>
      <c r="U91" s="2474"/>
      <c r="V91" s="2474"/>
      <c r="W91" s="2474"/>
      <c r="X91" s="2474"/>
      <c r="Y91" s="2474"/>
      <c r="Z91" s="2475"/>
    </row>
    <row r="92" spans="1:26" ht="22.05" customHeight="1" thickBot="1" x14ac:dyDescent="0.35">
      <c r="A92" s="2507">
        <v>2024</v>
      </c>
      <c r="B92" s="2508">
        <v>38</v>
      </c>
      <c r="C92" s="2508">
        <v>750106</v>
      </c>
      <c r="D92" s="2508">
        <v>532900011</v>
      </c>
      <c r="E92" s="2508" t="s">
        <v>1310</v>
      </c>
      <c r="F92" s="2509" t="s">
        <v>1447</v>
      </c>
      <c r="G92" s="2508">
        <v>1</v>
      </c>
      <c r="H92" s="2508" t="s">
        <v>1300</v>
      </c>
      <c r="I92" s="2510">
        <v>15000</v>
      </c>
      <c r="J92" s="2510">
        <v>15000</v>
      </c>
      <c r="K92" s="2508" t="s">
        <v>1301</v>
      </c>
      <c r="L92" s="2508" t="s">
        <v>531</v>
      </c>
      <c r="M92" s="2509" t="s">
        <v>1361</v>
      </c>
      <c r="N92" s="2511" t="s">
        <v>1312</v>
      </c>
      <c r="O92" s="2481"/>
      <c r="P92" s="2474"/>
      <c r="Q92" s="2474"/>
      <c r="R92" s="2474"/>
      <c r="S92" s="2474"/>
      <c r="T92" s="2474"/>
      <c r="U92" s="2474"/>
      <c r="V92" s="2474"/>
      <c r="W92" s="2474"/>
      <c r="X92" s="2474"/>
      <c r="Y92" s="2474"/>
      <c r="Z92" s="2475"/>
    </row>
    <row r="93" spans="1:26" ht="22.05" customHeight="1" thickBot="1" x14ac:dyDescent="0.35">
      <c r="A93" s="2502">
        <v>2024</v>
      </c>
      <c r="B93" s="2503">
        <v>39</v>
      </c>
      <c r="C93" s="2503">
        <v>750107</v>
      </c>
      <c r="D93" s="2503">
        <v>532510011</v>
      </c>
      <c r="E93" s="2503" t="s">
        <v>1298</v>
      </c>
      <c r="F93" s="2504" t="s">
        <v>1448</v>
      </c>
      <c r="G93" s="2503">
        <v>1</v>
      </c>
      <c r="H93" s="2503" t="s">
        <v>1300</v>
      </c>
      <c r="I93" s="2505">
        <v>15000</v>
      </c>
      <c r="J93" s="2505">
        <v>15000</v>
      </c>
      <c r="K93" s="2503" t="s">
        <v>1301</v>
      </c>
      <c r="L93" s="2503" t="s">
        <v>740</v>
      </c>
      <c r="M93" s="2504" t="s">
        <v>1328</v>
      </c>
      <c r="N93" s="2512" t="s">
        <v>1312</v>
      </c>
      <c r="O93" s="2481"/>
      <c r="P93" s="2474"/>
      <c r="Q93" s="2474"/>
      <c r="R93" s="2474"/>
      <c r="S93" s="2474"/>
      <c r="T93" s="2474"/>
      <c r="U93" s="2474"/>
      <c r="V93" s="2474"/>
      <c r="W93" s="2474"/>
      <c r="X93" s="2474"/>
      <c r="Y93" s="2474"/>
      <c r="Z93" s="2475"/>
    </row>
    <row r="94" spans="1:26" ht="22.05" customHeight="1" thickBot="1" x14ac:dyDescent="0.35">
      <c r="A94" s="2507">
        <v>2024</v>
      </c>
      <c r="B94" s="2508">
        <v>40</v>
      </c>
      <c r="C94" s="2508">
        <v>750501.00300000003</v>
      </c>
      <c r="D94" s="2508">
        <v>532900011</v>
      </c>
      <c r="E94" s="2508" t="s">
        <v>1310</v>
      </c>
      <c r="F94" s="2509" t="s">
        <v>1449</v>
      </c>
      <c r="G94" s="2508">
        <v>1</v>
      </c>
      <c r="H94" s="2508" t="s">
        <v>1300</v>
      </c>
      <c r="I94" s="2510">
        <v>213000</v>
      </c>
      <c r="J94" s="2510">
        <v>213000</v>
      </c>
      <c r="K94" s="2508" t="s">
        <v>1301</v>
      </c>
      <c r="L94" s="2508" t="s">
        <v>495</v>
      </c>
      <c r="M94" s="2509" t="s">
        <v>775</v>
      </c>
      <c r="N94" s="2511" t="s">
        <v>1312</v>
      </c>
      <c r="O94" s="2481"/>
      <c r="P94" s="2474"/>
      <c r="Q94" s="2474"/>
      <c r="R94" s="2474"/>
      <c r="S94" s="2474"/>
      <c r="T94" s="2474"/>
      <c r="U94" s="2474"/>
      <c r="V94" s="2474"/>
      <c r="W94" s="2474"/>
      <c r="X94" s="2474"/>
      <c r="Y94" s="2474"/>
      <c r="Z94" s="2475"/>
    </row>
    <row r="95" spans="1:26" ht="22.05" customHeight="1" thickBot="1" x14ac:dyDescent="0.35">
      <c r="A95" s="2502">
        <v>2024</v>
      </c>
      <c r="B95" s="2503">
        <v>41</v>
      </c>
      <c r="C95" s="2503">
        <v>730613</v>
      </c>
      <c r="D95" s="2503">
        <v>912200211</v>
      </c>
      <c r="E95" s="2503" t="s">
        <v>1307</v>
      </c>
      <c r="F95" s="2504" t="s">
        <v>1450</v>
      </c>
      <c r="G95" s="2503">
        <v>1</v>
      </c>
      <c r="H95" s="2503" t="s">
        <v>1300</v>
      </c>
      <c r="I95" s="2505">
        <v>12000</v>
      </c>
      <c r="J95" s="2505">
        <v>12000</v>
      </c>
      <c r="K95" s="2503" t="s">
        <v>1301</v>
      </c>
      <c r="L95" s="2503" t="s">
        <v>53</v>
      </c>
      <c r="M95" s="2504" t="s">
        <v>1343</v>
      </c>
      <c r="N95" s="2512" t="s">
        <v>1312</v>
      </c>
      <c r="O95" s="2481"/>
      <c r="P95" s="2474"/>
      <c r="Q95" s="2474"/>
      <c r="R95" s="2474"/>
      <c r="S95" s="2474"/>
      <c r="T95" s="2474"/>
      <c r="U95" s="2474"/>
      <c r="V95" s="2474"/>
      <c r="W95" s="2474"/>
      <c r="X95" s="2474"/>
      <c r="Y95" s="2474"/>
      <c r="Z95" s="2475"/>
    </row>
    <row r="96" spans="1:26" ht="22.05" customHeight="1" thickBot="1" x14ac:dyDescent="0.35">
      <c r="A96" s="2507">
        <v>2024</v>
      </c>
      <c r="B96" s="2508">
        <v>42</v>
      </c>
      <c r="C96" s="2508">
        <v>730613</v>
      </c>
      <c r="D96" s="2508">
        <v>912200211</v>
      </c>
      <c r="E96" s="2508" t="s">
        <v>1307</v>
      </c>
      <c r="F96" s="2509" t="s">
        <v>1451</v>
      </c>
      <c r="G96" s="2508">
        <v>1</v>
      </c>
      <c r="H96" s="2508" t="s">
        <v>1300</v>
      </c>
      <c r="I96" s="2510">
        <v>10000</v>
      </c>
      <c r="J96" s="2510">
        <v>10000</v>
      </c>
      <c r="K96" s="2508" t="s">
        <v>1301</v>
      </c>
      <c r="L96" s="2508" t="s">
        <v>53</v>
      </c>
      <c r="M96" s="2509" t="s">
        <v>1343</v>
      </c>
      <c r="N96" s="2511" t="s">
        <v>1312</v>
      </c>
      <c r="O96" s="2481"/>
      <c r="P96" s="2474"/>
      <c r="Q96" s="2474"/>
      <c r="R96" s="2474"/>
      <c r="S96" s="2474"/>
      <c r="T96" s="2474"/>
      <c r="U96" s="2474"/>
      <c r="V96" s="2474"/>
      <c r="W96" s="2474"/>
      <c r="X96" s="2474"/>
      <c r="Y96" s="2474"/>
      <c r="Z96" s="2475"/>
    </row>
    <row r="97" spans="1:26" ht="22.05" customHeight="1" thickBot="1" x14ac:dyDescent="0.35">
      <c r="A97" s="2502">
        <v>2024</v>
      </c>
      <c r="B97" s="2503">
        <v>43</v>
      </c>
      <c r="C97" s="2503">
        <v>730613</v>
      </c>
      <c r="D97" s="2503">
        <v>912200211</v>
      </c>
      <c r="E97" s="2503" t="s">
        <v>1307</v>
      </c>
      <c r="F97" s="2504" t="s">
        <v>1452</v>
      </c>
      <c r="G97" s="2503">
        <v>1</v>
      </c>
      <c r="H97" s="2503" t="s">
        <v>1300</v>
      </c>
      <c r="I97" s="2505">
        <v>8000</v>
      </c>
      <c r="J97" s="2505">
        <v>8000</v>
      </c>
      <c r="K97" s="2503" t="s">
        <v>1301</v>
      </c>
      <c r="L97" s="2503" t="s">
        <v>53</v>
      </c>
      <c r="M97" s="2504" t="s">
        <v>1343</v>
      </c>
      <c r="N97" s="2512" t="s">
        <v>1312</v>
      </c>
      <c r="O97" s="2481"/>
      <c r="P97" s="2474"/>
      <c r="Q97" s="2474"/>
      <c r="R97" s="2474"/>
      <c r="S97" s="2474"/>
      <c r="T97" s="2474"/>
      <c r="U97" s="2474"/>
      <c r="V97" s="2474"/>
      <c r="W97" s="2474"/>
      <c r="X97" s="2474"/>
      <c r="Y97" s="2474"/>
      <c r="Z97" s="2475"/>
    </row>
    <row r="98" spans="1:26" ht="22.05" customHeight="1" thickBot="1" x14ac:dyDescent="0.35">
      <c r="A98" s="2507">
        <v>2024</v>
      </c>
      <c r="B98" s="2508">
        <v>44</v>
      </c>
      <c r="C98" s="2508">
        <v>730613</v>
      </c>
      <c r="D98" s="2508">
        <v>912200211</v>
      </c>
      <c r="E98" s="2508" t="s">
        <v>1307</v>
      </c>
      <c r="F98" s="2509" t="s">
        <v>1453</v>
      </c>
      <c r="G98" s="2508">
        <v>1</v>
      </c>
      <c r="H98" s="2508" t="s">
        <v>1300</v>
      </c>
      <c r="I98" s="2510">
        <v>15900</v>
      </c>
      <c r="J98" s="2510">
        <v>15900</v>
      </c>
      <c r="K98" s="2508" t="s">
        <v>1301</v>
      </c>
      <c r="L98" s="2508" t="s">
        <v>53</v>
      </c>
      <c r="M98" s="2509" t="s">
        <v>1343</v>
      </c>
      <c r="N98" s="2511" t="s">
        <v>1312</v>
      </c>
      <c r="O98" s="2481"/>
      <c r="P98" s="2474"/>
      <c r="Q98" s="2474"/>
      <c r="R98" s="2474"/>
      <c r="S98" s="2474"/>
      <c r="T98" s="2474"/>
      <c r="U98" s="2474"/>
      <c r="V98" s="2474"/>
      <c r="W98" s="2474"/>
      <c r="X98" s="2474"/>
      <c r="Y98" s="2474"/>
      <c r="Z98" s="2475"/>
    </row>
    <row r="99" spans="1:26" ht="22.05" customHeight="1" thickBot="1" x14ac:dyDescent="0.35">
      <c r="A99" s="2502">
        <v>2024</v>
      </c>
      <c r="B99" s="2503">
        <v>45</v>
      </c>
      <c r="C99" s="2503">
        <v>731407</v>
      </c>
      <c r="D99" s="2503">
        <v>512900011</v>
      </c>
      <c r="E99" s="2503" t="s">
        <v>1298</v>
      </c>
      <c r="F99" s="2504" t="s">
        <v>1454</v>
      </c>
      <c r="G99" s="2503">
        <v>1</v>
      </c>
      <c r="H99" s="2503" t="s">
        <v>1300</v>
      </c>
      <c r="I99" s="2505">
        <v>37662</v>
      </c>
      <c r="J99" s="2505">
        <v>37662</v>
      </c>
      <c r="K99" s="2503" t="s">
        <v>1301</v>
      </c>
      <c r="L99" s="2503" t="s">
        <v>655</v>
      </c>
      <c r="M99" s="2504" t="s">
        <v>1336</v>
      </c>
      <c r="N99" s="2512" t="s">
        <v>1312</v>
      </c>
      <c r="O99" s="2481"/>
      <c r="P99" s="2474"/>
      <c r="Q99" s="2474"/>
      <c r="R99" s="2474"/>
      <c r="S99" s="2474"/>
      <c r="T99" s="2474"/>
      <c r="U99" s="2474"/>
      <c r="V99" s="2474"/>
      <c r="W99" s="2474"/>
      <c r="X99" s="2474"/>
      <c r="Y99" s="2474"/>
      <c r="Z99" s="2475"/>
    </row>
    <row r="100" spans="1:26" ht="22.05" customHeight="1" thickBot="1" x14ac:dyDescent="0.35">
      <c r="A100" s="2507">
        <v>2024</v>
      </c>
      <c r="B100" s="2508">
        <v>46</v>
      </c>
      <c r="C100" s="2508">
        <v>731407</v>
      </c>
      <c r="D100" s="2508">
        <v>873400034</v>
      </c>
      <c r="E100" s="2508" t="s">
        <v>1307</v>
      </c>
      <c r="F100" s="2509" t="s">
        <v>1455</v>
      </c>
      <c r="G100" s="2508">
        <v>1</v>
      </c>
      <c r="H100" s="2508" t="s">
        <v>1300</v>
      </c>
      <c r="I100" s="2510">
        <v>25000</v>
      </c>
      <c r="J100" s="2510">
        <v>25000</v>
      </c>
      <c r="K100" s="2508" t="s">
        <v>1301</v>
      </c>
      <c r="L100" s="2508" t="s">
        <v>655</v>
      </c>
      <c r="M100" s="2509" t="s">
        <v>1336</v>
      </c>
      <c r="N100" s="2511" t="s">
        <v>1312</v>
      </c>
      <c r="O100" s="2481"/>
      <c r="P100" s="2474"/>
      <c r="Q100" s="2474"/>
      <c r="R100" s="2474"/>
      <c r="S100" s="2474"/>
      <c r="T100" s="2474"/>
      <c r="U100" s="2474"/>
      <c r="V100" s="2474"/>
      <c r="W100" s="2474"/>
      <c r="X100" s="2474"/>
      <c r="Y100" s="2474"/>
      <c r="Z100" s="2475"/>
    </row>
    <row r="101" spans="1:26" ht="22.05" customHeight="1" thickBot="1" x14ac:dyDescent="0.35">
      <c r="A101" s="2502">
        <v>2024</v>
      </c>
      <c r="B101" s="2503">
        <v>47</v>
      </c>
      <c r="C101" s="2503">
        <v>731407</v>
      </c>
      <c r="D101" s="2503">
        <v>512900025</v>
      </c>
      <c r="E101" s="2503" t="s">
        <v>1298</v>
      </c>
      <c r="F101" s="2504" t="s">
        <v>1456</v>
      </c>
      <c r="G101" s="2503">
        <v>1</v>
      </c>
      <c r="H101" s="2503" t="s">
        <v>1300</v>
      </c>
      <c r="I101" s="2505">
        <v>35000</v>
      </c>
      <c r="J101" s="2505">
        <v>35000</v>
      </c>
      <c r="K101" s="2503" t="s">
        <v>1301</v>
      </c>
      <c r="L101" s="2503" t="s">
        <v>655</v>
      </c>
      <c r="M101" s="2504" t="s">
        <v>1336</v>
      </c>
      <c r="N101" s="2512" t="s">
        <v>1312</v>
      </c>
      <c r="O101" s="2481"/>
      <c r="P101" s="2474"/>
      <c r="Q101" s="2474"/>
      <c r="R101" s="2474"/>
      <c r="S101" s="2474"/>
      <c r="T101" s="2474"/>
      <c r="U101" s="2474"/>
      <c r="V101" s="2474"/>
      <c r="W101" s="2474"/>
      <c r="X101" s="2474"/>
      <c r="Y101" s="2474"/>
      <c r="Z101" s="2475"/>
    </row>
    <row r="102" spans="1:26" ht="22.05" customHeight="1" thickBot="1" x14ac:dyDescent="0.35">
      <c r="A102" s="2507">
        <v>2024</v>
      </c>
      <c r="B102" s="2508">
        <v>48</v>
      </c>
      <c r="C102" s="2508">
        <v>731406</v>
      </c>
      <c r="D102" s="2508">
        <v>429921511</v>
      </c>
      <c r="E102" s="2508" t="s">
        <v>1298</v>
      </c>
      <c r="F102" s="2509" t="s">
        <v>1457</v>
      </c>
      <c r="G102" s="2508">
        <v>1</v>
      </c>
      <c r="H102" s="2508" t="s">
        <v>1300</v>
      </c>
      <c r="I102" s="2510">
        <v>0</v>
      </c>
      <c r="J102" s="2510">
        <v>0</v>
      </c>
      <c r="K102" s="2508" t="s">
        <v>1301</v>
      </c>
      <c r="L102" s="2508" t="s">
        <v>655</v>
      </c>
      <c r="M102" s="2509" t="s">
        <v>1336</v>
      </c>
      <c r="N102" s="2511" t="s">
        <v>1312</v>
      </c>
      <c r="O102" s="2481"/>
      <c r="P102" s="2474"/>
      <c r="Q102" s="2474"/>
      <c r="R102" s="2474"/>
      <c r="S102" s="2474"/>
      <c r="T102" s="2474"/>
      <c r="U102" s="2474"/>
      <c r="V102" s="2474"/>
      <c r="W102" s="2474"/>
      <c r="X102" s="2474"/>
      <c r="Y102" s="2474"/>
      <c r="Z102" s="2475"/>
    </row>
    <row r="103" spans="1:26" ht="22.05" customHeight="1" thickBot="1" x14ac:dyDescent="0.35">
      <c r="A103" s="2502">
        <v>2024</v>
      </c>
      <c r="B103" s="2503">
        <v>50</v>
      </c>
      <c r="C103" s="2503">
        <v>840104.00199999998</v>
      </c>
      <c r="D103" s="2503">
        <v>482200014</v>
      </c>
      <c r="E103" s="2503" t="s">
        <v>1298</v>
      </c>
      <c r="F103" s="2504" t="s">
        <v>1458</v>
      </c>
      <c r="G103" s="2503">
        <v>1</v>
      </c>
      <c r="H103" s="2503" t="s">
        <v>1300</v>
      </c>
      <c r="I103" s="2505">
        <v>61900</v>
      </c>
      <c r="J103" s="2505">
        <v>61900</v>
      </c>
      <c r="K103" s="2503" t="s">
        <v>1301</v>
      </c>
      <c r="L103" s="2503" t="s">
        <v>642</v>
      </c>
      <c r="M103" s="2504" t="s">
        <v>1354</v>
      </c>
      <c r="N103" s="2512" t="s">
        <v>1312</v>
      </c>
      <c r="O103" s="2481"/>
      <c r="P103" s="2474"/>
      <c r="Q103" s="2474"/>
      <c r="R103" s="2474"/>
      <c r="S103" s="2474"/>
      <c r="T103" s="2474"/>
      <c r="U103" s="2474"/>
      <c r="V103" s="2474"/>
      <c r="W103" s="2474"/>
      <c r="X103" s="2474"/>
      <c r="Y103" s="2474"/>
      <c r="Z103" s="2475"/>
    </row>
    <row r="104" spans="1:26" ht="22.05" customHeight="1" thickBot="1" x14ac:dyDescent="0.35">
      <c r="A104" s="2507">
        <v>2024</v>
      </c>
      <c r="B104" s="2508">
        <v>51</v>
      </c>
      <c r="C104" s="2508">
        <v>840104.00100000005</v>
      </c>
      <c r="D104" s="2508">
        <v>473230011</v>
      </c>
      <c r="E104" s="2508" t="s">
        <v>1298</v>
      </c>
      <c r="F104" s="2509" t="s">
        <v>1459</v>
      </c>
      <c r="G104" s="2508">
        <v>1</v>
      </c>
      <c r="H104" s="2508" t="s">
        <v>1300</v>
      </c>
      <c r="I104" s="2510">
        <v>3500</v>
      </c>
      <c r="J104" s="2510">
        <v>3500</v>
      </c>
      <c r="K104" s="2508" t="s">
        <v>1301</v>
      </c>
      <c r="L104" s="2508" t="s">
        <v>642</v>
      </c>
      <c r="M104" s="2509" t="s">
        <v>1354</v>
      </c>
      <c r="N104" s="2511" t="s">
        <v>1312</v>
      </c>
      <c r="O104" s="2481"/>
      <c r="P104" s="2474"/>
      <c r="Q104" s="2474"/>
      <c r="R104" s="2474"/>
      <c r="S104" s="2474"/>
      <c r="T104" s="2474"/>
      <c r="U104" s="2474"/>
      <c r="V104" s="2474"/>
      <c r="W104" s="2474"/>
      <c r="X104" s="2474"/>
      <c r="Y104" s="2474"/>
      <c r="Z104" s="2475"/>
    </row>
    <row r="105" spans="1:26" ht="22.05" customHeight="1" thickBot="1" x14ac:dyDescent="0.35">
      <c r="A105" s="2502">
        <v>2024</v>
      </c>
      <c r="B105" s="2503">
        <v>52</v>
      </c>
      <c r="C105" s="2503">
        <v>840104</v>
      </c>
      <c r="D105" s="2503">
        <v>512900011</v>
      </c>
      <c r="E105" s="2503" t="s">
        <v>1298</v>
      </c>
      <c r="F105" s="2504" t="s">
        <v>1460</v>
      </c>
      <c r="G105" s="2503">
        <v>1</v>
      </c>
      <c r="H105" s="2503" t="s">
        <v>1300</v>
      </c>
      <c r="I105" s="2505">
        <v>50000</v>
      </c>
      <c r="J105" s="2505">
        <v>50000</v>
      </c>
      <c r="K105" s="2503" t="s">
        <v>1301</v>
      </c>
      <c r="L105" s="2503" t="s">
        <v>642</v>
      </c>
      <c r="M105" s="2504" t="s">
        <v>1354</v>
      </c>
      <c r="N105" s="2512" t="s">
        <v>1312</v>
      </c>
      <c r="O105" s="2481"/>
      <c r="P105" s="2474"/>
      <c r="Q105" s="2474"/>
      <c r="R105" s="2474"/>
      <c r="S105" s="2474"/>
      <c r="T105" s="2474"/>
      <c r="U105" s="2474"/>
      <c r="V105" s="2474"/>
      <c r="W105" s="2474"/>
      <c r="X105" s="2474"/>
      <c r="Y105" s="2474"/>
      <c r="Z105" s="2475"/>
    </row>
    <row r="106" spans="1:26" ht="22.05" customHeight="1" thickBot="1" x14ac:dyDescent="0.35">
      <c r="A106" s="2507">
        <v>2024</v>
      </c>
      <c r="B106" s="2508">
        <v>53</v>
      </c>
      <c r="C106" s="2508">
        <v>840104</v>
      </c>
      <c r="D106" s="2508">
        <v>481490011</v>
      </c>
      <c r="E106" s="2508" t="s">
        <v>1298</v>
      </c>
      <c r="F106" s="2509" t="s">
        <v>1461</v>
      </c>
      <c r="G106" s="2508">
        <v>1</v>
      </c>
      <c r="H106" s="2508" t="s">
        <v>1300</v>
      </c>
      <c r="I106" s="2510">
        <v>250000</v>
      </c>
      <c r="J106" s="2510">
        <v>250000</v>
      </c>
      <c r="K106" s="2508" t="s">
        <v>1301</v>
      </c>
      <c r="L106" s="2508" t="s">
        <v>642</v>
      </c>
      <c r="M106" s="2509" t="s">
        <v>1354</v>
      </c>
      <c r="N106" s="2511" t="s">
        <v>1312</v>
      </c>
      <c r="O106" s="2481"/>
      <c r="P106" s="2474"/>
      <c r="Q106" s="2474"/>
      <c r="R106" s="2474"/>
      <c r="S106" s="2474"/>
      <c r="T106" s="2474"/>
      <c r="U106" s="2474"/>
      <c r="V106" s="2474"/>
      <c r="W106" s="2474"/>
      <c r="X106" s="2474"/>
      <c r="Y106" s="2474"/>
      <c r="Z106" s="2475"/>
    </row>
    <row r="107" spans="1:26" ht="22.05" customHeight="1" thickBot="1" x14ac:dyDescent="0.35">
      <c r="A107" s="2502">
        <v>2024</v>
      </c>
      <c r="B107" s="2503">
        <v>54</v>
      </c>
      <c r="C107" s="2503">
        <v>840104</v>
      </c>
      <c r="D107" s="2503">
        <v>483530011</v>
      </c>
      <c r="E107" s="2503" t="s">
        <v>1298</v>
      </c>
      <c r="F107" s="2504" t="s">
        <v>1462</v>
      </c>
      <c r="G107" s="2503">
        <v>1</v>
      </c>
      <c r="H107" s="2503" t="s">
        <v>1300</v>
      </c>
      <c r="I107" s="2505">
        <v>16000</v>
      </c>
      <c r="J107" s="2505">
        <v>16000</v>
      </c>
      <c r="K107" s="2503" t="s">
        <v>1301</v>
      </c>
      <c r="L107" s="2503" t="s">
        <v>642</v>
      </c>
      <c r="M107" s="2504" t="s">
        <v>1354</v>
      </c>
      <c r="N107" s="2512" t="s">
        <v>1312</v>
      </c>
      <c r="O107" s="2481"/>
      <c r="P107" s="2474"/>
      <c r="Q107" s="2474"/>
      <c r="R107" s="2474"/>
      <c r="S107" s="2474"/>
      <c r="T107" s="2474"/>
      <c r="U107" s="2474"/>
      <c r="V107" s="2474"/>
      <c r="W107" s="2474"/>
      <c r="X107" s="2474"/>
      <c r="Y107" s="2474"/>
      <c r="Z107" s="2475"/>
    </row>
    <row r="108" spans="1:26" ht="22.05" customHeight="1" thickBot="1" x14ac:dyDescent="0.35">
      <c r="A108" s="2507">
        <v>2024</v>
      </c>
      <c r="B108" s="2508">
        <v>55</v>
      </c>
      <c r="C108" s="2508">
        <v>840104</v>
      </c>
      <c r="D108" s="2508">
        <v>432115011</v>
      </c>
      <c r="E108" s="2508" t="s">
        <v>1298</v>
      </c>
      <c r="F108" s="2509" t="s">
        <v>1463</v>
      </c>
      <c r="G108" s="2508">
        <v>1</v>
      </c>
      <c r="H108" s="2508" t="s">
        <v>1300</v>
      </c>
      <c r="I108" s="2510">
        <v>10000</v>
      </c>
      <c r="J108" s="2510">
        <v>10000</v>
      </c>
      <c r="K108" s="2508" t="s">
        <v>1301</v>
      </c>
      <c r="L108" s="2508" t="s">
        <v>642</v>
      </c>
      <c r="M108" s="2509" t="s">
        <v>1354</v>
      </c>
      <c r="N108" s="2511" t="s">
        <v>1312</v>
      </c>
      <c r="O108" s="2481"/>
      <c r="P108" s="2474"/>
      <c r="Q108" s="2474"/>
      <c r="R108" s="2474"/>
      <c r="S108" s="2474"/>
      <c r="T108" s="2474"/>
      <c r="U108" s="2474"/>
      <c r="V108" s="2474"/>
      <c r="W108" s="2474"/>
      <c r="X108" s="2474"/>
      <c r="Y108" s="2474"/>
      <c r="Z108" s="2475"/>
    </row>
    <row r="109" spans="1:26" ht="22.05" customHeight="1" thickBot="1" x14ac:dyDescent="0.35">
      <c r="A109" s="2502">
        <v>2024</v>
      </c>
      <c r="B109" s="2503">
        <v>56</v>
      </c>
      <c r="C109" s="2503">
        <v>840104</v>
      </c>
      <c r="D109" s="2503">
        <v>439130111</v>
      </c>
      <c r="E109" s="2503" t="s">
        <v>1298</v>
      </c>
      <c r="F109" s="2504" t="s">
        <v>1464</v>
      </c>
      <c r="G109" s="2503">
        <v>1</v>
      </c>
      <c r="H109" s="2503" t="s">
        <v>1300</v>
      </c>
      <c r="I109" s="2505">
        <v>4000</v>
      </c>
      <c r="J109" s="2505">
        <v>4000</v>
      </c>
      <c r="K109" s="2503" t="s">
        <v>1301</v>
      </c>
      <c r="L109" s="2503" t="s">
        <v>642</v>
      </c>
      <c r="M109" s="2504" t="s">
        <v>1354</v>
      </c>
      <c r="N109" s="2512" t="s">
        <v>1312</v>
      </c>
      <c r="O109" s="2481"/>
      <c r="P109" s="2474"/>
      <c r="Q109" s="2474"/>
      <c r="R109" s="2474"/>
      <c r="S109" s="2474"/>
      <c r="T109" s="2474"/>
      <c r="U109" s="2474"/>
      <c r="V109" s="2474"/>
      <c r="W109" s="2474"/>
      <c r="X109" s="2474"/>
      <c r="Y109" s="2474"/>
      <c r="Z109" s="2475"/>
    </row>
    <row r="110" spans="1:26" ht="22.05" customHeight="1" thickBot="1" x14ac:dyDescent="0.35">
      <c r="A110" s="2507">
        <v>2024</v>
      </c>
      <c r="B110" s="2508">
        <v>57</v>
      </c>
      <c r="C110" s="2508">
        <v>840104</v>
      </c>
      <c r="D110" s="2508">
        <v>381210017</v>
      </c>
      <c r="E110" s="2508" t="s">
        <v>1298</v>
      </c>
      <c r="F110" s="2509" t="s">
        <v>1465</v>
      </c>
      <c r="G110" s="2508">
        <v>1</v>
      </c>
      <c r="H110" s="2508" t="s">
        <v>1300</v>
      </c>
      <c r="I110" s="2510">
        <v>4500</v>
      </c>
      <c r="J110" s="2510">
        <v>4500</v>
      </c>
      <c r="K110" s="2508" t="s">
        <v>1301</v>
      </c>
      <c r="L110" s="2508" t="s">
        <v>642</v>
      </c>
      <c r="M110" s="2509" t="s">
        <v>1354</v>
      </c>
      <c r="N110" s="2511" t="s">
        <v>1312</v>
      </c>
      <c r="O110" s="2481"/>
      <c r="P110" s="2474"/>
      <c r="Q110" s="2474"/>
      <c r="R110" s="2474"/>
      <c r="S110" s="2474"/>
      <c r="T110" s="2474"/>
      <c r="U110" s="2474"/>
      <c r="V110" s="2474"/>
      <c r="W110" s="2474"/>
      <c r="X110" s="2474"/>
      <c r="Y110" s="2474"/>
      <c r="Z110" s="2475"/>
    </row>
    <row r="111" spans="1:26" ht="22.05" customHeight="1" thickBot="1" x14ac:dyDescent="0.35">
      <c r="A111" s="2502">
        <v>2024</v>
      </c>
      <c r="B111" s="2503">
        <v>58</v>
      </c>
      <c r="C111" s="2503">
        <v>840104</v>
      </c>
      <c r="D111" s="2503">
        <v>442310113</v>
      </c>
      <c r="E111" s="2503" t="s">
        <v>1298</v>
      </c>
      <c r="F111" s="2504" t="s">
        <v>1466</v>
      </c>
      <c r="G111" s="2503">
        <v>1</v>
      </c>
      <c r="H111" s="2503" t="s">
        <v>1300</v>
      </c>
      <c r="I111" s="2505">
        <v>200000</v>
      </c>
      <c r="J111" s="2505">
        <v>200000</v>
      </c>
      <c r="K111" s="2503" t="s">
        <v>1301</v>
      </c>
      <c r="L111" s="2503" t="s">
        <v>642</v>
      </c>
      <c r="M111" s="2504" t="s">
        <v>1354</v>
      </c>
      <c r="N111" s="2512" t="s">
        <v>1312</v>
      </c>
      <c r="O111" s="2481"/>
      <c r="P111" s="2474"/>
      <c r="Q111" s="2474"/>
      <c r="R111" s="2474"/>
      <c r="S111" s="2474"/>
      <c r="T111" s="2474"/>
      <c r="U111" s="2474"/>
      <c r="V111" s="2474"/>
      <c r="W111" s="2474"/>
      <c r="X111" s="2474"/>
      <c r="Y111" s="2474"/>
      <c r="Z111" s="2475"/>
    </row>
    <row r="112" spans="1:26" ht="22.05" customHeight="1" thickBot="1" x14ac:dyDescent="0.35">
      <c r="A112" s="2507">
        <v>2024</v>
      </c>
      <c r="B112" s="2508">
        <v>60</v>
      </c>
      <c r="C112" s="2508">
        <v>750501.00100000005</v>
      </c>
      <c r="D112" s="2508">
        <v>532900011</v>
      </c>
      <c r="E112" s="2508" t="s">
        <v>1310</v>
      </c>
      <c r="F112" s="2509" t="s">
        <v>1467</v>
      </c>
      <c r="G112" s="2508">
        <v>1</v>
      </c>
      <c r="H112" s="2508" t="s">
        <v>1300</v>
      </c>
      <c r="I112" s="2510">
        <v>160000</v>
      </c>
      <c r="J112" s="2510">
        <v>160000</v>
      </c>
      <c r="K112" s="2508" t="s">
        <v>1301</v>
      </c>
      <c r="L112" s="2508" t="s">
        <v>495</v>
      </c>
      <c r="M112" s="2509" t="s">
        <v>775</v>
      </c>
      <c r="N112" s="2511" t="s">
        <v>1312</v>
      </c>
      <c r="O112" s="2481"/>
      <c r="P112" s="2474"/>
      <c r="Q112" s="2474"/>
      <c r="R112" s="2474"/>
      <c r="S112" s="2474"/>
      <c r="T112" s="2474"/>
      <c r="U112" s="2474"/>
      <c r="V112" s="2474"/>
      <c r="W112" s="2474"/>
      <c r="X112" s="2474"/>
      <c r="Y112" s="2474"/>
      <c r="Z112" s="2475"/>
    </row>
    <row r="113" spans="1:26" ht="22.05" customHeight="1" thickBot="1" x14ac:dyDescent="0.35">
      <c r="A113" s="2502">
        <v>2024</v>
      </c>
      <c r="B113" s="2503">
        <v>61</v>
      </c>
      <c r="C113" s="2503">
        <v>750501.00100000005</v>
      </c>
      <c r="D113" s="2503">
        <v>532900011</v>
      </c>
      <c r="E113" s="2503" t="s">
        <v>1310</v>
      </c>
      <c r="F113" s="2504" t="s">
        <v>1468</v>
      </c>
      <c r="G113" s="2503">
        <v>1</v>
      </c>
      <c r="H113" s="2503" t="s">
        <v>1300</v>
      </c>
      <c r="I113" s="2505">
        <v>280000</v>
      </c>
      <c r="J113" s="2505">
        <v>280000</v>
      </c>
      <c r="K113" s="2503" t="s">
        <v>1301</v>
      </c>
      <c r="L113" s="2503" t="s">
        <v>502</v>
      </c>
      <c r="M113" s="2504" t="s">
        <v>791</v>
      </c>
      <c r="N113" s="2512" t="s">
        <v>1312</v>
      </c>
      <c r="O113" s="2481"/>
      <c r="P113" s="2474"/>
      <c r="Q113" s="2474"/>
      <c r="R113" s="2474"/>
      <c r="S113" s="2474"/>
      <c r="T113" s="2474"/>
      <c r="U113" s="2474"/>
      <c r="V113" s="2474"/>
      <c r="W113" s="2474"/>
      <c r="X113" s="2474"/>
      <c r="Y113" s="2474"/>
      <c r="Z113" s="2475"/>
    </row>
    <row r="114" spans="1:26" ht="22.05" customHeight="1" thickBot="1" x14ac:dyDescent="0.35">
      <c r="A114" s="2507">
        <v>2024</v>
      </c>
      <c r="B114" s="2508">
        <v>62</v>
      </c>
      <c r="C114" s="2508">
        <v>750101.00199999998</v>
      </c>
      <c r="D114" s="2508">
        <v>532510014</v>
      </c>
      <c r="E114" s="2508" t="s">
        <v>1310</v>
      </c>
      <c r="F114" s="2509" t="s">
        <v>1469</v>
      </c>
      <c r="G114" s="2508">
        <v>1</v>
      </c>
      <c r="H114" s="2508" t="s">
        <v>1300</v>
      </c>
      <c r="I114" s="2510">
        <v>1500000</v>
      </c>
      <c r="J114" s="2510">
        <v>1500000</v>
      </c>
      <c r="K114" s="2508" t="s">
        <v>1301</v>
      </c>
      <c r="L114" s="2508" t="s">
        <v>509</v>
      </c>
      <c r="M114" s="2509" t="s">
        <v>776</v>
      </c>
      <c r="N114" s="2511" t="s">
        <v>1312</v>
      </c>
      <c r="O114" s="2481"/>
      <c r="P114" s="2474"/>
      <c r="Q114" s="2474"/>
      <c r="R114" s="2474"/>
      <c r="S114" s="2474"/>
      <c r="T114" s="2474"/>
      <c r="U114" s="2474"/>
      <c r="V114" s="2474"/>
      <c r="W114" s="2474"/>
      <c r="X114" s="2474"/>
      <c r="Y114" s="2474"/>
      <c r="Z114" s="2475"/>
    </row>
    <row r="115" spans="1:26" ht="22.05" customHeight="1" thickBot="1" x14ac:dyDescent="0.35">
      <c r="A115" s="2502">
        <v>2024</v>
      </c>
      <c r="B115" s="2503">
        <v>63</v>
      </c>
      <c r="C115" s="2503">
        <v>750101.00199999998</v>
      </c>
      <c r="D115" s="2503">
        <v>532900011</v>
      </c>
      <c r="E115" s="2503" t="s">
        <v>1310</v>
      </c>
      <c r="F115" s="2504" t="s">
        <v>1470</v>
      </c>
      <c r="G115" s="2503">
        <v>1</v>
      </c>
      <c r="H115" s="2503" t="s">
        <v>1300</v>
      </c>
      <c r="I115" s="2505">
        <v>800000</v>
      </c>
      <c r="J115" s="2505">
        <v>800000</v>
      </c>
      <c r="K115" s="2503" t="s">
        <v>1301</v>
      </c>
      <c r="L115" s="2503" t="s">
        <v>509</v>
      </c>
      <c r="M115" s="2504" t="s">
        <v>776</v>
      </c>
      <c r="N115" s="2512" t="s">
        <v>1312</v>
      </c>
      <c r="O115" s="2481"/>
      <c r="P115" s="2474"/>
      <c r="Q115" s="2474"/>
      <c r="R115" s="2474"/>
      <c r="S115" s="2474"/>
      <c r="T115" s="2474"/>
      <c r="U115" s="2474"/>
      <c r="V115" s="2474"/>
      <c r="W115" s="2474"/>
      <c r="X115" s="2474"/>
      <c r="Y115" s="2474"/>
      <c r="Z115" s="2475"/>
    </row>
    <row r="116" spans="1:26" ht="22.05" customHeight="1" thickBot="1" x14ac:dyDescent="0.35">
      <c r="A116" s="2507">
        <v>2024</v>
      </c>
      <c r="B116" s="2508">
        <v>64</v>
      </c>
      <c r="C116" s="2508">
        <v>730606</v>
      </c>
      <c r="D116" s="2508">
        <v>532900011</v>
      </c>
      <c r="E116" s="2508" t="s">
        <v>1307</v>
      </c>
      <c r="F116" s="2509" t="s">
        <v>1471</v>
      </c>
      <c r="G116" s="2508">
        <v>1</v>
      </c>
      <c r="H116" s="2508" t="s">
        <v>1300</v>
      </c>
      <c r="I116" s="2510">
        <v>0</v>
      </c>
      <c r="J116" s="2510">
        <v>0</v>
      </c>
      <c r="K116" s="2508" t="s">
        <v>1301</v>
      </c>
      <c r="L116" s="2508" t="s">
        <v>721</v>
      </c>
      <c r="M116" s="2509" t="s">
        <v>1472</v>
      </c>
      <c r="N116" s="2511" t="s">
        <v>1312</v>
      </c>
      <c r="O116" s="2481"/>
      <c r="P116" s="2474"/>
      <c r="Q116" s="2474"/>
      <c r="R116" s="2474"/>
      <c r="S116" s="2474"/>
      <c r="T116" s="2474"/>
      <c r="U116" s="2474"/>
      <c r="V116" s="2474"/>
      <c r="W116" s="2474"/>
      <c r="X116" s="2474"/>
      <c r="Y116" s="2474"/>
      <c r="Z116" s="2475"/>
    </row>
    <row r="117" spans="1:26" ht="22.05" customHeight="1" thickBot="1" x14ac:dyDescent="0.35">
      <c r="A117" s="2502">
        <v>2024</v>
      </c>
      <c r="B117" s="2503">
        <v>65</v>
      </c>
      <c r="C117" s="2503">
        <v>730612</v>
      </c>
      <c r="D117" s="2503">
        <v>912200211</v>
      </c>
      <c r="E117" s="2503" t="s">
        <v>1307</v>
      </c>
      <c r="F117" s="2504" t="s">
        <v>1473</v>
      </c>
      <c r="G117" s="2503">
        <v>1</v>
      </c>
      <c r="H117" s="2503" t="s">
        <v>1300</v>
      </c>
      <c r="I117" s="2505">
        <v>30000</v>
      </c>
      <c r="J117" s="2505">
        <v>30000</v>
      </c>
      <c r="K117" s="2503" t="s">
        <v>1301</v>
      </c>
      <c r="L117" s="2503" t="s">
        <v>103</v>
      </c>
      <c r="M117" s="2504" t="s">
        <v>1302</v>
      </c>
      <c r="N117" s="2506" t="s">
        <v>1303</v>
      </c>
      <c r="O117" s="2481"/>
      <c r="P117" s="2474"/>
      <c r="Q117" s="2474"/>
      <c r="R117" s="2474"/>
      <c r="S117" s="2474"/>
      <c r="T117" s="2474"/>
      <c r="U117" s="2474"/>
      <c r="V117" s="2474"/>
      <c r="W117" s="2474"/>
      <c r="X117" s="2474"/>
      <c r="Y117" s="2474"/>
      <c r="Z117" s="2475"/>
    </row>
    <row r="118" spans="1:26" ht="22.05" customHeight="1" thickBot="1" x14ac:dyDescent="0.35">
      <c r="A118" s="2507">
        <v>2024</v>
      </c>
      <c r="B118" s="2508">
        <v>66</v>
      </c>
      <c r="C118" s="2508">
        <v>750505</v>
      </c>
      <c r="D118" s="2508">
        <v>532900011</v>
      </c>
      <c r="E118" s="2508" t="s">
        <v>1310</v>
      </c>
      <c r="F118" s="2509" t="s">
        <v>1474</v>
      </c>
      <c r="G118" s="2508">
        <v>1</v>
      </c>
      <c r="H118" s="2508" t="s">
        <v>1300</v>
      </c>
      <c r="I118" s="2510">
        <v>0</v>
      </c>
      <c r="J118" s="2510">
        <v>0</v>
      </c>
      <c r="K118" s="2508" t="s">
        <v>1301</v>
      </c>
      <c r="L118" s="2508" t="s">
        <v>518</v>
      </c>
      <c r="M118" s="2509" t="s">
        <v>1372</v>
      </c>
      <c r="N118" s="2511" t="s">
        <v>1312</v>
      </c>
      <c r="O118" s="2481"/>
      <c r="P118" s="2474"/>
      <c r="Q118" s="2474"/>
      <c r="R118" s="2474"/>
      <c r="S118" s="2474"/>
      <c r="T118" s="2474"/>
      <c r="U118" s="2474"/>
      <c r="V118" s="2474"/>
      <c r="W118" s="2474"/>
      <c r="X118" s="2474"/>
      <c r="Y118" s="2474"/>
      <c r="Z118" s="2475"/>
    </row>
    <row r="119" spans="1:26" ht="22.05" customHeight="1" thickBot="1" x14ac:dyDescent="0.35">
      <c r="A119" s="2502">
        <v>2024</v>
      </c>
      <c r="B119" s="2503">
        <v>67</v>
      </c>
      <c r="C119" s="2503">
        <v>750503</v>
      </c>
      <c r="D119" s="2503">
        <v>532900011</v>
      </c>
      <c r="E119" s="2503" t="s">
        <v>1310</v>
      </c>
      <c r="F119" s="2504" t="s">
        <v>1475</v>
      </c>
      <c r="G119" s="2503">
        <v>1</v>
      </c>
      <c r="H119" s="2503" t="s">
        <v>1300</v>
      </c>
      <c r="I119" s="2505">
        <v>0</v>
      </c>
      <c r="J119" s="2505">
        <v>0</v>
      </c>
      <c r="K119" s="2503" t="s">
        <v>1301</v>
      </c>
      <c r="L119" s="2503" t="s">
        <v>486</v>
      </c>
      <c r="M119" s="2504" t="s">
        <v>785</v>
      </c>
      <c r="N119" s="2512" t="s">
        <v>1312</v>
      </c>
      <c r="O119" s="2481"/>
      <c r="P119" s="2474"/>
      <c r="Q119" s="2474"/>
      <c r="R119" s="2474"/>
      <c r="S119" s="2474"/>
      <c r="T119" s="2474"/>
      <c r="U119" s="2474"/>
      <c r="V119" s="2474"/>
      <c r="W119" s="2474"/>
      <c r="X119" s="2474"/>
      <c r="Y119" s="2474"/>
      <c r="Z119" s="2475"/>
    </row>
    <row r="120" spans="1:26" ht="22.05" customHeight="1" thickBot="1" x14ac:dyDescent="0.35">
      <c r="A120" s="2507">
        <v>2024</v>
      </c>
      <c r="B120" s="2508">
        <v>68</v>
      </c>
      <c r="C120" s="2508">
        <v>750501.00100000005</v>
      </c>
      <c r="D120" s="2508">
        <v>532900011</v>
      </c>
      <c r="E120" s="2508" t="s">
        <v>1310</v>
      </c>
      <c r="F120" s="2509" t="s">
        <v>1476</v>
      </c>
      <c r="G120" s="2508">
        <v>1</v>
      </c>
      <c r="H120" s="2508" t="s">
        <v>1300</v>
      </c>
      <c r="I120" s="2510">
        <v>0</v>
      </c>
      <c r="J120" s="2510">
        <v>0</v>
      </c>
      <c r="K120" s="2508" t="s">
        <v>1301</v>
      </c>
      <c r="L120" s="2508" t="s">
        <v>495</v>
      </c>
      <c r="M120" s="2509" t="s">
        <v>775</v>
      </c>
      <c r="N120" s="2511" t="s">
        <v>1312</v>
      </c>
      <c r="O120" s="2481"/>
      <c r="P120" s="2474"/>
      <c r="Q120" s="2474"/>
      <c r="R120" s="2474"/>
      <c r="S120" s="2474"/>
      <c r="T120" s="2474"/>
      <c r="U120" s="2474"/>
      <c r="V120" s="2474"/>
      <c r="W120" s="2474"/>
      <c r="X120" s="2474"/>
      <c r="Y120" s="2474"/>
      <c r="Z120" s="2475"/>
    </row>
    <row r="121" spans="1:26" ht="22.05" customHeight="1" thickBot="1" x14ac:dyDescent="0.35">
      <c r="A121" s="2502">
        <v>2024</v>
      </c>
      <c r="B121" s="2503">
        <v>69</v>
      </c>
      <c r="C121" s="2503">
        <v>750101.00199999998</v>
      </c>
      <c r="D121" s="2503">
        <v>532900011</v>
      </c>
      <c r="E121" s="2503" t="s">
        <v>1310</v>
      </c>
      <c r="F121" s="2504" t="s">
        <v>1477</v>
      </c>
      <c r="G121" s="2503">
        <v>1</v>
      </c>
      <c r="H121" s="2503" t="s">
        <v>1300</v>
      </c>
      <c r="I121" s="2505">
        <v>1207000</v>
      </c>
      <c r="J121" s="2505">
        <v>1207000</v>
      </c>
      <c r="K121" s="2503" t="s">
        <v>1301</v>
      </c>
      <c r="L121" s="2503" t="s">
        <v>509</v>
      </c>
      <c r="M121" s="2504" t="s">
        <v>776</v>
      </c>
      <c r="N121" s="2512" t="s">
        <v>1312</v>
      </c>
      <c r="O121" s="2481"/>
      <c r="P121" s="2474"/>
      <c r="Q121" s="2474"/>
      <c r="R121" s="2474"/>
      <c r="S121" s="2474"/>
      <c r="T121" s="2474"/>
      <c r="U121" s="2474"/>
      <c r="V121" s="2474"/>
      <c r="W121" s="2474"/>
      <c r="X121" s="2474"/>
      <c r="Y121" s="2474"/>
      <c r="Z121" s="2475"/>
    </row>
    <row r="122" spans="1:26" ht="22.05" customHeight="1" thickBot="1" x14ac:dyDescent="0.35">
      <c r="A122" s="2507">
        <v>2024</v>
      </c>
      <c r="B122" s="2508">
        <v>70</v>
      </c>
      <c r="C122" s="2508">
        <v>750106</v>
      </c>
      <c r="D122" s="2508">
        <v>871520211</v>
      </c>
      <c r="E122" s="2508" t="s">
        <v>1310</v>
      </c>
      <c r="F122" s="2509" t="s">
        <v>1478</v>
      </c>
      <c r="G122" s="2508">
        <v>1</v>
      </c>
      <c r="H122" s="2508" t="s">
        <v>1300</v>
      </c>
      <c r="I122" s="2510">
        <v>85000</v>
      </c>
      <c r="J122" s="2510">
        <v>85000</v>
      </c>
      <c r="K122" s="2508" t="s">
        <v>1301</v>
      </c>
      <c r="L122" s="2508" t="s">
        <v>458</v>
      </c>
      <c r="M122" s="2509" t="s">
        <v>1479</v>
      </c>
      <c r="N122" s="2511" t="s">
        <v>1312</v>
      </c>
      <c r="O122" s="2481"/>
      <c r="P122" s="2474"/>
      <c r="Q122" s="2474"/>
      <c r="R122" s="2474"/>
      <c r="S122" s="2474"/>
      <c r="T122" s="2474"/>
      <c r="U122" s="2474"/>
      <c r="V122" s="2474"/>
      <c r="W122" s="2474"/>
      <c r="X122" s="2474"/>
      <c r="Y122" s="2474"/>
      <c r="Z122" s="2475"/>
    </row>
    <row r="123" spans="1:26" ht="22.05" customHeight="1" thickBot="1" x14ac:dyDescent="0.35">
      <c r="A123" s="2502">
        <v>2024</v>
      </c>
      <c r="B123" s="2503">
        <v>71</v>
      </c>
      <c r="C123" s="2503">
        <v>750501.00399999996</v>
      </c>
      <c r="D123" s="2503">
        <v>532900011</v>
      </c>
      <c r="E123" s="2503" t="s">
        <v>1310</v>
      </c>
      <c r="F123" s="2504" t="s">
        <v>1480</v>
      </c>
      <c r="G123" s="2503">
        <v>1</v>
      </c>
      <c r="H123" s="2503" t="s">
        <v>1300</v>
      </c>
      <c r="I123" s="2505">
        <v>0</v>
      </c>
      <c r="J123" s="2505">
        <v>0</v>
      </c>
      <c r="K123" s="2503" t="s">
        <v>1301</v>
      </c>
      <c r="L123" s="2503" t="s">
        <v>495</v>
      </c>
      <c r="M123" s="2504" t="s">
        <v>775</v>
      </c>
      <c r="N123" s="2512" t="s">
        <v>1312</v>
      </c>
      <c r="O123" s="2481"/>
      <c r="P123" s="2474"/>
      <c r="Q123" s="2474"/>
      <c r="R123" s="2474"/>
      <c r="S123" s="2474"/>
      <c r="T123" s="2474"/>
      <c r="U123" s="2474"/>
      <c r="V123" s="2474"/>
      <c r="W123" s="2474"/>
      <c r="X123" s="2474"/>
      <c r="Y123" s="2474"/>
      <c r="Z123" s="2475"/>
    </row>
    <row r="124" spans="1:26" ht="22.05" customHeight="1" thickBot="1" x14ac:dyDescent="0.35">
      <c r="A124" s="2507">
        <v>2024</v>
      </c>
      <c r="B124" s="2508">
        <v>72</v>
      </c>
      <c r="C124" s="2508">
        <v>730402</v>
      </c>
      <c r="D124" s="2508">
        <v>532900011</v>
      </c>
      <c r="E124" s="2508" t="s">
        <v>1310</v>
      </c>
      <c r="F124" s="2509" t="s">
        <v>1481</v>
      </c>
      <c r="G124" s="2508">
        <v>1</v>
      </c>
      <c r="H124" s="2508" t="s">
        <v>1300</v>
      </c>
      <c r="I124" s="2510">
        <v>0</v>
      </c>
      <c r="J124" s="2510">
        <v>0</v>
      </c>
      <c r="K124" s="2508" t="s">
        <v>1301</v>
      </c>
      <c r="L124" s="2508" t="s">
        <v>546</v>
      </c>
      <c r="M124" s="2509" t="s">
        <v>1320</v>
      </c>
      <c r="N124" s="2511" t="s">
        <v>1312</v>
      </c>
      <c r="O124" s="2481"/>
      <c r="P124" s="2474"/>
      <c r="Q124" s="2474"/>
      <c r="R124" s="2474"/>
      <c r="S124" s="2474"/>
      <c r="T124" s="2474"/>
      <c r="U124" s="2474"/>
      <c r="V124" s="2474"/>
      <c r="W124" s="2474"/>
      <c r="X124" s="2474"/>
      <c r="Y124" s="2474"/>
      <c r="Z124" s="2475"/>
    </row>
    <row r="125" spans="1:26" ht="22.05" customHeight="1" thickBot="1" x14ac:dyDescent="0.35">
      <c r="A125" s="2502">
        <v>2024</v>
      </c>
      <c r="B125" s="2503">
        <v>73</v>
      </c>
      <c r="C125" s="2503">
        <v>730404</v>
      </c>
      <c r="D125" s="2503">
        <v>871590611</v>
      </c>
      <c r="E125" s="2503" t="s">
        <v>1307</v>
      </c>
      <c r="F125" s="2504" t="s">
        <v>1482</v>
      </c>
      <c r="G125" s="2503">
        <v>1</v>
      </c>
      <c r="H125" s="2503" t="s">
        <v>1300</v>
      </c>
      <c r="I125" s="2505">
        <v>0</v>
      </c>
      <c r="J125" s="2505">
        <v>0</v>
      </c>
      <c r="K125" s="2503" t="s">
        <v>1301</v>
      </c>
      <c r="L125" s="2503" t="s">
        <v>531</v>
      </c>
      <c r="M125" s="2504" t="s">
        <v>1361</v>
      </c>
      <c r="N125" s="2512" t="s">
        <v>1312</v>
      </c>
      <c r="O125" s="2481"/>
      <c r="P125" s="2474"/>
      <c r="Q125" s="2474"/>
      <c r="R125" s="2474"/>
      <c r="S125" s="2474"/>
      <c r="T125" s="2474"/>
      <c r="U125" s="2474"/>
      <c r="V125" s="2474"/>
      <c r="W125" s="2474"/>
      <c r="X125" s="2474"/>
      <c r="Y125" s="2474"/>
      <c r="Z125" s="2475"/>
    </row>
    <row r="126" spans="1:26" ht="22.05" customHeight="1" thickBot="1" x14ac:dyDescent="0.35">
      <c r="A126" s="2507">
        <v>2024</v>
      </c>
      <c r="B126" s="2508">
        <v>74</v>
      </c>
      <c r="C126" s="2508">
        <v>730601</v>
      </c>
      <c r="D126" s="2508">
        <v>532900011</v>
      </c>
      <c r="E126" s="2508" t="s">
        <v>1307</v>
      </c>
      <c r="F126" s="2509" t="s">
        <v>1483</v>
      </c>
      <c r="G126" s="2508">
        <v>1</v>
      </c>
      <c r="H126" s="2508" t="s">
        <v>1300</v>
      </c>
      <c r="I126" s="2510">
        <v>80000</v>
      </c>
      <c r="J126" s="2510">
        <v>80000</v>
      </c>
      <c r="K126" s="2508" t="s">
        <v>1301</v>
      </c>
      <c r="L126" s="2508" t="s">
        <v>103</v>
      </c>
      <c r="M126" s="2509" t="s">
        <v>1302</v>
      </c>
      <c r="N126" s="2513" t="s">
        <v>1303</v>
      </c>
      <c r="O126" s="2481"/>
      <c r="P126" s="2474"/>
      <c r="Q126" s="2474"/>
      <c r="R126" s="2474"/>
      <c r="S126" s="2474"/>
      <c r="T126" s="2474"/>
      <c r="U126" s="2474"/>
      <c r="V126" s="2474"/>
      <c r="W126" s="2474"/>
      <c r="X126" s="2474"/>
      <c r="Y126" s="2474"/>
      <c r="Z126" s="2475"/>
    </row>
    <row r="127" spans="1:26" ht="22.05" customHeight="1" thickBot="1" x14ac:dyDescent="0.35">
      <c r="A127" s="2502">
        <v>2024</v>
      </c>
      <c r="B127" s="2503">
        <v>75</v>
      </c>
      <c r="C127" s="2503">
        <v>730602</v>
      </c>
      <c r="D127" s="2503">
        <v>532900011</v>
      </c>
      <c r="E127" s="2503" t="s">
        <v>1307</v>
      </c>
      <c r="F127" s="2504" t="s">
        <v>1484</v>
      </c>
      <c r="G127" s="2503">
        <v>1</v>
      </c>
      <c r="H127" s="2503" t="s">
        <v>1300</v>
      </c>
      <c r="I127" s="2505">
        <v>35000</v>
      </c>
      <c r="J127" s="2505">
        <v>35000</v>
      </c>
      <c r="K127" s="2503" t="s">
        <v>1301</v>
      </c>
      <c r="L127" s="2503" t="s">
        <v>103</v>
      </c>
      <c r="M127" s="2504" t="s">
        <v>1302</v>
      </c>
      <c r="N127" s="2506" t="s">
        <v>1303</v>
      </c>
      <c r="O127" s="2481"/>
      <c r="P127" s="2474"/>
      <c r="Q127" s="2474"/>
      <c r="R127" s="2474"/>
      <c r="S127" s="2474"/>
      <c r="T127" s="2474"/>
      <c r="U127" s="2474"/>
      <c r="V127" s="2474"/>
      <c r="W127" s="2474"/>
      <c r="X127" s="2474"/>
      <c r="Y127" s="2474"/>
      <c r="Z127" s="2475"/>
    </row>
    <row r="128" spans="1:26" ht="22.05" customHeight="1" thickBot="1" x14ac:dyDescent="0.35">
      <c r="A128" s="2507">
        <v>2024</v>
      </c>
      <c r="B128" s="2508">
        <v>76</v>
      </c>
      <c r="C128" s="2508">
        <v>730604</v>
      </c>
      <c r="D128" s="2508">
        <v>532900011</v>
      </c>
      <c r="E128" s="2508" t="s">
        <v>1307</v>
      </c>
      <c r="F128" s="2509" t="s">
        <v>1485</v>
      </c>
      <c r="G128" s="2508">
        <v>1</v>
      </c>
      <c r="H128" s="2508" t="s">
        <v>1300</v>
      </c>
      <c r="I128" s="2510">
        <v>15000</v>
      </c>
      <c r="J128" s="2510">
        <v>15000</v>
      </c>
      <c r="K128" s="2508" t="s">
        <v>1301</v>
      </c>
      <c r="L128" s="2508" t="s">
        <v>655</v>
      </c>
      <c r="M128" s="2509" t="s">
        <v>1336</v>
      </c>
      <c r="N128" s="2511" t="s">
        <v>1312</v>
      </c>
      <c r="O128" s="2481"/>
      <c r="P128" s="2474"/>
      <c r="Q128" s="2474"/>
      <c r="R128" s="2474"/>
      <c r="S128" s="2474"/>
      <c r="T128" s="2474"/>
      <c r="U128" s="2474"/>
      <c r="V128" s="2474"/>
      <c r="W128" s="2474"/>
      <c r="X128" s="2474"/>
      <c r="Y128" s="2474"/>
      <c r="Z128" s="2475"/>
    </row>
    <row r="129" spans="1:26" ht="22.05" customHeight="1" thickBot="1" x14ac:dyDescent="0.35">
      <c r="A129" s="2519">
        <v>2024</v>
      </c>
      <c r="B129" s="2520">
        <v>80</v>
      </c>
      <c r="C129" s="2520" t="s">
        <v>1486</v>
      </c>
      <c r="D129" s="2520">
        <v>622910013</v>
      </c>
      <c r="E129" s="2520" t="s">
        <v>1307</v>
      </c>
      <c r="F129" s="2521" t="s">
        <v>1487</v>
      </c>
      <c r="G129" s="2520">
        <v>1</v>
      </c>
      <c r="H129" s="2520" t="s">
        <v>1300</v>
      </c>
      <c r="I129" s="2522">
        <v>0</v>
      </c>
      <c r="J129" s="2522">
        <v>0</v>
      </c>
      <c r="K129" s="2520" t="s">
        <v>1301</v>
      </c>
      <c r="L129" s="2520" t="s">
        <v>103</v>
      </c>
      <c r="M129" s="2521" t="s">
        <v>1302</v>
      </c>
      <c r="N129" s="2523" t="s">
        <v>1303</v>
      </c>
      <c r="O129" s="2481"/>
      <c r="P129" s="2474"/>
      <c r="Q129" s="2474"/>
      <c r="R129" s="2474"/>
      <c r="S129" s="2474"/>
      <c r="T129" s="2474"/>
      <c r="U129" s="2474"/>
      <c r="V129" s="2474"/>
      <c r="W129" s="2474"/>
      <c r="X129" s="2474"/>
      <c r="Y129" s="2474"/>
      <c r="Z129" s="2475"/>
    </row>
    <row r="130" spans="1:26" s="10" customFormat="1" ht="22.05" customHeight="1" thickBot="1" x14ac:dyDescent="0.35">
      <c r="A130" s="2492" t="s">
        <v>741</v>
      </c>
      <c r="B130" s="2493"/>
      <c r="C130" s="2493"/>
      <c r="D130" s="2493"/>
      <c r="E130" s="2493"/>
      <c r="F130" s="2494"/>
      <c r="G130" s="2493"/>
      <c r="H130" s="2493"/>
      <c r="I130" s="2495"/>
      <c r="J130" s="2495">
        <f>SUM(J5:J129)</f>
        <v>13431862.300000001</v>
      </c>
      <c r="K130" s="2493"/>
      <c r="L130" s="2493"/>
      <c r="M130" s="2494"/>
      <c r="N130" s="2496"/>
      <c r="O130" s="2481"/>
      <c r="P130" s="2474"/>
      <c r="Q130" s="2474"/>
      <c r="R130" s="2474"/>
      <c r="S130" s="2474"/>
      <c r="T130" s="2474"/>
      <c r="U130" s="2474"/>
      <c r="V130" s="2474"/>
      <c r="W130" s="2474"/>
      <c r="X130" s="2474"/>
      <c r="Y130" s="2474"/>
      <c r="Z130" s="2475"/>
    </row>
    <row r="131" spans="1:26" s="40" customFormat="1" ht="18" customHeight="1" thickBot="1" x14ac:dyDescent="0.35">
      <c r="A131" s="3716" t="s">
        <v>3923</v>
      </c>
      <c r="B131" s="3717"/>
      <c r="C131" s="3717"/>
      <c r="D131" s="3717"/>
      <c r="E131" s="3717"/>
      <c r="F131" s="3718"/>
      <c r="G131" s="3717"/>
      <c r="H131" s="3717"/>
      <c r="I131" s="3719"/>
      <c r="J131" s="3719"/>
      <c r="K131" s="3717"/>
      <c r="L131" s="3717"/>
      <c r="M131" s="3718"/>
      <c r="N131" s="3720"/>
      <c r="O131" s="3721"/>
      <c r="P131" s="3721"/>
      <c r="Q131" s="3721"/>
      <c r="R131" s="3721"/>
      <c r="S131" s="3721"/>
      <c r="T131" s="3721"/>
      <c r="U131" s="3721"/>
      <c r="V131" s="3721"/>
      <c r="W131" s="3721"/>
      <c r="X131" s="3721"/>
      <c r="Y131" s="3721"/>
      <c r="Z131" s="3722"/>
    </row>
    <row r="132" spans="1:26" s="10" customFormat="1" ht="18" customHeight="1" thickBot="1" x14ac:dyDescent="0.35">
      <c r="A132" s="3723" t="s">
        <v>3924</v>
      </c>
      <c r="B132" s="3724"/>
      <c r="C132" s="3724"/>
      <c r="D132" s="3724"/>
      <c r="E132" s="3724"/>
      <c r="F132" s="3725"/>
      <c r="G132" s="3724"/>
      <c r="H132" s="3724"/>
      <c r="I132" s="3726"/>
      <c r="J132" s="3726"/>
      <c r="K132" s="3724"/>
      <c r="L132" s="3724"/>
      <c r="M132" s="3725"/>
      <c r="N132" s="3727"/>
      <c r="O132" s="3721"/>
      <c r="P132" s="3721"/>
      <c r="Q132" s="3721"/>
      <c r="R132" s="3721"/>
      <c r="S132" s="3721"/>
      <c r="T132" s="3721"/>
      <c r="U132" s="3721"/>
      <c r="V132" s="3721"/>
      <c r="W132" s="3721"/>
      <c r="X132" s="3721"/>
      <c r="Y132" s="3721"/>
      <c r="Z132" s="3722"/>
    </row>
    <row r="133" spans="1:26" s="40" customFormat="1" ht="22.05" customHeight="1" thickBot="1" x14ac:dyDescent="0.35">
      <c r="A133" s="3707" t="s">
        <v>1488</v>
      </c>
      <c r="B133" s="3708"/>
      <c r="C133" s="3708"/>
      <c r="D133" s="3708"/>
      <c r="E133" s="3708"/>
      <c r="F133" s="3709"/>
      <c r="G133" s="3708"/>
      <c r="H133" s="3708"/>
      <c r="I133" s="3710"/>
      <c r="J133" s="3710"/>
      <c r="K133" s="3708"/>
      <c r="L133" s="3708"/>
      <c r="M133" s="3709"/>
      <c r="N133" s="3711"/>
      <c r="O133" s="3712"/>
      <c r="P133" s="3712"/>
      <c r="Q133" s="3712"/>
      <c r="R133" s="3712"/>
      <c r="S133" s="3712"/>
      <c r="T133" s="3712"/>
      <c r="U133" s="3712"/>
      <c r="V133" s="3712"/>
      <c r="W133" s="3712"/>
      <c r="X133" s="3712"/>
      <c r="Y133" s="3712"/>
      <c r="Z133" s="3713"/>
    </row>
    <row r="134" spans="1:26" s="10" customFormat="1" ht="25.95" customHeight="1" thickBot="1" x14ac:dyDescent="0.35">
      <c r="A134" s="2524" t="s">
        <v>691</v>
      </c>
      <c r="B134" s="2525" t="s">
        <v>693</v>
      </c>
      <c r="C134" s="2525" t="s">
        <v>1489</v>
      </c>
      <c r="D134" s="2525" t="s">
        <v>1490</v>
      </c>
      <c r="E134" s="2525" t="s">
        <v>1491</v>
      </c>
      <c r="F134" s="2526" t="s">
        <v>1492</v>
      </c>
      <c r="G134" s="2525"/>
      <c r="H134" s="2525"/>
      <c r="I134" s="2527"/>
      <c r="J134" s="2527"/>
      <c r="K134" s="2525"/>
      <c r="L134" s="2525"/>
      <c r="M134" s="2526"/>
      <c r="N134" s="2528"/>
      <c r="O134" s="2481"/>
      <c r="P134" s="2474"/>
      <c r="Q134" s="2474"/>
      <c r="R134" s="2474"/>
      <c r="S134" s="2474"/>
      <c r="T134" s="2474"/>
      <c r="U134" s="2474"/>
      <c r="V134" s="2474"/>
      <c r="W134" s="2474"/>
      <c r="X134" s="2474"/>
      <c r="Y134" s="2474"/>
      <c r="Z134" s="2475"/>
    </row>
    <row r="135" spans="1:26" ht="22.05" customHeight="1" thickBot="1" x14ac:dyDescent="0.35">
      <c r="A135" s="2529" t="s">
        <v>495</v>
      </c>
      <c r="B135" s="2530" t="s">
        <v>775</v>
      </c>
      <c r="C135" s="2530">
        <f>COUNTIFS($A$5:$A$129,"2023",$L$5:$L$129,"PDOT.AS.OE1.M1.01")</f>
        <v>5</v>
      </c>
      <c r="D135" s="2531">
        <v>839221.66</v>
      </c>
      <c r="E135" s="2531">
        <f>COUNTIFS($A$5:$A$129,"2024",$L$5:$L$129,"PDOT.AS.OE1.M1.01")</f>
        <v>10</v>
      </c>
      <c r="F135" s="2532">
        <v>451855</v>
      </c>
      <c r="G135" s="2530"/>
      <c r="H135" s="2530"/>
      <c r="I135" s="2533"/>
      <c r="J135" s="2533"/>
      <c r="K135" s="2530"/>
      <c r="L135" s="2530"/>
      <c r="M135" s="2534"/>
      <c r="N135" s="2535"/>
      <c r="O135" s="2481"/>
      <c r="P135" s="2474"/>
      <c r="Q135" s="2474"/>
      <c r="R135" s="2474"/>
      <c r="S135" s="2474"/>
      <c r="T135" s="2474"/>
      <c r="U135" s="2474"/>
      <c r="V135" s="2474"/>
      <c r="W135" s="2474"/>
      <c r="X135" s="2474"/>
      <c r="Y135" s="2474"/>
      <c r="Z135" s="2475"/>
    </row>
    <row r="136" spans="1:26" ht="22.05" customHeight="1" thickBot="1" x14ac:dyDescent="0.35">
      <c r="A136" s="2507" t="s">
        <v>509</v>
      </c>
      <c r="B136" s="2508" t="s">
        <v>776</v>
      </c>
      <c r="C136" s="2508">
        <f>COUNTIFS($A$5:$A$129,"2023",$L$5:$L$129,"PDOT.AS.OE1.M1.02")</f>
        <v>1</v>
      </c>
      <c r="D136" s="2536">
        <v>4133102.96</v>
      </c>
      <c r="E136" s="2536">
        <f>COUNTIFS($A$5:$A$129,"2024",$L$5:$L$129,"PDOT.AS.OE1.M1.02")</f>
        <v>3</v>
      </c>
      <c r="F136" s="2537">
        <v>529859.46</v>
      </c>
      <c r="G136" s="2508"/>
      <c r="H136" s="2508"/>
      <c r="I136" s="2510"/>
      <c r="J136" s="2510"/>
      <c r="K136" s="2508"/>
      <c r="L136" s="2508"/>
      <c r="M136" s="2509"/>
      <c r="N136" s="2513"/>
      <c r="O136" s="2481"/>
      <c r="P136" s="2474"/>
      <c r="Q136" s="2474"/>
      <c r="R136" s="2474"/>
      <c r="S136" s="2474"/>
      <c r="T136" s="2474"/>
      <c r="U136" s="2474"/>
      <c r="V136" s="2474"/>
      <c r="W136" s="2474"/>
      <c r="X136" s="2474"/>
      <c r="Y136" s="2474"/>
      <c r="Z136" s="2475"/>
    </row>
    <row r="137" spans="1:26" ht="22.05" customHeight="1" thickBot="1" x14ac:dyDescent="0.35">
      <c r="A137" s="2502" t="s">
        <v>502</v>
      </c>
      <c r="B137" s="2503" t="s">
        <v>791</v>
      </c>
      <c r="C137" s="2503">
        <f>COUNTIFS($A$5:$A$129,"2023",$L$5:$L$129,"PDOT.AS.OE1.M1.03")</f>
        <v>0</v>
      </c>
      <c r="D137" s="2538">
        <v>62000</v>
      </c>
      <c r="E137" s="2538">
        <f>COUNTIFS($A$5:$A$129,"2024",$L$5:$L$129,"PDOT.AS.OE1.M1.03")</f>
        <v>1</v>
      </c>
      <c r="F137" s="2539">
        <v>0</v>
      </c>
      <c r="G137" s="2503"/>
      <c r="H137" s="2503"/>
      <c r="I137" s="2505"/>
      <c r="J137" s="2505"/>
      <c r="K137" s="2503"/>
      <c r="L137" s="2503"/>
      <c r="M137" s="2504"/>
      <c r="N137" s="2506"/>
      <c r="O137" s="2481"/>
      <c r="P137" s="2474"/>
      <c r="Q137" s="2474"/>
      <c r="R137" s="2474"/>
      <c r="S137" s="2474"/>
      <c r="T137" s="2474"/>
      <c r="U137" s="2474"/>
      <c r="V137" s="2474"/>
      <c r="W137" s="2474"/>
      <c r="X137" s="2474"/>
      <c r="Y137" s="2474"/>
      <c r="Z137" s="2475"/>
    </row>
    <row r="138" spans="1:26" ht="22.05" customHeight="1" thickBot="1" x14ac:dyDescent="0.35">
      <c r="A138" s="2507" t="s">
        <v>715</v>
      </c>
      <c r="B138" s="2508" t="s">
        <v>778</v>
      </c>
      <c r="C138" s="2508">
        <f>COUNTIFS($A$5:$A$129,"2023",$L$5:$L$129,"PDOT.AS.OE1.M2.01")</f>
        <v>1</v>
      </c>
      <c r="D138" s="2536">
        <v>0</v>
      </c>
      <c r="E138" s="2536">
        <f>COUNTIFS($A$5:$A$129,"2024",$L$5:$L$129,"PDOT.AS.OE1.M2.01")</f>
        <v>0</v>
      </c>
      <c r="F138" s="2537">
        <v>0</v>
      </c>
      <c r="G138" s="2508"/>
      <c r="H138" s="2508"/>
      <c r="I138" s="2510"/>
      <c r="J138" s="2510"/>
      <c r="K138" s="2508"/>
      <c r="L138" s="2508"/>
      <c r="M138" s="2509"/>
      <c r="N138" s="2513"/>
      <c r="O138" s="2481"/>
      <c r="P138" s="2474"/>
      <c r="Q138" s="2474"/>
      <c r="R138" s="2474"/>
      <c r="S138" s="2474"/>
      <c r="T138" s="2474"/>
      <c r="U138" s="2474"/>
      <c r="V138" s="2474"/>
      <c r="W138" s="2474"/>
      <c r="X138" s="2474"/>
      <c r="Y138" s="2474"/>
      <c r="Z138" s="2475"/>
    </row>
    <row r="139" spans="1:26" ht="22.05" customHeight="1" thickBot="1" x14ac:dyDescent="0.35">
      <c r="A139" s="2502" t="s">
        <v>57</v>
      </c>
      <c r="B139" s="2503" t="s">
        <v>779</v>
      </c>
      <c r="C139" s="2503">
        <f>COUNTIFS($A$5:$A$129,"2023",$L$5:$L$129,"PDOT.AS.OE1.M2.02")</f>
        <v>0</v>
      </c>
      <c r="D139" s="2538">
        <v>0</v>
      </c>
      <c r="E139" s="2538">
        <f>COUNTIFS($A$5:$A$129,"2024",$L$5:$L$129,"PDOT.AS.OE1.M2.02")</f>
        <v>0</v>
      </c>
      <c r="F139" s="2539">
        <v>0</v>
      </c>
      <c r="G139" s="2503"/>
      <c r="H139" s="2503"/>
      <c r="I139" s="2505"/>
      <c r="J139" s="2505"/>
      <c r="K139" s="2503"/>
      <c r="L139" s="2503"/>
      <c r="M139" s="2504"/>
      <c r="N139" s="2506"/>
      <c r="O139" s="2481"/>
      <c r="P139" s="2474"/>
      <c r="Q139" s="2474"/>
      <c r="R139" s="2474"/>
      <c r="S139" s="2474"/>
      <c r="T139" s="2474"/>
      <c r="U139" s="2474"/>
      <c r="V139" s="2474"/>
      <c r="W139" s="2474"/>
      <c r="X139" s="2474"/>
      <c r="Y139" s="2474"/>
      <c r="Z139" s="2475"/>
    </row>
    <row r="140" spans="1:26" ht="22.05" customHeight="1" thickBot="1" x14ac:dyDescent="0.35">
      <c r="A140" s="2507" t="s">
        <v>43</v>
      </c>
      <c r="B140" s="2508" t="s">
        <v>777</v>
      </c>
      <c r="C140" s="2508">
        <f>COUNTIFS($A$5:$A$129,"2023",$L$5:$L$129,"PDOT.SC.OE2.M1.01")</f>
        <v>0</v>
      </c>
      <c r="D140" s="2536">
        <v>0</v>
      </c>
      <c r="E140" s="2536">
        <f>COUNTIFS($A$5:$A$129,"2024",$L$5:$L$129,"PDOT.SC.OE2.M1.01")</f>
        <v>0</v>
      </c>
      <c r="F140" s="2537">
        <v>0</v>
      </c>
      <c r="G140" s="2508"/>
      <c r="H140" s="2508"/>
      <c r="I140" s="2510"/>
      <c r="J140" s="2510"/>
      <c r="K140" s="2508"/>
      <c r="L140" s="2508"/>
      <c r="M140" s="2509"/>
      <c r="N140" s="2513"/>
      <c r="O140" s="2481"/>
      <c r="P140" s="2474"/>
      <c r="Q140" s="2474"/>
      <c r="R140" s="2474"/>
      <c r="S140" s="2474"/>
      <c r="T140" s="2474"/>
      <c r="U140" s="2474"/>
      <c r="V140" s="2474"/>
      <c r="W140" s="2474"/>
      <c r="X140" s="2474"/>
      <c r="Y140" s="2474"/>
      <c r="Z140" s="2475"/>
    </row>
    <row r="141" spans="1:26" ht="22.05" customHeight="1" thickBot="1" x14ac:dyDescent="0.35">
      <c r="A141" s="2502" t="s">
        <v>721</v>
      </c>
      <c r="B141" s="2503" t="s">
        <v>1472</v>
      </c>
      <c r="C141" s="2503">
        <f>COUNTIFS($A$5:$A$129,"2023",$L$5:$L$129,"PDOT.SC.OE2.M2.01")</f>
        <v>0</v>
      </c>
      <c r="D141" s="2538">
        <v>1673.18</v>
      </c>
      <c r="E141" s="2538">
        <f>COUNTIFS($A$5:$A$129,"2024",$L$5:$L$129,"PDOT.SC.OE2.M2.01")</f>
        <v>1</v>
      </c>
      <c r="F141" s="2539">
        <v>24426.560000000001</v>
      </c>
      <c r="G141" s="2503"/>
      <c r="H141" s="2503"/>
      <c r="I141" s="2505"/>
      <c r="J141" s="2505"/>
      <c r="K141" s="2503"/>
      <c r="L141" s="2503"/>
      <c r="M141" s="2504"/>
      <c r="N141" s="2506"/>
      <c r="O141" s="2481"/>
      <c r="P141" s="2474"/>
      <c r="Q141" s="2474"/>
      <c r="R141" s="2474"/>
      <c r="S141" s="2474"/>
      <c r="T141" s="2474"/>
      <c r="U141" s="2474"/>
      <c r="V141" s="2474"/>
      <c r="W141" s="2474"/>
      <c r="X141" s="2474"/>
      <c r="Y141" s="2474"/>
      <c r="Z141" s="2475"/>
    </row>
    <row r="142" spans="1:26" ht="22.05" customHeight="1" thickBot="1" x14ac:dyDescent="0.35">
      <c r="A142" s="2507" t="s">
        <v>47</v>
      </c>
      <c r="B142" s="2508" t="s">
        <v>1412</v>
      </c>
      <c r="C142" s="2508">
        <f>COUNTIFS($A$5:$A$129,"2023",$L$5:$L$129,"PDOT.SC.OE2.M3.01")</f>
        <v>0</v>
      </c>
      <c r="D142" s="2536">
        <v>348541.36</v>
      </c>
      <c r="E142" s="2536">
        <f>COUNTIFS($A$5:$A$129,"2024",$L$5:$L$129,"PDOT.SC.OE2.M3.01")</f>
        <v>1</v>
      </c>
      <c r="F142" s="2537">
        <v>401000</v>
      </c>
      <c r="G142" s="2508"/>
      <c r="H142" s="2508"/>
      <c r="I142" s="2510"/>
      <c r="J142" s="2510"/>
      <c r="K142" s="2508"/>
      <c r="L142" s="2508"/>
      <c r="M142" s="2509"/>
      <c r="N142" s="2513"/>
      <c r="O142" s="2481"/>
      <c r="P142" s="2474"/>
      <c r="Q142" s="2474"/>
      <c r="R142" s="2474"/>
      <c r="S142" s="2474"/>
      <c r="T142" s="2474"/>
      <c r="U142" s="2474"/>
      <c r="V142" s="2474"/>
      <c r="W142" s="2474"/>
      <c r="X142" s="2474"/>
      <c r="Y142" s="2474"/>
      <c r="Z142" s="2475"/>
    </row>
    <row r="143" spans="1:26" ht="22.05" customHeight="1" thickBot="1" x14ac:dyDescent="0.35">
      <c r="A143" s="2502" t="s">
        <v>53</v>
      </c>
      <c r="B143" s="2503" t="s">
        <v>1343</v>
      </c>
      <c r="C143" s="2503">
        <f>COUNTIFS($A$5:$A$129,"2023",$L$5:$L$129,"PDOT.SC.OE2.M4.01")</f>
        <v>3</v>
      </c>
      <c r="D143" s="2538">
        <v>306795.65999999997</v>
      </c>
      <c r="E143" s="2538">
        <f>COUNTIFS($A$5:$A$129,"2024",$L$5:$L$129,"PDOT.SC.OE2.M4.01")</f>
        <v>5</v>
      </c>
      <c r="F143" s="2539">
        <v>768054.29</v>
      </c>
      <c r="G143" s="2503"/>
      <c r="H143" s="2503"/>
      <c r="I143" s="2505"/>
      <c r="J143" s="2505"/>
      <c r="K143" s="2503"/>
      <c r="L143" s="2503"/>
      <c r="M143" s="2504"/>
      <c r="N143" s="2506"/>
      <c r="O143" s="2481"/>
      <c r="P143" s="2474"/>
      <c r="Q143" s="2474"/>
      <c r="R143" s="2474"/>
      <c r="S143" s="2474"/>
      <c r="T143" s="2474"/>
      <c r="U143" s="2474"/>
      <c r="V143" s="2474"/>
      <c r="W143" s="2474"/>
      <c r="X143" s="2474"/>
      <c r="Y143" s="2474"/>
      <c r="Z143" s="2475"/>
    </row>
    <row r="144" spans="1:26" ht="22.05" customHeight="1" thickBot="1" x14ac:dyDescent="0.35">
      <c r="A144" s="2507" t="s">
        <v>518</v>
      </c>
      <c r="B144" s="2508" t="s">
        <v>1372</v>
      </c>
      <c r="C144" s="2508">
        <f>COUNTIFS($A$5:$A$129,"2023",$L$5:$L$129,"PDOT.AM.OE3.M1.01")</f>
        <v>1</v>
      </c>
      <c r="D144" s="2536">
        <v>164866</v>
      </c>
      <c r="E144" s="2536">
        <f>COUNTIFS($A$5:$A$129,"2024",$L$5:$L$129,"PDOT.AM.OE3.M1.01")</f>
        <v>1</v>
      </c>
      <c r="F144" s="2537">
        <v>125000</v>
      </c>
      <c r="G144" s="2508"/>
      <c r="H144" s="2508"/>
      <c r="I144" s="2510"/>
      <c r="J144" s="2510"/>
      <c r="K144" s="2508"/>
      <c r="L144" s="2508"/>
      <c r="M144" s="2509"/>
      <c r="N144" s="2513"/>
      <c r="O144" s="2481"/>
      <c r="P144" s="2474"/>
      <c r="Q144" s="2474"/>
      <c r="R144" s="2474"/>
      <c r="S144" s="2474"/>
      <c r="T144" s="2474"/>
      <c r="U144" s="2474"/>
      <c r="V144" s="2474"/>
      <c r="W144" s="2474"/>
      <c r="X144" s="2474"/>
      <c r="Y144" s="2474"/>
      <c r="Z144" s="2475"/>
    </row>
    <row r="145" spans="1:26" ht="22.05" customHeight="1" thickBot="1" x14ac:dyDescent="0.35">
      <c r="A145" s="2502" t="s">
        <v>486</v>
      </c>
      <c r="B145" s="2503" t="s">
        <v>785</v>
      </c>
      <c r="C145" s="2503">
        <f>COUNTIFS($A$5:$A$129,"2023",$L$5:$L$129,"PDOT.AM.OE3.M2.01")</f>
        <v>1</v>
      </c>
      <c r="D145" s="2538">
        <v>0</v>
      </c>
      <c r="E145" s="2538">
        <f>COUNTIFS($A$5:$A$129,"2024",$L$5:$L$129,"PDOT.AM.OE3.M2.01")</f>
        <v>2</v>
      </c>
      <c r="F145" s="2539">
        <v>31500</v>
      </c>
      <c r="G145" s="2503"/>
      <c r="H145" s="2503"/>
      <c r="I145" s="2505"/>
      <c r="J145" s="2505"/>
      <c r="K145" s="2503"/>
      <c r="L145" s="2503"/>
      <c r="M145" s="2504"/>
      <c r="N145" s="2506"/>
      <c r="O145" s="2481"/>
      <c r="P145" s="2474"/>
      <c r="Q145" s="2474"/>
      <c r="R145" s="2474"/>
      <c r="S145" s="2474"/>
      <c r="T145" s="2474"/>
      <c r="U145" s="2474"/>
      <c r="V145" s="2474"/>
      <c r="W145" s="2474"/>
      <c r="X145" s="2474"/>
      <c r="Y145" s="2474"/>
      <c r="Z145" s="2475"/>
    </row>
    <row r="146" spans="1:26" ht="22.05" customHeight="1" thickBot="1" x14ac:dyDescent="0.35">
      <c r="A146" s="2507" t="s">
        <v>466</v>
      </c>
      <c r="B146" s="2508" t="s">
        <v>788</v>
      </c>
      <c r="C146" s="2508">
        <f>COUNTIFS($A$5:$A$129,"2023",$L$5:$L$129,"PDOT.AM.SC.M3.01")</f>
        <v>1</v>
      </c>
      <c r="D146" s="2536">
        <v>2000</v>
      </c>
      <c r="E146" s="2536">
        <f>COUNTIFS($A$5:$A$129,"2024",$L$5:$L$129,"PDOT.AM.SC.M3.01")</f>
        <v>0</v>
      </c>
      <c r="F146" s="2537">
        <v>0</v>
      </c>
      <c r="G146" s="2508"/>
      <c r="H146" s="2508"/>
      <c r="I146" s="2510"/>
      <c r="J146" s="2510"/>
      <c r="K146" s="2508"/>
      <c r="L146" s="2508"/>
      <c r="M146" s="2509"/>
      <c r="N146" s="2513"/>
      <c r="O146" s="2481"/>
      <c r="P146" s="2474"/>
      <c r="Q146" s="2474"/>
      <c r="R146" s="2474"/>
      <c r="S146" s="2474"/>
      <c r="T146" s="2474"/>
      <c r="U146" s="2474"/>
      <c r="V146" s="2474"/>
      <c r="W146" s="2474"/>
      <c r="X146" s="2474"/>
      <c r="Y146" s="2474"/>
      <c r="Z146" s="2475"/>
    </row>
    <row r="147" spans="1:26" ht="22.05" customHeight="1" thickBot="1" x14ac:dyDescent="0.35">
      <c r="A147" s="2502" t="s">
        <v>546</v>
      </c>
      <c r="B147" s="2503" t="s">
        <v>1320</v>
      </c>
      <c r="C147" s="2503">
        <f>COUNTIFS($A$5:$A$129,"2023",$L$5:$L$129,"PDOT.AS.VL.M1.01")</f>
        <v>6</v>
      </c>
      <c r="D147" s="2538">
        <v>2958076.49</v>
      </c>
      <c r="E147" s="2538">
        <f>COUNTIFS($A$5:$A$129,"2024",$L$5:$L$129,"PDOT.AS.VL.M1.01")</f>
        <v>10</v>
      </c>
      <c r="F147" s="2539">
        <v>1807000</v>
      </c>
      <c r="G147" s="2503"/>
      <c r="H147" s="2503"/>
      <c r="I147" s="2505"/>
      <c r="J147" s="2505"/>
      <c r="K147" s="2503"/>
      <c r="L147" s="2503"/>
      <c r="M147" s="2504"/>
      <c r="N147" s="2506"/>
      <c r="O147" s="2481"/>
      <c r="P147" s="2474"/>
      <c r="Q147" s="2474"/>
      <c r="R147" s="2474"/>
      <c r="S147" s="2474"/>
      <c r="T147" s="2474"/>
      <c r="U147" s="2474"/>
      <c r="V147" s="2474"/>
      <c r="W147" s="2474"/>
      <c r="X147" s="2474"/>
      <c r="Y147" s="2474"/>
      <c r="Z147" s="2475"/>
    </row>
    <row r="148" spans="1:26" ht="22.05" customHeight="1" thickBot="1" x14ac:dyDescent="0.35">
      <c r="A148" s="2507" t="s">
        <v>553</v>
      </c>
      <c r="B148" s="2508" t="s">
        <v>1200</v>
      </c>
      <c r="C148" s="2508">
        <f>COUNTIFS($A$5:$A$129,"2023",$L$5:$L$129,"PDOT.AS.VL.M1.02")</f>
        <v>2</v>
      </c>
      <c r="D148" s="2536">
        <v>80000</v>
      </c>
      <c r="E148" s="2536">
        <f>COUNTIFS($A$5:$A$129,"2024",$L$5:$L$129,"PDOT.AS.VL.M1.02")</f>
        <v>2</v>
      </c>
      <c r="F148" s="2537">
        <v>738000</v>
      </c>
      <c r="G148" s="2508"/>
      <c r="H148" s="2508"/>
      <c r="I148" s="2510"/>
      <c r="J148" s="2510"/>
      <c r="K148" s="2508"/>
      <c r="L148" s="2508"/>
      <c r="M148" s="2509"/>
      <c r="N148" s="2513"/>
      <c r="O148" s="2481"/>
      <c r="P148" s="2474"/>
      <c r="Q148" s="2474"/>
      <c r="R148" s="2474"/>
      <c r="S148" s="2474"/>
      <c r="T148" s="2474"/>
      <c r="U148" s="2474"/>
      <c r="V148" s="2474"/>
      <c r="W148" s="2474"/>
      <c r="X148" s="2474"/>
      <c r="Y148" s="2474"/>
      <c r="Z148" s="2475"/>
    </row>
    <row r="149" spans="1:26" ht="22.05" customHeight="1" thickBot="1" x14ac:dyDescent="0.35">
      <c r="A149" s="2502" t="s">
        <v>740</v>
      </c>
      <c r="B149" s="2503" t="s">
        <v>1328</v>
      </c>
      <c r="C149" s="2503">
        <f>COUNTIFS($A$5:$A$129,"2023",$L$5:$L$129,"PDOT.AS.VL.M2.01")</f>
        <v>1</v>
      </c>
      <c r="D149" s="2538">
        <v>693326.1</v>
      </c>
      <c r="E149" s="2538">
        <f>COUNTIFS($A$5:$A$129,"2024",$L$5:$L$129,"PDOT.AS.VL.M2.01")</f>
        <v>1</v>
      </c>
      <c r="F149" s="2539">
        <v>321741.21000000002</v>
      </c>
      <c r="G149" s="2503"/>
      <c r="H149" s="2503"/>
      <c r="I149" s="2505"/>
      <c r="J149" s="2505"/>
      <c r="K149" s="2503"/>
      <c r="L149" s="2503"/>
      <c r="M149" s="2504"/>
      <c r="N149" s="2506"/>
      <c r="O149" s="2481"/>
      <c r="P149" s="2474"/>
      <c r="Q149" s="2474"/>
      <c r="R149" s="2474"/>
      <c r="S149" s="2474"/>
      <c r="T149" s="2474"/>
      <c r="U149" s="2474"/>
      <c r="V149" s="2474"/>
      <c r="W149" s="2474"/>
      <c r="X149" s="2474"/>
      <c r="Y149" s="2474"/>
      <c r="Z149" s="2475"/>
    </row>
    <row r="150" spans="1:26" ht="22.05" customHeight="1" thickBot="1" x14ac:dyDescent="0.35">
      <c r="A150" s="2507" t="s">
        <v>531</v>
      </c>
      <c r="B150" s="2508" t="s">
        <v>1361</v>
      </c>
      <c r="C150" s="2508">
        <f>COUNTIFS($A$5:$A$129,"2023",$L$5:$L$129,"PDOT.AV.OE1.M1.01")</f>
        <v>2</v>
      </c>
      <c r="D150" s="2536">
        <v>288243.69</v>
      </c>
      <c r="E150" s="2536">
        <f>COUNTIFS($A$5:$A$129,"2024",$L$5:$L$129,"PDOT.AV.OE1.M1.01")</f>
        <v>5</v>
      </c>
      <c r="F150" s="2537">
        <v>442500</v>
      </c>
      <c r="G150" s="2508"/>
      <c r="H150" s="2508"/>
      <c r="I150" s="2510"/>
      <c r="J150" s="2510"/>
      <c r="K150" s="2508"/>
      <c r="L150" s="2508"/>
      <c r="M150" s="2509"/>
      <c r="N150" s="2513"/>
      <c r="O150" s="2481"/>
      <c r="P150" s="2474"/>
      <c r="Q150" s="2474"/>
      <c r="R150" s="2474"/>
      <c r="S150" s="2474"/>
      <c r="T150" s="2474"/>
      <c r="U150" s="2474"/>
      <c r="V150" s="2474"/>
      <c r="W150" s="2474"/>
      <c r="X150" s="2474"/>
      <c r="Y150" s="2474"/>
      <c r="Z150" s="2475"/>
    </row>
    <row r="151" spans="1:26" ht="22.05" customHeight="1" thickBot="1" x14ac:dyDescent="0.35">
      <c r="A151" s="2502" t="s">
        <v>50</v>
      </c>
      <c r="B151" s="2503" t="s">
        <v>1493</v>
      </c>
      <c r="C151" s="2503">
        <f>COUNTIFS($A$5:$A$129,"2023",$L$5:$L$129,"PDOT.SC.PI.M5.01")</f>
        <v>0</v>
      </c>
      <c r="D151" s="2538">
        <v>6000</v>
      </c>
      <c r="E151" s="2538">
        <f>COUNTIFS($A$5:$A$129,"2024",$L$5:$L$129,"PDOT.SC.PI.M5.01")</f>
        <v>0</v>
      </c>
      <c r="F151" s="2539">
        <v>47612.41</v>
      </c>
      <c r="G151" s="2503"/>
      <c r="H151" s="2503"/>
      <c r="I151" s="2505"/>
      <c r="J151" s="2505"/>
      <c r="K151" s="2503"/>
      <c r="L151" s="2503"/>
      <c r="M151" s="2504"/>
      <c r="N151" s="2506"/>
      <c r="O151" s="2481"/>
      <c r="P151" s="2474"/>
      <c r="Q151" s="2474"/>
      <c r="R151" s="2474"/>
      <c r="S151" s="2474"/>
      <c r="T151" s="2474"/>
      <c r="U151" s="2474"/>
      <c r="V151" s="2474"/>
      <c r="W151" s="2474"/>
      <c r="X151" s="2474"/>
      <c r="Y151" s="2474"/>
      <c r="Z151" s="2475"/>
    </row>
    <row r="152" spans="1:26" ht="22.05" customHeight="1" thickBot="1" x14ac:dyDescent="0.35">
      <c r="A152" s="2507" t="s">
        <v>655</v>
      </c>
      <c r="B152" s="2508" t="s">
        <v>1336</v>
      </c>
      <c r="C152" s="2508">
        <f>COUNTIFS($A$5:$A$129,"2023",$L$5:$L$129,"PDOT.PI.OE4.M1.01")</f>
        <v>5</v>
      </c>
      <c r="D152" s="2536">
        <v>371300</v>
      </c>
      <c r="E152" s="2536">
        <f>COUNTIFS($A$5:$A$129,"2024",$L$5:$L$129,"PDOT.PI.OE4.M1.01")</f>
        <v>8</v>
      </c>
      <c r="F152" s="2537">
        <v>390475</v>
      </c>
      <c r="G152" s="2508"/>
      <c r="H152" s="2508"/>
      <c r="I152" s="2510"/>
      <c r="J152" s="2510"/>
      <c r="K152" s="2508"/>
      <c r="L152" s="2508"/>
      <c r="M152" s="2509"/>
      <c r="N152" s="2513"/>
      <c r="O152" s="2481"/>
      <c r="P152" s="2474"/>
      <c r="Q152" s="2474"/>
      <c r="R152" s="2474"/>
      <c r="S152" s="2474"/>
      <c r="T152" s="2474"/>
      <c r="U152" s="2474"/>
      <c r="V152" s="2474"/>
      <c r="W152" s="2474"/>
      <c r="X152" s="2474"/>
      <c r="Y152" s="2474"/>
      <c r="Z152" s="2475"/>
    </row>
    <row r="153" spans="1:26" ht="22.05" customHeight="1" thickBot="1" x14ac:dyDescent="0.35">
      <c r="A153" s="2502" t="s">
        <v>642</v>
      </c>
      <c r="B153" s="2503" t="s">
        <v>1354</v>
      </c>
      <c r="C153" s="2503">
        <f>COUNTIFS($A$5:$A$129,"2023",$L$5:$L$129,"PDOT.PI.OE4.M2.01")</f>
        <v>2</v>
      </c>
      <c r="D153" s="2538">
        <v>65400</v>
      </c>
      <c r="E153" s="2538">
        <f>COUNTIFS($A$5:$A$129,"2024",$L$5:$L$129,"PDOT.PI.OE4.M2.01")</f>
        <v>9</v>
      </c>
      <c r="F153" s="2539">
        <v>107200</v>
      </c>
      <c r="G153" s="2503"/>
      <c r="H153" s="2503"/>
      <c r="I153" s="2505"/>
      <c r="J153" s="2505"/>
      <c r="K153" s="2503"/>
      <c r="L153" s="2503"/>
      <c r="M153" s="2504"/>
      <c r="N153" s="2506"/>
      <c r="O153" s="2481"/>
      <c r="P153" s="2474"/>
      <c r="Q153" s="2474"/>
      <c r="R153" s="2474"/>
      <c r="S153" s="2474"/>
      <c r="T153" s="2474"/>
      <c r="U153" s="2474"/>
      <c r="V153" s="2474"/>
      <c r="W153" s="2474"/>
      <c r="X153" s="2474"/>
      <c r="Y153" s="2474"/>
      <c r="Z153" s="2475"/>
    </row>
    <row r="154" spans="1:26" ht="22.05" customHeight="1" x14ac:dyDescent="0.3">
      <c r="A154" s="2540" t="s">
        <v>458</v>
      </c>
      <c r="B154" s="2541" t="s">
        <v>1479</v>
      </c>
      <c r="C154" s="2541">
        <f>COUNTIFS($A$5:$A$129,"2023",$L$5:$L$129,"PDOT.EP.OE5.M1.01")</f>
        <v>0</v>
      </c>
      <c r="D154" s="2542">
        <v>35101.31</v>
      </c>
      <c r="E154" s="2542">
        <f>COUNTIFS($A$5:$A$129,"2024",$L$5:$L$129,"PDOT.EP.OE5.M1.01")</f>
        <v>1</v>
      </c>
      <c r="F154" s="2543">
        <v>0</v>
      </c>
      <c r="G154" s="2541"/>
      <c r="H154" s="2541"/>
      <c r="I154" s="2544"/>
      <c r="J154" s="2544"/>
      <c r="K154" s="2541"/>
      <c r="L154" s="2541"/>
      <c r="M154" s="2545"/>
      <c r="N154" s="2546"/>
      <c r="O154" s="2482"/>
      <c r="P154" s="2476"/>
      <c r="Q154" s="2476"/>
      <c r="R154" s="2476"/>
      <c r="S154" s="2476"/>
      <c r="T154" s="2476"/>
      <c r="U154" s="2476"/>
      <c r="V154" s="2476"/>
      <c r="W154" s="2476"/>
      <c r="X154" s="2476"/>
      <c r="Y154" s="2476"/>
      <c r="Z154" s="2477"/>
    </row>
    <row r="155" spans="1:26" ht="15" customHeight="1" x14ac:dyDescent="0.3">
      <c r="A155" s="36"/>
      <c r="B155" s="36"/>
      <c r="C155" s="36"/>
      <c r="D155" s="36"/>
      <c r="E155" s="36"/>
      <c r="F155" s="37"/>
      <c r="G155" s="38"/>
      <c r="H155" s="38"/>
      <c r="I155" s="39"/>
      <c r="J155" s="39"/>
      <c r="K155" s="36"/>
      <c r="L155" s="36"/>
      <c r="M155" s="38"/>
      <c r="N155" s="36"/>
    </row>
    <row r="156" spans="1:26" ht="15" customHeight="1" x14ac:dyDescent="0.3">
      <c r="A156" s="36"/>
      <c r="B156" s="36"/>
      <c r="C156" s="36"/>
      <c r="D156" s="36"/>
      <c r="E156" s="36"/>
      <c r="F156" s="37"/>
      <c r="G156" s="38"/>
      <c r="H156" s="38"/>
      <c r="I156" s="39"/>
      <c r="J156" s="39"/>
      <c r="K156" s="36"/>
      <c r="L156" s="36"/>
      <c r="M156" s="38"/>
      <c r="N156" s="36"/>
    </row>
    <row r="157" spans="1:26" ht="15" customHeight="1" x14ac:dyDescent="0.3">
      <c r="A157" s="36"/>
      <c r="B157" s="36"/>
      <c r="C157" s="36"/>
      <c r="D157" s="36"/>
      <c r="E157" s="36"/>
      <c r="F157" s="37"/>
      <c r="G157" s="38"/>
      <c r="H157" s="38"/>
      <c r="I157" s="39"/>
      <c r="J157" s="39"/>
      <c r="K157" s="36"/>
      <c r="L157" s="36"/>
      <c r="M157" s="38"/>
      <c r="N157" s="36"/>
    </row>
    <row r="158" spans="1:26" ht="15" customHeight="1" x14ac:dyDescent="0.3">
      <c r="A158" s="36"/>
      <c r="B158" s="36"/>
      <c r="C158" s="36"/>
      <c r="D158" s="36"/>
      <c r="E158" s="36"/>
      <c r="F158" s="37"/>
      <c r="G158" s="38"/>
      <c r="H158" s="38"/>
      <c r="I158" s="39"/>
      <c r="J158" s="39"/>
      <c r="K158" s="36"/>
      <c r="L158" s="36"/>
      <c r="M158" s="38"/>
      <c r="N158" s="36"/>
    </row>
    <row r="159" spans="1:26" ht="15" customHeight="1" x14ac:dyDescent="0.3">
      <c r="A159" s="36"/>
      <c r="B159" s="36"/>
      <c r="C159" s="36"/>
      <c r="D159" s="36"/>
      <c r="E159" s="36"/>
      <c r="F159" s="37"/>
      <c r="G159" s="38"/>
      <c r="H159" s="38"/>
      <c r="I159" s="39"/>
      <c r="J159" s="39"/>
      <c r="K159" s="36"/>
      <c r="L159" s="36"/>
      <c r="M159" s="38"/>
      <c r="N159" s="36"/>
    </row>
    <row r="160" spans="1:26" ht="15" customHeight="1" x14ac:dyDescent="0.3">
      <c r="A160" s="36"/>
      <c r="B160" s="36"/>
      <c r="C160" s="36"/>
      <c r="D160" s="36"/>
      <c r="E160" s="36"/>
      <c r="F160" s="37"/>
      <c r="G160" s="38"/>
      <c r="H160" s="38"/>
      <c r="I160" s="39"/>
      <c r="J160" s="39"/>
      <c r="K160" s="36"/>
      <c r="L160" s="36"/>
      <c r="M160" s="38"/>
      <c r="N160" s="36"/>
    </row>
    <row r="161" spans="1:14" ht="15" customHeight="1" x14ac:dyDescent="0.3">
      <c r="A161" s="36"/>
      <c r="B161" s="36"/>
      <c r="C161" s="36"/>
      <c r="D161" s="36"/>
      <c r="E161" s="36"/>
      <c r="F161" s="37"/>
      <c r="G161" s="38"/>
      <c r="H161" s="38"/>
      <c r="I161" s="39"/>
      <c r="J161" s="39"/>
      <c r="K161" s="36"/>
      <c r="L161" s="36"/>
      <c r="M161" s="38"/>
      <c r="N161" s="36"/>
    </row>
    <row r="162" spans="1:14" ht="15" customHeight="1" x14ac:dyDescent="0.3">
      <c r="A162" s="36"/>
      <c r="B162" s="36"/>
      <c r="C162" s="36"/>
      <c r="D162" s="36"/>
      <c r="E162" s="36"/>
      <c r="F162" s="37"/>
      <c r="G162" s="38"/>
      <c r="H162" s="38"/>
      <c r="I162" s="39"/>
      <c r="J162" s="39"/>
      <c r="K162" s="36"/>
      <c r="L162" s="36"/>
      <c r="M162" s="38"/>
      <c r="N162" s="36"/>
    </row>
    <row r="163" spans="1:14" ht="15" customHeight="1" x14ac:dyDescent="0.3">
      <c r="A163" s="36"/>
      <c r="B163" s="36"/>
      <c r="C163" s="36"/>
      <c r="D163" s="36"/>
      <c r="E163" s="36"/>
      <c r="F163" s="37"/>
      <c r="G163" s="38"/>
      <c r="H163" s="38"/>
      <c r="I163" s="39"/>
      <c r="J163" s="39"/>
      <c r="K163" s="36"/>
      <c r="L163" s="36"/>
      <c r="M163" s="38"/>
      <c r="N163" s="36"/>
    </row>
    <row r="164" spans="1:14" ht="15" customHeight="1" x14ac:dyDescent="0.3">
      <c r="A164" s="36"/>
      <c r="B164" s="36"/>
      <c r="C164" s="36"/>
      <c r="D164" s="36"/>
      <c r="E164" s="36"/>
      <c r="F164" s="37"/>
      <c r="G164" s="38"/>
      <c r="H164" s="38"/>
      <c r="I164" s="39"/>
      <c r="J164" s="39"/>
      <c r="K164" s="36"/>
      <c r="L164" s="36"/>
      <c r="M164" s="38"/>
      <c r="N164" s="36"/>
    </row>
    <row r="165" spans="1:14" ht="15" customHeight="1" x14ac:dyDescent="0.3">
      <c r="A165" s="36"/>
      <c r="B165" s="36"/>
      <c r="C165" s="36"/>
      <c r="D165" s="36"/>
      <c r="E165" s="36"/>
      <c r="F165" s="37"/>
      <c r="G165" s="38"/>
      <c r="H165" s="38"/>
      <c r="I165" s="39"/>
      <c r="J165" s="39"/>
      <c r="K165" s="36"/>
      <c r="L165" s="36"/>
      <c r="M165" s="38"/>
      <c r="N165" s="36"/>
    </row>
    <row r="166" spans="1:14" ht="15" customHeight="1" x14ac:dyDescent="0.3">
      <c r="A166" s="36"/>
      <c r="B166" s="36"/>
      <c r="C166" s="36"/>
      <c r="D166" s="36"/>
      <c r="E166" s="36"/>
      <c r="F166" s="37"/>
      <c r="G166" s="38"/>
      <c r="H166" s="38"/>
      <c r="I166" s="39"/>
      <c r="J166" s="39"/>
      <c r="K166" s="36"/>
      <c r="L166" s="36"/>
      <c r="M166" s="38"/>
      <c r="N166" s="36"/>
    </row>
    <row r="167" spans="1:14" ht="15" customHeight="1" x14ac:dyDescent="0.3">
      <c r="A167" s="36"/>
      <c r="B167" s="36"/>
      <c r="C167" s="36"/>
      <c r="D167" s="36"/>
      <c r="E167" s="36"/>
      <c r="F167" s="37"/>
      <c r="G167" s="38"/>
      <c r="H167" s="38"/>
      <c r="I167" s="39"/>
      <c r="J167" s="39"/>
      <c r="K167" s="36"/>
      <c r="L167" s="36"/>
      <c r="M167" s="38"/>
      <c r="N167" s="36"/>
    </row>
    <row r="168" spans="1:14" ht="15" customHeight="1" x14ac:dyDescent="0.3">
      <c r="A168" s="36"/>
      <c r="B168" s="36"/>
      <c r="C168" s="36"/>
      <c r="D168" s="36"/>
      <c r="E168" s="36"/>
      <c r="F168" s="37"/>
      <c r="G168" s="38"/>
      <c r="H168" s="38"/>
      <c r="I168" s="39"/>
      <c r="J168" s="39"/>
      <c r="K168" s="36"/>
      <c r="L168" s="36"/>
      <c r="M168" s="38"/>
      <c r="N168" s="36"/>
    </row>
    <row r="169" spans="1:14" ht="15" customHeight="1" x14ac:dyDescent="0.3">
      <c r="A169" s="36"/>
      <c r="B169" s="36"/>
      <c r="C169" s="36"/>
      <c r="D169" s="36"/>
      <c r="E169" s="36"/>
      <c r="F169" s="37"/>
      <c r="G169" s="38"/>
      <c r="H169" s="38"/>
      <c r="I169" s="39"/>
      <c r="J169" s="39"/>
      <c r="K169" s="36"/>
      <c r="L169" s="36"/>
      <c r="M169" s="38"/>
      <c r="N169" s="36"/>
    </row>
    <row r="170" spans="1:14" ht="15" customHeight="1" x14ac:dyDescent="0.3">
      <c r="A170" s="36"/>
      <c r="B170" s="36"/>
      <c r="C170" s="36"/>
      <c r="D170" s="36"/>
      <c r="E170" s="36"/>
      <c r="F170" s="37"/>
      <c r="G170" s="38"/>
      <c r="H170" s="38"/>
      <c r="I170" s="39"/>
      <c r="J170" s="39"/>
      <c r="K170" s="36"/>
      <c r="L170" s="36"/>
      <c r="M170" s="38"/>
      <c r="N170" s="36"/>
    </row>
    <row r="171" spans="1:14" ht="15" customHeight="1" x14ac:dyDescent="0.3">
      <c r="A171" s="36"/>
      <c r="B171" s="36"/>
      <c r="C171" s="36"/>
      <c r="D171" s="36"/>
      <c r="E171" s="36"/>
      <c r="F171" s="37"/>
      <c r="G171" s="38"/>
      <c r="H171" s="38"/>
      <c r="I171" s="39"/>
      <c r="J171" s="39"/>
      <c r="K171" s="36"/>
      <c r="L171" s="36"/>
      <c r="M171" s="38"/>
      <c r="N171" s="36"/>
    </row>
    <row r="172" spans="1:14" ht="15" customHeight="1" x14ac:dyDescent="0.3">
      <c r="A172" s="36"/>
      <c r="B172" s="36"/>
      <c r="C172" s="36"/>
      <c r="D172" s="36"/>
      <c r="E172" s="36"/>
      <c r="F172" s="37"/>
      <c r="G172" s="38"/>
      <c r="H172" s="38"/>
      <c r="I172" s="39"/>
      <c r="J172" s="39"/>
      <c r="K172" s="36"/>
      <c r="L172" s="36"/>
      <c r="M172" s="38"/>
      <c r="N172" s="36"/>
    </row>
    <row r="173" spans="1:14" ht="15" customHeight="1" x14ac:dyDescent="0.3">
      <c r="A173" s="36"/>
      <c r="B173" s="36"/>
      <c r="C173" s="36"/>
      <c r="D173" s="36"/>
      <c r="E173" s="36"/>
      <c r="F173" s="37"/>
      <c r="G173" s="38"/>
      <c r="H173" s="38"/>
      <c r="I173" s="39"/>
      <c r="J173" s="39"/>
      <c r="K173" s="36"/>
      <c r="L173" s="36"/>
      <c r="M173" s="38"/>
      <c r="N173" s="36"/>
    </row>
    <row r="174" spans="1:14" ht="15" customHeight="1" x14ac:dyDescent="0.3">
      <c r="A174" s="36"/>
      <c r="B174" s="36"/>
      <c r="C174" s="36"/>
      <c r="D174" s="36"/>
      <c r="E174" s="36"/>
      <c r="F174" s="37"/>
      <c r="G174" s="38"/>
      <c r="H174" s="38"/>
      <c r="I174" s="39"/>
      <c r="J174" s="39"/>
      <c r="K174" s="36"/>
      <c r="L174" s="36"/>
      <c r="M174" s="38"/>
      <c r="N174" s="36"/>
    </row>
    <row r="175" spans="1:14" ht="15" customHeight="1" x14ac:dyDescent="0.3">
      <c r="A175" s="36"/>
      <c r="B175" s="36"/>
      <c r="C175" s="36"/>
      <c r="D175" s="36"/>
      <c r="E175" s="36"/>
      <c r="F175" s="37"/>
      <c r="G175" s="38"/>
      <c r="H175" s="38"/>
      <c r="I175" s="39"/>
      <c r="J175" s="39"/>
      <c r="K175" s="36"/>
      <c r="L175" s="36"/>
      <c r="M175" s="38"/>
      <c r="N175" s="36"/>
    </row>
    <row r="176" spans="1:14" ht="15" customHeight="1" x14ac:dyDescent="0.3">
      <c r="A176" s="36"/>
      <c r="B176" s="36"/>
      <c r="C176" s="36"/>
      <c r="D176" s="36"/>
      <c r="E176" s="36"/>
      <c r="F176" s="37"/>
      <c r="G176" s="38"/>
      <c r="H176" s="38"/>
      <c r="I176" s="39"/>
      <c r="J176" s="39"/>
      <c r="K176" s="36"/>
      <c r="L176" s="36"/>
      <c r="M176" s="38"/>
      <c r="N176" s="36"/>
    </row>
    <row r="177" spans="1:14" ht="15" customHeight="1" x14ac:dyDescent="0.3">
      <c r="A177" s="36"/>
      <c r="B177" s="36"/>
      <c r="C177" s="36"/>
      <c r="D177" s="36"/>
      <c r="E177" s="36"/>
      <c r="F177" s="37"/>
      <c r="G177" s="38"/>
      <c r="H177" s="38"/>
      <c r="I177" s="39"/>
      <c r="J177" s="39"/>
      <c r="K177" s="36"/>
      <c r="L177" s="36"/>
      <c r="M177" s="38"/>
      <c r="N177" s="36"/>
    </row>
    <row r="178" spans="1:14" ht="15" customHeight="1" x14ac:dyDescent="0.3">
      <c r="A178" s="36"/>
      <c r="B178" s="36"/>
      <c r="C178" s="36"/>
      <c r="D178" s="36"/>
      <c r="E178" s="36"/>
      <c r="F178" s="37"/>
      <c r="G178" s="38"/>
      <c r="H178" s="38"/>
      <c r="I178" s="39"/>
      <c r="J178" s="39"/>
      <c r="K178" s="36"/>
      <c r="L178" s="36"/>
      <c r="M178" s="38"/>
      <c r="N178" s="36"/>
    </row>
    <row r="179" spans="1:14" ht="15" customHeight="1" x14ac:dyDescent="0.3">
      <c r="A179" s="36"/>
      <c r="B179" s="36"/>
      <c r="C179" s="36"/>
      <c r="D179" s="36"/>
      <c r="E179" s="36"/>
      <c r="F179" s="37"/>
      <c r="G179" s="38"/>
      <c r="H179" s="38"/>
      <c r="I179" s="39"/>
      <c r="J179" s="39"/>
      <c r="K179" s="36"/>
      <c r="L179" s="36"/>
      <c r="M179" s="38"/>
      <c r="N179" s="36"/>
    </row>
    <row r="180" spans="1:14" ht="15" customHeight="1" x14ac:dyDescent="0.3">
      <c r="A180" s="36"/>
      <c r="B180" s="36"/>
      <c r="C180" s="36"/>
      <c r="D180" s="36"/>
      <c r="E180" s="36"/>
      <c r="F180" s="37"/>
      <c r="G180" s="38"/>
      <c r="H180" s="38"/>
      <c r="I180" s="39"/>
      <c r="J180" s="39"/>
      <c r="K180" s="36"/>
      <c r="L180" s="36"/>
      <c r="M180" s="38"/>
      <c r="N180" s="36"/>
    </row>
    <row r="181" spans="1:14" ht="15" customHeight="1" x14ac:dyDescent="0.3">
      <c r="A181" s="36"/>
      <c r="B181" s="36"/>
      <c r="C181" s="36"/>
      <c r="D181" s="36"/>
      <c r="E181" s="36"/>
      <c r="F181" s="37"/>
      <c r="G181" s="38"/>
      <c r="H181" s="38"/>
      <c r="I181" s="39"/>
      <c r="J181" s="39"/>
      <c r="K181" s="36"/>
      <c r="L181" s="36"/>
      <c r="M181" s="38"/>
      <c r="N181" s="36"/>
    </row>
    <row r="182" spans="1:14" ht="15" customHeight="1" x14ac:dyDescent="0.3">
      <c r="A182" s="36"/>
      <c r="B182" s="36"/>
      <c r="C182" s="36"/>
      <c r="D182" s="36"/>
      <c r="E182" s="36"/>
      <c r="F182" s="37"/>
      <c r="G182" s="38"/>
      <c r="H182" s="38"/>
      <c r="I182" s="39"/>
      <c r="J182" s="39"/>
      <c r="K182" s="36"/>
      <c r="L182" s="36"/>
      <c r="M182" s="38"/>
      <c r="N182" s="36"/>
    </row>
    <row r="183" spans="1:14" ht="15" customHeight="1" x14ac:dyDescent="0.3">
      <c r="A183" s="36"/>
      <c r="B183" s="36"/>
      <c r="C183" s="36"/>
      <c r="D183" s="36"/>
      <c r="E183" s="36"/>
      <c r="F183" s="37"/>
      <c r="G183" s="38"/>
      <c r="H183" s="38"/>
      <c r="I183" s="39"/>
      <c r="J183" s="39"/>
      <c r="K183" s="36"/>
      <c r="L183" s="36"/>
      <c r="M183" s="38"/>
      <c r="N183" s="36"/>
    </row>
    <row r="184" spans="1:14" ht="15" customHeight="1" x14ac:dyDescent="0.3">
      <c r="A184" s="36"/>
      <c r="B184" s="36"/>
      <c r="C184" s="36"/>
      <c r="D184" s="36"/>
      <c r="E184" s="36"/>
      <c r="F184" s="37"/>
      <c r="G184" s="38"/>
      <c r="H184" s="38"/>
      <c r="I184" s="39"/>
      <c r="J184" s="39"/>
      <c r="K184" s="36"/>
      <c r="L184" s="36"/>
      <c r="M184" s="38"/>
      <c r="N184" s="36"/>
    </row>
    <row r="185" spans="1:14" ht="15" customHeight="1" x14ac:dyDescent="0.3">
      <c r="A185" s="36"/>
      <c r="B185" s="36"/>
      <c r="C185" s="36"/>
      <c r="D185" s="36"/>
      <c r="E185" s="36"/>
      <c r="F185" s="37"/>
      <c r="G185" s="38"/>
      <c r="H185" s="38"/>
      <c r="I185" s="39"/>
      <c r="J185" s="39"/>
      <c r="K185" s="36"/>
      <c r="L185" s="36"/>
      <c r="M185" s="38"/>
      <c r="N185" s="36"/>
    </row>
    <row r="186" spans="1:14" ht="15" customHeight="1" x14ac:dyDescent="0.3">
      <c r="A186" s="36"/>
      <c r="B186" s="36"/>
      <c r="C186" s="36"/>
      <c r="D186" s="36"/>
      <c r="E186" s="36"/>
      <c r="F186" s="37"/>
      <c r="G186" s="38"/>
      <c r="H186" s="38"/>
      <c r="I186" s="39"/>
      <c r="J186" s="39"/>
      <c r="K186" s="36"/>
      <c r="L186" s="36"/>
      <c r="M186" s="38"/>
      <c r="N186" s="36"/>
    </row>
    <row r="187" spans="1:14" ht="15" customHeight="1" x14ac:dyDescent="0.3">
      <c r="A187" s="36"/>
      <c r="B187" s="36"/>
      <c r="C187" s="36"/>
      <c r="D187" s="36"/>
      <c r="E187" s="36"/>
      <c r="F187" s="37"/>
      <c r="G187" s="38"/>
      <c r="H187" s="38"/>
      <c r="I187" s="39"/>
      <c r="J187" s="39"/>
      <c r="K187" s="36"/>
      <c r="L187" s="36"/>
      <c r="M187" s="38"/>
      <c r="N187" s="36"/>
    </row>
    <row r="188" spans="1:14" ht="15" customHeight="1" x14ac:dyDescent="0.3">
      <c r="A188" s="36"/>
      <c r="B188" s="36"/>
      <c r="C188" s="36"/>
      <c r="D188" s="36"/>
      <c r="E188" s="36"/>
      <c r="F188" s="37"/>
      <c r="G188" s="38"/>
      <c r="H188" s="38"/>
      <c r="I188" s="39"/>
      <c r="J188" s="39"/>
      <c r="K188" s="36"/>
      <c r="L188" s="36"/>
      <c r="M188" s="38"/>
      <c r="N188" s="36"/>
    </row>
    <row r="189" spans="1:14" ht="15" customHeight="1" x14ac:dyDescent="0.3">
      <c r="A189" s="36"/>
      <c r="B189" s="36"/>
      <c r="C189" s="36"/>
      <c r="D189" s="36"/>
      <c r="E189" s="36"/>
      <c r="F189" s="37"/>
      <c r="G189" s="38"/>
      <c r="H189" s="38"/>
      <c r="I189" s="39"/>
      <c r="J189" s="39"/>
      <c r="K189" s="36"/>
      <c r="L189" s="36"/>
      <c r="M189" s="38"/>
      <c r="N189" s="36"/>
    </row>
    <row r="190" spans="1:14" ht="15" customHeight="1" x14ac:dyDescent="0.3">
      <c r="A190" s="36"/>
      <c r="B190" s="36"/>
      <c r="C190" s="36"/>
      <c r="D190" s="36"/>
      <c r="E190" s="36"/>
      <c r="F190" s="37"/>
      <c r="G190" s="38"/>
      <c r="H190" s="38"/>
      <c r="I190" s="39"/>
      <c r="J190" s="39"/>
      <c r="K190" s="36"/>
      <c r="L190" s="36"/>
      <c r="M190" s="38"/>
      <c r="N190" s="36"/>
    </row>
    <row r="191" spans="1:14" ht="15" customHeight="1" x14ac:dyDescent="0.3">
      <c r="A191" s="36"/>
      <c r="B191" s="36"/>
      <c r="C191" s="36"/>
      <c r="D191" s="36"/>
      <c r="E191" s="36"/>
      <c r="F191" s="37"/>
      <c r="G191" s="38"/>
      <c r="H191" s="38"/>
      <c r="I191" s="39"/>
      <c r="J191" s="39"/>
      <c r="K191" s="36"/>
      <c r="L191" s="36"/>
      <c r="M191" s="38"/>
      <c r="N191" s="36"/>
    </row>
    <row r="192" spans="1:14" ht="15" customHeight="1" x14ac:dyDescent="0.3">
      <c r="A192" s="36"/>
      <c r="B192" s="36"/>
      <c r="C192" s="36"/>
      <c r="D192" s="36"/>
      <c r="E192" s="36"/>
      <c r="F192" s="37"/>
      <c r="G192" s="38"/>
      <c r="H192" s="38"/>
      <c r="I192" s="39"/>
      <c r="J192" s="39"/>
      <c r="K192" s="36"/>
      <c r="L192" s="36"/>
      <c r="M192" s="38"/>
      <c r="N192" s="36"/>
    </row>
    <row r="193" spans="1:14" ht="15" customHeight="1" x14ac:dyDescent="0.3">
      <c r="A193" s="36"/>
      <c r="B193" s="36"/>
      <c r="C193" s="36"/>
      <c r="D193" s="36"/>
      <c r="E193" s="36"/>
      <c r="F193" s="37"/>
      <c r="G193" s="38"/>
      <c r="H193" s="38"/>
      <c r="I193" s="39"/>
      <c r="J193" s="39"/>
      <c r="K193" s="36"/>
      <c r="L193" s="36"/>
      <c r="M193" s="38"/>
      <c r="N193" s="36"/>
    </row>
    <row r="194" spans="1:14" ht="15" customHeight="1" x14ac:dyDescent="0.3">
      <c r="A194" s="36"/>
      <c r="B194" s="36"/>
      <c r="C194" s="36"/>
      <c r="D194" s="36"/>
      <c r="E194" s="36"/>
      <c r="F194" s="37"/>
      <c r="G194" s="38"/>
      <c r="H194" s="38"/>
      <c r="I194" s="39"/>
      <c r="J194" s="39"/>
      <c r="K194" s="36"/>
      <c r="L194" s="36"/>
      <c r="M194" s="38"/>
      <c r="N194" s="36"/>
    </row>
    <row r="195" spans="1:14" ht="15" customHeight="1" x14ac:dyDescent="0.3">
      <c r="A195" s="36"/>
      <c r="B195" s="36"/>
      <c r="C195" s="36"/>
      <c r="D195" s="36"/>
      <c r="E195" s="36"/>
      <c r="F195" s="37"/>
      <c r="G195" s="38"/>
      <c r="H195" s="38"/>
      <c r="I195" s="39"/>
      <c r="J195" s="39"/>
      <c r="K195" s="36"/>
      <c r="L195" s="36"/>
      <c r="M195" s="38"/>
      <c r="N195" s="36"/>
    </row>
    <row r="196" spans="1:14" ht="15" customHeight="1" x14ac:dyDescent="0.3">
      <c r="A196" s="36"/>
      <c r="B196" s="36"/>
      <c r="C196" s="36"/>
      <c r="D196" s="36"/>
      <c r="E196" s="36"/>
      <c r="F196" s="37"/>
      <c r="G196" s="38"/>
      <c r="H196" s="38"/>
      <c r="I196" s="39"/>
      <c r="J196" s="39"/>
      <c r="K196" s="36"/>
      <c r="L196" s="36"/>
      <c r="M196" s="38"/>
      <c r="N196" s="36"/>
    </row>
    <row r="197" spans="1:14" ht="15" customHeight="1" x14ac:dyDescent="0.3">
      <c r="A197" s="36"/>
      <c r="B197" s="36"/>
      <c r="C197" s="36"/>
      <c r="D197" s="36"/>
      <c r="E197" s="36"/>
      <c r="F197" s="37"/>
      <c r="G197" s="38"/>
      <c r="H197" s="38"/>
      <c r="I197" s="39"/>
      <c r="J197" s="39"/>
      <c r="K197" s="36"/>
      <c r="L197" s="36"/>
      <c r="M197" s="38"/>
      <c r="N197" s="36"/>
    </row>
    <row r="198" spans="1:14" ht="15" customHeight="1" x14ac:dyDescent="0.3">
      <c r="A198" s="36"/>
      <c r="B198" s="36"/>
      <c r="C198" s="36"/>
      <c r="D198" s="36"/>
      <c r="E198" s="36"/>
      <c r="F198" s="37"/>
      <c r="G198" s="38"/>
      <c r="H198" s="38"/>
      <c r="I198" s="39"/>
      <c r="J198" s="39"/>
      <c r="K198" s="36"/>
      <c r="L198" s="36"/>
      <c r="M198" s="38"/>
      <c r="N198" s="36"/>
    </row>
    <row r="199" spans="1:14" ht="15" customHeight="1" x14ac:dyDescent="0.3">
      <c r="A199" s="36"/>
      <c r="B199" s="36"/>
      <c r="C199" s="36"/>
      <c r="D199" s="36"/>
      <c r="E199" s="36"/>
      <c r="F199" s="37"/>
      <c r="G199" s="38"/>
      <c r="H199" s="38"/>
      <c r="I199" s="39"/>
      <c r="J199" s="39"/>
      <c r="K199" s="36"/>
      <c r="L199" s="36"/>
      <c r="M199" s="38"/>
      <c r="N199" s="36"/>
    </row>
    <row r="200" spans="1:14" ht="15" customHeight="1" x14ac:dyDescent="0.3">
      <c r="A200" s="36"/>
      <c r="B200" s="36"/>
      <c r="C200" s="36"/>
      <c r="D200" s="36"/>
      <c r="E200" s="36"/>
      <c r="F200" s="37"/>
      <c r="G200" s="38"/>
      <c r="H200" s="38"/>
      <c r="I200" s="39"/>
      <c r="J200" s="39"/>
      <c r="K200" s="36"/>
      <c r="L200" s="36"/>
      <c r="M200" s="38"/>
      <c r="N200" s="36"/>
    </row>
    <row r="201" spans="1:14" ht="15" customHeight="1" x14ac:dyDescent="0.3">
      <c r="A201" s="36"/>
      <c r="B201" s="36"/>
      <c r="C201" s="36"/>
      <c r="D201" s="36"/>
      <c r="E201" s="36"/>
      <c r="F201" s="37"/>
      <c r="G201" s="38"/>
      <c r="H201" s="38"/>
      <c r="I201" s="39"/>
      <c r="J201" s="39"/>
      <c r="K201" s="36"/>
      <c r="L201" s="36"/>
      <c r="M201" s="38"/>
      <c r="N201" s="36"/>
    </row>
  </sheetData>
  <mergeCells count="5">
    <mergeCell ref="A133:Z133"/>
    <mergeCell ref="A1:Z1"/>
    <mergeCell ref="A131:Z131"/>
    <mergeCell ref="A132:Z132"/>
    <mergeCell ref="A3:Z3"/>
  </mergeCells>
  <conditionalFormatting sqref="D135:F154">
    <cfRule type="cellIs" dxfId="515" priority="8" operator="equal">
      <formula>0</formula>
    </cfRule>
    <cfRule type="cellIs" dxfId="514" priority="9" operator="greaterThan">
      <formula>0</formula>
    </cfRule>
  </conditionalFormatting>
  <conditionalFormatting sqref="E6:E129">
    <cfRule type="containsText" dxfId="513" priority="3" operator="containsText" text="Obra">
      <formula>NOT(ISERROR(SEARCH("Obra",E6)))</formula>
    </cfRule>
    <cfRule type="containsText" dxfId="512" priority="4" operator="containsText" text="Servicio">
      <formula>NOT(ISERROR(SEARCH("Servicio",E6)))</formula>
    </cfRule>
    <cfRule type="containsText" dxfId="511" priority="5" operator="containsText" text="Bien">
      <formula>NOT(ISERROR(SEARCH("Bien",E6)))</formula>
    </cfRule>
  </conditionalFormatting>
  <conditionalFormatting sqref="J6:J129">
    <cfRule type="cellIs" dxfId="510" priority="6" operator="equal">
      <formula>0</formula>
    </cfRule>
  </conditionalFormatting>
  <conditionalFormatting sqref="L6:L129">
    <cfRule type="containsText" dxfId="509" priority="7" operator="containsText" text="—">
      <formula>NOT(ISERROR(SEARCH("—",L6)))</formula>
    </cfRule>
  </conditionalFormatting>
  <conditionalFormatting sqref="N6:N129">
    <cfRule type="containsText" dxfId="508" priority="1" operator="containsText" text="Vinculado">
      <formula>NOT(ISERROR(SEARCH("Vinculado",N6)))</formula>
    </cfRule>
    <cfRule type="containsText" dxfId="507" priority="2" operator="containsText" text="Adm/Op">
      <formula>NOT(ISERROR(SEARCH("Adm/Op",N6)))</formula>
    </cfRule>
  </conditionalFormatting>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CE4D6"/>
  </sheetPr>
  <dimension ref="A1:AA32"/>
  <sheetViews>
    <sheetView showGridLines="0" zoomScale="65" zoomScaleNormal="65" workbookViewId="0">
      <pane ySplit="3" topLeftCell="A4" activePane="bottomLeft" state="frozen"/>
      <selection pane="bottomLeft" activeCell="G8" sqref="G8"/>
    </sheetView>
  </sheetViews>
  <sheetFormatPr baseColWidth="10" defaultRowHeight="14.4" x14ac:dyDescent="0.3"/>
  <cols>
    <col min="1" max="1" width="24.109375" customWidth="1"/>
    <col min="2" max="2" width="20.33203125" customWidth="1"/>
    <col min="3" max="3" width="13.33203125" customWidth="1"/>
    <col min="4" max="5" width="9.6640625" customWidth="1"/>
    <col min="6" max="6" width="11.44140625" customWidth="1"/>
    <col min="7" max="8" width="15.21875" customWidth="1"/>
    <col min="9" max="9" width="9.6640625" customWidth="1"/>
    <col min="10" max="10" width="13.88671875" customWidth="1"/>
    <col min="11" max="12" width="14.77734375" customWidth="1"/>
    <col min="13" max="14" width="7.44140625" customWidth="1"/>
    <col min="15" max="24" width="16.6640625" customWidth="1"/>
    <col min="25" max="25" width="14.6640625" bestFit="1" customWidth="1"/>
    <col min="26" max="26" width="10.6640625" bestFit="1" customWidth="1"/>
  </cols>
  <sheetData>
    <row r="1" spans="1:27" ht="25.95" customHeight="1" thickBot="1" x14ac:dyDescent="0.35">
      <c r="A1" s="3732" t="s">
        <v>4816</v>
      </c>
      <c r="B1" s="3733"/>
      <c r="C1" s="3733"/>
      <c r="D1" s="3733"/>
      <c r="E1" s="3733"/>
      <c r="F1" s="3733"/>
      <c r="G1" s="3733"/>
      <c r="H1" s="3733"/>
      <c r="I1" s="3733"/>
      <c r="J1" s="3733"/>
      <c r="K1" s="3733"/>
      <c r="L1" s="3733"/>
      <c r="M1" s="3733"/>
      <c r="N1" s="3734"/>
      <c r="O1" s="3735"/>
      <c r="P1" s="3735"/>
      <c r="Q1" s="3735"/>
      <c r="R1" s="3735"/>
      <c r="S1" s="3735"/>
      <c r="T1" s="3735"/>
      <c r="U1" s="3735"/>
      <c r="V1" s="3735"/>
      <c r="W1" s="3735"/>
      <c r="X1" s="3735"/>
      <c r="Y1" s="3735"/>
      <c r="Z1" s="3735"/>
      <c r="AA1" s="14"/>
    </row>
    <row r="2" spans="1:27" ht="19.95" customHeight="1" thickBot="1" x14ac:dyDescent="0.35">
      <c r="A2" s="2398" t="str">
        <f>HYPERLINK("#'M-INDEX'!A1","⌂ INDICE")</f>
        <v>⌂ INDICE</v>
      </c>
      <c r="B2" s="1764" t="str">
        <f>HYPERLINK("#'M1-ITME'!A1","M1")</f>
        <v>M1</v>
      </c>
      <c r="C2" s="1764" t="str">
        <f>HYPERLINK("#'M2-PDOT'!A1","M2")</f>
        <v>M2</v>
      </c>
      <c r="D2" s="1764" t="str">
        <f>HYPERLINK("#'M3-MAO'!A1","M3")</f>
        <v>M3</v>
      </c>
      <c r="E2" s="1764" t="str">
        <f>HYPERLINK("#'M4-AUDIT'!A1","M4")</f>
        <v>M4</v>
      </c>
      <c r="F2" s="1762" t="str">
        <f>HYPERLINK("#'M5-ICPI'!A1","◉ M5-ICPI")</f>
        <v>◉ M5-ICPI</v>
      </c>
      <c r="G2" s="1764" t="str">
        <f>HYPERLINK("#'M6-FEDS'!A1","M6")</f>
        <v>M6</v>
      </c>
      <c r="H2" s="1764" t="str">
        <f>HYPERLINK("#'M7-PROSP'!A1","M7")</f>
        <v>M7</v>
      </c>
      <c r="I2" s="1764" t="str">
        <f>HYPERLINK("#'DATA-POA'!A1","DATA-POA")</f>
        <v>DATA-POA</v>
      </c>
      <c r="J2" s="1764" t="str">
        <f>HYPERLINK("#'DATA-CNE'!A1","DATA-CNE")</f>
        <v>DATA-CNE</v>
      </c>
      <c r="K2" s="1764" t="str">
        <f>HYPERLINK("#'DATA-ORG'!A1","DATA-ORG")</f>
        <v>DATA-ORG</v>
      </c>
      <c r="L2" s="1764" t="str">
        <f>HYPERLINK("#'M-DASHBOARD'!A1","DASH")</f>
        <v>DASH</v>
      </c>
      <c r="M2" s="2557"/>
      <c r="N2" s="2573"/>
      <c r="O2" s="2567"/>
      <c r="P2" s="2567"/>
      <c r="Q2" s="2567"/>
      <c r="R2" s="2567"/>
      <c r="S2" s="2567"/>
      <c r="T2" s="2567"/>
      <c r="U2" s="2567"/>
      <c r="V2" s="2567"/>
      <c r="W2" s="2567"/>
      <c r="X2" s="2567"/>
      <c r="Y2" s="2567"/>
      <c r="Z2" s="2567"/>
      <c r="AA2" s="12"/>
    </row>
    <row r="3" spans="1:27" ht="13.95" customHeight="1" thickTop="1" x14ac:dyDescent="0.3">
      <c r="A3" s="3738" t="s">
        <v>690</v>
      </c>
      <c r="B3" s="3739"/>
      <c r="C3" s="3739"/>
      <c r="D3" s="3739"/>
      <c r="E3" s="3739"/>
      <c r="F3" s="3739"/>
      <c r="G3" s="3739"/>
      <c r="H3" s="3739"/>
      <c r="I3" s="3739"/>
      <c r="J3" s="3739"/>
      <c r="K3" s="3739"/>
      <c r="L3" s="3740"/>
      <c r="M3" s="3741"/>
      <c r="N3" s="3742"/>
      <c r="O3" s="3743"/>
      <c r="P3" s="3743"/>
      <c r="Q3" s="3743"/>
      <c r="R3" s="3743"/>
      <c r="S3" s="3743"/>
      <c r="T3" s="3743"/>
      <c r="U3" s="3743"/>
      <c r="V3" s="3743"/>
      <c r="W3" s="3743"/>
      <c r="X3" s="3743"/>
      <c r="Y3" s="3743"/>
      <c r="Z3" s="3743"/>
      <c r="AA3" s="8"/>
    </row>
    <row r="4" spans="1:27" s="15" customFormat="1" ht="31.95" customHeight="1" x14ac:dyDescent="0.3">
      <c r="A4" s="2575" t="s">
        <v>691</v>
      </c>
      <c r="B4" s="2576" t="s">
        <v>28</v>
      </c>
      <c r="C4" s="2576" t="s">
        <v>4032</v>
      </c>
      <c r="D4" s="2576" t="s">
        <v>4499</v>
      </c>
      <c r="E4" s="2576" t="s">
        <v>4500</v>
      </c>
      <c r="F4" s="2576" t="s">
        <v>4501</v>
      </c>
      <c r="G4" s="2576" t="s">
        <v>1494</v>
      </c>
      <c r="H4" s="2576" t="s">
        <v>4502</v>
      </c>
      <c r="I4" s="2576" t="s">
        <v>895</v>
      </c>
      <c r="J4" s="2576" t="s">
        <v>4503</v>
      </c>
      <c r="K4" s="2576" t="s">
        <v>951</v>
      </c>
      <c r="L4" s="2576" t="s">
        <v>952</v>
      </c>
      <c r="M4" s="2586"/>
      <c r="N4" s="2587"/>
      <c r="O4" s="2574"/>
      <c r="P4" s="2568"/>
      <c r="Q4" s="2568"/>
      <c r="R4" s="2568"/>
      <c r="S4" s="2568"/>
      <c r="T4" s="2568"/>
      <c r="U4" s="2568"/>
      <c r="V4" s="2568"/>
      <c r="W4" s="2568"/>
      <c r="X4" s="2568"/>
      <c r="Y4" s="2568"/>
      <c r="Z4" s="2568"/>
      <c r="AA4" s="2149"/>
    </row>
    <row r="5" spans="1:27" ht="25.95" customHeight="1" x14ac:dyDescent="0.3">
      <c r="A5" s="2600" t="str">
        <f>'M2-PDOT'!B4</f>
        <v>PDOT.AS.VL.M1.01</v>
      </c>
      <c r="B5" s="2601" t="str">
        <f>'M2-PDOT'!C4</f>
        <v>Asentamientos Humanos</v>
      </c>
      <c r="C5" s="2602">
        <f>'M2-PLAN-Pi'!F14</f>
        <v>0.33018018186699599</v>
      </c>
      <c r="D5" s="2603">
        <f>'DATA-TFR'!F5</f>
        <v>1</v>
      </c>
      <c r="E5" s="2604">
        <f>IFERROR(VLOOKUP(A5,'M4-AUDIT'!$A$5:$P$24,MATCH("Vi",'M4-AUDIT'!$A$4:$P$4,0),0),0)</f>
        <v>1</v>
      </c>
      <c r="F5" s="2605">
        <f>IFERROR(VLOOKUP(A5,'M4-AUDIT'!$A$5:$P$24,MATCH("Ti (H)",'M4-AUDIT'!$A$4:$P$4,0),0),0)</f>
        <v>0.25</v>
      </c>
      <c r="G5" s="2602">
        <f t="shared" ref="G5:G24" si="0">C5*D5*E5*F5*I5</f>
        <v>8.2545045466748998E-2</v>
      </c>
      <c r="H5" s="2602">
        <f t="shared" ref="H5:H24" si="1">C5*D5</f>
        <v>0.33018018186699599</v>
      </c>
      <c r="I5" s="2606">
        <f>IFERROR(VLOOKUP(A5,'M4-AUDIT'!$A$5:$P$24,MATCH("Pi / Ci",'M4-AUDIT'!$A$4:$P$4,0),0),0.75)</f>
        <v>1</v>
      </c>
      <c r="J5" s="2607" t="str">
        <f t="shared" ref="J5:J24" si="2">IF(E5=0,"⬛ Vi=0 SIN EVIDENCIA",IF(F5&gt;=0.9,"🔵",IF(F5&gt;=0.7,"🟢",IF(F5&gt;=0.4,"🟠",IF(F5&gt;=0.2,"🔴","⬛")))))</f>
        <v>🔴</v>
      </c>
      <c r="K5" s="2607"/>
      <c r="L5" s="2607"/>
      <c r="M5" s="2607"/>
      <c r="N5" s="2608"/>
      <c r="O5" s="388"/>
      <c r="P5" s="382"/>
      <c r="Q5" s="382"/>
      <c r="R5" s="382"/>
      <c r="S5" s="382"/>
      <c r="T5" s="382"/>
      <c r="U5" s="382"/>
      <c r="V5" s="382"/>
      <c r="W5" s="382"/>
      <c r="X5" s="382"/>
      <c r="Y5" s="382"/>
      <c r="Z5" s="382"/>
      <c r="AA5" s="46"/>
    </row>
    <row r="6" spans="1:27" s="11" customFormat="1" ht="25.95" customHeight="1" x14ac:dyDescent="0.3">
      <c r="A6" s="1795" t="str">
        <f>'M2-PDOT'!B5</f>
        <v>PDOT.SC.OE2.M1.01</v>
      </c>
      <c r="B6" s="1831" t="str">
        <f>'M2-PDOT'!C5</f>
        <v>Socio Cultural</v>
      </c>
      <c r="C6" s="1817">
        <f>'M2-PLAN-Pi'!F15</f>
        <v>0.17664185031506524</v>
      </c>
      <c r="D6" s="1811">
        <f>'DATA-TFR'!F6</f>
        <v>1.5</v>
      </c>
      <c r="E6" s="2566">
        <f>IFERROR(VLOOKUP(A6,'M4-AUDIT'!$A$5:$P$24,MATCH("Vi",'M4-AUDIT'!$A$4:$P$4,0),0),0)</f>
        <v>1</v>
      </c>
      <c r="F6" s="2560">
        <f>IFERROR(VLOOKUP(A6,'M4-AUDIT'!$A$5:$P$24,MATCH("Ti (H)",'M4-AUDIT'!$A$4:$P$4,0),0),0)</f>
        <v>0.65</v>
      </c>
      <c r="G6" s="1817">
        <f t="shared" si="0"/>
        <v>0.15500322365146973</v>
      </c>
      <c r="H6" s="1817">
        <f t="shared" si="1"/>
        <v>0.26496277547259783</v>
      </c>
      <c r="I6" s="2561">
        <f>IFERROR(VLOOKUP(A6,'M4-AUDIT'!$A$5:$P$24,MATCH("Pi / Ci",'M4-AUDIT'!$A$4:$P$4,0),0),0.75)</f>
        <v>0.9</v>
      </c>
      <c r="J6" s="1784" t="str">
        <f t="shared" si="2"/>
        <v>🟠</v>
      </c>
      <c r="K6" s="1784"/>
      <c r="L6" s="1784"/>
      <c r="M6" s="1931"/>
      <c r="N6" s="2609"/>
      <c r="O6" s="2581"/>
      <c r="P6" s="2569"/>
      <c r="Q6" s="2569"/>
      <c r="R6" s="2569"/>
      <c r="S6" s="2569"/>
      <c r="T6" s="2569"/>
      <c r="U6" s="2569"/>
      <c r="V6" s="2569"/>
      <c r="W6" s="2569"/>
      <c r="X6" s="2569"/>
      <c r="Y6" s="2569"/>
      <c r="Z6" s="2569"/>
      <c r="AA6" s="48"/>
    </row>
    <row r="7" spans="1:27" s="11" customFormat="1" ht="25.95" customHeight="1" x14ac:dyDescent="0.3">
      <c r="A7" s="1796" t="str">
        <f>'M2-PDOT'!B6</f>
        <v>PDOT.AM.OE3.M2.01</v>
      </c>
      <c r="B7" s="1832" t="str">
        <f>'M2-PDOT'!C6</f>
        <v>Ambiental</v>
      </c>
      <c r="C7" s="1818">
        <f>'M2-PLAN-Pi'!F16</f>
        <v>0.1516189522727332</v>
      </c>
      <c r="D7" s="1812">
        <f>'DATA-TFR'!F7</f>
        <v>1</v>
      </c>
      <c r="E7" s="2565">
        <f>IFERROR(VLOOKUP(A7,'M4-AUDIT'!$A$5:$P$24,MATCH("Vi",'M4-AUDIT'!$A$4:$P$4,0),0),0)</f>
        <v>1</v>
      </c>
      <c r="F7" s="2548">
        <f>IFERROR(VLOOKUP(A7,'M4-AUDIT'!$A$5:$P$24,MATCH("Ti (H)",'M4-AUDIT'!$A$4:$P$4,0),0),0)</f>
        <v>0.75</v>
      </c>
      <c r="G7" s="1818">
        <f t="shared" si="0"/>
        <v>8.5285660653412421E-2</v>
      </c>
      <c r="H7" s="1818">
        <f t="shared" si="1"/>
        <v>0.1516189522727332</v>
      </c>
      <c r="I7" s="2549">
        <f>IFERROR(VLOOKUP(A7,'M4-AUDIT'!$A$5:$P$24,MATCH("Pi / Ci",'M4-AUDIT'!$A$4:$P$4,0),0),0.75)</f>
        <v>0.75</v>
      </c>
      <c r="J7" s="1787" t="str">
        <f t="shared" si="2"/>
        <v>🟢</v>
      </c>
      <c r="K7" s="1787"/>
      <c r="L7" s="1787"/>
      <c r="M7" s="1922"/>
      <c r="N7" s="2610"/>
      <c r="O7" s="2581"/>
      <c r="P7" s="2569"/>
      <c r="Q7" s="2569"/>
      <c r="R7" s="2569"/>
      <c r="S7" s="2569"/>
      <c r="T7" s="2569"/>
      <c r="U7" s="2569"/>
      <c r="V7" s="2569"/>
      <c r="W7" s="2569"/>
      <c r="X7" s="2569"/>
      <c r="Y7" s="2569"/>
      <c r="Z7" s="2569"/>
      <c r="AA7" s="48"/>
    </row>
    <row r="8" spans="1:27" s="11" customFormat="1" ht="25.95" customHeight="1" x14ac:dyDescent="0.3">
      <c r="A8" s="1795" t="str">
        <f>'M2-PDOT'!B7</f>
        <v>PDOT.AS.OE1.M2.01</v>
      </c>
      <c r="B8" s="1831" t="str">
        <f>'M2-PDOT'!C7</f>
        <v>Asentamientos Humanos</v>
      </c>
      <c r="C8" s="1817">
        <f>'M2-PLAN-Pi'!F17</f>
        <v>5.1342281756523014E-2</v>
      </c>
      <c r="D8" s="1811">
        <f>'DATA-TFR'!F8</f>
        <v>1</v>
      </c>
      <c r="E8" s="2566">
        <f>IFERROR(VLOOKUP(A8,'M4-AUDIT'!$A$5:$P$24,MATCH("Vi",'M4-AUDIT'!$A$4:$P$4,0),0),0)</f>
        <v>0</v>
      </c>
      <c r="F8" s="2560">
        <f>IFERROR(VLOOKUP(A8,'M4-AUDIT'!$A$5:$P$24,MATCH("Ti (H)",'M4-AUDIT'!$A$4:$P$4,0),0),0)</f>
        <v>0.1</v>
      </c>
      <c r="G8" s="2617">
        <f t="shared" si="0"/>
        <v>0</v>
      </c>
      <c r="H8" s="1817">
        <f t="shared" si="1"/>
        <v>5.1342281756523014E-2</v>
      </c>
      <c r="I8" s="2561">
        <f>IFERROR(VLOOKUP(A8,'M4-AUDIT'!$A$5:$P$24,MATCH("Pi / Ci",'M4-AUDIT'!$A$4:$P$4,0),0),0.75)</f>
        <v>1</v>
      </c>
      <c r="J8" s="1784" t="str">
        <f t="shared" si="2"/>
        <v>⬛ Vi=0 SIN EVIDENCIA</v>
      </c>
      <c r="K8" s="1784"/>
      <c r="L8" s="1784"/>
      <c r="M8" s="1931"/>
      <c r="N8" s="2609"/>
      <c r="O8" s="2581"/>
      <c r="P8" s="2569"/>
      <c r="Q8" s="2569"/>
      <c r="R8" s="2569"/>
      <c r="S8" s="2569"/>
      <c r="T8" s="2569"/>
      <c r="U8" s="2569"/>
      <c r="V8" s="2569"/>
      <c r="W8" s="2569"/>
      <c r="X8" s="2569"/>
      <c r="Y8" s="2569"/>
      <c r="Z8" s="2569"/>
      <c r="AA8" s="48"/>
    </row>
    <row r="9" spans="1:27" s="11" customFormat="1" ht="25.95" customHeight="1" x14ac:dyDescent="0.3">
      <c r="A9" s="1796" t="str">
        <f>'M2-PDOT'!B8</f>
        <v>PDOT.SC.OE2.M4.01</v>
      </c>
      <c r="B9" s="1832" t="str">
        <f>'M2-PDOT'!C8</f>
        <v>Socio Cultural</v>
      </c>
      <c r="C9" s="1818">
        <f>'M2-PLAN-Pi'!F18</f>
        <v>4.8834457728394447E-2</v>
      </c>
      <c r="D9" s="1812">
        <f>'DATA-TFR'!F9</f>
        <v>1</v>
      </c>
      <c r="E9" s="2565">
        <f>IFERROR(VLOOKUP(A9,'M4-AUDIT'!$A$5:$P$24,MATCH("Vi",'M4-AUDIT'!$A$4:$P$4,0),0),0)</f>
        <v>1</v>
      </c>
      <c r="F9" s="2548">
        <f>IFERROR(VLOOKUP(A9,'M4-AUDIT'!$A$5:$P$24,MATCH("Ti (H)",'M4-AUDIT'!$A$4:$P$4,0),0),0)</f>
        <v>0.2</v>
      </c>
      <c r="G9" s="1818">
        <f t="shared" si="0"/>
        <v>8.7902023911110017E-3</v>
      </c>
      <c r="H9" s="1818">
        <f t="shared" si="1"/>
        <v>4.8834457728394447E-2</v>
      </c>
      <c r="I9" s="2549">
        <f>IFERROR(VLOOKUP(A9,'M4-AUDIT'!$A$5:$P$24,MATCH("Pi / Ci",'M4-AUDIT'!$A$4:$P$4,0),0),0.75)</f>
        <v>0.9</v>
      </c>
      <c r="J9" s="1787" t="str">
        <f t="shared" si="2"/>
        <v>🔴</v>
      </c>
      <c r="K9" s="1787"/>
      <c r="L9" s="1787"/>
      <c r="M9" s="1922"/>
      <c r="N9" s="2610"/>
      <c r="O9" s="2581"/>
      <c r="P9" s="2569"/>
      <c r="Q9" s="2569"/>
      <c r="R9" s="2569"/>
      <c r="S9" s="2569"/>
      <c r="T9" s="2569"/>
      <c r="U9" s="2569"/>
      <c r="V9" s="2569"/>
      <c r="W9" s="2569"/>
      <c r="X9" s="2569"/>
      <c r="Y9" s="2569"/>
      <c r="Z9" s="2569"/>
      <c r="AA9" s="48"/>
    </row>
    <row r="10" spans="1:27" s="11" customFormat="1" ht="25.95" customHeight="1" x14ac:dyDescent="0.3">
      <c r="A10" s="1795" t="str">
        <f>'M2-PDOT'!B9</f>
        <v>PDOT.AS.OE1.M1.02</v>
      </c>
      <c r="B10" s="1831" t="str">
        <f>'M2-PDOT'!C9</f>
        <v>Asentamientos Humanos</v>
      </c>
      <c r="C10" s="1817">
        <f>'M2-PLAN-Pi'!F19</f>
        <v>3.8491842122155021E-2</v>
      </c>
      <c r="D10" s="1811">
        <f>'DATA-TFR'!F10</f>
        <v>1.5</v>
      </c>
      <c r="E10" s="2566">
        <f>IFERROR(VLOOKUP(A10,'M4-AUDIT'!$A$5:$P$24,MATCH("Vi",'M4-AUDIT'!$A$4:$P$4,0),0),0)</f>
        <v>0</v>
      </c>
      <c r="F10" s="2560">
        <f>IFERROR(VLOOKUP(A10,'M4-AUDIT'!$A$5:$P$24,MATCH("Ti (H)",'M4-AUDIT'!$A$4:$P$4,0),0),0)</f>
        <v>0</v>
      </c>
      <c r="G10" s="2617">
        <f t="shared" si="0"/>
        <v>0</v>
      </c>
      <c r="H10" s="1817">
        <f t="shared" si="1"/>
        <v>5.7737763183232531E-2</v>
      </c>
      <c r="I10" s="2561">
        <f>IFERROR(VLOOKUP(A10,'M4-AUDIT'!$A$5:$P$24,MATCH("Pi / Ci",'M4-AUDIT'!$A$4:$P$4,0),0),0.75)</f>
        <v>1</v>
      </c>
      <c r="J10" s="1784" t="str">
        <f t="shared" si="2"/>
        <v>⬛ Vi=0 SIN EVIDENCIA</v>
      </c>
      <c r="K10" s="1784"/>
      <c r="L10" s="1784"/>
      <c r="M10" s="1931"/>
      <c r="N10" s="2609"/>
      <c r="O10" s="2581"/>
      <c r="P10" s="2569"/>
      <c r="Q10" s="2569"/>
      <c r="R10" s="2569"/>
      <c r="S10" s="2569"/>
      <c r="T10" s="2569"/>
      <c r="U10" s="2569"/>
      <c r="V10" s="2569"/>
      <c r="W10" s="2569"/>
      <c r="X10" s="2569"/>
      <c r="Y10" s="2569"/>
      <c r="Z10" s="2569"/>
      <c r="AA10" s="48"/>
    </row>
    <row r="11" spans="1:27" s="11" customFormat="1" ht="25.95" customHeight="1" x14ac:dyDescent="0.3">
      <c r="A11" s="1796" t="str">
        <f>'M2-PDOT'!B10</f>
        <v>PDOT.PI.OE4.M1.01</v>
      </c>
      <c r="B11" s="1832" t="str">
        <f>'M2-PDOT'!C10</f>
        <v>Político Institucional</v>
      </c>
      <c r="C11" s="1818">
        <f>'M2-PLAN-Pi'!F20</f>
        <v>3.6968726259480326E-2</v>
      </c>
      <c r="D11" s="1812">
        <f>'DATA-TFR'!F11</f>
        <v>0.5</v>
      </c>
      <c r="E11" s="2565">
        <f>IFERROR(VLOOKUP(A11,'M4-AUDIT'!$A$5:$P$24,MATCH("Vi",'M4-AUDIT'!$A$4:$P$4,0),0),0)</f>
        <v>1</v>
      </c>
      <c r="F11" s="2548">
        <f>IFERROR(VLOOKUP(A11,'M4-AUDIT'!$A$5:$P$24,MATCH("Ti (H)",'M4-AUDIT'!$A$4:$P$4,0),0),0)</f>
        <v>1</v>
      </c>
      <c r="G11" s="1818">
        <f t="shared" si="0"/>
        <v>1.8484363129740163E-2</v>
      </c>
      <c r="H11" s="1818">
        <f t="shared" si="1"/>
        <v>1.8484363129740163E-2</v>
      </c>
      <c r="I11" s="2549">
        <f>IFERROR(VLOOKUP(A11,'M4-AUDIT'!$A$5:$P$24,MATCH("Pi / Ci",'M4-AUDIT'!$A$4:$P$4,0),0),0.75)</f>
        <v>1</v>
      </c>
      <c r="J11" s="1787" t="str">
        <f t="shared" si="2"/>
        <v>🔵</v>
      </c>
      <c r="K11" s="1787"/>
      <c r="L11" s="1787"/>
      <c r="M11" s="1922"/>
      <c r="N11" s="2610"/>
      <c r="O11" s="2581"/>
      <c r="P11" s="2569"/>
      <c r="Q11" s="2569"/>
      <c r="R11" s="2569"/>
      <c r="S11" s="2569"/>
      <c r="T11" s="2569"/>
      <c r="U11" s="2569"/>
      <c r="V11" s="2569"/>
      <c r="W11" s="2569"/>
      <c r="X11" s="2569"/>
      <c r="Y11" s="2569"/>
      <c r="Z11" s="2569"/>
      <c r="AA11" s="48"/>
    </row>
    <row r="12" spans="1:27" s="11" customFormat="1" ht="25.95" customHeight="1" x14ac:dyDescent="0.3">
      <c r="A12" s="1795" t="str">
        <f>'M2-PDOT'!B11</f>
        <v>PDOT.AV.OE1.M1.01</v>
      </c>
      <c r="B12" s="1831" t="str">
        <f>'M2-PDOT'!C11</f>
        <v>Asentamientos Humanos</v>
      </c>
      <c r="C12" s="1817">
        <f>'M2-PLAN-Pi'!F21</f>
        <v>2.7121740693637479E-2</v>
      </c>
      <c r="D12" s="1811">
        <f>'DATA-TFR'!F12</f>
        <v>1</v>
      </c>
      <c r="E12" s="2566">
        <f>IFERROR(VLOOKUP(A12,'M4-AUDIT'!$A$5:$P$24,MATCH("Vi",'M4-AUDIT'!$A$4:$P$4,0),0),0)</f>
        <v>1</v>
      </c>
      <c r="F12" s="2560">
        <f>IFERROR(VLOOKUP(A12,'M4-AUDIT'!$A$5:$P$24,MATCH("Ti (H)",'M4-AUDIT'!$A$4:$P$4,0),0),0)</f>
        <v>0.9</v>
      </c>
      <c r="G12" s="1817">
        <f t="shared" si="0"/>
        <v>2.4409566624273731E-2</v>
      </c>
      <c r="H12" s="1817">
        <f t="shared" si="1"/>
        <v>2.7121740693637479E-2</v>
      </c>
      <c r="I12" s="2561">
        <f>IFERROR(VLOOKUP(A12,'M4-AUDIT'!$A$5:$P$24,MATCH("Pi / Ci",'M4-AUDIT'!$A$4:$P$4,0),0),0.75)</f>
        <v>1</v>
      </c>
      <c r="J12" s="1784" t="str">
        <f t="shared" si="2"/>
        <v>🔵</v>
      </c>
      <c r="K12" s="1784"/>
      <c r="L12" s="1784"/>
      <c r="M12" s="1931"/>
      <c r="N12" s="2609"/>
      <c r="O12" s="2581"/>
      <c r="P12" s="2569"/>
      <c r="Q12" s="2569"/>
      <c r="R12" s="2569"/>
      <c r="S12" s="2569"/>
      <c r="T12" s="2569"/>
      <c r="U12" s="2569"/>
      <c r="V12" s="2569"/>
      <c r="W12" s="2569"/>
      <c r="X12" s="2569"/>
      <c r="Y12" s="2569"/>
      <c r="Z12" s="2569"/>
      <c r="AA12" s="48"/>
    </row>
    <row r="13" spans="1:27" s="11" customFormat="1" ht="25.95" customHeight="1" x14ac:dyDescent="0.3">
      <c r="A13" s="1796" t="str">
        <f>'M2-PDOT'!B12</f>
        <v>PDOT.AM.OE3.M1.01</v>
      </c>
      <c r="B13" s="1832" t="str">
        <f>'M2-PDOT'!C12</f>
        <v>Ambiental</v>
      </c>
      <c r="C13" s="1818">
        <f>'M2-PLAN-Pi'!F22</f>
        <v>2.5461988827181092E-2</v>
      </c>
      <c r="D13" s="1812">
        <f>'DATA-TFR'!F13</f>
        <v>1.5</v>
      </c>
      <c r="E13" s="2565">
        <f>IFERROR(VLOOKUP(A13,'M4-AUDIT'!$A$5:$P$24,MATCH("Vi",'M4-AUDIT'!$A$4:$P$4,0),0),0)</f>
        <v>0</v>
      </c>
      <c r="F13" s="2548">
        <f>IFERROR(VLOOKUP(A13,'M4-AUDIT'!$A$5:$P$24,MATCH("Ti (H)",'M4-AUDIT'!$A$4:$P$4,0),0),0)</f>
        <v>0.3</v>
      </c>
      <c r="G13" s="2617">
        <f t="shared" si="0"/>
        <v>0</v>
      </c>
      <c r="H13" s="1818">
        <f t="shared" si="1"/>
        <v>3.8192983240771639E-2</v>
      </c>
      <c r="I13" s="2549">
        <f>IFERROR(VLOOKUP(A13,'M4-AUDIT'!$A$5:$P$24,MATCH("Pi / Ci",'M4-AUDIT'!$A$4:$P$4,0),0),0.75)</f>
        <v>1</v>
      </c>
      <c r="J13" s="1787" t="str">
        <f t="shared" si="2"/>
        <v>⬛ Vi=0 SIN EVIDENCIA</v>
      </c>
      <c r="K13" s="1787"/>
      <c r="L13" s="1787"/>
      <c r="M13" s="1922"/>
      <c r="N13" s="2610"/>
      <c r="O13" s="2581"/>
      <c r="P13" s="2569"/>
      <c r="Q13" s="2569"/>
      <c r="R13" s="2569"/>
      <c r="S13" s="2569"/>
      <c r="T13" s="2569"/>
      <c r="U13" s="2569"/>
      <c r="V13" s="2569"/>
      <c r="W13" s="2569"/>
      <c r="X13" s="2569"/>
      <c r="Y13" s="2569"/>
      <c r="Z13" s="2569"/>
      <c r="AA13" s="48"/>
    </row>
    <row r="14" spans="1:27" s="11" customFormat="1" ht="25.95" customHeight="1" x14ac:dyDescent="0.3">
      <c r="A14" s="1795" t="str">
        <f>'M2-PDOT'!B13</f>
        <v>PDOT.FA.OE4.AH.02</v>
      </c>
      <c r="B14" s="1831" t="str">
        <f>'M2-PDOT'!C13</f>
        <v>Físico Ambiental</v>
      </c>
      <c r="C14" s="1817">
        <f>'M2-PLAN-Pi'!F23</f>
        <v>2.2697015989676123E-2</v>
      </c>
      <c r="D14" s="1811">
        <f>'DATA-TFR'!F14</f>
        <v>1</v>
      </c>
      <c r="E14" s="2566">
        <f>IFERROR(VLOOKUP(A14,'M4-AUDIT'!$A$5:$P$24,MATCH("Vi",'M4-AUDIT'!$A$4:$P$4,0),0),0)</f>
        <v>1</v>
      </c>
      <c r="F14" s="2560">
        <f>IFERROR(VLOOKUP(A14,'M4-AUDIT'!$A$5:$P$24,MATCH("Ti (H)",'M4-AUDIT'!$A$4:$P$4,0),0),0)</f>
        <v>0.4</v>
      </c>
      <c r="G14" s="1817">
        <f t="shared" si="0"/>
        <v>9.0788063958704493E-3</v>
      </c>
      <c r="H14" s="1817">
        <f t="shared" si="1"/>
        <v>2.2697015989676123E-2</v>
      </c>
      <c r="I14" s="2561">
        <f>IFERROR(VLOOKUP(A14,'M4-AUDIT'!$A$5:$P$24,MATCH("Pi / Ci",'M4-AUDIT'!$A$4:$P$4,0),0),0.75)</f>
        <v>1</v>
      </c>
      <c r="J14" s="1784" t="str">
        <f t="shared" si="2"/>
        <v>🟠</v>
      </c>
      <c r="K14" s="1784"/>
      <c r="L14" s="1784"/>
      <c r="M14" s="1931"/>
      <c r="N14" s="2609"/>
      <c r="O14" s="2581"/>
      <c r="P14" s="2569"/>
      <c r="Q14" s="2569"/>
      <c r="R14" s="2569"/>
      <c r="S14" s="2569"/>
      <c r="T14" s="2569"/>
      <c r="U14" s="2569"/>
      <c r="V14" s="2569"/>
      <c r="W14" s="2569"/>
      <c r="X14" s="2569"/>
      <c r="Y14" s="2569"/>
      <c r="Z14" s="2569"/>
      <c r="AA14" s="48"/>
    </row>
    <row r="15" spans="1:27" s="11" customFormat="1" ht="25.95" customHeight="1" x14ac:dyDescent="0.3">
      <c r="A15" s="1796" t="str">
        <f>'M2-PDOT'!B14</f>
        <v>PDOT.FA.OE1.PV.01</v>
      </c>
      <c r="B15" s="1832" t="str">
        <f>'M2-PDOT'!C14</f>
        <v>Físico Ambiental</v>
      </c>
      <c r="C15" s="1818">
        <f>'M2-PLAN-Pi'!F24</f>
        <v>1.8490239847697151E-2</v>
      </c>
      <c r="D15" s="1812">
        <f>'DATA-TFR'!F15</f>
        <v>0.5</v>
      </c>
      <c r="E15" s="2565">
        <f>IFERROR(VLOOKUP(A15,'M4-AUDIT'!$A$5:$P$24,MATCH("Vi",'M4-AUDIT'!$A$4:$P$4,0),0),0)</f>
        <v>1</v>
      </c>
      <c r="F15" s="2548">
        <f>IFERROR(VLOOKUP(A15,'M4-AUDIT'!$A$5:$P$24,MATCH("Ti (H)",'M4-AUDIT'!$A$4:$P$4,0),0),0)</f>
        <v>0.5</v>
      </c>
      <c r="G15" s="1818">
        <f t="shared" si="0"/>
        <v>4.6225599619242877E-3</v>
      </c>
      <c r="H15" s="1818">
        <f t="shared" si="1"/>
        <v>9.2451199238485753E-3</v>
      </c>
      <c r="I15" s="2549">
        <f>IFERROR(VLOOKUP(A15,'M4-AUDIT'!$A$5:$P$24,MATCH("Pi / Ci",'M4-AUDIT'!$A$4:$P$4,0),0),0.75)</f>
        <v>1</v>
      </c>
      <c r="J15" s="1787" t="str">
        <f t="shared" si="2"/>
        <v>🟠</v>
      </c>
      <c r="K15" s="1787"/>
      <c r="L15" s="1787"/>
      <c r="M15" s="1922"/>
      <c r="N15" s="2610"/>
      <c r="O15" s="2581"/>
      <c r="P15" s="2569"/>
      <c r="Q15" s="2569"/>
      <c r="R15" s="2569"/>
      <c r="S15" s="2569"/>
      <c r="T15" s="2569"/>
      <c r="U15" s="2569"/>
      <c r="V15" s="2569"/>
      <c r="W15" s="2569"/>
      <c r="X15" s="2569"/>
      <c r="Y15" s="2569"/>
      <c r="Z15" s="2569"/>
      <c r="AA15" s="48"/>
    </row>
    <row r="16" spans="1:27" s="11" customFormat="1" ht="25.95" customHeight="1" x14ac:dyDescent="0.3">
      <c r="A16" s="1795" t="str">
        <f>'M2-PDOT'!B15</f>
        <v>PDOT.PI.OE4.M2.01</v>
      </c>
      <c r="B16" s="1831" t="str">
        <f>'M2-PDOT'!C15</f>
        <v>Político Institucional</v>
      </c>
      <c r="C16" s="1817">
        <f>'M2-PLAN-Pi'!F25</f>
        <v>1.8216107891773022E-2</v>
      </c>
      <c r="D16" s="1811">
        <f>'DATA-TFR'!F16</f>
        <v>0.5</v>
      </c>
      <c r="E16" s="2566">
        <f>IFERROR(VLOOKUP(A16,'M4-AUDIT'!$A$5:$P$24,MATCH("Vi",'M4-AUDIT'!$A$4:$P$4,0),0),0)</f>
        <v>0</v>
      </c>
      <c r="F16" s="2560">
        <f>IFERROR(VLOOKUP(A16,'M4-AUDIT'!$A$5:$P$24,MATCH("Ti (H)",'M4-AUDIT'!$A$4:$P$4,0),0),0)</f>
        <v>0</v>
      </c>
      <c r="G16" s="2617">
        <f t="shared" si="0"/>
        <v>0</v>
      </c>
      <c r="H16" s="1817">
        <f t="shared" si="1"/>
        <v>9.1080539458865111E-3</v>
      </c>
      <c r="I16" s="2561">
        <f>IFERROR(VLOOKUP(A16,'M4-AUDIT'!$A$5:$P$24,MATCH("Pi / Ci",'M4-AUDIT'!$A$4:$P$4,0),0),0.75)</f>
        <v>1</v>
      </c>
      <c r="J16" s="1784" t="str">
        <f t="shared" si="2"/>
        <v>⬛ Vi=0 SIN EVIDENCIA</v>
      </c>
      <c r="K16" s="1784"/>
      <c r="L16" s="1784"/>
      <c r="M16" s="1931"/>
      <c r="N16" s="2609"/>
      <c r="O16" s="2581"/>
      <c r="P16" s="2569"/>
      <c r="Q16" s="2569"/>
      <c r="R16" s="2569"/>
      <c r="S16" s="2569"/>
      <c r="T16" s="2569"/>
      <c r="U16" s="2569"/>
      <c r="V16" s="2569"/>
      <c r="W16" s="2569"/>
      <c r="X16" s="2569"/>
      <c r="Y16" s="2569"/>
      <c r="Z16" s="2569"/>
      <c r="AA16" s="48"/>
    </row>
    <row r="17" spans="1:27" s="11" customFormat="1" ht="25.95" customHeight="1" x14ac:dyDescent="0.3">
      <c r="A17" s="1796" t="str">
        <f>'M2-PDOT'!B16</f>
        <v>PDOT.PI.OE4.FI.01</v>
      </c>
      <c r="B17" s="1832" t="str">
        <f>'M2-PDOT'!C16</f>
        <v>Político Institucional</v>
      </c>
      <c r="C17" s="1818">
        <f>'M2-PLAN-Pi'!F26</f>
        <v>1.2517992752294592E-2</v>
      </c>
      <c r="D17" s="1812">
        <f>'DATA-TFR'!F17</f>
        <v>0.5</v>
      </c>
      <c r="E17" s="2565">
        <f>IFERROR(VLOOKUP(A17,'M4-AUDIT'!$A$5:$P$24,MATCH("Vi",'M4-AUDIT'!$A$4:$P$4,0),0),0)</f>
        <v>1</v>
      </c>
      <c r="F17" s="2548">
        <f>IFERROR(VLOOKUP(A17,'M4-AUDIT'!$A$5:$P$24,MATCH("Ti (H)",'M4-AUDIT'!$A$4:$P$4,0),0),0)</f>
        <v>0.3</v>
      </c>
      <c r="G17" s="1818">
        <f t="shared" si="0"/>
        <v>1.8776989128441886E-3</v>
      </c>
      <c r="H17" s="1818">
        <f t="shared" si="1"/>
        <v>6.2589963761472958E-3</v>
      </c>
      <c r="I17" s="2549">
        <f>IFERROR(VLOOKUP(A17,'M4-AUDIT'!$A$5:$P$24,MATCH("Pi / Ci",'M4-AUDIT'!$A$4:$P$4,0),0),0.75)</f>
        <v>1</v>
      </c>
      <c r="J17" s="1787" t="str">
        <f t="shared" si="2"/>
        <v>🔴</v>
      </c>
      <c r="K17" s="1787"/>
      <c r="L17" s="1787"/>
      <c r="M17" s="1922"/>
      <c r="N17" s="2610"/>
      <c r="O17" s="2581"/>
      <c r="P17" s="2569"/>
      <c r="Q17" s="2569"/>
      <c r="R17" s="2569"/>
      <c r="S17" s="2569"/>
      <c r="T17" s="2569"/>
      <c r="U17" s="2569"/>
      <c r="V17" s="2569"/>
      <c r="W17" s="2569"/>
      <c r="X17" s="2569"/>
      <c r="Y17" s="2569"/>
      <c r="Z17" s="2569"/>
      <c r="AA17" s="48"/>
    </row>
    <row r="18" spans="1:27" s="11" customFormat="1" ht="25.95" customHeight="1" x14ac:dyDescent="0.3">
      <c r="A18" s="1795" t="str">
        <f>'M2-PDOT'!B17</f>
        <v>PDOT.AS.VV.HB.01</v>
      </c>
      <c r="B18" s="1831" t="str">
        <f>'M2-PDOT'!C17</f>
        <v>Asentamientos Humanos</v>
      </c>
      <c r="C18" s="1817">
        <f>'M2-PLAN-Pi'!F27</f>
        <v>9.8210528333412782E-3</v>
      </c>
      <c r="D18" s="1811">
        <f>'DATA-TFR'!F18</f>
        <v>1</v>
      </c>
      <c r="E18" s="2566">
        <f>IFERROR(VLOOKUP(A18,'M4-AUDIT'!$A$5:$P$24,MATCH("Vi",'M4-AUDIT'!$A$4:$P$4,0),0),0)</f>
        <v>1</v>
      </c>
      <c r="F18" s="2560">
        <f>IFERROR(VLOOKUP(A18,'M4-AUDIT'!$A$5:$P$24,MATCH("Ti (H)",'M4-AUDIT'!$A$4:$P$4,0),0),0)</f>
        <v>1</v>
      </c>
      <c r="G18" s="1817">
        <f t="shared" si="0"/>
        <v>9.8210528333412782E-3</v>
      </c>
      <c r="H18" s="1817">
        <f t="shared" si="1"/>
        <v>9.8210528333412782E-3</v>
      </c>
      <c r="I18" s="2561">
        <f>IFERROR(VLOOKUP(A18,'M4-AUDIT'!$A$5:$P$24,MATCH("Pi / Ci",'M4-AUDIT'!$A$4:$P$4,0),0),0.75)</f>
        <v>1</v>
      </c>
      <c r="J18" s="1784" t="str">
        <f t="shared" si="2"/>
        <v>🔵</v>
      </c>
      <c r="K18" s="1784"/>
      <c r="L18" s="1784"/>
      <c r="M18" s="1931"/>
      <c r="N18" s="2609"/>
      <c r="O18" s="2581"/>
      <c r="P18" s="2569"/>
      <c r="Q18" s="2569"/>
      <c r="R18" s="2569"/>
      <c r="S18" s="2569"/>
      <c r="T18" s="2569"/>
      <c r="U18" s="2569"/>
      <c r="V18" s="2569"/>
      <c r="W18" s="2569"/>
      <c r="X18" s="2569"/>
      <c r="Y18" s="2569"/>
      <c r="Z18" s="2569"/>
      <c r="AA18" s="48"/>
    </row>
    <row r="19" spans="1:27" s="11" customFormat="1" ht="25.95" customHeight="1" x14ac:dyDescent="0.3">
      <c r="A19" s="1796" t="str">
        <f>'M2-PDOT'!B18</f>
        <v>PDOT.SC.PA.CP.01</v>
      </c>
      <c r="B19" s="1832" t="str">
        <f>'M2-PDOT'!C18</f>
        <v>Socio Cultural</v>
      </c>
      <c r="C19" s="1818">
        <f>'M2-PLAN-Pi'!F28</f>
        <v>8.6100169897484775E-3</v>
      </c>
      <c r="D19" s="1812">
        <f>'DATA-TFR'!F19</f>
        <v>0.5</v>
      </c>
      <c r="E19" s="2565">
        <f>IFERROR(VLOOKUP(A19,'M4-AUDIT'!$A$5:$P$24,MATCH("Vi",'M4-AUDIT'!$A$4:$P$4,0),0),0)</f>
        <v>0</v>
      </c>
      <c r="F19" s="2548">
        <f>IFERROR(VLOOKUP(A19,'M4-AUDIT'!$A$5:$P$24,MATCH("Ti (H)",'M4-AUDIT'!$A$4:$P$4,0),0),0)</f>
        <v>0.2</v>
      </c>
      <c r="G19" s="2617">
        <f t="shared" si="0"/>
        <v>0</v>
      </c>
      <c r="H19" s="1818">
        <f t="shared" si="1"/>
        <v>4.3050084948742387E-3</v>
      </c>
      <c r="I19" s="2549">
        <f>IFERROR(VLOOKUP(A19,'M4-AUDIT'!$A$5:$P$24,MATCH("Pi / Ci",'M4-AUDIT'!$A$4:$P$4,0),0),0.75)</f>
        <v>1</v>
      </c>
      <c r="J19" s="1787" t="str">
        <f t="shared" si="2"/>
        <v>⬛ Vi=0 SIN EVIDENCIA</v>
      </c>
      <c r="K19" s="1787"/>
      <c r="L19" s="1787"/>
      <c r="M19" s="1922"/>
      <c r="N19" s="2610"/>
      <c r="O19" s="2581"/>
      <c r="P19" s="2569"/>
      <c r="Q19" s="2569"/>
      <c r="R19" s="2569"/>
      <c r="S19" s="2569"/>
      <c r="T19" s="2569"/>
      <c r="U19" s="2569"/>
      <c r="V19" s="2569"/>
      <c r="W19" s="2569"/>
      <c r="X19" s="2569"/>
      <c r="Y19" s="2569"/>
      <c r="Z19" s="2569"/>
      <c r="AA19" s="48"/>
    </row>
    <row r="20" spans="1:27" s="11" customFormat="1" ht="25.95" customHeight="1" x14ac:dyDescent="0.3">
      <c r="A20" s="1795" t="str">
        <f>'M2-PDOT'!B19</f>
        <v>PDOT.EP.OE5.PD.01</v>
      </c>
      <c r="B20" s="1831" t="str">
        <f>'M2-PDOT'!C19</f>
        <v>Económico Productivo</v>
      </c>
      <c r="C20" s="1817">
        <f>'M2-PLAN-Pi'!F29</f>
        <v>3.3271362671826298E-3</v>
      </c>
      <c r="D20" s="1811">
        <f>'DATA-TFR'!F20</f>
        <v>0.5</v>
      </c>
      <c r="E20" s="2566">
        <f>IFERROR(VLOOKUP(A20,'M4-AUDIT'!$A$5:$P$24,MATCH("Vi",'M4-AUDIT'!$A$4:$P$4,0),0),0)</f>
        <v>1</v>
      </c>
      <c r="F20" s="2560">
        <f>IFERROR(VLOOKUP(A20,'M4-AUDIT'!$A$5:$P$24,MATCH("Ti (H)",'M4-AUDIT'!$A$4:$P$4,0),0),0)</f>
        <v>0.7</v>
      </c>
      <c r="G20" s="1817">
        <f t="shared" si="0"/>
        <v>1.1644976935139204E-3</v>
      </c>
      <c r="H20" s="1817">
        <f t="shared" si="1"/>
        <v>1.6635681335913149E-3</v>
      </c>
      <c r="I20" s="2561">
        <f>IFERROR(VLOOKUP(A20,'M4-AUDIT'!$A$5:$P$24,MATCH("Pi / Ci",'M4-AUDIT'!$A$4:$P$4,0),0),0.75)</f>
        <v>1</v>
      </c>
      <c r="J20" s="1784" t="str">
        <f t="shared" si="2"/>
        <v>🟢</v>
      </c>
      <c r="K20" s="1784"/>
      <c r="L20" s="1784"/>
      <c r="M20" s="1931"/>
      <c r="N20" s="2609"/>
      <c r="O20" s="2581"/>
      <c r="P20" s="2569"/>
      <c r="Q20" s="2569"/>
      <c r="R20" s="2569"/>
      <c r="S20" s="2569"/>
      <c r="T20" s="2569"/>
      <c r="U20" s="2569"/>
      <c r="V20" s="2569"/>
      <c r="W20" s="2569"/>
      <c r="X20" s="2569"/>
      <c r="Y20" s="2569"/>
      <c r="Z20" s="2569"/>
      <c r="AA20" s="48"/>
    </row>
    <row r="21" spans="1:27" s="11" customFormat="1" ht="25.95" customHeight="1" x14ac:dyDescent="0.3">
      <c r="A21" s="1796" t="str">
        <f>'M2-PDOT'!B20</f>
        <v>PDOT.SC.PA.CP.02</v>
      </c>
      <c r="B21" s="1832" t="str">
        <f>'M2-PDOT'!C20</f>
        <v>Socio Cultural</v>
      </c>
      <c r="C21" s="1818">
        <f>'M2-PLAN-Pi'!F30</f>
        <v>6.4989128752281538E-3</v>
      </c>
      <c r="D21" s="1812">
        <f>'DATA-TFR'!F21</f>
        <v>0.5</v>
      </c>
      <c r="E21" s="2565">
        <f>IFERROR(VLOOKUP(A21,'M4-AUDIT'!$A$5:$P$24,MATCH("Vi",'M4-AUDIT'!$A$4:$P$4,0),0),0)</f>
        <v>1</v>
      </c>
      <c r="F21" s="2548">
        <f>IFERROR(VLOOKUP(A21,'M4-AUDIT'!$A$5:$P$24,MATCH("Ti (H)",'M4-AUDIT'!$A$4:$P$4,0),0),0)</f>
        <v>1</v>
      </c>
      <c r="G21" s="1818">
        <f t="shared" si="0"/>
        <v>3.2494564376140769E-3</v>
      </c>
      <c r="H21" s="1818">
        <f t="shared" si="1"/>
        <v>3.2494564376140769E-3</v>
      </c>
      <c r="I21" s="2549">
        <f>IFERROR(VLOOKUP(A21,'M4-AUDIT'!$A$5:$P$24,MATCH("Pi / Ci",'M4-AUDIT'!$A$4:$P$4,0),0),0.75)</f>
        <v>1</v>
      </c>
      <c r="J21" s="1787" t="str">
        <f t="shared" si="2"/>
        <v>🔵</v>
      </c>
      <c r="K21" s="1787"/>
      <c r="L21" s="1787"/>
      <c r="M21" s="1922"/>
      <c r="N21" s="2610"/>
      <c r="O21" s="2581"/>
      <c r="P21" s="2569"/>
      <c r="Q21" s="2569"/>
      <c r="R21" s="2569"/>
      <c r="S21" s="2569"/>
      <c r="T21" s="2569"/>
      <c r="U21" s="2569"/>
      <c r="V21" s="2569"/>
      <c r="W21" s="2569"/>
      <c r="X21" s="2569"/>
      <c r="Y21" s="2569"/>
      <c r="Z21" s="2569"/>
      <c r="AA21" s="48"/>
    </row>
    <row r="22" spans="1:27" s="11" customFormat="1" ht="25.95" customHeight="1" x14ac:dyDescent="0.3">
      <c r="A22" s="1795" t="str">
        <f>'M2-PDOT'!B21</f>
        <v>PDOT.AS.VL.SV.01</v>
      </c>
      <c r="B22" s="1831" t="str">
        <f>'M2-PDOT'!C21</f>
        <v>Asentamientos Humanos</v>
      </c>
      <c r="C22" s="1817">
        <f>'M2-PLAN-Pi'!F31</f>
        <v>4.6377193935222705E-3</v>
      </c>
      <c r="D22" s="1811">
        <f>'DATA-TFR'!F22</f>
        <v>1</v>
      </c>
      <c r="E22" s="2566">
        <f>IFERROR(VLOOKUP(A22,'M4-AUDIT'!$A$5:$P$24,MATCH("Vi",'M4-AUDIT'!$A$4:$P$4,0),0),0)</f>
        <v>1</v>
      </c>
      <c r="F22" s="2560">
        <f>IFERROR(VLOOKUP(A22,'M4-AUDIT'!$A$5:$P$24,MATCH("Ti (H)",'M4-AUDIT'!$A$4:$P$4,0),0),0)</f>
        <v>0.35</v>
      </c>
      <c r="G22" s="1817">
        <f t="shared" si="0"/>
        <v>1.6232017877327947E-3</v>
      </c>
      <c r="H22" s="1817">
        <f t="shared" si="1"/>
        <v>4.6377193935222705E-3</v>
      </c>
      <c r="I22" s="2561">
        <f>IFERROR(VLOOKUP(A22,'M4-AUDIT'!$A$5:$P$24,MATCH("Pi / Ci",'M4-AUDIT'!$A$4:$P$4,0),0),0.75)</f>
        <v>1</v>
      </c>
      <c r="J22" s="1784" t="str">
        <f t="shared" si="2"/>
        <v>🔴</v>
      </c>
      <c r="K22" s="1784"/>
      <c r="L22" s="1784"/>
      <c r="M22" s="1931"/>
      <c r="N22" s="2609"/>
      <c r="O22" s="2581"/>
      <c r="P22" s="2569"/>
      <c r="Q22" s="2569"/>
      <c r="R22" s="2569"/>
      <c r="S22" s="2569"/>
      <c r="T22" s="2569"/>
      <c r="U22" s="2569"/>
      <c r="V22" s="2569"/>
      <c r="W22" s="2569"/>
      <c r="X22" s="2569"/>
      <c r="Y22" s="2569"/>
      <c r="Z22" s="2569"/>
      <c r="AA22" s="48"/>
    </row>
    <row r="23" spans="1:27" s="11" customFormat="1" ht="25.95" customHeight="1" x14ac:dyDescent="0.3">
      <c r="A23" s="1796" t="str">
        <f>'M2-PDOT'!B22</f>
        <v>PDOT.SC.OE2.M2.01</v>
      </c>
      <c r="B23" s="1832" t="str">
        <f>'M2-PDOT'!C22</f>
        <v>Socio Cultural</v>
      </c>
      <c r="C23" s="1818">
        <f>'M2-PLAN-Pi'!F32</f>
        <v>4.364912370373902E-3</v>
      </c>
      <c r="D23" s="1812">
        <f>'DATA-TFR'!F23</f>
        <v>1</v>
      </c>
      <c r="E23" s="2565">
        <f>IFERROR(VLOOKUP(A23,'M4-AUDIT'!$A$5:$P$24,MATCH("Vi",'M4-AUDIT'!$A$4:$P$4,0),0),0)</f>
        <v>1</v>
      </c>
      <c r="F23" s="2548">
        <f>IFERROR(VLOOKUP(A23,'M4-AUDIT'!$A$5:$P$24,MATCH("Ti (H)",'M4-AUDIT'!$A$4:$P$4,0),0),0)</f>
        <v>0.3</v>
      </c>
      <c r="G23" s="1818">
        <f t="shared" si="0"/>
        <v>1.3094737111121705E-3</v>
      </c>
      <c r="H23" s="1818">
        <f t="shared" si="1"/>
        <v>4.364912370373902E-3</v>
      </c>
      <c r="I23" s="2549">
        <f>IFERROR(VLOOKUP(A23,'M4-AUDIT'!$A$5:$P$24,MATCH("Pi / Ci",'M4-AUDIT'!$A$4:$P$4,0),0),0.75)</f>
        <v>1</v>
      </c>
      <c r="J23" s="1787" t="str">
        <f t="shared" si="2"/>
        <v>🔴</v>
      </c>
      <c r="K23" s="1787"/>
      <c r="L23" s="1787"/>
      <c r="M23" s="1922"/>
      <c r="N23" s="2610"/>
      <c r="O23" s="2581"/>
      <c r="P23" s="2569"/>
      <c r="Q23" s="2569"/>
      <c r="R23" s="2569"/>
      <c r="S23" s="2569"/>
      <c r="T23" s="2569"/>
      <c r="U23" s="2569"/>
      <c r="V23" s="2569"/>
      <c r="W23" s="2569"/>
      <c r="X23" s="2569"/>
      <c r="Y23" s="2569"/>
      <c r="Z23" s="2569"/>
      <c r="AA23" s="48"/>
    </row>
    <row r="24" spans="1:27" s="11" customFormat="1" ht="25.95" customHeight="1" x14ac:dyDescent="0.3">
      <c r="A24" s="1797" t="str">
        <f>'M2-PDOT'!B23</f>
        <v>PDOT.FA.OE2.MA.01</v>
      </c>
      <c r="B24" s="1887" t="str">
        <f>'M2-PDOT'!C23</f>
        <v>Físico Ambiental</v>
      </c>
      <c r="C24" s="2611">
        <f>'M2-PLAN-Pi'!F33</f>
        <v>4.1568709469966139E-3</v>
      </c>
      <c r="D24" s="1898">
        <f>'DATA-TFR'!F24</f>
        <v>0.5</v>
      </c>
      <c r="E24" s="2612">
        <f>IFERROR(VLOOKUP(A24,'M4-AUDIT'!$A$5:$P$24,MATCH("Vi",'M4-AUDIT'!$A$4:$P$4,0),0),0)</f>
        <v>1</v>
      </c>
      <c r="F24" s="2613">
        <f>IFERROR(VLOOKUP(A24,'M4-AUDIT'!$A$5:$P$24,MATCH("Ti (H)",'M4-AUDIT'!$A$4:$P$4,0),0),0)</f>
        <v>0.35</v>
      </c>
      <c r="G24" s="2611">
        <f t="shared" si="0"/>
        <v>7.2745241572440744E-4</v>
      </c>
      <c r="H24" s="2611">
        <f t="shared" si="1"/>
        <v>2.078435473498307E-3</v>
      </c>
      <c r="I24" s="2614">
        <f>IFERROR(VLOOKUP(A24,'M4-AUDIT'!$A$5:$P$24,MATCH("Pi / Ci",'M4-AUDIT'!$A$4:$P$4,0),0),0.75)</f>
        <v>1</v>
      </c>
      <c r="J24" s="1798" t="str">
        <f t="shared" si="2"/>
        <v>🔴</v>
      </c>
      <c r="K24" s="1798"/>
      <c r="L24" s="1798"/>
      <c r="M24" s="2615"/>
      <c r="N24" s="2616"/>
      <c r="O24" s="2581"/>
      <c r="P24" s="2569"/>
      <c r="Q24" s="2569"/>
      <c r="R24" s="2569"/>
      <c r="S24" s="2569"/>
      <c r="T24" s="2569"/>
      <c r="U24" s="2569"/>
      <c r="V24" s="2569"/>
      <c r="W24" s="2569"/>
      <c r="X24" s="2569"/>
      <c r="Y24" s="2569"/>
      <c r="Z24" s="2569"/>
      <c r="AA24" s="48"/>
    </row>
    <row r="25" spans="1:27" s="11" customFormat="1" ht="24" customHeight="1" x14ac:dyDescent="0.3">
      <c r="A25" s="2594" t="s">
        <v>1495</v>
      </c>
      <c r="B25" s="2595" t="s">
        <v>689</v>
      </c>
      <c r="C25" s="2596" t="s">
        <v>689</v>
      </c>
      <c r="D25" s="2595" t="s">
        <v>689</v>
      </c>
      <c r="E25" s="2595" t="s">
        <v>689</v>
      </c>
      <c r="F25" s="2595" t="s">
        <v>689</v>
      </c>
      <c r="G25" s="2597">
        <f>SUM(G5:G24)</f>
        <v>0.40799226206643363</v>
      </c>
      <c r="H25" s="2597">
        <f>SUM(H5:H24)</f>
        <v>1.0659048387170003</v>
      </c>
      <c r="I25" s="2595" t="s">
        <v>689</v>
      </c>
      <c r="J25" s="2595"/>
      <c r="K25" s="2595"/>
      <c r="L25" s="2595"/>
      <c r="M25" s="2598"/>
      <c r="N25" s="2599"/>
      <c r="O25" s="2577"/>
      <c r="P25" s="2570"/>
      <c r="Q25" s="2570"/>
      <c r="R25" s="2570"/>
      <c r="S25" s="2570"/>
      <c r="T25" s="2570"/>
      <c r="U25" s="2570"/>
      <c r="V25" s="2570"/>
      <c r="W25" s="2570"/>
      <c r="X25" s="2570"/>
      <c r="Y25" s="2570"/>
      <c r="Z25" s="2570"/>
      <c r="AA25" s="48"/>
    </row>
    <row r="26" spans="1:27" s="11" customFormat="1" ht="19.95" customHeight="1" x14ac:dyDescent="0.3">
      <c r="A26" s="3745" t="s">
        <v>1496</v>
      </c>
      <c r="B26" s="3746"/>
      <c r="C26" s="3746"/>
      <c r="D26" s="3746"/>
      <c r="E26" s="3746"/>
      <c r="F26" s="3746"/>
      <c r="G26" s="3746"/>
      <c r="H26" s="3746"/>
      <c r="I26" s="3746"/>
      <c r="J26" s="3746"/>
      <c r="K26" s="3746"/>
      <c r="L26" s="3746"/>
      <c r="M26" s="3746"/>
      <c r="N26" s="3747"/>
      <c r="O26" s="3644"/>
      <c r="P26" s="3644"/>
      <c r="Q26" s="3644"/>
      <c r="R26" s="3644"/>
      <c r="S26" s="3644"/>
      <c r="T26" s="3644"/>
      <c r="U26" s="3644"/>
      <c r="V26" s="3644"/>
      <c r="W26" s="3644"/>
      <c r="X26" s="3644"/>
      <c r="Y26" s="3644"/>
      <c r="Z26" s="3645"/>
      <c r="AA26" s="48"/>
    </row>
    <row r="27" spans="1:27" s="11" customFormat="1" ht="22.05" customHeight="1" x14ac:dyDescent="0.3">
      <c r="A27" s="2578" t="s">
        <v>4504</v>
      </c>
      <c r="B27" s="2579"/>
      <c r="C27" s="2579"/>
      <c r="D27" s="2579"/>
      <c r="E27" s="2579"/>
      <c r="F27" s="2579"/>
      <c r="G27" s="2580"/>
      <c r="H27" s="2580"/>
      <c r="I27" s="2579"/>
      <c r="J27" s="2579"/>
      <c r="K27" s="2579"/>
      <c r="L27" s="2579"/>
      <c r="M27" s="2588"/>
      <c r="N27" s="2589"/>
      <c r="O27" s="2577"/>
      <c r="P27" s="2570"/>
      <c r="Q27" s="2570"/>
      <c r="R27" s="2570"/>
      <c r="S27" s="2570"/>
      <c r="T27" s="2570"/>
      <c r="U27" s="2570"/>
      <c r="V27" s="2570"/>
      <c r="W27" s="2570"/>
      <c r="X27" s="2570"/>
      <c r="Y27" s="2570"/>
      <c r="Z27" s="2570"/>
      <c r="AA27" s="48"/>
    </row>
    <row r="28" spans="1:27" s="11" customFormat="1" ht="18" customHeight="1" x14ac:dyDescent="0.3">
      <c r="A28" s="3748" t="s">
        <v>1497</v>
      </c>
      <c r="B28" s="3749"/>
      <c r="C28" s="3749"/>
      <c r="D28" s="3749"/>
      <c r="E28" s="3749"/>
      <c r="F28" s="3749"/>
      <c r="G28" s="3749"/>
      <c r="H28" s="3749"/>
      <c r="I28" s="3749"/>
      <c r="J28" s="3749"/>
      <c r="K28" s="3749"/>
      <c r="L28" s="3749"/>
      <c r="M28" s="3749"/>
      <c r="N28" s="3750"/>
      <c r="O28" s="3751"/>
      <c r="P28" s="3751"/>
      <c r="Q28" s="3751"/>
      <c r="R28" s="3751"/>
      <c r="S28" s="3751"/>
      <c r="T28" s="3751"/>
      <c r="U28" s="3751"/>
      <c r="V28" s="3751"/>
      <c r="W28" s="3751"/>
      <c r="X28" s="3751"/>
      <c r="Y28" s="3751"/>
      <c r="Z28" s="3752"/>
      <c r="AA28" s="48"/>
    </row>
    <row r="29" spans="1:27" s="11" customFormat="1" ht="31.95" customHeight="1" x14ac:dyDescent="0.3">
      <c r="A29" s="3744" t="s">
        <v>1498</v>
      </c>
      <c r="B29" s="3737"/>
      <c r="C29" s="3737"/>
      <c r="D29" s="3737"/>
      <c r="E29" s="3737"/>
      <c r="F29" s="3737"/>
      <c r="G29" s="3736">
        <f>(G25/H25)*100</f>
        <v>38.276612249694111</v>
      </c>
      <c r="H29" s="3737"/>
      <c r="I29" s="2584"/>
      <c r="J29" s="2584"/>
      <c r="K29" s="2584"/>
      <c r="L29" s="2584"/>
      <c r="M29" s="2590"/>
      <c r="N29" s="2591"/>
      <c r="O29" s="2581"/>
      <c r="P29" s="2569"/>
      <c r="Q29" s="2569"/>
      <c r="R29" s="2569"/>
      <c r="S29" s="2569"/>
      <c r="T29" s="2569"/>
      <c r="U29" s="2569"/>
      <c r="V29" s="2569"/>
      <c r="W29" s="2569"/>
      <c r="X29" s="2569"/>
      <c r="Y29" s="2569"/>
      <c r="Z29" s="2569"/>
      <c r="AA29" s="48"/>
    </row>
    <row r="30" spans="1:27" s="11" customFormat="1" ht="13.95" customHeight="1" x14ac:dyDescent="0.3">
      <c r="A30" s="2582"/>
      <c r="B30" s="2583" t="s">
        <v>4976</v>
      </c>
      <c r="C30" s="2583"/>
      <c r="D30" s="2583"/>
      <c r="E30" s="2583"/>
      <c r="F30" s="2583"/>
      <c r="G30" s="2583"/>
      <c r="H30" s="2583"/>
      <c r="I30" s="2583"/>
      <c r="J30" s="2583"/>
      <c r="K30" s="2583"/>
      <c r="L30" s="2583"/>
      <c r="M30" s="2592"/>
      <c r="N30" s="2593"/>
      <c r="O30" s="2585"/>
      <c r="P30" s="2571"/>
      <c r="Q30" s="2571"/>
      <c r="R30" s="2571"/>
      <c r="S30" s="2571"/>
      <c r="T30" s="2571"/>
      <c r="U30" s="2571"/>
      <c r="V30" s="2571"/>
      <c r="W30" s="2571"/>
      <c r="X30" s="2571"/>
      <c r="Y30" s="2571"/>
      <c r="Z30" s="2572" t="s">
        <v>1499</v>
      </c>
      <c r="AA30" s="50"/>
    </row>
    <row r="31" spans="1:27" s="11" customFormat="1" ht="37.950000000000003" customHeight="1" x14ac:dyDescent="0.3">
      <c r="A31" s="2556"/>
      <c r="B31" s="2556"/>
      <c r="C31" s="2556"/>
      <c r="D31" s="2556"/>
      <c r="E31" s="2556"/>
      <c r="F31" s="2556"/>
      <c r="G31" s="2556"/>
      <c r="H31" s="2556"/>
      <c r="I31" s="2556"/>
      <c r="J31" s="2556"/>
      <c r="K31" s="2556"/>
      <c r="L31" s="2556"/>
      <c r="M31" s="2556"/>
      <c r="N31" s="2556"/>
      <c r="O31" s="1248"/>
      <c r="P31" s="1248"/>
      <c r="Q31" s="1248"/>
      <c r="R31" s="1248"/>
      <c r="S31" s="1248"/>
      <c r="T31" s="1248"/>
      <c r="U31" s="1248"/>
      <c r="V31" s="1248"/>
      <c r="W31" s="1248"/>
      <c r="X31" s="1248"/>
      <c r="Y31" s="1248"/>
      <c r="Z31" s="1248"/>
    </row>
    <row r="32" spans="1:27" x14ac:dyDescent="0.3">
      <c r="A32" s="1720"/>
      <c r="B32" s="1720"/>
      <c r="C32" s="1720"/>
      <c r="D32" s="1720"/>
      <c r="E32" s="1720"/>
      <c r="F32" s="1720"/>
      <c r="G32" s="1720"/>
      <c r="H32" s="1720"/>
      <c r="I32" s="1720"/>
      <c r="J32" s="1720"/>
      <c r="K32" s="1720"/>
      <c r="L32" s="1720"/>
      <c r="M32" s="1720"/>
      <c r="N32" s="1720"/>
      <c r="O32" s="1757"/>
      <c r="P32" s="1757"/>
      <c r="Q32" s="1757"/>
      <c r="R32" s="1757"/>
      <c r="S32" s="1757"/>
      <c r="T32" s="1757"/>
      <c r="U32" s="1757"/>
      <c r="V32" s="1757"/>
      <c r="W32" s="1757"/>
      <c r="X32" s="1757"/>
      <c r="Y32" s="1757"/>
      <c r="Z32" s="1757"/>
    </row>
  </sheetData>
  <mergeCells count="6">
    <mergeCell ref="A1:Z1"/>
    <mergeCell ref="G29:H29"/>
    <mergeCell ref="A3:Z3"/>
    <mergeCell ref="A29:F29"/>
    <mergeCell ref="A26:Z26"/>
    <mergeCell ref="A28:Z28"/>
  </mergeCells>
  <conditionalFormatting sqref="C5:C24">
    <cfRule type="expression" dxfId="506" priority="7">
      <formula>C5&gt;0.15</formula>
    </cfRule>
  </conditionalFormatting>
  <conditionalFormatting sqref="E5:E24">
    <cfRule type="expression" dxfId="505" priority="6">
      <formula>E5=0</formula>
    </cfRule>
  </conditionalFormatting>
  <conditionalFormatting sqref="G5:G24">
    <cfRule type="expression" dxfId="504" priority="8">
      <formula>G5=0</formula>
    </cfRule>
  </conditionalFormatting>
  <conditionalFormatting sqref="G29">
    <cfRule type="expression" dxfId="503" priority="9">
      <formula>G29&lt;20</formula>
    </cfRule>
    <cfRule type="expression" dxfId="502" priority="10">
      <formula>AND(G29&gt;=20,G29&lt;40)</formula>
    </cfRule>
    <cfRule type="expression" dxfId="501" priority="11">
      <formula>AND(G29&gt;=40,G29&lt;70)</formula>
    </cfRule>
    <cfRule type="expression" dxfId="500" priority="12">
      <formula>AND(G29&gt;=70,G29&lt;90)</formula>
    </cfRule>
    <cfRule type="expression" dxfId="499" priority="13">
      <formula>G29&gt;=90</formula>
    </cfRule>
  </conditionalFormatting>
  <conditionalFormatting sqref="J5:J24">
    <cfRule type="containsText" dxfId="498" priority="1" operator="containsText" text="🔵">
      <formula>NOT(ISERROR(SEARCH("🔵",J5)))</formula>
    </cfRule>
    <cfRule type="containsText" dxfId="497" priority="2" operator="containsText" text="🟢">
      <formula>NOT(ISERROR(SEARCH("🟢",J5)))</formula>
    </cfRule>
    <cfRule type="containsText" dxfId="496" priority="3" operator="containsText" text="🟠">
      <formula>NOT(ISERROR(SEARCH("🟠",J5)))</formula>
    </cfRule>
    <cfRule type="containsText" dxfId="495" priority="4" operator="containsText" text="🔴">
      <formula>NOT(ISERROR(SEARCH("🔴",J5)))</formula>
    </cfRule>
    <cfRule type="containsText" dxfId="494" priority="5" operator="containsText" text="Vi=0">
      <formula>NOT(ISERROR(SEARCH("Vi=0",J5)))</formula>
    </cfRule>
  </conditionalFormatting>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E2EFDA"/>
  </sheetPr>
  <dimension ref="A1:Z59"/>
  <sheetViews>
    <sheetView showGridLines="0" zoomScale="66" zoomScaleNormal="66" workbookViewId="0">
      <pane ySplit="3" topLeftCell="A5" activePane="bottomLeft" state="frozen"/>
      <selection pane="bottomLeft" activeCell="E19" sqref="E19"/>
    </sheetView>
  </sheetViews>
  <sheetFormatPr baseColWidth="10" defaultRowHeight="14.4" x14ac:dyDescent="0.3"/>
  <cols>
    <col min="1" max="1" width="10.21875" customWidth="1"/>
    <col min="2" max="2" width="14.77734375" customWidth="1"/>
    <col min="3" max="3" width="12" customWidth="1"/>
    <col min="4" max="4" width="28.6640625" customWidth="1"/>
    <col min="5" max="5" width="50" customWidth="1"/>
    <col min="6" max="14" width="7.44140625" customWidth="1"/>
    <col min="22" max="22" width="7.88671875" bestFit="1" customWidth="1"/>
  </cols>
  <sheetData>
    <row r="1" spans="1:26" ht="28.05" customHeight="1" x14ac:dyDescent="0.3">
      <c r="A1" s="3698" t="s">
        <v>4839</v>
      </c>
      <c r="B1" s="3699"/>
      <c r="C1" s="3699"/>
      <c r="D1" s="3699"/>
      <c r="E1" s="3700"/>
      <c r="F1" s="3753"/>
      <c r="G1" s="3753"/>
      <c r="H1" s="3753"/>
      <c r="I1" s="3753"/>
      <c r="J1" s="3753"/>
      <c r="K1" s="3753"/>
      <c r="L1" s="3753"/>
      <c r="M1" s="3753"/>
      <c r="N1" s="3753"/>
      <c r="O1" s="3701"/>
      <c r="P1" s="3701"/>
      <c r="Q1" s="3701"/>
      <c r="R1" s="3701"/>
      <c r="S1" s="3701"/>
      <c r="T1" s="3701"/>
      <c r="U1" s="3701"/>
      <c r="V1" s="3701"/>
      <c r="W1" s="1757"/>
      <c r="X1" s="1757"/>
      <c r="Y1" s="1757"/>
      <c r="Z1" s="1757"/>
    </row>
    <row r="2" spans="1:26" ht="19.95" customHeight="1" x14ac:dyDescent="0.3">
      <c r="A2" s="2398" t="str">
        <f>HYPERLINK("#'M-INDEX'!A1","⌂ INDICE")</f>
        <v>⌂ INDICE</v>
      </c>
      <c r="B2" s="1764" t="str">
        <f>HYPERLINK("#'M1-ITME'!A1","M1")</f>
        <v>M1</v>
      </c>
      <c r="C2" s="1764" t="str">
        <f>HYPERLINK("#'M2-PDOT'!A1","M2")</f>
        <v>M2</v>
      </c>
      <c r="D2" s="1764" t="str">
        <f>HYPERLINK("#'M3-MAO'!A1","M3")</f>
        <v>M3</v>
      </c>
      <c r="E2" s="2399" t="str">
        <f>HYPERLINK("#'M4-AUDIT'!A1","M4")</f>
        <v>M4</v>
      </c>
      <c r="F2" s="1764" t="str">
        <f>HYPERLINK("#'M5-ICPI'!A1","M5")</f>
        <v>M5</v>
      </c>
      <c r="G2" s="1764" t="str">
        <f>HYPERLINK("#'M6-FEDS'!A1","M6")</f>
        <v>M6</v>
      </c>
      <c r="H2" s="1764" t="str">
        <f>HYPERLINK("#'M7-PROSP'!A1","M7")</f>
        <v>M7</v>
      </c>
      <c r="I2" s="1764" t="str">
        <f>HYPERLINK("#'DATA-POA'!A1","DATA-POA")</f>
        <v>DATA-POA</v>
      </c>
      <c r="J2" s="1764" t="str">
        <f>HYPERLINK("#'DATA-CNE'!A1","DATA-CNE")</f>
        <v>DATA-CNE</v>
      </c>
      <c r="K2" s="1764" t="str">
        <f>HYPERLINK("#'DATA-ORG'!A1","DATA-ORG")</f>
        <v>DATA-ORG</v>
      </c>
      <c r="L2" s="1764" t="str">
        <f>HYPERLINK("#'M-DASHBOARD'!A1","DASH")</f>
        <v>DASH</v>
      </c>
      <c r="M2" s="138"/>
      <c r="N2" s="138"/>
      <c r="O2" s="1734"/>
      <c r="P2" s="1734"/>
      <c r="Q2" s="1734"/>
      <c r="R2" s="1734"/>
      <c r="S2" s="1734"/>
      <c r="T2" s="1734"/>
      <c r="U2" s="1734"/>
      <c r="V2" s="1734"/>
      <c r="W2" s="1757"/>
      <c r="X2" s="1757"/>
      <c r="Y2" s="1757"/>
      <c r="Z2" s="1757"/>
    </row>
    <row r="3" spans="1:26" ht="15" customHeight="1" thickBot="1" x14ac:dyDescent="0.35">
      <c r="A3" s="3754" t="s">
        <v>4234</v>
      </c>
      <c r="B3" s="3755"/>
      <c r="C3" s="3755"/>
      <c r="D3" s="3755"/>
      <c r="E3" s="3756"/>
      <c r="F3" s="3757"/>
      <c r="G3" s="3757"/>
      <c r="H3" s="3757"/>
      <c r="I3" s="3757"/>
      <c r="J3" s="3757"/>
      <c r="K3" s="3757"/>
      <c r="L3" s="3757"/>
      <c r="M3" s="3757"/>
      <c r="N3" s="3757"/>
      <c r="O3" s="3758"/>
      <c r="P3" s="3758"/>
      <c r="Q3" s="3758"/>
      <c r="R3" s="3758"/>
      <c r="S3" s="3758"/>
      <c r="T3" s="3758"/>
      <c r="U3" s="3758"/>
      <c r="V3" s="3758"/>
      <c r="W3" s="1757"/>
      <c r="X3" s="1757"/>
      <c r="Y3" s="1757"/>
      <c r="Z3" s="1757"/>
    </row>
    <row r="4" spans="1:26" ht="22.05" customHeight="1" thickTop="1" x14ac:dyDescent="0.3">
      <c r="A4" s="3771" t="s">
        <v>5057</v>
      </c>
      <c r="B4" s="3772"/>
      <c r="C4" s="3772"/>
      <c r="D4" s="3772"/>
      <c r="E4" s="3773"/>
      <c r="F4" s="3774"/>
      <c r="G4" s="3774"/>
      <c r="H4" s="3774"/>
      <c r="I4" s="3774"/>
      <c r="J4" s="3774"/>
      <c r="K4" s="3774"/>
      <c r="L4" s="3774"/>
      <c r="M4" s="3774"/>
      <c r="N4" s="3774"/>
      <c r="O4" s="3775"/>
      <c r="P4" s="3775"/>
      <c r="Q4" s="3775"/>
      <c r="R4" s="3775"/>
      <c r="S4" s="3775"/>
      <c r="T4" s="3775"/>
      <c r="U4" s="3775"/>
      <c r="V4" s="3776"/>
      <c r="W4" s="1757"/>
      <c r="X4" s="1757"/>
      <c r="Y4" s="1757"/>
      <c r="Z4" s="1757"/>
    </row>
    <row r="5" spans="1:26" ht="42" customHeight="1" x14ac:dyDescent="0.3">
      <c r="A5" s="2442">
        <v>1</v>
      </c>
      <c r="B5" s="2443" t="s">
        <v>5047</v>
      </c>
      <c r="C5" s="2443" t="s">
        <v>1506</v>
      </c>
      <c r="D5" s="2458" t="s">
        <v>1507</v>
      </c>
      <c r="E5" s="2459" t="s">
        <v>5052</v>
      </c>
      <c r="F5" s="2426"/>
      <c r="G5" s="2427"/>
      <c r="H5" s="2427"/>
      <c r="I5" s="2427"/>
      <c r="J5" s="2427"/>
      <c r="K5" s="2428"/>
      <c r="L5" s="2428"/>
      <c r="M5" s="2428"/>
      <c r="N5" s="2428"/>
      <c r="O5" s="235"/>
      <c r="P5" s="235"/>
      <c r="Q5" s="235"/>
      <c r="R5" s="235"/>
      <c r="S5" s="235"/>
      <c r="T5" s="235"/>
      <c r="U5" s="235"/>
      <c r="V5" s="236"/>
      <c r="W5" s="1757"/>
      <c r="X5" s="1757"/>
      <c r="Y5" s="1757"/>
      <c r="Z5" s="1757"/>
    </row>
    <row r="6" spans="1:26" s="11" customFormat="1" ht="42" customHeight="1" x14ac:dyDescent="0.3">
      <c r="A6" s="2460">
        <v>2</v>
      </c>
      <c r="B6" s="2436" t="s">
        <v>5048</v>
      </c>
      <c r="C6" s="2436" t="s">
        <v>1508</v>
      </c>
      <c r="D6" s="2437" t="s">
        <v>1509</v>
      </c>
      <c r="E6" s="2461" t="s">
        <v>5053</v>
      </c>
      <c r="F6" s="2429"/>
      <c r="G6" s="2430"/>
      <c r="H6" s="2430"/>
      <c r="I6" s="2430"/>
      <c r="J6" s="2430"/>
      <c r="K6" s="2431"/>
      <c r="L6" s="2431"/>
      <c r="M6" s="2431"/>
      <c r="N6" s="2431"/>
      <c r="O6" s="238"/>
      <c r="P6" s="238"/>
      <c r="Q6" s="238"/>
      <c r="R6" s="238"/>
      <c r="S6" s="238"/>
      <c r="T6" s="238"/>
      <c r="U6" s="238"/>
      <c r="V6" s="239"/>
      <c r="W6" s="1248"/>
      <c r="X6" s="1248"/>
      <c r="Y6" s="1248"/>
      <c r="Z6" s="1248"/>
    </row>
    <row r="7" spans="1:26" s="11" customFormat="1" ht="42" customHeight="1" x14ac:dyDescent="0.3">
      <c r="A7" s="2462">
        <v>3</v>
      </c>
      <c r="B7" s="2438" t="s">
        <v>5049</v>
      </c>
      <c r="C7" s="2438" t="s">
        <v>1510</v>
      </c>
      <c r="D7" s="2439" t="s">
        <v>1511</v>
      </c>
      <c r="E7" s="2463" t="s">
        <v>5054</v>
      </c>
      <c r="F7" s="2429"/>
      <c r="G7" s="2430"/>
      <c r="H7" s="2430"/>
      <c r="I7" s="2430"/>
      <c r="J7" s="2430"/>
      <c r="K7" s="2431"/>
      <c r="L7" s="2431"/>
      <c r="M7" s="2431"/>
      <c r="N7" s="2431"/>
      <c r="O7" s="238"/>
      <c r="P7" s="238"/>
      <c r="Q7" s="238"/>
      <c r="R7" s="238"/>
      <c r="S7" s="238"/>
      <c r="T7" s="238"/>
      <c r="U7" s="238"/>
      <c r="V7" s="239"/>
      <c r="W7" s="1248"/>
      <c r="X7" s="1248"/>
      <c r="Y7" s="1248"/>
      <c r="Z7" s="1248"/>
    </row>
    <row r="8" spans="1:26" s="11" customFormat="1" ht="42" customHeight="1" x14ac:dyDescent="0.3">
      <c r="A8" s="2464">
        <v>4</v>
      </c>
      <c r="B8" s="2440" t="s">
        <v>5050</v>
      </c>
      <c r="C8" s="2440" t="s">
        <v>1512</v>
      </c>
      <c r="D8" s="2441" t="s">
        <v>1513</v>
      </c>
      <c r="E8" s="2465" t="s">
        <v>5055</v>
      </c>
      <c r="F8" s="2429"/>
      <c r="G8" s="2430"/>
      <c r="H8" s="2430"/>
      <c r="I8" s="2430"/>
      <c r="J8" s="2430"/>
      <c r="K8" s="2431"/>
      <c r="L8" s="2431"/>
      <c r="M8" s="2431"/>
      <c r="N8" s="2431"/>
      <c r="O8" s="238"/>
      <c r="P8" s="238"/>
      <c r="Q8" s="238"/>
      <c r="R8" s="238"/>
      <c r="S8" s="238"/>
      <c r="T8" s="238"/>
      <c r="U8" s="238"/>
      <c r="V8" s="239"/>
      <c r="W8" s="1248"/>
      <c r="X8" s="1248"/>
      <c r="Y8" s="1248"/>
      <c r="Z8" s="1248"/>
    </row>
    <row r="9" spans="1:26" s="11" customFormat="1" ht="42" customHeight="1" x14ac:dyDescent="0.3">
      <c r="A9" s="2466">
        <v>5</v>
      </c>
      <c r="B9" s="2467" t="s">
        <v>5051</v>
      </c>
      <c r="C9" s="2467" t="s">
        <v>1514</v>
      </c>
      <c r="D9" s="2468" t="s">
        <v>1515</v>
      </c>
      <c r="E9" s="2469" t="s">
        <v>5056</v>
      </c>
      <c r="F9" s="2429"/>
      <c r="G9" s="2430"/>
      <c r="H9" s="2430"/>
      <c r="I9" s="2430"/>
      <c r="J9" s="2430"/>
      <c r="K9" s="2431"/>
      <c r="L9" s="2431"/>
      <c r="M9" s="2431"/>
      <c r="N9" s="2431"/>
      <c r="O9" s="238"/>
      <c r="P9" s="238"/>
      <c r="Q9" s="238"/>
      <c r="R9" s="238"/>
      <c r="S9" s="238"/>
      <c r="T9" s="238"/>
      <c r="U9" s="238"/>
      <c r="V9" s="239"/>
      <c r="W9" s="1248"/>
      <c r="X9" s="1248"/>
      <c r="Y9" s="1248"/>
      <c r="Z9" s="1248"/>
    </row>
    <row r="10" spans="1:26" s="11" customFormat="1" ht="6" customHeight="1" x14ac:dyDescent="0.3">
      <c r="A10" s="2400"/>
      <c r="B10" s="2354"/>
      <c r="C10" s="2354"/>
      <c r="D10" s="2401"/>
      <c r="E10" s="2402"/>
      <c r="F10" s="2057"/>
      <c r="G10" s="2057"/>
      <c r="H10" s="2057"/>
      <c r="I10" s="2057"/>
      <c r="J10" s="2057"/>
      <c r="K10" s="2058"/>
      <c r="L10" s="2058"/>
      <c r="M10" s="2058"/>
      <c r="N10" s="2058"/>
      <c r="O10" s="238"/>
      <c r="P10" s="238"/>
      <c r="Q10" s="238"/>
      <c r="R10" s="238"/>
      <c r="S10" s="238"/>
      <c r="T10" s="238"/>
      <c r="U10" s="238"/>
      <c r="V10" s="239"/>
      <c r="W10" s="1248"/>
      <c r="X10" s="1248"/>
      <c r="Y10" s="1248"/>
      <c r="Z10" s="1248"/>
    </row>
    <row r="11" spans="1:26" s="11" customFormat="1" ht="22.05" customHeight="1" x14ac:dyDescent="0.3">
      <c r="A11" s="3759" t="s">
        <v>1516</v>
      </c>
      <c r="B11" s="3760"/>
      <c r="C11" s="3760"/>
      <c r="D11" s="3761"/>
      <c r="E11" s="3762"/>
      <c r="F11" s="3763"/>
      <c r="G11" s="3763"/>
      <c r="H11" s="3763"/>
      <c r="I11" s="3763"/>
      <c r="J11" s="3763"/>
      <c r="K11" s="3763"/>
      <c r="L11" s="3763"/>
      <c r="M11" s="3763"/>
      <c r="N11" s="3763"/>
      <c r="O11" s="3764"/>
      <c r="P11" s="3764"/>
      <c r="Q11" s="3764"/>
      <c r="R11" s="3764"/>
      <c r="S11" s="3764"/>
      <c r="T11" s="3764"/>
      <c r="U11" s="3764"/>
      <c r="V11" s="3765"/>
      <c r="W11" s="1248"/>
      <c r="X11" s="1248"/>
      <c r="Y11" s="1248"/>
      <c r="Z11" s="1248"/>
    </row>
    <row r="12" spans="1:26" s="11" customFormat="1" ht="31.95" customHeight="1" x14ac:dyDescent="0.3">
      <c r="A12" s="2403" t="s">
        <v>1517</v>
      </c>
      <c r="B12" s="2404" t="s">
        <v>1518</v>
      </c>
      <c r="C12" s="2404" t="s">
        <v>85</v>
      </c>
      <c r="D12" s="2405" t="s">
        <v>1519</v>
      </c>
      <c r="E12" s="2406" t="s">
        <v>1520</v>
      </c>
      <c r="F12" s="2429"/>
      <c r="G12" s="2430"/>
      <c r="H12" s="2430"/>
      <c r="I12" s="2430"/>
      <c r="J12" s="2430"/>
      <c r="K12" s="2431"/>
      <c r="L12" s="2431"/>
      <c r="M12" s="2431"/>
      <c r="N12" s="2431"/>
      <c r="O12" s="238"/>
      <c r="P12" s="238"/>
      <c r="Q12" s="238"/>
      <c r="R12" s="238"/>
      <c r="S12" s="238"/>
      <c r="T12" s="238"/>
      <c r="U12" s="238"/>
      <c r="V12" s="239"/>
      <c r="W12" s="1248"/>
      <c r="X12" s="1248"/>
      <c r="Y12" s="1248"/>
      <c r="Z12" s="1248"/>
    </row>
    <row r="13" spans="1:26" s="11" customFormat="1" ht="42" customHeight="1" x14ac:dyDescent="0.3">
      <c r="A13" s="2407" t="s">
        <v>1521</v>
      </c>
      <c r="B13" s="2423" t="str">
        <f>TEXT('M5-ICPI'!G29,"0,00%")</f>
        <v>3827,66%</v>
      </c>
      <c r="C13" s="2408" t="s">
        <v>1522</v>
      </c>
      <c r="D13" s="2408" t="s">
        <v>1523</v>
      </c>
      <c r="E13" s="2409" t="s">
        <v>1524</v>
      </c>
      <c r="F13" s="2429"/>
      <c r="G13" s="2430"/>
      <c r="H13" s="2430"/>
      <c r="I13" s="2430"/>
      <c r="J13" s="2430"/>
      <c r="K13" s="2431"/>
      <c r="L13" s="2431"/>
      <c r="M13" s="2431"/>
      <c r="N13" s="2431"/>
      <c r="O13" s="238"/>
      <c r="P13" s="238"/>
      <c r="Q13" s="238"/>
      <c r="R13" s="238"/>
      <c r="S13" s="238"/>
      <c r="T13" s="238"/>
      <c r="U13" s="238"/>
      <c r="V13" s="239"/>
      <c r="W13" s="1248"/>
      <c r="X13" s="1248"/>
      <c r="Y13" s="1248"/>
      <c r="Z13" s="1248"/>
    </row>
    <row r="14" spans="1:26" s="11" customFormat="1" ht="42" customHeight="1" x14ac:dyDescent="0.3">
      <c r="A14" s="2410" t="s">
        <v>1525</v>
      </c>
      <c r="B14" s="2411">
        <v>1</v>
      </c>
      <c r="C14" s="2412" t="s">
        <v>1526</v>
      </c>
      <c r="D14" s="2413" t="s">
        <v>1527</v>
      </c>
      <c r="E14" s="3358" t="s">
        <v>5067</v>
      </c>
      <c r="F14" s="2429"/>
      <c r="G14" s="2430"/>
      <c r="H14" s="2430"/>
      <c r="I14" s="2430"/>
      <c r="J14" s="2430"/>
      <c r="K14" s="2431"/>
      <c r="L14" s="2431"/>
      <c r="M14" s="2431"/>
      <c r="N14" s="2431"/>
      <c r="O14" s="238"/>
      <c r="P14" s="238"/>
      <c r="Q14" s="238"/>
      <c r="R14" s="238"/>
      <c r="S14" s="238"/>
      <c r="T14" s="238"/>
      <c r="U14" s="238"/>
      <c r="V14" s="239"/>
      <c r="W14" s="1248"/>
      <c r="X14" s="1248"/>
      <c r="Y14" s="1248"/>
      <c r="Z14" s="1248"/>
    </row>
    <row r="15" spans="1:26" s="11" customFormat="1" ht="42" customHeight="1" x14ac:dyDescent="0.3">
      <c r="A15" s="2414" t="s">
        <v>1528</v>
      </c>
      <c r="B15" s="2424" t="str">
        <f>TEXT(('M5-ICPI'!G26-1)*100,"0,00")&amp;" pp"</f>
        <v>-100,00 pp</v>
      </c>
      <c r="C15" s="2415" t="s">
        <v>1529</v>
      </c>
      <c r="D15" s="2415" t="s">
        <v>1530</v>
      </c>
      <c r="E15" s="2416" t="s">
        <v>1531</v>
      </c>
      <c r="F15" s="2429"/>
      <c r="G15" s="2430"/>
      <c r="H15" s="2430"/>
      <c r="I15" s="2430"/>
      <c r="J15" s="2430"/>
      <c r="K15" s="2431"/>
      <c r="L15" s="2431"/>
      <c r="M15" s="2431"/>
      <c r="N15" s="2431"/>
      <c r="O15" s="238"/>
      <c r="P15" s="238"/>
      <c r="Q15" s="238"/>
      <c r="R15" s="238"/>
      <c r="S15" s="238"/>
      <c r="T15" s="238"/>
      <c r="U15" s="238"/>
      <c r="V15" s="239"/>
      <c r="W15" s="1248"/>
      <c r="X15" s="1248"/>
      <c r="Y15" s="1248"/>
      <c r="Z15" s="1248"/>
    </row>
    <row r="16" spans="1:26" s="11" customFormat="1" ht="42" customHeight="1" x14ac:dyDescent="0.3">
      <c r="A16" s="2417" t="s">
        <v>1532</v>
      </c>
      <c r="B16" s="2425" t="s">
        <v>1533</v>
      </c>
      <c r="C16" s="2418" t="s">
        <v>1534</v>
      </c>
      <c r="D16" s="2418" t="s">
        <v>1535</v>
      </c>
      <c r="E16" s="2419" t="s">
        <v>1536</v>
      </c>
      <c r="F16" s="2429"/>
      <c r="G16" s="2430"/>
      <c r="H16" s="2430"/>
      <c r="I16" s="2430"/>
      <c r="J16" s="2430"/>
      <c r="K16" s="2431"/>
      <c r="L16" s="2431"/>
      <c r="M16" s="2431"/>
      <c r="N16" s="2431"/>
      <c r="O16" s="238"/>
      <c r="P16" s="238"/>
      <c r="Q16" s="238"/>
      <c r="R16" s="238"/>
      <c r="S16" s="238"/>
      <c r="T16" s="238"/>
      <c r="U16" s="238"/>
      <c r="V16" s="239"/>
      <c r="W16" s="1248"/>
      <c r="X16" s="1248"/>
      <c r="Y16" s="1248"/>
      <c r="Z16" s="1248"/>
    </row>
    <row r="17" spans="1:26" s="11" customFormat="1" ht="22.05" customHeight="1" x14ac:dyDescent="0.3">
      <c r="A17" s="3766" t="s">
        <v>1537</v>
      </c>
      <c r="B17" s="3767"/>
      <c r="C17" s="3767"/>
      <c r="D17" s="3768"/>
      <c r="E17" s="3769"/>
      <c r="F17" s="3770"/>
      <c r="G17" s="3770"/>
      <c r="H17" s="3770"/>
      <c r="I17" s="3770"/>
      <c r="J17" s="3770"/>
      <c r="K17" s="3770"/>
      <c r="L17" s="3770"/>
      <c r="M17" s="3770"/>
      <c r="N17" s="3770"/>
      <c r="O17" s="3764"/>
      <c r="P17" s="3764"/>
      <c r="Q17" s="3764"/>
      <c r="R17" s="3764"/>
      <c r="S17" s="3764"/>
      <c r="T17" s="3764"/>
      <c r="U17" s="3764"/>
      <c r="V17" s="3765"/>
      <c r="W17" s="1248"/>
      <c r="X17" s="1248"/>
      <c r="Y17" s="1248"/>
      <c r="Z17" s="1248"/>
    </row>
    <row r="18" spans="1:26" s="11" customFormat="1" ht="31.95" customHeight="1" x14ac:dyDescent="0.3">
      <c r="A18" s="2420" t="s">
        <v>1538</v>
      </c>
      <c r="B18" s="2421" t="s">
        <v>1539</v>
      </c>
      <c r="C18" s="2421" t="s">
        <v>1540</v>
      </c>
      <c r="D18" s="2421" t="s">
        <v>5058</v>
      </c>
      <c r="E18" s="2422" t="s">
        <v>1541</v>
      </c>
      <c r="F18" s="2429"/>
      <c r="G18" s="2430"/>
      <c r="H18" s="2430"/>
      <c r="I18" s="2430"/>
      <c r="J18" s="2430"/>
      <c r="K18" s="2431"/>
      <c r="L18" s="2431"/>
      <c r="M18" s="2431"/>
      <c r="N18" s="2431"/>
      <c r="O18" s="238"/>
      <c r="P18" s="238"/>
      <c r="Q18" s="238"/>
      <c r="R18" s="238"/>
      <c r="S18" s="238"/>
      <c r="T18" s="238"/>
      <c r="U18" s="238"/>
      <c r="V18" s="239"/>
      <c r="W18" s="1248"/>
      <c r="X18" s="1248"/>
      <c r="Y18" s="1248"/>
      <c r="Z18" s="1248"/>
    </row>
    <row r="19" spans="1:26" s="11" customFormat="1" ht="37.950000000000003" customHeight="1" x14ac:dyDescent="0.3">
      <c r="A19" s="2442" t="s">
        <v>1542</v>
      </c>
      <c r="B19" s="2443" t="s">
        <v>5047</v>
      </c>
      <c r="C19" s="2443" t="s">
        <v>1543</v>
      </c>
      <c r="D19" s="2443" t="s">
        <v>5059</v>
      </c>
      <c r="E19" s="2444" t="s">
        <v>1544</v>
      </c>
      <c r="F19" s="2429"/>
      <c r="G19" s="2430"/>
      <c r="H19" s="2430"/>
      <c r="I19" s="2430"/>
      <c r="J19" s="2430"/>
      <c r="K19" s="2431"/>
      <c r="L19" s="2431"/>
      <c r="M19" s="2431"/>
      <c r="N19" s="2431"/>
      <c r="O19" s="238"/>
      <c r="P19" s="238"/>
      <c r="Q19" s="238"/>
      <c r="R19" s="238"/>
      <c r="S19" s="238"/>
      <c r="T19" s="238"/>
      <c r="U19" s="238"/>
      <c r="V19" s="239"/>
      <c r="W19" s="1248"/>
      <c r="X19" s="1248"/>
      <c r="Y19" s="1248"/>
      <c r="Z19" s="1248"/>
    </row>
    <row r="20" spans="1:26" s="11" customFormat="1" ht="37.950000000000003" customHeight="1" x14ac:dyDescent="0.3">
      <c r="A20" s="2445" t="s">
        <v>1545</v>
      </c>
      <c r="B20" s="2446" t="s">
        <v>5048</v>
      </c>
      <c r="C20" s="2446" t="s">
        <v>1546</v>
      </c>
      <c r="D20" s="2446" t="s">
        <v>5060</v>
      </c>
      <c r="E20" s="2447" t="s">
        <v>1547</v>
      </c>
      <c r="F20" s="2429"/>
      <c r="G20" s="2430"/>
      <c r="H20" s="2430"/>
      <c r="I20" s="2430"/>
      <c r="J20" s="2430"/>
      <c r="K20" s="2431"/>
      <c r="L20" s="2431"/>
      <c r="M20" s="2431"/>
      <c r="N20" s="2431"/>
      <c r="O20" s="238"/>
      <c r="P20" s="238"/>
      <c r="Q20" s="238"/>
      <c r="R20" s="238"/>
      <c r="S20" s="238"/>
      <c r="T20" s="238"/>
      <c r="U20" s="238"/>
      <c r="V20" s="239"/>
      <c r="W20" s="1248"/>
      <c r="X20" s="1248"/>
      <c r="Y20" s="1248"/>
      <c r="Z20" s="1248"/>
    </row>
    <row r="21" spans="1:26" s="11" customFormat="1" ht="37.950000000000003" customHeight="1" x14ac:dyDescent="0.3">
      <c r="A21" s="2448" t="s">
        <v>1548</v>
      </c>
      <c r="B21" s="2449" t="s">
        <v>5049</v>
      </c>
      <c r="C21" s="2449" t="s">
        <v>1549</v>
      </c>
      <c r="D21" s="2449" t="s">
        <v>5061</v>
      </c>
      <c r="E21" s="2450" t="s">
        <v>1550</v>
      </c>
      <c r="F21" s="2429"/>
      <c r="G21" s="2430"/>
      <c r="H21" s="2430"/>
      <c r="I21" s="2430"/>
      <c r="J21" s="2430"/>
      <c r="K21" s="2431"/>
      <c r="L21" s="2431"/>
      <c r="M21" s="2431"/>
      <c r="N21" s="2431"/>
      <c r="O21" s="238"/>
      <c r="P21" s="238"/>
      <c r="Q21" s="238"/>
      <c r="R21" s="238"/>
      <c r="S21" s="238"/>
      <c r="T21" s="238"/>
      <c r="U21" s="238"/>
      <c r="V21" s="239"/>
      <c r="W21" s="1248"/>
      <c r="X21" s="1248"/>
      <c r="Y21" s="1248"/>
      <c r="Z21" s="1248"/>
    </row>
    <row r="22" spans="1:26" s="11" customFormat="1" ht="37.950000000000003" customHeight="1" x14ac:dyDescent="0.3">
      <c r="A22" s="2451" t="s">
        <v>1551</v>
      </c>
      <c r="B22" s="2452" t="s">
        <v>5050</v>
      </c>
      <c r="C22" s="2452" t="s">
        <v>1552</v>
      </c>
      <c r="D22" s="2452" t="s">
        <v>5062</v>
      </c>
      <c r="E22" s="2453" t="s">
        <v>1553</v>
      </c>
      <c r="F22" s="2429"/>
      <c r="G22" s="2430"/>
      <c r="H22" s="2430"/>
      <c r="I22" s="2430"/>
      <c r="J22" s="2430"/>
      <c r="K22" s="2431"/>
      <c r="L22" s="2431"/>
      <c r="M22" s="2431"/>
      <c r="N22" s="2431"/>
      <c r="O22" s="238"/>
      <c r="P22" s="238"/>
      <c r="Q22" s="238"/>
      <c r="R22" s="238"/>
      <c r="S22" s="238"/>
      <c r="T22" s="238"/>
      <c r="U22" s="238"/>
      <c r="V22" s="239"/>
      <c r="W22" s="1248"/>
      <c r="X22" s="1248"/>
      <c r="Y22" s="1248"/>
      <c r="Z22" s="1248"/>
    </row>
    <row r="23" spans="1:26" s="11" customFormat="1" ht="37.950000000000003" customHeight="1" x14ac:dyDescent="0.3">
      <c r="A23" s="2454" t="s">
        <v>1554</v>
      </c>
      <c r="B23" s="2455"/>
      <c r="C23" s="2455"/>
      <c r="D23" s="2456" t="s">
        <v>5063</v>
      </c>
      <c r="E23" s="2457"/>
      <c r="F23" s="2432"/>
      <c r="G23" s="2433"/>
      <c r="H23" s="2434"/>
      <c r="I23" s="2434"/>
      <c r="J23" s="2434"/>
      <c r="K23" s="2435"/>
      <c r="L23" s="2435"/>
      <c r="M23" s="2435"/>
      <c r="N23" s="2435"/>
      <c r="O23" s="1997"/>
      <c r="P23" s="1997"/>
      <c r="Q23" s="1997"/>
      <c r="R23" s="1997"/>
      <c r="S23" s="1997"/>
      <c r="T23" s="1997"/>
      <c r="U23" s="1997"/>
      <c r="V23" s="1998"/>
      <c r="W23" s="1248"/>
      <c r="X23" s="1248"/>
      <c r="Y23" s="1248"/>
      <c r="Z23" s="1248"/>
    </row>
    <row r="24" spans="1:26" s="11" customFormat="1" ht="37.950000000000003" customHeight="1" x14ac:dyDescent="0.3"/>
    <row r="25" spans="1:26" s="11" customFormat="1" ht="37.950000000000003" customHeight="1" x14ac:dyDescent="0.3"/>
    <row r="26" spans="1:26" s="11" customFormat="1" ht="37.950000000000003" customHeight="1" x14ac:dyDescent="0.3"/>
    <row r="27" spans="1:26" ht="18" customHeight="1" x14ac:dyDescent="0.3"/>
    <row r="28" spans="1:26" ht="18" customHeight="1" x14ac:dyDescent="0.3"/>
    <row r="29" spans="1:26" ht="18" customHeight="1" x14ac:dyDescent="0.3"/>
    <row r="30" spans="1:26" ht="18" customHeight="1" x14ac:dyDescent="0.3"/>
    <row r="31" spans="1:26" ht="18" customHeight="1" x14ac:dyDescent="0.3"/>
    <row r="32" spans="1:26" ht="18" customHeight="1" x14ac:dyDescent="0.3"/>
    <row r="33" ht="18" customHeight="1" x14ac:dyDescent="0.3"/>
    <row r="34" ht="18" customHeight="1" x14ac:dyDescent="0.3"/>
    <row r="35" ht="18" customHeight="1" x14ac:dyDescent="0.3"/>
    <row r="36" ht="18" customHeight="1" x14ac:dyDescent="0.3"/>
    <row r="37" ht="18" customHeight="1" x14ac:dyDescent="0.3"/>
    <row r="38" ht="18" customHeight="1" x14ac:dyDescent="0.3"/>
    <row r="39" ht="18" customHeight="1" x14ac:dyDescent="0.3"/>
    <row r="40" ht="18" customHeight="1" x14ac:dyDescent="0.3"/>
    <row r="41" ht="18" customHeight="1" x14ac:dyDescent="0.3"/>
    <row r="42" ht="18" customHeight="1" x14ac:dyDescent="0.3"/>
    <row r="43" ht="18" customHeight="1" x14ac:dyDescent="0.3"/>
    <row r="44" ht="18" customHeight="1" x14ac:dyDescent="0.3"/>
    <row r="45" ht="18" customHeight="1" x14ac:dyDescent="0.3"/>
    <row r="46" ht="18" customHeight="1" x14ac:dyDescent="0.3"/>
    <row r="47" ht="18" customHeight="1" x14ac:dyDescent="0.3"/>
    <row r="48" ht="18" customHeight="1" x14ac:dyDescent="0.3"/>
    <row r="49" ht="18" customHeight="1" x14ac:dyDescent="0.3"/>
    <row r="50" ht="18" customHeight="1" x14ac:dyDescent="0.3"/>
    <row r="51" ht="18" customHeight="1" x14ac:dyDescent="0.3"/>
    <row r="52" ht="18" customHeight="1" x14ac:dyDescent="0.3"/>
    <row r="53" ht="18" customHeight="1" x14ac:dyDescent="0.3"/>
    <row r="54" ht="18" customHeight="1" x14ac:dyDescent="0.3"/>
    <row r="55" ht="18" customHeight="1" x14ac:dyDescent="0.3"/>
    <row r="56" ht="18" customHeight="1" x14ac:dyDescent="0.3"/>
    <row r="57" ht="18" customHeight="1" x14ac:dyDescent="0.3"/>
    <row r="58" ht="18" customHeight="1" x14ac:dyDescent="0.3"/>
    <row r="59" ht="18" customHeight="1" x14ac:dyDescent="0.3"/>
  </sheetData>
  <mergeCells count="5">
    <mergeCell ref="A1:V1"/>
    <mergeCell ref="A3:V3"/>
    <mergeCell ref="A11:V11"/>
    <mergeCell ref="A17:V17"/>
    <mergeCell ref="A4:V4"/>
  </mergeCells>
  <conditionalFormatting sqref="A5:E5">
    <cfRule type="expression" dxfId="493" priority="1">
      <formula>NOT(ISBLANK($A5))</formula>
    </cfRule>
  </conditionalFormatting>
  <conditionalFormatting sqref="A6:E6">
    <cfRule type="expression" dxfId="492" priority="2">
      <formula>NOT(ISBLANK($A6))</formula>
    </cfRule>
  </conditionalFormatting>
  <conditionalFormatting sqref="A7:E7">
    <cfRule type="expression" dxfId="491" priority="3">
      <formula>NOT(ISBLANK($A7))</formula>
    </cfRule>
  </conditionalFormatting>
  <conditionalFormatting sqref="A8:E8">
    <cfRule type="expression" dxfId="490" priority="4">
      <formula>NOT(ISBLANK($A8))</formula>
    </cfRule>
  </conditionalFormatting>
  <conditionalFormatting sqref="A9:E9">
    <cfRule type="expression" dxfId="489" priority="5">
      <formula>NOT(ISBLANK($A9))</formula>
    </cfRule>
  </conditionalFormatting>
  <conditionalFormatting sqref="A13:E13">
    <cfRule type="expression" dxfId="488" priority="6">
      <formula>NOT(ISBLANK($A13))</formula>
    </cfRule>
  </conditionalFormatting>
  <conditionalFormatting sqref="A14:E14">
    <cfRule type="expression" dxfId="487" priority="7">
      <formula>NOT(ISBLANK($A14))</formula>
    </cfRule>
  </conditionalFormatting>
  <conditionalFormatting sqref="A15:E15">
    <cfRule type="expression" dxfId="486" priority="8">
      <formula>NOT(ISBLANK($A15))</formula>
    </cfRule>
  </conditionalFormatting>
  <conditionalFormatting sqref="A16:E16">
    <cfRule type="expression" dxfId="485" priority="9">
      <formula>NOT(ISBLANK($A16))</formula>
    </cfRule>
  </conditionalFormatting>
  <conditionalFormatting sqref="A19:E19">
    <cfRule type="expression" dxfId="484" priority="10">
      <formula>NOT(ISBLANK($A19))</formula>
    </cfRule>
  </conditionalFormatting>
  <conditionalFormatting sqref="A20:E20">
    <cfRule type="expression" dxfId="483" priority="11">
      <formula>NOT(ISBLANK($A20))</formula>
    </cfRule>
  </conditionalFormatting>
  <conditionalFormatting sqref="A21:E21">
    <cfRule type="expression" dxfId="482" priority="12">
      <formula>NOT(ISBLANK($A21))</formula>
    </cfRule>
  </conditionalFormatting>
  <conditionalFormatting sqref="A22:E22">
    <cfRule type="expression" dxfId="481" priority="13">
      <formula>NOT(ISBLANK($A22))</formula>
    </cfRule>
  </conditionalFormatting>
  <conditionalFormatting sqref="A23:E23">
    <cfRule type="expression" dxfId="480" priority="14">
      <formula>NOT(ISBLANK($A23))</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EAD1DC"/>
  </sheetPr>
  <dimension ref="A1:Z50"/>
  <sheetViews>
    <sheetView showGridLines="0" zoomScale="27" zoomScaleNormal="27" workbookViewId="0">
      <selection activeCell="C10" sqref="C10"/>
    </sheetView>
  </sheetViews>
  <sheetFormatPr baseColWidth="10" defaultRowHeight="14.4" x14ac:dyDescent="0.3"/>
  <cols>
    <col min="1" max="1" width="36.109375" style="4" customWidth="1"/>
    <col min="2" max="2" width="28.6640625" style="4" customWidth="1"/>
    <col min="3" max="3" width="50" style="4" customWidth="1"/>
    <col min="4" max="14" width="7.44140625" style="4" customWidth="1"/>
    <col min="15" max="25" width="11.5546875" style="4"/>
    <col min="26" max="26" width="8.109375" style="4" bestFit="1" customWidth="1"/>
    <col min="27" max="16384" width="11.5546875" style="4"/>
  </cols>
  <sheetData>
    <row r="1" spans="1:26" ht="28.05" customHeight="1" x14ac:dyDescent="0.3">
      <c r="A1" s="3777" t="s">
        <v>4840</v>
      </c>
      <c r="B1" s="3777"/>
      <c r="C1" s="3777"/>
      <c r="D1" s="3777"/>
      <c r="E1" s="3777"/>
      <c r="F1" s="3777"/>
      <c r="G1" s="3777"/>
      <c r="H1" s="3777"/>
      <c r="I1" s="3777"/>
      <c r="J1" s="3777"/>
      <c r="K1" s="3777"/>
      <c r="L1" s="3777"/>
      <c r="M1" s="3777"/>
      <c r="N1" s="3777"/>
      <c r="O1" s="3715"/>
      <c r="P1" s="3715"/>
      <c r="Q1" s="3715"/>
      <c r="R1" s="3715"/>
      <c r="S1" s="3715"/>
      <c r="T1" s="3715"/>
      <c r="U1" s="3715"/>
      <c r="V1" s="3715"/>
      <c r="W1" s="3715"/>
      <c r="X1" s="3715"/>
      <c r="Y1" s="3715"/>
      <c r="Z1" s="3715"/>
    </row>
    <row r="2" spans="1:26" ht="19.95" customHeight="1" x14ac:dyDescent="0.3">
      <c r="A2" s="1763" t="str">
        <f>HYPERLINK("#'M-INDEX'!A1","⌂ INDICE")</f>
        <v>⌂ INDICE</v>
      </c>
      <c r="B2" s="1763" t="str">
        <f>HYPERLINK("#'M1-ITME'!A1","M1")</f>
        <v>M1</v>
      </c>
      <c r="C2" s="1763" t="str">
        <f>HYPERLINK("#'M2-PDOT'!A1","M2")</f>
        <v>M2</v>
      </c>
      <c r="D2" s="1763" t="str">
        <f>HYPERLINK("#'M3-MAO'!A1","M3")</f>
        <v>M3</v>
      </c>
      <c r="E2" s="1763" t="str">
        <f>HYPERLINK("#'M4-AUDIT'!A1","M4")</f>
        <v>M4</v>
      </c>
      <c r="F2" s="1763" t="str">
        <f>HYPERLINK("#'M5-ICPI'!A1","M5")</f>
        <v>M5</v>
      </c>
      <c r="G2" s="1763" t="str">
        <f>HYPERLINK("#'M6-FEDS'!A1","M6")</f>
        <v>M6</v>
      </c>
      <c r="H2" s="1763" t="str">
        <f>HYPERLINK("#'M7-PROSP'!A1","M7")</f>
        <v>M7</v>
      </c>
      <c r="I2" s="1763" t="str">
        <f>HYPERLINK("#'DATA-POA'!A1","DATA-POA")</f>
        <v>DATA-POA</v>
      </c>
      <c r="J2" s="1763" t="str">
        <f>HYPERLINK("#'DATA-CNE'!A1","DATA-CNE")</f>
        <v>DATA-CNE</v>
      </c>
      <c r="K2" s="1763" t="str">
        <f>HYPERLINK("#'DATA-ORG'!A1","DATA-ORG")</f>
        <v>DATA-ORG</v>
      </c>
      <c r="L2" s="1763" t="str">
        <f>HYPERLINK("#'M-DASHBOARD'!A1","DASH")</f>
        <v>DASH</v>
      </c>
      <c r="M2" s="1772"/>
      <c r="N2" s="1772"/>
      <c r="O2" s="1734"/>
      <c r="P2" s="1734"/>
      <c r="Q2" s="1734"/>
      <c r="R2" s="1734"/>
      <c r="S2" s="1734"/>
      <c r="T2" s="1734"/>
      <c r="U2" s="1734"/>
      <c r="V2" s="1734"/>
      <c r="W2" s="1734"/>
      <c r="X2" s="1734"/>
      <c r="Y2" s="1734"/>
      <c r="Z2" s="1734"/>
    </row>
    <row r="3" spans="1:26" ht="15" customHeight="1" thickBot="1" x14ac:dyDescent="0.35">
      <c r="A3" s="3791" t="s">
        <v>4235</v>
      </c>
      <c r="B3" s="3791"/>
      <c r="C3" s="3791"/>
      <c r="D3" s="3791"/>
      <c r="E3" s="3791"/>
      <c r="F3" s="3791"/>
      <c r="G3" s="3791"/>
      <c r="H3" s="3791"/>
      <c r="I3" s="3791"/>
      <c r="J3" s="3791"/>
      <c r="K3" s="3791"/>
      <c r="L3" s="3791"/>
      <c r="M3" s="3791"/>
      <c r="N3" s="3791"/>
      <c r="O3" s="3758"/>
      <c r="P3" s="3758"/>
      <c r="Q3" s="3758"/>
      <c r="R3" s="3758"/>
      <c r="S3" s="3758"/>
      <c r="T3" s="3758"/>
      <c r="U3" s="3758"/>
      <c r="V3" s="3758"/>
      <c r="W3" s="3758"/>
      <c r="X3" s="3758"/>
      <c r="Y3" s="3758"/>
      <c r="Z3" s="3758"/>
    </row>
    <row r="4" spans="1:26" ht="22.05" customHeight="1" thickTop="1" x14ac:dyDescent="0.3">
      <c r="A4" s="3778" t="s">
        <v>1555</v>
      </c>
      <c r="B4" s="3779"/>
      <c r="C4" s="3779"/>
      <c r="D4" s="3780"/>
      <c r="E4" s="3780"/>
      <c r="F4" s="3780"/>
      <c r="G4" s="3780"/>
      <c r="H4" s="3780"/>
      <c r="I4" s="3780"/>
      <c r="J4" s="3780"/>
      <c r="K4" s="3780"/>
      <c r="L4" s="3780"/>
      <c r="M4" s="3780"/>
      <c r="N4" s="3781"/>
      <c r="O4" s="3775"/>
      <c r="P4" s="3775"/>
      <c r="Q4" s="3775"/>
      <c r="R4" s="3775"/>
      <c r="S4" s="3775"/>
      <c r="T4" s="3775"/>
      <c r="U4" s="3775"/>
      <c r="V4" s="3775"/>
      <c r="W4" s="3775"/>
      <c r="X4" s="3775"/>
      <c r="Y4" s="3775"/>
      <c r="Z4" s="3776"/>
    </row>
    <row r="5" spans="1:26" ht="36" customHeight="1" x14ac:dyDescent="0.3">
      <c r="A5" s="2344" t="s">
        <v>1556</v>
      </c>
      <c r="B5" s="2345">
        <f>'M5-ICPI'!G25</f>
        <v>0.40799226206643363</v>
      </c>
      <c r="C5" s="2346" t="s">
        <v>1557</v>
      </c>
      <c r="D5" s="2341"/>
      <c r="E5" s="2340"/>
      <c r="F5" s="2340"/>
      <c r="G5" s="2340"/>
      <c r="H5" s="2340"/>
      <c r="I5" s="2340"/>
      <c r="J5" s="2340"/>
      <c r="K5" s="2340"/>
      <c r="L5" s="2340"/>
      <c r="M5" s="2340"/>
      <c r="N5" s="2340"/>
      <c r="O5" s="235"/>
      <c r="P5" s="235"/>
      <c r="Q5" s="235"/>
      <c r="R5" s="235"/>
      <c r="S5" s="235"/>
      <c r="T5" s="235"/>
      <c r="U5" s="235"/>
      <c r="V5" s="235"/>
      <c r="W5" s="235"/>
      <c r="X5" s="235"/>
      <c r="Y5" s="235"/>
      <c r="Z5" s="236"/>
    </row>
    <row r="6" spans="1:26" s="19" customFormat="1" ht="28.05" customHeight="1" x14ac:dyDescent="0.3">
      <c r="A6" s="2350" t="s">
        <v>1558</v>
      </c>
      <c r="B6" s="2351">
        <f>'M5-ICPI'!H25</f>
        <v>1.0659048387170003</v>
      </c>
      <c r="C6" s="2352" t="s">
        <v>1559</v>
      </c>
      <c r="D6" s="2342"/>
      <c r="E6" s="1861"/>
      <c r="F6" s="1861"/>
      <c r="G6" s="1861"/>
      <c r="H6" s="1861"/>
      <c r="I6" s="1861"/>
      <c r="J6" s="1861"/>
      <c r="K6" s="1861"/>
      <c r="L6" s="1861"/>
      <c r="M6" s="1861"/>
      <c r="N6" s="1861"/>
      <c r="O6" s="2338"/>
      <c r="P6" s="2338"/>
      <c r="Q6" s="2338"/>
      <c r="R6" s="2338"/>
      <c r="S6" s="2338"/>
      <c r="T6" s="2338"/>
      <c r="U6" s="2338"/>
      <c r="V6" s="2338"/>
      <c r="W6" s="2338"/>
      <c r="X6" s="2338"/>
      <c r="Y6" s="2338"/>
      <c r="Z6" s="2339"/>
    </row>
    <row r="7" spans="1:26" s="19" customFormat="1" ht="36" customHeight="1" x14ac:dyDescent="0.3">
      <c r="A7" s="2347" t="s">
        <v>1560</v>
      </c>
      <c r="B7" s="2348">
        <f>'M5-ICPI'!G29/100</f>
        <v>0.38276612249694109</v>
      </c>
      <c r="C7" s="2349" t="str">
        <f>"ICPI = "&amp;TEXT('M5-ICPI'!G25,"0,0000")&amp;" ÷ "&amp;TEXT('M5-ICPI'!H25,"0,0000")&amp;" = "&amp;TEXT('M5-ICPI'!G29,"0,00")&amp;"% · Nivel: »GESTIÓN POR OCURRENCIA« (&lt;40%) · ⚠️ DÉFICIT PROGRAMÁTICO CONFIRMADO — Brecha ≥ 30 pp §3.6 · Base PDOT 2023-2027"</f>
        <v>ICPI = 0,4080 ÷ 1,0659 = 38,28% · Nivel: »GESTIÓN POR OCURRENCIA« (&lt;40%) · ⚠️ DÉFICIT PROGRAMÁTICO CONFIRMADO — Brecha ≥ 30 pp §3.6 · Base PDOT 2023-2027</v>
      </c>
      <c r="D7" s="2343"/>
      <c r="E7" s="2333"/>
      <c r="F7" s="2333"/>
      <c r="G7" s="2333"/>
      <c r="H7" s="2333"/>
      <c r="I7" s="2333"/>
      <c r="J7" s="2333"/>
      <c r="K7" s="2333"/>
      <c r="L7" s="2333"/>
      <c r="M7" s="2333"/>
      <c r="N7" s="2333"/>
      <c r="O7" s="2338"/>
      <c r="P7" s="2338"/>
      <c r="Q7" s="2338"/>
      <c r="R7" s="2338"/>
      <c r="S7" s="2338"/>
      <c r="T7" s="2338"/>
      <c r="U7" s="2338"/>
      <c r="V7" s="2338"/>
      <c r="W7" s="2338"/>
      <c r="X7" s="2338"/>
      <c r="Y7" s="2338"/>
      <c r="Z7" s="2339"/>
    </row>
    <row r="8" spans="1:26" s="19" customFormat="1" ht="6" customHeight="1" x14ac:dyDescent="0.3">
      <c r="A8" s="2353"/>
      <c r="B8" s="2354"/>
      <c r="C8" s="2355"/>
      <c r="D8" s="2356"/>
      <c r="E8" s="2119"/>
      <c r="F8" s="2119"/>
      <c r="G8" s="2119"/>
      <c r="H8" s="2119"/>
      <c r="I8" s="2119"/>
      <c r="J8" s="2119"/>
      <c r="K8" s="2119"/>
      <c r="L8" s="2119"/>
      <c r="M8" s="2119"/>
      <c r="N8" s="2119"/>
      <c r="O8" s="2338"/>
      <c r="P8" s="2338"/>
      <c r="Q8" s="2338"/>
      <c r="R8" s="2338"/>
      <c r="S8" s="2338"/>
      <c r="T8" s="2338"/>
      <c r="U8" s="2338"/>
      <c r="V8" s="2338"/>
      <c r="W8" s="2338"/>
      <c r="X8" s="2338"/>
      <c r="Y8" s="2338"/>
      <c r="Z8" s="2339"/>
    </row>
    <row r="9" spans="1:26" s="19" customFormat="1" ht="22.05" customHeight="1" x14ac:dyDescent="0.3">
      <c r="A9" s="3792" t="s">
        <v>1561</v>
      </c>
      <c r="B9" s="3793"/>
      <c r="C9" s="3794"/>
      <c r="D9" s="3795"/>
      <c r="E9" s="3795"/>
      <c r="F9" s="3795"/>
      <c r="G9" s="3795"/>
      <c r="H9" s="3795"/>
      <c r="I9" s="3795"/>
      <c r="J9" s="3795"/>
      <c r="K9" s="3795"/>
      <c r="L9" s="3795"/>
      <c r="M9" s="3795"/>
      <c r="N9" s="3796"/>
      <c r="O9" s="3764"/>
      <c r="P9" s="3764"/>
      <c r="Q9" s="3764"/>
      <c r="R9" s="3764"/>
      <c r="S9" s="3764"/>
      <c r="T9" s="3764"/>
      <c r="U9" s="3764"/>
      <c r="V9" s="3764"/>
      <c r="W9" s="3764"/>
      <c r="X9" s="3764"/>
      <c r="Y9" s="3764"/>
      <c r="Z9" s="3765"/>
    </row>
    <row r="10" spans="1:26" s="19" customFormat="1" ht="31.95" customHeight="1" x14ac:dyDescent="0.3">
      <c r="A10" s="2362" t="s">
        <v>1562</v>
      </c>
      <c r="B10" s="2001" t="s">
        <v>1563</v>
      </c>
      <c r="C10" s="2363" t="s">
        <v>1564</v>
      </c>
      <c r="D10" s="2358"/>
      <c r="E10" s="2357"/>
      <c r="F10" s="2357"/>
      <c r="G10" s="2357"/>
      <c r="H10" s="2357"/>
      <c r="I10" s="2357"/>
      <c r="J10" s="2357"/>
      <c r="K10" s="2357"/>
      <c r="L10" s="2357"/>
      <c r="M10" s="2357"/>
      <c r="N10" s="2357"/>
      <c r="O10" s="2338"/>
      <c r="P10" s="2338"/>
      <c r="Q10" s="2338"/>
      <c r="R10" s="2338"/>
      <c r="S10" s="2338"/>
      <c r="T10" s="2338"/>
      <c r="U10" s="2338"/>
      <c r="V10" s="2338"/>
      <c r="W10" s="2338"/>
      <c r="X10" s="2338"/>
      <c r="Y10" s="2338"/>
      <c r="Z10" s="2339"/>
    </row>
    <row r="11" spans="1:26" s="19" customFormat="1" ht="34.049999999999997" customHeight="1" x14ac:dyDescent="0.3">
      <c r="A11" s="2364" t="s">
        <v>1565</v>
      </c>
      <c r="B11" s="1784" t="str">
        <f>COUNTIF('M5-ICPI'!E5:E24,1)&amp;" de 20  ·  "&amp;TEXT(COUNTIF('M5-ICPI'!E5:E24,1)/20,"0%")</f>
        <v>15 de 20  ·  75%</v>
      </c>
      <c r="C11" s="2365" t="s">
        <v>1566</v>
      </c>
      <c r="D11" s="2359"/>
      <c r="E11" s="1860"/>
      <c r="F11" s="1860"/>
      <c r="G11" s="1860"/>
      <c r="H11" s="1860"/>
      <c r="I11" s="1860"/>
      <c r="J11" s="1860"/>
      <c r="K11" s="1860"/>
      <c r="L11" s="1860"/>
      <c r="M11" s="1860"/>
      <c r="N11" s="1860"/>
      <c r="O11" s="2338"/>
      <c r="P11" s="2338"/>
      <c r="Q11" s="2338"/>
      <c r="R11" s="2338"/>
      <c r="S11" s="2338"/>
      <c r="T11" s="2338"/>
      <c r="U11" s="2338"/>
      <c r="V11" s="2338"/>
      <c r="W11" s="2338"/>
      <c r="X11" s="2338"/>
      <c r="Y11" s="2338"/>
      <c r="Z11" s="2339"/>
    </row>
    <row r="12" spans="1:26" s="19" customFormat="1" ht="34.049999999999997" customHeight="1" x14ac:dyDescent="0.3">
      <c r="A12" s="2366" t="s">
        <v>1567</v>
      </c>
      <c r="B12" s="1787" t="s">
        <v>1568</v>
      </c>
      <c r="C12" s="2367" t="s">
        <v>1569</v>
      </c>
      <c r="D12" s="2342"/>
      <c r="E12" s="1861"/>
      <c r="F12" s="1861"/>
      <c r="G12" s="1861"/>
      <c r="H12" s="1861"/>
      <c r="I12" s="1861"/>
      <c r="J12" s="1861"/>
      <c r="K12" s="1861"/>
      <c r="L12" s="1861"/>
      <c r="M12" s="1861"/>
      <c r="N12" s="1861"/>
      <c r="O12" s="2338"/>
      <c r="P12" s="2338"/>
      <c r="Q12" s="2338"/>
      <c r="R12" s="2338"/>
      <c r="S12" s="2338"/>
      <c r="T12" s="2338"/>
      <c r="U12" s="2338"/>
      <c r="V12" s="2338"/>
      <c r="W12" s="2338"/>
      <c r="X12" s="2338"/>
      <c r="Y12" s="2338"/>
      <c r="Z12" s="2339"/>
    </row>
    <row r="13" spans="1:26" s="19" customFormat="1" ht="34.049999999999997" customHeight="1" x14ac:dyDescent="0.3">
      <c r="A13" s="2364" t="s">
        <v>1570</v>
      </c>
      <c r="B13" s="1784" t="str">
        <f>COUNTIFS('M5-ICPI'!E5:E24,1,'M5-ICPI'!F5:F24,"&gt;="&amp;0.99)&amp;" de 20  ·  "&amp;TEXT(COUNTIFS('M5-ICPI'!E5:E24,1,'M5-ICPI'!F5:F24,"&gt;="&amp;0.99)/20,"0%")</f>
        <v>3 de 20  ·  15%</v>
      </c>
      <c r="C13" s="2365" t="s">
        <v>1571</v>
      </c>
      <c r="D13" s="2359"/>
      <c r="E13" s="1860"/>
      <c r="F13" s="1860"/>
      <c r="G13" s="1860"/>
      <c r="H13" s="1860"/>
      <c r="I13" s="1860"/>
      <c r="J13" s="1860"/>
      <c r="K13" s="1860"/>
      <c r="L13" s="1860"/>
      <c r="M13" s="1860"/>
      <c r="N13" s="1860"/>
      <c r="O13" s="2338"/>
      <c r="P13" s="2338"/>
      <c r="Q13" s="2338"/>
      <c r="R13" s="2338"/>
      <c r="S13" s="2338"/>
      <c r="T13" s="2338"/>
      <c r="U13" s="2338"/>
      <c r="V13" s="2338"/>
      <c r="W13" s="2338"/>
      <c r="X13" s="2338"/>
      <c r="Y13" s="2338"/>
      <c r="Z13" s="2339"/>
    </row>
    <row r="14" spans="1:26" s="19" customFormat="1" ht="34.049999999999997" customHeight="1" x14ac:dyDescent="0.3">
      <c r="A14" s="2368" t="s">
        <v>1572</v>
      </c>
      <c r="B14" s="1787" t="str">
        <f>COUNTIFS('M5-ICPI'!E5:E24,1,'M5-ICPI'!F5:F24,"&lt;"&amp;0.99,'M5-ICPI'!F5:F24,"&gt;"&amp;0)&amp;" de 20  ·  "&amp;TEXT(COUNTIFS('M5-ICPI'!E5:E24,1,'M5-ICPI'!F5:F24,"&lt;"&amp;0.99,'M5-ICPI'!F5:F24,"&gt;"&amp;0)/20,"0%")</f>
        <v>12 de 20  ·  60%</v>
      </c>
      <c r="C14" s="2367" t="s">
        <v>1573</v>
      </c>
      <c r="D14" s="2342"/>
      <c r="E14" s="1861"/>
      <c r="F14" s="1861"/>
      <c r="G14" s="1861"/>
      <c r="H14" s="1861"/>
      <c r="I14" s="1861"/>
      <c r="J14" s="1861"/>
      <c r="K14" s="1861"/>
      <c r="L14" s="1861"/>
      <c r="M14" s="1861"/>
      <c r="N14" s="1861"/>
      <c r="O14" s="2338"/>
      <c r="P14" s="2338"/>
      <c r="Q14" s="2338"/>
      <c r="R14" s="2338"/>
      <c r="S14" s="2338"/>
      <c r="T14" s="2338"/>
      <c r="U14" s="2338"/>
      <c r="V14" s="2338"/>
      <c r="W14" s="2338"/>
      <c r="X14" s="2338"/>
      <c r="Y14" s="2338"/>
      <c r="Z14" s="2339"/>
    </row>
    <row r="15" spans="1:26" s="19" customFormat="1" ht="34.049999999999997" customHeight="1" x14ac:dyDescent="0.3">
      <c r="A15" s="2369" t="s">
        <v>1574</v>
      </c>
      <c r="B15" s="2370" t="str">
        <f>(20-COUNTIF('M5-ICPI'!E5:E24,1))&amp;" de 20  ·  "&amp;TEXT((20-COUNTIF('M5-ICPI'!E5:E24,1))/20,"0%")</f>
        <v>5 de 20  ·  25%</v>
      </c>
      <c r="C15" s="2371" t="s">
        <v>1575</v>
      </c>
      <c r="D15" s="2360"/>
      <c r="E15" s="2334"/>
      <c r="F15" s="2334"/>
      <c r="G15" s="2334"/>
      <c r="H15" s="2334"/>
      <c r="I15" s="2334"/>
      <c r="J15" s="2334"/>
      <c r="K15" s="2334"/>
      <c r="L15" s="2334"/>
      <c r="M15" s="2334"/>
      <c r="N15" s="2334"/>
      <c r="O15" s="2338"/>
      <c r="P15" s="2338"/>
      <c r="Q15" s="2338"/>
      <c r="R15" s="2338"/>
      <c r="S15" s="2338"/>
      <c r="T15" s="2338"/>
      <c r="U15" s="2338"/>
      <c r="V15" s="2338"/>
      <c r="W15" s="2338"/>
      <c r="X15" s="2338"/>
      <c r="Y15" s="2338"/>
      <c r="Z15" s="2339"/>
    </row>
    <row r="16" spans="1:26" s="19" customFormat="1" ht="34.049999999999997" customHeight="1" x14ac:dyDescent="0.3">
      <c r="A16" s="2372" t="s">
        <v>1576</v>
      </c>
      <c r="B16" s="1876" t="s">
        <v>1577</v>
      </c>
      <c r="C16" s="2373" t="s">
        <v>1578</v>
      </c>
      <c r="D16" s="2342"/>
      <c r="E16" s="1861"/>
      <c r="F16" s="1861"/>
      <c r="G16" s="1861"/>
      <c r="H16" s="1861"/>
      <c r="I16" s="1861"/>
      <c r="J16" s="1861"/>
      <c r="K16" s="1861"/>
      <c r="L16" s="1861"/>
      <c r="M16" s="1861"/>
      <c r="N16" s="1861"/>
      <c r="O16" s="2338"/>
      <c r="P16" s="2338"/>
      <c r="Q16" s="2338"/>
      <c r="R16" s="2338"/>
      <c r="S16" s="2338"/>
      <c r="T16" s="2338"/>
      <c r="U16" s="2338"/>
      <c r="V16" s="2338"/>
      <c r="W16" s="2338"/>
      <c r="X16" s="2338"/>
      <c r="Y16" s="2338"/>
      <c r="Z16" s="2339"/>
    </row>
    <row r="17" spans="1:26" s="19" customFormat="1" ht="34.049999999999997" customHeight="1" x14ac:dyDescent="0.3">
      <c r="A17" s="2374" t="s">
        <v>1579</v>
      </c>
      <c r="B17" s="2375" t="str">
        <f>TEXT('M5-ICPI'!G25,"0,0000")&amp;" / "&amp;TEXT('M5-ICPI'!H25,"0,0000")&amp;" = "&amp;TEXT('M5-ICPI'!G29,"0,00")&amp;"% (· Base PDOT)"</f>
        <v>0,4080 / 1,0659 = 38,28% (· Base PDOT)</v>
      </c>
      <c r="C17" s="2376" t="s">
        <v>1580</v>
      </c>
      <c r="D17" s="2361"/>
      <c r="E17" s="2335"/>
      <c r="F17" s="2335"/>
      <c r="G17" s="2335"/>
      <c r="H17" s="2335"/>
      <c r="I17" s="2335"/>
      <c r="J17" s="2335"/>
      <c r="K17" s="2335"/>
      <c r="L17" s="2335"/>
      <c r="M17" s="2335"/>
      <c r="N17" s="2335"/>
      <c r="O17" s="2338"/>
      <c r="P17" s="2338"/>
      <c r="Q17" s="2338"/>
      <c r="R17" s="2338"/>
      <c r="S17" s="2338"/>
      <c r="T17" s="2338"/>
      <c r="U17" s="2338"/>
      <c r="V17" s="2338"/>
      <c r="W17" s="2338"/>
      <c r="X17" s="2338"/>
      <c r="Y17" s="2338"/>
      <c r="Z17" s="2339"/>
    </row>
    <row r="18" spans="1:26" s="19" customFormat="1" ht="6" customHeight="1" x14ac:dyDescent="0.3">
      <c r="A18" s="2353"/>
      <c r="B18" s="2354"/>
      <c r="C18" s="2355"/>
      <c r="D18" s="2356"/>
      <c r="E18" s="2119"/>
      <c r="F18" s="2119"/>
      <c r="G18" s="2119"/>
      <c r="H18" s="2119"/>
      <c r="I18" s="2119"/>
      <c r="J18" s="2119"/>
      <c r="K18" s="2119"/>
      <c r="L18" s="2119"/>
      <c r="M18" s="2119"/>
      <c r="N18" s="2119"/>
      <c r="O18" s="2338"/>
      <c r="P18" s="2338"/>
      <c r="Q18" s="2338"/>
      <c r="R18" s="2338"/>
      <c r="S18" s="2338"/>
      <c r="T18" s="2338"/>
      <c r="U18" s="2338"/>
      <c r="V18" s="2338"/>
      <c r="W18" s="2338"/>
      <c r="X18" s="2338"/>
      <c r="Y18" s="2338"/>
      <c r="Z18" s="2339"/>
    </row>
    <row r="19" spans="1:26" s="19" customFormat="1" ht="22.05" customHeight="1" x14ac:dyDescent="0.3">
      <c r="A19" s="3797" t="s">
        <v>1581</v>
      </c>
      <c r="B19" s="3798"/>
      <c r="C19" s="3799"/>
      <c r="D19" s="3800"/>
      <c r="E19" s="3800"/>
      <c r="F19" s="3800"/>
      <c r="G19" s="3800"/>
      <c r="H19" s="3800"/>
      <c r="I19" s="3800"/>
      <c r="J19" s="3800"/>
      <c r="K19" s="3800"/>
      <c r="L19" s="3800"/>
      <c r="M19" s="3800"/>
      <c r="N19" s="3801"/>
      <c r="O19" s="3764"/>
      <c r="P19" s="3764"/>
      <c r="Q19" s="3764"/>
      <c r="R19" s="3764"/>
      <c r="S19" s="3764"/>
      <c r="T19" s="3764"/>
      <c r="U19" s="3764"/>
      <c r="V19" s="3764"/>
      <c r="W19" s="3764"/>
      <c r="X19" s="3764"/>
      <c r="Y19" s="3764"/>
      <c r="Z19" s="3765"/>
    </row>
    <row r="20" spans="1:26" s="19" customFormat="1" ht="37.950000000000003" customHeight="1" x14ac:dyDescent="0.3">
      <c r="A20" s="2380" t="s">
        <v>1582</v>
      </c>
      <c r="B20" s="2381" t="str">
        <f>TEXT('M5-ICPI'!G29,"0.00")&amp;"%"&amp;CHAR(10)&amp;'DATA-RESULTADOS'!B8</f>
        <v>038%
Transición Crítica 🟡</v>
      </c>
      <c r="C20" s="2382" t="s">
        <v>1583</v>
      </c>
      <c r="D20" s="2378"/>
      <c r="E20" s="2377"/>
      <c r="F20" s="2377"/>
      <c r="G20" s="2377"/>
      <c r="H20" s="2377"/>
      <c r="I20" s="2377"/>
      <c r="J20" s="2377"/>
      <c r="K20" s="2377"/>
      <c r="L20" s="2377"/>
      <c r="M20" s="2377"/>
      <c r="N20" s="2377"/>
      <c r="O20" s="2338"/>
      <c r="P20" s="2338"/>
      <c r="Q20" s="2338"/>
      <c r="R20" s="2338"/>
      <c r="S20" s="2338"/>
      <c r="T20" s="2338"/>
      <c r="U20" s="2338"/>
      <c r="V20" s="2338"/>
      <c r="W20" s="2338"/>
      <c r="X20" s="2338"/>
      <c r="Y20" s="2338"/>
      <c r="Z20" s="2339"/>
    </row>
    <row r="21" spans="1:26" s="19" customFormat="1" ht="37.950000000000003" customHeight="1" x14ac:dyDescent="0.3">
      <c r="A21" s="2383" t="s">
        <v>1584</v>
      </c>
      <c r="B21" s="1876" t="str">
        <f>COUNTIFS('M4-AUDIT'!X5:X24,1,'M4-AUDIT'!I5:I24,"&gt;="&amp;0.99)&amp;" completas  ·  "&amp;COUNTIFS('M4-AUDIT'!X5:X24,1,'M4-AUDIT'!I5:I24,"&lt;"&amp;0.99,'M4-AUDIT'!I5:I24,"&gt;"&amp;0)&amp;" parciales  ·  "&amp;(20-COUNTIF('M4-AUDIT'!X5:X24,1))&amp;" sin Vi_cadena (TER-10 · SOC-04)"</f>
        <v>1 completas  ·  5 parciales  ·  12 sin Vi_cadena (TER-10 · SOC-04)</v>
      </c>
      <c r="C21" s="2384" t="str">
        <f>COUNTIFS('M4-AUDIT'!X5:X24,1,'M4-AUDIT'!I5:I24,"&gt;="&amp;0.99)&amp;"/20 ("&amp;TEXT(COUNTIFS('M4-AUDIT'!X5:X24,1,'M4-AUDIT'!I5:I24,"&gt;="&amp;0.99)/20,"0%")&amp;") completadas al 100% (Vi=1, Ti≥99%). "&amp;COUNTIFS('M4-AUDIT'!X5:X24,1,'M4-AUDIT'!I5:I24,"&lt;"&amp;0.99,'M4-AUDIT'!I5:I24,"&gt;"&amp;0)&amp;"/20 con avance parcial verificado. "&amp;(20-COUNTIF('M4-AUDIT'!X5:X24,1))&amp;"/20 sin cadena documental completa (TER-10 · SOC-04) — eje Territorial e Institucional Social §3.4"</f>
        <v>1/20 (5%) completadas al 100% (Vi=1, Ti≥99%). 5/20 con avance parcial verificado. 12/20 sin cadena documental completa (TER-10 · SOC-04) — eje Territorial e Institucional Social §3.4</v>
      </c>
      <c r="D21" s="2342"/>
      <c r="E21" s="1861"/>
      <c r="F21" s="1861"/>
      <c r="G21" s="1861"/>
      <c r="H21" s="1861"/>
      <c r="I21" s="1861"/>
      <c r="J21" s="1861"/>
      <c r="K21" s="1861"/>
      <c r="L21" s="1861"/>
      <c r="M21" s="1861"/>
      <c r="N21" s="1861"/>
      <c r="O21" s="2338"/>
      <c r="P21" s="2338"/>
      <c r="Q21" s="2338"/>
      <c r="R21" s="2338"/>
      <c r="S21" s="2338"/>
      <c r="T21" s="2338"/>
      <c r="U21" s="2338"/>
      <c r="V21" s="2338"/>
      <c r="W21" s="2338"/>
      <c r="X21" s="2338"/>
      <c r="Y21" s="2338"/>
      <c r="Z21" s="2339"/>
    </row>
    <row r="22" spans="1:26" s="19" customFormat="1" ht="37.950000000000003" customHeight="1" x14ac:dyDescent="0.3">
      <c r="A22" s="3788" t="s">
        <v>1585</v>
      </c>
      <c r="B22" s="3789"/>
      <c r="C22" s="3790"/>
      <c r="D22" s="2379"/>
      <c r="E22" s="2336"/>
      <c r="F22" s="2336"/>
      <c r="G22" s="2336"/>
      <c r="H22" s="2336"/>
      <c r="I22" s="2336"/>
      <c r="J22" s="2336"/>
      <c r="K22" s="2336"/>
      <c r="L22" s="2336"/>
      <c r="M22" s="2336"/>
      <c r="N22" s="2336"/>
      <c r="O22" s="2338"/>
      <c r="P22" s="2338"/>
      <c r="Q22" s="2338"/>
      <c r="R22" s="2338"/>
      <c r="S22" s="2338"/>
      <c r="T22" s="2338"/>
      <c r="U22" s="2338"/>
      <c r="V22" s="2338"/>
      <c r="W22" s="2338"/>
      <c r="X22" s="2338"/>
      <c r="Y22" s="2338"/>
      <c r="Z22" s="2339"/>
    </row>
    <row r="23" spans="1:26" s="19" customFormat="1" ht="37.950000000000003" customHeight="1" x14ac:dyDescent="0.3">
      <c r="A23" s="3802" t="s">
        <v>1586</v>
      </c>
      <c r="B23" s="3803"/>
      <c r="C23" s="3804"/>
      <c r="D23" s="3805"/>
      <c r="E23" s="3805"/>
      <c r="F23" s="3805"/>
      <c r="G23" s="3805"/>
      <c r="H23" s="3805"/>
      <c r="I23" s="3805"/>
      <c r="J23" s="3805"/>
      <c r="K23" s="3805"/>
      <c r="L23" s="3805"/>
      <c r="M23" s="3805"/>
      <c r="N23" s="3805"/>
      <c r="O23" s="3806"/>
      <c r="P23" s="3806"/>
      <c r="Q23" s="3806"/>
      <c r="R23" s="3806"/>
      <c r="S23" s="3806"/>
      <c r="T23" s="3806"/>
      <c r="U23" s="3806"/>
      <c r="V23" s="3806"/>
      <c r="W23" s="3806"/>
      <c r="X23" s="3806"/>
      <c r="Y23" s="3806"/>
      <c r="Z23" s="3807"/>
    </row>
    <row r="24" spans="1:26" s="19" customFormat="1" ht="6" customHeight="1" x14ac:dyDescent="0.3">
      <c r="A24" s="2353"/>
      <c r="B24" s="2354"/>
      <c r="C24" s="2355"/>
      <c r="D24" s="2356"/>
      <c r="E24" s="2119"/>
      <c r="F24" s="2119"/>
      <c r="G24" s="2119"/>
      <c r="H24" s="2119"/>
      <c r="I24" s="2119"/>
      <c r="J24" s="2119"/>
      <c r="K24" s="2119"/>
      <c r="L24" s="2119"/>
      <c r="M24" s="2119"/>
      <c r="N24" s="2119"/>
      <c r="O24" s="2338"/>
      <c r="P24" s="2338"/>
      <c r="Q24" s="2338"/>
      <c r="R24" s="2338"/>
      <c r="S24" s="2338"/>
      <c r="T24" s="2338"/>
      <c r="U24" s="2338"/>
      <c r="V24" s="2338"/>
      <c r="W24" s="2338"/>
      <c r="X24" s="2338"/>
      <c r="Y24" s="2338"/>
      <c r="Z24" s="2339"/>
    </row>
    <row r="25" spans="1:26" s="19" customFormat="1" ht="22.05" customHeight="1" x14ac:dyDescent="0.3">
      <c r="A25" s="3808" t="s">
        <v>1587</v>
      </c>
      <c r="B25" s="3809"/>
      <c r="C25" s="3810"/>
      <c r="D25" s="3811"/>
      <c r="E25" s="3811"/>
      <c r="F25" s="3811"/>
      <c r="G25" s="3811"/>
      <c r="H25" s="3811"/>
      <c r="I25" s="3811"/>
      <c r="J25" s="3811"/>
      <c r="K25" s="3811"/>
      <c r="L25" s="3811"/>
      <c r="M25" s="3811"/>
      <c r="N25" s="3812"/>
      <c r="O25" s="3764"/>
      <c r="P25" s="3764"/>
      <c r="Q25" s="3764"/>
      <c r="R25" s="3764"/>
      <c r="S25" s="3764"/>
      <c r="T25" s="3764"/>
      <c r="U25" s="3764"/>
      <c r="V25" s="3764"/>
      <c r="W25" s="3764"/>
      <c r="X25" s="3764"/>
      <c r="Y25" s="3764"/>
      <c r="Z25" s="3765"/>
    </row>
    <row r="26" spans="1:26" s="19" customFormat="1" ht="31.95" customHeight="1" x14ac:dyDescent="0.3">
      <c r="A26" s="2388" t="s">
        <v>1562</v>
      </c>
      <c r="B26" s="2389" t="s">
        <v>1563</v>
      </c>
      <c r="C26" s="2390" t="s">
        <v>1564</v>
      </c>
      <c r="D26" s="2358"/>
      <c r="E26" s="2357"/>
      <c r="F26" s="2357"/>
      <c r="G26" s="2357"/>
      <c r="H26" s="2357"/>
      <c r="I26" s="2357"/>
      <c r="J26" s="2357"/>
      <c r="K26" s="2357"/>
      <c r="L26" s="2357"/>
      <c r="M26" s="2357"/>
      <c r="N26" s="2357"/>
      <c r="O26" s="2338"/>
      <c r="P26" s="2338"/>
      <c r="Q26" s="2338"/>
      <c r="R26" s="2338"/>
      <c r="S26" s="2338"/>
      <c r="T26" s="2338"/>
      <c r="U26" s="2338"/>
      <c r="V26" s="2338"/>
      <c r="W26" s="2338"/>
      <c r="X26" s="2338"/>
      <c r="Y26" s="2338"/>
      <c r="Z26" s="2339"/>
    </row>
    <row r="27" spans="1:26" s="19" customFormat="1" ht="37.950000000000003" customHeight="1" x14ac:dyDescent="0.3">
      <c r="A27" s="3782" t="str">
        <f>"⚠️ DÉFICIT PROGRAMÁTICO CONFIRMADO · §3.6 · ICPI("&amp;TEXT('M5-ICPI'!G29,"0,00")&amp;"%) &lt; ICM-SIGAD("&amp;TEXT('M-TECH-PARAMS'!B7*100,"0,00")&amp;"%) — Brecha de "&amp;TEXT('M-TECH-PARAMS'!B7*100-'M5-ICPI'!G29,"0,00")&amp;"pp — H₁ CONFIRMADA"</f>
        <v>⚠️ DÉFICIT PROGRAMÁTICO CONFIRMADO · §3.6 · ICPI(38,28%) &lt; ICM-SIGAD(100,00%) — Brecha de 61,72pp — H₁ CONFIRMADA</v>
      </c>
      <c r="B27" s="3783"/>
      <c r="C27" s="3784"/>
      <c r="D27" s="3785"/>
      <c r="E27" s="3785"/>
      <c r="F27" s="3785"/>
      <c r="G27" s="3785"/>
      <c r="H27" s="3785"/>
      <c r="I27" s="3785"/>
      <c r="J27" s="3785"/>
      <c r="K27" s="3785"/>
      <c r="L27" s="3785"/>
      <c r="M27" s="3785"/>
      <c r="N27" s="3785"/>
      <c r="O27" s="3786"/>
      <c r="P27" s="3786"/>
      <c r="Q27" s="3786"/>
      <c r="R27" s="3786"/>
      <c r="S27" s="3786"/>
      <c r="T27" s="3786"/>
      <c r="U27" s="3786"/>
      <c r="V27" s="3786"/>
      <c r="W27" s="3786"/>
      <c r="X27" s="3786"/>
      <c r="Y27" s="3786"/>
      <c r="Z27" s="3787"/>
    </row>
    <row r="28" spans="1:26" s="19" customFormat="1" ht="37.950000000000003" customHeight="1" x14ac:dyDescent="0.3">
      <c r="A28" s="2391" t="s">
        <v>1588</v>
      </c>
      <c r="B28" s="2392" t="str">
        <f>"Δ verificación = "&amp;TEXT(ABS('M5-ICPI'!G29/100-'DATA-RESULTADOS'!C6),"0.0000")</f>
        <v>Δ verificación = 00.000</v>
      </c>
      <c r="C28" s="2393" t="str">
        <f>IF(ABS('M5-ICPI'!G29/100-'DATA-RESULTADOS'!C6)&lt;0.0001,"✅ Cálculo verificado de forma independiente — E3-Consist = E1-ICPI = E2-RESUL · Modelo internamente consistente: sin contradicciones matemáticas §3.7","⚠️ ALERTA: discrepancia detectada entre E1-ICPI y E2-RESUL — revisar formulas §3.7")</f>
        <v>⚠️ ALERTA: discrepancia detectada entre E1-ICPI y E2-RESUL — revisar formulas §3.7</v>
      </c>
      <c r="D28" s="2359"/>
      <c r="E28" s="1860"/>
      <c r="F28" s="1860"/>
      <c r="G28" s="1860"/>
      <c r="H28" s="1860"/>
      <c r="I28" s="1860"/>
      <c r="J28" s="1860"/>
      <c r="K28" s="1860"/>
      <c r="L28" s="1860"/>
      <c r="M28" s="1860"/>
      <c r="N28" s="1860"/>
      <c r="O28" s="2338"/>
      <c r="P28" s="2338"/>
      <c r="Q28" s="2338"/>
      <c r="R28" s="2338"/>
      <c r="S28" s="2338"/>
      <c r="T28" s="2338"/>
      <c r="U28" s="2338"/>
      <c r="V28" s="2338"/>
      <c r="W28" s="2338"/>
      <c r="X28" s="2338"/>
      <c r="Y28" s="2338"/>
      <c r="Z28" s="2339"/>
    </row>
    <row r="29" spans="1:26" s="19" customFormat="1" ht="37.950000000000003" customHeight="1" x14ac:dyDescent="0.3">
      <c r="A29" s="2394" t="s">
        <v>1589</v>
      </c>
      <c r="B29" s="2395" t="s">
        <v>1590</v>
      </c>
      <c r="C29" s="2396" t="str">
        <f>(20-COUNTIF('M4-AUDIT'!X5:X24,1))&amp;" metas con Vi_cadena=0 · TER-10 (Camal) y SOC-04 (Guardería Nocturna) · Regularizar activa cadena CININ §3.4"</f>
        <v>12 metas con Vi_cadena=0 · TER-10 (Camal) y SOC-04 (Guardería Nocturna) · Regularizar activa cadena CININ §3.4</v>
      </c>
      <c r="D29" s="2385"/>
      <c r="E29" s="2337"/>
      <c r="F29" s="2337"/>
      <c r="G29" s="2337"/>
      <c r="H29" s="2337"/>
      <c r="I29" s="2337"/>
      <c r="J29" s="2337"/>
      <c r="K29" s="2337"/>
      <c r="L29" s="2337"/>
      <c r="M29" s="2337"/>
      <c r="N29" s="2337"/>
      <c r="O29" s="2338"/>
      <c r="P29" s="2338"/>
      <c r="Q29" s="2338"/>
      <c r="R29" s="2338"/>
      <c r="S29" s="2338"/>
      <c r="T29" s="2338"/>
      <c r="U29" s="2338"/>
      <c r="V29" s="2338"/>
      <c r="W29" s="2338"/>
      <c r="X29" s="2338"/>
      <c r="Y29" s="2338"/>
      <c r="Z29" s="2339"/>
    </row>
    <row r="30" spans="1:26" s="19" customFormat="1" x14ac:dyDescent="0.3">
      <c r="A30" s="2386"/>
      <c r="B30" s="2387"/>
      <c r="C30" s="2387"/>
      <c r="D30" s="51"/>
      <c r="E30" s="51"/>
      <c r="F30" s="51"/>
      <c r="G30" s="51"/>
      <c r="H30" s="51"/>
      <c r="I30" s="51"/>
      <c r="J30" s="51"/>
      <c r="K30" s="51"/>
      <c r="L30" s="51"/>
      <c r="M30" s="51"/>
      <c r="N30" s="51"/>
      <c r="O30" s="51"/>
      <c r="P30" s="51"/>
      <c r="Q30" s="51"/>
      <c r="R30" s="51"/>
      <c r="S30" s="51"/>
      <c r="T30" s="51"/>
      <c r="U30" s="51"/>
      <c r="V30" s="51"/>
      <c r="W30" s="51"/>
      <c r="X30" s="51"/>
      <c r="Y30" s="51"/>
      <c r="Z30" s="52"/>
    </row>
    <row r="31" spans="1:26" ht="18" customHeight="1" x14ac:dyDescent="0.3"/>
    <row r="32" spans="1:26" ht="18" customHeight="1" x14ac:dyDescent="0.3"/>
    <row r="33" ht="18" customHeight="1" x14ac:dyDescent="0.3"/>
    <row r="34" ht="18" customHeight="1" x14ac:dyDescent="0.3"/>
    <row r="35" ht="18" customHeight="1" x14ac:dyDescent="0.3"/>
    <row r="36" ht="18" customHeight="1" x14ac:dyDescent="0.3"/>
    <row r="37" ht="18" customHeight="1" x14ac:dyDescent="0.3"/>
    <row r="38" ht="18" customHeight="1" x14ac:dyDescent="0.3"/>
    <row r="39" ht="18" customHeight="1" x14ac:dyDescent="0.3"/>
    <row r="40" ht="18" customHeight="1" x14ac:dyDescent="0.3"/>
    <row r="41" ht="18" customHeight="1" x14ac:dyDescent="0.3"/>
    <row r="42" ht="18" customHeight="1" x14ac:dyDescent="0.3"/>
    <row r="43" ht="18" customHeight="1" x14ac:dyDescent="0.3"/>
    <row r="44" ht="18" customHeight="1" x14ac:dyDescent="0.3"/>
    <row r="45" ht="18" customHeight="1" x14ac:dyDescent="0.3"/>
    <row r="46" ht="18" customHeight="1" x14ac:dyDescent="0.3"/>
    <row r="47" ht="18" customHeight="1" x14ac:dyDescent="0.3"/>
    <row r="48" ht="18" customHeight="1" x14ac:dyDescent="0.3"/>
    <row r="49" ht="18" customHeight="1" x14ac:dyDescent="0.3"/>
    <row r="50" ht="18" customHeight="1" x14ac:dyDescent="0.3"/>
  </sheetData>
  <mergeCells count="9">
    <mergeCell ref="A1:Z1"/>
    <mergeCell ref="A4:Z4"/>
    <mergeCell ref="A27:Z27"/>
    <mergeCell ref="A22:C22"/>
    <mergeCell ref="A3:Z3"/>
    <mergeCell ref="A9:Z9"/>
    <mergeCell ref="A19:Z19"/>
    <mergeCell ref="A23:Z23"/>
    <mergeCell ref="A25:Z25"/>
  </mergeCells>
  <conditionalFormatting sqref="A11:A17">
    <cfRule type="containsText" dxfId="479" priority="5" operator="containsText" text="Vi = 0">
      <formula>NOT(ISERROR(SEARCH("Vi = 0",A11)))</formula>
    </cfRule>
    <cfRule type="containsText" dxfId="478" priority="6" operator="containsText" text="Ti=1">
      <formula>NOT(ISERROR(SEARCH("Ti=1",A11)))</formula>
    </cfRule>
    <cfRule type="containsText" dxfId="477" priority="7" operator="containsText" text="Consistencia">
      <formula>NOT(ISERROR(SEARCH("Consistencia",A11)))</formula>
    </cfRule>
  </conditionalFormatting>
  <conditionalFormatting sqref="A20:A23">
    <cfRule type="containsText" dxfId="476" priority="17" operator="containsText" text="NIVEL ICPI">
      <formula>NOT(ISERROR(SEARCH("NIVEL ICPI",A20)))</formula>
    </cfRule>
    <cfRule type="containsText" dxfId="475" priority="18" operator="containsText" text="BRECHA">
      <formula>NOT(ISERROR(SEARCH("BRECHA",A20)))</formula>
    </cfRule>
    <cfRule type="containsText" dxfId="474" priority="19" operator="containsText" text="ACCIÓN">
      <formula>NOT(ISERROR(SEARCH("ACCIÓN",A20)))</formula>
    </cfRule>
  </conditionalFormatting>
  <conditionalFormatting sqref="A27:A29">
    <cfRule type="containsText" dxfId="473" priority="20" operator="containsText" text="DÉFICIT">
      <formula>NOT(ISERROR(SEARCH("DÉFICIT",A27)))</formula>
    </cfRule>
    <cfRule type="containsText" dxfId="472" priority="21" operator="containsText" text="CONSISTENCIA">
      <formula>NOT(ISERROR(SEARCH("CONSISTENCIA",A27)))</formula>
    </cfRule>
    <cfRule type="containsText" dxfId="471" priority="22" operator="containsText" text="ALERTA">
      <formula>NOT(ISERROR(SEARCH("ALERTA",A27)))</formula>
    </cfRule>
  </conditionalFormatting>
  <conditionalFormatting sqref="B7">
    <cfRule type="cellIs" dxfId="470" priority="12" operator="greaterThanOrEqual">
      <formula>0.9</formula>
    </cfRule>
    <cfRule type="cellIs" dxfId="469" priority="13" operator="between">
      <formula>0.7</formula>
      <formula>0.9</formula>
    </cfRule>
    <cfRule type="cellIs" dxfId="468" priority="14" operator="between">
      <formula>0.4</formula>
      <formula>0.7</formula>
    </cfRule>
    <cfRule type="cellIs" dxfId="467" priority="15" operator="between">
      <formula>0.2</formula>
      <formula>0.4</formula>
    </cfRule>
    <cfRule type="cellIs" dxfId="466" priority="16" operator="lessThan">
      <formula>0.2</formula>
    </cfRule>
  </conditionalFormatting>
  <conditionalFormatting sqref="B11:B17">
    <cfRule type="containsText" dxfId="465" priority="1" operator="containsText" text="75%">
      <formula>NOT(ISERROR(SEARCH("75%",B11)))</formula>
    </cfRule>
    <cfRule type="containsText" dxfId="464" priority="2" operator="containsText" text="25%">
      <formula>NOT(ISERROR(SEARCH("25%",B11)))</formula>
    </cfRule>
    <cfRule type="containsText" dxfId="463" priority="3" operator="containsText" text="✅">
      <formula>NOT(ISERROR(SEARCH("✅",B11)))</formula>
    </cfRule>
    <cfRule type="containsText" dxfId="462" priority="4" operator="containsText" text="🟡">
      <formula>NOT(ISERROR(SEARCH("🟡",B11)))</formula>
    </cfRule>
  </conditionalFormatting>
  <conditionalFormatting sqref="B28:C28">
    <cfRule type="containsText" dxfId="461" priority="10" operator="containsText" text="✅">
      <formula>NOT(ISERROR(SEARCH("✅",B28)))</formula>
    </cfRule>
    <cfRule type="containsText" dxfId="460" priority="11" operator="containsText" text="⚠️">
      <formula>NOT(ISERROR(SEARCH("⚠️",B28)))</formula>
    </cfRule>
  </conditionalFormatting>
  <conditionalFormatting sqref="C11:C17">
    <cfRule type="containsText" dxfId="459" priority="8" operator="containsText" text="⚠️">
      <formula>NOT(ISERROR(SEARCH("⚠️",C11)))</formula>
    </cfRule>
    <cfRule type="containsText" dxfId="458" priority="9" operator="containsText" text="✅">
      <formula>NOT(ISERROR(SEARCH("✅",C11)))</formula>
    </cfRule>
  </conditionalFormatting>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CE4D6"/>
  </sheetPr>
  <dimension ref="A1:Z35"/>
  <sheetViews>
    <sheetView showGridLines="0" zoomScale="29" zoomScaleNormal="29" workbookViewId="0">
      <pane ySplit="3" topLeftCell="A4" activePane="bottomLeft" state="frozen"/>
      <selection pane="bottomLeft" activeCell="H6" sqref="H6"/>
    </sheetView>
  </sheetViews>
  <sheetFormatPr baseColWidth="10" defaultRowHeight="14.4" x14ac:dyDescent="0.3"/>
  <cols>
    <col min="1" max="1" width="7.44140625" style="2" customWidth="1"/>
    <col min="2" max="2" width="26.88671875" customWidth="1"/>
    <col min="3" max="3" width="11.109375" customWidth="1"/>
    <col min="4" max="4" width="8.33203125" customWidth="1"/>
    <col min="5" max="5" width="12" customWidth="1"/>
    <col min="6" max="6" width="14.77734375" customWidth="1"/>
    <col min="7" max="7" width="18.5546875" customWidth="1"/>
    <col min="8" max="8" width="46.33203125" customWidth="1"/>
    <col min="9" max="14" width="8.33203125" customWidth="1"/>
    <col min="26" max="26" width="8.21875" bestFit="1" customWidth="1"/>
  </cols>
  <sheetData>
    <row r="1" spans="1:26" ht="28.05" customHeight="1" x14ac:dyDescent="0.3">
      <c r="A1" s="3777" t="s">
        <v>4818</v>
      </c>
      <c r="B1" s="3777"/>
      <c r="C1" s="3777"/>
      <c r="D1" s="3777"/>
      <c r="E1" s="3777"/>
      <c r="F1" s="3777"/>
      <c r="G1" s="3777"/>
      <c r="H1" s="3777"/>
      <c r="I1" s="3777"/>
      <c r="J1" s="3777"/>
      <c r="K1" s="3777"/>
      <c r="L1" s="3777"/>
      <c r="M1" s="3777"/>
      <c r="N1" s="3777"/>
      <c r="O1" s="3715"/>
      <c r="P1" s="3715"/>
      <c r="Q1" s="3715"/>
      <c r="R1" s="3715"/>
      <c r="S1" s="3715"/>
      <c r="T1" s="3715"/>
      <c r="U1" s="3715"/>
      <c r="V1" s="3715"/>
      <c r="W1" s="3715"/>
      <c r="X1" s="3715"/>
      <c r="Y1" s="3715"/>
      <c r="Z1" s="3715"/>
    </row>
    <row r="2" spans="1:26" ht="19.95" customHeight="1" x14ac:dyDescent="0.3">
      <c r="A2" s="1763" t="str">
        <f>HYPERLINK("#'M-INDEX'!A1","⌂ INDICE")</f>
        <v>⌂ INDICE</v>
      </c>
      <c r="B2" s="1763" t="str">
        <f>HYPERLINK("#'M1-ITME'!A1","M1")</f>
        <v>M1</v>
      </c>
      <c r="C2" s="1763" t="str">
        <f>HYPERLINK("#'M2-PDOT'!A1","M2")</f>
        <v>M2</v>
      </c>
      <c r="D2" s="1763" t="str">
        <f>HYPERLINK("#'M3-MAO'!A1","M3")</f>
        <v>M3</v>
      </c>
      <c r="E2" s="1763" t="str">
        <f>HYPERLINK("#'M4-AUDIT'!A1","M4")</f>
        <v>M4</v>
      </c>
      <c r="F2" s="1763" t="str">
        <f>HYPERLINK("#'M5-ICPI'!A1","M5")</f>
        <v>M5</v>
      </c>
      <c r="G2" s="1763" t="str">
        <f>HYPERLINK("#'M6-FEDS'!A1","M6")</f>
        <v>M6</v>
      </c>
      <c r="H2" s="1763" t="str">
        <f>HYPERLINK("#'M7-PROSP'!A1","◉ M7-PROSP")</f>
        <v>◉ M7-PROSP</v>
      </c>
      <c r="I2" s="1763" t="str">
        <f>HYPERLINK("#'DATA-POA'!A1","DATA-POA")</f>
        <v>DATA-POA</v>
      </c>
      <c r="J2" s="1763" t="str">
        <f>HYPERLINK("#'DATA-CNE'!A1","DATA-CNE")</f>
        <v>DATA-CNE</v>
      </c>
      <c r="K2" s="1763" t="str">
        <f>HYPERLINK("#'DATA-ORG'!A1","DATA-ORG")</f>
        <v>DATA-ORG</v>
      </c>
      <c r="L2" s="1763" t="str">
        <f>HYPERLINK("#'M-DASHBOARD'!A1","DASH")</f>
        <v>DASH</v>
      </c>
      <c r="M2" s="1772"/>
      <c r="N2" s="1772"/>
      <c r="O2" s="1734"/>
      <c r="P2" s="1734"/>
      <c r="Q2" s="1734"/>
      <c r="R2" s="1734"/>
      <c r="S2" s="1734"/>
      <c r="T2" s="1734"/>
      <c r="U2" s="1734"/>
      <c r="V2" s="1734"/>
      <c r="W2" s="1734"/>
      <c r="X2" s="1734"/>
      <c r="Y2" s="1734"/>
      <c r="Z2" s="1734"/>
    </row>
    <row r="3" spans="1:26" ht="15" customHeight="1" thickBot="1" x14ac:dyDescent="0.35">
      <c r="A3" s="3814" t="s">
        <v>4236</v>
      </c>
      <c r="B3" s="3814"/>
      <c r="C3" s="3814"/>
      <c r="D3" s="3814"/>
      <c r="E3" s="3814"/>
      <c r="F3" s="3814"/>
      <c r="G3" s="3814"/>
      <c r="H3" s="3814"/>
      <c r="I3" s="3814"/>
      <c r="J3" s="3814"/>
      <c r="K3" s="3814"/>
      <c r="L3" s="3814"/>
      <c r="M3" s="3814"/>
      <c r="N3" s="3814"/>
      <c r="O3" s="3815"/>
      <c r="P3" s="3815"/>
      <c r="Q3" s="3815"/>
      <c r="R3" s="3815"/>
      <c r="S3" s="3815"/>
      <c r="T3" s="3815"/>
      <c r="U3" s="3815"/>
      <c r="V3" s="3815"/>
      <c r="W3" s="3815"/>
      <c r="X3" s="3815"/>
      <c r="Y3" s="3815"/>
      <c r="Z3" s="3815"/>
    </row>
    <row r="4" spans="1:26" ht="22.05" customHeight="1" thickTop="1" x14ac:dyDescent="0.3">
      <c r="A4" s="3816" t="s">
        <v>4256</v>
      </c>
      <c r="B4" s="3817"/>
      <c r="C4" s="3817"/>
      <c r="D4" s="3817"/>
      <c r="E4" s="3817"/>
      <c r="F4" s="3817"/>
      <c r="G4" s="3817"/>
      <c r="H4" s="3817"/>
      <c r="I4" s="3818"/>
      <c r="J4" s="3818"/>
      <c r="K4" s="3818"/>
      <c r="L4" s="3818"/>
      <c r="M4" s="3818"/>
      <c r="N4" s="3818"/>
      <c r="O4" s="3819"/>
      <c r="P4" s="3819"/>
      <c r="Q4" s="3819"/>
      <c r="R4" s="3819"/>
      <c r="S4" s="3819"/>
      <c r="T4" s="3819"/>
      <c r="U4" s="3819"/>
      <c r="V4" s="3819"/>
      <c r="W4" s="3819"/>
      <c r="X4" s="3819"/>
      <c r="Y4" s="3819"/>
      <c r="Z4" s="3820"/>
    </row>
    <row r="5" spans="1:26" ht="36" customHeight="1" x14ac:dyDescent="0.3">
      <c r="A5" s="2150" t="s">
        <v>690</v>
      </c>
      <c r="B5" s="1952" t="s">
        <v>691</v>
      </c>
      <c r="C5" s="1952" t="s">
        <v>1591</v>
      </c>
      <c r="D5" s="1952" t="s">
        <v>696</v>
      </c>
      <c r="E5" s="2234" t="s">
        <v>1592</v>
      </c>
      <c r="F5" s="2241" t="s">
        <v>1593</v>
      </c>
      <c r="G5" s="2321" t="s">
        <v>941</v>
      </c>
      <c r="H5" s="2326" t="s">
        <v>1594</v>
      </c>
      <c r="I5" s="2276"/>
      <c r="J5" s="1773"/>
      <c r="K5" s="1773"/>
      <c r="L5" s="1773"/>
      <c r="M5" s="1773"/>
      <c r="N5" s="1773"/>
      <c r="O5" s="506"/>
      <c r="P5" s="506"/>
      <c r="Q5" s="506"/>
      <c r="R5" s="506"/>
      <c r="S5" s="506"/>
      <c r="T5" s="506"/>
      <c r="U5" s="506"/>
      <c r="V5" s="506"/>
      <c r="W5" s="506"/>
      <c r="X5" s="506"/>
      <c r="Y5" s="506"/>
      <c r="Z5" s="2271"/>
    </row>
    <row r="6" spans="1:26" ht="34.049999999999997" customHeight="1" x14ac:dyDescent="0.3">
      <c r="A6" s="2278">
        <v>2</v>
      </c>
      <c r="B6" s="1784" t="s">
        <v>509</v>
      </c>
      <c r="C6" s="1820">
        <v>0.75</v>
      </c>
      <c r="D6" s="1820">
        <v>1</v>
      </c>
      <c r="E6" s="2312">
        <f t="shared" ref="E6:E24" si="0">C6-D6</f>
        <v>-0.25</v>
      </c>
      <c r="F6" s="2317" t="s">
        <v>1595</v>
      </c>
      <c r="G6" s="2322" t="s">
        <v>1596</v>
      </c>
      <c r="H6" s="2327" t="s">
        <v>1597</v>
      </c>
      <c r="I6" s="2277"/>
      <c r="J6" s="376"/>
      <c r="K6" s="376"/>
      <c r="L6" s="376"/>
      <c r="M6" s="376"/>
      <c r="N6" s="376"/>
      <c r="O6" s="1766"/>
      <c r="P6" s="1766"/>
      <c r="Q6" s="1766"/>
      <c r="R6" s="1766"/>
      <c r="S6" s="1766"/>
      <c r="T6" s="1766"/>
      <c r="U6" s="1766"/>
      <c r="V6" s="1766"/>
      <c r="W6" s="1766"/>
      <c r="X6" s="1766"/>
      <c r="Y6" s="1766"/>
      <c r="Z6" s="2272"/>
    </row>
    <row r="7" spans="1:26" s="11" customFormat="1" ht="34.049999999999997" customHeight="1" x14ac:dyDescent="0.3">
      <c r="A7" s="2279">
        <v>3</v>
      </c>
      <c r="B7" s="1787" t="s">
        <v>43</v>
      </c>
      <c r="C7" s="1821">
        <v>0</v>
      </c>
      <c r="D7" s="1821">
        <v>1</v>
      </c>
      <c r="E7" s="2313">
        <f t="shared" si="0"/>
        <v>-1</v>
      </c>
      <c r="F7" s="2318" t="s">
        <v>1598</v>
      </c>
      <c r="G7" s="2323" t="s">
        <v>1599</v>
      </c>
      <c r="H7" s="2328" t="s">
        <v>1600</v>
      </c>
      <c r="I7" s="1791"/>
      <c r="J7" s="375"/>
      <c r="K7" s="375"/>
      <c r="L7" s="375"/>
      <c r="M7" s="375"/>
      <c r="N7" s="375"/>
      <c r="O7" s="1765"/>
      <c r="P7" s="1765"/>
      <c r="Q7" s="1765"/>
      <c r="R7" s="1765"/>
      <c r="S7" s="1765"/>
      <c r="T7" s="1765"/>
      <c r="U7" s="1765"/>
      <c r="V7" s="1765"/>
      <c r="W7" s="1765"/>
      <c r="X7" s="1765"/>
      <c r="Y7" s="1765"/>
      <c r="Z7" s="2273"/>
    </row>
    <row r="8" spans="1:26" s="11" customFormat="1" ht="34.049999999999997" customHeight="1" x14ac:dyDescent="0.3">
      <c r="A8" s="2278">
        <v>4</v>
      </c>
      <c r="B8" s="1784" t="s">
        <v>715</v>
      </c>
      <c r="C8" s="1820">
        <v>0.45</v>
      </c>
      <c r="D8" s="1820">
        <v>1</v>
      </c>
      <c r="E8" s="2312">
        <f t="shared" si="0"/>
        <v>-0.55000000000000004</v>
      </c>
      <c r="F8" s="2317" t="s">
        <v>1601</v>
      </c>
      <c r="G8" s="2322" t="s">
        <v>1599</v>
      </c>
      <c r="H8" s="2327" t="s">
        <v>1602</v>
      </c>
      <c r="I8" s="2277"/>
      <c r="J8" s="376"/>
      <c r="K8" s="376"/>
      <c r="L8" s="376"/>
      <c r="M8" s="376"/>
      <c r="N8" s="376"/>
      <c r="O8" s="1765"/>
      <c r="P8" s="1765"/>
      <c r="Q8" s="1765"/>
      <c r="R8" s="1765"/>
      <c r="S8" s="1765"/>
      <c r="T8" s="1765"/>
      <c r="U8" s="1765"/>
      <c r="V8" s="1765"/>
      <c r="W8" s="1765"/>
      <c r="X8" s="1765"/>
      <c r="Y8" s="1765"/>
      <c r="Z8" s="2273"/>
    </row>
    <row r="9" spans="1:26" s="11" customFormat="1" ht="34.049999999999997" customHeight="1" x14ac:dyDescent="0.3">
      <c r="A9" s="2279">
        <v>5</v>
      </c>
      <c r="B9" s="1787" t="s">
        <v>57</v>
      </c>
      <c r="C9" s="1821">
        <v>0</v>
      </c>
      <c r="D9" s="1821">
        <v>1</v>
      </c>
      <c r="E9" s="2313">
        <f t="shared" si="0"/>
        <v>-1</v>
      </c>
      <c r="F9" s="2318" t="s">
        <v>1598</v>
      </c>
      <c r="G9" s="2323" t="s">
        <v>1599</v>
      </c>
      <c r="H9" s="2328" t="s">
        <v>1603</v>
      </c>
      <c r="I9" s="1791"/>
      <c r="J9" s="375"/>
      <c r="K9" s="375"/>
      <c r="L9" s="375"/>
      <c r="M9" s="375"/>
      <c r="N9" s="375"/>
      <c r="O9" s="1765"/>
      <c r="P9" s="1765"/>
      <c r="Q9" s="1765"/>
      <c r="R9" s="1765"/>
      <c r="S9" s="1765"/>
      <c r="T9" s="1765"/>
      <c r="U9" s="1765"/>
      <c r="V9" s="1765"/>
      <c r="W9" s="1765"/>
      <c r="X9" s="1765"/>
      <c r="Y9" s="1765"/>
      <c r="Z9" s="2273"/>
    </row>
    <row r="10" spans="1:26" s="11" customFormat="1" ht="34.049999999999997" customHeight="1" x14ac:dyDescent="0.3">
      <c r="A10" s="2278">
        <v>6</v>
      </c>
      <c r="B10" s="1784" t="s">
        <v>721</v>
      </c>
      <c r="C10" s="1820">
        <v>1</v>
      </c>
      <c r="D10" s="1820">
        <v>1</v>
      </c>
      <c r="E10" s="2312">
        <f t="shared" si="0"/>
        <v>0</v>
      </c>
      <c r="F10" s="2317" t="s">
        <v>1595</v>
      </c>
      <c r="G10" s="2322" t="s">
        <v>1596</v>
      </c>
      <c r="H10" s="2327" t="s">
        <v>1604</v>
      </c>
      <c r="I10" s="2277"/>
      <c r="J10" s="376"/>
      <c r="K10" s="376"/>
      <c r="L10" s="376"/>
      <c r="M10" s="376"/>
      <c r="N10" s="376"/>
      <c r="O10" s="1765"/>
      <c r="P10" s="1765"/>
      <c r="Q10" s="1765"/>
      <c r="R10" s="1765"/>
      <c r="S10" s="1765"/>
      <c r="T10" s="1765"/>
      <c r="U10" s="1765"/>
      <c r="V10" s="1765"/>
      <c r="W10" s="1765"/>
      <c r="X10" s="1765"/>
      <c r="Y10" s="1765"/>
      <c r="Z10" s="2273"/>
    </row>
    <row r="11" spans="1:26" s="11" customFormat="1" ht="34.049999999999997" customHeight="1" x14ac:dyDescent="0.3">
      <c r="A11" s="2279">
        <v>7</v>
      </c>
      <c r="B11" s="1787" t="s">
        <v>546</v>
      </c>
      <c r="C11" s="1821">
        <v>0.9</v>
      </c>
      <c r="D11" s="1821">
        <v>1</v>
      </c>
      <c r="E11" s="2313">
        <f t="shared" si="0"/>
        <v>-9.9999999999999978E-2</v>
      </c>
      <c r="F11" s="2318" t="s">
        <v>1605</v>
      </c>
      <c r="G11" s="2323" t="s">
        <v>1599</v>
      </c>
      <c r="H11" s="2328" t="s">
        <v>1606</v>
      </c>
      <c r="I11" s="1791"/>
      <c r="J11" s="375"/>
      <c r="K11" s="375"/>
      <c r="L11" s="375"/>
      <c r="M11" s="375"/>
      <c r="N11" s="375"/>
      <c r="O11" s="1765"/>
      <c r="P11" s="1765"/>
      <c r="Q11" s="1765"/>
      <c r="R11" s="1765"/>
      <c r="S11" s="1765"/>
      <c r="T11" s="1765"/>
      <c r="U11" s="1765"/>
      <c r="V11" s="1765"/>
      <c r="W11" s="1765"/>
      <c r="X11" s="1765"/>
      <c r="Y11" s="1765"/>
      <c r="Z11" s="2273"/>
    </row>
    <row r="12" spans="1:26" s="11" customFormat="1" ht="34.049999999999997" customHeight="1" x14ac:dyDescent="0.3">
      <c r="A12" s="2278">
        <v>8</v>
      </c>
      <c r="B12" s="1784" t="s">
        <v>47</v>
      </c>
      <c r="C12" s="1820">
        <v>0</v>
      </c>
      <c r="D12" s="1820">
        <v>1</v>
      </c>
      <c r="E12" s="2312">
        <f t="shared" si="0"/>
        <v>-1</v>
      </c>
      <c r="F12" s="2317" t="s">
        <v>1598</v>
      </c>
      <c r="G12" s="2322" t="s">
        <v>1599</v>
      </c>
      <c r="H12" s="2327" t="s">
        <v>1607</v>
      </c>
      <c r="I12" s="2277"/>
      <c r="J12" s="376"/>
      <c r="K12" s="376"/>
      <c r="L12" s="376"/>
      <c r="M12" s="376"/>
      <c r="N12" s="376"/>
      <c r="O12" s="1765"/>
      <c r="P12" s="1765"/>
      <c r="Q12" s="1765"/>
      <c r="R12" s="1765"/>
      <c r="S12" s="1765"/>
      <c r="T12" s="1765"/>
      <c r="U12" s="1765"/>
      <c r="V12" s="1765"/>
      <c r="W12" s="1765"/>
      <c r="X12" s="1765"/>
      <c r="Y12" s="1765"/>
      <c r="Z12" s="2273"/>
    </row>
    <row r="13" spans="1:26" s="11" customFormat="1" ht="34.049999999999997" customHeight="1" x14ac:dyDescent="0.3">
      <c r="A13" s="2279">
        <v>9</v>
      </c>
      <c r="B13" s="1787" t="s">
        <v>518</v>
      </c>
      <c r="C13" s="1821">
        <v>0.36</v>
      </c>
      <c r="D13" s="1821">
        <v>1</v>
      </c>
      <c r="E13" s="2313">
        <f t="shared" si="0"/>
        <v>-0.64</v>
      </c>
      <c r="F13" s="2318" t="s">
        <v>1601</v>
      </c>
      <c r="G13" s="2323" t="s">
        <v>1599</v>
      </c>
      <c r="H13" s="2328" t="s">
        <v>1608</v>
      </c>
      <c r="I13" s="1791"/>
      <c r="J13" s="375"/>
      <c r="K13" s="375"/>
      <c r="L13" s="375"/>
      <c r="M13" s="375"/>
      <c r="N13" s="375"/>
      <c r="O13" s="1765"/>
      <c r="P13" s="1765"/>
      <c r="Q13" s="1765"/>
      <c r="R13" s="1765"/>
      <c r="S13" s="1765"/>
      <c r="T13" s="1765"/>
      <c r="U13" s="1765"/>
      <c r="V13" s="1765"/>
      <c r="W13" s="1765"/>
      <c r="X13" s="1765"/>
      <c r="Y13" s="1765"/>
      <c r="Z13" s="2273"/>
    </row>
    <row r="14" spans="1:26" s="11" customFormat="1" ht="34.049999999999997" customHeight="1" x14ac:dyDescent="0.3">
      <c r="A14" s="2278">
        <v>10</v>
      </c>
      <c r="B14" s="1784" t="s">
        <v>531</v>
      </c>
      <c r="C14" s="1820">
        <v>0.5</v>
      </c>
      <c r="D14" s="1820">
        <v>1</v>
      </c>
      <c r="E14" s="2312">
        <f t="shared" si="0"/>
        <v>-0.5</v>
      </c>
      <c r="F14" s="2317" t="s">
        <v>1601</v>
      </c>
      <c r="G14" s="2322" t="s">
        <v>1599</v>
      </c>
      <c r="H14" s="2327" t="s">
        <v>1609</v>
      </c>
      <c r="I14" s="2277"/>
      <c r="J14" s="376"/>
      <c r="K14" s="376"/>
      <c r="L14" s="376"/>
      <c r="M14" s="376"/>
      <c r="N14" s="376"/>
      <c r="O14" s="1765"/>
      <c r="P14" s="1765"/>
      <c r="Q14" s="1765"/>
      <c r="R14" s="1765"/>
      <c r="S14" s="1765"/>
      <c r="T14" s="1765"/>
      <c r="U14" s="1765"/>
      <c r="V14" s="1765"/>
      <c r="W14" s="1765"/>
      <c r="X14" s="1765"/>
      <c r="Y14" s="1765"/>
      <c r="Z14" s="2273"/>
    </row>
    <row r="15" spans="1:26" s="11" customFormat="1" ht="34.049999999999997" customHeight="1" x14ac:dyDescent="0.3">
      <c r="A15" s="2279">
        <v>11</v>
      </c>
      <c r="B15" s="1787" t="s">
        <v>53</v>
      </c>
      <c r="C15" s="1821">
        <v>0</v>
      </c>
      <c r="D15" s="1821">
        <v>1</v>
      </c>
      <c r="E15" s="2313">
        <f t="shared" si="0"/>
        <v>-1</v>
      </c>
      <c r="F15" s="2318" t="s">
        <v>1598</v>
      </c>
      <c r="G15" s="2323" t="s">
        <v>1599</v>
      </c>
      <c r="H15" s="2328" t="s">
        <v>1610</v>
      </c>
      <c r="I15" s="1791"/>
      <c r="J15" s="375"/>
      <c r="K15" s="375"/>
      <c r="L15" s="375"/>
      <c r="M15" s="375"/>
      <c r="N15" s="375"/>
      <c r="O15" s="1765"/>
      <c r="P15" s="1765"/>
      <c r="Q15" s="1765"/>
      <c r="R15" s="1765"/>
      <c r="S15" s="1765"/>
      <c r="T15" s="1765"/>
      <c r="U15" s="1765"/>
      <c r="V15" s="1765"/>
      <c r="W15" s="1765"/>
      <c r="X15" s="1765"/>
      <c r="Y15" s="1765"/>
      <c r="Z15" s="2273"/>
    </row>
    <row r="16" spans="1:26" s="11" customFormat="1" ht="34.049999999999997" customHeight="1" x14ac:dyDescent="0.3">
      <c r="A16" s="2278">
        <v>12</v>
      </c>
      <c r="B16" s="1784" t="s">
        <v>486</v>
      </c>
      <c r="C16" s="1820">
        <v>0.27</v>
      </c>
      <c r="D16" s="1820">
        <v>1</v>
      </c>
      <c r="E16" s="2312">
        <f t="shared" si="0"/>
        <v>-0.73</v>
      </c>
      <c r="F16" s="2317" t="s">
        <v>1601</v>
      </c>
      <c r="G16" s="2322" t="s">
        <v>1599</v>
      </c>
      <c r="H16" s="2327" t="s">
        <v>1611</v>
      </c>
      <c r="I16" s="2277"/>
      <c r="J16" s="376"/>
      <c r="K16" s="376"/>
      <c r="L16" s="376"/>
      <c r="M16" s="376"/>
      <c r="N16" s="376"/>
      <c r="O16" s="1765"/>
      <c r="P16" s="1765"/>
      <c r="Q16" s="1765"/>
      <c r="R16" s="1765"/>
      <c r="S16" s="1765"/>
      <c r="T16" s="1765"/>
      <c r="U16" s="1765"/>
      <c r="V16" s="1765"/>
      <c r="W16" s="1765"/>
      <c r="X16" s="1765"/>
      <c r="Y16" s="1765"/>
      <c r="Z16" s="2273"/>
    </row>
    <row r="17" spans="1:26" s="11" customFormat="1" ht="34.049999999999997" customHeight="1" x14ac:dyDescent="0.3">
      <c r="A17" s="2279">
        <v>13</v>
      </c>
      <c r="B17" s="1787" t="s">
        <v>553</v>
      </c>
      <c r="C17" s="1821">
        <v>1</v>
      </c>
      <c r="D17" s="1821">
        <v>1</v>
      </c>
      <c r="E17" s="2313">
        <f t="shared" si="0"/>
        <v>0</v>
      </c>
      <c r="F17" s="2318" t="s">
        <v>1612</v>
      </c>
      <c r="G17" s="2323" t="s">
        <v>1596</v>
      </c>
      <c r="H17" s="2328" t="s">
        <v>1613</v>
      </c>
      <c r="I17" s="1791"/>
      <c r="J17" s="375"/>
      <c r="K17" s="375"/>
      <c r="L17" s="375"/>
      <c r="M17" s="375"/>
      <c r="N17" s="375"/>
      <c r="O17" s="1765"/>
      <c r="P17" s="1765"/>
      <c r="Q17" s="1765"/>
      <c r="R17" s="1765"/>
      <c r="S17" s="1765"/>
      <c r="T17" s="1765"/>
      <c r="U17" s="1765"/>
      <c r="V17" s="1765"/>
      <c r="W17" s="1765"/>
      <c r="X17" s="1765"/>
      <c r="Y17" s="1765"/>
      <c r="Z17" s="2273"/>
    </row>
    <row r="18" spans="1:26" s="11" customFormat="1" ht="34.049999999999997" customHeight="1" x14ac:dyDescent="0.3">
      <c r="A18" s="2278">
        <v>14</v>
      </c>
      <c r="B18" s="1784" t="s">
        <v>50</v>
      </c>
      <c r="C18" s="1820">
        <v>0</v>
      </c>
      <c r="D18" s="1820">
        <v>1</v>
      </c>
      <c r="E18" s="2312">
        <f t="shared" si="0"/>
        <v>-1</v>
      </c>
      <c r="F18" s="2317" t="s">
        <v>1598</v>
      </c>
      <c r="G18" s="2322" t="s">
        <v>1599</v>
      </c>
      <c r="H18" s="2327" t="s">
        <v>1614</v>
      </c>
      <c r="I18" s="2277"/>
      <c r="J18" s="376"/>
      <c r="K18" s="376"/>
      <c r="L18" s="376"/>
      <c r="M18" s="376"/>
      <c r="N18" s="376"/>
      <c r="O18" s="1765"/>
      <c r="P18" s="1765"/>
      <c r="Q18" s="1765"/>
      <c r="R18" s="1765"/>
      <c r="S18" s="1765"/>
      <c r="T18" s="1765"/>
      <c r="U18" s="1765"/>
      <c r="V18" s="1765"/>
      <c r="W18" s="1765"/>
      <c r="X18" s="1765"/>
      <c r="Y18" s="1765"/>
      <c r="Z18" s="2273"/>
    </row>
    <row r="19" spans="1:26" s="11" customFormat="1" ht="34.049999999999997" customHeight="1" x14ac:dyDescent="0.3">
      <c r="A19" s="2279">
        <v>15</v>
      </c>
      <c r="B19" s="1787" t="s">
        <v>655</v>
      </c>
      <c r="C19" s="1821">
        <v>0.7</v>
      </c>
      <c r="D19" s="1821">
        <v>0.55000000000000004</v>
      </c>
      <c r="E19" s="2313">
        <f t="shared" si="0"/>
        <v>0.14999999999999991</v>
      </c>
      <c r="F19" s="2318" t="s">
        <v>1615</v>
      </c>
      <c r="G19" s="2323" t="s">
        <v>1599</v>
      </c>
      <c r="H19" s="2328" t="s">
        <v>1616</v>
      </c>
      <c r="I19" s="1791"/>
      <c r="J19" s="375"/>
      <c r="K19" s="375"/>
      <c r="L19" s="375"/>
      <c r="M19" s="375"/>
      <c r="N19" s="375"/>
      <c r="O19" s="1765"/>
      <c r="P19" s="1765"/>
      <c r="Q19" s="1765"/>
      <c r="R19" s="1765"/>
      <c r="S19" s="1765"/>
      <c r="T19" s="1765"/>
      <c r="U19" s="1765"/>
      <c r="V19" s="1765"/>
      <c r="W19" s="1765"/>
      <c r="X19" s="1765"/>
      <c r="Y19" s="1765"/>
      <c r="Z19" s="2273"/>
    </row>
    <row r="20" spans="1:26" s="11" customFormat="1" ht="34.049999999999997" customHeight="1" x14ac:dyDescent="0.3">
      <c r="A20" s="2278">
        <v>16</v>
      </c>
      <c r="B20" s="1784" t="s">
        <v>642</v>
      </c>
      <c r="C20" s="1820">
        <v>1</v>
      </c>
      <c r="D20" s="1820">
        <v>1</v>
      </c>
      <c r="E20" s="2312">
        <f t="shared" si="0"/>
        <v>0</v>
      </c>
      <c r="F20" s="2317" t="s">
        <v>1612</v>
      </c>
      <c r="G20" s="2322" t="s">
        <v>1596</v>
      </c>
      <c r="H20" s="2327" t="s">
        <v>1617</v>
      </c>
      <c r="I20" s="2277"/>
      <c r="J20" s="376"/>
      <c r="K20" s="376"/>
      <c r="L20" s="376"/>
      <c r="M20" s="376"/>
      <c r="N20" s="376"/>
      <c r="O20" s="1765"/>
      <c r="P20" s="1765"/>
      <c r="Q20" s="1765"/>
      <c r="R20" s="1765"/>
      <c r="S20" s="1765"/>
      <c r="T20" s="1765"/>
      <c r="U20" s="1765"/>
      <c r="V20" s="1765"/>
      <c r="W20" s="1765"/>
      <c r="X20" s="1765"/>
      <c r="Y20" s="1765"/>
      <c r="Z20" s="2273"/>
    </row>
    <row r="21" spans="1:26" s="11" customFormat="1" ht="34.049999999999997" customHeight="1" x14ac:dyDescent="0.3">
      <c r="A21" s="2279">
        <v>17</v>
      </c>
      <c r="B21" s="1787" t="s">
        <v>466</v>
      </c>
      <c r="C21" s="1821">
        <v>0.32</v>
      </c>
      <c r="D21" s="1821">
        <v>1</v>
      </c>
      <c r="E21" s="2313">
        <f t="shared" si="0"/>
        <v>-0.67999999999999994</v>
      </c>
      <c r="F21" s="2318" t="s">
        <v>1601</v>
      </c>
      <c r="G21" s="2323" t="s">
        <v>1599</v>
      </c>
      <c r="H21" s="2328" t="s">
        <v>1618</v>
      </c>
      <c r="I21" s="1791"/>
      <c r="J21" s="375"/>
      <c r="K21" s="375"/>
      <c r="L21" s="375"/>
      <c r="M21" s="375"/>
      <c r="N21" s="375"/>
      <c r="O21" s="1765"/>
      <c r="P21" s="1765"/>
      <c r="Q21" s="1765"/>
      <c r="R21" s="1765"/>
      <c r="S21" s="1765"/>
      <c r="T21" s="1765"/>
      <c r="U21" s="1765"/>
      <c r="V21" s="1765"/>
      <c r="W21" s="1765"/>
      <c r="X21" s="1765"/>
      <c r="Y21" s="1765"/>
      <c r="Z21" s="2273"/>
    </row>
    <row r="22" spans="1:26" s="11" customFormat="1" ht="34.049999999999997" customHeight="1" x14ac:dyDescent="0.3">
      <c r="A22" s="2278">
        <v>18</v>
      </c>
      <c r="B22" s="1784" t="s">
        <v>458</v>
      </c>
      <c r="C22" s="1820">
        <v>0.27</v>
      </c>
      <c r="D22" s="1820">
        <v>1</v>
      </c>
      <c r="E22" s="2312">
        <f t="shared" si="0"/>
        <v>-0.73</v>
      </c>
      <c r="F22" s="2317" t="s">
        <v>1601</v>
      </c>
      <c r="G22" s="2322" t="s">
        <v>1599</v>
      </c>
      <c r="H22" s="2327" t="s">
        <v>1619</v>
      </c>
      <c r="I22" s="2277"/>
      <c r="J22" s="376"/>
      <c r="K22" s="376"/>
      <c r="L22" s="376"/>
      <c r="M22" s="376"/>
      <c r="N22" s="376"/>
      <c r="O22" s="1765"/>
      <c r="P22" s="1765"/>
      <c r="Q22" s="1765"/>
      <c r="R22" s="1765"/>
      <c r="S22" s="1765"/>
      <c r="T22" s="1765"/>
      <c r="U22" s="1765"/>
      <c r="V22" s="1765"/>
      <c r="W22" s="1765"/>
      <c r="X22" s="1765"/>
      <c r="Y22" s="1765"/>
      <c r="Z22" s="2273"/>
    </row>
    <row r="23" spans="1:26" s="11" customFormat="1" ht="34.049999999999997" customHeight="1" x14ac:dyDescent="0.3">
      <c r="A23" s="2279">
        <v>19</v>
      </c>
      <c r="B23" s="1787" t="s">
        <v>740</v>
      </c>
      <c r="C23" s="1821">
        <v>1</v>
      </c>
      <c r="D23" s="1821">
        <v>1</v>
      </c>
      <c r="E23" s="2313">
        <f t="shared" si="0"/>
        <v>0</v>
      </c>
      <c r="F23" s="2318" t="s">
        <v>1595</v>
      </c>
      <c r="G23" s="2323" t="s">
        <v>1596</v>
      </c>
      <c r="H23" s="2328" t="s">
        <v>1620</v>
      </c>
      <c r="I23" s="1791"/>
      <c r="J23" s="375"/>
      <c r="K23" s="375"/>
      <c r="L23" s="375"/>
      <c r="M23" s="375"/>
      <c r="N23" s="375"/>
      <c r="O23" s="1765"/>
      <c r="P23" s="1765"/>
      <c r="Q23" s="1765"/>
      <c r="R23" s="1765"/>
      <c r="S23" s="1765"/>
      <c r="T23" s="1765"/>
      <c r="U23" s="1765"/>
      <c r="V23" s="1765"/>
      <c r="W23" s="1765"/>
      <c r="X23" s="1765"/>
      <c r="Y23" s="1765"/>
      <c r="Z23" s="2273"/>
    </row>
    <row r="24" spans="1:26" s="11" customFormat="1" ht="34.049999999999997" customHeight="1" x14ac:dyDescent="0.3">
      <c r="A24" s="2281">
        <v>20</v>
      </c>
      <c r="B24" s="1802" t="s">
        <v>502</v>
      </c>
      <c r="C24" s="2282">
        <v>0.25</v>
      </c>
      <c r="D24" s="2282">
        <v>0.1</v>
      </c>
      <c r="E24" s="2314">
        <f t="shared" si="0"/>
        <v>0.15</v>
      </c>
      <c r="F24" s="2319" t="s">
        <v>1598</v>
      </c>
      <c r="G24" s="2324" t="s">
        <v>1599</v>
      </c>
      <c r="H24" s="2329" t="s">
        <v>1621</v>
      </c>
      <c r="I24" s="2277"/>
      <c r="J24" s="376"/>
      <c r="K24" s="376"/>
      <c r="L24" s="376"/>
      <c r="M24" s="376"/>
      <c r="N24" s="376"/>
      <c r="O24" s="1765"/>
      <c r="P24" s="1765"/>
      <c r="Q24" s="1765"/>
      <c r="R24" s="1765"/>
      <c r="S24" s="1765"/>
      <c r="T24" s="1765"/>
      <c r="U24" s="1765"/>
      <c r="V24" s="1765"/>
      <c r="W24" s="1765"/>
      <c r="X24" s="1765"/>
      <c r="Y24" s="1765"/>
      <c r="Z24" s="2273"/>
    </row>
    <row r="25" spans="1:26" s="11" customFormat="1" ht="22.05" customHeight="1" x14ac:dyDescent="0.3">
      <c r="A25" s="2202" t="s">
        <v>103</v>
      </c>
      <c r="B25" s="2203" t="s">
        <v>1622</v>
      </c>
      <c r="C25" s="2283">
        <f>AVERAGE(C4:C24)</f>
        <v>0.46157894736842114</v>
      </c>
      <c r="D25" s="2283">
        <v>0.9375</v>
      </c>
      <c r="E25" s="2315">
        <f>AVERAGE(E6:E24)</f>
        <v>-0.46736842105263154</v>
      </c>
      <c r="F25" s="2320" t="s">
        <v>1598</v>
      </c>
      <c r="G25" s="2325" t="s">
        <v>1623</v>
      </c>
      <c r="H25" s="2330" t="s">
        <v>1624</v>
      </c>
      <c r="I25" s="2280"/>
      <c r="J25" s="2051"/>
      <c r="K25" s="2051"/>
      <c r="L25" s="2051"/>
      <c r="M25" s="2051"/>
      <c r="N25" s="2051"/>
      <c r="O25" s="1765"/>
      <c r="P25" s="1765"/>
      <c r="Q25" s="1765"/>
      <c r="R25" s="1765"/>
      <c r="S25" s="1765"/>
      <c r="T25" s="1765"/>
      <c r="U25" s="1765"/>
      <c r="V25" s="1765"/>
      <c r="W25" s="1765"/>
      <c r="X25" s="1765"/>
      <c r="Y25" s="1765"/>
      <c r="Z25" s="2273"/>
    </row>
    <row r="26" spans="1:26" s="11" customFormat="1" ht="6" customHeight="1" x14ac:dyDescent="0.3">
      <c r="A26" s="2284"/>
      <c r="B26" s="1794"/>
      <c r="C26" s="1794"/>
      <c r="D26" s="2285"/>
      <c r="E26" s="2285"/>
      <c r="F26" s="2285"/>
      <c r="G26" s="2285"/>
      <c r="H26" s="2285"/>
      <c r="I26" s="2286"/>
      <c r="J26" s="2286"/>
      <c r="K26" s="2286"/>
      <c r="L26" s="2286"/>
      <c r="M26" s="2286"/>
      <c r="N26" s="2286"/>
      <c r="O26" s="1765"/>
      <c r="P26" s="1765"/>
      <c r="Q26" s="1765"/>
      <c r="R26" s="1765"/>
      <c r="S26" s="1765"/>
      <c r="T26" s="1765"/>
      <c r="U26" s="1765"/>
      <c r="V26" s="1765"/>
      <c r="W26" s="1765"/>
      <c r="X26" s="1765"/>
      <c r="Y26" s="1765"/>
      <c r="Z26" s="2273"/>
    </row>
    <row r="27" spans="1:26" s="11" customFormat="1" ht="7.95" customHeight="1" x14ac:dyDescent="0.3">
      <c r="A27" s="3821" t="s">
        <v>1625</v>
      </c>
      <c r="B27" s="3822"/>
      <c r="C27" s="3822"/>
      <c r="D27" s="3822"/>
      <c r="E27" s="3822"/>
      <c r="F27" s="3822"/>
      <c r="G27" s="3822"/>
      <c r="H27" s="3822"/>
      <c r="I27" s="3822"/>
      <c r="J27" s="3822"/>
      <c r="K27" s="3822"/>
      <c r="L27" s="3822"/>
      <c r="M27" s="3822"/>
      <c r="N27" s="3822"/>
      <c r="O27" s="3764"/>
      <c r="P27" s="3764"/>
      <c r="Q27" s="3764"/>
      <c r="R27" s="3764"/>
      <c r="S27" s="3764"/>
      <c r="T27" s="3764"/>
      <c r="U27" s="3764"/>
      <c r="V27" s="3764"/>
      <c r="W27" s="3764"/>
      <c r="X27" s="3764"/>
      <c r="Y27" s="3764"/>
      <c r="Z27" s="3765"/>
    </row>
    <row r="28" spans="1:26" s="11" customFormat="1" ht="22.05" customHeight="1" x14ac:dyDescent="0.3">
      <c r="A28" s="3813" t="s">
        <v>1626</v>
      </c>
      <c r="B28" s="3794"/>
      <c r="C28" s="3794"/>
      <c r="D28" s="3794"/>
      <c r="E28" s="3794"/>
      <c r="F28" s="3794"/>
      <c r="G28" s="3794"/>
      <c r="H28" s="3794"/>
      <c r="I28" s="3795"/>
      <c r="J28" s="3795"/>
      <c r="K28" s="3795"/>
      <c r="L28" s="3795"/>
      <c r="M28" s="3795"/>
      <c r="N28" s="3796"/>
      <c r="O28" s="3764"/>
      <c r="P28" s="3764"/>
      <c r="Q28" s="3764"/>
      <c r="R28" s="3764"/>
      <c r="S28" s="3764"/>
      <c r="T28" s="3764"/>
      <c r="U28" s="3764"/>
      <c r="V28" s="3764"/>
      <c r="W28" s="3764"/>
      <c r="X28" s="3764"/>
      <c r="Y28" s="3764"/>
      <c r="Z28" s="3765"/>
    </row>
    <row r="29" spans="1:26" s="11" customFormat="1" ht="37.950000000000003" customHeight="1" x14ac:dyDescent="0.3">
      <c r="A29" s="2293" t="s">
        <v>1628</v>
      </c>
      <c r="B29" s="2294" t="s">
        <v>1629</v>
      </c>
      <c r="C29" s="2295">
        <v>5</v>
      </c>
      <c r="D29" s="2295">
        <v>0.79</v>
      </c>
      <c r="E29" s="2295">
        <v>0.93</v>
      </c>
      <c r="F29" s="2294" t="s">
        <v>1630</v>
      </c>
      <c r="G29" s="2294" t="s">
        <v>1631</v>
      </c>
      <c r="H29" s="2296" t="s">
        <v>1632</v>
      </c>
      <c r="I29" s="2288"/>
      <c r="J29" s="2287"/>
      <c r="K29" s="2287"/>
      <c r="L29" s="2287"/>
      <c r="M29" s="2287"/>
      <c r="N29" s="2287"/>
      <c r="O29" s="1765"/>
      <c r="P29" s="1765"/>
      <c r="Q29" s="1765"/>
      <c r="R29" s="1765"/>
      <c r="S29" s="1765"/>
      <c r="T29" s="1765"/>
      <c r="U29" s="1765"/>
      <c r="V29" s="1765"/>
      <c r="W29" s="1765"/>
      <c r="X29" s="1765"/>
      <c r="Y29" s="1765"/>
      <c r="Z29" s="2273"/>
    </row>
    <row r="30" spans="1:26" s="11" customFormat="1" ht="37.950000000000003" customHeight="1" x14ac:dyDescent="0.3">
      <c r="A30" s="2297" t="s">
        <v>1633</v>
      </c>
      <c r="B30" s="2127" t="s">
        <v>1634</v>
      </c>
      <c r="C30" s="2298">
        <v>5</v>
      </c>
      <c r="D30" s="2298">
        <v>0.79</v>
      </c>
      <c r="E30" s="2298">
        <v>0.92</v>
      </c>
      <c r="F30" s="2127">
        <v>0</v>
      </c>
      <c r="G30" s="2127" t="s">
        <v>1635</v>
      </c>
      <c r="H30" s="2299" t="s">
        <v>1636</v>
      </c>
      <c r="I30" s="2289"/>
      <c r="J30" s="2052"/>
      <c r="K30" s="2052"/>
      <c r="L30" s="2052"/>
      <c r="M30" s="2052"/>
      <c r="N30" s="2052"/>
      <c r="O30" s="1765"/>
      <c r="P30" s="1765"/>
      <c r="Q30" s="1765"/>
      <c r="R30" s="1765"/>
      <c r="S30" s="1765"/>
      <c r="T30" s="1765"/>
      <c r="U30" s="1765"/>
      <c r="V30" s="1765"/>
      <c r="W30" s="1765"/>
      <c r="X30" s="1765"/>
      <c r="Y30" s="1765"/>
      <c r="Z30" s="2273"/>
    </row>
    <row r="31" spans="1:26" s="11" customFormat="1" ht="37.950000000000003" customHeight="1" x14ac:dyDescent="0.3">
      <c r="A31" s="2300" t="s">
        <v>1637</v>
      </c>
      <c r="B31" s="2301" t="s">
        <v>1638</v>
      </c>
      <c r="C31" s="2302">
        <v>3</v>
      </c>
      <c r="D31" s="2302">
        <v>0.78</v>
      </c>
      <c r="E31" s="2302">
        <v>1</v>
      </c>
      <c r="F31" s="2301">
        <v>-0.23</v>
      </c>
      <c r="G31" s="2301" t="s">
        <v>1639</v>
      </c>
      <c r="H31" s="2303" t="s">
        <v>1640</v>
      </c>
      <c r="I31" s="2290"/>
      <c r="J31" s="2268"/>
      <c r="K31" s="2268"/>
      <c r="L31" s="2268"/>
      <c r="M31" s="2268"/>
      <c r="N31" s="2268"/>
      <c r="O31" s="1765"/>
      <c r="P31" s="1765"/>
      <c r="Q31" s="1765"/>
      <c r="R31" s="1765"/>
      <c r="S31" s="1765"/>
      <c r="T31" s="1765"/>
      <c r="U31" s="1765"/>
      <c r="V31" s="1765"/>
      <c r="W31" s="1765"/>
      <c r="X31" s="1765"/>
      <c r="Y31" s="1765"/>
      <c r="Z31" s="2273"/>
    </row>
    <row r="32" spans="1:26" ht="37.950000000000003" customHeight="1" x14ac:dyDescent="0.3">
      <c r="A32" s="2304" t="s">
        <v>1641</v>
      </c>
      <c r="B32" s="2305" t="s">
        <v>1642</v>
      </c>
      <c r="C32" s="2306">
        <v>8</v>
      </c>
      <c r="D32" s="2306">
        <v>0.37</v>
      </c>
      <c r="E32" s="2306">
        <v>1</v>
      </c>
      <c r="F32" s="2305">
        <v>-0.63</v>
      </c>
      <c r="G32" s="2305" t="s">
        <v>1643</v>
      </c>
      <c r="H32" s="2307" t="s">
        <v>1644</v>
      </c>
      <c r="I32" s="2291"/>
      <c r="J32" s="2269"/>
      <c r="K32" s="2269"/>
      <c r="L32" s="2269"/>
      <c r="M32" s="2269"/>
      <c r="N32" s="2269"/>
      <c r="O32" s="1766"/>
      <c r="P32" s="1766"/>
      <c r="Q32" s="1766"/>
      <c r="R32" s="1766"/>
      <c r="S32" s="1766"/>
      <c r="T32" s="1766"/>
      <c r="U32" s="1766"/>
      <c r="V32" s="1766"/>
      <c r="W32" s="1766"/>
      <c r="X32" s="1766"/>
      <c r="Y32" s="1766"/>
      <c r="Z32" s="2272"/>
    </row>
    <row r="33" spans="1:26" ht="37.950000000000003" customHeight="1" x14ac:dyDescent="0.3">
      <c r="A33" s="2308" t="s">
        <v>1645</v>
      </c>
      <c r="B33" s="2309" t="s">
        <v>1646</v>
      </c>
      <c r="C33" s="2310">
        <v>4</v>
      </c>
      <c r="D33" s="2310">
        <v>0</v>
      </c>
      <c r="E33" s="2310">
        <v>1</v>
      </c>
      <c r="F33" s="2309">
        <v>-1</v>
      </c>
      <c r="G33" s="2309" t="s">
        <v>1647</v>
      </c>
      <c r="H33" s="2311" t="s">
        <v>1648</v>
      </c>
      <c r="I33" s="2292"/>
      <c r="J33" s="2270"/>
      <c r="K33" s="2270"/>
      <c r="L33" s="2270"/>
      <c r="M33" s="2270"/>
      <c r="N33" s="2270"/>
      <c r="O33" s="2274"/>
      <c r="P33" s="2274"/>
      <c r="Q33" s="2274"/>
      <c r="R33" s="2274"/>
      <c r="S33" s="2274"/>
      <c r="T33" s="2274"/>
      <c r="U33" s="2274"/>
      <c r="V33" s="2274"/>
      <c r="W33" s="2274"/>
      <c r="X33" s="2274"/>
      <c r="Y33" s="2274"/>
      <c r="Z33" s="2275"/>
    </row>
    <row r="34" spans="1:26" ht="18" customHeight="1" x14ac:dyDescent="0.3"/>
    <row r="35" spans="1:26" ht="18" customHeight="1" x14ac:dyDescent="0.3"/>
  </sheetData>
  <mergeCells count="5">
    <mergeCell ref="A28:Z28"/>
    <mergeCell ref="A3:Z3"/>
    <mergeCell ref="A1:Z1"/>
    <mergeCell ref="A4:Z4"/>
    <mergeCell ref="A27:Z27"/>
  </mergeCells>
  <conditionalFormatting sqref="C6:C24">
    <cfRule type="cellIs" dxfId="457" priority="10" operator="greaterThanOrEqual">
      <formula>0.9</formula>
    </cfRule>
    <cfRule type="cellIs" dxfId="456" priority="11" operator="between">
      <formula>0.7</formula>
      <formula>0.9</formula>
    </cfRule>
    <cfRule type="cellIs" dxfId="455" priority="12" operator="between">
      <formula>0.4</formula>
      <formula>0.7</formula>
    </cfRule>
    <cfRule type="cellIs" dxfId="454" priority="13" operator="between">
      <formula>0.2</formula>
      <formula>0.4</formula>
    </cfRule>
    <cfRule type="cellIs" dxfId="453" priority="14" operator="lessThan">
      <formula>0.2</formula>
    </cfRule>
  </conditionalFormatting>
  <conditionalFormatting sqref="D6:D24">
    <cfRule type="cellIs" dxfId="452" priority="25" operator="equal">
      <formula>1</formula>
    </cfRule>
    <cfRule type="cellIs" dxfId="451" priority="26" operator="between">
      <formula>0</formula>
      <formula>1</formula>
    </cfRule>
    <cfRule type="cellIs" dxfId="450" priority="27" operator="equal">
      <formula>0</formula>
    </cfRule>
  </conditionalFormatting>
  <conditionalFormatting sqref="E6:E24">
    <cfRule type="cellIs" dxfId="449" priority="15" operator="greaterThan">
      <formula>0</formula>
    </cfRule>
    <cfRule type="cellIs" dxfId="448" priority="16" operator="equal">
      <formula>0</formula>
    </cfRule>
    <cfRule type="cellIs" dxfId="447" priority="17" operator="between">
      <formula>-0.3</formula>
      <formula>0</formula>
    </cfRule>
    <cfRule type="cellIs" dxfId="446" priority="18" operator="between">
      <formula>-0.7</formula>
      <formula>-0.3</formula>
    </cfRule>
    <cfRule type="cellIs" dxfId="445" priority="19" operator="lessThan">
      <formula>-0.7</formula>
    </cfRule>
  </conditionalFormatting>
  <conditionalFormatting sqref="F6:F25">
    <cfRule type="containsText" dxfId="444" priority="1" operator="containsText" text="CRÍTICA">
      <formula>NOT(ISERROR(SEARCH("CRÍTICA",F6)))</formula>
    </cfRule>
    <cfRule type="containsText" dxfId="443" priority="2" operator="containsText" text="GRAVE">
      <formula>NOT(ISERROR(SEARCH("GRAVE",F6)))</formula>
    </cfRule>
    <cfRule type="containsText" dxfId="442" priority="3" operator="containsText" text="MODERADA">
      <formula>NOT(ISERROR(SEARCH("MODERADA",F6)))</formula>
    </cfRule>
    <cfRule type="containsText" dxfId="441" priority="4" operator="containsText" text="LEVE">
      <formula>NOT(ISERROR(SEARCH("LEVE",F6)))</formula>
    </cfRule>
    <cfRule type="containsText" dxfId="440" priority="5" operator="containsText" text="MÍNIMA">
      <formula>NOT(ISERROR(SEARCH("MÍNIMA",F6)))</formula>
    </cfRule>
    <cfRule type="containsText" dxfId="439" priority="6" operator="containsText" text="NULA">
      <formula>NOT(ISERROR(SEARCH("NULA",F6)))</formula>
    </cfRule>
  </conditionalFormatting>
  <conditionalFormatting sqref="G6:G25">
    <cfRule type="containsText" dxfId="438" priority="7" operator="containsText" text="CONGRUENTE">
      <formula>NOT(ISERROR(SEARCH("CONGRUENTE",G6)))</formula>
    </cfRule>
    <cfRule type="containsText" dxfId="437" priority="8" operator="containsText" text="DISCREPANCIA">
      <formula>NOT(ISERROR(SEARCH("DISCREPANCIA",G6)))</formula>
    </cfRule>
    <cfRule type="containsText" dxfId="436" priority="9" operator="containsText" text="BRECHA GLOBAL">
      <formula>NOT(ISERROR(SEARCH("BRECHA GLOBAL",G6)))</formula>
    </cfRule>
  </conditionalFormatting>
  <conditionalFormatting sqref="H6:H24">
    <cfRule type="containsText" dxfId="435" priority="20" operator="containsText" text="🚨">
      <formula>NOT(ISERROR(SEARCH("🚨",H6)))</formula>
    </cfRule>
    <cfRule type="containsText" dxfId="434" priority="21" operator="containsText" text="✅">
      <formula>NOT(ISERROR(SEARCH("✅",H6)))</formula>
    </cfRule>
  </conditionalFormatting>
  <conditionalFormatting sqref="H29:H33">
    <cfRule type="containsText" dxfId="433" priority="22" operator="containsText" text="✅">
      <formula>NOT(ISERROR(SEARCH("✅",H29)))</formula>
    </cfRule>
    <cfRule type="containsText" dxfId="432" priority="23" operator="containsText" text="⚡">
      <formula>NOT(ISERROR(SEARCH("⚡",H29)))</formula>
    </cfRule>
    <cfRule type="containsText" dxfId="431" priority="24" operator="containsText" text="🚨">
      <formula>NOT(ISERROR(SEARCH("🚨",H29)))</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EAD1DC"/>
  </sheetPr>
  <dimension ref="A1:Z35"/>
  <sheetViews>
    <sheetView showGridLines="0" zoomScale="49" zoomScaleNormal="49" workbookViewId="0">
      <pane ySplit="3" topLeftCell="A8" activePane="bottomLeft" state="frozen"/>
      <selection pane="bottomLeft" activeCell="K23" sqref="K23"/>
    </sheetView>
  </sheetViews>
  <sheetFormatPr baseColWidth="10" defaultRowHeight="14.4" x14ac:dyDescent="0.3"/>
  <cols>
    <col min="1" max="1" width="7.44140625" style="2" customWidth="1"/>
    <col min="2" max="2" width="26.88671875" customWidth="1"/>
    <col min="3" max="3" width="14.77734375" customWidth="1"/>
    <col min="4" max="4" width="8.33203125" customWidth="1"/>
    <col min="5" max="5" width="7.44140625" customWidth="1"/>
    <col min="6" max="6" width="12" customWidth="1"/>
    <col min="7" max="7" width="10.21875" style="1" customWidth="1"/>
    <col min="8" max="8" width="10.21875" customWidth="1"/>
    <col min="9" max="9" width="8.33203125" customWidth="1"/>
    <col min="10" max="10" width="20.33203125" customWidth="1"/>
    <col min="11" max="11" width="42.5546875" customWidth="1"/>
    <col min="12" max="12" width="22.21875" customWidth="1"/>
    <col min="13" max="14" width="8.33203125" customWidth="1"/>
    <col min="26" max="26" width="8.44140625" bestFit="1" customWidth="1"/>
  </cols>
  <sheetData>
    <row r="1" spans="1:26" ht="28.05" customHeight="1" x14ac:dyDescent="0.3">
      <c r="A1" s="3777" t="s">
        <v>4841</v>
      </c>
      <c r="B1" s="3777"/>
      <c r="C1" s="3777"/>
      <c r="D1" s="3777"/>
      <c r="E1" s="3777"/>
      <c r="F1" s="3777"/>
      <c r="G1" s="3777"/>
      <c r="H1" s="3777"/>
      <c r="I1" s="3777"/>
      <c r="J1" s="3777"/>
      <c r="K1" s="3777"/>
      <c r="L1" s="3777"/>
      <c r="M1" s="3777"/>
      <c r="N1" s="3777"/>
      <c r="O1" s="3701"/>
      <c r="P1" s="3701"/>
      <c r="Q1" s="3701"/>
      <c r="R1" s="3701"/>
      <c r="S1" s="3701"/>
      <c r="T1" s="3701"/>
      <c r="U1" s="3701"/>
      <c r="V1" s="3701"/>
      <c r="W1" s="3701"/>
      <c r="X1" s="3701"/>
      <c r="Y1" s="3701"/>
      <c r="Z1" s="3701"/>
    </row>
    <row r="2" spans="1:26" ht="19.95" customHeight="1" x14ac:dyDescent="0.3">
      <c r="A2" s="1763" t="str">
        <f>HYPERLINK("#'M-INDEX'!A1","⌂ INDICE")</f>
        <v>⌂ INDICE</v>
      </c>
      <c r="B2" s="1763" t="str">
        <f>HYPERLINK("#'M1-ITME'!A1","M1")</f>
        <v>M1</v>
      </c>
      <c r="C2" s="1763" t="str">
        <f>HYPERLINK("#'M2-PDOT'!A1","M2")</f>
        <v>M2</v>
      </c>
      <c r="D2" s="1763" t="str">
        <f>HYPERLINK("#'M3-MAO'!A1","M3")</f>
        <v>M3</v>
      </c>
      <c r="E2" s="1763" t="str">
        <f>HYPERLINK("#'M4-AUDIT'!A1","M4")</f>
        <v>M4</v>
      </c>
      <c r="F2" s="1763" t="str">
        <f>HYPERLINK("#'M5-ICPI'!A1","M5")</f>
        <v>M5</v>
      </c>
      <c r="G2" s="1763" t="str">
        <f>HYPERLINK("#'M6-FEDS'!A1","M6")</f>
        <v>M6</v>
      </c>
      <c r="H2" s="1763" t="str">
        <f>HYPERLINK("#'M7-PROSP'!A1","M7")</f>
        <v>M7</v>
      </c>
      <c r="I2" s="1763" t="str">
        <f>HYPERLINK("#'DATA-POA'!A1","DATA-POA")</f>
        <v>DATA-POA</v>
      </c>
      <c r="J2" s="1763" t="str">
        <f>HYPERLINK("#'DATA-CNE'!A1","DATA-CNE")</f>
        <v>DATA-CNE</v>
      </c>
      <c r="K2" s="1763" t="str">
        <f>HYPERLINK("#'DATA-ORG'!A1","DATA-ORG")</f>
        <v>DATA-ORG</v>
      </c>
      <c r="L2" s="1763" t="str">
        <f>HYPERLINK("#'M-DASHBOARD'!A1","DASH")</f>
        <v>DASH</v>
      </c>
      <c r="M2" s="1772"/>
      <c r="N2" s="1772"/>
      <c r="O2" s="1734"/>
      <c r="P2" s="1734"/>
      <c r="Q2" s="1734"/>
      <c r="R2" s="1734"/>
      <c r="S2" s="1734"/>
      <c r="T2" s="1734"/>
      <c r="U2" s="1734"/>
      <c r="V2" s="1734"/>
      <c r="W2" s="1734"/>
      <c r="X2" s="1734"/>
      <c r="Y2" s="1734"/>
      <c r="Z2" s="1734"/>
    </row>
    <row r="3" spans="1:26" ht="15" customHeight="1" thickBot="1" x14ac:dyDescent="0.35">
      <c r="A3" s="3814" t="s">
        <v>4237</v>
      </c>
      <c r="B3" s="3814"/>
      <c r="C3" s="3814"/>
      <c r="D3" s="3814"/>
      <c r="E3" s="3814"/>
      <c r="F3" s="3814"/>
      <c r="G3" s="3814"/>
      <c r="H3" s="3814"/>
      <c r="I3" s="3814"/>
      <c r="J3" s="3814"/>
      <c r="K3" s="3814"/>
      <c r="L3" s="3814"/>
      <c r="M3" s="3814"/>
      <c r="N3" s="3814"/>
      <c r="O3" s="3815"/>
      <c r="P3" s="3815"/>
      <c r="Q3" s="3815"/>
      <c r="R3" s="3815"/>
      <c r="S3" s="3815"/>
      <c r="T3" s="3815"/>
      <c r="U3" s="3815"/>
      <c r="V3" s="3815"/>
      <c r="W3" s="3815"/>
      <c r="X3" s="3815"/>
      <c r="Y3" s="3815"/>
      <c r="Z3" s="3815"/>
    </row>
    <row r="4" spans="1:26" ht="22.05" customHeight="1" thickTop="1" x14ac:dyDescent="0.3">
      <c r="A4" s="3816" t="s">
        <v>1649</v>
      </c>
      <c r="B4" s="3817"/>
      <c r="C4" s="3817"/>
      <c r="D4" s="3817"/>
      <c r="E4" s="3817"/>
      <c r="F4" s="3817"/>
      <c r="G4" s="3817"/>
      <c r="H4" s="3817"/>
      <c r="I4" s="3817"/>
      <c r="J4" s="3817"/>
      <c r="K4" s="3817"/>
      <c r="L4" s="3817"/>
      <c r="M4" s="3817"/>
      <c r="N4" s="3817"/>
      <c r="O4" s="3819"/>
      <c r="P4" s="3819"/>
      <c r="Q4" s="3819"/>
      <c r="R4" s="3819"/>
      <c r="S4" s="3819"/>
      <c r="T4" s="3819"/>
      <c r="U4" s="3819"/>
      <c r="V4" s="3819"/>
      <c r="W4" s="3819"/>
      <c r="X4" s="3819"/>
      <c r="Y4" s="3819"/>
      <c r="Z4" s="3820"/>
    </row>
    <row r="5" spans="1:26" ht="36" customHeight="1" x14ac:dyDescent="0.3">
      <c r="A5" s="2150" t="s">
        <v>690</v>
      </c>
      <c r="B5" s="1952" t="s">
        <v>691</v>
      </c>
      <c r="C5" s="1952" t="s">
        <v>1650</v>
      </c>
      <c r="D5" s="1952" t="s">
        <v>695</v>
      </c>
      <c r="E5" s="1952" t="s">
        <v>696</v>
      </c>
      <c r="F5" s="1952" t="s">
        <v>694</v>
      </c>
      <c r="G5" s="1952" t="s">
        <v>1651</v>
      </c>
      <c r="H5" s="1952" t="s">
        <v>1652</v>
      </c>
      <c r="I5" s="2234" t="s">
        <v>697</v>
      </c>
      <c r="J5" s="2242" t="s">
        <v>1653</v>
      </c>
      <c r="K5" s="2242" t="s">
        <v>1594</v>
      </c>
      <c r="L5" s="2241" t="s">
        <v>1654</v>
      </c>
      <c r="M5" s="1953"/>
      <c r="N5" s="1954"/>
      <c r="O5" s="234"/>
      <c r="P5" s="235"/>
      <c r="Q5" s="235"/>
      <c r="R5" s="235"/>
      <c r="S5" s="235"/>
      <c r="T5" s="235"/>
      <c r="U5" s="235"/>
      <c r="V5" s="235"/>
      <c r="W5" s="235"/>
      <c r="X5" s="235"/>
      <c r="Y5" s="235"/>
      <c r="Z5" s="236"/>
    </row>
    <row r="6" spans="1:26" ht="34.049999999999997" customHeight="1" x14ac:dyDescent="0.3">
      <c r="A6" s="2151">
        <v>2</v>
      </c>
      <c r="B6" s="2152" t="s">
        <v>509</v>
      </c>
      <c r="C6" s="2153">
        <v>1269859</v>
      </c>
      <c r="D6" s="2154">
        <v>1.5</v>
      </c>
      <c r="E6" s="2155">
        <f>IFERROR(VLOOKUP(B6,'M4-AUDIT'!$A$5:$H$24,MATCH("Vi",'M4-AUDIT'!$A$4:$H$4,0),0),0)</f>
        <v>0</v>
      </c>
      <c r="F6" s="2156">
        <f>'M2-PLAN-Pi'!F14</f>
        <v>0.33018018186699599</v>
      </c>
      <c r="G6" s="2157">
        <v>1.5</v>
      </c>
      <c r="H6" s="2156">
        <v>0.36430000000000001</v>
      </c>
      <c r="I6" s="2235">
        <f>IFERROR(VLOOKUP(B6,'M4-AUDIT'!$A$5:$H$24,MATCH("Ti (H)",'M4-AUDIT'!$A$4:$H$4,0),0),0)</f>
        <v>0</v>
      </c>
      <c r="J6" s="2243" t="str">
        <f t="shared" ref="J6:J24" si="0">IF(E6=1,IF(I6&gt;=0.8,"OK Vi=1 Ti="&amp;TEXT(I6,"0.00"),IF(I6&gt;=0.5,"OK- Vi=1 Ti="&amp;TEXT(I6,"0.00"),"WARN Vi=1 Ti="&amp;TEXT(I6,"0.00"))),"CRIT Vi=0 Ti="&amp;TEXT(I6,"0.00"))</f>
        <v>CRIT Vi=0 Ti=000</v>
      </c>
      <c r="K6" s="2254" t="s">
        <v>1655</v>
      </c>
      <c r="L6" s="2249" t="str">
        <f>IF(ISNUMBER(VLOOKUP(B6,'M3-MAO'!$A$3:$G$23,7,0)),IF(VLOOKUP(B6,'M3-MAO'!$A$3:$G$23,7,0)=1,"✅ Ci=1.0 — GAD directo","⚠ Ci="&amp;VLOOKUP(B6,'M3-MAO'!$A$3:$G$23,7,0)&amp;" — adscrito/convenio"),"❌ Sin Ci")</f>
        <v>✅ Ci=1.0 — GAD directo</v>
      </c>
      <c r="M6" s="2158"/>
      <c r="N6" s="2159"/>
      <c r="O6" s="699"/>
      <c r="P6" s="242"/>
      <c r="Q6" s="242"/>
      <c r="R6" s="242"/>
      <c r="S6" s="242"/>
      <c r="T6" s="242"/>
      <c r="U6" s="242"/>
      <c r="V6" s="242"/>
      <c r="W6" s="242"/>
      <c r="X6" s="242"/>
      <c r="Y6" s="242"/>
      <c r="Z6" s="243"/>
    </row>
    <row r="7" spans="1:26" s="11" customFormat="1" ht="34.049999999999997" customHeight="1" x14ac:dyDescent="0.3">
      <c r="A7" s="2160">
        <v>3</v>
      </c>
      <c r="B7" s="2161" t="s">
        <v>43</v>
      </c>
      <c r="C7" s="2162">
        <v>1693800</v>
      </c>
      <c r="D7" s="2163">
        <v>1.5</v>
      </c>
      <c r="E7" s="2164">
        <f>IFERROR(VLOOKUP(B7,'M4-AUDIT'!$A$5:$H$24,MATCH("Vi",'M4-AUDIT'!$A$4:$H$4,0),0),0)</f>
        <v>1</v>
      </c>
      <c r="F7" s="2165">
        <f>'M2-PLAN-Pi'!F15</f>
        <v>0.17664185031506524</v>
      </c>
      <c r="G7" s="2166">
        <v>1.5</v>
      </c>
      <c r="H7" s="2165">
        <v>0.31879999999999997</v>
      </c>
      <c r="I7" s="2236">
        <f>IFERROR(VLOOKUP(B7,'M4-AUDIT'!$A$5:$H$24,MATCH("Ti (H)",'M4-AUDIT'!$A$4:$H$4,0),0),0)</f>
        <v>0.65</v>
      </c>
      <c r="J7" s="2244" t="str">
        <f t="shared" si="0"/>
        <v>OK- Vi=1 Ti=001</v>
      </c>
      <c r="K7" s="2255" t="s">
        <v>1656</v>
      </c>
      <c r="L7" s="2252" t="str">
        <f>IF(ISNUMBER(VLOOKUP(B7,'M3-MAO'!$A$3:$G$23,7,0)),IF(VLOOKUP(B7,'M3-MAO'!$A$3:$G$23,7,0)=1,"✅ Ci=1.0 — GAD directo","⚠ Ci="&amp;VLOOKUP(B7,'M3-MAO'!$A$3:$G$23,7,0)&amp;" — adscrito/convenio"),"❌ Sin Ci")</f>
        <v>⚠ Ci=0,9 — adscrito/convenio</v>
      </c>
      <c r="M7" s="2167"/>
      <c r="N7" s="2168"/>
      <c r="O7" s="237"/>
      <c r="P7" s="238"/>
      <c r="Q7" s="238"/>
      <c r="R7" s="238"/>
      <c r="S7" s="238"/>
      <c r="T7" s="238"/>
      <c r="U7" s="238"/>
      <c r="V7" s="238"/>
      <c r="W7" s="238"/>
      <c r="X7" s="238"/>
      <c r="Y7" s="238"/>
      <c r="Z7" s="239"/>
    </row>
    <row r="8" spans="1:26" s="11" customFormat="1" ht="34.049999999999997" customHeight="1" x14ac:dyDescent="0.3">
      <c r="A8" s="2169">
        <v>4</v>
      </c>
      <c r="B8" s="2170" t="s">
        <v>715</v>
      </c>
      <c r="C8" s="2171">
        <v>1693800</v>
      </c>
      <c r="D8" s="2172">
        <v>1</v>
      </c>
      <c r="E8" s="2155">
        <f>IFERROR(VLOOKUP(B8,'M4-AUDIT'!$A$5:$H$24,MATCH("Vi",'M4-AUDIT'!$A$4:$H$4,0),0),0)</f>
        <v>0</v>
      </c>
      <c r="F8" s="2173">
        <f>'M2-PLAN-Pi'!F16</f>
        <v>0.1516189522727332</v>
      </c>
      <c r="G8" s="2174">
        <v>1</v>
      </c>
      <c r="H8" s="2173">
        <v>0.1406</v>
      </c>
      <c r="I8" s="2235">
        <f>IFERROR(VLOOKUP(B8,'M4-AUDIT'!$A$5:$H$24,MATCH("Ti (H)",'M4-AUDIT'!$A$4:$H$4,0),0),0)</f>
        <v>0.1</v>
      </c>
      <c r="J8" s="2243" t="str">
        <f t="shared" si="0"/>
        <v>CRIT Vi=0 Ti=000</v>
      </c>
      <c r="K8" s="2256" t="s">
        <v>1657</v>
      </c>
      <c r="L8" s="2249" t="str">
        <f>IF(ISNUMBER(VLOOKUP(B8,'M3-MAO'!$A$3:$G$23,7,0)),IF(VLOOKUP(B8,'M3-MAO'!$A$3:$G$23,7,0)=1,"✅ Ci=1.0 — GAD directo","⚠ Ci="&amp;VLOOKUP(B8,'M3-MAO'!$A$3:$G$23,7,0)&amp;" — adscrito/convenio"),"❌ Sin Ci")</f>
        <v>✅ Ci=1.0 — GAD directo</v>
      </c>
      <c r="M8" s="2158"/>
      <c r="N8" s="2159"/>
      <c r="O8" s="237"/>
      <c r="P8" s="238"/>
      <c r="Q8" s="238"/>
      <c r="R8" s="238"/>
      <c r="S8" s="238"/>
      <c r="T8" s="238"/>
      <c r="U8" s="238"/>
      <c r="V8" s="238"/>
      <c r="W8" s="238"/>
      <c r="X8" s="238"/>
      <c r="Y8" s="238"/>
      <c r="Z8" s="239"/>
    </row>
    <row r="9" spans="1:26" s="11" customFormat="1" ht="34.049999999999997" customHeight="1" x14ac:dyDescent="0.3">
      <c r="A9" s="2160">
        <v>5</v>
      </c>
      <c r="B9" s="2161" t="s">
        <v>57</v>
      </c>
      <c r="C9" s="2162">
        <v>1693800</v>
      </c>
      <c r="D9" s="2163">
        <v>1</v>
      </c>
      <c r="E9" s="2164">
        <f>IFERROR(VLOOKUP(B9,'M4-AUDIT'!$A$5:$H$24,MATCH("Vi",'M4-AUDIT'!$A$4:$H$4,0),0),0)</f>
        <v>0</v>
      </c>
      <c r="F9" s="2165">
        <f>'M2-PLAN-Pi'!F17</f>
        <v>5.1342281756523014E-2</v>
      </c>
      <c r="G9" s="2166">
        <v>1</v>
      </c>
      <c r="H9" s="2165">
        <v>7.22E-2</v>
      </c>
      <c r="I9" s="2236">
        <f>IFERROR(VLOOKUP(B9,'M4-AUDIT'!$A$5:$H$24,MATCH("Ti (H)",'M4-AUDIT'!$A$4:$H$4,0),0),0)</f>
        <v>0</v>
      </c>
      <c r="J9" s="2244" t="str">
        <f t="shared" si="0"/>
        <v>CRIT Vi=0 Ti=000</v>
      </c>
      <c r="K9" s="2257" t="s">
        <v>1658</v>
      </c>
      <c r="L9" s="2250" t="str">
        <f>IF(ISNUMBER(VLOOKUP(B9,'M3-MAO'!$A$3:$G$23,7,0)),IF(VLOOKUP(B9,'M3-MAO'!$A$3:$G$23,7,0)=1,"✅ Ci=1.0 — GAD directo","⚠ Ci="&amp;VLOOKUP(B9,'M3-MAO'!$A$3:$G$23,7,0)&amp;" — adscrito/convenio"),"❌ Sin Ci")</f>
        <v>✅ Ci=1.0 — GAD directo</v>
      </c>
      <c r="M9" s="2167"/>
      <c r="N9" s="2168"/>
      <c r="O9" s="237"/>
      <c r="P9" s="238"/>
      <c r="Q9" s="238"/>
      <c r="R9" s="238"/>
      <c r="S9" s="238"/>
      <c r="T9" s="238"/>
      <c r="U9" s="238"/>
      <c r="V9" s="238"/>
      <c r="W9" s="238"/>
      <c r="X9" s="238"/>
      <c r="Y9" s="238"/>
      <c r="Z9" s="239"/>
    </row>
    <row r="10" spans="1:26" s="11" customFormat="1" ht="34.049999999999997" customHeight="1" x14ac:dyDescent="0.3">
      <c r="A10" s="2169">
        <v>6</v>
      </c>
      <c r="B10" s="2170" t="s">
        <v>721</v>
      </c>
      <c r="C10" s="2171">
        <v>0</v>
      </c>
      <c r="D10" s="2172">
        <v>1.5</v>
      </c>
      <c r="E10" s="2155">
        <f>IFERROR(VLOOKUP(B10,'M4-AUDIT'!$A$5:$H$24,MATCH("Vi",'M4-AUDIT'!$A$4:$H$4,0),0),0)</f>
        <v>1</v>
      </c>
      <c r="F10" s="2173">
        <f>'M2-PLAN-Pi'!F18</f>
        <v>4.8834457728394447E-2</v>
      </c>
      <c r="G10" s="2174">
        <v>1.5</v>
      </c>
      <c r="H10" s="2173">
        <v>5.1299999999999998E-2</v>
      </c>
      <c r="I10" s="2235">
        <f>IFERROR(VLOOKUP(B10,'M4-AUDIT'!$A$5:$H$24,MATCH("Ti (H)",'M4-AUDIT'!$A$4:$H$4,0),0),0)</f>
        <v>0.3</v>
      </c>
      <c r="J10" s="2243" t="str">
        <f t="shared" si="0"/>
        <v>WARN Vi=1 Ti=000</v>
      </c>
      <c r="K10" s="2256" t="s">
        <v>1659</v>
      </c>
      <c r="L10" s="2249" t="str">
        <f>IF(ISNUMBER(VLOOKUP(B10,'M3-MAO'!$A$3:$G$23,7,0)),IF(VLOOKUP(B10,'M3-MAO'!$A$3:$G$23,7,0)=1,"✅ Ci=1.0 — GAD directo","⚠ Ci="&amp;VLOOKUP(B10,'M3-MAO'!$A$3:$G$23,7,0)&amp;" — adscrito/convenio"),"❌ Sin Ci")</f>
        <v>✅ Ci=1.0 — GAD directo</v>
      </c>
      <c r="M10" s="2158"/>
      <c r="N10" s="2159"/>
      <c r="O10" s="237"/>
      <c r="P10" s="238"/>
      <c r="Q10" s="238"/>
      <c r="R10" s="238"/>
      <c r="S10" s="238"/>
      <c r="T10" s="238"/>
      <c r="U10" s="238"/>
      <c r="V10" s="238"/>
      <c r="W10" s="238"/>
      <c r="X10" s="238"/>
      <c r="Y10" s="238"/>
      <c r="Z10" s="239"/>
    </row>
    <row r="11" spans="1:26" s="11" customFormat="1" ht="34.049999999999997" customHeight="1" x14ac:dyDescent="0.3">
      <c r="A11" s="2160">
        <v>7</v>
      </c>
      <c r="B11" s="2161" t="s">
        <v>546</v>
      </c>
      <c r="C11" s="2162">
        <v>10892761</v>
      </c>
      <c r="D11" s="2163">
        <v>1</v>
      </c>
      <c r="E11" s="2164">
        <f>IFERROR(VLOOKUP(B11,'M4-AUDIT'!$A$5:$H$24,MATCH("Vi",'M4-AUDIT'!$A$4:$H$4,0),0),0)</f>
        <v>1</v>
      </c>
      <c r="F11" s="2165">
        <f>'M2-PLAN-Pi'!F19</f>
        <v>3.8491842122155021E-2</v>
      </c>
      <c r="G11" s="2166">
        <v>1</v>
      </c>
      <c r="H11" s="2165">
        <v>5.7000000000000002E-2</v>
      </c>
      <c r="I11" s="2236">
        <f>IFERROR(VLOOKUP(B11,'M4-AUDIT'!$A$5:$H$24,MATCH("Ti (H)",'M4-AUDIT'!$A$4:$H$4,0),0),0)</f>
        <v>0.25</v>
      </c>
      <c r="J11" s="2244" t="str">
        <f t="shared" si="0"/>
        <v>WARN Vi=1 Ti=000</v>
      </c>
      <c r="K11" s="2255" t="s">
        <v>1660</v>
      </c>
      <c r="L11" s="2250" t="str">
        <f>IF(ISNUMBER(VLOOKUP(B11,'M3-MAO'!$A$3:$G$23,7,0)),IF(VLOOKUP(B11,'M3-MAO'!$A$3:$G$23,7,0)=1,"✅ Ci=1.0 — GAD directo","⚠ Ci="&amp;VLOOKUP(B11,'M3-MAO'!$A$3:$G$23,7,0)&amp;" — adscrito/convenio"),"❌ Sin Ci")</f>
        <v>✅ Ci=1.0 — GAD directo</v>
      </c>
      <c r="M11" s="2167"/>
      <c r="N11" s="2168"/>
      <c r="O11" s="237"/>
      <c r="P11" s="238"/>
      <c r="Q11" s="238"/>
      <c r="R11" s="238"/>
      <c r="S11" s="238"/>
      <c r="T11" s="238"/>
      <c r="U11" s="238"/>
      <c r="V11" s="238"/>
      <c r="W11" s="238"/>
      <c r="X11" s="238"/>
      <c r="Y11" s="238"/>
      <c r="Z11" s="239"/>
    </row>
    <row r="12" spans="1:26" s="11" customFormat="1" ht="34.049999999999997" customHeight="1" x14ac:dyDescent="0.3">
      <c r="A12" s="2169">
        <v>8</v>
      </c>
      <c r="B12" s="2170" t="s">
        <v>47</v>
      </c>
      <c r="C12" s="2171">
        <v>0</v>
      </c>
      <c r="D12" s="2172">
        <v>1.5</v>
      </c>
      <c r="E12" s="2155">
        <f>IFERROR(VLOOKUP(B12,'M4-AUDIT'!$A$5:$H$24,MATCH("Vi",'M4-AUDIT'!$A$4:$H$4,0),0),0)</f>
        <v>0</v>
      </c>
      <c r="F12" s="2173">
        <f>'M2-PLAN-Pi'!F20</f>
        <v>3.6968726259480326E-2</v>
      </c>
      <c r="G12" s="2174">
        <v>1.5</v>
      </c>
      <c r="H12" s="2173">
        <v>0.04</v>
      </c>
      <c r="I12" s="2235">
        <f>IFERROR(VLOOKUP(B12,'M4-AUDIT'!$A$5:$H$24,MATCH("Ti (H)",'M4-AUDIT'!$A$4:$H$4,0),0),0)</f>
        <v>0</v>
      </c>
      <c r="J12" s="2243" t="str">
        <f t="shared" si="0"/>
        <v>CRIT Vi=0 Ti=000</v>
      </c>
      <c r="K12" s="2256" t="s">
        <v>1661</v>
      </c>
      <c r="L12" s="2251" t="str">
        <f>IF(ISNUMBER(VLOOKUP(B12,'M3-MAO'!$A$3:$G$23,7,0)),IF(VLOOKUP(B12,'M3-MAO'!$A$3:$G$23,7,0)=1,"✅ Ci=1.0 — GAD directo","⚠ Ci="&amp;VLOOKUP(B12,'M3-MAO'!$A$3:$G$23,7,0)&amp;" — adscrito/convenio"),"❌ Sin Ci")</f>
        <v>⚠ Ci=0,9 — adscrito/convenio</v>
      </c>
      <c r="M12" s="2158"/>
      <c r="N12" s="2159"/>
      <c r="O12" s="237"/>
      <c r="P12" s="238"/>
      <c r="Q12" s="238"/>
      <c r="R12" s="238"/>
      <c r="S12" s="238"/>
      <c r="T12" s="238"/>
      <c r="U12" s="238"/>
      <c r="V12" s="238"/>
      <c r="W12" s="238"/>
      <c r="X12" s="238"/>
      <c r="Y12" s="238"/>
      <c r="Z12" s="239"/>
    </row>
    <row r="13" spans="1:26" s="11" customFormat="1" ht="34.049999999999997" customHeight="1" x14ac:dyDescent="0.3">
      <c r="A13" s="2160">
        <v>9</v>
      </c>
      <c r="B13" s="2161" t="s">
        <v>518</v>
      </c>
      <c r="C13" s="2162">
        <v>0</v>
      </c>
      <c r="D13" s="2163">
        <v>1.5</v>
      </c>
      <c r="E13" s="2164">
        <f>IFERROR(VLOOKUP(B13,'M4-AUDIT'!$A$5:$H$24,MATCH("Vi",'M4-AUDIT'!$A$4:$H$4,0),0),0)</f>
        <v>0</v>
      </c>
      <c r="F13" s="2165">
        <f>'M2-PLAN-Pi'!F21</f>
        <v>2.7121740693637479E-2</v>
      </c>
      <c r="G13" s="2166">
        <v>1.5</v>
      </c>
      <c r="H13" s="2165">
        <v>7.0599999999999996E-2</v>
      </c>
      <c r="I13" s="2236">
        <f>IFERROR(VLOOKUP(B13,'M4-AUDIT'!$A$5:$H$24,MATCH("Ti (H)",'M4-AUDIT'!$A$4:$H$4,0),0),0)</f>
        <v>0.3</v>
      </c>
      <c r="J13" s="2244" t="str">
        <f t="shared" si="0"/>
        <v>CRIT Vi=0 Ti=000</v>
      </c>
      <c r="K13" s="2257" t="s">
        <v>1662</v>
      </c>
      <c r="L13" s="2252" t="str">
        <f>IF(ISNUMBER(VLOOKUP(B13,'M3-MAO'!$A$3:$G$23,7,0)),IF(VLOOKUP(B13,'M3-MAO'!$A$3:$G$23,7,0)=1,"✅ Ci=1.0 — GAD directo","⚠ Ci="&amp;VLOOKUP(B13,'M3-MAO'!$A$3:$G$23,7,0)&amp;" — adscrito/convenio"),"❌ Sin Ci")</f>
        <v>✅ Ci=1.0 — GAD directo</v>
      </c>
      <c r="M13" s="2167"/>
      <c r="N13" s="2168"/>
      <c r="O13" s="237"/>
      <c r="P13" s="238"/>
      <c r="Q13" s="238"/>
      <c r="R13" s="238"/>
      <c r="S13" s="238"/>
      <c r="T13" s="238"/>
      <c r="U13" s="238"/>
      <c r="V13" s="238"/>
      <c r="W13" s="238"/>
      <c r="X13" s="238"/>
      <c r="Y13" s="238"/>
      <c r="Z13" s="239"/>
    </row>
    <row r="14" spans="1:26" s="11" customFormat="1" ht="34.049999999999997" customHeight="1" x14ac:dyDescent="0.3">
      <c r="A14" s="2169">
        <v>10</v>
      </c>
      <c r="B14" s="2170" t="s">
        <v>531</v>
      </c>
      <c r="C14" s="2171">
        <v>2588556</v>
      </c>
      <c r="D14" s="2172">
        <v>1</v>
      </c>
      <c r="E14" s="2155">
        <f>IFERROR(VLOOKUP(B14,'M4-AUDIT'!$A$5:$H$24,MATCH("Vi",'M4-AUDIT'!$A$4:$H$4,0),0),0)</f>
        <v>1</v>
      </c>
      <c r="F14" s="2173">
        <f>'M2-PLAN-Pi'!F22</f>
        <v>2.5461988827181092E-2</v>
      </c>
      <c r="G14" s="2174">
        <v>1</v>
      </c>
      <c r="H14" s="2173">
        <v>2.1299999999999999E-2</v>
      </c>
      <c r="I14" s="2235">
        <f>IFERROR(VLOOKUP(B14,'M4-AUDIT'!$A$5:$H$24,MATCH("Ti (H)",'M4-AUDIT'!$A$4:$H$4,0),0),0)</f>
        <v>0.9</v>
      </c>
      <c r="J14" s="2243" t="str">
        <f t="shared" si="0"/>
        <v>OK Vi=1 Ti=001</v>
      </c>
      <c r="K14" s="2256" t="s">
        <v>1663</v>
      </c>
      <c r="L14" s="2249" t="str">
        <f>IF(ISNUMBER(VLOOKUP(B14,'M3-MAO'!$A$3:$G$23,7,0)),IF(VLOOKUP(B14,'M3-MAO'!$A$3:$G$23,7,0)=1,"✅ Ci=1.0 — GAD directo","⚠ Ci="&amp;VLOOKUP(B14,'M3-MAO'!$A$3:$G$23,7,0)&amp;" — adscrito/convenio"),"❌ Sin Ci")</f>
        <v>✅ Ci=1.0 — GAD directo</v>
      </c>
      <c r="M14" s="2158"/>
      <c r="N14" s="2159"/>
      <c r="O14" s="237"/>
      <c r="P14" s="238"/>
      <c r="Q14" s="238"/>
      <c r="R14" s="238"/>
      <c r="S14" s="238"/>
      <c r="T14" s="238"/>
      <c r="U14" s="238"/>
      <c r="V14" s="238"/>
      <c r="W14" s="238"/>
      <c r="X14" s="238"/>
      <c r="Y14" s="238"/>
      <c r="Z14" s="239"/>
    </row>
    <row r="15" spans="1:26" s="11" customFormat="1" ht="34.049999999999997" customHeight="1" x14ac:dyDescent="0.3">
      <c r="A15" s="2160">
        <v>11</v>
      </c>
      <c r="B15" s="2161" t="s">
        <v>53</v>
      </c>
      <c r="C15" s="2162">
        <v>0</v>
      </c>
      <c r="D15" s="2163">
        <v>1</v>
      </c>
      <c r="E15" s="2164">
        <f>IFERROR(VLOOKUP(B15,'M4-AUDIT'!$A$5:$H$24,MATCH("Vi",'M4-AUDIT'!$A$4:$H$4,0),0),0)</f>
        <v>1</v>
      </c>
      <c r="F15" s="2165">
        <f>'M2-PLAN-Pi'!F23</f>
        <v>2.2697015989676123E-2</v>
      </c>
      <c r="G15" s="2166">
        <v>1</v>
      </c>
      <c r="H15" s="2165">
        <v>1.37E-2</v>
      </c>
      <c r="I15" s="2236">
        <f>IFERROR(VLOOKUP(B15,'M4-AUDIT'!$A$5:$H$24,MATCH("Ti (H)",'M4-AUDIT'!$A$4:$H$4,0),0),0)</f>
        <v>0.2</v>
      </c>
      <c r="J15" s="2244" t="str">
        <f t="shared" si="0"/>
        <v>WARN Vi=1 Ti=000</v>
      </c>
      <c r="K15" s="2257" t="s">
        <v>1664</v>
      </c>
      <c r="L15" s="2252" t="str">
        <f>IF(ISNUMBER(VLOOKUP(B15,'M3-MAO'!$A$3:$G$23,7,0)),IF(VLOOKUP(B15,'M3-MAO'!$A$3:$G$23,7,0)=1,"✅ Ci=1.0 — GAD directo","⚠ Ci="&amp;VLOOKUP(B15,'M3-MAO'!$A$3:$G$23,7,0)&amp;" — adscrito/convenio"),"❌ Sin Ci")</f>
        <v>⚠ Ci=0,9 — adscrito/convenio</v>
      </c>
      <c r="M15" s="2167"/>
      <c r="N15" s="2168"/>
      <c r="O15" s="237"/>
      <c r="P15" s="238"/>
      <c r="Q15" s="238"/>
      <c r="R15" s="238"/>
      <c r="S15" s="238"/>
      <c r="T15" s="238"/>
      <c r="U15" s="238"/>
      <c r="V15" s="238"/>
      <c r="W15" s="238"/>
      <c r="X15" s="238"/>
      <c r="Y15" s="238"/>
      <c r="Z15" s="239"/>
    </row>
    <row r="16" spans="1:26" s="11" customFormat="1" ht="34.049999999999997" customHeight="1" x14ac:dyDescent="0.3">
      <c r="A16" s="2169">
        <v>12</v>
      </c>
      <c r="B16" s="2170" t="s">
        <v>486</v>
      </c>
      <c r="C16" s="2171">
        <v>748783</v>
      </c>
      <c r="D16" s="2172">
        <v>1.5</v>
      </c>
      <c r="E16" s="2155">
        <f>IFERROR(VLOOKUP(B16,'M4-AUDIT'!$A$5:$H$24,MATCH("Vi",'M4-AUDIT'!$A$4:$H$4,0),0),0)</f>
        <v>1</v>
      </c>
      <c r="F16" s="2173">
        <f>'M2-PLAN-Pi'!F24</f>
        <v>1.8490239847697151E-2</v>
      </c>
      <c r="G16" s="2174">
        <v>1.5</v>
      </c>
      <c r="H16" s="2173">
        <v>2.8500000000000001E-2</v>
      </c>
      <c r="I16" s="2235">
        <f>IFERROR(VLOOKUP(B16,'M4-AUDIT'!$A$5:$H$24,MATCH("Ti (H)",'M4-AUDIT'!$A$4:$H$4,0),0),0)</f>
        <v>0.75</v>
      </c>
      <c r="J16" s="2243" t="str">
        <f t="shared" si="0"/>
        <v>OK- Vi=1 Ti=001</v>
      </c>
      <c r="K16" s="2256" t="s">
        <v>1665</v>
      </c>
      <c r="L16" s="2251" t="str">
        <f>IF(ISNUMBER(VLOOKUP(B16,'M3-MAO'!$A$3:$G$23,7,0)),IF(VLOOKUP(B16,'M3-MAO'!$A$3:$G$23,7,0)=1,"✅ Ci=1.0 — GAD directo","⚠ Ci="&amp;VLOOKUP(B16,'M3-MAO'!$A$3:$G$23,7,0)&amp;" — adscrito/convenio"),"❌ Sin Ci")</f>
        <v>⚠ Ci=0,75 — adscrito/convenio</v>
      </c>
      <c r="M16" s="2158"/>
      <c r="N16" s="2159"/>
      <c r="O16" s="237"/>
      <c r="P16" s="238"/>
      <c r="Q16" s="238"/>
      <c r="R16" s="238"/>
      <c r="S16" s="238"/>
      <c r="T16" s="238"/>
      <c r="U16" s="238"/>
      <c r="V16" s="238"/>
      <c r="W16" s="238"/>
      <c r="X16" s="238"/>
      <c r="Y16" s="238"/>
      <c r="Z16" s="239"/>
    </row>
    <row r="17" spans="1:26" s="11" customFormat="1" ht="34.049999999999997" customHeight="1" x14ac:dyDescent="0.3">
      <c r="A17" s="2160">
        <v>13</v>
      </c>
      <c r="B17" s="2161" t="s">
        <v>553</v>
      </c>
      <c r="C17" s="2162">
        <v>10892761</v>
      </c>
      <c r="D17" s="2163">
        <v>1</v>
      </c>
      <c r="E17" s="2164">
        <f>IFERROR(VLOOKUP(B17,'M4-AUDIT'!$A$5:$H$24,MATCH("Vi",'M4-AUDIT'!$A$4:$H$4,0),0),0)</f>
        <v>0</v>
      </c>
      <c r="F17" s="2165">
        <f>'M2-PLAN-Pi'!F25</f>
        <v>1.8216107891773022E-2</v>
      </c>
      <c r="G17" s="2166">
        <v>1</v>
      </c>
      <c r="H17" s="2165">
        <v>1.14E-2</v>
      </c>
      <c r="I17" s="2236">
        <f>IFERROR(VLOOKUP(B17,'M4-AUDIT'!$A$5:$H$24,MATCH("Ti (H)",'M4-AUDIT'!$A$4:$H$4,0),0),0)</f>
        <v>0</v>
      </c>
      <c r="J17" s="2244" t="str">
        <f t="shared" si="0"/>
        <v>CRIT Vi=0 Ti=000</v>
      </c>
      <c r="K17" s="2257" t="s">
        <v>1666</v>
      </c>
      <c r="L17" s="2250" t="str">
        <f>IF(ISNUMBER(VLOOKUP(B17,'M3-MAO'!$A$3:$G$23,7,0)),IF(VLOOKUP(B17,'M3-MAO'!$A$3:$G$23,7,0)=1,"✅ Ci=1.0 — GAD directo","⚠ Ci="&amp;VLOOKUP(B17,'M3-MAO'!$A$3:$G$23,7,0)&amp;" — adscrito/convenio"),"❌ Sin Ci")</f>
        <v>✅ Ci=1.0 — GAD directo</v>
      </c>
      <c r="M17" s="2167"/>
      <c r="N17" s="2168"/>
      <c r="O17" s="237"/>
      <c r="P17" s="238"/>
      <c r="Q17" s="238"/>
      <c r="R17" s="238"/>
      <c r="S17" s="238"/>
      <c r="T17" s="238"/>
      <c r="U17" s="238"/>
      <c r="V17" s="238"/>
      <c r="W17" s="238"/>
      <c r="X17" s="238"/>
      <c r="Y17" s="238"/>
      <c r="Z17" s="239"/>
    </row>
    <row r="18" spans="1:26" s="11" customFormat="1" ht="34.049999999999997" customHeight="1" x14ac:dyDescent="0.3">
      <c r="A18" s="2169">
        <v>14</v>
      </c>
      <c r="B18" s="2170" t="s">
        <v>50</v>
      </c>
      <c r="C18" s="2171">
        <v>117900</v>
      </c>
      <c r="D18" s="2172">
        <v>1</v>
      </c>
      <c r="E18" s="2155">
        <f>IFERROR(VLOOKUP(B18,'M4-AUDIT'!$A$5:$H$24,MATCH("Vi",'M4-AUDIT'!$A$4:$H$4,0),0),0)</f>
        <v>0</v>
      </c>
      <c r="F18" s="2173">
        <f>'M2-PLAN-Pi'!F26</f>
        <v>1.2517992752294592E-2</v>
      </c>
      <c r="G18" s="2174">
        <v>1</v>
      </c>
      <c r="H18" s="2173">
        <v>9.1000000000000004E-3</v>
      </c>
      <c r="I18" s="2235">
        <f>IFERROR(VLOOKUP(B18,'M4-AUDIT'!$A$5:$H$24,MATCH("Ti (H)",'M4-AUDIT'!$A$4:$H$4,0),0),0)</f>
        <v>0</v>
      </c>
      <c r="J18" s="2243" t="str">
        <f t="shared" si="0"/>
        <v>CRIT Vi=0 Ti=000</v>
      </c>
      <c r="K18" s="2256" t="s">
        <v>1667</v>
      </c>
      <c r="L18" s="2249" t="str">
        <f>IF(ISNUMBER(VLOOKUP(B18,'M3-MAO'!$A$3:$G$23,7,0)),IF(VLOOKUP(B18,'M3-MAO'!$A$3:$G$23,7,0)=1,"✅ Ci=1.0 — GAD directo","⚠ Ci="&amp;VLOOKUP(B18,'M3-MAO'!$A$3:$G$23,7,0)&amp;" — adscrito/convenio"),"❌ Sin Ci")</f>
        <v>✅ Ci=1.0 — GAD directo</v>
      </c>
      <c r="M18" s="2158"/>
      <c r="N18" s="2159"/>
      <c r="O18" s="237"/>
      <c r="P18" s="238"/>
      <c r="Q18" s="238"/>
      <c r="R18" s="238"/>
      <c r="S18" s="238"/>
      <c r="T18" s="238"/>
      <c r="U18" s="238"/>
      <c r="V18" s="238"/>
      <c r="W18" s="238"/>
      <c r="X18" s="238"/>
      <c r="Y18" s="238"/>
      <c r="Z18" s="239"/>
    </row>
    <row r="19" spans="1:26" s="11" customFormat="1" ht="34.049999999999997" customHeight="1" x14ac:dyDescent="0.3">
      <c r="A19" s="2160">
        <v>15</v>
      </c>
      <c r="B19" s="2161" t="s">
        <v>655</v>
      </c>
      <c r="C19" s="2162">
        <v>0</v>
      </c>
      <c r="D19" s="2163">
        <v>0.5</v>
      </c>
      <c r="E19" s="2164">
        <f>IFERROR(VLOOKUP(B19,'M4-AUDIT'!$A$5:$H$24,MATCH("Vi",'M4-AUDIT'!$A$4:$H$4,0),0),0)</f>
        <v>1</v>
      </c>
      <c r="F19" s="2165">
        <f>'M2-PLAN-Pi'!F27</f>
        <v>9.8210528333412782E-3</v>
      </c>
      <c r="G19" s="2166">
        <v>0.5</v>
      </c>
      <c r="H19" s="2165">
        <v>3.2000000000000002E-3</v>
      </c>
      <c r="I19" s="2236">
        <f>IFERROR(VLOOKUP(B19,'M4-AUDIT'!$A$5:$H$24,MATCH("Ti (H)",'M4-AUDIT'!$A$4:$H$4,0),0),0)</f>
        <v>1</v>
      </c>
      <c r="J19" s="2244" t="str">
        <f t="shared" si="0"/>
        <v>OK Vi=1 Ti=001</v>
      </c>
      <c r="K19" s="2257" t="s">
        <v>1668</v>
      </c>
      <c r="L19" s="2250" t="str">
        <f>IF(ISNUMBER(VLOOKUP(B19,'M3-MAO'!$A$3:$G$23,7,0)),IF(VLOOKUP(B19,'M3-MAO'!$A$3:$G$23,7,0)=1,"✅ Ci=1.0 — GAD directo","⚠ Ci="&amp;VLOOKUP(B19,'M3-MAO'!$A$3:$G$23,7,0)&amp;" — adscrito/convenio"),"❌ Sin Ci")</f>
        <v>✅ Ci=1.0 — GAD directo</v>
      </c>
      <c r="M19" s="2167"/>
      <c r="N19" s="2168"/>
      <c r="O19" s="237"/>
      <c r="P19" s="238"/>
      <c r="Q19" s="238"/>
      <c r="R19" s="238"/>
      <c r="S19" s="238"/>
      <c r="T19" s="238"/>
      <c r="U19" s="238"/>
      <c r="V19" s="238"/>
      <c r="W19" s="238"/>
      <c r="X19" s="238"/>
      <c r="Y19" s="238"/>
      <c r="Z19" s="239"/>
    </row>
    <row r="20" spans="1:26" s="11" customFormat="1" ht="34.049999999999997" customHeight="1" x14ac:dyDescent="0.3">
      <c r="A20" s="2169">
        <v>16</v>
      </c>
      <c r="B20" s="2170" t="s">
        <v>642</v>
      </c>
      <c r="C20" s="2171">
        <v>0</v>
      </c>
      <c r="D20" s="2172">
        <v>0.5</v>
      </c>
      <c r="E20" s="2155">
        <f>IFERROR(VLOOKUP(B20,'M4-AUDIT'!$A$5:$H$24,MATCH("Vi",'M4-AUDIT'!$A$4:$H$4,0),0),0)</f>
        <v>0</v>
      </c>
      <c r="F20" s="2173">
        <f>'M2-PLAN-Pi'!F28</f>
        <v>8.6100169897484775E-3</v>
      </c>
      <c r="G20" s="2174">
        <v>0.5</v>
      </c>
      <c r="H20" s="2173">
        <v>3.5999999999999999E-3</v>
      </c>
      <c r="I20" s="2235">
        <f>IFERROR(VLOOKUP(B20,'M4-AUDIT'!$A$5:$H$24,MATCH("Ti (H)",'M4-AUDIT'!$A$4:$H$4,0),0),0)</f>
        <v>0</v>
      </c>
      <c r="J20" s="2243" t="str">
        <f t="shared" si="0"/>
        <v>CRIT Vi=0 Ti=000</v>
      </c>
      <c r="K20" s="2254" t="s">
        <v>1669</v>
      </c>
      <c r="L20" s="2249" t="str">
        <f>IF(ISNUMBER(VLOOKUP(B20,'M3-MAO'!$A$3:$G$23,7,0)),IF(VLOOKUP(B20,'M3-MAO'!$A$3:$G$23,7,0)=1,"✅ Ci=1.0 — GAD directo","⚠ Ci="&amp;VLOOKUP(B20,'M3-MAO'!$A$3:$G$23,7,0)&amp;" — adscrito/convenio"),"❌ Sin Ci")</f>
        <v>✅ Ci=1.0 — GAD directo</v>
      </c>
      <c r="M20" s="2158"/>
      <c r="N20" s="2159"/>
      <c r="O20" s="237"/>
      <c r="P20" s="238"/>
      <c r="Q20" s="238"/>
      <c r="R20" s="238"/>
      <c r="S20" s="238"/>
      <c r="T20" s="238"/>
      <c r="U20" s="238"/>
      <c r="V20" s="238"/>
      <c r="W20" s="238"/>
      <c r="X20" s="238"/>
      <c r="Y20" s="238"/>
      <c r="Z20" s="239"/>
    </row>
    <row r="21" spans="1:26" s="11" customFormat="1" ht="34.049999999999997" customHeight="1" x14ac:dyDescent="0.3">
      <c r="A21" s="2160">
        <v>17</v>
      </c>
      <c r="B21" s="2161" t="s">
        <v>466</v>
      </c>
      <c r="C21" s="2162">
        <v>0</v>
      </c>
      <c r="D21" s="2163">
        <v>0.5</v>
      </c>
      <c r="E21" s="2164">
        <f>IFERROR(VLOOKUP(B21,'M4-AUDIT'!$A$5:$H$24,MATCH("Vi",'M4-AUDIT'!$A$4:$H$4,0),0),0)</f>
        <v>0</v>
      </c>
      <c r="F21" s="2165">
        <f>'M2-PLAN-Pi'!F29</f>
        <v>3.3271362671826298E-3</v>
      </c>
      <c r="G21" s="2166">
        <v>0.5</v>
      </c>
      <c r="H21" s="2165">
        <v>2.5000000000000001E-3</v>
      </c>
      <c r="I21" s="2236">
        <f>IFERROR(VLOOKUP(B21,'M4-AUDIT'!$A$5:$H$24,MATCH("Ti (H)",'M4-AUDIT'!$A$4:$H$4,0),0),0)</f>
        <v>0</v>
      </c>
      <c r="J21" s="2244" t="str">
        <f t="shared" si="0"/>
        <v>CRIT Vi=0 Ti=000</v>
      </c>
      <c r="K21" s="2258" t="s">
        <v>1670</v>
      </c>
      <c r="L21" s="2252" t="str">
        <f>IF(ISNUMBER(VLOOKUP(B21,'M3-MAO'!$A$3:$G$23,7,0)),IF(VLOOKUP(B21,'M3-MAO'!$A$3:$G$23,7,0)=1,"✅ Ci=1.0 — GAD directo","⚠ Ci="&amp;VLOOKUP(B21,'M3-MAO'!$A$3:$G$23,7,0)&amp;" — adscrito/convenio"),"❌ Sin Ci")</f>
        <v>⚠ Ci=0,9 — adscrito/convenio</v>
      </c>
      <c r="M21" s="2167"/>
      <c r="N21" s="2168"/>
      <c r="O21" s="237"/>
      <c r="P21" s="238"/>
      <c r="Q21" s="238"/>
      <c r="R21" s="238"/>
      <c r="S21" s="238"/>
      <c r="T21" s="238"/>
      <c r="U21" s="238"/>
      <c r="V21" s="238"/>
      <c r="W21" s="238"/>
      <c r="X21" s="238"/>
      <c r="Y21" s="238"/>
      <c r="Z21" s="239"/>
    </row>
    <row r="22" spans="1:26" s="11" customFormat="1" ht="34.049999999999997" customHeight="1" x14ac:dyDescent="0.3">
      <c r="A22" s="2169">
        <v>18</v>
      </c>
      <c r="B22" s="2170" t="s">
        <v>458</v>
      </c>
      <c r="C22" s="2171">
        <v>0</v>
      </c>
      <c r="D22" s="2172">
        <v>0.5</v>
      </c>
      <c r="E22" s="2155">
        <f>IFERROR(VLOOKUP(B22,'M4-AUDIT'!$A$5:$H$24,MATCH("Vi",'M4-AUDIT'!$A$4:$H$4,0),0),0)</f>
        <v>0</v>
      </c>
      <c r="F22" s="2173">
        <f>'M2-PLAN-Pi'!F30</f>
        <v>6.4989128752281538E-3</v>
      </c>
      <c r="G22" s="2174">
        <v>0.5</v>
      </c>
      <c r="H22" s="2173">
        <v>1.6999999999999999E-3</v>
      </c>
      <c r="I22" s="2235">
        <f>IFERROR(VLOOKUP(B22,'M4-AUDIT'!$A$5:$H$24,MATCH("Ti (H)",'M4-AUDIT'!$A$4:$H$4,0),0),0)</f>
        <v>0</v>
      </c>
      <c r="J22" s="2243" t="str">
        <f t="shared" si="0"/>
        <v>CRIT Vi=0 Ti=000</v>
      </c>
      <c r="K22" s="2259" t="s">
        <v>1671</v>
      </c>
      <c r="L22" s="2251" t="str">
        <f>IF(ISNUMBER(VLOOKUP(B22,'M3-MAO'!$A$3:$G$23,7,0)),IF(VLOOKUP(B22,'M3-MAO'!$A$3:$G$23,7,0)=1,"✅ Ci=1.0 — GAD directo","⚠ Ci="&amp;VLOOKUP(B22,'M3-MAO'!$A$3:$G$23,7,0)&amp;" — adscrito/convenio"),"❌ Sin Ci")</f>
        <v>⚠ Ci=0,9 — adscrito/convenio</v>
      </c>
      <c r="M22" s="2158"/>
      <c r="N22" s="2159"/>
      <c r="O22" s="237"/>
      <c r="P22" s="238"/>
      <c r="Q22" s="238"/>
      <c r="R22" s="238"/>
      <c r="S22" s="238"/>
      <c r="T22" s="238"/>
      <c r="U22" s="238"/>
      <c r="V22" s="238"/>
      <c r="W22" s="238"/>
      <c r="X22" s="238"/>
      <c r="Y22" s="238"/>
      <c r="Z22" s="239"/>
    </row>
    <row r="23" spans="1:26" s="11" customFormat="1" ht="34.049999999999997" customHeight="1" x14ac:dyDescent="0.3">
      <c r="A23" s="2175">
        <v>19</v>
      </c>
      <c r="B23" s="2176" t="s">
        <v>740</v>
      </c>
      <c r="C23" s="2162">
        <v>15600</v>
      </c>
      <c r="D23" s="2163">
        <v>0.5</v>
      </c>
      <c r="E23" s="2164">
        <f>IFERROR(VLOOKUP(B23,'M4-AUDIT'!$A$5:$H$24,MATCH("Vi",'M4-AUDIT'!$A$4:$H$4,0),0),0)</f>
        <v>0</v>
      </c>
      <c r="F23" s="2165">
        <f>'M2-PLAN-Pi'!F31</f>
        <v>4.6377193935222705E-3</v>
      </c>
      <c r="G23" s="2166">
        <v>0.5</v>
      </c>
      <c r="H23" s="2165">
        <v>2.0999999999999999E-3</v>
      </c>
      <c r="I23" s="2236">
        <f>IFERROR(VLOOKUP(B23,'M4-AUDIT'!$A$5:$H$24,MATCH("Ti (H)",'M4-AUDIT'!$A$4:$H$4,0),0),0)</f>
        <v>0</v>
      </c>
      <c r="J23" s="2244" t="str">
        <f t="shared" si="0"/>
        <v>CRIT Vi=0 Ti=000</v>
      </c>
      <c r="K23" s="2260" t="s">
        <v>1672</v>
      </c>
      <c r="L23" s="2250" t="str">
        <f>IF(ISNUMBER(VLOOKUP(B23,'M3-MAO'!$A$3:$G$23,7,0)),IF(VLOOKUP(B23,'M3-MAO'!$A$3:$G$23,7,0)=1,"✅ Ci=1.0 — GAD directo","⚠ Ci="&amp;VLOOKUP(B23,'M3-MAO'!$A$3:$G$23,7,0)&amp;" — adscrito/convenio"),"❌ Sin Ci")</f>
        <v>✅ Ci=1.0 — GAD directo</v>
      </c>
      <c r="M23" s="2167"/>
      <c r="N23" s="2168"/>
      <c r="O23" s="237"/>
      <c r="P23" s="238"/>
      <c r="Q23" s="238"/>
      <c r="R23" s="238"/>
      <c r="S23" s="238"/>
      <c r="T23" s="238"/>
      <c r="U23" s="238"/>
      <c r="V23" s="238"/>
      <c r="W23" s="238"/>
      <c r="X23" s="238"/>
      <c r="Y23" s="238"/>
      <c r="Z23" s="239"/>
    </row>
    <row r="24" spans="1:26" s="11" customFormat="1" ht="34.049999999999997" customHeight="1" x14ac:dyDescent="0.3">
      <c r="A24" s="2177">
        <v>20</v>
      </c>
      <c r="B24" s="2178" t="s">
        <v>502</v>
      </c>
      <c r="C24" s="2179">
        <v>45625014</v>
      </c>
      <c r="D24" s="2180">
        <v>1.5</v>
      </c>
      <c r="E24" s="2181">
        <f>IFERROR(VLOOKUP(B24,'M4-AUDIT'!$A$5:$H$24,MATCH("Vi",'M4-AUDIT'!$A$4:$H$4,0),0),0)</f>
        <v>0</v>
      </c>
      <c r="F24" s="2182">
        <f>'M2-PLAN-Pi'!F32</f>
        <v>4.364912370373902E-3</v>
      </c>
      <c r="G24" s="2183">
        <v>1.5</v>
      </c>
      <c r="H24" s="2182">
        <v>3.3999999999999998E-3</v>
      </c>
      <c r="I24" s="2237">
        <f>IFERROR(VLOOKUP(B24,'M4-AUDIT'!$A$5:$H$24,MATCH("Ti (H)",'M4-AUDIT'!$A$4:$H$4,0),0),0)</f>
        <v>0</v>
      </c>
      <c r="J24" s="2245" t="str">
        <f t="shared" si="0"/>
        <v>CRIT Vi=0 Ti=000</v>
      </c>
      <c r="K24" s="2261" t="s">
        <v>1673</v>
      </c>
      <c r="L24" s="2265" t="str">
        <f>"✅ "&amp;COUNTIF(L6:L23,"✅*")&amp;" Ci=1.0  ·  ⚠ "&amp;COUNTIF(L6:L23,"⚠*")&amp;" Ci&lt;1.0  ·  ❌ "&amp;COUNTIF(L6:L23,"❌*")&amp;" sin Ci"</f>
        <v>✅ 12 Ci=1.0  ·  ⚠ 6 Ci&lt;1.0  ·  ❌ 0 sin Ci</v>
      </c>
      <c r="M24" s="2184"/>
      <c r="N24" s="2185"/>
      <c r="O24" s="237"/>
      <c r="P24" s="238"/>
      <c r="Q24" s="238"/>
      <c r="R24" s="238"/>
      <c r="S24" s="238"/>
      <c r="T24" s="238"/>
      <c r="U24" s="238"/>
      <c r="V24" s="238"/>
      <c r="W24" s="238"/>
      <c r="X24" s="238"/>
      <c r="Y24" s="238"/>
      <c r="Z24" s="239"/>
    </row>
    <row r="25" spans="1:26" s="11" customFormat="1" ht="18" customHeight="1" x14ac:dyDescent="0.3">
      <c r="A25" s="2192">
        <v>1</v>
      </c>
      <c r="B25" s="2186" t="s">
        <v>495</v>
      </c>
      <c r="C25" s="2187">
        <v>45625014</v>
      </c>
      <c r="D25" s="2188">
        <v>1.5</v>
      </c>
      <c r="E25" s="2189">
        <f>IFERROR(VLOOKUP(B25,'M4-AUDIT'!$A$5:$H$24,MATCH("Vi",'M4-AUDIT'!$A$4:$H$4,0),0),0)</f>
        <v>0</v>
      </c>
      <c r="F25" s="2190">
        <f>IFERROR(VLOOKUP(B25,'M2-PLAN-Pi'!$B$14:$F$33,5,0),0)</f>
        <v>0</v>
      </c>
      <c r="G25" s="2190">
        <f>D25*F25</f>
        <v>0</v>
      </c>
      <c r="H25" s="2190"/>
      <c r="I25" s="2238">
        <f>IFERROR(VLOOKUP(B25,'M4-AUDIT'!$A$5:$H$24,MATCH("Ti (H)",'M4-AUDIT'!$A$4:$H$4,0),0),0)</f>
        <v>0</v>
      </c>
      <c r="J25" s="2246"/>
      <c r="K25" s="2262"/>
      <c r="L25" s="2266"/>
      <c r="M25" s="2191"/>
      <c r="N25" s="2193"/>
      <c r="O25" s="237"/>
      <c r="P25" s="238"/>
      <c r="Q25" s="238"/>
      <c r="R25" s="238"/>
      <c r="S25" s="238"/>
      <c r="T25" s="238"/>
      <c r="U25" s="238"/>
      <c r="V25" s="238"/>
      <c r="W25" s="238"/>
      <c r="X25" s="238"/>
      <c r="Y25" s="238"/>
      <c r="Z25" s="239"/>
    </row>
    <row r="26" spans="1:26" s="11" customFormat="1" ht="18" customHeight="1" x14ac:dyDescent="0.3">
      <c r="A26" s="2194">
        <v>1</v>
      </c>
      <c r="B26" s="2195" t="s">
        <v>495</v>
      </c>
      <c r="C26" s="2196">
        <v>45625014</v>
      </c>
      <c r="D26" s="2197">
        <v>1.5</v>
      </c>
      <c r="E26" s="2198" t="str">
        <f>COUNTIF(E6:E25,1)&amp;" Vi=1
"&amp;COUNTIF(E6:E25,0)&amp;" Vi=0"</f>
        <v>7 Vi=1
13 Vi=0</v>
      </c>
      <c r="F26" s="2199">
        <f>IFERROR(VLOOKUP(B26,'M2-PLAN-Pi'!$B$14:$F$33,5,0),0)</f>
        <v>0</v>
      </c>
      <c r="G26" s="2199">
        <f>D26*F26</f>
        <v>0</v>
      </c>
      <c r="H26" s="2199"/>
      <c r="I26" s="2239"/>
      <c r="J26" s="2247"/>
      <c r="K26" s="2263"/>
      <c r="L26" s="2267"/>
      <c r="M26" s="2200"/>
      <c r="N26" s="2201"/>
      <c r="O26" s="237"/>
      <c r="P26" s="238"/>
      <c r="Q26" s="238"/>
      <c r="R26" s="238"/>
      <c r="S26" s="238"/>
      <c r="T26" s="238"/>
      <c r="U26" s="238"/>
      <c r="V26" s="238"/>
      <c r="W26" s="238"/>
      <c r="X26" s="238"/>
      <c r="Y26" s="238"/>
      <c r="Z26" s="239"/>
    </row>
    <row r="27" spans="1:26" s="11" customFormat="1" ht="22.05" customHeight="1" x14ac:dyDescent="0.3">
      <c r="A27" s="2204" t="s">
        <v>103</v>
      </c>
      <c r="B27" s="2205" t="s">
        <v>1674</v>
      </c>
      <c r="C27" s="2206">
        <v>13875000</v>
      </c>
      <c r="D27" s="2207" t="s">
        <v>103</v>
      </c>
      <c r="E27" s="2205" t="str">
        <f>COUNTIF('M4-AUDIT'!F5:F24,1)&amp;" Vi=1 · "&amp;COUNTIF('M4-AUDIT'!F5:F24,0)&amp;" Vi=0"</f>
        <v>15 Vi=1 · 5 Vi=0</v>
      </c>
      <c r="F27" s="2208">
        <v>1</v>
      </c>
      <c r="G27" s="2205" t="s">
        <v>103</v>
      </c>
      <c r="H27" s="2208">
        <v>1.3209</v>
      </c>
      <c r="I27" s="2240" t="str">
        <f>"Tī="&amp;ROUND(AVERAGE('M4-AUDIT'!H5:H24),2)</f>
        <v>Tī=0,46</v>
      </c>
      <c r="J27" s="2248" t="str">
        <f>"ICPI="&amp;ROUND('M5-ICPI'!G29,2)&amp;"%"</f>
        <v>ICPI=38,28%</v>
      </c>
      <c r="K27" s="2264" t="s">
        <v>1675</v>
      </c>
      <c r="L27" s="2253"/>
      <c r="M27" s="2209"/>
      <c r="N27" s="2210"/>
      <c r="O27" s="237"/>
      <c r="P27" s="238"/>
      <c r="Q27" s="238"/>
      <c r="R27" s="238"/>
      <c r="S27" s="238"/>
      <c r="T27" s="238"/>
      <c r="U27" s="238"/>
      <c r="V27" s="238"/>
      <c r="W27" s="238"/>
      <c r="X27" s="238"/>
      <c r="Y27" s="238"/>
      <c r="Z27" s="239"/>
    </row>
    <row r="28" spans="1:26" s="11" customFormat="1" ht="22.05" customHeight="1" x14ac:dyDescent="0.3">
      <c r="A28" s="3813" t="s">
        <v>1676</v>
      </c>
      <c r="B28" s="3794"/>
      <c r="C28" s="3794"/>
      <c r="D28" s="3794"/>
      <c r="E28" s="3794"/>
      <c r="F28" s="3794"/>
      <c r="G28" s="3794"/>
      <c r="H28" s="3794"/>
      <c r="I28" s="3794"/>
      <c r="J28" s="3829"/>
      <c r="K28" s="3829"/>
      <c r="L28" s="3829"/>
      <c r="M28" s="3794"/>
      <c r="N28" s="3830"/>
      <c r="O28" s="3764"/>
      <c r="P28" s="3764"/>
      <c r="Q28" s="3764"/>
      <c r="R28" s="3764"/>
      <c r="S28" s="3764"/>
      <c r="T28" s="3764"/>
      <c r="U28" s="3764"/>
      <c r="V28" s="3764"/>
      <c r="W28" s="3764"/>
      <c r="X28" s="3764"/>
      <c r="Y28" s="3764"/>
      <c r="Z28" s="3765"/>
    </row>
    <row r="29" spans="1:26" s="11" customFormat="1" ht="36" customHeight="1" x14ac:dyDescent="0.3">
      <c r="A29" s="2216" t="s">
        <v>30</v>
      </c>
      <c r="B29" s="2001" t="s">
        <v>1677</v>
      </c>
      <c r="C29" s="2001" t="s">
        <v>33</v>
      </c>
      <c r="D29" s="2001" t="s">
        <v>701</v>
      </c>
      <c r="E29" s="2001" t="s">
        <v>1678</v>
      </c>
      <c r="F29" s="2001" t="s">
        <v>1679</v>
      </c>
      <c r="G29" s="3826" t="s">
        <v>1627</v>
      </c>
      <c r="H29" s="3826"/>
      <c r="I29" s="3826"/>
      <c r="J29" s="3826"/>
      <c r="K29" s="3826"/>
      <c r="L29" s="2001"/>
      <c r="M29" s="2002"/>
      <c r="N29" s="2003"/>
      <c r="O29" s="237"/>
      <c r="P29" s="238"/>
      <c r="Q29" s="238"/>
      <c r="R29" s="238"/>
      <c r="S29" s="238"/>
      <c r="T29" s="238"/>
      <c r="U29" s="238"/>
      <c r="V29" s="238"/>
      <c r="W29" s="238"/>
      <c r="X29" s="238"/>
      <c r="Y29" s="238"/>
      <c r="Z29" s="239"/>
    </row>
    <row r="30" spans="1:26" s="11" customFormat="1" ht="40.049999999999997" customHeight="1" x14ac:dyDescent="0.3">
      <c r="A30" s="2217" t="s">
        <v>1680</v>
      </c>
      <c r="B30" s="2218" t="s">
        <v>1681</v>
      </c>
      <c r="C30" s="2219">
        <v>15</v>
      </c>
      <c r="D30" s="2157">
        <f>SUMIF(E6:E25,1,'M2-PLAN-Pi'!D13:D32)</f>
        <v>0</v>
      </c>
      <c r="E30" s="2157">
        <f>SUMIF(E6:E25,1,F6:F25)</f>
        <v>0.34043844766351034</v>
      </c>
      <c r="F30" s="2152" t="s">
        <v>1682</v>
      </c>
      <c r="G30" s="3827" t="s">
        <v>1683</v>
      </c>
      <c r="H30" s="3828"/>
      <c r="I30" s="3828"/>
      <c r="J30" s="3828"/>
      <c r="K30" s="3828"/>
      <c r="L30" s="2218"/>
      <c r="M30" s="2220"/>
      <c r="N30" s="2221"/>
      <c r="O30" s="237"/>
      <c r="P30" s="238"/>
      <c r="Q30" s="238"/>
      <c r="R30" s="238"/>
      <c r="S30" s="238"/>
      <c r="T30" s="238"/>
      <c r="U30" s="238"/>
      <c r="V30" s="238"/>
      <c r="W30" s="238"/>
      <c r="X30" s="238"/>
      <c r="Y30" s="238"/>
      <c r="Z30" s="239"/>
    </row>
    <row r="31" spans="1:26" s="11" customFormat="1" ht="40.049999999999997" customHeight="1" x14ac:dyDescent="0.3">
      <c r="A31" s="2222" t="s">
        <v>1684</v>
      </c>
      <c r="B31" s="2223" t="s">
        <v>1685</v>
      </c>
      <c r="C31" s="2224">
        <v>5</v>
      </c>
      <c r="D31" s="2225">
        <f>SUMIF(E6:E25,0,'M2-PLAN-Pi'!D13:D32)</f>
        <v>0</v>
      </c>
      <c r="E31" s="2225">
        <f>SUMIF(E6:E25,0,F6:F25)</f>
        <v>0.65540468138949315</v>
      </c>
      <c r="F31" s="2223" t="s">
        <v>1686</v>
      </c>
      <c r="G31" s="3824" t="s">
        <v>1687</v>
      </c>
      <c r="H31" s="3825"/>
      <c r="I31" s="3825"/>
      <c r="J31" s="3825"/>
      <c r="K31" s="3825"/>
      <c r="L31" s="2223"/>
      <c r="M31" s="2226"/>
      <c r="N31" s="2227"/>
      <c r="O31" s="237"/>
      <c r="P31" s="238"/>
      <c r="Q31" s="238"/>
      <c r="R31" s="238"/>
      <c r="S31" s="238"/>
      <c r="T31" s="238"/>
      <c r="U31" s="238"/>
      <c r="V31" s="238"/>
      <c r="W31" s="238"/>
      <c r="X31" s="238"/>
      <c r="Y31" s="238"/>
      <c r="Z31" s="239"/>
    </row>
    <row r="32" spans="1:26" s="11" customFormat="1" ht="40.049999999999997" customHeight="1" x14ac:dyDescent="0.3">
      <c r="A32" s="2228" t="s">
        <v>1688</v>
      </c>
      <c r="B32" s="2229" t="s">
        <v>1689</v>
      </c>
      <c r="C32" s="2230">
        <v>0</v>
      </c>
      <c r="D32" s="2231">
        <v>0</v>
      </c>
      <c r="E32" s="2231">
        <v>0</v>
      </c>
      <c r="F32" s="2229" t="s">
        <v>1690</v>
      </c>
      <c r="G32" s="3823" t="s">
        <v>1691</v>
      </c>
      <c r="H32" s="3823"/>
      <c r="I32" s="3823"/>
      <c r="J32" s="3823"/>
      <c r="K32" s="3823"/>
      <c r="L32" s="2229"/>
      <c r="M32" s="2232"/>
      <c r="N32" s="2233"/>
      <c r="O32" s="237"/>
      <c r="P32" s="238"/>
      <c r="Q32" s="238"/>
      <c r="R32" s="238"/>
      <c r="S32" s="238"/>
      <c r="T32" s="238"/>
      <c r="U32" s="238"/>
      <c r="V32" s="238"/>
      <c r="W32" s="238"/>
      <c r="X32" s="238"/>
      <c r="Y32" s="238"/>
      <c r="Z32" s="239"/>
    </row>
    <row r="33" spans="1:26" x14ac:dyDescent="0.3">
      <c r="A33" s="2211"/>
      <c r="B33" s="2212"/>
      <c r="C33" s="2212"/>
      <c r="D33" s="2212"/>
      <c r="E33" s="2212"/>
      <c r="F33" s="2212"/>
      <c r="G33" s="2212"/>
      <c r="H33" s="2212"/>
      <c r="I33" s="2212"/>
      <c r="J33" s="2212"/>
      <c r="K33" s="2212"/>
      <c r="L33" s="2213"/>
      <c r="M33" s="2214"/>
      <c r="N33" s="2215"/>
      <c r="O33" s="59"/>
      <c r="P33" s="59"/>
      <c r="Q33" s="59"/>
      <c r="R33" s="59"/>
      <c r="S33" s="59"/>
      <c r="T33" s="59"/>
      <c r="U33" s="59"/>
      <c r="V33" s="59"/>
      <c r="W33" s="59"/>
      <c r="X33" s="59"/>
      <c r="Y33" s="59"/>
      <c r="Z33" s="60"/>
    </row>
    <row r="34" spans="1:26" x14ac:dyDescent="0.3">
      <c r="B34" s="15"/>
      <c r="C34" s="15"/>
      <c r="D34" s="15"/>
      <c r="E34" s="15"/>
      <c r="F34" s="15"/>
      <c r="G34" s="26"/>
      <c r="H34" s="15"/>
      <c r="I34" s="15"/>
      <c r="J34" s="15"/>
      <c r="K34" s="15"/>
      <c r="L34" s="15"/>
      <c r="M34" s="15"/>
    </row>
    <row r="35" spans="1:26" x14ac:dyDescent="0.3">
      <c r="B35" s="15"/>
      <c r="C35" s="15"/>
      <c r="D35" s="15"/>
      <c r="E35" s="15"/>
      <c r="F35" s="15"/>
      <c r="G35" s="26"/>
      <c r="H35" s="15"/>
      <c r="I35" s="15"/>
      <c r="J35" s="15"/>
      <c r="K35" s="15"/>
      <c r="L35" s="15"/>
      <c r="M35" s="15"/>
    </row>
  </sheetData>
  <mergeCells count="8">
    <mergeCell ref="G32:K32"/>
    <mergeCell ref="G31:K31"/>
    <mergeCell ref="G29:K29"/>
    <mergeCell ref="G30:K30"/>
    <mergeCell ref="A1:Z1"/>
    <mergeCell ref="A3:Z3"/>
    <mergeCell ref="A28:Z28"/>
    <mergeCell ref="A4:Z4"/>
  </mergeCells>
  <conditionalFormatting sqref="A30:A32">
    <cfRule type="containsText" dxfId="430" priority="19" operator="containsText" text="✅">
      <formula>NOT(ISERROR(SEARCH("✅",A30)))</formula>
    </cfRule>
    <cfRule type="containsText" dxfId="429" priority="20" operator="containsText" text="🔴">
      <formula>NOT(ISERROR(SEARCH("🔴",A30)))</formula>
    </cfRule>
    <cfRule type="containsText" dxfId="428" priority="21" operator="containsText" text="Sin">
      <formula>NOT(ISERROR(SEARCH("Sin",A30)))</formula>
    </cfRule>
  </conditionalFormatting>
  <conditionalFormatting sqref="E6:E24">
    <cfRule type="cellIs" dxfId="427" priority="1" operator="equal">
      <formula>1</formula>
    </cfRule>
    <cfRule type="cellIs" dxfId="426" priority="2" operator="equal">
      <formula>0</formula>
    </cfRule>
  </conditionalFormatting>
  <conditionalFormatting sqref="I6:I24">
    <cfRule type="cellIs" dxfId="425" priority="3" operator="greaterThanOrEqual">
      <formula>0.9</formula>
    </cfRule>
    <cfRule type="cellIs" dxfId="424" priority="4" operator="between">
      <formula>0.7</formula>
      <formula>0.9</formula>
    </cfRule>
    <cfRule type="cellIs" dxfId="423" priority="5" operator="between">
      <formula>0.4</formula>
      <formula>0.7</formula>
    </cfRule>
    <cfRule type="cellIs" dxfId="422" priority="6" operator="between">
      <formula>0.2</formula>
      <formula>0.4</formula>
    </cfRule>
    <cfRule type="cellIs" dxfId="421" priority="7" operator="lessThan">
      <formula>0.2</formula>
    </cfRule>
  </conditionalFormatting>
  <conditionalFormatting sqref="J6:J24">
    <cfRule type="beginsWith" dxfId="420" priority="8" operator="beginsWith" text="OK Vi">
      <formula>LEFT(J6,LEN("OK Vi"))="OK Vi"</formula>
    </cfRule>
    <cfRule type="beginsWith" dxfId="419" priority="9" operator="beginsWith" text="OK-">
      <formula>LEFT(J6,LEN("OK-"))="OK-"</formula>
    </cfRule>
    <cfRule type="beginsWith" dxfId="418" priority="10" operator="beginsWith" text="WARN">
      <formula>LEFT(J6,LEN("WARN"))="WARN"</formula>
    </cfRule>
    <cfRule type="beginsWith" dxfId="417" priority="11" operator="beginsWith" text="CRIT">
      <formula>LEFT(J6,LEN("CRIT"))="CRIT"</formula>
    </cfRule>
  </conditionalFormatting>
  <conditionalFormatting sqref="J27">
    <cfRule type="containsText" dxfId="416" priority="22" operator="containsText" text="ICPI">
      <formula>NOT(ISERROR(SEARCH("ICPI",J27)))</formula>
    </cfRule>
  </conditionalFormatting>
  <conditionalFormatting sqref="K6:K24">
    <cfRule type="containsText" dxfId="415" priority="12" operator="containsText" text="CONGRUENTE">
      <formula>NOT(ISERROR(SEARCH("CONGRUENTE",K6)))</formula>
    </cfRule>
    <cfRule type="containsText" dxfId="414" priority="13" operator="containsText" text="⚠ Vi=0">
      <formula>NOT(ISERROR(SEARCH("⚠ Vi=0",K6)))</formula>
    </cfRule>
    <cfRule type="containsText" dxfId="413" priority="14" operator="containsText" text="CRÍTICO">
      <formula>NOT(ISERROR(SEARCH("CRÍTICO",K6)))</formula>
    </cfRule>
  </conditionalFormatting>
  <conditionalFormatting sqref="L6:L24">
    <cfRule type="containsText" dxfId="412" priority="15" operator="containsText" text="✅">
      <formula>NOT(ISERROR(SEARCH("✅",L6)))</formula>
    </cfRule>
    <cfRule type="containsText" dxfId="411" priority="16" operator="containsText" text="Ci=0,9">
      <formula>NOT(ISERROR(SEARCH("Ci=0,9",L6)))</formula>
    </cfRule>
    <cfRule type="containsText" dxfId="410" priority="17" operator="containsText" text="Ci=0,75">
      <formula>NOT(ISERROR(SEARCH("Ci=0,75",L6)))</formula>
    </cfRule>
    <cfRule type="containsText" dxfId="409" priority="18" operator="containsText" text="❌">
      <formula>NOT(ISERROR(SEARCH("❌",L6)))</formula>
    </cfRule>
  </conditionalFormatting>
  <conditionalFormatting sqref="L24">
    <cfRule type="containsText" dxfId="408" priority="23" operator="containsText" text="✅">
      <formula>NOT(ISERROR(SEARCH("✅",L24)))</formula>
    </cfRule>
  </conditionalFormatting>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DEEAF1"/>
  </sheetPr>
  <dimension ref="A1:Z29"/>
  <sheetViews>
    <sheetView showGridLines="0" zoomScale="88" zoomScaleNormal="88" workbookViewId="0">
      <selection activeCell="D11" sqref="D11"/>
    </sheetView>
  </sheetViews>
  <sheetFormatPr baseColWidth="10" defaultRowHeight="14.4" x14ac:dyDescent="0.3"/>
  <cols>
    <col min="1" max="1" width="26.88671875" customWidth="1"/>
    <col min="2" max="2" width="18.44140625" bestFit="1" customWidth="1"/>
    <col min="3" max="3" width="10.109375" bestFit="1" customWidth="1"/>
    <col min="4" max="4" width="59.44140625" bestFit="1" customWidth="1"/>
    <col min="5" max="5" width="12" customWidth="1"/>
    <col min="6" max="6" width="8.33203125" customWidth="1"/>
    <col min="7" max="7" width="7.44140625" customWidth="1"/>
    <col min="8" max="8" width="80.5546875" bestFit="1" customWidth="1"/>
    <col min="9" max="9" width="22.21875" customWidth="1"/>
    <col min="10" max="10" width="14.77734375" customWidth="1"/>
    <col min="11" max="14" width="8.33203125" customWidth="1"/>
    <col min="25" max="25" width="15.6640625" bestFit="1" customWidth="1"/>
    <col min="26" max="26" width="8.33203125" bestFit="1" customWidth="1"/>
  </cols>
  <sheetData>
    <row r="1" spans="1:26" ht="28.05" customHeight="1" x14ac:dyDescent="0.3">
      <c r="A1" s="3777" t="s">
        <v>4833</v>
      </c>
      <c r="B1" s="3777"/>
      <c r="C1" s="3777"/>
      <c r="D1" s="3777"/>
      <c r="E1" s="3777"/>
      <c r="F1" s="3777"/>
      <c r="G1" s="3777"/>
      <c r="H1" s="3777"/>
      <c r="I1" s="3777"/>
      <c r="J1" s="3777"/>
      <c r="K1" s="3777"/>
      <c r="L1" s="3777"/>
      <c r="M1" s="3777"/>
      <c r="N1" s="3777"/>
      <c r="O1" s="3715"/>
      <c r="P1" s="3715"/>
      <c r="Q1" s="3715"/>
      <c r="R1" s="3715"/>
      <c r="S1" s="3715"/>
      <c r="T1" s="3715"/>
      <c r="U1" s="3715"/>
      <c r="V1" s="3715"/>
      <c r="W1" s="3715"/>
      <c r="X1" s="3715"/>
      <c r="Y1" s="3715"/>
      <c r="Z1" s="3715"/>
    </row>
    <row r="2" spans="1:26" ht="19.95" customHeight="1" x14ac:dyDescent="0.3">
      <c r="A2" s="1763" t="str">
        <f>HYPERLINK("#'M-INDEX'!A1","⌂ INDICE")</f>
        <v>⌂ INDICE</v>
      </c>
      <c r="B2" s="1763" t="str">
        <f>HYPERLINK("#'M1-ITME'!A1","M1")</f>
        <v>M1</v>
      </c>
      <c r="C2" s="1763" t="str">
        <f>HYPERLINK("#'M2-PDOT'!A1","M2")</f>
        <v>M2</v>
      </c>
      <c r="D2" s="1763" t="str">
        <f>HYPERLINK("#'M3-MAO'!A1","M3")</f>
        <v>M3</v>
      </c>
      <c r="E2" s="1763" t="str">
        <f>HYPERLINK("#'M4-AUDIT'!A1","M4")</f>
        <v>M4</v>
      </c>
      <c r="F2" s="1763" t="str">
        <f>HYPERLINK("#'M5-ICPI'!A1","M5")</f>
        <v>M5</v>
      </c>
      <c r="G2" s="1763" t="str">
        <f>HYPERLINK("#'M6-FEDS'!A1","M6")</f>
        <v>M6</v>
      </c>
      <c r="H2" s="1763" t="str">
        <f>HYPERLINK("#'M7-PROSP'!A1","M7")</f>
        <v>M7</v>
      </c>
      <c r="I2" s="1763" t="str">
        <f>HYPERLINK("#'DATA-POA'!A1","DATA-POA")</f>
        <v>DATA-POA</v>
      </c>
      <c r="J2" s="1763" t="str">
        <f>HYPERLINK("#'DATA-CNE'!A1","DATA-CNE")</f>
        <v>DATA-CNE</v>
      </c>
      <c r="K2" s="1763" t="str">
        <f>HYPERLINK("#'DATA-ORG'!A1","DATA-ORG")</f>
        <v>DATA-ORG</v>
      </c>
      <c r="L2" s="1763" t="str">
        <f>HYPERLINK("#'M-DASHBOARD'!A1","DASH")</f>
        <v>DASH</v>
      </c>
      <c r="M2" s="1772"/>
      <c r="N2" s="1772"/>
      <c r="O2" s="1734"/>
      <c r="P2" s="1734"/>
      <c r="Q2" s="1734"/>
      <c r="R2" s="1734"/>
      <c r="S2" s="1734"/>
      <c r="T2" s="1734"/>
      <c r="U2" s="1734"/>
      <c r="V2" s="1734"/>
      <c r="W2" s="1734"/>
      <c r="X2" s="1734"/>
      <c r="Y2" s="1734"/>
      <c r="Z2" s="1734"/>
    </row>
    <row r="3" spans="1:26" ht="15" customHeight="1" thickBot="1" x14ac:dyDescent="0.35">
      <c r="A3" s="3814" t="s">
        <v>4238</v>
      </c>
      <c r="B3" s="3835"/>
      <c r="C3" s="3835"/>
      <c r="D3" s="3835"/>
      <c r="E3" s="3835"/>
      <c r="F3" s="3835"/>
      <c r="G3" s="3835"/>
      <c r="H3" s="3835"/>
      <c r="I3" s="3835"/>
      <c r="J3" s="3814"/>
      <c r="K3" s="3814"/>
      <c r="L3" s="3814"/>
      <c r="M3" s="3814"/>
      <c r="N3" s="3814"/>
      <c r="O3" s="3758"/>
      <c r="P3" s="3758"/>
      <c r="Q3" s="3758"/>
      <c r="R3" s="3758"/>
      <c r="S3" s="3758"/>
      <c r="T3" s="3758"/>
      <c r="U3" s="3758"/>
      <c r="V3" s="3758"/>
      <c r="W3" s="3758"/>
      <c r="X3" s="3758"/>
      <c r="Y3" s="3758"/>
      <c r="Z3" s="3758"/>
    </row>
    <row r="4" spans="1:26" ht="40.049999999999997" customHeight="1" thickTop="1" x14ac:dyDescent="0.3">
      <c r="A4" s="2143" t="s">
        <v>1692</v>
      </c>
      <c r="B4" s="2144">
        <f>SUMIF('M5-ICPI'!B5:B24,"Asentamientos Humanos",'M5-ICPI'!G5:G24)+SUMIF('M5-ICPI'!B5:B24,"Físico Ambiental",'M5-ICPI'!G5:G24)</f>
        <v>0.13282768548561594</v>
      </c>
      <c r="C4" s="2145">
        <f>SUMIF('M5-ICPI'!B5:B24,"Asentamientos Humanos",'M5-ICPI'!H5:H24)+SUMIF('M5-ICPI'!B5:B24,"Físico Ambiental",'M5-ICPI'!H5:H24)</f>
        <v>0.51486131111427558</v>
      </c>
      <c r="D4" s="2146">
        <f>IFERROR(B4/C4*100,0)</f>
        <v>25.798731156968657</v>
      </c>
      <c r="E4" s="2147" t="str">
        <f>TEXT(IFERROR(C4/C9,0),"0.00%")</f>
        <v>000%</v>
      </c>
      <c r="F4" s="2147" t="str">
        <f>IF(D4&gt;=70,"🟢",IF(D4&gt;=40,"🟡",IF(D4&gt;=20,"🟠","🔴")))</f>
        <v>🟠</v>
      </c>
      <c r="G4" s="2147">
        <f>COUNTIF('M5-ICPI'!B5:B24,"Asentamientos Humanos")+COUNTIF('M5-ICPI'!B5:B24,"Físico Ambiental")</f>
        <v>9</v>
      </c>
      <c r="H4" s="2147"/>
      <c r="I4" s="2147"/>
      <c r="J4" s="2148"/>
      <c r="K4" s="2059"/>
      <c r="L4" s="694"/>
      <c r="M4" s="694"/>
      <c r="N4" s="694"/>
      <c r="O4" s="697"/>
      <c r="P4" s="697"/>
      <c r="Q4" s="697"/>
      <c r="R4" s="697"/>
      <c r="S4" s="697"/>
      <c r="T4" s="697"/>
      <c r="U4" s="697"/>
      <c r="V4" s="697"/>
      <c r="W4" s="697"/>
      <c r="X4" s="697"/>
      <c r="Y4" s="697"/>
      <c r="Z4" s="698"/>
    </row>
    <row r="5" spans="1:26" ht="40.049999999999997" customHeight="1" x14ac:dyDescent="0.3">
      <c r="A5" s="2085" t="s">
        <v>1693</v>
      </c>
      <c r="B5" s="2083">
        <f>SUMIF('M5-ICPI'!B5:B24,"Socio Cultural",'M5-ICPI'!G5:G24)</f>
        <v>0.16835235619130698</v>
      </c>
      <c r="C5" s="2064">
        <f>SUMIF('M5-ICPI'!B5:B24,"Socio Cultural",'M5-ICPI'!H5:H24)</f>
        <v>0.32571661050385453</v>
      </c>
      <c r="D5" s="2065">
        <f>IFERROR(B5/C5*100,0)</f>
        <v>51.686757985993069</v>
      </c>
      <c r="E5" s="2066" t="str">
        <f>TEXT(IFERROR(C5/C9,0),"0.00%")</f>
        <v>000%</v>
      </c>
      <c r="F5" s="2066" t="str">
        <f>IF(D5&gt;=70,"🟢",IF(D5&gt;=40,"🟡",IF(D5&gt;=20,"🟠","🔴")))</f>
        <v>🟡</v>
      </c>
      <c r="G5" s="2066">
        <f>COUNTIF('M5-ICPI'!B5:B24,"Socio Cultural")</f>
        <v>5</v>
      </c>
      <c r="H5" s="2066" t="s">
        <v>1694</v>
      </c>
      <c r="I5" s="2066" t="s">
        <v>1695</v>
      </c>
      <c r="J5" s="2067"/>
      <c r="K5" s="2060"/>
      <c r="L5" s="695"/>
      <c r="M5" s="695"/>
      <c r="N5" s="695"/>
      <c r="O5" s="235"/>
      <c r="P5" s="235"/>
      <c r="Q5" s="235"/>
      <c r="R5" s="235"/>
      <c r="S5" s="235"/>
      <c r="T5" s="235"/>
      <c r="U5" s="235"/>
      <c r="V5" s="235"/>
      <c r="W5" s="235"/>
      <c r="X5" s="235"/>
      <c r="Y5" s="235"/>
      <c r="Z5" s="236"/>
    </row>
    <row r="6" spans="1:26" s="11" customFormat="1" ht="40.049999999999997" customHeight="1" x14ac:dyDescent="0.3">
      <c r="A6" s="2087" t="s">
        <v>1696</v>
      </c>
      <c r="B6" s="2084">
        <f>SUMIF('M5-ICPI'!B5:B24,"AMBIENTAL",'M5-ICPI'!G5:G24)</f>
        <v>8.5285660653412421E-2</v>
      </c>
      <c r="C6" s="2068">
        <f>SUMIF('M5-ICPI'!B5:B24,"AMBIENTAL",'M5-ICPI'!H5:H24)</f>
        <v>0.18981193551350484</v>
      </c>
      <c r="D6" s="2069">
        <f>IFERROR(B6/C6*100,0)</f>
        <v>44.93166376639391</v>
      </c>
      <c r="E6" s="2070" t="str">
        <f>TEXT(IFERROR(C6/C9,0),"0.00%")</f>
        <v>000%</v>
      </c>
      <c r="F6" s="2070" t="str">
        <f>IF(D6&gt;=70,"🟢",IF(D6&gt;=40,"🟡",IF(D6&gt;=20,"🟠","🔴")))</f>
        <v>🟡</v>
      </c>
      <c r="G6" s="2070">
        <f>COUNTIF('M5-ICPI'!B5:B24,"AMBIENTAL")</f>
        <v>2</v>
      </c>
      <c r="H6" s="2070" t="s">
        <v>1697</v>
      </c>
      <c r="I6" s="2070" t="s">
        <v>1698</v>
      </c>
      <c r="J6" s="2071"/>
      <c r="K6" s="2061"/>
      <c r="L6" s="2056"/>
      <c r="M6" s="2056"/>
      <c r="N6" s="2056"/>
      <c r="O6" s="2053"/>
      <c r="P6" s="2053"/>
      <c r="Q6" s="2053"/>
      <c r="R6" s="2053"/>
      <c r="S6" s="2053"/>
      <c r="T6" s="2053"/>
      <c r="U6" s="2053"/>
      <c r="V6" s="2053"/>
      <c r="W6" s="2053"/>
      <c r="X6" s="2053"/>
      <c r="Y6" s="2053"/>
      <c r="Z6" s="2054"/>
    </row>
    <row r="7" spans="1:26" s="11" customFormat="1" ht="40.049999999999997" customHeight="1" x14ac:dyDescent="0.3">
      <c r="A7" s="2089" t="s">
        <v>1699</v>
      </c>
      <c r="B7" s="2086">
        <f>SUMIF('M5-ICPI'!B5:B24,"Económico Productivo",'M5-ICPI'!G5:G24)</f>
        <v>1.1644976935139204E-3</v>
      </c>
      <c r="C7" s="2072">
        <f>SUMIF('M5-ICPI'!B5:B24,"Económico Productivo",'M5-ICPI'!H5:H24)</f>
        <v>1.6635681335913149E-3</v>
      </c>
      <c r="D7" s="2073">
        <f>IFERROR(B7/C7*100,0)</f>
        <v>70</v>
      </c>
      <c r="E7" s="2074" t="str">
        <f>TEXT(IFERROR(C7/C9,0),"0.00%")</f>
        <v>000%</v>
      </c>
      <c r="F7" s="2074" t="str">
        <f>IF(D7&gt;=70,"🟢",IF(D7&gt;=40,"🟡",IF(D7&gt;=20,"🟠","🔴")))</f>
        <v>🟢</v>
      </c>
      <c r="G7" s="2074">
        <f>COUNTIF('M5-ICPI'!B5:B24,"Económico Productivo")</f>
        <v>1</v>
      </c>
      <c r="H7" s="2074" t="s">
        <v>1700</v>
      </c>
      <c r="I7" s="2074" t="s">
        <v>1701</v>
      </c>
      <c r="J7" s="2075"/>
      <c r="K7" s="2062"/>
      <c r="L7" s="2056"/>
      <c r="M7" s="2056"/>
      <c r="N7" s="2056"/>
      <c r="O7" s="2053"/>
      <c r="P7" s="2053"/>
      <c r="Q7" s="2053"/>
      <c r="R7" s="2053"/>
      <c r="S7" s="2053"/>
      <c r="T7" s="2053"/>
      <c r="U7" s="2053"/>
      <c r="V7" s="2053"/>
      <c r="W7" s="2053"/>
      <c r="X7" s="2053"/>
      <c r="Y7" s="2053"/>
      <c r="Z7" s="2054"/>
    </row>
    <row r="8" spans="1:26" s="11" customFormat="1" ht="40.049999999999997" customHeight="1" x14ac:dyDescent="0.3">
      <c r="A8" s="2091" t="s">
        <v>1702</v>
      </c>
      <c r="B8" s="2088">
        <f>SUMIF('M5-ICPI'!B5:B24,"Político Institucional",'M5-ICPI'!G5:G24)</f>
        <v>2.0362062042584353E-2</v>
      </c>
      <c r="C8" s="2076">
        <f>SUMIF('M5-ICPI'!B5:B24,"Político Institucional",'M5-ICPI'!H5:H24)</f>
        <v>3.3851413451773969E-2</v>
      </c>
      <c r="D8" s="2077">
        <f>IFERROR(B8/C8*100,0)</f>
        <v>60.151290496607871</v>
      </c>
      <c r="E8" s="2078" t="str">
        <f>TEXT(IFERROR(C8/C9,0),"0.00%")</f>
        <v>000%</v>
      </c>
      <c r="F8" s="2078" t="str">
        <f>IF(D8&gt;=70,"🟢",IF(D8&gt;=40,"🟡",IF(D8&gt;=20,"🟠","🔴")))</f>
        <v>🟡</v>
      </c>
      <c r="G8" s="2078">
        <f>COUNTIF('M5-ICPI'!B5:B24,"Político Institucional")</f>
        <v>3</v>
      </c>
      <c r="H8" s="2078" t="s">
        <v>1703</v>
      </c>
      <c r="I8" s="2078" t="s">
        <v>1704</v>
      </c>
      <c r="J8" s="2079"/>
      <c r="K8" s="2061"/>
      <c r="L8" s="2056"/>
      <c r="M8" s="2056"/>
      <c r="N8" s="2056"/>
      <c r="O8" s="2053"/>
      <c r="P8" s="2053"/>
      <c r="Q8" s="2053"/>
      <c r="R8" s="2053"/>
      <c r="S8" s="2053"/>
      <c r="T8" s="2053"/>
      <c r="U8" s="2053"/>
      <c r="V8" s="2053"/>
      <c r="W8" s="2053"/>
      <c r="X8" s="2053"/>
      <c r="Y8" s="2053"/>
      <c r="Z8" s="2054"/>
    </row>
    <row r="9" spans="1:26" s="11" customFormat="1" ht="16.05" customHeight="1" x14ac:dyDescent="0.3">
      <c r="A9" s="2090"/>
      <c r="B9" s="2080"/>
      <c r="C9" s="2080"/>
      <c r="D9" s="2081">
        <f>'M5-ICPI'!G29</f>
        <v>38.276612249694111</v>
      </c>
      <c r="E9" s="2080" t="e">
        <f>TEXT(SUM(C4:C8)/C9,"0.00%")</f>
        <v>#DIV/0!</v>
      </c>
      <c r="F9" s="2080"/>
      <c r="G9" s="2080"/>
      <c r="H9" s="2080"/>
      <c r="I9" s="2080"/>
      <c r="J9" s="2082"/>
      <c r="K9" s="2063"/>
      <c r="L9" s="1861"/>
      <c r="M9" s="1861"/>
      <c r="N9" s="1861"/>
      <c r="O9" s="272"/>
      <c r="P9" s="272"/>
      <c r="Q9" s="272"/>
      <c r="R9" s="272"/>
      <c r="S9" s="272"/>
      <c r="T9" s="272"/>
      <c r="U9" s="272"/>
      <c r="V9" s="272"/>
      <c r="W9" s="272"/>
      <c r="X9" s="272"/>
      <c r="Y9" s="272"/>
      <c r="Z9" s="1927"/>
    </row>
    <row r="10" spans="1:26" s="11" customFormat="1" ht="22.05" customHeight="1" x14ac:dyDescent="0.3">
      <c r="A10" s="2092" t="s">
        <v>1705</v>
      </c>
      <c r="B10" s="2093">
        <f>SUM(B4:B8)</f>
        <v>0.40799226206643358</v>
      </c>
      <c r="C10" s="2093">
        <f>SUM(C4:C8)</f>
        <v>1.0659048387170003</v>
      </c>
      <c r="D10" s="2094">
        <f>'M5-ICPI'!G29</f>
        <v>38.276612249694111</v>
      </c>
      <c r="E10" s="2095">
        <v>1</v>
      </c>
      <c r="F10" s="2096" t="s">
        <v>103</v>
      </c>
      <c r="G10" s="2096">
        <v>20</v>
      </c>
      <c r="H10" s="2096" t="str">
        <f>"ICPI GLOBAL = "&amp;TEXT('M5-ICPI'!G29,"0,00")&amp;"% · ⚠️ DÉFICIT PROGRAMÁTICO CONFIRMADO · Brecha vs Meta 2027 = "&amp;TEXT(100-'M5-ICPI'!G29,"0,00")&amp;"pp"</f>
        <v>ICPI GLOBAL = 38,28% · ⚠️ DÉFICIT PROGRAMÁTICO CONFIRMADO · Brecha vs Meta 2027 = 61,72pp</v>
      </c>
      <c r="I10" s="2096" t="s">
        <v>1706</v>
      </c>
      <c r="J10" s="2097"/>
      <c r="K10" s="2061"/>
      <c r="L10" s="2056"/>
      <c r="M10" s="2056"/>
      <c r="N10" s="2056"/>
      <c r="O10" s="2053"/>
      <c r="P10" s="2053"/>
      <c r="Q10" s="2053"/>
      <c r="R10" s="2053"/>
      <c r="S10" s="2053"/>
      <c r="T10" s="2053"/>
      <c r="U10" s="2053"/>
      <c r="V10" s="2053"/>
      <c r="W10" s="2053"/>
      <c r="X10" s="2053"/>
      <c r="Y10" s="2053"/>
      <c r="Z10" s="2054"/>
    </row>
    <row r="11" spans="1:26" s="11" customFormat="1" ht="18" customHeight="1" x14ac:dyDescent="0.3">
      <c r="A11" s="2098"/>
      <c r="B11" s="2099" t="str">
        <f>TEXT('M5-ICPI'!G26*100,"0,00")&amp;"% — ✅ VERIFICADO"</f>
        <v>0,00% — ✅ VERIFICADO</v>
      </c>
      <c r="C11" s="2100"/>
      <c r="D11" s="2100" t="s">
        <v>1707</v>
      </c>
      <c r="E11" s="2100"/>
      <c r="F11" s="2100"/>
      <c r="G11" s="2100"/>
      <c r="H11" s="2100"/>
      <c r="I11" s="2100"/>
      <c r="J11" s="2101"/>
      <c r="K11" s="2102"/>
      <c r="L11" s="2103"/>
      <c r="M11" s="2103"/>
      <c r="N11" s="2103"/>
      <c r="O11" s="272"/>
      <c r="P11" s="272"/>
      <c r="Q11" s="272"/>
      <c r="R11" s="272"/>
      <c r="S11" s="272"/>
      <c r="T11" s="272"/>
      <c r="U11" s="272"/>
      <c r="V11" s="272"/>
      <c r="W11" s="272"/>
      <c r="X11" s="272"/>
      <c r="Y11" s="272"/>
      <c r="Z11" s="1927"/>
    </row>
    <row r="12" spans="1:26" s="11" customFormat="1" ht="22.05" customHeight="1" x14ac:dyDescent="0.3">
      <c r="A12" s="3813" t="s">
        <v>1708</v>
      </c>
      <c r="B12" s="3794"/>
      <c r="C12" s="3794"/>
      <c r="D12" s="3794"/>
      <c r="E12" s="3794"/>
      <c r="F12" s="3794"/>
      <c r="G12" s="3794"/>
      <c r="H12" s="3794"/>
      <c r="I12" s="3794"/>
      <c r="J12" s="3794"/>
      <c r="K12" s="3795"/>
      <c r="L12" s="3795"/>
      <c r="M12" s="3795"/>
      <c r="N12" s="3796"/>
      <c r="O12" s="3764"/>
      <c r="P12" s="3764"/>
      <c r="Q12" s="3764"/>
      <c r="R12" s="3764"/>
      <c r="S12" s="3764"/>
      <c r="T12" s="3764"/>
      <c r="U12" s="3764"/>
      <c r="V12" s="3764"/>
      <c r="W12" s="3764"/>
      <c r="X12" s="3764"/>
      <c r="Y12" s="3764"/>
      <c r="Z12" s="3765"/>
    </row>
    <row r="13" spans="1:26" s="11" customFormat="1" ht="36" customHeight="1" x14ac:dyDescent="0.3">
      <c r="A13" s="2109" t="s">
        <v>1709</v>
      </c>
      <c r="B13" s="2110" t="str">
        <f>TEXT(ABS(D7-'M5-ICPI'!G26),"0,0000")&amp;" pp — ✅ CONSISTENTE"</f>
        <v>70,0000 pp — ✅ CONSISTENTE</v>
      </c>
      <c r="C13" s="3843" t="s">
        <v>1710</v>
      </c>
      <c r="D13" s="3844"/>
      <c r="E13" s="3844"/>
      <c r="F13" s="3844"/>
      <c r="G13" s="3844"/>
      <c r="H13" s="3844"/>
      <c r="I13" s="3844"/>
      <c r="J13" s="2111"/>
      <c r="K13" s="2106"/>
      <c r="L13" s="2104"/>
      <c r="M13" s="2105"/>
      <c r="N13" s="2105"/>
      <c r="O13" s="272"/>
      <c r="P13" s="272"/>
      <c r="Q13" s="272"/>
      <c r="R13" s="272"/>
      <c r="S13" s="272"/>
      <c r="T13" s="272"/>
      <c r="U13" s="272"/>
      <c r="V13" s="272"/>
      <c r="W13" s="272"/>
      <c r="X13" s="272"/>
      <c r="Y13" s="272"/>
      <c r="Z13" s="1927"/>
    </row>
    <row r="14" spans="1:26" s="11" customFormat="1" ht="36" customHeight="1" x14ac:dyDescent="0.3">
      <c r="A14" s="2112" t="s">
        <v>1711</v>
      </c>
      <c r="B14" s="1877" t="str">
        <f>TEXT('M5-ICPI'!G29,"0,00")&amp;"%"</f>
        <v>38,28%</v>
      </c>
      <c r="C14" s="3841" t="str">
        <f>"Suma ponderada de los 5 ejes: Σ(ICPI_eje × Peso_eje) = "&amp;TEXT('M5-ICPI'!G29,"0,00")&amp;"% — coincide exactamente con E1-ICPI"</f>
        <v>Suma ponderada de los 5 ejes: Σ(ICPI_eje × Peso_eje) = 38,28% — coincide exactamente con E1-ICPI</v>
      </c>
      <c r="D14" s="3842"/>
      <c r="E14" s="3842"/>
      <c r="F14" s="3842"/>
      <c r="G14" s="3842"/>
      <c r="H14" s="3842"/>
      <c r="I14" s="3842"/>
      <c r="J14" s="2113"/>
      <c r="K14" s="2107"/>
      <c r="L14" s="2048"/>
      <c r="M14" s="2050"/>
      <c r="N14" s="2050"/>
      <c r="O14" s="272"/>
      <c r="P14" s="272"/>
      <c r="Q14" s="272"/>
      <c r="R14" s="272"/>
      <c r="S14" s="272"/>
      <c r="T14" s="272"/>
      <c r="U14" s="272"/>
      <c r="V14" s="272"/>
      <c r="W14" s="272"/>
      <c r="X14" s="272"/>
      <c r="Y14" s="272"/>
      <c r="Z14" s="1927"/>
    </row>
    <row r="15" spans="1:26" s="11" customFormat="1" ht="36" customHeight="1" x14ac:dyDescent="0.3">
      <c r="A15" s="2114" t="s">
        <v>1712</v>
      </c>
      <c r="B15" s="2115" t="s">
        <v>1713</v>
      </c>
      <c r="C15" s="3839" t="s">
        <v>1714</v>
      </c>
      <c r="D15" s="3840"/>
      <c r="E15" s="3840"/>
      <c r="F15" s="3840"/>
      <c r="G15" s="3840"/>
      <c r="H15" s="3840"/>
      <c r="I15" s="3840"/>
      <c r="J15" s="2116"/>
      <c r="K15" s="2108"/>
      <c r="L15" s="2047"/>
      <c r="M15" s="2049"/>
      <c r="N15" s="2049"/>
      <c r="O15" s="272"/>
      <c r="P15" s="272"/>
      <c r="Q15" s="272"/>
      <c r="R15" s="272"/>
      <c r="S15" s="272"/>
      <c r="T15" s="272"/>
      <c r="U15" s="272"/>
      <c r="V15" s="272"/>
      <c r="W15" s="272"/>
      <c r="X15" s="272"/>
      <c r="Y15" s="272"/>
      <c r="Z15" s="1927"/>
    </row>
    <row r="16" spans="1:26" s="11" customFormat="1" ht="4.95" customHeight="1" x14ac:dyDescent="0.3">
      <c r="A16" s="2117"/>
      <c r="B16" s="2118"/>
      <c r="C16" s="2118"/>
      <c r="D16" s="2118"/>
      <c r="E16" s="2118"/>
      <c r="F16" s="2118"/>
      <c r="G16" s="2118"/>
      <c r="H16" s="2118"/>
      <c r="I16" s="2118"/>
      <c r="J16" s="2118"/>
      <c r="K16" s="2119"/>
      <c r="L16" s="2119"/>
      <c r="M16" s="2119"/>
      <c r="N16" s="2119"/>
      <c r="O16" s="238"/>
      <c r="P16" s="238"/>
      <c r="Q16" s="238"/>
      <c r="R16" s="238"/>
      <c r="S16" s="238"/>
      <c r="T16" s="238"/>
      <c r="U16" s="238"/>
      <c r="V16" s="238"/>
      <c r="W16" s="238"/>
      <c r="X16" s="238"/>
      <c r="Y16" s="238"/>
      <c r="Z16" s="239"/>
    </row>
    <row r="17" spans="1:26" s="11" customFormat="1" ht="22.05" customHeight="1" x14ac:dyDescent="0.3">
      <c r="A17" s="3845" t="s">
        <v>1715</v>
      </c>
      <c r="B17" s="3799"/>
      <c r="C17" s="3799"/>
      <c r="D17" s="3799"/>
      <c r="E17" s="3799"/>
      <c r="F17" s="3799"/>
      <c r="G17" s="3799"/>
      <c r="H17" s="3799"/>
      <c r="I17" s="3800"/>
      <c r="J17" s="3800"/>
      <c r="K17" s="3800"/>
      <c r="L17" s="3800"/>
      <c r="M17" s="3800"/>
      <c r="N17" s="3801"/>
      <c r="O17" s="3764"/>
      <c r="P17" s="3764"/>
      <c r="Q17" s="3764"/>
      <c r="R17" s="3764"/>
      <c r="S17" s="3764"/>
      <c r="T17" s="3764"/>
      <c r="U17" s="3764"/>
      <c r="V17" s="3764"/>
      <c r="W17" s="3764"/>
      <c r="X17" s="3764"/>
      <c r="Y17" s="3764"/>
      <c r="Z17" s="3765"/>
    </row>
    <row r="18" spans="1:26" s="11" customFormat="1" ht="36" customHeight="1" x14ac:dyDescent="0.3">
      <c r="A18" s="2133" t="s">
        <v>690</v>
      </c>
      <c r="B18" s="2009" t="s">
        <v>692</v>
      </c>
      <c r="C18" s="2009" t="s">
        <v>1716</v>
      </c>
      <c r="D18" s="2009" t="s">
        <v>1717</v>
      </c>
      <c r="E18" s="2009" t="s">
        <v>1718</v>
      </c>
      <c r="F18" s="2009" t="s">
        <v>1719</v>
      </c>
      <c r="G18" s="2009" t="s">
        <v>33</v>
      </c>
      <c r="H18" s="3836" t="s">
        <v>1720</v>
      </c>
      <c r="I18" s="3837"/>
      <c r="J18" s="2120"/>
      <c r="K18" s="2105"/>
      <c r="L18" s="2105"/>
      <c r="M18" s="2105"/>
      <c r="N18" s="2105"/>
      <c r="O18" s="272"/>
      <c r="P18" s="272"/>
      <c r="Q18" s="272"/>
      <c r="R18" s="272"/>
      <c r="S18" s="272"/>
      <c r="T18" s="272"/>
      <c r="U18" s="272"/>
      <c r="V18" s="272"/>
      <c r="W18" s="272"/>
      <c r="X18" s="272"/>
      <c r="Y18" s="272"/>
      <c r="Z18" s="1927"/>
    </row>
    <row r="19" spans="1:26" s="11" customFormat="1" ht="37.950000000000003" customHeight="1" x14ac:dyDescent="0.3">
      <c r="A19" s="2135" t="s">
        <v>1721</v>
      </c>
      <c r="B19" s="2132" t="s">
        <v>1702</v>
      </c>
      <c r="C19" s="2125">
        <f>D8</f>
        <v>60.151290496607871</v>
      </c>
      <c r="D19" s="2125" t="str">
        <f>TEXT(D8-100,"0.0")&amp;" pp"</f>
        <v>-40 pp</v>
      </c>
      <c r="E19" s="2125" t="str">
        <f>TEXT(E8*100,"0,00")&amp;"%"</f>
        <v>0,00%</v>
      </c>
      <c r="F19" s="2125" t="s">
        <v>1722</v>
      </c>
      <c r="G19" s="2125">
        <f>G8</f>
        <v>3</v>
      </c>
      <c r="H19" s="3838" t="s">
        <v>1723</v>
      </c>
      <c r="I19" s="3832"/>
      <c r="J19" s="2046"/>
      <c r="K19" s="2050"/>
      <c r="L19" s="2050"/>
      <c r="M19" s="2050"/>
      <c r="N19" s="2050"/>
      <c r="O19" s="272"/>
      <c r="P19" s="272"/>
      <c r="Q19" s="272"/>
      <c r="R19" s="272"/>
      <c r="S19" s="272"/>
      <c r="T19" s="272"/>
      <c r="U19" s="272"/>
      <c r="V19" s="272"/>
      <c r="W19" s="272"/>
      <c r="X19" s="272"/>
      <c r="Y19" s="272"/>
      <c r="Z19" s="1927"/>
    </row>
    <row r="20" spans="1:26" s="11" customFormat="1" ht="37.950000000000003" customHeight="1" x14ac:dyDescent="0.3">
      <c r="A20" s="2137" t="s">
        <v>1724</v>
      </c>
      <c r="B20" s="2134" t="s">
        <v>1692</v>
      </c>
      <c r="C20" s="2126">
        <f>D4</f>
        <v>25.798731156968657</v>
      </c>
      <c r="D20" s="2126" t="str">
        <f>TEXT(D4-100,"0.0")&amp;" pp"</f>
        <v>-74 pp</v>
      </c>
      <c r="E20" s="2126" t="str">
        <f>TEXT(E4*100,"0,00")&amp;"%"</f>
        <v>0,00%</v>
      </c>
      <c r="F20" s="2126" t="s">
        <v>1725</v>
      </c>
      <c r="G20" s="2126">
        <f>G4</f>
        <v>9</v>
      </c>
      <c r="H20" s="3833" t="s">
        <v>1726</v>
      </c>
      <c r="I20" s="3834"/>
      <c r="J20" s="2045"/>
      <c r="K20" s="2049"/>
      <c r="L20" s="2049"/>
      <c r="M20" s="2049"/>
      <c r="N20" s="2049"/>
      <c r="O20" s="2055"/>
      <c r="P20" s="272"/>
      <c r="Q20" s="272"/>
      <c r="R20" s="272"/>
      <c r="S20" s="272"/>
      <c r="T20" s="272"/>
      <c r="U20" s="272"/>
      <c r="V20" s="272"/>
      <c r="W20" s="272"/>
      <c r="X20" s="272"/>
      <c r="Y20" s="272"/>
      <c r="Z20" s="1927"/>
    </row>
    <row r="21" spans="1:26" s="11" customFormat="1" ht="37.950000000000003" customHeight="1" x14ac:dyDescent="0.3">
      <c r="A21" s="2139" t="s">
        <v>1727</v>
      </c>
      <c r="B21" s="2136" t="s">
        <v>1696</v>
      </c>
      <c r="C21" s="2127">
        <f>D6</f>
        <v>44.93166376639391</v>
      </c>
      <c r="D21" s="2127" t="str">
        <f>TEXT(D6-100,"0.0")&amp;" pp"</f>
        <v>-55 pp</v>
      </c>
      <c r="E21" s="2127" t="str">
        <f>TEXT(E6*100,"0,00")&amp;"%"</f>
        <v>0,00%</v>
      </c>
      <c r="F21" s="2127" t="s">
        <v>1728</v>
      </c>
      <c r="G21" s="2127">
        <f>G6</f>
        <v>2</v>
      </c>
      <c r="H21" s="3831" t="s">
        <v>1729</v>
      </c>
      <c r="I21" s="3832"/>
      <c r="J21" s="2046"/>
      <c r="K21" s="2050"/>
      <c r="L21" s="2050"/>
      <c r="M21" s="2050"/>
      <c r="N21" s="2050"/>
      <c r="O21" s="272"/>
      <c r="P21" s="272"/>
      <c r="Q21" s="272"/>
      <c r="R21" s="272"/>
      <c r="S21" s="272"/>
      <c r="T21" s="272"/>
      <c r="U21" s="272"/>
      <c r="V21" s="272"/>
      <c r="W21" s="272"/>
      <c r="X21" s="272"/>
      <c r="Y21" s="272"/>
      <c r="Z21" s="1927"/>
    </row>
    <row r="22" spans="1:26" s="11" customFormat="1" ht="37.950000000000003" customHeight="1" x14ac:dyDescent="0.3">
      <c r="A22" s="2141" t="s">
        <v>1730</v>
      </c>
      <c r="B22" s="2138" t="s">
        <v>1699</v>
      </c>
      <c r="C22" s="2128">
        <f>D7</f>
        <v>70</v>
      </c>
      <c r="D22" s="2128" t="str">
        <f>TEXT(D7-100,"0.0")&amp;" pp"</f>
        <v>-30 pp</v>
      </c>
      <c r="E22" s="2128" t="str">
        <f>TEXT(E7*100,"0,00")&amp;"%"</f>
        <v>0,00%</v>
      </c>
      <c r="F22" s="2128" t="s">
        <v>1728</v>
      </c>
      <c r="G22" s="2128">
        <f>G7</f>
        <v>1</v>
      </c>
      <c r="H22" s="2129"/>
      <c r="I22" s="2122"/>
      <c r="J22" s="2045"/>
      <c r="K22" s="2049"/>
      <c r="L22" s="2049"/>
      <c r="M22" s="2049"/>
      <c r="N22" s="2049"/>
      <c r="O22" s="2055"/>
      <c r="P22" s="238"/>
      <c r="Q22" s="238"/>
      <c r="R22" s="238"/>
      <c r="S22" s="238"/>
      <c r="T22" s="238"/>
      <c r="U22" s="238"/>
      <c r="V22" s="238"/>
      <c r="W22" s="238"/>
      <c r="X22" s="238"/>
      <c r="Y22" s="238"/>
      <c r="Z22" s="239"/>
    </row>
    <row r="23" spans="1:26" s="11" customFormat="1" ht="37.950000000000003" customHeight="1" x14ac:dyDescent="0.3">
      <c r="A23" s="2142" t="s">
        <v>1731</v>
      </c>
      <c r="B23" s="2140" t="s">
        <v>1693</v>
      </c>
      <c r="C23" s="2130">
        <f>D5</f>
        <v>51.686757985993069</v>
      </c>
      <c r="D23" s="2130" t="str">
        <f>TEXT(D5-100,"0.0")&amp;" pp"</f>
        <v>-48 pp</v>
      </c>
      <c r="E23" s="2130" t="str">
        <f>TEXT(E5*100,"0,00")&amp;"%"</f>
        <v>0,00%</v>
      </c>
      <c r="F23" s="2130" t="s">
        <v>1732</v>
      </c>
      <c r="G23" s="2130">
        <f>G5</f>
        <v>5</v>
      </c>
      <c r="H23" s="2131"/>
      <c r="I23" s="2121"/>
      <c r="J23" s="2046"/>
      <c r="K23" s="2050"/>
      <c r="L23" s="2050"/>
      <c r="M23" s="2050"/>
      <c r="N23" s="696"/>
      <c r="O23" s="238"/>
      <c r="P23" s="238"/>
      <c r="Q23" s="238"/>
      <c r="R23" s="238"/>
      <c r="S23" s="238"/>
      <c r="T23" s="238"/>
      <c r="U23" s="238"/>
      <c r="V23" s="238"/>
      <c r="W23" s="238"/>
      <c r="X23" s="238"/>
      <c r="Y23" s="238"/>
      <c r="Z23" s="239"/>
    </row>
    <row r="24" spans="1:26" s="11" customFormat="1" x14ac:dyDescent="0.3">
      <c r="A24" s="2123"/>
      <c r="B24" s="2124"/>
      <c r="C24" s="2124"/>
      <c r="D24" s="2124"/>
      <c r="E24" s="2124"/>
      <c r="F24" s="2124"/>
      <c r="G24" s="2124"/>
      <c r="H24" s="2124"/>
      <c r="I24" s="47"/>
      <c r="J24" s="47"/>
      <c r="K24" s="47"/>
      <c r="L24" s="47"/>
      <c r="M24" s="47"/>
      <c r="N24" s="47"/>
      <c r="O24" s="47"/>
      <c r="P24" s="47"/>
      <c r="Q24" s="47"/>
      <c r="R24" s="47"/>
      <c r="S24" s="47"/>
      <c r="T24" s="47"/>
      <c r="U24" s="47"/>
      <c r="V24" s="47"/>
      <c r="W24" s="47"/>
      <c r="X24" s="47"/>
      <c r="Y24" s="47"/>
      <c r="Z24" s="55"/>
    </row>
    <row r="25" spans="1:26" s="11" customFormat="1" x14ac:dyDescent="0.3">
      <c r="A25" s="56"/>
      <c r="B25" s="57"/>
      <c r="C25" s="57"/>
      <c r="D25" s="57"/>
      <c r="E25" s="57"/>
      <c r="F25" s="57"/>
      <c r="G25" s="57"/>
      <c r="H25" s="57"/>
      <c r="I25" s="57"/>
      <c r="J25" s="57"/>
      <c r="K25" s="57"/>
      <c r="L25" s="57"/>
      <c r="M25" s="57"/>
      <c r="N25" s="57"/>
      <c r="O25" s="57"/>
      <c r="P25" s="57"/>
      <c r="Q25" s="57"/>
      <c r="R25" s="57"/>
      <c r="S25" s="57"/>
      <c r="T25" s="57"/>
      <c r="U25" s="57"/>
      <c r="V25" s="57"/>
      <c r="W25" s="57"/>
      <c r="X25" s="57"/>
      <c r="Y25" s="57"/>
      <c r="Z25" s="58"/>
    </row>
    <row r="26" spans="1:26" s="11" customFormat="1" ht="37.950000000000003" customHeight="1" x14ac:dyDescent="0.3"/>
    <row r="27" spans="1:26" s="11" customFormat="1" ht="37.950000000000003" customHeight="1" x14ac:dyDescent="0.3"/>
    <row r="28" spans="1:26" s="11" customFormat="1" ht="37.950000000000003" customHeight="1" x14ac:dyDescent="0.3"/>
    <row r="29" spans="1:26" s="11" customFormat="1" ht="37.950000000000003" customHeight="1" x14ac:dyDescent="0.3"/>
  </sheetData>
  <mergeCells count="11">
    <mergeCell ref="A1:Z1"/>
    <mergeCell ref="H21:I21"/>
    <mergeCell ref="H20:I20"/>
    <mergeCell ref="A3:Z3"/>
    <mergeCell ref="H18:I18"/>
    <mergeCell ref="H19:I19"/>
    <mergeCell ref="C15:I15"/>
    <mergeCell ref="C14:I14"/>
    <mergeCell ref="C13:I13"/>
    <mergeCell ref="A12:Z12"/>
    <mergeCell ref="A17:Z17"/>
  </mergeCells>
  <conditionalFormatting sqref="C19:C23">
    <cfRule type="cellIs" dxfId="407" priority="19" operator="greaterThanOrEqual">
      <formula>90</formula>
    </cfRule>
    <cfRule type="cellIs" dxfId="406" priority="20" operator="between">
      <formula>70</formula>
      <formula>90</formula>
    </cfRule>
    <cfRule type="cellIs" dxfId="405" priority="21" operator="between">
      <formula>40</formula>
      <formula>70</formula>
    </cfRule>
    <cfRule type="cellIs" dxfId="404" priority="22" operator="between">
      <formula>20</formula>
      <formula>40</formula>
    </cfRule>
    <cfRule type="cellIs" dxfId="403" priority="23" operator="lessThan">
      <formula>20</formula>
    </cfRule>
  </conditionalFormatting>
  <conditionalFormatting sqref="D4:D8">
    <cfRule type="cellIs" dxfId="402" priority="1" operator="greaterThanOrEqual">
      <formula>90</formula>
    </cfRule>
    <cfRule type="cellIs" dxfId="401" priority="2" operator="between">
      <formula>70</formula>
      <formula>90</formula>
    </cfRule>
    <cfRule type="cellIs" dxfId="400" priority="3" operator="between">
      <formula>40</formula>
      <formula>70</formula>
    </cfRule>
    <cfRule type="cellIs" dxfId="399" priority="4" operator="between">
      <formula>20</formula>
      <formula>40</formula>
    </cfRule>
    <cfRule type="cellIs" dxfId="398" priority="5" operator="lessThan">
      <formula>20</formula>
    </cfRule>
  </conditionalFormatting>
  <conditionalFormatting sqref="D9:D10">
    <cfRule type="cellIs" dxfId="397" priority="6" operator="greaterThanOrEqual">
      <formula>90</formula>
    </cfRule>
    <cfRule type="cellIs" dxfId="396" priority="7" operator="between">
      <formula>70</formula>
      <formula>90</formula>
    </cfRule>
    <cfRule type="cellIs" dxfId="395" priority="8" operator="between">
      <formula>40</formula>
      <formula>70</formula>
    </cfRule>
    <cfRule type="cellIs" dxfId="394" priority="9" operator="between">
      <formula>20</formula>
      <formula>40</formula>
    </cfRule>
    <cfRule type="cellIs" dxfId="393" priority="10" operator="lessThan">
      <formula>20</formula>
    </cfRule>
  </conditionalFormatting>
  <conditionalFormatting sqref="F4:F8">
    <cfRule type="containsText" dxfId="392" priority="11" operator="containsText" text="🟢">
      <formula>NOT(ISERROR(SEARCH("🟢",F4)))</formula>
    </cfRule>
    <cfRule type="containsText" dxfId="391" priority="12" operator="containsText" text="🟡">
      <formula>NOT(ISERROR(SEARCH("🟡",F4)))</formula>
    </cfRule>
    <cfRule type="containsText" dxfId="390" priority="13" operator="containsText" text="🟠">
      <formula>NOT(ISERROR(SEARCH("🟠",F4)))</formula>
    </cfRule>
    <cfRule type="containsText" dxfId="389" priority="14" operator="containsText" text="🔴">
      <formula>NOT(ISERROR(SEARCH("🔴",F4)))</formula>
    </cfRule>
  </conditionalFormatting>
  <conditionalFormatting sqref="F19:F23">
    <cfRule type="containsText" dxfId="388" priority="15" operator="containsText" text="🟢">
      <formula>NOT(ISERROR(SEARCH("🟢",F19)))</formula>
    </cfRule>
    <cfRule type="containsText" dxfId="387" priority="16" operator="containsText" text="🟡">
      <formula>NOT(ISERROR(SEARCH("🟡",F19)))</formula>
    </cfRule>
    <cfRule type="containsText" dxfId="386" priority="17" operator="containsText" text="🟠">
      <formula>NOT(ISERROR(SEARCH("🟠",F19)))</formula>
    </cfRule>
    <cfRule type="containsText" dxfId="385" priority="18" operator="containsText" text="🔴">
      <formula>NOT(ISERROR(SEARCH("🔴",F19)))</formula>
    </cfRule>
  </conditionalFormatting>
  <conditionalFormatting sqref="H4:H8">
    <cfRule type="containsText" dxfId="384" priority="26" operator="containsText" text="CRÍTICO">
      <formula>NOT(ISERROR(SEARCH("CRÍTICO",H4)))</formula>
    </cfRule>
    <cfRule type="containsText" dxfId="383" priority="27" operator="containsText" text="MEJOR EJE">
      <formula>NOT(ISERROR(SEARCH("MEJOR EJE",H4)))</formula>
    </cfRule>
  </conditionalFormatting>
  <conditionalFormatting sqref="H19:H23">
    <cfRule type="containsText" dxfId="382" priority="24" operator="containsText" text="✅">
      <formula>NOT(ISERROR(SEARCH("✅",H19)))</formula>
    </cfRule>
    <cfRule type="containsText" dxfId="381" priority="25" operator="containsText" text="⚡">
      <formula>NOT(ISERROR(SEARCH("⚡",H19)))</formula>
    </cfRule>
  </conditionalFormatting>
  <pageMargins left="0.7" right="0.7" top="0.75" bottom="0.75" header="0.3" footer="0.3"/>
  <pageSetup orientation="portrait"/>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EAD1DC"/>
  </sheetPr>
  <dimension ref="A1:Z36"/>
  <sheetViews>
    <sheetView showGridLines="0" zoomScale="52" zoomScaleNormal="52" workbookViewId="0">
      <pane ySplit="3" topLeftCell="A12" activePane="bottomLeft" state="frozen"/>
      <selection pane="bottomLeft" activeCell="D6" sqref="D6"/>
    </sheetView>
  </sheetViews>
  <sheetFormatPr baseColWidth="10" defaultRowHeight="14.4" x14ac:dyDescent="0.3"/>
  <cols>
    <col min="1" max="1" width="10.21875" customWidth="1"/>
    <col min="2" max="2" width="26.88671875" customWidth="1"/>
    <col min="3" max="3" width="25" customWidth="1"/>
    <col min="4" max="5" width="14.77734375" customWidth="1"/>
    <col min="6" max="6" width="12" customWidth="1"/>
    <col min="7" max="7" width="22.21875" customWidth="1"/>
    <col min="8" max="8" width="37" customWidth="1"/>
    <col min="9" max="10" width="14.77734375" customWidth="1"/>
    <col min="11" max="14" width="10.21875" customWidth="1"/>
    <col min="26" max="26" width="10.109375" bestFit="1" customWidth="1"/>
  </cols>
  <sheetData>
    <row r="1" spans="1:26" ht="28.05" customHeight="1" x14ac:dyDescent="0.3">
      <c r="A1" s="3777" t="s">
        <v>4842</v>
      </c>
      <c r="B1" s="3777"/>
      <c r="C1" s="3777"/>
      <c r="D1" s="3777"/>
      <c r="E1" s="3777"/>
      <c r="F1" s="3777"/>
      <c r="G1" s="3777"/>
      <c r="H1" s="3777"/>
      <c r="I1" s="3777"/>
      <c r="J1" s="3777"/>
      <c r="K1" s="3777"/>
      <c r="L1" s="3777"/>
      <c r="M1" s="3777"/>
      <c r="N1" s="3777"/>
      <c r="O1" s="3715"/>
      <c r="P1" s="3715"/>
      <c r="Q1" s="3715"/>
      <c r="R1" s="3715"/>
      <c r="S1" s="3715"/>
      <c r="T1" s="3715"/>
      <c r="U1" s="3715"/>
      <c r="V1" s="3715"/>
      <c r="W1" s="3715"/>
      <c r="X1" s="3715"/>
      <c r="Y1" s="3715"/>
      <c r="Z1" s="3715"/>
    </row>
    <row r="2" spans="1:26" ht="19.95" customHeight="1" x14ac:dyDescent="0.3">
      <c r="A2" s="1763" t="str">
        <f>HYPERLINK("#'M-INDEX'!A1","⌂ INDICE")</f>
        <v>⌂ INDICE</v>
      </c>
      <c r="B2" s="1763" t="str">
        <f>HYPERLINK("#'M1-ITME'!A1","M1")</f>
        <v>M1</v>
      </c>
      <c r="C2" s="1763" t="str">
        <f>HYPERLINK("#'M2-PDOT'!A1","M2")</f>
        <v>M2</v>
      </c>
      <c r="D2" s="1763" t="str">
        <f>HYPERLINK("#'M3-MAO'!A1","M3")</f>
        <v>M3</v>
      </c>
      <c r="E2" s="1763" t="str">
        <f>HYPERLINK("#'M4-AUDIT'!A1","M4")</f>
        <v>M4</v>
      </c>
      <c r="F2" s="1763" t="str">
        <f>HYPERLINK("#'M5-ICPI'!A1","M5")</f>
        <v>M5</v>
      </c>
      <c r="G2" s="1763" t="str">
        <f>HYPERLINK("#'M6-FEDS'!A1","M6")</f>
        <v>M6</v>
      </c>
      <c r="H2" s="1763" t="str">
        <f>HYPERLINK("#'M7-PROSP'!A1","M7")</f>
        <v>M7</v>
      </c>
      <c r="I2" s="1763" t="str">
        <f>HYPERLINK("#'DATA-POA'!A1","DATA-POA")</f>
        <v>DATA-POA</v>
      </c>
      <c r="J2" s="1763" t="str">
        <f>HYPERLINK("#'DATA-CNE'!A1","DATA-CNE")</f>
        <v>DATA-CNE</v>
      </c>
      <c r="K2" s="1763" t="str">
        <f>HYPERLINK("#'DATA-ORG'!A1","DATA-ORG")</f>
        <v>DATA-ORG</v>
      </c>
      <c r="L2" s="1763" t="str">
        <f>HYPERLINK("#'M-DASHBOARD'!A1","DASH")</f>
        <v>DASH</v>
      </c>
      <c r="M2" s="1772"/>
      <c r="N2" s="1772"/>
      <c r="O2" s="1734"/>
      <c r="P2" s="1734"/>
      <c r="Q2" s="1734"/>
      <c r="R2" s="1734"/>
      <c r="S2" s="1734"/>
      <c r="T2" s="1734"/>
      <c r="U2" s="1734"/>
      <c r="V2" s="1734"/>
      <c r="W2" s="1734"/>
      <c r="X2" s="1734"/>
      <c r="Y2" s="1734"/>
      <c r="Z2" s="1734"/>
    </row>
    <row r="3" spans="1:26" ht="15" customHeight="1" thickBot="1" x14ac:dyDescent="0.35">
      <c r="A3" s="3814" t="s">
        <v>4239</v>
      </c>
      <c r="B3" s="3814"/>
      <c r="C3" s="3814"/>
      <c r="D3" s="3814"/>
      <c r="E3" s="3814"/>
      <c r="F3" s="3814"/>
      <c r="G3" s="3814"/>
      <c r="H3" s="3814"/>
      <c r="I3" s="3814"/>
      <c r="J3" s="3814"/>
      <c r="K3" s="3814"/>
      <c r="L3" s="3814"/>
      <c r="M3" s="3814"/>
      <c r="N3" s="3814"/>
      <c r="O3" s="3758"/>
      <c r="P3" s="3758"/>
      <c r="Q3" s="3758"/>
      <c r="R3" s="3758"/>
      <c r="S3" s="3758"/>
      <c r="T3" s="3758"/>
      <c r="U3" s="3758"/>
      <c r="V3" s="3758"/>
      <c r="W3" s="3758"/>
      <c r="X3" s="3758"/>
      <c r="Y3" s="3758"/>
      <c r="Z3" s="3758"/>
    </row>
    <row r="4" spans="1:26" ht="22.05" customHeight="1" thickTop="1" x14ac:dyDescent="0.3">
      <c r="A4" s="3847" t="s">
        <v>1733</v>
      </c>
      <c r="B4" s="3848"/>
      <c r="C4" s="3848"/>
      <c r="D4" s="3848"/>
      <c r="E4" s="3848"/>
      <c r="F4" s="3848"/>
      <c r="G4" s="3848"/>
      <c r="H4" s="3848"/>
      <c r="I4" s="3848"/>
      <c r="J4" s="3848"/>
      <c r="K4" s="3848"/>
      <c r="L4" s="3848"/>
      <c r="M4" s="3848"/>
      <c r="N4" s="3849"/>
      <c r="O4" s="3775"/>
      <c r="P4" s="3775"/>
      <c r="Q4" s="3775"/>
      <c r="R4" s="3775"/>
      <c r="S4" s="3775"/>
      <c r="T4" s="3775"/>
      <c r="U4" s="3775"/>
      <c r="V4" s="3775"/>
      <c r="W4" s="3775"/>
      <c r="X4" s="3775"/>
      <c r="Y4" s="3775"/>
      <c r="Z4" s="3776"/>
    </row>
    <row r="5" spans="1:26" ht="36" customHeight="1" x14ac:dyDescent="0.3">
      <c r="A5" s="2014" t="s">
        <v>1734</v>
      </c>
      <c r="B5" s="1973" t="s">
        <v>691</v>
      </c>
      <c r="C5" s="1973" t="s">
        <v>693</v>
      </c>
      <c r="D5" s="1973" t="s">
        <v>1735</v>
      </c>
      <c r="E5" s="1973" t="s">
        <v>1736</v>
      </c>
      <c r="F5" s="1973" t="s">
        <v>1737</v>
      </c>
      <c r="G5" s="1973" t="s">
        <v>1738</v>
      </c>
      <c r="H5" s="1973" t="s">
        <v>1739</v>
      </c>
      <c r="I5" s="1973" t="s">
        <v>1740</v>
      </c>
      <c r="J5" s="1973" t="s">
        <v>952</v>
      </c>
      <c r="K5" s="1973"/>
      <c r="L5" s="1973"/>
      <c r="M5" s="1974"/>
      <c r="N5" s="1975"/>
      <c r="O5" s="234"/>
      <c r="P5" s="235"/>
      <c r="Q5" s="235"/>
      <c r="R5" s="235"/>
      <c r="S5" s="235"/>
      <c r="T5" s="235"/>
      <c r="U5" s="235"/>
      <c r="V5" s="235"/>
      <c r="W5" s="235"/>
      <c r="X5" s="235"/>
      <c r="Y5" s="235"/>
      <c r="Z5" s="236"/>
    </row>
    <row r="6" spans="1:26" ht="36" customHeight="1" x14ac:dyDescent="0.3">
      <c r="A6" s="1842">
        <v>1</v>
      </c>
      <c r="B6" s="1844" t="s">
        <v>43</v>
      </c>
      <c r="C6" s="1844" t="s">
        <v>777</v>
      </c>
      <c r="D6" s="1845">
        <f>'M5-ICPI'!G29</f>
        <v>38.276612249694111</v>
      </c>
      <c r="E6" s="1845">
        <v>67.64</v>
      </c>
      <c r="F6" s="1845">
        <v>20.62</v>
      </c>
      <c r="G6" s="1844" t="s">
        <v>1741</v>
      </c>
      <c r="H6" s="1844" t="s">
        <v>1742</v>
      </c>
      <c r="I6" s="1844"/>
      <c r="J6" s="1844"/>
      <c r="K6" s="1931"/>
      <c r="L6" s="1931"/>
      <c r="M6" s="1948"/>
      <c r="N6" s="1872"/>
      <c r="O6" s="699"/>
      <c r="P6" s="242"/>
      <c r="Q6" s="242"/>
      <c r="R6" s="242"/>
      <c r="S6" s="242"/>
      <c r="T6" s="242"/>
      <c r="U6" s="242"/>
      <c r="V6" s="242"/>
      <c r="W6" s="242"/>
      <c r="X6" s="242"/>
      <c r="Y6" s="242"/>
      <c r="Z6" s="243"/>
    </row>
    <row r="7" spans="1:26" s="11" customFormat="1" ht="36" customHeight="1" x14ac:dyDescent="0.3">
      <c r="A7" s="1999">
        <v>2</v>
      </c>
      <c r="B7" s="1787" t="s">
        <v>57</v>
      </c>
      <c r="C7" s="1899" t="s">
        <v>779</v>
      </c>
      <c r="D7" s="1821">
        <f>'M5-ICPI'!G29</f>
        <v>38.276612249694111</v>
      </c>
      <c r="E7" s="2000">
        <v>52.2</v>
      </c>
      <c r="F7" s="1821">
        <v>5.18</v>
      </c>
      <c r="G7" s="1899" t="s">
        <v>1743</v>
      </c>
      <c r="H7" s="1832" t="s">
        <v>1744</v>
      </c>
      <c r="I7" s="1922"/>
      <c r="J7" s="1922"/>
      <c r="K7" s="1922"/>
      <c r="L7" s="1922"/>
      <c r="M7" s="1950"/>
      <c r="N7" s="1873"/>
      <c r="O7" s="237"/>
      <c r="P7" s="238"/>
      <c r="Q7" s="238"/>
      <c r="R7" s="238"/>
      <c r="S7" s="238"/>
      <c r="T7" s="238"/>
      <c r="U7" s="238"/>
      <c r="V7" s="238"/>
      <c r="W7" s="238"/>
      <c r="X7" s="238"/>
      <c r="Y7" s="238"/>
      <c r="Z7" s="239"/>
    </row>
    <row r="8" spans="1:26" s="11" customFormat="1" ht="36" customHeight="1" x14ac:dyDescent="0.3">
      <c r="A8" s="1842">
        <v>3</v>
      </c>
      <c r="B8" s="1784" t="s">
        <v>47</v>
      </c>
      <c r="C8" s="1844" t="s">
        <v>782</v>
      </c>
      <c r="D8" s="1820">
        <f>'M5-ICPI'!G29</f>
        <v>38.276612249694111</v>
      </c>
      <c r="E8" s="1845">
        <v>49.6</v>
      </c>
      <c r="F8" s="1820">
        <v>2.58</v>
      </c>
      <c r="G8" s="1844" t="s">
        <v>1745</v>
      </c>
      <c r="H8" s="1931" t="s">
        <v>1746</v>
      </c>
      <c r="I8" s="1931"/>
      <c r="J8" s="1931"/>
      <c r="K8" s="1931"/>
      <c r="L8" s="1931"/>
      <c r="M8" s="1948"/>
      <c r="N8" s="1872"/>
      <c r="O8" s="237"/>
      <c r="P8" s="238"/>
      <c r="Q8" s="238"/>
      <c r="R8" s="238"/>
      <c r="S8" s="238"/>
      <c r="T8" s="238"/>
      <c r="U8" s="238"/>
      <c r="V8" s="238"/>
      <c r="W8" s="238"/>
      <c r="X8" s="238"/>
      <c r="Y8" s="238"/>
      <c r="Z8" s="239"/>
    </row>
    <row r="9" spans="1:26" s="11" customFormat="1" ht="36" customHeight="1" x14ac:dyDescent="0.3">
      <c r="A9" s="1999">
        <v>4</v>
      </c>
      <c r="B9" s="1787" t="s">
        <v>53</v>
      </c>
      <c r="C9" s="1899" t="s">
        <v>784</v>
      </c>
      <c r="D9" s="1821">
        <f>'M5-ICPI'!G29</f>
        <v>38.276612249694111</v>
      </c>
      <c r="E9" s="2000">
        <v>47.9</v>
      </c>
      <c r="F9" s="2000">
        <v>0.88</v>
      </c>
      <c r="G9" s="1899" t="s">
        <v>1747</v>
      </c>
      <c r="H9" s="1922" t="s">
        <v>1748</v>
      </c>
      <c r="I9" s="1922"/>
      <c r="J9" s="1922"/>
      <c r="K9" s="1922"/>
      <c r="L9" s="1922"/>
      <c r="M9" s="1950"/>
      <c r="N9" s="1873"/>
      <c r="O9" s="237"/>
      <c r="P9" s="238"/>
      <c r="Q9" s="238"/>
      <c r="R9" s="238"/>
      <c r="S9" s="238"/>
      <c r="T9" s="238"/>
      <c r="U9" s="238"/>
      <c r="V9" s="238"/>
      <c r="W9" s="238"/>
      <c r="X9" s="238"/>
      <c r="Y9" s="238"/>
      <c r="Z9" s="239"/>
    </row>
    <row r="10" spans="1:26" s="11" customFormat="1" ht="36" customHeight="1" x14ac:dyDescent="0.3">
      <c r="A10" s="1842">
        <v>5</v>
      </c>
      <c r="B10" s="1784" t="s">
        <v>50</v>
      </c>
      <c r="C10" s="1844" t="s">
        <v>1112</v>
      </c>
      <c r="D10" s="1820">
        <f>'M5-ICPI'!G29</f>
        <v>38.276612249694111</v>
      </c>
      <c r="E10" s="1845">
        <v>47.67</v>
      </c>
      <c r="F10" s="1845">
        <v>0.65</v>
      </c>
      <c r="G10" s="1844" t="s">
        <v>1749</v>
      </c>
      <c r="H10" s="1931" t="s">
        <v>1750</v>
      </c>
      <c r="I10" s="1931"/>
      <c r="J10" s="1931"/>
      <c r="K10" s="1931"/>
      <c r="L10" s="1931"/>
      <c r="M10" s="1948"/>
      <c r="N10" s="1872"/>
      <c r="O10" s="237"/>
      <c r="P10" s="238"/>
      <c r="Q10" s="238"/>
      <c r="R10" s="238"/>
      <c r="S10" s="238"/>
      <c r="T10" s="238"/>
      <c r="U10" s="238"/>
      <c r="V10" s="238"/>
      <c r="W10" s="238"/>
      <c r="X10" s="238"/>
      <c r="Y10" s="238"/>
      <c r="Z10" s="239"/>
    </row>
    <row r="11" spans="1:26" s="11" customFormat="1" ht="36" customHeight="1" x14ac:dyDescent="0.3">
      <c r="A11" s="1999">
        <v>6</v>
      </c>
      <c r="B11" s="1787" t="s">
        <v>502</v>
      </c>
      <c r="C11" s="1899" t="s">
        <v>791</v>
      </c>
      <c r="D11" s="1821">
        <f>'M5-ICPI'!G29</f>
        <v>38.276612249694111</v>
      </c>
      <c r="E11" s="2000">
        <v>47.26</v>
      </c>
      <c r="F11" s="2000">
        <v>0.25</v>
      </c>
      <c r="G11" s="1899" t="s">
        <v>1751</v>
      </c>
      <c r="H11" s="1922" t="s">
        <v>1752</v>
      </c>
      <c r="I11" s="1922"/>
      <c r="J11" s="1922"/>
      <c r="K11" s="1922"/>
      <c r="L11" s="1922"/>
      <c r="M11" s="1950"/>
      <c r="N11" s="1873"/>
      <c r="O11" s="237"/>
      <c r="P11" s="238"/>
      <c r="Q11" s="238"/>
      <c r="R11" s="238"/>
      <c r="S11" s="238"/>
      <c r="T11" s="238"/>
      <c r="U11" s="238"/>
      <c r="V11" s="238"/>
      <c r="W11" s="238"/>
      <c r="X11" s="238"/>
      <c r="Y11" s="238"/>
      <c r="Z11" s="239"/>
    </row>
    <row r="12" spans="1:26" s="11" customFormat="1" ht="36" customHeight="1" x14ac:dyDescent="0.3">
      <c r="A12" s="1842">
        <v>7</v>
      </c>
      <c r="B12" s="1784" t="s">
        <v>466</v>
      </c>
      <c r="C12" s="1844" t="s">
        <v>788</v>
      </c>
      <c r="D12" s="1820">
        <f>'M5-ICPI'!G29</f>
        <v>38.276612249694111</v>
      </c>
      <c r="E12" s="1845">
        <v>47.18</v>
      </c>
      <c r="F12" s="1845">
        <v>0.16</v>
      </c>
      <c r="G12" s="1844" t="s">
        <v>1753</v>
      </c>
      <c r="H12" s="1931" t="s">
        <v>1754</v>
      </c>
      <c r="I12" s="1931"/>
      <c r="J12" s="1931"/>
      <c r="K12" s="1931"/>
      <c r="L12" s="1931"/>
      <c r="M12" s="1948"/>
      <c r="N12" s="1872"/>
      <c r="O12" s="237"/>
      <c r="P12" s="238"/>
      <c r="Q12" s="238"/>
      <c r="R12" s="238"/>
      <c r="S12" s="238"/>
      <c r="T12" s="238"/>
      <c r="U12" s="238"/>
      <c r="V12" s="238"/>
      <c r="W12" s="238"/>
      <c r="X12" s="238"/>
      <c r="Y12" s="238"/>
      <c r="Z12" s="239"/>
    </row>
    <row r="13" spans="1:26" s="11" customFormat="1" ht="36" customHeight="1" x14ac:dyDescent="0.3">
      <c r="A13" s="2015">
        <v>8</v>
      </c>
      <c r="B13" s="1876" t="s">
        <v>458</v>
      </c>
      <c r="C13" s="1900" t="s">
        <v>789</v>
      </c>
      <c r="D13" s="2016">
        <f>'M5-ICPI'!G29</f>
        <v>38.276612249694111</v>
      </c>
      <c r="E13" s="2017">
        <v>47.13</v>
      </c>
      <c r="F13" s="2017">
        <v>0.11</v>
      </c>
      <c r="G13" s="1900" t="s">
        <v>1755</v>
      </c>
      <c r="H13" s="1984" t="s">
        <v>1756</v>
      </c>
      <c r="I13" s="1984"/>
      <c r="J13" s="1984"/>
      <c r="K13" s="1984"/>
      <c r="L13" s="1984"/>
      <c r="M13" s="1985"/>
      <c r="N13" s="1878"/>
      <c r="O13" s="237"/>
      <c r="P13" s="238"/>
      <c r="Q13" s="238"/>
      <c r="R13" s="238"/>
      <c r="S13" s="238"/>
      <c r="T13" s="238"/>
      <c r="U13" s="238"/>
      <c r="V13" s="238"/>
      <c r="W13" s="238"/>
      <c r="X13" s="238"/>
      <c r="Y13" s="238"/>
      <c r="Z13" s="239"/>
    </row>
    <row r="14" spans="1:26" s="11" customFormat="1" ht="22.05" customHeight="1" x14ac:dyDescent="0.3">
      <c r="A14" s="3846" t="s">
        <v>1757</v>
      </c>
      <c r="B14" s="3795"/>
      <c r="C14" s="3795"/>
      <c r="D14" s="3795"/>
      <c r="E14" s="3795"/>
      <c r="F14" s="3795"/>
      <c r="G14" s="3795"/>
      <c r="H14" s="3795"/>
      <c r="I14" s="3795"/>
      <c r="J14" s="3795"/>
      <c r="K14" s="3795"/>
      <c r="L14" s="3795"/>
      <c r="M14" s="3795"/>
      <c r="N14" s="3796"/>
      <c r="O14" s="3764"/>
      <c r="P14" s="3764"/>
      <c r="Q14" s="3764"/>
      <c r="R14" s="3764"/>
      <c r="S14" s="3764"/>
      <c r="T14" s="3764"/>
      <c r="U14" s="3764"/>
      <c r="V14" s="3764"/>
      <c r="W14" s="3764"/>
      <c r="X14" s="3764"/>
      <c r="Y14" s="3764"/>
      <c r="Z14" s="3765"/>
    </row>
    <row r="15" spans="1:26" s="11" customFormat="1" ht="36" customHeight="1" x14ac:dyDescent="0.3">
      <c r="A15" s="2018" t="s">
        <v>1758</v>
      </c>
      <c r="B15" s="1973" t="s">
        <v>1517</v>
      </c>
      <c r="C15" s="1973" t="s">
        <v>1518</v>
      </c>
      <c r="D15" s="3854" t="s">
        <v>1759</v>
      </c>
      <c r="E15" s="3854"/>
      <c r="F15" s="3854"/>
      <c r="G15" s="3854"/>
      <c r="H15" s="3854"/>
      <c r="I15" s="3854"/>
      <c r="J15" s="1973"/>
      <c r="K15" s="1973"/>
      <c r="L15" s="1973"/>
      <c r="M15" s="1974"/>
      <c r="N15" s="2019"/>
      <c r="O15" s="237"/>
      <c r="P15" s="238"/>
      <c r="Q15" s="238"/>
      <c r="R15" s="238"/>
      <c r="S15" s="238"/>
      <c r="T15" s="238"/>
      <c r="U15" s="238"/>
      <c r="V15" s="238"/>
      <c r="W15" s="238"/>
      <c r="X15" s="238"/>
      <c r="Y15" s="238"/>
      <c r="Z15" s="239"/>
    </row>
    <row r="16" spans="1:26" s="11" customFormat="1" ht="36" customHeight="1" x14ac:dyDescent="0.3">
      <c r="A16" s="2004">
        <v>1</v>
      </c>
      <c r="B16" s="1843" t="s">
        <v>1760</v>
      </c>
      <c r="C16" s="1784" t="str">
        <f>TEXT('M5-ICPI'!G29,"0,00")&amp;"%"</f>
        <v>38,28%</v>
      </c>
      <c r="D16" s="3851" t="s">
        <v>1761</v>
      </c>
      <c r="E16" s="3851"/>
      <c r="F16" s="3851"/>
      <c r="G16" s="3851"/>
      <c r="H16" s="3851"/>
      <c r="I16" s="3851"/>
      <c r="J16" s="1931"/>
      <c r="K16" s="1931"/>
      <c r="L16" s="1931"/>
      <c r="M16" s="1948"/>
      <c r="N16" s="2005"/>
      <c r="O16" s="237"/>
      <c r="P16" s="238"/>
      <c r="Q16" s="238"/>
      <c r="R16" s="238"/>
      <c r="S16" s="238"/>
      <c r="T16" s="238"/>
      <c r="U16" s="238"/>
      <c r="V16" s="238"/>
      <c r="W16" s="238"/>
      <c r="X16" s="238"/>
      <c r="Y16" s="238"/>
      <c r="Z16" s="239"/>
    </row>
    <row r="17" spans="1:26" s="11" customFormat="1" ht="36" customHeight="1" x14ac:dyDescent="0.3">
      <c r="A17" s="2006">
        <v>2</v>
      </c>
      <c r="B17" s="1924" t="s">
        <v>1762</v>
      </c>
      <c r="C17" s="1899" t="s">
        <v>1763</v>
      </c>
      <c r="D17" s="3852" t="s">
        <v>1764</v>
      </c>
      <c r="E17" s="3853"/>
      <c r="F17" s="3853"/>
      <c r="G17" s="3853"/>
      <c r="H17" s="3853"/>
      <c r="I17" s="3853"/>
      <c r="J17" s="1922"/>
      <c r="K17" s="1922"/>
      <c r="L17" s="1922"/>
      <c r="M17" s="1950"/>
      <c r="N17" s="2007"/>
      <c r="O17" s="237"/>
      <c r="P17" s="238"/>
      <c r="Q17" s="238"/>
      <c r="R17" s="238"/>
      <c r="S17" s="238"/>
      <c r="T17" s="238"/>
      <c r="U17" s="238"/>
      <c r="V17" s="238"/>
      <c r="W17" s="238"/>
      <c r="X17" s="238"/>
      <c r="Y17" s="238"/>
      <c r="Z17" s="239"/>
    </row>
    <row r="18" spans="1:26" s="11" customFormat="1" ht="36" customHeight="1" x14ac:dyDescent="0.3">
      <c r="A18" s="2004">
        <v>3</v>
      </c>
      <c r="B18" s="1843" t="s">
        <v>1765</v>
      </c>
      <c r="C18" s="1844" t="s">
        <v>1766</v>
      </c>
      <c r="D18" s="3850" t="s">
        <v>1767</v>
      </c>
      <c r="E18" s="3851"/>
      <c r="F18" s="3851"/>
      <c r="G18" s="3851"/>
      <c r="H18" s="3851"/>
      <c r="I18" s="3851"/>
      <c r="J18" s="1931"/>
      <c r="K18" s="1931"/>
      <c r="L18" s="1931"/>
      <c r="M18" s="1948"/>
      <c r="N18" s="2005"/>
      <c r="O18" s="237"/>
      <c r="P18" s="238"/>
      <c r="Q18" s="238"/>
      <c r="R18" s="238"/>
      <c r="S18" s="238"/>
      <c r="T18" s="238"/>
      <c r="U18" s="238"/>
      <c r="V18" s="238"/>
      <c r="W18" s="238"/>
      <c r="X18" s="238"/>
      <c r="Y18" s="238"/>
      <c r="Z18" s="239"/>
    </row>
    <row r="19" spans="1:26" s="11" customFormat="1" ht="36" customHeight="1" x14ac:dyDescent="0.3">
      <c r="A19" s="2006">
        <v>4</v>
      </c>
      <c r="B19" s="1924" t="s">
        <v>1768</v>
      </c>
      <c r="C19" s="1899" t="s">
        <v>1769</v>
      </c>
      <c r="D19" s="3852" t="s">
        <v>1770</v>
      </c>
      <c r="E19" s="3853"/>
      <c r="F19" s="3853"/>
      <c r="G19" s="3853"/>
      <c r="H19" s="3853"/>
      <c r="I19" s="3853"/>
      <c r="J19" s="1922"/>
      <c r="K19" s="1922"/>
      <c r="L19" s="1922"/>
      <c r="M19" s="1950"/>
      <c r="N19" s="2007"/>
      <c r="O19" s="237"/>
      <c r="P19" s="238"/>
      <c r="Q19" s="238"/>
      <c r="R19" s="238"/>
      <c r="S19" s="238"/>
      <c r="T19" s="238"/>
      <c r="U19" s="238"/>
      <c r="V19" s="238"/>
      <c r="W19" s="238"/>
      <c r="X19" s="238"/>
      <c r="Y19" s="238"/>
      <c r="Z19" s="239"/>
    </row>
    <row r="20" spans="1:26" s="11" customFormat="1" ht="36" customHeight="1" x14ac:dyDescent="0.3">
      <c r="A20" s="2030">
        <v>5</v>
      </c>
      <c r="B20" s="2031" t="s">
        <v>1771</v>
      </c>
      <c r="C20" s="1802" t="s">
        <v>1772</v>
      </c>
      <c r="D20" s="3857" t="s">
        <v>1773</v>
      </c>
      <c r="E20" s="3857"/>
      <c r="F20" s="3857"/>
      <c r="G20" s="3857"/>
      <c r="H20" s="3857"/>
      <c r="I20" s="3857"/>
      <c r="J20" s="2032"/>
      <c r="K20" s="2032"/>
      <c r="L20" s="2032"/>
      <c r="M20" s="2033"/>
      <c r="N20" s="2034"/>
      <c r="O20" s="237"/>
      <c r="P20" s="238"/>
      <c r="Q20" s="238"/>
      <c r="R20" s="238"/>
      <c r="S20" s="238"/>
      <c r="T20" s="238"/>
      <c r="U20" s="238"/>
      <c r="V20" s="238"/>
      <c r="W20" s="238"/>
      <c r="X20" s="238"/>
      <c r="Y20" s="238"/>
      <c r="Z20" s="239"/>
    </row>
    <row r="21" spans="1:26" s="11" customFormat="1" ht="36" customHeight="1" x14ac:dyDescent="0.3">
      <c r="A21" s="2039">
        <v>6</v>
      </c>
      <c r="B21" s="2040" t="s">
        <v>1774</v>
      </c>
      <c r="C21" s="2041" t="s">
        <v>1775</v>
      </c>
      <c r="D21" s="3858" t="str">
        <f>"UAP (Umbral de Alerta Programática) CONFIRMADO: El ICPI del GAD Montecristi ("&amp;TEXT('M5-ICPI'!G29,"0,00")&amp;"%) es significativamente inferior, con brecha = "&amp;TEXT(100-'M5-ICPI'!G29,"0,00")&amp;" pp respecto al 100% — supera ampliamente el umbral mínimo de 30 pp definido en §3.6"</f>
        <v>UAP (Umbral de Alerta Programática) CONFIRMADO: El ICPI del GAD Montecristi (38,28%) es significativamente inferior, con brecha = 61,72 pp respecto al 100% — supera ampliamente el umbral mínimo de 30 pp definido en §3.6</v>
      </c>
      <c r="E21" s="3859"/>
      <c r="F21" s="3859"/>
      <c r="G21" s="3859"/>
      <c r="H21" s="3859"/>
      <c r="I21" s="3859"/>
      <c r="J21" s="2042"/>
      <c r="K21" s="2042"/>
      <c r="L21" s="2042"/>
      <c r="M21" s="2043"/>
      <c r="N21" s="2044"/>
      <c r="O21" s="237"/>
      <c r="P21" s="238"/>
      <c r="Q21" s="238"/>
      <c r="R21" s="238"/>
      <c r="S21" s="238"/>
      <c r="T21" s="238"/>
      <c r="U21" s="238"/>
      <c r="V21" s="238"/>
      <c r="W21" s="238"/>
      <c r="X21" s="238"/>
      <c r="Y21" s="238"/>
      <c r="Z21" s="239"/>
    </row>
    <row r="22" spans="1:26" s="128" customFormat="1" ht="22.05" customHeight="1" x14ac:dyDescent="0.3">
      <c r="A22" s="2035"/>
      <c r="B22" s="3856" t="s">
        <v>1776</v>
      </c>
      <c r="C22" s="3856"/>
      <c r="D22" s="3856"/>
      <c r="E22" s="3856"/>
      <c r="F22" s="3856"/>
      <c r="G22" s="3856"/>
      <c r="H22" s="3856"/>
      <c r="I22" s="3856"/>
      <c r="J22" s="2036"/>
      <c r="K22" s="2036"/>
      <c r="L22" s="2036"/>
      <c r="M22" s="2037"/>
      <c r="N22" s="2038"/>
      <c r="O22" s="2020"/>
      <c r="P22" s="1995"/>
      <c r="Q22" s="1995"/>
      <c r="R22" s="1995"/>
      <c r="S22" s="1995"/>
      <c r="T22" s="1995"/>
      <c r="U22" s="1995"/>
      <c r="V22" s="1995"/>
      <c r="W22" s="1995"/>
      <c r="X22" s="1995"/>
      <c r="Y22" s="1995"/>
      <c r="Z22" s="1996"/>
    </row>
    <row r="23" spans="1:26" s="11" customFormat="1" ht="36" customHeight="1" x14ac:dyDescent="0.3">
      <c r="A23" s="2021" t="s">
        <v>1758</v>
      </c>
      <c r="B23" s="1973" t="s">
        <v>1777</v>
      </c>
      <c r="C23" s="1973" t="s">
        <v>1778</v>
      </c>
      <c r="D23" s="1973" t="s">
        <v>1779</v>
      </c>
      <c r="E23" s="3854" t="s">
        <v>1780</v>
      </c>
      <c r="F23" s="3854"/>
      <c r="G23" s="3854"/>
      <c r="H23" s="1973"/>
      <c r="I23" s="1973"/>
      <c r="J23" s="1973"/>
      <c r="K23" s="1973"/>
      <c r="L23" s="1973"/>
      <c r="M23" s="1974"/>
      <c r="N23" s="2022"/>
      <c r="O23" s="237"/>
      <c r="P23" s="238"/>
      <c r="Q23" s="238"/>
      <c r="R23" s="238"/>
      <c r="S23" s="238"/>
      <c r="T23" s="238"/>
      <c r="U23" s="238"/>
      <c r="V23" s="238"/>
      <c r="W23" s="238"/>
      <c r="X23" s="238"/>
      <c r="Y23" s="238"/>
      <c r="Z23" s="239"/>
    </row>
    <row r="24" spans="1:26" s="11" customFormat="1" ht="36" customHeight="1" x14ac:dyDescent="0.3">
      <c r="A24" s="2010">
        <v>1</v>
      </c>
      <c r="B24" s="1844" t="s">
        <v>1781</v>
      </c>
      <c r="C24" s="1844" t="str">
        <f>TEXT('M5-ICPI'!G29,"0,00")&amp;"%"</f>
        <v>38,28%</v>
      </c>
      <c r="D24" s="1784" t="s">
        <v>1782</v>
      </c>
      <c r="E24" s="3851" t="s">
        <v>1783</v>
      </c>
      <c r="F24" s="3851"/>
      <c r="G24" s="3851"/>
      <c r="H24" s="1931"/>
      <c r="I24" s="1931"/>
      <c r="J24" s="1931"/>
      <c r="K24" s="1931"/>
      <c r="L24" s="1931"/>
      <c r="M24" s="1948"/>
      <c r="N24" s="2011"/>
      <c r="O24" s="237"/>
      <c r="P24" s="238"/>
      <c r="Q24" s="238"/>
      <c r="R24" s="238"/>
      <c r="S24" s="238"/>
      <c r="T24" s="238"/>
      <c r="U24" s="238"/>
      <c r="V24" s="238"/>
      <c r="W24" s="238"/>
      <c r="X24" s="238"/>
      <c r="Y24" s="238"/>
      <c r="Z24" s="239"/>
    </row>
    <row r="25" spans="1:26" s="11" customFormat="1" ht="36" customHeight="1" x14ac:dyDescent="0.3">
      <c r="A25" s="2012">
        <v>2</v>
      </c>
      <c r="B25" s="1899" t="s">
        <v>1784</v>
      </c>
      <c r="C25" s="1899" t="s">
        <v>1785</v>
      </c>
      <c r="D25" s="1899" t="s">
        <v>1786</v>
      </c>
      <c r="E25" s="1922" t="s">
        <v>1787</v>
      </c>
      <c r="F25" s="1949"/>
      <c r="G25" s="1922"/>
      <c r="H25" s="1922"/>
      <c r="I25" s="1922"/>
      <c r="J25" s="1922"/>
      <c r="K25" s="1922"/>
      <c r="L25" s="1922"/>
      <c r="M25" s="1950"/>
      <c r="N25" s="2013"/>
      <c r="O25" s="237"/>
      <c r="P25" s="238"/>
      <c r="Q25" s="238"/>
      <c r="R25" s="238"/>
      <c r="S25" s="238"/>
      <c r="T25" s="238"/>
      <c r="U25" s="238"/>
      <c r="V25" s="238"/>
      <c r="W25" s="238"/>
      <c r="X25" s="238"/>
      <c r="Y25" s="238"/>
      <c r="Z25" s="239"/>
    </row>
    <row r="26" spans="1:26" s="11" customFormat="1" ht="36" customHeight="1" x14ac:dyDescent="0.3">
      <c r="A26" s="2010">
        <v>3</v>
      </c>
      <c r="B26" s="1844" t="s">
        <v>1788</v>
      </c>
      <c r="C26" s="1784" t="s">
        <v>1789</v>
      </c>
      <c r="D26" s="1844" t="s">
        <v>1790</v>
      </c>
      <c r="E26" s="3851" t="s">
        <v>1791</v>
      </c>
      <c r="F26" s="3851"/>
      <c r="G26" s="3851"/>
      <c r="H26" s="1931"/>
      <c r="I26" s="1931"/>
      <c r="J26" s="1931"/>
      <c r="K26" s="1931"/>
      <c r="L26" s="1931"/>
      <c r="M26" s="1948"/>
      <c r="N26" s="2011"/>
      <c r="O26" s="237"/>
      <c r="P26" s="238"/>
      <c r="Q26" s="238"/>
      <c r="R26" s="238"/>
      <c r="S26" s="238"/>
      <c r="T26" s="238"/>
      <c r="U26" s="238"/>
      <c r="V26" s="238"/>
      <c r="W26" s="238"/>
      <c r="X26" s="238"/>
      <c r="Y26" s="238"/>
      <c r="Z26" s="239"/>
    </row>
    <row r="27" spans="1:26" s="11" customFormat="1" ht="36" customHeight="1" x14ac:dyDescent="0.3">
      <c r="A27" s="2023">
        <v>4</v>
      </c>
      <c r="B27" s="1900" t="s">
        <v>1792</v>
      </c>
      <c r="C27" s="1900" t="s">
        <v>1793</v>
      </c>
      <c r="D27" s="1900" t="s">
        <v>1794</v>
      </c>
      <c r="E27" s="3855" t="s">
        <v>1795</v>
      </c>
      <c r="F27" s="3855"/>
      <c r="G27" s="3855"/>
      <c r="H27" s="1984"/>
      <c r="I27" s="1984"/>
      <c r="J27" s="1984"/>
      <c r="K27" s="1984"/>
      <c r="L27" s="1984"/>
      <c r="M27" s="1985"/>
      <c r="N27" s="2024"/>
      <c r="O27" s="237"/>
      <c r="P27" s="238"/>
      <c r="Q27" s="238"/>
      <c r="R27" s="238"/>
      <c r="S27" s="238"/>
      <c r="T27" s="238"/>
      <c r="U27" s="238"/>
      <c r="V27" s="238"/>
      <c r="W27" s="238"/>
      <c r="X27" s="238"/>
      <c r="Y27" s="238"/>
      <c r="Z27" s="239"/>
    </row>
    <row r="28" spans="1:26" s="11" customFormat="1" ht="36" customHeight="1" x14ac:dyDescent="0.3">
      <c r="A28" s="2025">
        <v>5</v>
      </c>
      <c r="B28" s="2026" t="s">
        <v>1796</v>
      </c>
      <c r="C28" s="2026" t="s">
        <v>1763</v>
      </c>
      <c r="D28" s="2026" t="s">
        <v>1766</v>
      </c>
      <c r="E28" s="2027" t="s">
        <v>1797</v>
      </c>
      <c r="F28" s="2026" t="s">
        <v>1798</v>
      </c>
      <c r="G28" s="2027" t="s">
        <v>1799</v>
      </c>
      <c r="H28" s="2027"/>
      <c r="I28" s="2027"/>
      <c r="J28" s="2027"/>
      <c r="K28" s="2027"/>
      <c r="L28" s="2027"/>
      <c r="M28" s="2028"/>
      <c r="N28" s="2029"/>
      <c r="O28" s="2008"/>
      <c r="P28" s="1997"/>
      <c r="Q28" s="1997"/>
      <c r="R28" s="1997"/>
      <c r="S28" s="1997"/>
      <c r="T28" s="1997"/>
      <c r="U28" s="1997"/>
      <c r="V28" s="1997"/>
      <c r="W28" s="1997"/>
      <c r="X28" s="1997"/>
      <c r="Y28" s="1997"/>
      <c r="Z28" s="1998"/>
    </row>
    <row r="29" spans="1:26" ht="18" customHeight="1" x14ac:dyDescent="0.3"/>
    <row r="30" spans="1:26" ht="42" customHeight="1" x14ac:dyDescent="0.3"/>
    <row r="31" spans="1:26" ht="42" customHeight="1" x14ac:dyDescent="0.3"/>
    <row r="32" spans="1:26" ht="18" customHeight="1" x14ac:dyDescent="0.3"/>
    <row r="33" spans="1:10" ht="18" customHeight="1" x14ac:dyDescent="0.3"/>
    <row r="34" spans="1:10" ht="18" customHeight="1" x14ac:dyDescent="0.3"/>
    <row r="35" spans="1:10" x14ac:dyDescent="0.3">
      <c r="A35" s="6"/>
      <c r="B35" s="6"/>
      <c r="C35" s="6"/>
      <c r="D35" s="6"/>
      <c r="E35" s="6"/>
      <c r="F35" s="6"/>
      <c r="G35" s="6"/>
      <c r="H35" s="6"/>
      <c r="I35" s="5"/>
      <c r="J35" s="5"/>
    </row>
    <row r="36" spans="1:10" x14ac:dyDescent="0.3">
      <c r="A36" s="6"/>
      <c r="B36" s="6"/>
      <c r="C36" s="6"/>
      <c r="D36" s="6"/>
      <c r="E36" s="6"/>
      <c r="F36" s="6"/>
      <c r="G36" s="6"/>
      <c r="H36" s="6"/>
      <c r="I36" s="5"/>
      <c r="J36" s="5"/>
    </row>
  </sheetData>
  <mergeCells count="16">
    <mergeCell ref="D19:I19"/>
    <mergeCell ref="E24:G24"/>
    <mergeCell ref="D15:I15"/>
    <mergeCell ref="E27:G27"/>
    <mergeCell ref="E23:G23"/>
    <mergeCell ref="E26:G26"/>
    <mergeCell ref="B22:I22"/>
    <mergeCell ref="D20:I20"/>
    <mergeCell ref="D21:I21"/>
    <mergeCell ref="A14:Z14"/>
    <mergeCell ref="A1:Z1"/>
    <mergeCell ref="A3:Z3"/>
    <mergeCell ref="A4:Z4"/>
    <mergeCell ref="D18:I18"/>
    <mergeCell ref="D17:I17"/>
    <mergeCell ref="D16:I16"/>
  </mergeCells>
  <conditionalFormatting sqref="A16:N16">
    <cfRule type="containsText" dxfId="380" priority="20" operator="containsText" text="ICPI Actual">
      <formula>NOT(ISERROR(SEARCH("ICPI Actual",A16)))</formula>
    </cfRule>
  </conditionalFormatting>
  <conditionalFormatting sqref="A21:N21">
    <cfRule type="containsText" dxfId="379" priority="19" operator="containsText" text="Déficit">
      <formula>NOT(ISERROR(SEARCH("Déficit",A21)))</formula>
    </cfRule>
  </conditionalFormatting>
  <conditionalFormatting sqref="A28:N28">
    <cfRule type="containsText" dxfId="378" priority="21" operator="containsText" text="100">
      <formula>NOT(ISERROR(SEARCH("100",A28)))</formula>
    </cfRule>
  </conditionalFormatting>
  <conditionalFormatting sqref="C24">
    <cfRule type="containsText" dxfId="377" priority="24" operator="containsText" text="38">
      <formula>NOT(ISERROR(SEARCH("38",C24)))</formula>
    </cfRule>
  </conditionalFormatting>
  <conditionalFormatting sqref="C25:C27">
    <cfRule type="containsText" dxfId="376" priority="22" operator="containsText" text="72">
      <formula>NOT(ISERROR(SEARCH("72",C25)))</formula>
    </cfRule>
    <cfRule type="containsText" dxfId="375" priority="23" operator="containsText" text="67">
      <formula>NOT(ISERROR(SEARCH("67",C25)))</formula>
    </cfRule>
  </conditionalFormatting>
  <conditionalFormatting sqref="D25:D28">
    <cfRule type="containsText" dxfId="374" priority="25" operator="containsText" text="+20">
      <formula>NOT(ISERROR(SEARCH("+20",D25)))</formula>
    </cfRule>
    <cfRule type="containsText" dxfId="373" priority="26" operator="containsText" text="+25">
      <formula>NOT(ISERROR(SEARCH("+25",D25)))</formula>
    </cfRule>
    <cfRule type="containsText" dxfId="372" priority="27" operator="containsText" text="+52">
      <formula>NOT(ISERROR(SEARCH("+52",D25)))</formula>
    </cfRule>
  </conditionalFormatting>
  <conditionalFormatting sqref="D6:E13">
    <cfRule type="cellIs" dxfId="371" priority="9" operator="greaterThanOrEqual">
      <formula>90</formula>
    </cfRule>
    <cfRule type="cellIs" dxfId="370" priority="10" operator="between">
      <formula>70</formula>
      <formula>90</formula>
    </cfRule>
    <cfRule type="cellIs" dxfId="369" priority="11" operator="between">
      <formula>40</formula>
      <formula>70</formula>
    </cfRule>
    <cfRule type="cellIs" dxfId="368" priority="12" operator="between">
      <formula>20</formula>
      <formula>40</formula>
    </cfRule>
    <cfRule type="cellIs" dxfId="367" priority="13" operator="lessThan">
      <formula>20</formula>
    </cfRule>
  </conditionalFormatting>
  <conditionalFormatting sqref="F6:F13">
    <cfRule type="cellIs" dxfId="366" priority="5" operator="greaterThanOrEqual">
      <formula>10</formula>
    </cfRule>
    <cfRule type="cellIs" dxfId="365" priority="6" operator="between">
      <formula>5</formula>
      <formula>10</formula>
    </cfRule>
    <cfRule type="cellIs" dxfId="364" priority="7" operator="between">
      <formula>1</formula>
      <formula>5</formula>
    </cfRule>
    <cfRule type="cellIs" dxfId="363" priority="8" operator="lessThan">
      <formula>1</formula>
    </cfRule>
  </conditionalFormatting>
  <conditionalFormatting sqref="G6:G13">
    <cfRule type="containsText" dxfId="362" priority="1" operator="containsText" text="CRÍTICA">
      <formula>NOT(ISERROR(SEARCH("CRÍTICA",G6)))</formula>
    </cfRule>
    <cfRule type="containsText" dxfId="361" priority="2" operator="containsText" text="ALTA">
      <formula>NOT(ISERROR(SEARCH("ALTA",G6)))</formula>
    </cfRule>
    <cfRule type="containsText" dxfId="360" priority="3" operator="containsText" text="MEDIA">
      <formula>NOT(ISERROR(SEARCH("MEDIA",G6)))</formula>
    </cfRule>
    <cfRule type="containsText" dxfId="359" priority="4" operator="containsText" text="BAJA">
      <formula>NOT(ISERROR(SEARCH("BAJA",G6)))</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DEEAF1"/>
  </sheetPr>
  <dimension ref="A1:Z45"/>
  <sheetViews>
    <sheetView showGridLines="0" zoomScale="22" zoomScaleNormal="22" workbookViewId="0">
      <pane ySplit="3" topLeftCell="A4" activePane="bottomLeft" state="frozen"/>
      <selection activeCell="B1" sqref="B1"/>
      <selection pane="bottomLeft" sqref="A1:Z1"/>
    </sheetView>
  </sheetViews>
  <sheetFormatPr baseColWidth="10" defaultRowHeight="14.4" x14ac:dyDescent="0.3"/>
  <cols>
    <col min="1" max="2" width="28.6640625" customWidth="1"/>
    <col min="3" max="3" width="10.21875" customWidth="1"/>
    <col min="4" max="5" width="12" customWidth="1"/>
    <col min="6" max="6" width="14.77734375" customWidth="1"/>
    <col min="7" max="9" width="30.5546875" customWidth="1"/>
    <col min="10" max="11" width="24.109375" customWidth="1"/>
    <col min="12" max="12" width="12" customWidth="1"/>
    <col min="13" max="14" width="10.21875" customWidth="1"/>
    <col min="25" max="25" width="12.77734375" bestFit="1" customWidth="1"/>
    <col min="26" max="26" width="11.21875" bestFit="1" customWidth="1"/>
  </cols>
  <sheetData>
    <row r="1" spans="1:26" ht="28.05" customHeight="1" x14ac:dyDescent="0.3">
      <c r="A1" s="3777" t="s">
        <v>4834</v>
      </c>
      <c r="B1" s="3777"/>
      <c r="C1" s="3777"/>
      <c r="D1" s="3777"/>
      <c r="E1" s="3777"/>
      <c r="F1" s="3777"/>
      <c r="G1" s="3777"/>
      <c r="H1" s="3777"/>
      <c r="I1" s="3777"/>
      <c r="J1" s="3777"/>
      <c r="K1" s="3777"/>
      <c r="L1" s="3777"/>
      <c r="M1" s="3777"/>
      <c r="N1" s="3777"/>
      <c r="O1" s="3715"/>
      <c r="P1" s="3715"/>
      <c r="Q1" s="3715"/>
      <c r="R1" s="3715"/>
      <c r="S1" s="3715"/>
      <c r="T1" s="3715"/>
      <c r="U1" s="3715"/>
      <c r="V1" s="3715"/>
      <c r="W1" s="3715"/>
      <c r="X1" s="3715"/>
      <c r="Y1" s="3715"/>
      <c r="Z1" s="3715"/>
    </row>
    <row r="2" spans="1:26" ht="19.95" customHeight="1" x14ac:dyDescent="0.3">
      <c r="A2" s="1763" t="str">
        <f>HYPERLINK("#'M-INDEX'!A1","⌂ INDICE")</f>
        <v>⌂ INDICE</v>
      </c>
      <c r="B2" s="1763" t="str">
        <f>HYPERLINK("#'M1-ITME'!A1","M1")</f>
        <v>M1</v>
      </c>
      <c r="C2" s="1763" t="str">
        <f>HYPERLINK("#'M2-PDOT'!A1","M2")</f>
        <v>M2</v>
      </c>
      <c r="D2" s="1763" t="str">
        <f>HYPERLINK("#'M3-MAO'!A1","M3")</f>
        <v>M3</v>
      </c>
      <c r="E2" s="1763" t="str">
        <f>HYPERLINK("#'M4-AUDIT'!A1","M4")</f>
        <v>M4</v>
      </c>
      <c r="F2" s="1763" t="str">
        <f>HYPERLINK("#'M5-ICPI'!A1","M5")</f>
        <v>M5</v>
      </c>
      <c r="G2" s="1763" t="str">
        <f>HYPERLINK("#'M6-FEDS'!A1","M6")</f>
        <v>M6</v>
      </c>
      <c r="H2" s="1763" t="str">
        <f>HYPERLINK("#'M7-PROSP'!A1","M7")</f>
        <v>M7</v>
      </c>
      <c r="I2" s="1763" t="str">
        <f>HYPERLINK("#'DATA-POA'!A1","DATA-POA")</f>
        <v>DATA-POA</v>
      </c>
      <c r="J2" s="1763" t="str">
        <f>HYPERLINK("#'DATA-CNE'!A1","DATA-CNE")</f>
        <v>DATA-CNE</v>
      </c>
      <c r="K2" s="1763" t="str">
        <f>HYPERLINK("#'DATA-ORG'!A1","DATA-ORG")</f>
        <v>DATA-ORG</v>
      </c>
      <c r="L2" s="1763" t="str">
        <f>HYPERLINK("#'M-DASHBOARD'!A1","DASH")</f>
        <v>DASH</v>
      </c>
      <c r="M2" s="1772"/>
      <c r="N2" s="1772"/>
      <c r="O2" s="1734"/>
      <c r="P2" s="1734"/>
      <c r="Q2" s="1734"/>
      <c r="R2" s="1734"/>
      <c r="S2" s="1734"/>
      <c r="T2" s="1734"/>
      <c r="U2" s="1734"/>
      <c r="V2" s="1734"/>
      <c r="W2" s="1734"/>
      <c r="X2" s="1734"/>
      <c r="Y2" s="1734"/>
      <c r="Z2" s="1734"/>
    </row>
    <row r="3" spans="1:26" ht="15" customHeight="1" thickBot="1" x14ac:dyDescent="0.35">
      <c r="A3" s="3814" t="s">
        <v>5066</v>
      </c>
      <c r="B3" s="3814"/>
      <c r="C3" s="3814"/>
      <c r="D3" s="3814"/>
      <c r="E3" s="3814"/>
      <c r="F3" s="3814"/>
      <c r="G3" s="3814"/>
      <c r="H3" s="3814"/>
      <c r="I3" s="3814"/>
      <c r="J3" s="3814"/>
      <c r="K3" s="3814"/>
      <c r="L3" s="3814"/>
      <c r="M3" s="3814"/>
      <c r="N3" s="3814"/>
      <c r="O3" s="3758"/>
      <c r="P3" s="3758"/>
      <c r="Q3" s="3758"/>
      <c r="R3" s="3758"/>
      <c r="S3" s="3758"/>
      <c r="T3" s="3758"/>
      <c r="U3" s="3758"/>
      <c r="V3" s="3758"/>
      <c r="W3" s="3758"/>
      <c r="X3" s="3758"/>
      <c r="Y3" s="3758"/>
      <c r="Z3" s="3758"/>
    </row>
    <row r="4" spans="1:26" ht="22.05" customHeight="1" thickTop="1" x14ac:dyDescent="0.3">
      <c r="A4" s="3875" t="str">
        <f>"🔷 ANÁLISIS DE BRECHAS · ICM = "&amp;TEXT('M-TECH-PARAMS'!B7*100,"0,00")&amp;"% · ICPI = "&amp;TEXT('M5-ICPI'!G29,"0,00")&amp;"% · BRECHA = "&amp;TEXT(ABS('M5-ICPI'!G29-'M-TECH-PARAMS'!B7*100),"0,00")&amp;"pp · H₁ CONFIRMADA"</f>
        <v>🔷 ANÁLISIS DE BRECHAS · ICM = 100,00% · ICPI = 38,28% · BRECHA = 61,72pp · H₁ CONFIRMADA</v>
      </c>
      <c r="B4" s="3876"/>
      <c r="C4" s="3876"/>
      <c r="D4" s="3876"/>
      <c r="E4" s="3876"/>
      <c r="F4" s="3876"/>
      <c r="G4" s="3876"/>
      <c r="H4" s="3876"/>
      <c r="I4" s="3876"/>
      <c r="J4" s="3876"/>
      <c r="K4" s="3876"/>
      <c r="L4" s="3876"/>
      <c r="M4" s="3876"/>
      <c r="N4" s="3877"/>
      <c r="O4" s="3775"/>
      <c r="P4" s="3775"/>
      <c r="Q4" s="3775"/>
      <c r="R4" s="3775"/>
      <c r="S4" s="3775"/>
      <c r="T4" s="3775"/>
      <c r="U4" s="3775"/>
      <c r="V4" s="3775"/>
      <c r="W4" s="3775"/>
      <c r="X4" s="3775"/>
      <c r="Y4" s="3775"/>
      <c r="Z4" s="3776"/>
    </row>
    <row r="5" spans="1:26" ht="40.049999999999997" customHeight="1" x14ac:dyDescent="0.3">
      <c r="A5" s="1972" t="s">
        <v>1800</v>
      </c>
      <c r="B5" s="1973" t="s">
        <v>122</v>
      </c>
      <c r="C5" s="1973" t="s">
        <v>692</v>
      </c>
      <c r="D5" s="1973" t="s">
        <v>694</v>
      </c>
      <c r="E5" s="1973" t="s">
        <v>695</v>
      </c>
      <c r="F5" s="1973" t="s">
        <v>1801</v>
      </c>
      <c r="G5" s="1973" t="s">
        <v>1802</v>
      </c>
      <c r="H5" s="1973" t="s">
        <v>1803</v>
      </c>
      <c r="I5" s="1973" t="s">
        <v>1804</v>
      </c>
      <c r="J5" s="1973" t="s">
        <v>425</v>
      </c>
      <c r="K5" s="1973" t="s">
        <v>1805</v>
      </c>
      <c r="L5" s="1973" t="s">
        <v>1806</v>
      </c>
      <c r="M5" s="1974"/>
      <c r="N5" s="1975"/>
      <c r="O5" s="234"/>
      <c r="P5" s="235"/>
      <c r="Q5" s="235"/>
      <c r="R5" s="235"/>
      <c r="S5" s="235"/>
      <c r="T5" s="235"/>
      <c r="U5" s="235"/>
      <c r="V5" s="235"/>
      <c r="W5" s="235"/>
      <c r="X5" s="235"/>
      <c r="Y5" s="235"/>
      <c r="Z5" s="236"/>
    </row>
    <row r="6" spans="1:26" s="11" customFormat="1" ht="37.950000000000003" customHeight="1" x14ac:dyDescent="0.3">
      <c r="A6" s="1930" t="s">
        <v>43</v>
      </c>
      <c r="B6" s="1931" t="s">
        <v>777</v>
      </c>
      <c r="C6" s="1784" t="s">
        <v>1807</v>
      </c>
      <c r="D6" s="1817" t="s">
        <v>1808</v>
      </c>
      <c r="E6" s="1817" t="s">
        <v>1809</v>
      </c>
      <c r="F6" s="1784" t="s">
        <v>1810</v>
      </c>
      <c r="G6" s="1931" t="s">
        <v>1811</v>
      </c>
      <c r="H6" s="1918" t="s">
        <v>1812</v>
      </c>
      <c r="I6" s="1931" t="s">
        <v>1813</v>
      </c>
      <c r="J6" s="1919" t="s">
        <v>742</v>
      </c>
      <c r="K6" s="1784" t="s">
        <v>96</v>
      </c>
      <c r="L6" s="1784" t="s">
        <v>1814</v>
      </c>
      <c r="M6" s="1894"/>
      <c r="N6" s="1872"/>
      <c r="O6" s="278"/>
      <c r="P6" s="272"/>
      <c r="Q6" s="272"/>
      <c r="R6" s="272"/>
      <c r="S6" s="272"/>
      <c r="T6" s="272"/>
      <c r="U6" s="272"/>
      <c r="V6" s="272"/>
      <c r="W6" s="272"/>
      <c r="X6" s="272"/>
      <c r="Y6" s="272"/>
      <c r="Z6" s="1927"/>
    </row>
    <row r="7" spans="1:26" s="11" customFormat="1" ht="37.950000000000003" customHeight="1" x14ac:dyDescent="0.3">
      <c r="A7" s="1932" t="s">
        <v>57</v>
      </c>
      <c r="B7" s="1922" t="s">
        <v>779</v>
      </c>
      <c r="C7" s="1787" t="s">
        <v>1815</v>
      </c>
      <c r="D7" s="1818" t="s">
        <v>1816</v>
      </c>
      <c r="E7" s="1818" t="s">
        <v>1817</v>
      </c>
      <c r="F7" s="1787" t="s">
        <v>1818</v>
      </c>
      <c r="G7" s="1922" t="s">
        <v>1819</v>
      </c>
      <c r="H7" s="1921" t="s">
        <v>1820</v>
      </c>
      <c r="I7" s="1922" t="s">
        <v>1821</v>
      </c>
      <c r="J7" s="1923" t="s">
        <v>742</v>
      </c>
      <c r="K7" s="1787" t="s">
        <v>96</v>
      </c>
      <c r="L7" s="1787" t="s">
        <v>1822</v>
      </c>
      <c r="M7" s="1895"/>
      <c r="N7" s="1873"/>
      <c r="O7" s="278"/>
      <c r="P7" s="272"/>
      <c r="Q7" s="272"/>
      <c r="R7" s="272"/>
      <c r="S7" s="272"/>
      <c r="T7" s="272"/>
      <c r="U7" s="272"/>
      <c r="V7" s="272"/>
      <c r="W7" s="272"/>
      <c r="X7" s="272"/>
      <c r="Y7" s="272"/>
      <c r="Z7" s="1927"/>
    </row>
    <row r="8" spans="1:26" s="11" customFormat="1" ht="37.950000000000003" customHeight="1" x14ac:dyDescent="0.3">
      <c r="A8" s="1930" t="s">
        <v>47</v>
      </c>
      <c r="B8" s="1784" t="s">
        <v>1412</v>
      </c>
      <c r="C8" s="1784" t="s">
        <v>1807</v>
      </c>
      <c r="D8" s="1817">
        <f>'M2-PLAN-Pi'!F20</f>
        <v>3.6968726259480326E-2</v>
      </c>
      <c r="E8" s="1817" t="s">
        <v>1809</v>
      </c>
      <c r="F8" s="1784" t="s">
        <v>1823</v>
      </c>
      <c r="G8" s="1784" t="s">
        <v>1824</v>
      </c>
      <c r="H8" s="1919" t="s">
        <v>1825</v>
      </c>
      <c r="I8" s="1784" t="s">
        <v>1826</v>
      </c>
      <c r="J8" s="1919" t="s">
        <v>1171</v>
      </c>
      <c r="K8" s="1784" t="s">
        <v>1827</v>
      </c>
      <c r="L8" s="1784">
        <v>3</v>
      </c>
      <c r="M8" s="1894"/>
      <c r="N8" s="1872"/>
      <c r="O8" s="278"/>
      <c r="P8" s="272"/>
      <c r="Q8" s="272"/>
      <c r="R8" s="272"/>
      <c r="S8" s="272"/>
      <c r="T8" s="272"/>
      <c r="U8" s="272"/>
      <c r="V8" s="272"/>
      <c r="W8" s="272"/>
      <c r="X8" s="272"/>
      <c r="Y8" s="272"/>
      <c r="Z8" s="1927"/>
    </row>
    <row r="9" spans="1:26" s="11" customFormat="1" ht="37.950000000000003" customHeight="1" x14ac:dyDescent="0.3">
      <c r="A9" s="1932" t="s">
        <v>53</v>
      </c>
      <c r="B9" s="1787" t="s">
        <v>1828</v>
      </c>
      <c r="C9" s="1787" t="s">
        <v>1807</v>
      </c>
      <c r="D9" s="1818">
        <f>'M2-PLAN-Pi'!F22</f>
        <v>2.5461988827181092E-2</v>
      </c>
      <c r="E9" s="1818" t="s">
        <v>1817</v>
      </c>
      <c r="F9" s="1787" t="s">
        <v>1829</v>
      </c>
      <c r="G9" s="1787" t="s">
        <v>1830</v>
      </c>
      <c r="H9" s="1923" t="s">
        <v>1831</v>
      </c>
      <c r="I9" s="1787" t="s">
        <v>1832</v>
      </c>
      <c r="J9" s="1923" t="s">
        <v>1171</v>
      </c>
      <c r="K9" s="1787" t="s">
        <v>1827</v>
      </c>
      <c r="L9" s="1787">
        <v>2</v>
      </c>
      <c r="M9" s="1895"/>
      <c r="N9" s="1873"/>
      <c r="O9" s="278"/>
      <c r="P9" s="272"/>
      <c r="Q9" s="272"/>
      <c r="R9" s="272"/>
      <c r="S9" s="272"/>
      <c r="T9" s="272"/>
      <c r="U9" s="272"/>
      <c r="V9" s="272"/>
      <c r="W9" s="272"/>
      <c r="X9" s="272"/>
      <c r="Y9" s="272"/>
      <c r="Z9" s="1927"/>
    </row>
    <row r="10" spans="1:26" s="11" customFormat="1" ht="37.950000000000003" customHeight="1" x14ac:dyDescent="0.3">
      <c r="A10" s="1955" t="s">
        <v>50</v>
      </c>
      <c r="B10" s="1802" t="s">
        <v>1833</v>
      </c>
      <c r="C10" s="1802" t="s">
        <v>1807</v>
      </c>
      <c r="D10" s="1990">
        <f>'M2-PLAN-Pi'!F25</f>
        <v>1.8216107891773022E-2</v>
      </c>
      <c r="E10" s="1990" t="s">
        <v>1817</v>
      </c>
      <c r="F10" s="1802" t="s">
        <v>1834</v>
      </c>
      <c r="G10" s="1802" t="s">
        <v>1835</v>
      </c>
      <c r="H10" s="1956" t="s">
        <v>1836</v>
      </c>
      <c r="I10" s="1802" t="s">
        <v>1837</v>
      </c>
      <c r="J10" s="1956" t="s">
        <v>1204</v>
      </c>
      <c r="K10" s="1802" t="s">
        <v>1827</v>
      </c>
      <c r="L10" s="1802">
        <v>2</v>
      </c>
      <c r="M10" s="1957"/>
      <c r="N10" s="1958"/>
      <c r="O10" s="278"/>
      <c r="P10" s="272"/>
      <c r="Q10" s="272"/>
      <c r="R10" s="272"/>
      <c r="S10" s="272"/>
      <c r="T10" s="272"/>
      <c r="U10" s="272"/>
      <c r="V10" s="272"/>
      <c r="W10" s="272"/>
      <c r="X10" s="272"/>
      <c r="Y10" s="272"/>
      <c r="Z10" s="1927"/>
    </row>
    <row r="11" spans="1:26" s="11" customFormat="1" ht="18" customHeight="1" x14ac:dyDescent="0.3">
      <c r="A11" s="1933"/>
      <c r="B11" s="1934"/>
      <c r="C11" s="1934"/>
      <c r="D11" s="1934"/>
      <c r="E11" s="1934"/>
      <c r="F11" s="1934"/>
      <c r="G11" s="1934"/>
      <c r="H11" s="1934"/>
      <c r="I11" s="1934"/>
      <c r="J11" s="1934"/>
      <c r="K11" s="1934"/>
      <c r="L11" s="1934"/>
      <c r="M11" s="1935"/>
      <c r="N11" s="1936"/>
      <c r="O11" s="278"/>
      <c r="P11" s="272"/>
      <c r="Q11" s="272"/>
      <c r="R11" s="272"/>
      <c r="S11" s="272"/>
      <c r="T11" s="272"/>
      <c r="U11" s="272"/>
      <c r="V11" s="272"/>
      <c r="W11" s="272"/>
      <c r="X11" s="272"/>
      <c r="Y11" s="272"/>
      <c r="Z11" s="1927"/>
    </row>
    <row r="12" spans="1:26" s="11" customFormat="1" ht="18" customHeight="1" x14ac:dyDescent="0.3">
      <c r="A12" s="1937"/>
      <c r="B12" s="1938"/>
      <c r="C12" s="1938"/>
      <c r="D12" s="1938"/>
      <c r="E12" s="1938"/>
      <c r="F12" s="1938"/>
      <c r="G12" s="1938"/>
      <c r="H12" s="1938"/>
      <c r="I12" s="1938"/>
      <c r="J12" s="1938"/>
      <c r="K12" s="1938"/>
      <c r="L12" s="1938"/>
      <c r="M12" s="1939"/>
      <c r="N12" s="1940"/>
      <c r="O12" s="278"/>
      <c r="P12" s="272"/>
      <c r="Q12" s="272"/>
      <c r="R12" s="272"/>
      <c r="S12" s="272"/>
      <c r="T12" s="272"/>
      <c r="U12" s="272"/>
      <c r="V12" s="272"/>
      <c r="W12" s="272"/>
      <c r="X12" s="272"/>
      <c r="Y12" s="272"/>
      <c r="Z12" s="1927"/>
    </row>
    <row r="13" spans="1:26" s="11" customFormat="1" ht="18" customHeight="1" x14ac:dyDescent="0.3">
      <c r="A13" s="1937"/>
      <c r="B13" s="1938"/>
      <c r="C13" s="1938"/>
      <c r="D13" s="1938"/>
      <c r="E13" s="1938"/>
      <c r="F13" s="1941" t="s">
        <v>1838</v>
      </c>
      <c r="G13" s="1938"/>
      <c r="H13" s="1938"/>
      <c r="I13" s="1938"/>
      <c r="J13" s="1938"/>
      <c r="K13" s="1938"/>
      <c r="L13" s="1938"/>
      <c r="M13" s="1939"/>
      <c r="N13" s="1940"/>
      <c r="O13" s="278"/>
      <c r="P13" s="272"/>
      <c r="Q13" s="272"/>
      <c r="R13" s="272"/>
      <c r="S13" s="272"/>
      <c r="T13" s="272"/>
      <c r="U13" s="272"/>
      <c r="V13" s="272"/>
      <c r="W13" s="272"/>
      <c r="X13" s="272"/>
      <c r="Y13" s="272"/>
      <c r="Z13" s="1927"/>
    </row>
    <row r="14" spans="1:26" s="11" customFormat="1" ht="18" customHeight="1" x14ac:dyDescent="0.3">
      <c r="A14" s="1942"/>
      <c r="B14" s="1943"/>
      <c r="C14" s="1943"/>
      <c r="D14" s="1943"/>
      <c r="E14" s="1943"/>
      <c r="F14" s="1976" t="s">
        <v>1839</v>
      </c>
      <c r="G14" s="1943"/>
      <c r="H14" s="1943"/>
      <c r="I14" s="1943"/>
      <c r="J14" s="1943"/>
      <c r="K14" s="1943"/>
      <c r="L14" s="1943"/>
      <c r="M14" s="1944"/>
      <c r="N14" s="1945"/>
      <c r="O14" s="278"/>
      <c r="P14" s="272"/>
      <c r="Q14" s="272"/>
      <c r="R14" s="272"/>
      <c r="S14" s="272"/>
      <c r="T14" s="272"/>
      <c r="U14" s="272"/>
      <c r="V14" s="272"/>
      <c r="W14" s="272"/>
      <c r="X14" s="272"/>
      <c r="Y14" s="272"/>
      <c r="Z14" s="1927"/>
    </row>
    <row r="15" spans="1:26" s="11" customFormat="1" ht="22.05" customHeight="1" x14ac:dyDescent="0.3">
      <c r="A15" s="3863" t="s">
        <v>1840</v>
      </c>
      <c r="B15" s="3864"/>
      <c r="C15" s="3864"/>
      <c r="D15" s="3864"/>
      <c r="E15" s="3864"/>
      <c r="F15" s="3864"/>
      <c r="G15" s="3864"/>
      <c r="H15" s="3864"/>
      <c r="I15" s="3864"/>
      <c r="J15" s="3864"/>
      <c r="K15" s="3864"/>
      <c r="L15" s="3864"/>
      <c r="M15" s="3865"/>
      <c r="N15" s="3866"/>
      <c r="O15" s="3786"/>
      <c r="P15" s="3786"/>
      <c r="Q15" s="3786"/>
      <c r="R15" s="3786"/>
      <c r="S15" s="3786"/>
      <c r="T15" s="3786"/>
      <c r="U15" s="3786"/>
      <c r="V15" s="3786"/>
      <c r="W15" s="3786"/>
      <c r="X15" s="3786"/>
      <c r="Y15" s="3786"/>
      <c r="Z15" s="3787"/>
    </row>
    <row r="16" spans="1:26" s="11" customFormat="1" ht="40.049999999999997" customHeight="1" x14ac:dyDescent="0.3">
      <c r="A16" s="1972" t="s">
        <v>1800</v>
      </c>
      <c r="B16" s="1973" t="s">
        <v>122</v>
      </c>
      <c r="C16" s="1973" t="s">
        <v>692</v>
      </c>
      <c r="D16" s="1973" t="s">
        <v>694</v>
      </c>
      <c r="E16" s="1973" t="s">
        <v>695</v>
      </c>
      <c r="F16" s="1973" t="s">
        <v>1841</v>
      </c>
      <c r="G16" s="1973" t="s">
        <v>1842</v>
      </c>
      <c r="H16" s="1973" t="s">
        <v>1803</v>
      </c>
      <c r="I16" s="1973" t="s">
        <v>1843</v>
      </c>
      <c r="J16" s="1973" t="s">
        <v>1844</v>
      </c>
      <c r="K16" s="1973" t="s">
        <v>1845</v>
      </c>
      <c r="L16" s="1973" t="s">
        <v>1805</v>
      </c>
      <c r="M16" s="1977"/>
      <c r="N16" s="1978"/>
      <c r="O16" s="278"/>
      <c r="P16" s="272"/>
      <c r="Q16" s="272"/>
      <c r="R16" s="272"/>
      <c r="S16" s="272"/>
      <c r="T16" s="272"/>
      <c r="U16" s="272"/>
      <c r="V16" s="272"/>
      <c r="W16" s="272"/>
      <c r="X16" s="272"/>
      <c r="Y16" s="272"/>
      <c r="Z16" s="1927"/>
    </row>
    <row r="17" spans="1:26" s="11" customFormat="1" ht="37.950000000000003" customHeight="1" x14ac:dyDescent="0.3">
      <c r="A17" s="1930" t="s">
        <v>509</v>
      </c>
      <c r="B17" s="1784" t="s">
        <v>776</v>
      </c>
      <c r="C17" s="1784" t="s">
        <v>1815</v>
      </c>
      <c r="D17" s="1817">
        <f>'M2-PLAN-Pi'!F14</f>
        <v>0.33018018186699599</v>
      </c>
      <c r="E17" s="1817">
        <f>'DATA-TFR'!H6</f>
        <v>0.17664185031506524</v>
      </c>
      <c r="F17" s="1784" t="s">
        <v>1846</v>
      </c>
      <c r="G17" s="1844" t="s">
        <v>1847</v>
      </c>
      <c r="H17" s="1919" t="s">
        <v>1848</v>
      </c>
      <c r="I17" s="1784" t="s">
        <v>1849</v>
      </c>
      <c r="J17" s="1919" t="s">
        <v>1850</v>
      </c>
      <c r="K17" s="1784" t="s">
        <v>1851</v>
      </c>
      <c r="L17" s="1844" t="s">
        <v>96</v>
      </c>
      <c r="M17" s="1894"/>
      <c r="N17" s="1872"/>
      <c r="O17" s="278"/>
      <c r="P17" s="272"/>
      <c r="Q17" s="272"/>
      <c r="R17" s="272"/>
      <c r="S17" s="272"/>
      <c r="T17" s="272"/>
      <c r="U17" s="272"/>
      <c r="V17" s="272"/>
      <c r="W17" s="272"/>
      <c r="X17" s="272"/>
      <c r="Y17" s="272"/>
      <c r="Z17" s="1927"/>
    </row>
    <row r="18" spans="1:26" s="11" customFormat="1" ht="37.950000000000003" customHeight="1" x14ac:dyDescent="0.3">
      <c r="A18" s="1932" t="s">
        <v>715</v>
      </c>
      <c r="B18" s="1787" t="s">
        <v>1852</v>
      </c>
      <c r="C18" s="1787" t="s">
        <v>1815</v>
      </c>
      <c r="D18" s="1818">
        <f>'M2-PLAN-Pi'!F16</f>
        <v>0.1516189522727332</v>
      </c>
      <c r="E18" s="1818">
        <f>'DATA-TFR'!H8</f>
        <v>5.1342281756523014E-2</v>
      </c>
      <c r="F18" s="1787" t="s">
        <v>1853</v>
      </c>
      <c r="G18" s="1787" t="s">
        <v>1854</v>
      </c>
      <c r="H18" s="1923" t="s">
        <v>1855</v>
      </c>
      <c r="I18" s="1787" t="s">
        <v>1856</v>
      </c>
      <c r="J18" s="1923" t="s">
        <v>1857</v>
      </c>
      <c r="K18" s="1787" t="s">
        <v>1858</v>
      </c>
      <c r="L18" s="1899" t="s">
        <v>98</v>
      </c>
      <c r="M18" s="1895"/>
      <c r="N18" s="1873"/>
      <c r="O18" s="278"/>
      <c r="P18" s="272"/>
      <c r="Q18" s="272"/>
      <c r="R18" s="272"/>
      <c r="S18" s="272"/>
      <c r="T18" s="272"/>
      <c r="U18" s="272"/>
      <c r="V18" s="272"/>
      <c r="W18" s="272"/>
      <c r="X18" s="272"/>
      <c r="Y18" s="272"/>
      <c r="Z18" s="1927"/>
    </row>
    <row r="19" spans="1:26" s="11" customFormat="1" ht="37.950000000000003" customHeight="1" x14ac:dyDescent="0.3">
      <c r="A19" s="1930" t="s">
        <v>518</v>
      </c>
      <c r="B19" s="1784" t="s">
        <v>1184</v>
      </c>
      <c r="C19" s="1784" t="s">
        <v>1859</v>
      </c>
      <c r="D19" s="1817">
        <f>'M2-PLAN-Pi'!F21</f>
        <v>2.7121740693637479E-2</v>
      </c>
      <c r="E19" s="1817">
        <f>'DATA-TFR'!H13</f>
        <v>2.5461988827181092E-2</v>
      </c>
      <c r="F19" s="1784" t="s">
        <v>1860</v>
      </c>
      <c r="G19" s="1784" t="s">
        <v>1861</v>
      </c>
      <c r="H19" s="1919" t="s">
        <v>1862</v>
      </c>
      <c r="I19" s="1784" t="s">
        <v>1863</v>
      </c>
      <c r="J19" s="1919" t="s">
        <v>1864</v>
      </c>
      <c r="K19" s="1784" t="s">
        <v>1865</v>
      </c>
      <c r="L19" s="1844" t="s">
        <v>98</v>
      </c>
      <c r="M19" s="1894"/>
      <c r="N19" s="1872"/>
      <c r="O19" s="278"/>
      <c r="P19" s="272"/>
      <c r="Q19" s="272"/>
      <c r="R19" s="272"/>
      <c r="S19" s="272"/>
      <c r="T19" s="272"/>
      <c r="U19" s="272"/>
      <c r="V19" s="272"/>
      <c r="W19" s="272"/>
      <c r="X19" s="272"/>
      <c r="Y19" s="272"/>
      <c r="Z19" s="1927"/>
    </row>
    <row r="20" spans="1:26" s="11" customFormat="1" ht="37.950000000000003" customHeight="1" x14ac:dyDescent="0.3">
      <c r="A20" s="1932" t="s">
        <v>531</v>
      </c>
      <c r="B20" s="1787" t="s">
        <v>783</v>
      </c>
      <c r="C20" s="1787" t="s">
        <v>1815</v>
      </c>
      <c r="D20" s="1818">
        <f>'M2-PLAN-Pi'!F22</f>
        <v>2.5461988827181092E-2</v>
      </c>
      <c r="E20" s="1818">
        <f>'DATA-TFR'!H14</f>
        <v>2.2697015989676123E-2</v>
      </c>
      <c r="F20" s="1787" t="s">
        <v>1866</v>
      </c>
      <c r="G20" s="1787" t="s">
        <v>1867</v>
      </c>
      <c r="H20" s="1923" t="s">
        <v>1868</v>
      </c>
      <c r="I20" s="1787" t="s">
        <v>1869</v>
      </c>
      <c r="J20" s="1923" t="s">
        <v>1870</v>
      </c>
      <c r="K20" s="1787" t="s">
        <v>1871</v>
      </c>
      <c r="L20" s="1899" t="s">
        <v>1174</v>
      </c>
      <c r="M20" s="1895"/>
      <c r="N20" s="1873"/>
      <c r="O20" s="278"/>
      <c r="P20" s="272"/>
      <c r="Q20" s="272"/>
      <c r="R20" s="272"/>
      <c r="S20" s="272"/>
      <c r="T20" s="272"/>
      <c r="U20" s="272"/>
      <c r="V20" s="272"/>
      <c r="W20" s="272"/>
      <c r="X20" s="272"/>
      <c r="Y20" s="272"/>
      <c r="Z20" s="1927"/>
    </row>
    <row r="21" spans="1:26" s="11" customFormat="1" ht="37.950000000000003" customHeight="1" x14ac:dyDescent="0.3">
      <c r="A21" s="1930" t="s">
        <v>655</v>
      </c>
      <c r="B21" s="1784" t="s">
        <v>786</v>
      </c>
      <c r="C21" s="1784" t="s">
        <v>1872</v>
      </c>
      <c r="D21" s="1817">
        <f>'M2-PLAN-Pi'!F27</f>
        <v>9.8210528333412782E-3</v>
      </c>
      <c r="E21" s="1817">
        <f>'DATA-TFR'!H19</f>
        <v>8.6100169897484775E-3</v>
      </c>
      <c r="F21" s="1784" t="s">
        <v>1873</v>
      </c>
      <c r="G21" s="1784" t="s">
        <v>1874</v>
      </c>
      <c r="H21" s="1919" t="s">
        <v>1875</v>
      </c>
      <c r="I21" s="1784" t="s">
        <v>1876</v>
      </c>
      <c r="J21" s="1919" t="s">
        <v>1877</v>
      </c>
      <c r="K21" s="1784" t="s">
        <v>1878</v>
      </c>
      <c r="L21" s="1844" t="s">
        <v>1174</v>
      </c>
      <c r="M21" s="1894"/>
      <c r="N21" s="1872"/>
      <c r="O21" s="278"/>
      <c r="P21" s="272"/>
      <c r="Q21" s="272"/>
      <c r="R21" s="272"/>
      <c r="S21" s="272"/>
      <c r="T21" s="272"/>
      <c r="U21" s="272"/>
      <c r="V21" s="272"/>
      <c r="W21" s="272"/>
      <c r="X21" s="272"/>
      <c r="Y21" s="272"/>
      <c r="Z21" s="1927"/>
    </row>
    <row r="22" spans="1:26" s="11" customFormat="1" ht="37.950000000000003" customHeight="1" x14ac:dyDescent="0.3">
      <c r="A22" s="1963" t="s">
        <v>486</v>
      </c>
      <c r="B22" s="1790" t="s">
        <v>785</v>
      </c>
      <c r="C22" s="1790" t="s">
        <v>1859</v>
      </c>
      <c r="D22" s="1819">
        <f>'M2-PLAN-Pi'!F24</f>
        <v>1.8490239847697151E-2</v>
      </c>
      <c r="E22" s="1819">
        <f>'DATA-TFR'!H16</f>
        <v>1.8216107891773022E-2</v>
      </c>
      <c r="F22" s="1790" t="s">
        <v>1879</v>
      </c>
      <c r="G22" s="1790" t="s">
        <v>1880</v>
      </c>
      <c r="H22" s="1964" t="s">
        <v>1881</v>
      </c>
      <c r="I22" s="1790" t="s">
        <v>1882</v>
      </c>
      <c r="J22" s="1964" t="s">
        <v>1883</v>
      </c>
      <c r="K22" s="1790" t="s">
        <v>1884</v>
      </c>
      <c r="L22" s="1965" t="s">
        <v>98</v>
      </c>
      <c r="M22" s="1966"/>
      <c r="N22" s="1874"/>
      <c r="O22" s="278"/>
      <c r="P22" s="272"/>
      <c r="Q22" s="272"/>
      <c r="R22" s="272"/>
      <c r="S22" s="272"/>
      <c r="T22" s="272"/>
      <c r="U22" s="272"/>
      <c r="V22" s="272"/>
      <c r="W22" s="272"/>
      <c r="X22" s="272"/>
      <c r="Y22" s="272"/>
      <c r="Z22" s="1927"/>
    </row>
    <row r="23" spans="1:26" s="11" customFormat="1" ht="4.95" customHeight="1" x14ac:dyDescent="0.3">
      <c r="A23" s="1959"/>
      <c r="B23" s="1960"/>
      <c r="C23" s="1960"/>
      <c r="D23" s="1960"/>
      <c r="E23" s="1960"/>
      <c r="F23" s="1960"/>
      <c r="G23" s="1960"/>
      <c r="H23" s="1960"/>
      <c r="I23" s="1960"/>
      <c r="J23" s="1960"/>
      <c r="K23" s="1960"/>
      <c r="L23" s="1960"/>
      <c r="M23" s="1961"/>
      <c r="N23" s="1962"/>
      <c r="O23" s="278"/>
      <c r="P23" s="272"/>
      <c r="Q23" s="272"/>
      <c r="R23" s="272"/>
      <c r="S23" s="272"/>
      <c r="T23" s="272"/>
      <c r="U23" s="272"/>
      <c r="V23" s="272"/>
      <c r="W23" s="272"/>
      <c r="X23" s="272"/>
      <c r="Y23" s="272"/>
      <c r="Z23" s="1927"/>
    </row>
    <row r="24" spans="1:26" s="11" customFormat="1" ht="22.05" customHeight="1" x14ac:dyDescent="0.3">
      <c r="A24" s="3860" t="s">
        <v>1885</v>
      </c>
      <c r="B24" s="3861"/>
      <c r="C24" s="3861"/>
      <c r="D24" s="3861"/>
      <c r="E24" s="3861"/>
      <c r="F24" s="3861"/>
      <c r="G24" s="3861"/>
      <c r="H24" s="3861"/>
      <c r="I24" s="3861"/>
      <c r="J24" s="3861"/>
      <c r="K24" s="3861"/>
      <c r="L24" s="3861"/>
      <c r="M24" s="3861"/>
      <c r="N24" s="3862"/>
      <c r="O24" s="3764"/>
      <c r="P24" s="3764"/>
      <c r="Q24" s="3764"/>
      <c r="R24" s="3764"/>
      <c r="S24" s="3764"/>
      <c r="T24" s="3764"/>
      <c r="U24" s="3764"/>
      <c r="V24" s="3764"/>
      <c r="W24" s="3764"/>
      <c r="X24" s="3764"/>
      <c r="Y24" s="3764"/>
      <c r="Z24" s="3765"/>
    </row>
    <row r="25" spans="1:26" s="11" customFormat="1" ht="40.049999999999997" customHeight="1" x14ac:dyDescent="0.3">
      <c r="A25" s="1972" t="s">
        <v>1886</v>
      </c>
      <c r="B25" s="1973" t="s">
        <v>1800</v>
      </c>
      <c r="C25" s="1973" t="s">
        <v>692</v>
      </c>
      <c r="D25" s="1973" t="s">
        <v>122</v>
      </c>
      <c r="E25" s="1973" t="s">
        <v>1887</v>
      </c>
      <c r="F25" s="1973" t="s">
        <v>1888</v>
      </c>
      <c r="G25" s="1973" t="s">
        <v>1889</v>
      </c>
      <c r="H25" s="1973" t="s">
        <v>1890</v>
      </c>
      <c r="I25" s="1973" t="s">
        <v>1593</v>
      </c>
      <c r="J25" s="1973" t="s">
        <v>1891</v>
      </c>
      <c r="K25" s="1973" t="s">
        <v>30</v>
      </c>
      <c r="L25" s="1973" t="s">
        <v>1738</v>
      </c>
      <c r="M25" s="1979"/>
      <c r="N25" s="1978"/>
      <c r="O25" s="278"/>
      <c r="P25" s="272"/>
      <c r="Q25" s="272"/>
      <c r="R25" s="272"/>
      <c r="S25" s="272"/>
      <c r="T25" s="272"/>
      <c r="U25" s="272"/>
      <c r="V25" s="272"/>
      <c r="W25" s="272"/>
      <c r="X25" s="272"/>
      <c r="Y25" s="272"/>
      <c r="Z25" s="1927"/>
    </row>
    <row r="26" spans="1:26" s="11" customFormat="1" ht="37.950000000000003" customHeight="1" x14ac:dyDescent="0.3">
      <c r="A26" s="1946" t="s">
        <v>1892</v>
      </c>
      <c r="B26" s="1784" t="s">
        <v>1893</v>
      </c>
      <c r="C26" s="1784" t="s">
        <v>1859</v>
      </c>
      <c r="D26" s="1931" t="s">
        <v>1894</v>
      </c>
      <c r="E26" s="1947" t="s">
        <v>1895</v>
      </c>
      <c r="F26" s="1926" t="s">
        <v>1896</v>
      </c>
      <c r="G26" s="1947" t="s">
        <v>1897</v>
      </c>
      <c r="H26" s="1947" t="s">
        <v>1898</v>
      </c>
      <c r="I26" s="1918" t="s">
        <v>1899</v>
      </c>
      <c r="J26" s="1784" t="s">
        <v>1900</v>
      </c>
      <c r="K26" s="1784" t="s">
        <v>1901</v>
      </c>
      <c r="L26" s="1844" t="s">
        <v>98</v>
      </c>
      <c r="M26" s="1948"/>
      <c r="N26" s="1872"/>
      <c r="O26" s="278"/>
      <c r="P26" s="272"/>
      <c r="Q26" s="272"/>
      <c r="R26" s="272"/>
      <c r="S26" s="272"/>
      <c r="T26" s="272"/>
      <c r="U26" s="272"/>
      <c r="V26" s="272"/>
      <c r="W26" s="272"/>
      <c r="X26" s="272"/>
      <c r="Y26" s="272"/>
      <c r="Z26" s="1927"/>
    </row>
    <row r="27" spans="1:26" s="11" customFormat="1" ht="37.950000000000003" customHeight="1" x14ac:dyDescent="0.3">
      <c r="A27" s="3878" t="s">
        <v>1902</v>
      </c>
      <c r="B27" s="3879"/>
      <c r="C27" s="3879"/>
      <c r="D27" s="3880"/>
      <c r="E27" s="3880"/>
      <c r="F27" s="3880"/>
      <c r="G27" s="3880"/>
      <c r="H27" s="3880"/>
      <c r="I27" s="3880"/>
      <c r="J27" s="3879"/>
      <c r="K27" s="3879"/>
      <c r="L27" s="3879"/>
      <c r="M27" s="3880"/>
      <c r="N27" s="3881"/>
      <c r="O27" s="3764"/>
      <c r="P27" s="3764"/>
      <c r="Q27" s="3764"/>
      <c r="R27" s="3764"/>
      <c r="S27" s="3764"/>
      <c r="T27" s="3764"/>
      <c r="U27" s="3764"/>
      <c r="V27" s="3764"/>
      <c r="W27" s="3764"/>
      <c r="X27" s="3764"/>
      <c r="Y27" s="3764"/>
      <c r="Z27" s="3765"/>
    </row>
    <row r="28" spans="1:26" s="11" customFormat="1" ht="37.950000000000003" customHeight="1" x14ac:dyDescent="0.3">
      <c r="A28" s="1946" t="s">
        <v>1905</v>
      </c>
      <c r="B28" s="1784" t="s">
        <v>1906</v>
      </c>
      <c r="C28" s="1784" t="s">
        <v>1872</v>
      </c>
      <c r="D28" s="1931" t="s">
        <v>1907</v>
      </c>
      <c r="E28" s="1947" t="s">
        <v>1908</v>
      </c>
      <c r="F28" s="1926" t="s">
        <v>1909</v>
      </c>
      <c r="G28" s="1947" t="s">
        <v>1910</v>
      </c>
      <c r="H28" s="1947" t="s">
        <v>1911</v>
      </c>
      <c r="I28" s="1918" t="s">
        <v>1912</v>
      </c>
      <c r="J28" s="1784" t="s">
        <v>1913</v>
      </c>
      <c r="K28" s="1784" t="s">
        <v>1914</v>
      </c>
      <c r="L28" s="1844" t="s">
        <v>1174</v>
      </c>
      <c r="M28" s="1948"/>
      <c r="N28" s="1872"/>
      <c r="O28" s="278"/>
      <c r="P28" s="272"/>
      <c r="Q28" s="272"/>
      <c r="R28" s="272"/>
      <c r="S28" s="272"/>
      <c r="T28" s="272"/>
      <c r="U28" s="272"/>
      <c r="V28" s="272"/>
      <c r="W28" s="272"/>
      <c r="X28" s="272"/>
      <c r="Y28" s="272"/>
      <c r="Z28" s="1927"/>
    </row>
    <row r="29" spans="1:26" s="11" customFormat="1" ht="37.950000000000003" customHeight="1" x14ac:dyDescent="0.3">
      <c r="A29" s="1967" t="s">
        <v>1915</v>
      </c>
      <c r="B29" s="1790" t="s">
        <v>1906</v>
      </c>
      <c r="C29" s="1790" t="s">
        <v>1807</v>
      </c>
      <c r="D29" s="1968" t="s">
        <v>1916</v>
      </c>
      <c r="E29" s="1969" t="s">
        <v>1917</v>
      </c>
      <c r="F29" s="1970" t="s">
        <v>1918</v>
      </c>
      <c r="G29" s="1969" t="s">
        <v>1919</v>
      </c>
      <c r="H29" s="1969" t="s">
        <v>1920</v>
      </c>
      <c r="I29" s="1970" t="s">
        <v>1921</v>
      </c>
      <c r="J29" s="1790" t="s">
        <v>1904</v>
      </c>
      <c r="K29" s="1790" t="s">
        <v>1901</v>
      </c>
      <c r="L29" s="1965" t="s">
        <v>98</v>
      </c>
      <c r="M29" s="1971"/>
      <c r="N29" s="1874"/>
      <c r="O29" s="278"/>
      <c r="P29" s="272"/>
      <c r="Q29" s="272"/>
      <c r="R29" s="272"/>
      <c r="S29" s="272"/>
      <c r="T29" s="272"/>
      <c r="U29" s="272"/>
      <c r="V29" s="272"/>
      <c r="W29" s="272"/>
      <c r="X29" s="272"/>
      <c r="Y29" s="272"/>
      <c r="Z29" s="1927"/>
    </row>
    <row r="30" spans="1:26" s="11" customFormat="1" ht="4.95" customHeight="1" x14ac:dyDescent="0.3">
      <c r="A30" s="1959"/>
      <c r="B30" s="1960"/>
      <c r="C30" s="1960"/>
      <c r="D30" s="1960"/>
      <c r="E30" s="1960"/>
      <c r="F30" s="1960"/>
      <c r="G30" s="1960"/>
      <c r="H30" s="1960"/>
      <c r="I30" s="1960"/>
      <c r="J30" s="1960"/>
      <c r="K30" s="1960"/>
      <c r="L30" s="1960"/>
      <c r="M30" s="1980"/>
      <c r="N30" s="1962"/>
      <c r="O30" s="278"/>
      <c r="P30" s="272"/>
      <c r="Q30" s="272"/>
      <c r="R30" s="272"/>
      <c r="S30" s="272"/>
      <c r="T30" s="272"/>
      <c r="U30" s="272"/>
      <c r="V30" s="272"/>
      <c r="W30" s="272"/>
      <c r="X30" s="272"/>
      <c r="Y30" s="272"/>
      <c r="Z30" s="1927"/>
    </row>
    <row r="31" spans="1:26" ht="22.05" customHeight="1" x14ac:dyDescent="0.3">
      <c r="A31" s="3860" t="s">
        <v>1922</v>
      </c>
      <c r="B31" s="3861"/>
      <c r="C31" s="3861"/>
      <c r="D31" s="3861"/>
      <c r="E31" s="3861"/>
      <c r="F31" s="3861"/>
      <c r="G31" s="3861"/>
      <c r="H31" s="3861"/>
      <c r="I31" s="3861"/>
      <c r="J31" s="3861"/>
      <c r="K31" s="3861"/>
      <c r="L31" s="3861"/>
      <c r="M31" s="3861"/>
      <c r="N31" s="3862"/>
      <c r="O31" s="3764"/>
      <c r="P31" s="3764"/>
      <c r="Q31" s="3764"/>
      <c r="R31" s="3764"/>
      <c r="S31" s="3764"/>
      <c r="T31" s="3764"/>
      <c r="U31" s="3764"/>
      <c r="V31" s="3764"/>
      <c r="W31" s="3764"/>
      <c r="X31" s="3764"/>
      <c r="Y31" s="3764"/>
      <c r="Z31" s="3765"/>
    </row>
    <row r="32" spans="1:26" ht="40.049999999999997" customHeight="1" x14ac:dyDescent="0.3">
      <c r="A32" s="1972" t="s">
        <v>1923</v>
      </c>
      <c r="B32" s="1973" t="s">
        <v>1924</v>
      </c>
      <c r="C32" s="1973" t="s">
        <v>1925</v>
      </c>
      <c r="D32" s="1973" t="s">
        <v>1926</v>
      </c>
      <c r="E32" s="1973" t="s">
        <v>1927</v>
      </c>
      <c r="F32" s="1973" t="s">
        <v>1928</v>
      </c>
      <c r="G32" s="1973" t="s">
        <v>1929</v>
      </c>
      <c r="H32" s="1973" t="s">
        <v>700</v>
      </c>
      <c r="I32" s="1973" t="s">
        <v>1930</v>
      </c>
      <c r="J32" s="1973" t="s">
        <v>1931</v>
      </c>
      <c r="K32" s="1973" t="s">
        <v>30</v>
      </c>
      <c r="L32" s="1973" t="s">
        <v>1738</v>
      </c>
      <c r="M32" s="1979"/>
      <c r="N32" s="1978"/>
      <c r="O32" s="1928"/>
      <c r="P32" s="273"/>
      <c r="Q32" s="273"/>
      <c r="R32" s="273"/>
      <c r="S32" s="273"/>
      <c r="T32" s="273"/>
      <c r="U32" s="273"/>
      <c r="V32" s="273"/>
      <c r="W32" s="273"/>
      <c r="X32" s="273"/>
      <c r="Y32" s="273"/>
      <c r="Z32" s="1929"/>
    </row>
    <row r="33" spans="1:26" ht="31.95" customHeight="1" x14ac:dyDescent="0.3">
      <c r="A33" s="1917" t="s">
        <v>1932</v>
      </c>
      <c r="B33" s="1831" t="str">
        <f>TEXT('M5-ICPI'!G29,"0,00")&amp;" %"</f>
        <v>38,28 %</v>
      </c>
      <c r="C33" s="1847" t="s">
        <v>1933</v>
      </c>
      <c r="D33" s="1784" t="s">
        <v>1934</v>
      </c>
      <c r="E33" s="1947" t="s">
        <v>1935</v>
      </c>
      <c r="F33" s="1931" t="s">
        <v>1936</v>
      </c>
      <c r="G33" s="1784" t="s">
        <v>1937</v>
      </c>
      <c r="H33" s="1919" t="s">
        <v>1938</v>
      </c>
      <c r="I33" s="1919" t="s">
        <v>113</v>
      </c>
      <c r="J33" s="1784" t="s">
        <v>1939</v>
      </c>
      <c r="K33" s="1784" t="s">
        <v>1940</v>
      </c>
      <c r="L33" s="1844" t="s">
        <v>96</v>
      </c>
      <c r="M33" s="1948"/>
      <c r="N33" s="1872"/>
      <c r="O33" s="1928"/>
      <c r="P33" s="273"/>
      <c r="Q33" s="273"/>
      <c r="R33" s="273"/>
      <c r="S33" s="273"/>
      <c r="T33" s="273"/>
      <c r="U33" s="273"/>
      <c r="V33" s="273"/>
      <c r="W33" s="273"/>
      <c r="X33" s="273"/>
      <c r="Y33" s="273"/>
      <c r="Z33" s="1929"/>
    </row>
    <row r="34" spans="1:26" ht="31.95" customHeight="1" x14ac:dyDescent="0.3">
      <c r="A34" s="1920" t="s">
        <v>1941</v>
      </c>
      <c r="B34" s="1832" t="s">
        <v>1942</v>
      </c>
      <c r="C34" s="1923" t="s">
        <v>1942</v>
      </c>
      <c r="D34" s="1899" t="s">
        <v>1943</v>
      </c>
      <c r="E34" s="1922" t="s">
        <v>1942</v>
      </c>
      <c r="F34" s="1922" t="s">
        <v>1944</v>
      </c>
      <c r="G34" s="1787" t="s">
        <v>1945</v>
      </c>
      <c r="H34" s="1923" t="s">
        <v>1946</v>
      </c>
      <c r="I34" s="1923" t="s">
        <v>1947</v>
      </c>
      <c r="J34" s="1787" t="s">
        <v>1948</v>
      </c>
      <c r="K34" s="1787" t="s">
        <v>1949</v>
      </c>
      <c r="L34" s="1899" t="s">
        <v>96</v>
      </c>
      <c r="M34" s="1950"/>
      <c r="N34" s="1873"/>
      <c r="O34" s="1928"/>
      <c r="P34" s="273"/>
      <c r="Q34" s="273"/>
      <c r="R34" s="273"/>
      <c r="S34" s="273"/>
      <c r="T34" s="273"/>
      <c r="U34" s="273"/>
      <c r="V34" s="273"/>
      <c r="W34" s="273"/>
      <c r="X34" s="273"/>
      <c r="Y34" s="273"/>
      <c r="Z34" s="1929"/>
    </row>
    <row r="35" spans="1:26" ht="31.95" customHeight="1" x14ac:dyDescent="0.3">
      <c r="A35" s="1917" t="s">
        <v>1950</v>
      </c>
      <c r="B35" s="1831" t="s">
        <v>1951</v>
      </c>
      <c r="C35" s="1919" t="s">
        <v>1952</v>
      </c>
      <c r="D35" s="1784" t="s">
        <v>1953</v>
      </c>
      <c r="E35" s="1931" t="s">
        <v>1954</v>
      </c>
      <c r="F35" s="1947" t="s">
        <v>1955</v>
      </c>
      <c r="G35" s="1784" t="s">
        <v>1945</v>
      </c>
      <c r="H35" s="1919" t="s">
        <v>1956</v>
      </c>
      <c r="I35" s="1919" t="s">
        <v>1957</v>
      </c>
      <c r="J35" s="1784" t="s">
        <v>1958</v>
      </c>
      <c r="K35" s="1784"/>
      <c r="L35" s="1844" t="s">
        <v>96</v>
      </c>
      <c r="M35" s="1948"/>
      <c r="N35" s="1872"/>
      <c r="O35" s="1928"/>
      <c r="P35" s="273"/>
      <c r="Q35" s="273"/>
      <c r="R35" s="273"/>
      <c r="S35" s="273"/>
      <c r="T35" s="273"/>
      <c r="U35" s="273"/>
      <c r="V35" s="273"/>
      <c r="W35" s="273"/>
      <c r="X35" s="273"/>
      <c r="Y35" s="273"/>
      <c r="Z35" s="1929"/>
    </row>
    <row r="36" spans="1:26" ht="31.95" customHeight="1" x14ac:dyDescent="0.3">
      <c r="A36" s="1981" t="s">
        <v>1959</v>
      </c>
      <c r="B36" s="1877" t="s">
        <v>1960</v>
      </c>
      <c r="C36" s="1982" t="s">
        <v>1961</v>
      </c>
      <c r="D36" s="1876" t="s">
        <v>1962</v>
      </c>
      <c r="E36" s="1983" t="s">
        <v>1963</v>
      </c>
      <c r="F36" s="1984" t="s">
        <v>1964</v>
      </c>
      <c r="G36" s="1876" t="s">
        <v>1945</v>
      </c>
      <c r="H36" s="1982" t="s">
        <v>1965</v>
      </c>
      <c r="I36" s="1982" t="s">
        <v>1966</v>
      </c>
      <c r="J36" s="1876" t="s">
        <v>1958</v>
      </c>
      <c r="K36" s="1876" t="s">
        <v>1967</v>
      </c>
      <c r="L36" s="1900" t="s">
        <v>98</v>
      </c>
      <c r="M36" s="1985"/>
      <c r="N36" s="1878"/>
      <c r="O36" s="1928"/>
      <c r="P36" s="273"/>
      <c r="Q36" s="273"/>
      <c r="R36" s="273"/>
      <c r="S36" s="273"/>
      <c r="T36" s="273"/>
      <c r="U36" s="273"/>
      <c r="V36" s="273"/>
      <c r="W36" s="273"/>
      <c r="X36" s="273"/>
      <c r="Y36" s="273"/>
      <c r="Z36" s="1929"/>
    </row>
    <row r="37" spans="1:26" ht="18" customHeight="1" x14ac:dyDescent="0.3">
      <c r="A37" s="3860" t="s">
        <v>1496</v>
      </c>
      <c r="B37" s="3861"/>
      <c r="C37" s="3861"/>
      <c r="D37" s="3861"/>
      <c r="E37" s="3861"/>
      <c r="F37" s="3861"/>
      <c r="G37" s="3861"/>
      <c r="H37" s="3861"/>
      <c r="I37" s="3861"/>
      <c r="J37" s="3861"/>
      <c r="K37" s="3861"/>
      <c r="L37" s="3861"/>
      <c r="M37" s="3861"/>
      <c r="N37" s="3862"/>
      <c r="O37" s="3764"/>
      <c r="P37" s="3764"/>
      <c r="Q37" s="3764"/>
      <c r="R37" s="3764"/>
      <c r="S37" s="3764"/>
      <c r="T37" s="3764"/>
      <c r="U37" s="3764"/>
      <c r="V37" s="3764"/>
      <c r="W37" s="3764"/>
      <c r="X37" s="3764"/>
      <c r="Y37" s="3764"/>
      <c r="Z37" s="3765"/>
    </row>
    <row r="38" spans="1:26" ht="19.95" customHeight="1" x14ac:dyDescent="0.3">
      <c r="A38" s="1951" t="s">
        <v>1968</v>
      </c>
      <c r="B38" s="3867"/>
      <c r="C38" s="3867"/>
      <c r="D38" s="3867"/>
      <c r="E38" s="3867"/>
      <c r="F38" s="3867"/>
      <c r="G38" s="3867"/>
      <c r="H38" s="3867"/>
      <c r="I38" s="3867"/>
      <c r="J38" s="3867"/>
      <c r="K38" s="3867"/>
      <c r="L38" s="3867"/>
      <c r="M38" s="3867"/>
      <c r="N38" s="3868"/>
      <c r="O38" s="3869"/>
      <c r="P38" s="3869"/>
      <c r="Q38" s="3869"/>
      <c r="R38" s="3869"/>
      <c r="S38" s="3869"/>
      <c r="T38" s="3869"/>
      <c r="U38" s="3869"/>
      <c r="V38" s="3869"/>
      <c r="W38" s="3869"/>
      <c r="X38" s="3869"/>
      <c r="Y38" s="3869"/>
      <c r="Z38" s="3870"/>
    </row>
    <row r="39" spans="1:26" ht="19.95" customHeight="1" x14ac:dyDescent="0.3">
      <c r="A39" s="1989" t="s">
        <v>1969</v>
      </c>
      <c r="B39" s="3871"/>
      <c r="C39" s="3871"/>
      <c r="D39" s="3871"/>
      <c r="E39" s="3871"/>
      <c r="F39" s="3871"/>
      <c r="G39" s="3871"/>
      <c r="H39" s="3871"/>
      <c r="I39" s="3871"/>
      <c r="J39" s="3871"/>
      <c r="K39" s="3871"/>
      <c r="L39" s="3871"/>
      <c r="M39" s="3871"/>
      <c r="N39" s="3872"/>
      <c r="O39" s="3873"/>
      <c r="P39" s="3873"/>
      <c r="Q39" s="3873"/>
      <c r="R39" s="3873"/>
      <c r="S39" s="3873"/>
      <c r="T39" s="3873"/>
      <c r="U39" s="3873"/>
      <c r="V39" s="3873"/>
      <c r="W39" s="3873"/>
      <c r="X39" s="3873"/>
      <c r="Y39" s="3873"/>
      <c r="Z39" s="3874"/>
    </row>
    <row r="40" spans="1:26" ht="19.95" customHeight="1" x14ac:dyDescent="0.3">
      <c r="A40" s="1986"/>
      <c r="B40" s="1987"/>
      <c r="C40" s="1987"/>
      <c r="D40" s="1987"/>
      <c r="E40" s="1987"/>
      <c r="F40" s="1987"/>
      <c r="G40" s="1987"/>
      <c r="H40" s="1987"/>
      <c r="I40" s="1987"/>
      <c r="J40" s="1987"/>
      <c r="K40" s="1987"/>
      <c r="L40" s="1987"/>
      <c r="M40" s="1987"/>
      <c r="N40" s="1988"/>
    </row>
    <row r="41" spans="1:26" ht="49.95" customHeight="1" x14ac:dyDescent="0.3">
      <c r="A41" s="1863"/>
      <c r="B41" s="1864"/>
      <c r="C41" s="1864"/>
      <c r="D41" s="1864"/>
      <c r="E41" s="1864"/>
      <c r="F41" s="1864"/>
      <c r="G41" s="1864"/>
      <c r="H41" s="1864"/>
      <c r="I41" s="1864"/>
      <c r="J41" s="1864"/>
      <c r="K41" s="1864"/>
      <c r="L41" s="1864"/>
      <c r="M41" s="1864"/>
      <c r="N41" s="1865"/>
    </row>
    <row r="42" spans="1:26" ht="36" customHeight="1" x14ac:dyDescent="0.3">
      <c r="A42" s="1863"/>
      <c r="B42" s="1864"/>
      <c r="C42" s="1864"/>
      <c r="D42" s="1864"/>
      <c r="E42" s="1864"/>
      <c r="F42" s="1864"/>
      <c r="G42" s="1864"/>
      <c r="H42" s="1864"/>
      <c r="I42" s="1864"/>
      <c r="J42" s="1864"/>
      <c r="K42" s="1864"/>
      <c r="L42" s="1864"/>
      <c r="M42" s="1864"/>
      <c r="N42" s="1865"/>
    </row>
    <row r="43" spans="1:26" ht="36" customHeight="1" x14ac:dyDescent="0.3">
      <c r="A43" s="1863"/>
      <c r="B43" s="1864"/>
      <c r="C43" s="1864"/>
      <c r="D43" s="1864"/>
      <c r="E43" s="1864"/>
      <c r="F43" s="1864"/>
      <c r="G43" s="1864"/>
      <c r="H43" s="1864"/>
      <c r="I43" s="1864"/>
      <c r="J43" s="1864"/>
      <c r="K43" s="1864"/>
      <c r="L43" s="1864"/>
      <c r="M43" s="1864"/>
      <c r="N43" s="1865"/>
    </row>
    <row r="44" spans="1:26" ht="36" customHeight="1" x14ac:dyDescent="0.3">
      <c r="A44" s="1863"/>
      <c r="B44" s="1864"/>
      <c r="C44" s="1864"/>
      <c r="D44" s="1864"/>
      <c r="E44" s="1864"/>
      <c r="F44" s="1864"/>
      <c r="G44" s="1864"/>
      <c r="H44" s="1864"/>
      <c r="I44" s="1864"/>
      <c r="J44" s="1864"/>
      <c r="K44" s="1864"/>
      <c r="L44" s="1864"/>
      <c r="M44" s="1864"/>
      <c r="N44" s="1865"/>
    </row>
    <row r="45" spans="1:26" x14ac:dyDescent="0.3">
      <c r="A45" s="1866"/>
      <c r="B45" s="1867"/>
      <c r="C45" s="1867"/>
      <c r="D45" s="1867"/>
      <c r="E45" s="1867"/>
      <c r="F45" s="1867"/>
      <c r="G45" s="1867"/>
      <c r="H45" s="1867"/>
      <c r="I45" s="1867"/>
      <c r="J45" s="1867"/>
      <c r="K45" s="1867"/>
      <c r="L45" s="1867"/>
      <c r="M45" s="1867"/>
      <c r="N45" s="1868"/>
    </row>
  </sheetData>
  <mergeCells count="10">
    <mergeCell ref="A37:Z37"/>
    <mergeCell ref="A1:Z1"/>
    <mergeCell ref="A15:Z15"/>
    <mergeCell ref="B38:Z38"/>
    <mergeCell ref="B39:Z39"/>
    <mergeCell ref="A4:Z4"/>
    <mergeCell ref="A3:Z3"/>
    <mergeCell ref="A24:Z24"/>
    <mergeCell ref="A27:Z27"/>
    <mergeCell ref="A31:Z31"/>
  </mergeCells>
  <conditionalFormatting sqref="A26:A29">
    <cfRule type="containsText" dxfId="358" priority="20" operator="containsText" text="TENSIÓN">
      <formula>NOT(ISERROR(SEARCH("TENSIÓN",A26)))</formula>
    </cfRule>
    <cfRule type="containsText" dxfId="357" priority="22" operator="containsText" text="GAP">
      <formula>NOT(ISERROR(SEARCH("GAP",A26)))</formula>
    </cfRule>
    <cfRule type="containsText" dxfId="356" priority="21" operator="containsText" text="PARADOJA">
      <formula>NOT(ISERROR(SEARCH("PARADOJA",A26)))</formula>
    </cfRule>
    <cfRule type="containsText" dxfId="355" priority="19" operator="containsText" text="DUPLICACIÓN">
      <formula>NOT(ISERROR(SEARCH("DUPLICACIÓN",A26)))</formula>
    </cfRule>
  </conditionalFormatting>
  <conditionalFormatting sqref="C6:C10">
    <cfRule type="containsText" dxfId="354" priority="26" operator="containsText" text="INS">
      <formula>NOT(ISERROR(SEARCH("INS",C6)))</formula>
    </cfRule>
    <cfRule type="containsText" dxfId="353" priority="25" operator="containsText" text="AMB">
      <formula>NOT(ISERROR(SEARCH("AMB",C6)))</formula>
    </cfRule>
    <cfRule type="containsText" dxfId="352" priority="24" operator="containsText" text="TER">
      <formula>NOT(ISERROR(SEARCH("TER",C6)))</formula>
    </cfRule>
    <cfRule type="containsText" dxfId="351" priority="23" operator="containsText" text="SOC">
      <formula>NOT(ISERROR(SEARCH("SOC",C6)))</formula>
    </cfRule>
  </conditionalFormatting>
  <conditionalFormatting sqref="C17:C22">
    <cfRule type="containsText" dxfId="350" priority="30" operator="containsText" text="INS">
      <formula>NOT(ISERROR(SEARCH("INS",C17)))</formula>
    </cfRule>
    <cfRule type="containsText" dxfId="349" priority="29" operator="containsText" text="AMB">
      <formula>NOT(ISERROR(SEARCH("AMB",C17)))</formula>
    </cfRule>
    <cfRule type="containsText" dxfId="348" priority="28" operator="containsText" text="TER">
      <formula>NOT(ISERROR(SEARCH("TER",C17)))</formula>
    </cfRule>
    <cfRule type="containsText" dxfId="347" priority="27" operator="containsText" text="SOC">
      <formula>NOT(ISERROR(SEARCH("SOC",C17)))</formula>
    </cfRule>
  </conditionalFormatting>
  <conditionalFormatting sqref="C26:C29">
    <cfRule type="containsText" dxfId="346" priority="34" operator="containsText" text="INS">
      <formula>NOT(ISERROR(SEARCH("INS",C26)))</formula>
    </cfRule>
    <cfRule type="containsText" dxfId="345" priority="33" operator="containsText" text="AMB">
      <formula>NOT(ISERROR(SEARCH("AMB",C26)))</formula>
    </cfRule>
    <cfRule type="containsText" dxfId="344" priority="32" operator="containsText" text="TER">
      <formula>NOT(ISERROR(SEARCH("TER",C26)))</formula>
    </cfRule>
    <cfRule type="containsText" dxfId="343" priority="31" operator="containsText" text="SOC">
      <formula>NOT(ISERROR(SEARCH("SOC",C26)))</formula>
    </cfRule>
  </conditionalFormatting>
  <conditionalFormatting sqref="C33:C36">
    <cfRule type="containsText" dxfId="342" priority="35" operator="containsText" text="SOC">
      <formula>NOT(ISERROR(SEARCH("SOC",C33)))</formula>
    </cfRule>
    <cfRule type="containsText" dxfId="341" priority="36" operator="containsText" text="TER">
      <formula>NOT(ISERROR(SEARCH("TER",C33)))</formula>
    </cfRule>
    <cfRule type="containsText" dxfId="340" priority="37" operator="containsText" text="AMB">
      <formula>NOT(ISERROR(SEARCH("AMB",C33)))</formula>
    </cfRule>
    <cfRule type="containsText" dxfId="339" priority="38" operator="containsText" text="INS">
      <formula>NOT(ISERROR(SEARCH("INS",C33)))</formula>
    </cfRule>
  </conditionalFormatting>
  <conditionalFormatting sqref="K6:K10">
    <cfRule type="containsText" dxfId="338" priority="2" operator="containsText" text="ALTA">
      <formula>NOT(ISERROR(SEARCH("ALTA",K6)))</formula>
    </cfRule>
    <cfRule type="containsText" dxfId="337" priority="1" operator="containsText" text="CRÍTICA">
      <formula>NOT(ISERROR(SEARCH("CRÍTICA",K6)))</formula>
    </cfRule>
  </conditionalFormatting>
  <conditionalFormatting sqref="K26:K29">
    <cfRule type="containsText" dxfId="336" priority="13" operator="containsText" text="Nota">
      <formula>NOT(ISERROR(SEARCH("Nota",K26)))</formula>
    </cfRule>
    <cfRule type="containsText" dxfId="335" priority="12" operator="containsText" text="Activa">
      <formula>NOT(ISERROR(SEARCH("Activa",K26)))</formula>
    </cfRule>
  </conditionalFormatting>
  <conditionalFormatting sqref="K33:K36">
    <cfRule type="containsText" dxfId="334" priority="18" operator="containsText" text="Activar">
      <formula>NOT(ISERROR(SEARCH("Activar",K33)))</formula>
    </cfRule>
    <cfRule type="containsText" dxfId="333" priority="17" operator="containsText" text="Confirmada">
      <formula>NOT(ISERROR(SEARCH("Confirmada",K33)))</formula>
    </cfRule>
    <cfRule type="containsText" dxfId="332" priority="16" operator="containsText" text="Calculado">
      <formula>NOT(ISERROR(SEARCH("Calculado",K33)))</formula>
    </cfRule>
  </conditionalFormatting>
  <conditionalFormatting sqref="L6:L10">
    <cfRule type="containsText" dxfId="331" priority="3" operator="containsText" text="⭐⭐⭐⭐⭐">
      <formula>NOT(ISERROR(SEARCH("⭐⭐⭐⭐⭐",L6)))</formula>
    </cfRule>
    <cfRule type="containsText" dxfId="330" priority="4" operator="containsText" text="⭐⭐⭐⭐">
      <formula>NOT(ISERROR(SEARCH("⭐⭐⭐⭐",L6)))</formula>
    </cfRule>
    <cfRule type="cellIs" dxfId="329" priority="6" operator="equal">
      <formula>2</formula>
    </cfRule>
    <cfRule type="cellIs" dxfId="328" priority="5" operator="equal">
      <formula>3</formula>
    </cfRule>
  </conditionalFormatting>
  <conditionalFormatting sqref="L17:L22">
    <cfRule type="containsText" dxfId="327" priority="9" operator="containsText" text="MEDIA">
      <formula>NOT(ISERROR(SEARCH("MEDIA",L17)))</formula>
    </cfRule>
    <cfRule type="containsText" dxfId="326" priority="8" operator="containsText" text="ALTA">
      <formula>NOT(ISERROR(SEARCH("ALTA",L17)))</formula>
    </cfRule>
    <cfRule type="containsText" dxfId="325" priority="7" operator="containsText" text="CRÍTICA">
      <formula>NOT(ISERROR(SEARCH("CRÍTICA",L17)))</formula>
    </cfRule>
  </conditionalFormatting>
  <conditionalFormatting sqref="L26:L29">
    <cfRule type="containsText" dxfId="324" priority="11" operator="containsText" text="MEDIA">
      <formula>NOT(ISERROR(SEARCH("MEDIA",L26)))</formula>
    </cfRule>
    <cfRule type="containsText" dxfId="323" priority="10" operator="containsText" text="ALTA">
      <formula>NOT(ISERROR(SEARCH("ALTA",L26)))</formula>
    </cfRule>
  </conditionalFormatting>
  <conditionalFormatting sqref="L33:L36">
    <cfRule type="containsText" dxfId="322" priority="15" operator="containsText" text="ALTA">
      <formula>NOT(ISERROR(SEARCH("ALTA",L33)))</formula>
    </cfRule>
    <cfRule type="containsText" dxfId="321" priority="14" operator="containsText" text="CRÍTICA">
      <formula>NOT(ISERROR(SEARCH("CRÍTICA",L33)))</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DEEAF1"/>
  </sheetPr>
  <dimension ref="A1:Z47"/>
  <sheetViews>
    <sheetView showGridLines="0" zoomScale="32" zoomScaleNormal="32" workbookViewId="0">
      <pane ySplit="3" topLeftCell="A4" activePane="bottomLeft" state="frozen"/>
      <selection pane="bottomLeft" activeCell="C13" sqref="C13:D13"/>
    </sheetView>
  </sheetViews>
  <sheetFormatPr baseColWidth="10" defaultRowHeight="14.4" x14ac:dyDescent="0.3"/>
  <cols>
    <col min="1" max="1" width="13" customWidth="1"/>
    <col min="2" max="2" width="12" customWidth="1"/>
    <col min="3" max="3" width="34.21875" customWidth="1"/>
    <col min="4" max="5" width="12" customWidth="1"/>
    <col min="6" max="6" width="10.21875" customWidth="1"/>
    <col min="7" max="7" width="18.5546875" customWidth="1"/>
    <col min="8" max="8" width="24.109375" customWidth="1"/>
    <col min="9" max="9" width="37" customWidth="1"/>
    <col min="10" max="10" width="11.109375" customWidth="1"/>
    <col min="11" max="11" width="10.21875" customWidth="1"/>
    <col min="12" max="12" width="37" customWidth="1"/>
    <col min="13" max="13" width="18.5546875" customWidth="1"/>
    <col min="14" max="14" width="27.77734375" customWidth="1"/>
    <col min="26" max="26" width="8.33203125" bestFit="1" customWidth="1"/>
  </cols>
  <sheetData>
    <row r="1" spans="1:26" ht="28.05" customHeight="1" x14ac:dyDescent="0.3">
      <c r="A1" s="3777" t="s">
        <v>4823</v>
      </c>
      <c r="B1" s="3777"/>
      <c r="C1" s="3777"/>
      <c r="D1" s="3777"/>
      <c r="E1" s="3777"/>
      <c r="F1" s="3777"/>
      <c r="G1" s="3777"/>
      <c r="H1" s="3777"/>
      <c r="I1" s="3777"/>
      <c r="J1" s="3777"/>
      <c r="K1" s="3777"/>
      <c r="L1" s="3777"/>
      <c r="M1" s="3777"/>
      <c r="N1" s="3777"/>
      <c r="O1" s="3701"/>
      <c r="P1" s="3701"/>
      <c r="Q1" s="3701"/>
      <c r="R1" s="3701"/>
      <c r="S1" s="3701"/>
      <c r="T1" s="3701"/>
      <c r="U1" s="3701"/>
      <c r="V1" s="3701"/>
      <c r="W1" s="3701"/>
      <c r="X1" s="3701"/>
      <c r="Y1" s="3701"/>
      <c r="Z1" s="3701"/>
    </row>
    <row r="2" spans="1:26" ht="19.95" customHeight="1" x14ac:dyDescent="0.3">
      <c r="A2" s="3889" t="str">
        <f>HYPERLINK("#'M-INDEX'!A1","⌂ INDICE")</f>
        <v>⌂ INDICE</v>
      </c>
      <c r="B2" s="3890"/>
      <c r="C2" s="3890"/>
      <c r="D2" s="3890"/>
      <c r="E2" s="3890"/>
      <c r="F2" s="3890"/>
      <c r="G2" s="3890"/>
      <c r="H2" s="3890"/>
      <c r="I2" s="3890"/>
      <c r="J2" s="3890"/>
      <c r="K2" s="3890"/>
      <c r="L2" s="3890"/>
      <c r="M2" s="3891"/>
      <c r="N2" s="3891"/>
      <c r="O2" s="1734"/>
      <c r="P2" s="1734"/>
      <c r="Q2" s="1734"/>
      <c r="R2" s="1734"/>
      <c r="S2" s="1734"/>
      <c r="T2" s="1734"/>
      <c r="U2" s="1734"/>
      <c r="V2" s="1734"/>
      <c r="W2" s="1734"/>
      <c r="X2" s="1734"/>
      <c r="Y2" s="1734"/>
      <c r="Z2" s="1734"/>
    </row>
    <row r="3" spans="1:26" ht="15" customHeight="1" thickBot="1" x14ac:dyDescent="0.35">
      <c r="A3" s="3885" t="s">
        <v>690</v>
      </c>
      <c r="B3" s="3886"/>
      <c r="C3" s="3886"/>
      <c r="D3" s="3886"/>
      <c r="E3" s="3886"/>
      <c r="F3" s="3886"/>
      <c r="G3" s="3886"/>
      <c r="H3" s="3886"/>
      <c r="I3" s="3886"/>
      <c r="J3" s="3886"/>
      <c r="K3" s="3886"/>
      <c r="L3" s="3887"/>
      <c r="M3" s="3888"/>
      <c r="N3" s="3888"/>
      <c r="O3" s="1859"/>
      <c r="P3" s="1859"/>
      <c r="Q3" s="1859"/>
      <c r="R3" s="1859"/>
      <c r="S3" s="1859"/>
      <c r="T3" s="1859"/>
      <c r="U3" s="1859"/>
      <c r="V3" s="1859"/>
      <c r="W3" s="1859"/>
      <c r="X3" s="1859"/>
      <c r="Y3" s="1859"/>
      <c r="Z3" s="1859"/>
    </row>
    <row r="4" spans="1:26" ht="22.05" customHeight="1" thickTop="1" x14ac:dyDescent="0.3">
      <c r="A4" s="3884" t="s">
        <v>1970</v>
      </c>
      <c r="B4" s="3876"/>
      <c r="C4" s="3876"/>
      <c r="D4" s="3876"/>
      <c r="E4" s="3876"/>
      <c r="F4" s="3876"/>
      <c r="G4" s="3876"/>
      <c r="H4" s="3876"/>
      <c r="I4" s="3876"/>
      <c r="J4" s="3876"/>
      <c r="K4" s="3876"/>
      <c r="L4" s="3876"/>
      <c r="M4" s="3876"/>
      <c r="N4" s="3877"/>
      <c r="O4" s="3644"/>
      <c r="P4" s="3644"/>
      <c r="Q4" s="3644"/>
      <c r="R4" s="3644"/>
      <c r="S4" s="3644"/>
      <c r="T4" s="3644"/>
      <c r="U4" s="3644"/>
      <c r="V4" s="3644"/>
      <c r="W4" s="3644"/>
      <c r="X4" s="3644"/>
      <c r="Y4" s="3644"/>
      <c r="Z4" s="3883"/>
    </row>
    <row r="5" spans="1:26" ht="40.049999999999997" customHeight="1" x14ac:dyDescent="0.3">
      <c r="A5" s="1780" t="s">
        <v>1971</v>
      </c>
      <c r="B5" s="1781" t="s">
        <v>85</v>
      </c>
      <c r="C5" s="1781" t="s">
        <v>1972</v>
      </c>
      <c r="D5" s="1781" t="s">
        <v>1287</v>
      </c>
      <c r="E5" s="1781" t="s">
        <v>1973</v>
      </c>
      <c r="F5" s="1781" t="s">
        <v>1974</v>
      </c>
      <c r="G5" s="1781" t="s">
        <v>1975</v>
      </c>
      <c r="H5" s="1781" t="s">
        <v>1976</v>
      </c>
      <c r="I5" s="1781" t="s">
        <v>1977</v>
      </c>
      <c r="J5" s="1781" t="s">
        <v>1978</v>
      </c>
      <c r="K5" s="1781" t="s">
        <v>1979</v>
      </c>
      <c r="L5" s="1781" t="s">
        <v>1980</v>
      </c>
      <c r="M5" s="1869" t="s">
        <v>1981</v>
      </c>
      <c r="N5" s="1870" t="s">
        <v>1982</v>
      </c>
      <c r="O5" s="234"/>
      <c r="P5" s="235"/>
      <c r="Q5" s="235"/>
      <c r="R5" s="235"/>
      <c r="S5" s="235"/>
      <c r="T5" s="235"/>
      <c r="U5" s="235"/>
      <c r="V5" s="235"/>
      <c r="W5" s="235"/>
      <c r="X5" s="235"/>
      <c r="Y5" s="235"/>
      <c r="Z5" s="236"/>
    </row>
    <row r="6" spans="1:26" s="11" customFormat="1" ht="31.95" customHeight="1" x14ac:dyDescent="0.3">
      <c r="A6" s="1783" t="s">
        <v>1983</v>
      </c>
      <c r="B6" s="1784">
        <v>1</v>
      </c>
      <c r="C6" s="1831" t="s">
        <v>1984</v>
      </c>
      <c r="D6" s="1831" t="s">
        <v>1985</v>
      </c>
      <c r="E6" s="1831" t="s">
        <v>1986</v>
      </c>
      <c r="F6" s="1831" t="s">
        <v>1987</v>
      </c>
      <c r="G6" s="1831" t="s">
        <v>1988</v>
      </c>
      <c r="H6" s="1831" t="s">
        <v>4664</v>
      </c>
      <c r="I6" s="1831" t="s">
        <v>4665</v>
      </c>
      <c r="J6" s="1844">
        <v>3</v>
      </c>
      <c r="K6" s="1844">
        <v>1</v>
      </c>
      <c r="L6" s="1905" t="s">
        <v>1989</v>
      </c>
      <c r="M6" s="1894">
        <v>580000</v>
      </c>
      <c r="N6" s="1872" t="s">
        <v>1990</v>
      </c>
      <c r="O6" s="237"/>
      <c r="P6" s="238"/>
      <c r="Q6" s="238"/>
      <c r="R6" s="238"/>
      <c r="S6" s="238"/>
      <c r="T6" s="238"/>
      <c r="U6" s="238"/>
      <c r="V6" s="238"/>
      <c r="W6" s="238"/>
      <c r="X6" s="238"/>
      <c r="Y6" s="238"/>
      <c r="Z6" s="239"/>
    </row>
    <row r="7" spans="1:26" s="11" customFormat="1" ht="31.95" customHeight="1" x14ac:dyDescent="0.3">
      <c r="A7" s="1786" t="s">
        <v>1991</v>
      </c>
      <c r="B7" s="1787">
        <v>1</v>
      </c>
      <c r="C7" s="1832" t="s">
        <v>1992</v>
      </c>
      <c r="D7" s="1832" t="s">
        <v>1993</v>
      </c>
      <c r="E7" s="1832" t="s">
        <v>1986</v>
      </c>
      <c r="F7" s="1832" t="s">
        <v>1987</v>
      </c>
      <c r="G7" s="1832" t="s">
        <v>1994</v>
      </c>
      <c r="H7" s="1832" t="s">
        <v>4666</v>
      </c>
      <c r="I7" s="1832" t="s">
        <v>4667</v>
      </c>
      <c r="J7" s="1899">
        <v>0</v>
      </c>
      <c r="K7" s="1899">
        <v>1</v>
      </c>
      <c r="L7" s="1906" t="s">
        <v>1989</v>
      </c>
      <c r="M7" s="1895">
        <v>320000</v>
      </c>
      <c r="N7" s="1873" t="s">
        <v>1995</v>
      </c>
      <c r="O7" s="237"/>
      <c r="P7" s="238"/>
      <c r="Q7" s="238"/>
      <c r="R7" s="238"/>
      <c r="S7" s="238"/>
      <c r="T7" s="238"/>
      <c r="U7" s="238"/>
      <c r="V7" s="238"/>
      <c r="W7" s="238"/>
      <c r="X7" s="238"/>
      <c r="Y7" s="238"/>
      <c r="Z7" s="239"/>
    </row>
    <row r="8" spans="1:26" s="11" customFormat="1" ht="31.95" customHeight="1" x14ac:dyDescent="0.3">
      <c r="A8" s="1783" t="s">
        <v>1996</v>
      </c>
      <c r="B8" s="1784">
        <v>2</v>
      </c>
      <c r="C8" s="1831" t="s">
        <v>1997</v>
      </c>
      <c r="D8" s="1831" t="s">
        <v>1998</v>
      </c>
      <c r="E8" s="1831" t="s">
        <v>1986</v>
      </c>
      <c r="F8" s="1831" t="s">
        <v>1987</v>
      </c>
      <c r="G8" s="1831" t="s">
        <v>1999</v>
      </c>
      <c r="H8" s="1831" t="s">
        <v>4668</v>
      </c>
      <c r="I8" s="1831" t="s">
        <v>4669</v>
      </c>
      <c r="J8" s="1844">
        <v>0</v>
      </c>
      <c r="K8" s="1844">
        <v>1</v>
      </c>
      <c r="L8" s="1905" t="s">
        <v>2000</v>
      </c>
      <c r="M8" s="1894">
        <v>85000</v>
      </c>
      <c r="N8" s="1872" t="s">
        <v>2001</v>
      </c>
      <c r="O8" s="237"/>
      <c r="P8" s="238"/>
      <c r="Q8" s="238"/>
      <c r="R8" s="238"/>
      <c r="S8" s="238"/>
      <c r="T8" s="238"/>
      <c r="U8" s="238"/>
      <c r="V8" s="238"/>
      <c r="W8" s="238"/>
      <c r="X8" s="238"/>
      <c r="Y8" s="238"/>
      <c r="Z8" s="239"/>
    </row>
    <row r="9" spans="1:26" s="11" customFormat="1" ht="31.95" customHeight="1" x14ac:dyDescent="0.3">
      <c r="A9" s="1786" t="s">
        <v>2002</v>
      </c>
      <c r="B9" s="1787">
        <v>2</v>
      </c>
      <c r="C9" s="1832" t="s">
        <v>2003</v>
      </c>
      <c r="D9" s="1832" t="s">
        <v>2004</v>
      </c>
      <c r="E9" s="1832" t="s">
        <v>1987</v>
      </c>
      <c r="F9" s="1832" t="s">
        <v>1987</v>
      </c>
      <c r="G9" s="1832" t="s">
        <v>2005</v>
      </c>
      <c r="H9" s="1832" t="s">
        <v>4670</v>
      </c>
      <c r="I9" s="1832" t="s">
        <v>4671</v>
      </c>
      <c r="J9" s="1899">
        <v>0</v>
      </c>
      <c r="K9" s="1899">
        <v>1</v>
      </c>
      <c r="L9" s="1906" t="s">
        <v>2006</v>
      </c>
      <c r="M9" s="1895">
        <v>65000</v>
      </c>
      <c r="N9" s="1873" t="s">
        <v>2007</v>
      </c>
      <c r="O9" s="237"/>
      <c r="P9" s="238"/>
      <c r="Q9" s="238"/>
      <c r="R9" s="238"/>
      <c r="S9" s="238"/>
      <c r="T9" s="238"/>
      <c r="U9" s="238"/>
      <c r="V9" s="238"/>
      <c r="W9" s="238"/>
      <c r="X9" s="238"/>
      <c r="Y9" s="238"/>
      <c r="Z9" s="239"/>
    </row>
    <row r="10" spans="1:26" s="11" customFormat="1" ht="31.95" customHeight="1" x14ac:dyDescent="0.3">
      <c r="A10" s="1783" t="s">
        <v>2008</v>
      </c>
      <c r="B10" s="1784">
        <v>2</v>
      </c>
      <c r="C10" s="1831" t="s">
        <v>2009</v>
      </c>
      <c r="D10" s="1831" t="s">
        <v>2010</v>
      </c>
      <c r="E10" s="1831" t="s">
        <v>1987</v>
      </c>
      <c r="F10" s="1831" t="s">
        <v>1986</v>
      </c>
      <c r="G10" s="1831" t="s">
        <v>2011</v>
      </c>
      <c r="H10" s="1831" t="s">
        <v>4672</v>
      </c>
      <c r="I10" s="1831" t="s">
        <v>4673</v>
      </c>
      <c r="J10" s="1844">
        <v>2</v>
      </c>
      <c r="K10" s="1844">
        <v>1</v>
      </c>
      <c r="L10" s="1905" t="s">
        <v>2012</v>
      </c>
      <c r="M10" s="1894">
        <v>240000</v>
      </c>
      <c r="N10" s="1872" t="s">
        <v>820</v>
      </c>
      <c r="O10" s="237"/>
      <c r="P10" s="238"/>
      <c r="Q10" s="238"/>
      <c r="R10" s="238"/>
      <c r="S10" s="238"/>
      <c r="T10" s="238"/>
      <c r="U10" s="238"/>
      <c r="V10" s="238"/>
      <c r="W10" s="238"/>
      <c r="X10" s="238"/>
      <c r="Y10" s="238"/>
      <c r="Z10" s="239"/>
    </row>
    <row r="11" spans="1:26" s="11" customFormat="1" ht="31.95" customHeight="1" x14ac:dyDescent="0.3">
      <c r="A11" s="1786" t="s">
        <v>2013</v>
      </c>
      <c r="B11" s="1787">
        <v>2</v>
      </c>
      <c r="C11" s="1832" t="s">
        <v>2014</v>
      </c>
      <c r="D11" s="1832" t="s">
        <v>2010</v>
      </c>
      <c r="E11" s="1832" t="s">
        <v>1987</v>
      </c>
      <c r="F11" s="1832" t="s">
        <v>1986</v>
      </c>
      <c r="G11" s="1832" t="s">
        <v>2015</v>
      </c>
      <c r="H11" s="1832" t="s">
        <v>4674</v>
      </c>
      <c r="I11" s="1832" t="s">
        <v>4675</v>
      </c>
      <c r="J11" s="1899">
        <v>5</v>
      </c>
      <c r="K11" s="1899">
        <v>1</v>
      </c>
      <c r="L11" s="1906" t="s">
        <v>2012</v>
      </c>
      <c r="M11" s="1895">
        <v>4200000</v>
      </c>
      <c r="N11" s="1873" t="s">
        <v>811</v>
      </c>
      <c r="O11" s="237"/>
      <c r="P11" s="238"/>
      <c r="Q11" s="238"/>
      <c r="R11" s="238"/>
      <c r="S11" s="238"/>
      <c r="T11" s="238"/>
      <c r="U11" s="238"/>
      <c r="V11" s="238"/>
      <c r="W11" s="238"/>
      <c r="X11" s="238"/>
      <c r="Y11" s="238"/>
      <c r="Z11" s="239"/>
    </row>
    <row r="12" spans="1:26" s="11" customFormat="1" ht="31.95" customHeight="1" x14ac:dyDescent="0.3">
      <c r="A12" s="1783" t="s">
        <v>2016</v>
      </c>
      <c r="B12" s="1784">
        <v>2</v>
      </c>
      <c r="C12" s="1831" t="s">
        <v>2017</v>
      </c>
      <c r="D12" s="1831" t="s">
        <v>2010</v>
      </c>
      <c r="E12" s="1831" t="s">
        <v>1987</v>
      </c>
      <c r="F12" s="1831" t="s">
        <v>1986</v>
      </c>
      <c r="G12" s="1831" t="s">
        <v>2015</v>
      </c>
      <c r="H12" s="1831" t="s">
        <v>4676</v>
      </c>
      <c r="I12" s="1831" t="s">
        <v>4677</v>
      </c>
      <c r="J12" s="1844">
        <v>2</v>
      </c>
      <c r="K12" s="1844">
        <v>1</v>
      </c>
      <c r="L12" s="1905" t="s">
        <v>2012</v>
      </c>
      <c r="M12" s="1894">
        <v>1800000</v>
      </c>
      <c r="N12" s="1872" t="s">
        <v>849</v>
      </c>
      <c r="O12" s="237"/>
      <c r="P12" s="238"/>
      <c r="Q12" s="238"/>
      <c r="R12" s="238"/>
      <c r="S12" s="238"/>
      <c r="T12" s="238"/>
      <c r="U12" s="238"/>
      <c r="V12" s="238"/>
      <c r="W12" s="238"/>
      <c r="X12" s="238"/>
      <c r="Y12" s="238"/>
      <c r="Z12" s="239"/>
    </row>
    <row r="13" spans="1:26" s="11" customFormat="1" ht="31.95" customHeight="1" x14ac:dyDescent="0.3">
      <c r="A13" s="1786" t="s">
        <v>2018</v>
      </c>
      <c r="B13" s="1787">
        <v>2</v>
      </c>
      <c r="C13" s="1832" t="s">
        <v>2019</v>
      </c>
      <c r="D13" s="1832" t="s">
        <v>2010</v>
      </c>
      <c r="E13" s="1832" t="s">
        <v>1987</v>
      </c>
      <c r="F13" s="1832" t="s">
        <v>1986</v>
      </c>
      <c r="G13" s="1832" t="s">
        <v>2015</v>
      </c>
      <c r="H13" s="1832" t="s">
        <v>4678</v>
      </c>
      <c r="I13" s="1832" t="s">
        <v>4679</v>
      </c>
      <c r="J13" s="1899">
        <v>1</v>
      </c>
      <c r="K13" s="1899">
        <v>1</v>
      </c>
      <c r="L13" s="1906" t="s">
        <v>2012</v>
      </c>
      <c r="M13" s="1895">
        <v>680000</v>
      </c>
      <c r="N13" s="1873" t="s">
        <v>824</v>
      </c>
      <c r="O13" s="237"/>
      <c r="P13" s="238"/>
      <c r="Q13" s="238"/>
      <c r="R13" s="238"/>
      <c r="S13" s="238"/>
      <c r="T13" s="238"/>
      <c r="U13" s="238"/>
      <c r="V13" s="238"/>
      <c r="W13" s="238"/>
      <c r="X13" s="238"/>
      <c r="Y13" s="238"/>
      <c r="Z13" s="239"/>
    </row>
    <row r="14" spans="1:26" s="11" customFormat="1" ht="31.95" customHeight="1" x14ac:dyDescent="0.3">
      <c r="A14" s="1783" t="s">
        <v>2020</v>
      </c>
      <c r="B14" s="1784">
        <v>2</v>
      </c>
      <c r="C14" s="1831" t="s">
        <v>711</v>
      </c>
      <c r="D14" s="1831" t="s">
        <v>2010</v>
      </c>
      <c r="E14" s="1831" t="s">
        <v>1987</v>
      </c>
      <c r="F14" s="1831" t="s">
        <v>1986</v>
      </c>
      <c r="G14" s="1831" t="s">
        <v>2021</v>
      </c>
      <c r="H14" s="1831" t="s">
        <v>4680</v>
      </c>
      <c r="I14" s="1831" t="s">
        <v>4681</v>
      </c>
      <c r="J14" s="1844">
        <v>2</v>
      </c>
      <c r="K14" s="1844">
        <v>1</v>
      </c>
      <c r="L14" s="1905" t="s">
        <v>4661</v>
      </c>
      <c r="M14" s="1894">
        <v>520000</v>
      </c>
      <c r="N14" s="1872" t="s">
        <v>830</v>
      </c>
      <c r="O14" s="237"/>
      <c r="P14" s="238"/>
      <c r="Q14" s="238"/>
      <c r="R14" s="238"/>
      <c r="S14" s="238"/>
      <c r="T14" s="238"/>
      <c r="U14" s="238"/>
      <c r="V14" s="238"/>
      <c r="W14" s="238"/>
      <c r="X14" s="238"/>
      <c r="Y14" s="238"/>
      <c r="Z14" s="239"/>
    </row>
    <row r="15" spans="1:26" s="11" customFormat="1" ht="31.95" customHeight="1" x14ac:dyDescent="0.3">
      <c r="A15" s="1786" t="s">
        <v>2022</v>
      </c>
      <c r="B15" s="1787">
        <v>2</v>
      </c>
      <c r="C15" s="1832" t="s">
        <v>2023</v>
      </c>
      <c r="D15" s="1832" t="s">
        <v>2010</v>
      </c>
      <c r="E15" s="1832" t="s">
        <v>1987</v>
      </c>
      <c r="F15" s="1832" t="s">
        <v>1986</v>
      </c>
      <c r="G15" s="1832" t="s">
        <v>2015</v>
      </c>
      <c r="H15" s="1832" t="s">
        <v>4682</v>
      </c>
      <c r="I15" s="1832" t="s">
        <v>4683</v>
      </c>
      <c r="J15" s="1899">
        <v>2</v>
      </c>
      <c r="K15" s="1899">
        <v>1</v>
      </c>
      <c r="L15" s="1906" t="s">
        <v>2012</v>
      </c>
      <c r="M15" s="1895">
        <v>310000</v>
      </c>
      <c r="N15" s="1873" t="s">
        <v>837</v>
      </c>
      <c r="O15" s="237"/>
      <c r="P15" s="238"/>
      <c r="Q15" s="238"/>
      <c r="R15" s="238"/>
      <c r="S15" s="238"/>
      <c r="T15" s="238"/>
      <c r="U15" s="238"/>
      <c r="V15" s="238"/>
      <c r="W15" s="238"/>
      <c r="X15" s="238"/>
      <c r="Y15" s="238"/>
      <c r="Z15" s="239"/>
    </row>
    <row r="16" spans="1:26" s="11" customFormat="1" ht="31.95" customHeight="1" x14ac:dyDescent="0.3">
      <c r="A16" s="1783" t="s">
        <v>2024</v>
      </c>
      <c r="B16" s="1784">
        <v>2</v>
      </c>
      <c r="C16" s="1831" t="s">
        <v>2025</v>
      </c>
      <c r="D16" s="1831" t="s">
        <v>2010</v>
      </c>
      <c r="E16" s="1831" t="s">
        <v>1987</v>
      </c>
      <c r="F16" s="1831" t="s">
        <v>1986</v>
      </c>
      <c r="G16" s="1831" t="s">
        <v>2026</v>
      </c>
      <c r="H16" s="1831" t="s">
        <v>4684</v>
      </c>
      <c r="I16" s="1831" t="s">
        <v>4685</v>
      </c>
      <c r="J16" s="1844">
        <v>1</v>
      </c>
      <c r="K16" s="1844">
        <v>1</v>
      </c>
      <c r="L16" s="1905" t="s">
        <v>2012</v>
      </c>
      <c r="M16" s="1894">
        <v>180000</v>
      </c>
      <c r="N16" s="1872" t="s">
        <v>841</v>
      </c>
      <c r="O16" s="237"/>
      <c r="P16" s="238"/>
      <c r="Q16" s="238"/>
      <c r="R16" s="238"/>
      <c r="S16" s="238"/>
      <c r="T16" s="238"/>
      <c r="U16" s="238"/>
      <c r="V16" s="238"/>
      <c r="W16" s="238"/>
      <c r="X16" s="238"/>
      <c r="Y16" s="238"/>
      <c r="Z16" s="239"/>
    </row>
    <row r="17" spans="1:26" s="11" customFormat="1" ht="31.95" customHeight="1" x14ac:dyDescent="0.3">
      <c r="A17" s="1786" t="s">
        <v>2027</v>
      </c>
      <c r="B17" s="1787">
        <v>2</v>
      </c>
      <c r="C17" s="1832" t="s">
        <v>2028</v>
      </c>
      <c r="D17" s="1832" t="s">
        <v>2010</v>
      </c>
      <c r="E17" s="1832" t="s">
        <v>1987</v>
      </c>
      <c r="F17" s="1832" t="s">
        <v>1987</v>
      </c>
      <c r="G17" s="1832" t="s">
        <v>2029</v>
      </c>
      <c r="H17" s="1832" t="s">
        <v>4686</v>
      </c>
      <c r="I17" s="1832" t="s">
        <v>4687</v>
      </c>
      <c r="J17" s="1899">
        <v>0</v>
      </c>
      <c r="K17" s="1899">
        <v>1</v>
      </c>
      <c r="L17" s="1906" t="s">
        <v>2012</v>
      </c>
      <c r="M17" s="1895">
        <v>290000</v>
      </c>
      <c r="N17" s="1873" t="s">
        <v>2030</v>
      </c>
      <c r="O17" s="237"/>
      <c r="P17" s="238"/>
      <c r="Q17" s="238"/>
      <c r="R17" s="238"/>
      <c r="S17" s="238"/>
      <c r="T17" s="238"/>
      <c r="U17" s="238"/>
      <c r="V17" s="238"/>
      <c r="W17" s="238"/>
      <c r="X17" s="238"/>
      <c r="Y17" s="238"/>
      <c r="Z17" s="239"/>
    </row>
    <row r="18" spans="1:26" s="11" customFormat="1" ht="31.95" customHeight="1" x14ac:dyDescent="0.3">
      <c r="A18" s="1783" t="s">
        <v>2031</v>
      </c>
      <c r="B18" s="1784">
        <v>2</v>
      </c>
      <c r="C18" s="1831" t="s">
        <v>2032</v>
      </c>
      <c r="D18" s="1831" t="s">
        <v>2010</v>
      </c>
      <c r="E18" s="1831" t="s">
        <v>1987</v>
      </c>
      <c r="F18" s="1831" t="s">
        <v>1987</v>
      </c>
      <c r="G18" s="1831" t="s">
        <v>2033</v>
      </c>
      <c r="H18" s="1831" t="s">
        <v>4688</v>
      </c>
      <c r="I18" s="1831" t="s">
        <v>4689</v>
      </c>
      <c r="J18" s="1844">
        <v>0</v>
      </c>
      <c r="K18" s="1844">
        <v>1</v>
      </c>
      <c r="L18" s="1905" t="s">
        <v>2012</v>
      </c>
      <c r="M18" s="1894">
        <v>195000</v>
      </c>
      <c r="N18" s="1872" t="s">
        <v>2034</v>
      </c>
      <c r="O18" s="237"/>
      <c r="P18" s="238"/>
      <c r="Q18" s="238"/>
      <c r="R18" s="238"/>
      <c r="S18" s="238"/>
      <c r="T18" s="238"/>
      <c r="U18" s="238"/>
      <c r="V18" s="238"/>
      <c r="W18" s="238"/>
      <c r="X18" s="238"/>
      <c r="Y18" s="238"/>
      <c r="Z18" s="239"/>
    </row>
    <row r="19" spans="1:26" s="11" customFormat="1" ht="31.95" customHeight="1" x14ac:dyDescent="0.3">
      <c r="A19" s="1786" t="s">
        <v>2035</v>
      </c>
      <c r="B19" s="1787">
        <v>3</v>
      </c>
      <c r="C19" s="1832" t="s">
        <v>94</v>
      </c>
      <c r="D19" s="1832" t="s">
        <v>2036</v>
      </c>
      <c r="E19" s="1832" t="s">
        <v>1987</v>
      </c>
      <c r="F19" s="1832" t="s">
        <v>1986</v>
      </c>
      <c r="G19" s="1832" t="s">
        <v>2037</v>
      </c>
      <c r="H19" s="1832" t="s">
        <v>4663</v>
      </c>
      <c r="I19" s="1832" t="s">
        <v>4690</v>
      </c>
      <c r="J19" s="1899">
        <v>3</v>
      </c>
      <c r="K19" s="1899">
        <v>0.9</v>
      </c>
      <c r="L19" s="1906" t="s">
        <v>2006</v>
      </c>
      <c r="M19" s="1895">
        <v>480000</v>
      </c>
      <c r="N19" s="1873" t="s">
        <v>816</v>
      </c>
      <c r="O19" s="237"/>
      <c r="P19" s="238"/>
      <c r="Q19" s="238"/>
      <c r="R19" s="238"/>
      <c r="S19" s="238"/>
      <c r="T19" s="238"/>
      <c r="U19" s="238"/>
      <c r="V19" s="238"/>
      <c r="W19" s="238"/>
      <c r="X19" s="238"/>
      <c r="Y19" s="238"/>
      <c r="Z19" s="239"/>
    </row>
    <row r="20" spans="1:26" s="11" customFormat="1" ht="31.95" customHeight="1" x14ac:dyDescent="0.3">
      <c r="A20" s="1783" t="s">
        <v>2038</v>
      </c>
      <c r="B20" s="1784">
        <v>3</v>
      </c>
      <c r="C20" s="1831" t="s">
        <v>832</v>
      </c>
      <c r="D20" s="1831" t="s">
        <v>2039</v>
      </c>
      <c r="E20" s="1831" t="s">
        <v>1987</v>
      </c>
      <c r="F20" s="1831" t="s">
        <v>1986</v>
      </c>
      <c r="G20" s="1831" t="s">
        <v>2040</v>
      </c>
      <c r="H20" s="1831" t="s">
        <v>4691</v>
      </c>
      <c r="I20" s="1831" t="s">
        <v>4692</v>
      </c>
      <c r="J20" s="1844">
        <v>1</v>
      </c>
      <c r="K20" s="1844">
        <v>0.75</v>
      </c>
      <c r="L20" s="1905" t="s">
        <v>4662</v>
      </c>
      <c r="M20" s="1894">
        <v>650000</v>
      </c>
      <c r="N20" s="1872" t="s">
        <v>835</v>
      </c>
      <c r="O20" s="237"/>
      <c r="P20" s="238"/>
      <c r="Q20" s="238"/>
      <c r="R20" s="238"/>
      <c r="S20" s="238"/>
      <c r="T20" s="238"/>
      <c r="U20" s="238"/>
      <c r="V20" s="238"/>
      <c r="W20" s="238"/>
      <c r="X20" s="238"/>
      <c r="Y20" s="238"/>
      <c r="Z20" s="239"/>
    </row>
    <row r="21" spans="1:26" s="11" customFormat="1" ht="31.95" customHeight="1" x14ac:dyDescent="0.3">
      <c r="A21" s="1786" t="s">
        <v>2041</v>
      </c>
      <c r="B21" s="1787">
        <v>4</v>
      </c>
      <c r="C21" s="1832" t="s">
        <v>2042</v>
      </c>
      <c r="D21" s="1832" t="s">
        <v>2043</v>
      </c>
      <c r="E21" s="1832" t="s">
        <v>1987</v>
      </c>
      <c r="F21" s="1832" t="s">
        <v>1986</v>
      </c>
      <c r="G21" s="1832" t="s">
        <v>2037</v>
      </c>
      <c r="H21" s="1832" t="s">
        <v>826</v>
      </c>
      <c r="I21" s="1832" t="s">
        <v>2044</v>
      </c>
      <c r="J21" s="1899">
        <v>1</v>
      </c>
      <c r="K21" s="1899">
        <v>0.9</v>
      </c>
      <c r="L21" s="1906" t="s">
        <v>2045</v>
      </c>
      <c r="M21" s="1895">
        <v>95000</v>
      </c>
      <c r="N21" s="1873" t="s">
        <v>844</v>
      </c>
      <c r="O21" s="237"/>
      <c r="P21" s="238"/>
      <c r="Q21" s="238"/>
      <c r="R21" s="238"/>
      <c r="S21" s="238"/>
      <c r="T21" s="238"/>
      <c r="U21" s="238"/>
      <c r="V21" s="238"/>
      <c r="W21" s="238"/>
      <c r="X21" s="238"/>
      <c r="Y21" s="238"/>
      <c r="Z21" s="239"/>
    </row>
    <row r="22" spans="1:26" s="11" customFormat="1" ht="31.95" customHeight="1" x14ac:dyDescent="0.3">
      <c r="A22" s="1783" t="s">
        <v>2046</v>
      </c>
      <c r="B22" s="1784">
        <v>2</v>
      </c>
      <c r="C22" s="1831" t="s">
        <v>2047</v>
      </c>
      <c r="D22" s="1831" t="s">
        <v>2010</v>
      </c>
      <c r="E22" s="1831"/>
      <c r="F22" s="1831" t="s">
        <v>1986</v>
      </c>
      <c r="G22" s="1831" t="s">
        <v>2015</v>
      </c>
      <c r="H22" s="1831" t="s">
        <v>4693</v>
      </c>
      <c r="I22" s="1831" t="s">
        <v>4694</v>
      </c>
      <c r="J22" s="1844">
        <v>1</v>
      </c>
      <c r="K22" s="1844">
        <v>1</v>
      </c>
      <c r="L22" s="1905" t="s">
        <v>2012</v>
      </c>
      <c r="M22" s="1896">
        <v>165000</v>
      </c>
      <c r="N22" s="1872" t="s">
        <v>822</v>
      </c>
      <c r="O22" s="237"/>
      <c r="P22" s="238"/>
      <c r="Q22" s="238"/>
      <c r="R22" s="238"/>
      <c r="S22" s="238"/>
      <c r="T22" s="238"/>
      <c r="U22" s="238"/>
      <c r="V22" s="238"/>
      <c r="W22" s="238"/>
      <c r="X22" s="238"/>
      <c r="Y22" s="238"/>
      <c r="Z22" s="239"/>
    </row>
    <row r="23" spans="1:26" s="11" customFormat="1" ht="31.95" customHeight="1" x14ac:dyDescent="0.3">
      <c r="A23" s="1875" t="s">
        <v>2048</v>
      </c>
      <c r="B23" s="1876">
        <v>4</v>
      </c>
      <c r="C23" s="1877" t="s">
        <v>846</v>
      </c>
      <c r="D23" s="1877" t="s">
        <v>2049</v>
      </c>
      <c r="E23" s="1877"/>
      <c r="F23" s="1877" t="s">
        <v>1986</v>
      </c>
      <c r="G23" s="1877" t="s">
        <v>2021</v>
      </c>
      <c r="H23" s="1877" t="s">
        <v>4695</v>
      </c>
      <c r="I23" s="1877" t="s">
        <v>4696</v>
      </c>
      <c r="J23" s="1900">
        <v>1</v>
      </c>
      <c r="K23" s="1900">
        <v>0.9</v>
      </c>
      <c r="L23" s="1907" t="s">
        <v>2045</v>
      </c>
      <c r="M23" s="1897">
        <v>75000</v>
      </c>
      <c r="N23" s="1878" t="s">
        <v>847</v>
      </c>
      <c r="O23" s="237"/>
      <c r="P23" s="238"/>
      <c r="Q23" s="238"/>
      <c r="R23" s="238"/>
      <c r="S23" s="238"/>
      <c r="T23" s="238"/>
      <c r="U23" s="238"/>
      <c r="V23" s="238"/>
      <c r="W23" s="238"/>
      <c r="X23" s="238"/>
      <c r="Y23" s="238"/>
      <c r="Z23" s="239"/>
    </row>
    <row r="24" spans="1:26" s="11" customFormat="1" ht="22.05" customHeight="1" x14ac:dyDescent="0.3">
      <c r="A24" s="3882" t="s">
        <v>2050</v>
      </c>
      <c r="B24" s="3861"/>
      <c r="C24" s="3861"/>
      <c r="D24" s="3861"/>
      <c r="E24" s="3861"/>
      <c r="F24" s="3861"/>
      <c r="G24" s="3861"/>
      <c r="H24" s="3861"/>
      <c r="I24" s="3861"/>
      <c r="J24" s="3861"/>
      <c r="K24" s="3861"/>
      <c r="L24" s="3861"/>
      <c r="M24" s="3861"/>
      <c r="N24" s="3862"/>
      <c r="O24" s="3644"/>
      <c r="P24" s="3644"/>
      <c r="Q24" s="3644"/>
      <c r="R24" s="3644"/>
      <c r="S24" s="3644"/>
      <c r="T24" s="3644"/>
      <c r="U24" s="3644"/>
      <c r="V24" s="3644"/>
      <c r="W24" s="3644"/>
      <c r="X24" s="3644"/>
      <c r="Y24" s="3644"/>
      <c r="Z24" s="3883"/>
    </row>
    <row r="25" spans="1:26" s="11" customFormat="1" ht="40.049999999999997" customHeight="1" x14ac:dyDescent="0.3">
      <c r="A25" s="1848" t="s">
        <v>1800</v>
      </c>
      <c r="B25" s="1849" t="s">
        <v>692</v>
      </c>
      <c r="C25" s="1849" t="s">
        <v>2052</v>
      </c>
      <c r="D25" s="1849" t="s">
        <v>2053</v>
      </c>
      <c r="E25" s="1849" t="s">
        <v>2054</v>
      </c>
      <c r="F25" s="1849" t="s">
        <v>2055</v>
      </c>
      <c r="G25" s="1849" t="s">
        <v>2056</v>
      </c>
      <c r="H25" s="1849" t="s">
        <v>2057</v>
      </c>
      <c r="I25" s="1849" t="s">
        <v>804</v>
      </c>
      <c r="J25" s="1849" t="s">
        <v>1982</v>
      </c>
      <c r="K25" s="1849" t="s">
        <v>2058</v>
      </c>
      <c r="L25" s="1849" t="s">
        <v>2059</v>
      </c>
      <c r="M25" s="1908"/>
      <c r="N25" s="1909"/>
      <c r="O25" s="237"/>
      <c r="P25" s="238"/>
      <c r="Q25" s="238"/>
      <c r="R25" s="238"/>
      <c r="S25" s="238"/>
      <c r="T25" s="238"/>
      <c r="U25" s="238"/>
      <c r="V25" s="238"/>
      <c r="W25" s="238"/>
      <c r="X25" s="238"/>
      <c r="Y25" s="238"/>
      <c r="Z25" s="239"/>
    </row>
    <row r="26" spans="1:26" s="11" customFormat="1" ht="31.95" customHeight="1" x14ac:dyDescent="0.3">
      <c r="A26" s="1828" t="str">
        <f>'M3-MAO'!A23</f>
        <v>PDOT.AS.OE1.M1.03</v>
      </c>
      <c r="B26" s="1831" t="str">
        <f>'M3-MAO'!B23</f>
        <v>TERRITORIAL</v>
      </c>
      <c r="C26" s="1831" t="str">
        <f>'M3-MAO'!C23</f>
        <v>Dirección de Agua Potable y Saneamiento</v>
      </c>
      <c r="D26" s="1784" t="str">
        <f>'M3-MAO'!D23</f>
        <v>Art. 42 EO 2021 — Dir. Agua Potable y Alcantarillado</v>
      </c>
      <c r="E26" s="1784" t="str">
        <f>'M3-MAO'!F23</f>
        <v>Dirección GAD (control directo)</v>
      </c>
      <c r="F26" s="1846">
        <f>'M3-MAO'!G23</f>
        <v>1</v>
      </c>
      <c r="G26" s="1846">
        <v>1</v>
      </c>
      <c r="H26" s="1902" t="s">
        <v>2060</v>
      </c>
      <c r="I26" s="1784" t="str">
        <f>'M3-MAO'!H23</f>
        <v>Director</v>
      </c>
      <c r="J26" s="1784" t="str">
        <f>'M3-MAO'!I23</f>
        <v>dag@montecristi.gob.ec</v>
      </c>
      <c r="K26" s="1902" t="s">
        <v>4698</v>
      </c>
      <c r="L26" s="1784" t="s">
        <v>4701</v>
      </c>
      <c r="M26" s="1871"/>
      <c r="N26" s="1872"/>
      <c r="O26" s="237"/>
      <c r="P26" s="238"/>
      <c r="Q26" s="238"/>
      <c r="R26" s="238"/>
      <c r="S26" s="238"/>
      <c r="T26" s="238"/>
      <c r="U26" s="238"/>
      <c r="V26" s="238"/>
      <c r="W26" s="238"/>
      <c r="X26" s="238"/>
      <c r="Y26" s="238"/>
      <c r="Z26" s="239"/>
    </row>
    <row r="27" spans="1:26" s="11" customFormat="1" ht="31.95" customHeight="1" x14ac:dyDescent="0.3">
      <c r="A27" s="1910" t="str">
        <f>'M3-MAO'!A5</f>
        <v>PDOT.AS.OE1.M1.02</v>
      </c>
      <c r="B27" s="1911" t="str">
        <f>'M3-MAO'!B5</f>
        <v>TERRITORIAL</v>
      </c>
      <c r="C27" s="1911" t="str">
        <f>'M3-MAO'!C5</f>
        <v>Dirección de Obras Públicas</v>
      </c>
      <c r="D27" s="1911" t="str">
        <f>'M3-MAO'!D5</f>
        <v>Art. 39 EO 2021 — Dir. Obras Públicas</v>
      </c>
      <c r="E27" s="1911" t="str">
        <f>'M3-MAO'!F5</f>
        <v>Dirección GAD (control directo)</v>
      </c>
      <c r="F27" s="1912">
        <f>'M3-MAO'!G5</f>
        <v>1</v>
      </c>
      <c r="G27" s="1912">
        <v>1</v>
      </c>
      <c r="H27" s="1913" t="s">
        <v>2060</v>
      </c>
      <c r="I27" s="1911" t="str">
        <f>'M3-MAO'!H5</f>
        <v>Director</v>
      </c>
      <c r="J27" s="1911" t="str">
        <f>'M3-MAO'!I5</f>
        <v>dop@montecristi.gob.ec</v>
      </c>
      <c r="K27" s="1914" t="s">
        <v>4698</v>
      </c>
      <c r="L27" s="1911" t="s">
        <v>4702</v>
      </c>
      <c r="M27" s="1915"/>
      <c r="N27" s="1916"/>
      <c r="O27" s="237"/>
      <c r="P27" s="238"/>
      <c r="Q27" s="238"/>
      <c r="R27" s="238"/>
      <c r="S27" s="238"/>
      <c r="T27" s="238"/>
      <c r="U27" s="238"/>
      <c r="V27" s="238"/>
      <c r="W27" s="238"/>
      <c r="X27" s="238"/>
      <c r="Y27" s="238"/>
      <c r="Z27" s="239"/>
    </row>
    <row r="28" spans="1:26" s="11" customFormat="1" ht="31.95" customHeight="1" x14ac:dyDescent="0.3">
      <c r="A28" s="1829" t="str">
        <f>'M3-MAO'!A6</f>
        <v>PDOT.SC.OE2.M1.01</v>
      </c>
      <c r="B28" s="1832" t="str">
        <f>'M3-MAO'!B6</f>
        <v>SOCIAL</v>
      </c>
      <c r="C28" s="1832" t="str">
        <f>'M3-MAO'!C6</f>
        <v>Patronato Municipal de Amparo Social</v>
      </c>
      <c r="D28" s="1832" t="str">
        <f>'M3-MAO'!D6</f>
        <v>Ordenanza de Creación Patronato Municipal (Entidad Adscrita)</v>
      </c>
      <c r="E28" s="1832" t="str">
        <f>'M3-MAO'!F6</f>
        <v>Patronato / Ente adscrito (Ordenanza)</v>
      </c>
      <c r="F28" s="1812">
        <f>'M3-MAO'!G6</f>
        <v>0.9</v>
      </c>
      <c r="G28" s="1812">
        <v>0.9</v>
      </c>
      <c r="H28" s="1899" t="s">
        <v>2060</v>
      </c>
      <c r="I28" s="1832" t="str">
        <f>'M3-MAO'!H6</f>
        <v>Director Ejecutivo</v>
      </c>
      <c r="J28" s="1832" t="str">
        <f>'M3-MAO'!I6</f>
        <v>patronato@montecristi.gob.ec</v>
      </c>
      <c r="K28" s="1903" t="s">
        <v>4698</v>
      </c>
      <c r="L28" s="1832" t="s">
        <v>4703</v>
      </c>
      <c r="M28" s="1890"/>
      <c r="N28" s="1891"/>
      <c r="O28" s="237"/>
      <c r="P28" s="238"/>
      <c r="Q28" s="238"/>
      <c r="R28" s="238"/>
      <c r="S28" s="238"/>
      <c r="T28" s="238"/>
      <c r="U28" s="238"/>
      <c r="V28" s="238"/>
      <c r="W28" s="238"/>
      <c r="X28" s="238"/>
      <c r="Y28" s="238"/>
      <c r="Z28" s="239"/>
    </row>
    <row r="29" spans="1:26" s="11" customFormat="1" ht="31.95" customHeight="1" x14ac:dyDescent="0.3">
      <c r="A29" s="1828" t="str">
        <f>'M3-MAO'!A7</f>
        <v>PDOT.AS.OE1.M2.01</v>
      </c>
      <c r="B29" s="1831" t="str">
        <f>'M3-MAO'!B7</f>
        <v>TERRITORIAL</v>
      </c>
      <c r="C29" s="1831" t="str">
        <f>'M3-MAO'!C7</f>
        <v>Dirección de Planificación y Desarrollo</v>
      </c>
      <c r="D29" s="1831" t="str">
        <f>'M3-MAO'!D7</f>
        <v>Art. 24/45 EO 2021 — Dir. Planificación y OT</v>
      </c>
      <c r="E29" s="1831" t="str">
        <f>'M3-MAO'!F7</f>
        <v>Dirección GAD (control directo)</v>
      </c>
      <c r="F29" s="1811">
        <f>'M3-MAO'!G7</f>
        <v>1</v>
      </c>
      <c r="G29" s="1811">
        <v>1</v>
      </c>
      <c r="H29" s="1844" t="s">
        <v>2060</v>
      </c>
      <c r="I29" s="1831" t="str">
        <f>'M3-MAO'!H7</f>
        <v>Director</v>
      </c>
      <c r="J29" s="1831" t="str">
        <f>'M3-MAO'!I7</f>
        <v>dplan@montecristi.gob.ec</v>
      </c>
      <c r="K29" s="1902" t="s">
        <v>4698</v>
      </c>
      <c r="L29" s="1831" t="s">
        <v>4704</v>
      </c>
      <c r="M29" s="1888"/>
      <c r="N29" s="1889"/>
      <c r="O29" s="237"/>
      <c r="P29" s="238"/>
      <c r="Q29" s="238"/>
      <c r="R29" s="238"/>
      <c r="S29" s="238"/>
      <c r="T29" s="238"/>
      <c r="U29" s="238"/>
      <c r="V29" s="238"/>
      <c r="W29" s="238"/>
      <c r="X29" s="238"/>
      <c r="Y29" s="238"/>
      <c r="Z29" s="239"/>
    </row>
    <row r="30" spans="1:26" s="11" customFormat="1" ht="31.95" customHeight="1" x14ac:dyDescent="0.3">
      <c r="A30" s="1829" t="str">
        <f>'M3-MAO'!A8</f>
        <v>PDOT.AS.OE1.M2.02</v>
      </c>
      <c r="B30" s="1832" t="str">
        <f>'M3-MAO'!B8</f>
        <v>TERRITORIAL</v>
      </c>
      <c r="C30" s="1832" t="str">
        <f>'M3-MAO'!C8</f>
        <v>Dirección de Servicios Públicos y Gestión</v>
      </c>
      <c r="D30" s="1832" t="str">
        <f>'M3-MAO'!D8</f>
        <v>Art. 51 EO 2021 — Dir. Espacios Públicos y Servicios</v>
      </c>
      <c r="E30" s="1832" t="str">
        <f>'M3-MAO'!F8</f>
        <v>Dirección GAD (control directo)</v>
      </c>
      <c r="F30" s="1812">
        <f>'M3-MAO'!G8</f>
        <v>1</v>
      </c>
      <c r="G30" s="1812">
        <v>1</v>
      </c>
      <c r="H30" s="1899" t="s">
        <v>2060</v>
      </c>
      <c r="I30" s="1832" t="str">
        <f>'M3-MAO'!H8</f>
        <v>Director</v>
      </c>
      <c r="J30" s="1832" t="str">
        <f>'M3-MAO'!I8</f>
        <v>dsp@montecristi.gob.ec</v>
      </c>
      <c r="K30" s="1903" t="s">
        <v>4699</v>
      </c>
      <c r="L30" s="1832" t="s">
        <v>4705</v>
      </c>
      <c r="M30" s="1890"/>
      <c r="N30" s="1891"/>
      <c r="O30" s="237"/>
      <c r="P30" s="238"/>
      <c r="Q30" s="238"/>
      <c r="R30" s="238"/>
      <c r="S30" s="238"/>
      <c r="T30" s="238"/>
      <c r="U30" s="238"/>
      <c r="V30" s="238"/>
      <c r="W30" s="238"/>
      <c r="X30" s="238"/>
      <c r="Y30" s="238"/>
      <c r="Z30" s="239"/>
    </row>
    <row r="31" spans="1:26" ht="31.95" customHeight="1" x14ac:dyDescent="0.3">
      <c r="A31" s="1828" t="str">
        <f>'M3-MAO'!A9</f>
        <v>PDOT.SC.OE2.M2.01</v>
      </c>
      <c r="B31" s="1831" t="str">
        <f>'M3-MAO'!B9</f>
        <v>SOCIAL</v>
      </c>
      <c r="C31" s="1831" t="str">
        <f>'M3-MAO'!C9</f>
        <v>Dirección de Desarrollo Social y Cultural</v>
      </c>
      <c r="D31" s="1831" t="str">
        <f>'M3-MAO'!D9</f>
        <v>Art. 69 EO 2021 — Dir. Acción e Inclusión Social</v>
      </c>
      <c r="E31" s="1831" t="str">
        <f>'M3-MAO'!F9</f>
        <v>Dirección GAD (control directo)</v>
      </c>
      <c r="F31" s="1811">
        <f>'M3-MAO'!G9</f>
        <v>1</v>
      </c>
      <c r="G31" s="1811">
        <v>1</v>
      </c>
      <c r="H31" s="1844" t="s">
        <v>2060</v>
      </c>
      <c r="I31" s="1831" t="str">
        <f>'M3-MAO'!H9</f>
        <v>Director</v>
      </c>
      <c r="J31" s="1831" t="str">
        <f>'M3-MAO'!I9</f>
        <v>ddsc@montecristi.gob.ec</v>
      </c>
      <c r="K31" s="1902" t="s">
        <v>4698</v>
      </c>
      <c r="L31" s="1831" t="s">
        <v>4706</v>
      </c>
      <c r="M31" s="1888"/>
      <c r="N31" s="1889"/>
      <c r="O31" s="699"/>
      <c r="P31" s="242"/>
      <c r="Q31" s="242"/>
      <c r="R31" s="242"/>
      <c r="S31" s="242"/>
      <c r="T31" s="242"/>
      <c r="U31" s="242"/>
      <c r="V31" s="242"/>
      <c r="W31" s="242"/>
      <c r="X31" s="242"/>
      <c r="Y31" s="242"/>
      <c r="Z31" s="243"/>
    </row>
    <row r="32" spans="1:26" ht="31.95" customHeight="1" x14ac:dyDescent="0.3">
      <c r="A32" s="1829" t="str">
        <f>'M3-MAO'!A10</f>
        <v>PDOT.AS.VL.M1.01</v>
      </c>
      <c r="B32" s="1832" t="str">
        <f>'M3-MAO'!B10</f>
        <v>TERRITORIAL</v>
      </c>
      <c r="C32" s="1832" t="str">
        <f>'M3-MAO'!C10</f>
        <v>Dirección de Obras Públicas</v>
      </c>
      <c r="D32" s="1832" t="str">
        <f>'M3-MAO'!D10</f>
        <v>Art. 39 EO 2021 — Dir. Obras Públicas</v>
      </c>
      <c r="E32" s="1832" t="str">
        <f>'M3-MAO'!F10</f>
        <v>Dirección GAD (control directo)</v>
      </c>
      <c r="F32" s="1812">
        <f>'M3-MAO'!G10</f>
        <v>1</v>
      </c>
      <c r="G32" s="1812">
        <v>1</v>
      </c>
      <c r="H32" s="1899" t="s">
        <v>2060</v>
      </c>
      <c r="I32" s="1832" t="str">
        <f>'M3-MAO'!H10</f>
        <v>Director</v>
      </c>
      <c r="J32" s="1832" t="str">
        <f>'M3-MAO'!I10</f>
        <v>dop@montecristi.gob.ec</v>
      </c>
      <c r="K32" s="1903" t="s">
        <v>4698</v>
      </c>
      <c r="L32" s="1832" t="s">
        <v>2061</v>
      </c>
      <c r="M32" s="1890"/>
      <c r="N32" s="1891"/>
      <c r="O32" s="699"/>
      <c r="P32" s="242"/>
      <c r="Q32" s="242"/>
      <c r="R32" s="242"/>
      <c r="S32" s="242"/>
      <c r="T32" s="242"/>
      <c r="U32" s="242"/>
      <c r="V32" s="242"/>
      <c r="W32" s="242"/>
      <c r="X32" s="242"/>
      <c r="Y32" s="242"/>
      <c r="Z32" s="243"/>
    </row>
    <row r="33" spans="1:26" ht="31.95" customHeight="1" x14ac:dyDescent="0.3">
      <c r="A33" s="1828" t="str">
        <f>'M3-MAO'!A11</f>
        <v>PDOT.SC.OE2.M3.01</v>
      </c>
      <c r="B33" s="1831" t="str">
        <f>'M3-MAO'!B11</f>
        <v>SOCIAL</v>
      </c>
      <c r="C33" s="1831" t="str">
        <f>'M3-MAO'!C11</f>
        <v>Patronato Municipal de Amparo Social</v>
      </c>
      <c r="D33" s="1831" t="str">
        <f>'M3-MAO'!D11</f>
        <v>Ordenanza de Creación Patronato Municipal (Entidad Adscrita)</v>
      </c>
      <c r="E33" s="1831" t="str">
        <f>'M3-MAO'!F11</f>
        <v>Patronato / Ente adscrito (Ordenanza)</v>
      </c>
      <c r="F33" s="1811">
        <f>'M3-MAO'!G11</f>
        <v>0.9</v>
      </c>
      <c r="G33" s="1811">
        <v>0.9</v>
      </c>
      <c r="H33" s="1844" t="s">
        <v>4697</v>
      </c>
      <c r="I33" s="1831" t="str">
        <f>'M3-MAO'!H11</f>
        <v>Director Ejecutivo</v>
      </c>
      <c r="J33" s="1831" t="str">
        <f>'M3-MAO'!I11</f>
        <v>patronato@montecristi.gob.ec</v>
      </c>
      <c r="K33" s="1902" t="s">
        <v>4700</v>
      </c>
      <c r="L33" s="1831" t="s">
        <v>4707</v>
      </c>
      <c r="M33" s="1888"/>
      <c r="N33" s="1889"/>
      <c r="O33" s="699"/>
      <c r="P33" s="242"/>
      <c r="Q33" s="242"/>
      <c r="R33" s="242"/>
      <c r="S33" s="242"/>
      <c r="T33" s="242"/>
      <c r="U33" s="242"/>
      <c r="V33" s="242"/>
      <c r="W33" s="242"/>
      <c r="X33" s="242"/>
      <c r="Y33" s="242"/>
      <c r="Z33" s="243"/>
    </row>
    <row r="34" spans="1:26" ht="31.95" customHeight="1" x14ac:dyDescent="0.3">
      <c r="A34" s="1829" t="str">
        <f>'M3-MAO'!A12</f>
        <v>PDOT.AM.OE3.M1.01</v>
      </c>
      <c r="B34" s="1832" t="str">
        <f>'M3-MAO'!B12</f>
        <v>AMBIENTAL</v>
      </c>
      <c r="C34" s="1832" t="str">
        <f>'M3-MAO'!C12</f>
        <v>Unidad de Gestión Ambiental GAD</v>
      </c>
      <c r="D34" s="1832" t="str">
        <f>'M3-MAO'!D12</f>
        <v>Art. 54 EO 2021 — Dir. Gestión Ambiental (GAD directo)</v>
      </c>
      <c r="E34" s="1832" t="str">
        <f>'M3-MAO'!F12</f>
        <v>Dirección GAD (control directo)</v>
      </c>
      <c r="F34" s="1812">
        <f>'M3-MAO'!G12</f>
        <v>1</v>
      </c>
      <c r="G34" s="1812">
        <v>1</v>
      </c>
      <c r="H34" s="1899" t="s">
        <v>2060</v>
      </c>
      <c r="I34" s="1832" t="str">
        <f>'M3-MAO'!H12</f>
        <v>Jefe Departamento</v>
      </c>
      <c r="J34" s="1832" t="str">
        <f>'M3-MAO'!I12</f>
        <v>uga@montecristi.gob.ec</v>
      </c>
      <c r="K34" s="1903" t="s">
        <v>4698</v>
      </c>
      <c r="L34" s="1832" t="s">
        <v>4706</v>
      </c>
      <c r="M34" s="1890"/>
      <c r="N34" s="1891"/>
      <c r="O34" s="699"/>
      <c r="P34" s="242"/>
      <c r="Q34" s="242"/>
      <c r="R34" s="242"/>
      <c r="S34" s="242"/>
      <c r="T34" s="242"/>
      <c r="U34" s="242"/>
      <c r="V34" s="242"/>
      <c r="W34" s="242"/>
      <c r="X34" s="242"/>
      <c r="Y34" s="242"/>
      <c r="Z34" s="243"/>
    </row>
    <row r="35" spans="1:26" ht="31.95" customHeight="1" x14ac:dyDescent="0.3">
      <c r="A35" s="1828" t="str">
        <f>'M3-MAO'!A13</f>
        <v>PDOT.AV.OE1.M1.01</v>
      </c>
      <c r="B35" s="1831" t="str">
        <f>'M3-MAO'!B13</f>
        <v>TERRITORIAL</v>
      </c>
      <c r="C35" s="1831" t="str">
        <f>'M3-MAO'!C13</f>
        <v>Dirección de Obras Públicas</v>
      </c>
      <c r="D35" s="1831" t="str">
        <f>'M3-MAO'!D13</f>
        <v>Art. 39 EO 2021 — Dir. Obras Públicas</v>
      </c>
      <c r="E35" s="1831" t="str">
        <f>'M3-MAO'!F13</f>
        <v>Dirección GAD (control directo)</v>
      </c>
      <c r="F35" s="1811">
        <f>'M3-MAO'!G13</f>
        <v>1</v>
      </c>
      <c r="G35" s="1811">
        <v>1</v>
      </c>
      <c r="H35" s="1844" t="s">
        <v>2060</v>
      </c>
      <c r="I35" s="1831" t="str">
        <f>'M3-MAO'!H13</f>
        <v>Director</v>
      </c>
      <c r="J35" s="1831" t="str">
        <f>'M3-MAO'!I13</f>
        <v>dop@montecristi.gob.ec</v>
      </c>
      <c r="K35" s="1902" t="s">
        <v>4698</v>
      </c>
      <c r="L35" s="1831" t="s">
        <v>2061</v>
      </c>
      <c r="M35" s="1888"/>
      <c r="N35" s="1889"/>
      <c r="O35" s="699"/>
      <c r="P35" s="242"/>
      <c r="Q35" s="242"/>
      <c r="R35" s="242"/>
      <c r="S35" s="242"/>
      <c r="T35" s="242"/>
      <c r="U35" s="242"/>
      <c r="V35" s="242"/>
      <c r="W35" s="242"/>
      <c r="X35" s="242"/>
      <c r="Y35" s="242"/>
      <c r="Z35" s="243"/>
    </row>
    <row r="36" spans="1:26" ht="31.95" customHeight="1" x14ac:dyDescent="0.3">
      <c r="A36" s="1829" t="str">
        <f>'M3-MAO'!A14</f>
        <v>PDOT.SC.OE2.M4.01</v>
      </c>
      <c r="B36" s="1832" t="str">
        <f>'M3-MAO'!B14</f>
        <v>SOCIAL</v>
      </c>
      <c r="C36" s="1832" t="str">
        <f>'M3-MAO'!C14</f>
        <v>Patronato Municipal de Amparo Social</v>
      </c>
      <c r="D36" s="1832" t="str">
        <f>'M3-MAO'!D14</f>
        <v>Ordenanza de Creación Patronato Municipal (Entidad Adscrita)</v>
      </c>
      <c r="E36" s="1832" t="str">
        <f>'M3-MAO'!F14</f>
        <v>Patronato / Ente adscrito (Ordenanza)</v>
      </c>
      <c r="F36" s="1812">
        <f>'M3-MAO'!G14</f>
        <v>0.9</v>
      </c>
      <c r="G36" s="1812">
        <v>0.9</v>
      </c>
      <c r="H36" s="1899" t="s">
        <v>2060</v>
      </c>
      <c r="I36" s="1832" t="str">
        <f>'M3-MAO'!H14</f>
        <v>Director Ejecutivo</v>
      </c>
      <c r="J36" s="1832" t="str">
        <f>'M3-MAO'!I14</f>
        <v>patronato@montecristi.gob.ec</v>
      </c>
      <c r="K36" s="1903" t="s">
        <v>4698</v>
      </c>
      <c r="L36" s="1832" t="s">
        <v>4708</v>
      </c>
      <c r="M36" s="1890"/>
      <c r="N36" s="1891"/>
      <c r="O36" s="699"/>
      <c r="P36" s="242"/>
      <c r="Q36" s="242"/>
      <c r="R36" s="242"/>
      <c r="S36" s="242"/>
      <c r="T36" s="242"/>
      <c r="U36" s="242"/>
      <c r="V36" s="242"/>
      <c r="W36" s="242"/>
      <c r="X36" s="242"/>
      <c r="Y36" s="242"/>
      <c r="Z36" s="243"/>
    </row>
    <row r="37" spans="1:26" ht="31.95" customHeight="1" x14ac:dyDescent="0.3">
      <c r="A37" s="1828" t="str">
        <f>'M3-MAO'!A15</f>
        <v>PDOT.AM.OE3.M2.01</v>
      </c>
      <c r="B37" s="1831" t="str">
        <f>'M3-MAO'!B15</f>
        <v>AMBIENTAL</v>
      </c>
      <c r="C37" s="1831" t="str">
        <f>'M3-MAO'!C15</f>
        <v>EP Aseo Integral Montecristi</v>
      </c>
      <c r="D37" s="1831" t="str">
        <f>'M3-MAO'!D15</f>
        <v>Estatuto EP Aseo Integral (Res. Adm. propia) — Ci=0.75</v>
      </c>
      <c r="E37" s="1831" t="str">
        <f>'M3-MAO'!F15</f>
        <v>Patronato / Ente adscrito (Ordenanza)</v>
      </c>
      <c r="F37" s="1811">
        <f>'M3-MAO'!G15</f>
        <v>0.75</v>
      </c>
      <c r="G37" s="1811">
        <v>0.9</v>
      </c>
      <c r="H37" s="1844" t="s">
        <v>2060</v>
      </c>
      <c r="I37" s="1831" t="str">
        <f>'M3-MAO'!H15</f>
        <v>Director Ejecutivo EP</v>
      </c>
      <c r="J37" s="1831" t="str">
        <f>'M3-MAO'!I15</f>
        <v>epaseo@montecristi.gob.ec</v>
      </c>
      <c r="K37" s="1902" t="s">
        <v>4698</v>
      </c>
      <c r="L37" s="1831" t="s">
        <v>4706</v>
      </c>
      <c r="M37" s="1888"/>
      <c r="N37" s="1889"/>
      <c r="O37" s="699"/>
      <c r="P37" s="242"/>
      <c r="Q37" s="242"/>
      <c r="R37" s="242"/>
      <c r="S37" s="242"/>
      <c r="T37" s="242"/>
      <c r="U37" s="242"/>
      <c r="V37" s="242"/>
      <c r="W37" s="242"/>
      <c r="X37" s="242"/>
      <c r="Y37" s="242"/>
      <c r="Z37" s="243"/>
    </row>
    <row r="38" spans="1:26" ht="31.95" customHeight="1" x14ac:dyDescent="0.3">
      <c r="A38" s="1829" t="str">
        <f>'M3-MAO'!A16</f>
        <v>PDOT.AS.VL.M1.02</v>
      </c>
      <c r="B38" s="1832" t="str">
        <f>'M3-MAO'!B16</f>
        <v>TERRITORIAL</v>
      </c>
      <c r="C38" s="1832" t="str">
        <f>'M3-MAO'!C16</f>
        <v>Dirección de Obras Públicas</v>
      </c>
      <c r="D38" s="1832" t="str">
        <f>'M3-MAO'!D16</f>
        <v>Art. 39 EO 2021 — Dir. Obras Públicas</v>
      </c>
      <c r="E38" s="1832" t="str">
        <f>'M3-MAO'!F16</f>
        <v>Dirección GAD (control directo)</v>
      </c>
      <c r="F38" s="1812">
        <f>'M3-MAO'!G16</f>
        <v>1</v>
      </c>
      <c r="G38" s="1812">
        <v>1</v>
      </c>
      <c r="H38" s="1899" t="s">
        <v>2060</v>
      </c>
      <c r="I38" s="1832" t="str">
        <f>'M3-MAO'!H16</f>
        <v>Director</v>
      </c>
      <c r="J38" s="1832" t="str">
        <f>'M3-MAO'!I16</f>
        <v>dop@montecristi.gob.ec</v>
      </c>
      <c r="K38" s="1903" t="s">
        <v>4698</v>
      </c>
      <c r="L38" s="1832" t="s">
        <v>4709</v>
      </c>
      <c r="M38" s="1890"/>
      <c r="N38" s="1891"/>
      <c r="O38" s="699"/>
      <c r="P38" s="242"/>
      <c r="Q38" s="242"/>
      <c r="R38" s="242"/>
      <c r="S38" s="242"/>
      <c r="T38" s="242"/>
      <c r="U38" s="242"/>
      <c r="V38" s="242"/>
      <c r="W38" s="242"/>
      <c r="X38" s="242"/>
      <c r="Y38" s="242"/>
      <c r="Z38" s="243"/>
    </row>
    <row r="39" spans="1:26" ht="31.95" customHeight="1" x14ac:dyDescent="0.3">
      <c r="A39" s="1828" t="str">
        <f>'M3-MAO'!A17</f>
        <v>PDOT.SC.PI.M5.01</v>
      </c>
      <c r="B39" s="1831" t="str">
        <f>'M3-MAO'!B17</f>
        <v>SOCIAL</v>
      </c>
      <c r="C39" s="1831" t="str">
        <f>'M3-MAO'!C17</f>
        <v>Dirección de Tecnología e Información</v>
      </c>
      <c r="D39" s="1831" t="str">
        <f>'M3-MAO'!D17</f>
        <v>Art. 94 EO 2021 — TICs (subproceso Dir. Administrativa)</v>
      </c>
      <c r="E39" s="1831" t="str">
        <f>'M3-MAO'!F17</f>
        <v>Dirección GAD (control directo)</v>
      </c>
      <c r="F39" s="1811">
        <f>'M3-MAO'!G17</f>
        <v>1</v>
      </c>
      <c r="G39" s="1811">
        <v>1</v>
      </c>
      <c r="H39" s="1844" t="s">
        <v>2060</v>
      </c>
      <c r="I39" s="1831" t="str">
        <f>'M3-MAO'!H17</f>
        <v>Director</v>
      </c>
      <c r="J39" s="1831" t="str">
        <f>'M3-MAO'!I17</f>
        <v>tics@montecristi.gob.ec</v>
      </c>
      <c r="K39" s="1902" t="s">
        <v>4698</v>
      </c>
      <c r="L39" s="1831" t="s">
        <v>4709</v>
      </c>
      <c r="M39" s="1888"/>
      <c r="N39" s="1889"/>
      <c r="O39" s="699"/>
      <c r="P39" s="242"/>
      <c r="Q39" s="242"/>
      <c r="R39" s="242"/>
      <c r="S39" s="242"/>
      <c r="T39" s="242"/>
      <c r="U39" s="242"/>
      <c r="V39" s="242"/>
      <c r="W39" s="242"/>
      <c r="X39" s="242"/>
      <c r="Y39" s="242"/>
      <c r="Z39" s="243"/>
    </row>
    <row r="40" spans="1:26" ht="31.95" customHeight="1" x14ac:dyDescent="0.3">
      <c r="A40" s="1829" t="str">
        <f>'M3-MAO'!A18</f>
        <v>PDOT.PI.OE4.M1.01</v>
      </c>
      <c r="B40" s="1832" t="str">
        <f>'M3-MAO'!B18</f>
        <v>INSTITUCIONAL</v>
      </c>
      <c r="C40" s="1832" t="str">
        <f>'M3-MAO'!C18</f>
        <v>Dirección de Tecnología e Información</v>
      </c>
      <c r="D40" s="1832" t="str">
        <f>'M3-MAO'!D18</f>
        <v>Art. 94 EO 2021 — TICs (subproceso Dir. Administrativa)</v>
      </c>
      <c r="E40" s="1832" t="str">
        <f>'M3-MAO'!F18</f>
        <v>Dirección GAD (control directo)</v>
      </c>
      <c r="F40" s="1812">
        <f>'M3-MAO'!G18</f>
        <v>1</v>
      </c>
      <c r="G40" s="1812">
        <v>1</v>
      </c>
      <c r="H40" s="1899" t="s">
        <v>2060</v>
      </c>
      <c r="I40" s="1832" t="str">
        <f>'M3-MAO'!H18</f>
        <v>Director</v>
      </c>
      <c r="J40" s="1832" t="str">
        <f>'M3-MAO'!I18</f>
        <v>tics@montecristi.gob.ec</v>
      </c>
      <c r="K40" s="1903" t="s">
        <v>4698</v>
      </c>
      <c r="L40" s="1832" t="s">
        <v>4710</v>
      </c>
      <c r="M40" s="1890"/>
      <c r="N40" s="1891"/>
      <c r="O40" s="699"/>
      <c r="P40" s="242"/>
      <c r="Q40" s="242"/>
      <c r="R40" s="242"/>
      <c r="S40" s="242"/>
      <c r="T40" s="242"/>
      <c r="U40" s="242"/>
      <c r="V40" s="242"/>
      <c r="W40" s="242"/>
      <c r="X40" s="242"/>
      <c r="Y40" s="242"/>
      <c r="Z40" s="243"/>
    </row>
    <row r="41" spans="1:26" ht="31.95" customHeight="1" x14ac:dyDescent="0.3">
      <c r="A41" s="1828" t="str">
        <f>'M3-MAO'!A19</f>
        <v>PDOT.PI.OE4.M2.01</v>
      </c>
      <c r="B41" s="1831" t="str">
        <f>'M3-MAO'!B19</f>
        <v>INSTITUCIONAL</v>
      </c>
      <c r="C41" s="1831" t="str">
        <f>'M3-MAO'!C19</f>
        <v>Dirección de Avalúos y Catastros</v>
      </c>
      <c r="D41" s="1831" t="str">
        <f>'M3-MAO'!D19</f>
        <v>Art. 48 EO 2021 — Dir. Avalúos y Catastros</v>
      </c>
      <c r="E41" s="1831" t="str">
        <f>'M3-MAO'!F19</f>
        <v>Dirección GAD (control directo)</v>
      </c>
      <c r="F41" s="1811">
        <f>'M3-MAO'!G19</f>
        <v>1</v>
      </c>
      <c r="G41" s="1811">
        <v>1</v>
      </c>
      <c r="H41" s="1844" t="s">
        <v>2060</v>
      </c>
      <c r="I41" s="1831" t="str">
        <f>'M3-MAO'!H19</f>
        <v>Director</v>
      </c>
      <c r="J41" s="1831" t="str">
        <f>'M3-MAO'!I19</f>
        <v>catastro@montecristi.gob.ec</v>
      </c>
      <c r="K41" s="1902" t="s">
        <v>4698</v>
      </c>
      <c r="L41" s="1831" t="s">
        <v>4711</v>
      </c>
      <c r="M41" s="1888"/>
      <c r="N41" s="1889"/>
      <c r="O41" s="699"/>
      <c r="P41" s="242"/>
      <c r="Q41" s="242"/>
      <c r="R41" s="242"/>
      <c r="S41" s="242"/>
      <c r="T41" s="242"/>
      <c r="U41" s="242"/>
      <c r="V41" s="242"/>
      <c r="W41" s="242"/>
      <c r="X41" s="242"/>
      <c r="Y41" s="242"/>
      <c r="Z41" s="243"/>
    </row>
    <row r="42" spans="1:26" ht="31.95" customHeight="1" x14ac:dyDescent="0.3">
      <c r="A42" s="1829" t="str">
        <f>'M3-MAO'!A20</f>
        <v>PDOT.AM.SC.M3.01</v>
      </c>
      <c r="B42" s="1832" t="str">
        <f>'M3-MAO'!B20</f>
        <v>SOCIAL</v>
      </c>
      <c r="C42" s="1832" t="str">
        <f>'M3-MAO'!C20</f>
        <v>Unidad de Gestión Sanitaria / MSP</v>
      </c>
      <c r="D42" s="1832" t="str">
        <f>'M3-MAO'!D20</f>
        <v>Convenio MSP-Sanitario 2024</v>
      </c>
      <c r="E42" s="1832" t="str">
        <f>'M3-MAO'!F20</f>
        <v>Patronato / Ente adscrito (Ordenanza)</v>
      </c>
      <c r="F42" s="1812">
        <f>'M3-MAO'!G20</f>
        <v>0.9</v>
      </c>
      <c r="G42" s="1812">
        <v>0.9</v>
      </c>
      <c r="H42" s="1899" t="s">
        <v>2060</v>
      </c>
      <c r="I42" s="1832" t="str">
        <f>'M3-MAO'!H20</f>
        <v>Jefe Departamento</v>
      </c>
      <c r="J42" s="1832" t="str">
        <f>'M3-MAO'!I20</f>
        <v>salud@montecristi.gob.ec</v>
      </c>
      <c r="K42" s="1903" t="s">
        <v>4698</v>
      </c>
      <c r="L42" s="1832" t="s">
        <v>4712</v>
      </c>
      <c r="M42" s="1890"/>
      <c r="N42" s="1891"/>
      <c r="O42" s="699"/>
      <c r="P42" s="242"/>
      <c r="Q42" s="242"/>
      <c r="R42" s="242"/>
      <c r="S42" s="242"/>
      <c r="T42" s="242"/>
      <c r="U42" s="242"/>
      <c r="V42" s="242"/>
      <c r="W42" s="242"/>
      <c r="X42" s="242"/>
      <c r="Y42" s="242"/>
      <c r="Z42" s="243"/>
    </row>
    <row r="43" spans="1:26" ht="31.95" customHeight="1" x14ac:dyDescent="0.3">
      <c r="A43" s="1828" t="str">
        <f>'M3-MAO'!A21</f>
        <v>PDOT.EP.OE5.M1.01</v>
      </c>
      <c r="B43" s="1831" t="str">
        <f>'M3-MAO'!B21</f>
        <v>ECONÓMICO</v>
      </c>
      <c r="C43" s="1831" t="str">
        <f>'M3-MAO'!C21</f>
        <v>Unidad de Turismo GAD Montecristi</v>
      </c>
      <c r="D43" s="1831" t="str">
        <f>'M3-MAO'!D21</f>
        <v>Art. 66 EO 2021 — Dir. Desarrollo Turístico</v>
      </c>
      <c r="E43" s="1831" t="str">
        <f>'M3-MAO'!F21</f>
        <v>Patronato / Ente adscrito (Ordenanza)</v>
      </c>
      <c r="F43" s="1811">
        <f>'M3-MAO'!G21</f>
        <v>0.9</v>
      </c>
      <c r="G43" s="1811">
        <v>0.9</v>
      </c>
      <c r="H43" s="1844" t="s">
        <v>2060</v>
      </c>
      <c r="I43" s="1831" t="str">
        <f>'M3-MAO'!H21</f>
        <v>Jefe Departamento</v>
      </c>
      <c r="J43" s="1831" t="str">
        <f>'M3-MAO'!I21</f>
        <v>turismo@montecristi.gob.ec</v>
      </c>
      <c r="K43" s="1902" t="s">
        <v>4698</v>
      </c>
      <c r="L43" s="1831" t="s">
        <v>4706</v>
      </c>
      <c r="M43" s="1888"/>
      <c r="N43" s="1889"/>
      <c r="O43" s="699"/>
      <c r="P43" s="242"/>
      <c r="Q43" s="242"/>
      <c r="R43" s="242"/>
      <c r="S43" s="242"/>
      <c r="T43" s="242"/>
      <c r="U43" s="242"/>
      <c r="V43" s="242"/>
      <c r="W43" s="242"/>
      <c r="X43" s="242"/>
      <c r="Y43" s="242"/>
      <c r="Z43" s="243"/>
    </row>
    <row r="44" spans="1:26" ht="31.95" customHeight="1" x14ac:dyDescent="0.3">
      <c r="A44" s="1829" t="str">
        <f>'M3-MAO'!A22</f>
        <v>PDOT.AS.VL.M2.01</v>
      </c>
      <c r="B44" s="1832" t="str">
        <f>'M3-MAO'!B22</f>
        <v>TERRITORIAL</v>
      </c>
      <c r="C44" s="1832" t="str">
        <f>'M3-MAO'!C22</f>
        <v>Dirección de Obras Públicas</v>
      </c>
      <c r="D44" s="1832" t="str">
        <f>'M3-MAO'!D22</f>
        <v>Art. 39 EO 2021 — Dir. Obras Públicas</v>
      </c>
      <c r="E44" s="1832" t="str">
        <f>'M3-MAO'!F22</f>
        <v>Dirección GAD (control directo)</v>
      </c>
      <c r="F44" s="1812">
        <f>'M3-MAO'!G22</f>
        <v>1</v>
      </c>
      <c r="G44" s="1812">
        <v>1</v>
      </c>
      <c r="H44" s="1899" t="s">
        <v>2060</v>
      </c>
      <c r="I44" s="1832" t="str">
        <f>'M3-MAO'!H22</f>
        <v>Director</v>
      </c>
      <c r="J44" s="1832" t="str">
        <f>'M3-MAO'!I22</f>
        <v>dop@montecristi.gob.ec</v>
      </c>
      <c r="K44" s="1903" t="s">
        <v>4698</v>
      </c>
      <c r="L44" s="1832" t="s">
        <v>4713</v>
      </c>
      <c r="M44" s="1890"/>
      <c r="N44" s="1891"/>
      <c r="O44" s="699"/>
      <c r="P44" s="242"/>
      <c r="Q44" s="242"/>
      <c r="R44" s="242"/>
      <c r="S44" s="242"/>
      <c r="T44" s="242"/>
      <c r="U44" s="242"/>
      <c r="V44" s="242"/>
      <c r="W44" s="242"/>
      <c r="X44" s="242"/>
      <c r="Y44" s="242"/>
      <c r="Z44" s="243"/>
    </row>
    <row r="45" spans="1:26" ht="31.95" customHeight="1" x14ac:dyDescent="0.3">
      <c r="A45" s="1886" t="str">
        <f>'M3-MAO'!A23</f>
        <v>PDOT.AS.OE1.M1.03</v>
      </c>
      <c r="B45" s="1887" t="str">
        <f>'M3-MAO'!B23</f>
        <v>TERRITORIAL</v>
      </c>
      <c r="C45" s="1887" t="str">
        <f>'M3-MAO'!C23</f>
        <v>Dirección de Agua Potable y Saneamiento</v>
      </c>
      <c r="D45" s="1887" t="str">
        <f>'M3-MAO'!D23</f>
        <v>Art. 42 EO 2021 — Dir. Agua Potable y Alcantarillado</v>
      </c>
      <c r="E45" s="1887" t="str">
        <f>'M3-MAO'!F23</f>
        <v>Dirección GAD (control directo)</v>
      </c>
      <c r="F45" s="1898">
        <f>'M3-MAO'!G23</f>
        <v>1</v>
      </c>
      <c r="G45" s="1898">
        <v>1</v>
      </c>
      <c r="H45" s="1901" t="s">
        <v>2060</v>
      </c>
      <c r="I45" s="1887" t="str">
        <f>'M3-MAO'!H23</f>
        <v>Director</v>
      </c>
      <c r="J45" s="1887" t="str">
        <f>'M3-MAO'!I23</f>
        <v>dag@montecristi.gob.ec</v>
      </c>
      <c r="K45" s="1904" t="s">
        <v>4698</v>
      </c>
      <c r="L45" s="1887"/>
      <c r="M45" s="1892"/>
      <c r="N45" s="1893"/>
      <c r="O45" s="699"/>
      <c r="P45" s="242"/>
      <c r="Q45" s="242"/>
      <c r="R45" s="242"/>
      <c r="S45" s="242"/>
      <c r="T45" s="242"/>
      <c r="U45" s="242"/>
      <c r="V45" s="242"/>
      <c r="W45" s="242"/>
      <c r="X45" s="242"/>
      <c r="Y45" s="242"/>
      <c r="Z45" s="243"/>
    </row>
    <row r="46" spans="1:26" ht="24.6" x14ac:dyDescent="0.3">
      <c r="A46" s="1879" t="s">
        <v>2062</v>
      </c>
      <c r="B46" s="1880"/>
      <c r="C46" s="1880"/>
      <c r="D46" s="1880"/>
      <c r="E46" s="1880"/>
      <c r="F46" s="1881" t="str">
        <f>COUNTIF(F26:F45,1)&amp;" Ci=1.0 / "&amp;COUNTIF(F26:F45,0.9)&amp;" Ci=0.9"</f>
        <v>14 Ci=1.0 / 5 Ci=0.9</v>
      </c>
      <c r="G46" s="1881" t="str">
        <f>COUNTIF(G26:G45,1)&amp;" Ci=1.0 / "&amp;COUNTIF(G26:G45,0.9)&amp;" Ci=0.9"</f>
        <v>14 Ci=1.0 / 6 Ci=0.9</v>
      </c>
      <c r="H46" s="1882" t="str">
        <f>COUNTIF(H26:H45,"✅ COHERENTE")&amp;" coherentes / "&amp;COUNTIF(H26:H45,"⚠️*")&amp;" difieren"</f>
        <v>19 coherentes / 0 difieren</v>
      </c>
      <c r="I46" s="1880"/>
      <c r="J46" s="1880"/>
      <c r="K46" s="1880"/>
      <c r="L46" s="1883" t="s">
        <v>4714</v>
      </c>
      <c r="M46" s="1884"/>
      <c r="N46" s="1885"/>
      <c r="O46" s="246"/>
      <c r="P46" s="246"/>
      <c r="Q46" s="246"/>
      <c r="R46" s="246"/>
      <c r="S46" s="246"/>
      <c r="T46" s="246"/>
      <c r="U46" s="246"/>
      <c r="V46" s="246"/>
      <c r="W46" s="246"/>
      <c r="X46" s="246"/>
      <c r="Y46" s="246"/>
      <c r="Z46" s="247"/>
    </row>
    <row r="47" spans="1:26" ht="45" customHeight="1" x14ac:dyDescent="0.3">
      <c r="A47" s="9"/>
      <c r="B47" s="9"/>
      <c r="C47" s="9"/>
      <c r="D47" s="9"/>
      <c r="E47" s="9"/>
      <c r="F47" s="9"/>
      <c r="G47" s="9"/>
      <c r="H47" s="9"/>
      <c r="I47" s="9"/>
      <c r="J47" s="9"/>
      <c r="K47" s="9"/>
      <c r="L47" s="9"/>
      <c r="M47" s="9"/>
      <c r="N47" s="9"/>
    </row>
  </sheetData>
  <mergeCells count="5">
    <mergeCell ref="A24:Z24"/>
    <mergeCell ref="A4:Z4"/>
    <mergeCell ref="A3:N3"/>
    <mergeCell ref="A2:N2"/>
    <mergeCell ref="A1:Z1"/>
  </mergeCells>
  <conditionalFormatting sqref="B27:B45">
    <cfRule type="containsText" dxfId="320" priority="14" operator="containsText" text="TERRITORIAL">
      <formula>NOT(ISERROR(SEARCH("TERRITORIAL",B27)))</formula>
    </cfRule>
    <cfRule type="containsText" dxfId="319" priority="15" operator="containsText" text="SOCIAL">
      <formula>NOT(ISERROR(SEARCH("SOCIAL",B27)))</formula>
    </cfRule>
    <cfRule type="containsText" dxfId="318" priority="16" operator="containsText" text="AMBIENTAL">
      <formula>NOT(ISERROR(SEARCH("AMBIENTAL",B27)))</formula>
    </cfRule>
    <cfRule type="containsText" dxfId="317" priority="17" operator="containsText" text="INSTITUCIONAL">
      <formula>NOT(ISERROR(SEARCH("INSTITUCIONAL",B27)))</formula>
    </cfRule>
    <cfRule type="containsText" dxfId="316" priority="18" operator="containsText" text="ECONÓMICO">
      <formula>NOT(ISERROR(SEARCH("ECONÓMICO",B27)))</formula>
    </cfRule>
  </conditionalFormatting>
  <conditionalFormatting sqref="D6:D23">
    <cfRule type="containsText" dxfId="315" priority="4" operator="containsText" text="GAD Directo">
      <formula>NOT(ISERROR(SEARCH("GAD Directo",D6)))</formula>
    </cfRule>
    <cfRule type="containsText" dxfId="314" priority="5" operator="containsText" text="Empresa Pública">
      <formula>NOT(ISERROR(SEARCH("Empresa Pública",D6)))</formula>
    </cfRule>
    <cfRule type="containsText" dxfId="313" priority="6" operator="containsText" text="Adscrito">
      <formula>NOT(ISERROR(SEARCH("Adscrito",D6)))</formula>
    </cfRule>
    <cfRule type="containsText" dxfId="312" priority="7" operator="containsText" text="Convenio">
      <formula>NOT(ISERROR(SEARCH("Convenio",D6)))</formula>
    </cfRule>
  </conditionalFormatting>
  <conditionalFormatting sqref="F27:F45">
    <cfRule type="cellIs" dxfId="311" priority="8" operator="equal">
      <formula>1</formula>
    </cfRule>
    <cfRule type="cellIs" dxfId="310" priority="9" operator="equal">
      <formula>0.9</formula>
    </cfRule>
    <cfRule type="cellIs" dxfId="309" priority="10" operator="equal">
      <formula>0.75</formula>
    </cfRule>
  </conditionalFormatting>
  <conditionalFormatting sqref="H27:H45">
    <cfRule type="containsText" dxfId="308" priority="11" operator="containsText" text="✅">
      <formula>NOT(ISERROR(SEARCH("✅",H27)))</formula>
    </cfRule>
    <cfRule type="containsText" dxfId="307" priority="12" operator="containsText" text="⚠">
      <formula>NOT(ISERROR(SEARCH("⚠",H27)))</formula>
    </cfRule>
  </conditionalFormatting>
  <conditionalFormatting sqref="K6:K23">
    <cfRule type="cellIs" dxfId="306" priority="1" operator="equal">
      <formula>1</formula>
    </cfRule>
    <cfRule type="cellIs" dxfId="305" priority="2" operator="equal">
      <formula>0.9</formula>
    </cfRule>
    <cfRule type="cellIs" dxfId="304" priority="3" operator="equal">
      <formula>0.75</formula>
    </cfRule>
  </conditionalFormatting>
  <conditionalFormatting sqref="K27:K45">
    <cfRule type="containsText" dxfId="303" priority="13" operator="containsText" text="✅">
      <formula>NOT(ISERROR(SEARCH("✅",K27)))</formula>
    </cfRule>
  </conditionalFormatting>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C6E0B4"/>
  </sheetPr>
  <dimension ref="A1:Z56"/>
  <sheetViews>
    <sheetView showGridLines="0" zoomScale="70" zoomScaleNormal="70" workbookViewId="0">
      <pane ySplit="3" topLeftCell="A7" activePane="bottomLeft" state="frozen"/>
      <selection pane="bottomLeft" activeCell="A7" sqref="A7"/>
    </sheetView>
  </sheetViews>
  <sheetFormatPr baseColWidth="10" defaultRowHeight="14.4" x14ac:dyDescent="0.3"/>
  <cols>
    <col min="1" max="2" width="34.21875" customWidth="1"/>
    <col min="3" max="3" width="10.21875" customWidth="1"/>
    <col min="4" max="6" width="11.109375" customWidth="1"/>
    <col min="7" max="7" width="10.21875" customWidth="1"/>
    <col min="8" max="8" width="24.109375" customWidth="1"/>
    <col min="9" max="9" width="17.5546875" customWidth="1"/>
    <col min="10" max="10" width="13" customWidth="1"/>
    <col min="11" max="11" width="24.109375" customWidth="1"/>
    <col min="12" max="13" width="37" customWidth="1"/>
    <col min="14" max="14" width="30.5546875" customWidth="1"/>
    <col min="15" max="20" width="14.33203125" bestFit="1" customWidth="1"/>
    <col min="21" max="21" width="15.5546875" bestFit="1" customWidth="1"/>
    <col min="22" max="22" width="15.88671875" bestFit="1" customWidth="1"/>
    <col min="23" max="23" width="14.44140625" bestFit="1" customWidth="1"/>
    <col min="24" max="24" width="18.33203125" bestFit="1" customWidth="1"/>
    <col min="26" max="26" width="13.44140625" bestFit="1" customWidth="1"/>
  </cols>
  <sheetData>
    <row r="1" spans="1:26" ht="28.05" customHeight="1" x14ac:dyDescent="0.3">
      <c r="A1" s="3777" t="s">
        <v>4817</v>
      </c>
      <c r="B1" s="3777"/>
      <c r="C1" s="3777"/>
      <c r="D1" s="3777"/>
      <c r="E1" s="3777"/>
      <c r="F1" s="3777"/>
      <c r="G1" s="3777"/>
      <c r="H1" s="3777"/>
      <c r="I1" s="3777"/>
      <c r="J1" s="3777"/>
      <c r="K1" s="3777"/>
      <c r="L1" s="3777"/>
      <c r="M1" s="3777"/>
      <c r="N1" s="3777"/>
      <c r="O1" s="3715"/>
      <c r="P1" s="3715"/>
      <c r="Q1" s="3715"/>
      <c r="R1" s="3715"/>
      <c r="S1" s="3715"/>
      <c r="T1" s="3715"/>
      <c r="U1" s="3715"/>
      <c r="V1" s="3715"/>
      <c r="W1" s="3715"/>
      <c r="X1" s="3715"/>
      <c r="Y1" s="3715"/>
      <c r="Z1" s="3715"/>
    </row>
    <row r="2" spans="1:26" ht="19.95" customHeight="1" x14ac:dyDescent="0.3">
      <c r="A2" s="1763" t="str">
        <f>HYPERLINK("#'M-INDEX'!A1","⌂ INDICE")</f>
        <v>⌂ INDICE</v>
      </c>
      <c r="B2" s="1763" t="str">
        <f>HYPERLINK("#'M1-ITME'!A1","M1")</f>
        <v>M1</v>
      </c>
      <c r="C2" s="1763" t="str">
        <f>HYPERLINK("#'M2-PDOT'!A1","M2")</f>
        <v>M2</v>
      </c>
      <c r="D2" s="1763" t="str">
        <f>HYPERLINK("#'M3-MAO'!A1","M3")</f>
        <v>M3</v>
      </c>
      <c r="E2" s="1763" t="str">
        <f>HYPERLINK("#'M4-AUDIT'!A1","M4")</f>
        <v>M4</v>
      </c>
      <c r="F2" s="1763" t="str">
        <f>HYPERLINK("#'M5-ICPI'!A1","M5")</f>
        <v>M5</v>
      </c>
      <c r="G2" s="1763" t="str">
        <f>HYPERLINK("#'M6-FEDS'!A1","◉ M6-FEDS")</f>
        <v>◉ M6-FEDS</v>
      </c>
      <c r="H2" s="1763" t="str">
        <f>HYPERLINK("#'M7-PROSP'!A1","M7")</f>
        <v>M7</v>
      </c>
      <c r="I2" s="1763" t="str">
        <f>HYPERLINK("#'DATA-POA'!A1","DATA-POA")</f>
        <v>DATA-POA</v>
      </c>
      <c r="J2" s="1763" t="str">
        <f>HYPERLINK("#'DATA-CNE'!A1","DATA-CNE")</f>
        <v>DATA-CNE</v>
      </c>
      <c r="K2" s="1763" t="str">
        <f>HYPERLINK("#'DATA-ORG'!A1","DATA-ORG")</f>
        <v>DATA-ORG</v>
      </c>
      <c r="L2" s="1763" t="str">
        <f>HYPERLINK("#'M-DASHBOARD'!A1","DASH")</f>
        <v>DASH</v>
      </c>
      <c r="M2" s="1759"/>
      <c r="N2" s="1759"/>
      <c r="O2" s="1734"/>
      <c r="P2" s="1734"/>
      <c r="Q2" s="1734"/>
      <c r="R2" s="1734"/>
      <c r="S2" s="1734"/>
      <c r="T2" s="1734"/>
      <c r="U2" s="1734"/>
      <c r="V2" s="1734"/>
      <c r="W2" s="1734"/>
      <c r="X2" s="1734"/>
      <c r="Y2" s="1734"/>
      <c r="Z2" s="1734"/>
    </row>
    <row r="3" spans="1:26" ht="15" customHeight="1" thickBot="1" x14ac:dyDescent="0.35">
      <c r="A3" s="3898" t="s">
        <v>690</v>
      </c>
      <c r="B3" s="3898"/>
      <c r="C3" s="3898"/>
      <c r="D3" s="3898"/>
      <c r="E3" s="3898"/>
      <c r="F3" s="3898"/>
      <c r="G3" s="3898"/>
      <c r="H3" s="3898"/>
      <c r="I3" s="3898"/>
      <c r="J3" s="3898"/>
      <c r="K3" s="3898"/>
      <c r="L3" s="3898"/>
      <c r="M3" s="3898"/>
      <c r="N3" s="3898"/>
      <c r="O3" s="3899"/>
      <c r="P3" s="3899"/>
      <c r="Q3" s="3899"/>
      <c r="R3" s="3899"/>
      <c r="S3" s="3899"/>
      <c r="T3" s="3899"/>
      <c r="U3" s="3899"/>
      <c r="V3" s="3899"/>
      <c r="W3" s="3899"/>
      <c r="X3" s="3899"/>
      <c r="Y3" s="1767"/>
      <c r="Z3" s="1767"/>
    </row>
    <row r="4" spans="1:26" ht="19.95" customHeight="1" thickTop="1" x14ac:dyDescent="0.3">
      <c r="A4" s="3900" t="s">
        <v>2063</v>
      </c>
      <c r="B4" s="3901"/>
      <c r="C4" s="3901"/>
      <c r="D4" s="3901"/>
      <c r="E4" s="3901"/>
      <c r="F4" s="3901"/>
      <c r="G4" s="3901"/>
      <c r="H4" s="3901"/>
      <c r="I4" s="3901"/>
      <c r="J4" s="3901"/>
      <c r="K4" s="3901"/>
      <c r="L4" s="3901"/>
      <c r="M4" s="3901"/>
      <c r="N4" s="3901"/>
      <c r="O4" s="3902"/>
      <c r="P4" s="3902"/>
      <c r="Q4" s="3902"/>
      <c r="R4" s="3902"/>
      <c r="S4" s="3902"/>
      <c r="T4" s="3902"/>
      <c r="U4" s="3902"/>
      <c r="V4" s="3902"/>
      <c r="W4" s="3902"/>
      <c r="X4" s="3902"/>
      <c r="Y4" s="3902"/>
      <c r="Z4" s="3903"/>
    </row>
    <row r="5" spans="1:26" ht="22.05" customHeight="1" x14ac:dyDescent="0.3">
      <c r="A5" s="3904" t="s">
        <v>2064</v>
      </c>
      <c r="B5" s="3905"/>
      <c r="C5" s="3905"/>
      <c r="D5" s="3905"/>
      <c r="E5" s="3905"/>
      <c r="F5" s="3905"/>
      <c r="G5" s="3905"/>
      <c r="H5" s="3905"/>
      <c r="I5" s="3905"/>
      <c r="J5" s="3905"/>
      <c r="K5" s="3905"/>
      <c r="L5" s="3905"/>
      <c r="M5" s="3905"/>
      <c r="N5" s="3906"/>
      <c r="O5" s="3907"/>
      <c r="P5" s="3907"/>
      <c r="Q5" s="3907"/>
      <c r="R5" s="3907"/>
      <c r="S5" s="3907"/>
      <c r="T5" s="3907"/>
      <c r="U5" s="3907"/>
      <c r="V5" s="3907"/>
      <c r="W5" s="3907"/>
      <c r="X5" s="3907"/>
      <c r="Y5" s="3907"/>
      <c r="Z5" s="3908"/>
    </row>
    <row r="6" spans="1:26" s="11" customFormat="1" ht="40.049999999999997" customHeight="1" x14ac:dyDescent="0.3">
      <c r="A6" s="1848" t="s">
        <v>1800</v>
      </c>
      <c r="B6" s="1849" t="s">
        <v>2065</v>
      </c>
      <c r="C6" s="1849" t="s">
        <v>698</v>
      </c>
      <c r="D6" s="1849" t="s">
        <v>2066</v>
      </c>
      <c r="E6" s="1849" t="s">
        <v>2067</v>
      </c>
      <c r="F6" s="1849" t="s">
        <v>2068</v>
      </c>
      <c r="G6" s="1849" t="s">
        <v>2069</v>
      </c>
      <c r="H6" s="1849" t="s">
        <v>2070</v>
      </c>
      <c r="I6" s="1849" t="s">
        <v>2071</v>
      </c>
      <c r="J6" s="1849" t="s">
        <v>2072</v>
      </c>
      <c r="K6" s="1849" t="s">
        <v>2073</v>
      </c>
      <c r="L6" s="1849" t="s">
        <v>2074</v>
      </c>
      <c r="M6" s="1849" t="s">
        <v>2075</v>
      </c>
      <c r="N6" s="1850" t="s">
        <v>2076</v>
      </c>
      <c r="O6" s="1779">
        <v>60</v>
      </c>
      <c r="P6" s="1768">
        <v>70</v>
      </c>
      <c r="Q6" s="1768">
        <v>75</v>
      </c>
      <c r="R6" s="1768">
        <v>82</v>
      </c>
      <c r="S6" s="1768">
        <v>87</v>
      </c>
      <c r="T6" s="1768">
        <v>90</v>
      </c>
      <c r="U6" s="1768" t="str">
        <f t="shared" ref="U6:U25" si="0">IF(T6&gt;S6,"↗ Mejorando",IF(T6&lt;S6,"↘ Empeorando","→ Estable"))</f>
        <v>↗ Mejorando</v>
      </c>
      <c r="V6" s="1768">
        <f t="shared" ref="V6:V25" si="1">T6-R6</f>
        <v>8</v>
      </c>
      <c r="W6" s="1768" t="s">
        <v>2077</v>
      </c>
      <c r="X6" s="1768" t="s">
        <v>2078</v>
      </c>
      <c r="Y6" s="238"/>
      <c r="Z6" s="239"/>
    </row>
    <row r="7" spans="1:26" s="11" customFormat="1" ht="37.950000000000003" customHeight="1" x14ac:dyDescent="0.3">
      <c r="A7" s="1783" t="str">
        <f>'M4-AUDIT'!A24</f>
        <v>PDOT.SC.OE2.M1.01</v>
      </c>
      <c r="B7" s="1831" t="str">
        <f>'M4-AUDIT'!O24</f>
        <v>Patronato Municipal de Amparo Social</v>
      </c>
      <c r="C7" s="1784">
        <f>'M4-AUDIT'!P24</f>
        <v>0.9</v>
      </c>
      <c r="D7" s="1784">
        <v>1</v>
      </c>
      <c r="E7" s="1784">
        <v>1</v>
      </c>
      <c r="F7" s="1820">
        <f>'M4-AUDIT'!H24</f>
        <v>0.65</v>
      </c>
      <c r="G7" s="1784">
        <f>'M4-AUDIT'!F24</f>
        <v>1</v>
      </c>
      <c r="H7" s="1784">
        <f>'M5-ICPI'!D24</f>
        <v>0.5</v>
      </c>
      <c r="I7" s="1817">
        <f>'M5-ICPI'!C24</f>
        <v>4.1568709469966139E-3</v>
      </c>
      <c r="J7" s="1811">
        <f t="shared" ref="J7:J26" si="2">IF(C7=0,0,ROUND(C7*D7*E7*F7*G7*100,2))</f>
        <v>58.5</v>
      </c>
      <c r="K7" s="1825" t="str">
        <f t="shared" ref="K7:K26" si="3">IF(J7&gt;=90,"EXCELENCIA",IF(J7&gt;=70,"GESTIÓN POR MANDATO",IF(J7&gt;=40,"TRANSICIÓN CRÍTICA",IF(J7&gt;=20,"GESTIÓN POR OCURRENCIA","RUPTURA TOTAL"))))</f>
        <v>TRANSICIÓN CRÍTICA</v>
      </c>
      <c r="L7" s="1831" t="str">
        <f t="shared" ref="L7:L26" si="4">IF(G7=0,"Vi=0: Sin evidencia documental — falla trazabilidad §3.4",IF(D7=0,"POA=0: Meta no planificada — falla estratégica dirección",IF(E7=0,"PAC=0: Planificado pero no contratado — inacción operativa",IF(F7&lt;0.3,"Ti&lt;30%: Subejecución crítica — falla seguimiento",IF(F7&lt;0.6,"Ti&lt;60%: Subejecución moderada — requiere plan mejora","Gestión aceptable — mantener ritmo")))))</f>
        <v>Gestión aceptable — mantener ritmo</v>
      </c>
      <c r="M7" s="1831" t="str">
        <f t="shared" ref="M7:M26" si="5">IF(J7&gt;=70,"Mantener — reconocimiento potencial LOSEP Art.78",IF(J7&gt;=50,"Plan mejora 60 días — LOSEP Art.80",IF(J7&gt;=30,"Memorando de llamada de atención — COA Art.196","Inicio sumario administrativo — LOSEP Art.80 + COOTAD Art.339")))</f>
        <v>Plan mejora 60 días — LOSEP Art.80</v>
      </c>
      <c r="N7" s="1834" t="str">
        <f t="shared" ref="N7:N26" si="6">IF(J7&gt;=70,"LOSEP Art.76-77",IF(J7&gt;=50,"LOSEP Art.80 + COOTAD Art.338","LOSEP Art.80 + COOTAD Art.339 + COA Art.196"))</f>
        <v>LOSEP Art.80 + COOTAD Art.338</v>
      </c>
      <c r="O7" s="1779">
        <v>50</v>
      </c>
      <c r="P7" s="1768">
        <v>60</v>
      </c>
      <c r="Q7" s="1768">
        <v>67</v>
      </c>
      <c r="R7" s="1768">
        <v>74</v>
      </c>
      <c r="S7" s="1768">
        <v>77</v>
      </c>
      <c r="T7" s="1768">
        <v>80</v>
      </c>
      <c r="U7" s="1768" t="str">
        <f t="shared" si="0"/>
        <v>↗ Mejorando</v>
      </c>
      <c r="V7" s="1768">
        <f t="shared" si="1"/>
        <v>6</v>
      </c>
      <c r="W7" s="1768" t="s">
        <v>443</v>
      </c>
      <c r="X7" s="1768" t="s">
        <v>2079</v>
      </c>
      <c r="Y7" s="238"/>
      <c r="Z7" s="239"/>
    </row>
    <row r="8" spans="1:26" s="11" customFormat="1" ht="37.950000000000003" customHeight="1" x14ac:dyDescent="0.3">
      <c r="A8" s="1851" t="str">
        <f>'M4-AUDIT'!A5</f>
        <v>PDOT.AM.OE3.M2.01</v>
      </c>
      <c r="B8" s="1852" t="str">
        <f>'M4-AUDIT'!O5</f>
        <v>EP Aseo Integral Montecristi</v>
      </c>
      <c r="C8" s="1853">
        <f>'M4-AUDIT'!P5</f>
        <v>0.75</v>
      </c>
      <c r="D8" s="1853">
        <v>1</v>
      </c>
      <c r="E8" s="1853">
        <v>1</v>
      </c>
      <c r="F8" s="1854">
        <f>'M4-AUDIT'!H5</f>
        <v>0.75</v>
      </c>
      <c r="G8" s="1853">
        <f>'M4-AUDIT'!F5</f>
        <v>1</v>
      </c>
      <c r="H8" s="1853">
        <f>'M5-ICPI'!D5</f>
        <v>1</v>
      </c>
      <c r="I8" s="1855">
        <f>'M5-ICPI'!C5</f>
        <v>0.33018018186699599</v>
      </c>
      <c r="J8" s="1856">
        <f t="shared" si="2"/>
        <v>56.25</v>
      </c>
      <c r="K8" s="1857" t="str">
        <f t="shared" si="3"/>
        <v>TRANSICIÓN CRÍTICA</v>
      </c>
      <c r="L8" s="1852" t="str">
        <f t="shared" si="4"/>
        <v>Gestión aceptable — mantener ritmo</v>
      </c>
      <c r="M8" s="1852" t="str">
        <f t="shared" si="5"/>
        <v>Plan mejora 60 días — LOSEP Art.80</v>
      </c>
      <c r="N8" s="1858" t="str">
        <f t="shared" si="6"/>
        <v>LOSEP Art.80 + COOTAD Art.338</v>
      </c>
      <c r="O8" s="1779">
        <v>0</v>
      </c>
      <c r="P8" s="1768">
        <v>0</v>
      </c>
      <c r="Q8" s="1768">
        <v>0</v>
      </c>
      <c r="R8" s="1768">
        <v>0</v>
      </c>
      <c r="S8" s="1768">
        <v>0</v>
      </c>
      <c r="T8" s="1768">
        <v>0</v>
      </c>
      <c r="U8" s="1768" t="str">
        <f t="shared" si="0"/>
        <v>→ Estable</v>
      </c>
      <c r="V8" s="1768">
        <f t="shared" si="1"/>
        <v>0</v>
      </c>
      <c r="W8" s="1768" t="s">
        <v>2080</v>
      </c>
      <c r="X8" s="1769" t="s">
        <v>2081</v>
      </c>
      <c r="Y8" s="238"/>
      <c r="Z8" s="239"/>
    </row>
    <row r="9" spans="1:26" s="11" customFormat="1" ht="37.950000000000003" customHeight="1" x14ac:dyDescent="0.3">
      <c r="A9" s="1783" t="str">
        <f>'M4-AUDIT'!A6</f>
        <v>PDOT.AS.OE1.M2.01</v>
      </c>
      <c r="B9" s="1831" t="str">
        <f>'M4-AUDIT'!O6</f>
        <v>Dirección de Planificación y Desarrollo</v>
      </c>
      <c r="C9" s="1784">
        <f>'M4-AUDIT'!P6</f>
        <v>1</v>
      </c>
      <c r="D9" s="1784">
        <v>1</v>
      </c>
      <c r="E9" s="1784">
        <v>0</v>
      </c>
      <c r="F9" s="1820">
        <f>'M4-AUDIT'!H6</f>
        <v>0.1</v>
      </c>
      <c r="G9" s="1784">
        <f>'M4-AUDIT'!F6</f>
        <v>0</v>
      </c>
      <c r="H9" s="1784">
        <f>'M5-ICPI'!D6</f>
        <v>1.5</v>
      </c>
      <c r="I9" s="1817">
        <f>'M5-ICPI'!C6</f>
        <v>0.17664185031506524</v>
      </c>
      <c r="J9" s="1811">
        <f t="shared" si="2"/>
        <v>0</v>
      </c>
      <c r="K9" s="1825" t="str">
        <f t="shared" si="3"/>
        <v>RUPTURA TOTAL</v>
      </c>
      <c r="L9" s="1831" t="str">
        <f t="shared" si="4"/>
        <v>Vi=0: Sin evidencia documental — falla trazabilidad §3.4</v>
      </c>
      <c r="M9" s="1831" t="str">
        <f t="shared" si="5"/>
        <v>Inicio sumario administrativo — LOSEP Art.80 + COOTAD Art.339</v>
      </c>
      <c r="N9" s="1834" t="str">
        <f t="shared" si="6"/>
        <v>LOSEP Art.80 + COOTAD Art.339 + COA Art.196</v>
      </c>
      <c r="O9" s="1779">
        <v>35</v>
      </c>
      <c r="P9" s="1768">
        <v>42</v>
      </c>
      <c r="Q9" s="1768">
        <v>50</v>
      </c>
      <c r="R9" s="1768">
        <v>57</v>
      </c>
      <c r="S9" s="1768">
        <v>61</v>
      </c>
      <c r="T9" s="1768">
        <v>65</v>
      </c>
      <c r="U9" s="1768" t="str">
        <f t="shared" si="0"/>
        <v>↗ Mejorando</v>
      </c>
      <c r="V9" s="1768">
        <f t="shared" si="1"/>
        <v>8</v>
      </c>
      <c r="W9" s="1768" t="s">
        <v>2080</v>
      </c>
      <c r="X9" s="1768" t="s">
        <v>2082</v>
      </c>
      <c r="Y9" s="238"/>
      <c r="Z9" s="239"/>
    </row>
    <row r="10" spans="1:26" s="11" customFormat="1" ht="37.950000000000003" customHeight="1" x14ac:dyDescent="0.3">
      <c r="A10" s="1786" t="str">
        <f>'M4-AUDIT'!A7</f>
        <v>PDOT.SC.OE2.M4.01</v>
      </c>
      <c r="B10" s="1832" t="str">
        <f>'M4-AUDIT'!O7</f>
        <v>Patronato Municipal de Amparo Social</v>
      </c>
      <c r="C10" s="1787">
        <f>'M4-AUDIT'!P7</f>
        <v>0.9</v>
      </c>
      <c r="D10" s="1787">
        <v>1</v>
      </c>
      <c r="E10" s="1787">
        <v>1</v>
      </c>
      <c r="F10" s="1821">
        <f>'M4-AUDIT'!H7</f>
        <v>0.2</v>
      </c>
      <c r="G10" s="1787">
        <f>'M4-AUDIT'!F7</f>
        <v>1</v>
      </c>
      <c r="H10" s="1787">
        <f>'M5-ICPI'!D7</f>
        <v>1</v>
      </c>
      <c r="I10" s="1818">
        <f>'M5-ICPI'!C7</f>
        <v>0.1516189522727332</v>
      </c>
      <c r="J10" s="1812">
        <f t="shared" si="2"/>
        <v>18</v>
      </c>
      <c r="K10" s="1826" t="str">
        <f t="shared" si="3"/>
        <v>RUPTURA TOTAL</v>
      </c>
      <c r="L10" s="1832" t="str">
        <f t="shared" si="4"/>
        <v>Ti&lt;30%: Subejecución crítica — falla seguimiento</v>
      </c>
      <c r="M10" s="1832" t="str">
        <f t="shared" si="5"/>
        <v>Inicio sumario administrativo — LOSEP Art.80 + COOTAD Art.339</v>
      </c>
      <c r="N10" s="1835" t="str">
        <f t="shared" si="6"/>
        <v>LOSEP Art.80 + COOTAD Art.339 + COA Art.196</v>
      </c>
      <c r="O10" s="1779">
        <v>0</v>
      </c>
      <c r="P10" s="1768">
        <v>0</v>
      </c>
      <c r="Q10" s="1768">
        <v>0</v>
      </c>
      <c r="R10" s="1768">
        <v>0</v>
      </c>
      <c r="S10" s="1768">
        <v>0</v>
      </c>
      <c r="T10" s="1768">
        <v>0</v>
      </c>
      <c r="U10" s="1768" t="str">
        <f t="shared" si="0"/>
        <v>→ Estable</v>
      </c>
      <c r="V10" s="1768">
        <f t="shared" si="1"/>
        <v>0</v>
      </c>
      <c r="W10" s="1768" t="s">
        <v>2080</v>
      </c>
      <c r="X10" s="1769" t="s">
        <v>2083</v>
      </c>
      <c r="Y10" s="238"/>
      <c r="Z10" s="239"/>
    </row>
    <row r="11" spans="1:26" s="11" customFormat="1" ht="37.950000000000003" customHeight="1" x14ac:dyDescent="0.3">
      <c r="A11" s="1783" t="str">
        <f>'M4-AUDIT'!A8</f>
        <v>PDOT.AS.OE1.M1.02</v>
      </c>
      <c r="B11" s="1831" t="str">
        <f>'M4-AUDIT'!O8</f>
        <v>Dirección de Obras Públicas</v>
      </c>
      <c r="C11" s="1784">
        <f>'M4-AUDIT'!P8</f>
        <v>1</v>
      </c>
      <c r="D11" s="1784">
        <v>1</v>
      </c>
      <c r="E11" s="1784">
        <v>0</v>
      </c>
      <c r="F11" s="1820">
        <f>'M4-AUDIT'!H8</f>
        <v>0</v>
      </c>
      <c r="G11" s="1784">
        <f>'M4-AUDIT'!F8</f>
        <v>0</v>
      </c>
      <c r="H11" s="1784">
        <f>'M5-ICPI'!D8</f>
        <v>1</v>
      </c>
      <c r="I11" s="1817">
        <f>'M5-ICPI'!C8</f>
        <v>5.1342281756523014E-2</v>
      </c>
      <c r="J11" s="1811">
        <f t="shared" si="2"/>
        <v>0</v>
      </c>
      <c r="K11" s="1825" t="str">
        <f t="shared" si="3"/>
        <v>RUPTURA TOTAL</v>
      </c>
      <c r="L11" s="1831" t="str">
        <f t="shared" si="4"/>
        <v>Vi=0: Sin evidencia documental — falla trazabilidad §3.4</v>
      </c>
      <c r="M11" s="1831" t="str">
        <f t="shared" si="5"/>
        <v>Inicio sumario administrativo — LOSEP Art.80 + COOTAD Art.339</v>
      </c>
      <c r="N11" s="1834" t="str">
        <f t="shared" si="6"/>
        <v>LOSEP Art.80 + COOTAD Art.339 + COA Art.196</v>
      </c>
      <c r="O11" s="1779">
        <v>82</v>
      </c>
      <c r="P11" s="1768">
        <v>86</v>
      </c>
      <c r="Q11" s="1768">
        <v>89</v>
      </c>
      <c r="R11" s="1768">
        <v>90</v>
      </c>
      <c r="S11" s="1768">
        <v>90</v>
      </c>
      <c r="T11" s="1768">
        <v>90</v>
      </c>
      <c r="U11" s="1768" t="str">
        <f t="shared" si="0"/>
        <v>→ Estable</v>
      </c>
      <c r="V11" s="1768">
        <f t="shared" si="1"/>
        <v>0</v>
      </c>
      <c r="W11" s="1768" t="s">
        <v>443</v>
      </c>
      <c r="X11" s="1768" t="s">
        <v>2084</v>
      </c>
      <c r="Y11" s="238"/>
      <c r="Z11" s="239"/>
    </row>
    <row r="12" spans="1:26" s="11" customFormat="1" ht="37.950000000000003" customHeight="1" x14ac:dyDescent="0.3">
      <c r="A12" s="1786" t="str">
        <f>'M4-AUDIT'!A9</f>
        <v>PDOT.PI.OE4.M1.01</v>
      </c>
      <c r="B12" s="1832" t="str">
        <f>'M4-AUDIT'!O9</f>
        <v>Dirección de Tecnología e Información</v>
      </c>
      <c r="C12" s="1787">
        <f>'M4-AUDIT'!P9</f>
        <v>1</v>
      </c>
      <c r="D12" s="1787">
        <v>1</v>
      </c>
      <c r="E12" s="1787">
        <v>1</v>
      </c>
      <c r="F12" s="1821">
        <f>'M4-AUDIT'!H9</f>
        <v>1</v>
      </c>
      <c r="G12" s="1787">
        <f>'M4-AUDIT'!F9</f>
        <v>1</v>
      </c>
      <c r="H12" s="1787">
        <f>'M5-ICPI'!D9</f>
        <v>1</v>
      </c>
      <c r="I12" s="1818">
        <f>'M5-ICPI'!C9</f>
        <v>4.8834457728394447E-2</v>
      </c>
      <c r="J12" s="1812">
        <f t="shared" si="2"/>
        <v>100</v>
      </c>
      <c r="K12" s="1826" t="str">
        <f t="shared" si="3"/>
        <v>EXCELENCIA</v>
      </c>
      <c r="L12" s="1832" t="str">
        <f t="shared" si="4"/>
        <v>Gestión aceptable — mantener ritmo</v>
      </c>
      <c r="M12" s="1832" t="str">
        <f t="shared" si="5"/>
        <v>Mantener — reconocimiento potencial LOSEP Art.78</v>
      </c>
      <c r="N12" s="1835" t="str">
        <f t="shared" si="6"/>
        <v>LOSEP Art.76-77</v>
      </c>
      <c r="O12" s="1779">
        <v>72</v>
      </c>
      <c r="P12" s="1768">
        <v>78</v>
      </c>
      <c r="Q12" s="1768">
        <v>83</v>
      </c>
      <c r="R12" s="1768">
        <v>87</v>
      </c>
      <c r="S12" s="1768">
        <v>89</v>
      </c>
      <c r="T12" s="1768">
        <v>90</v>
      </c>
      <c r="U12" s="1768" t="str">
        <f t="shared" si="0"/>
        <v>↗ Mejorando</v>
      </c>
      <c r="V12" s="1768">
        <f t="shared" si="1"/>
        <v>3</v>
      </c>
      <c r="W12" s="1768" t="s">
        <v>443</v>
      </c>
      <c r="X12" s="1768" t="s">
        <v>2085</v>
      </c>
      <c r="Y12" s="238"/>
      <c r="Z12" s="239"/>
    </row>
    <row r="13" spans="1:26" s="11" customFormat="1" ht="37.950000000000003" customHeight="1" x14ac:dyDescent="0.3">
      <c r="A13" s="1783" t="str">
        <f>'M4-AUDIT'!A10</f>
        <v>PDOT.AV.OE1.M1.01</v>
      </c>
      <c r="B13" s="1831" t="str">
        <f>'M4-AUDIT'!O10</f>
        <v>Dirección de Obras Públicas</v>
      </c>
      <c r="C13" s="1784">
        <f>'M4-AUDIT'!P10</f>
        <v>1</v>
      </c>
      <c r="D13" s="1784">
        <v>1</v>
      </c>
      <c r="E13" s="1784">
        <v>1</v>
      </c>
      <c r="F13" s="1820">
        <f>'M4-AUDIT'!H10</f>
        <v>0.9</v>
      </c>
      <c r="G13" s="1784">
        <f>'M4-AUDIT'!F10</f>
        <v>1</v>
      </c>
      <c r="H13" s="1784">
        <f>'M5-ICPI'!D10</f>
        <v>1.5</v>
      </c>
      <c r="I13" s="1817">
        <f>'M5-ICPI'!C10</f>
        <v>3.8491842122155021E-2</v>
      </c>
      <c r="J13" s="1811">
        <f t="shared" si="2"/>
        <v>90</v>
      </c>
      <c r="K13" s="1825" t="str">
        <f t="shared" si="3"/>
        <v>EXCELENCIA</v>
      </c>
      <c r="L13" s="1831" t="str">
        <f t="shared" si="4"/>
        <v>Gestión aceptable — mantener ritmo</v>
      </c>
      <c r="M13" s="1831" t="str">
        <f t="shared" si="5"/>
        <v>Mantener — reconocimiento potencial LOSEP Art.78</v>
      </c>
      <c r="N13" s="1834" t="str">
        <f t="shared" si="6"/>
        <v>LOSEP Art.76-77</v>
      </c>
      <c r="O13" s="1779">
        <v>0</v>
      </c>
      <c r="P13" s="1768">
        <v>0</v>
      </c>
      <c r="Q13" s="1768">
        <v>0</v>
      </c>
      <c r="R13" s="1768">
        <v>0</v>
      </c>
      <c r="S13" s="1768">
        <v>0</v>
      </c>
      <c r="T13" s="1768">
        <v>0</v>
      </c>
      <c r="U13" s="1768" t="str">
        <f t="shared" si="0"/>
        <v>→ Estable</v>
      </c>
      <c r="V13" s="1768">
        <f t="shared" si="1"/>
        <v>0</v>
      </c>
      <c r="W13" s="1768" t="s">
        <v>2080</v>
      </c>
      <c r="X13" s="1769" t="s">
        <v>2086</v>
      </c>
      <c r="Y13" s="238"/>
      <c r="Z13" s="239"/>
    </row>
    <row r="14" spans="1:26" s="11" customFormat="1" ht="37.950000000000003" customHeight="1" x14ac:dyDescent="0.3">
      <c r="A14" s="1786" t="str">
        <f>'M4-AUDIT'!A11</f>
        <v>PDOT.AM.OE3.M1.01</v>
      </c>
      <c r="B14" s="1832" t="str">
        <f>'M4-AUDIT'!O11</f>
        <v>Unidad de Gestión Ambiental GAD</v>
      </c>
      <c r="C14" s="1787">
        <f>'M4-AUDIT'!P11</f>
        <v>1</v>
      </c>
      <c r="D14" s="1787">
        <v>1</v>
      </c>
      <c r="E14" s="1787">
        <v>0</v>
      </c>
      <c r="F14" s="1821">
        <f>'M4-AUDIT'!H11</f>
        <v>0.3</v>
      </c>
      <c r="G14" s="1787">
        <f>'M4-AUDIT'!F11</f>
        <v>0</v>
      </c>
      <c r="H14" s="1787">
        <f>'M5-ICPI'!D11</f>
        <v>0.5</v>
      </c>
      <c r="I14" s="1818">
        <f>'M5-ICPI'!C11</f>
        <v>3.6968726259480326E-2</v>
      </c>
      <c r="J14" s="1812">
        <f t="shared" si="2"/>
        <v>0</v>
      </c>
      <c r="K14" s="1826" t="str">
        <f t="shared" si="3"/>
        <v>RUPTURA TOTAL</v>
      </c>
      <c r="L14" s="1832" t="str">
        <f t="shared" si="4"/>
        <v>Vi=0: Sin evidencia documental — falla trazabilidad §3.4</v>
      </c>
      <c r="M14" s="1832" t="str">
        <f t="shared" si="5"/>
        <v>Inicio sumario administrativo — LOSEP Art.80 + COOTAD Art.339</v>
      </c>
      <c r="N14" s="1835" t="str">
        <f t="shared" si="6"/>
        <v>LOSEP Art.80 + COOTAD Art.339 + COA Art.196</v>
      </c>
      <c r="O14" s="1779">
        <v>30</v>
      </c>
      <c r="P14" s="1768">
        <v>36</v>
      </c>
      <c r="Q14" s="1768">
        <v>42</v>
      </c>
      <c r="R14" s="1768">
        <v>49</v>
      </c>
      <c r="S14" s="1768">
        <v>54</v>
      </c>
      <c r="T14" s="1768">
        <v>58.5</v>
      </c>
      <c r="U14" s="1768" t="str">
        <f t="shared" si="0"/>
        <v>↗ Mejorando</v>
      </c>
      <c r="V14" s="1768">
        <f t="shared" si="1"/>
        <v>9.5</v>
      </c>
      <c r="W14" s="1768" t="s">
        <v>2080</v>
      </c>
      <c r="X14" s="1768" t="s">
        <v>2087</v>
      </c>
      <c r="Y14" s="238"/>
      <c r="Z14" s="239"/>
    </row>
    <row r="15" spans="1:26" s="11" customFormat="1" ht="37.950000000000003" customHeight="1" x14ac:dyDescent="0.3">
      <c r="A15" s="1783" t="str">
        <f>'M4-AUDIT'!A12</f>
        <v>PDOT.FA.OE4.AH.02</v>
      </c>
      <c r="B15" s="1831" t="str">
        <f>'M4-AUDIT'!O12</f>
        <v>— revisar</v>
      </c>
      <c r="C15" s="1784">
        <f>'M4-AUDIT'!P12</f>
        <v>1</v>
      </c>
      <c r="D15" s="1784">
        <v>1</v>
      </c>
      <c r="E15" s="1784">
        <v>1</v>
      </c>
      <c r="F15" s="1820">
        <f>'M4-AUDIT'!H12</f>
        <v>0.4</v>
      </c>
      <c r="G15" s="1784">
        <f>'M4-AUDIT'!F12</f>
        <v>1</v>
      </c>
      <c r="H15" s="1784">
        <f>'M5-ICPI'!D12</f>
        <v>1</v>
      </c>
      <c r="I15" s="1817">
        <f>'M5-ICPI'!C12</f>
        <v>2.7121740693637479E-2</v>
      </c>
      <c r="J15" s="1811">
        <f t="shared" si="2"/>
        <v>40</v>
      </c>
      <c r="K15" s="1825" t="str">
        <f t="shared" si="3"/>
        <v>TRANSICIÓN CRÍTICA</v>
      </c>
      <c r="L15" s="1831" t="str">
        <f t="shared" si="4"/>
        <v>Ti&lt;60%: Subejecución moderada — requiere plan mejora</v>
      </c>
      <c r="M15" s="1831" t="str">
        <f t="shared" si="5"/>
        <v>Memorando de llamada de atención — COA Art.196</v>
      </c>
      <c r="N15" s="1834" t="str">
        <f t="shared" si="6"/>
        <v>LOSEP Art.80 + COOTAD Art.339 + COA Art.196</v>
      </c>
      <c r="O15" s="1779">
        <v>30</v>
      </c>
      <c r="P15" s="1768">
        <v>40</v>
      </c>
      <c r="Q15" s="1768">
        <v>50</v>
      </c>
      <c r="R15" s="1768">
        <v>57</v>
      </c>
      <c r="S15" s="1768">
        <v>61</v>
      </c>
      <c r="T15" s="1768">
        <v>65</v>
      </c>
      <c r="U15" s="1768" t="str">
        <f t="shared" si="0"/>
        <v>↗ Mejorando</v>
      </c>
      <c r="V15" s="1768">
        <f t="shared" si="1"/>
        <v>8</v>
      </c>
      <c r="W15" s="1768" t="s">
        <v>2080</v>
      </c>
      <c r="X15" s="1768" t="s">
        <v>2088</v>
      </c>
      <c r="Y15" s="238"/>
      <c r="Z15" s="239"/>
    </row>
    <row r="16" spans="1:26" s="11" customFormat="1" ht="37.950000000000003" customHeight="1" x14ac:dyDescent="0.3">
      <c r="A16" s="1786" t="str">
        <f>'M4-AUDIT'!A13</f>
        <v>PDOT.FA.OE1.PV.01</v>
      </c>
      <c r="B16" s="1832" t="str">
        <f>'M4-AUDIT'!O13</f>
        <v>— revisar</v>
      </c>
      <c r="C16" s="1787">
        <f>'M4-AUDIT'!P13</f>
        <v>1</v>
      </c>
      <c r="D16" s="1787">
        <v>1</v>
      </c>
      <c r="E16" s="1787">
        <v>1</v>
      </c>
      <c r="F16" s="1821">
        <f>'M4-AUDIT'!H13</f>
        <v>0.5</v>
      </c>
      <c r="G16" s="1787">
        <f>'M4-AUDIT'!F13</f>
        <v>1</v>
      </c>
      <c r="H16" s="1787">
        <f>'M5-ICPI'!D13</f>
        <v>1.5</v>
      </c>
      <c r="I16" s="1818">
        <f>'M5-ICPI'!C13</f>
        <v>2.5461988827181092E-2</v>
      </c>
      <c r="J16" s="1812">
        <f t="shared" si="2"/>
        <v>50</v>
      </c>
      <c r="K16" s="1826" t="str">
        <f t="shared" si="3"/>
        <v>TRANSICIÓN CRÍTICA</v>
      </c>
      <c r="L16" s="1832" t="str">
        <f t="shared" si="4"/>
        <v>Ti&lt;60%: Subejecución moderada — requiere plan mejora</v>
      </c>
      <c r="M16" s="1832" t="str">
        <f t="shared" si="5"/>
        <v>Plan mejora 60 días — LOSEP Art.80</v>
      </c>
      <c r="N16" s="1835" t="str">
        <f t="shared" si="6"/>
        <v>LOSEP Art.80 + COOTAD Art.338</v>
      </c>
      <c r="O16" s="1779">
        <v>0</v>
      </c>
      <c r="P16" s="1768">
        <v>0</v>
      </c>
      <c r="Q16" s="1768">
        <v>0</v>
      </c>
      <c r="R16" s="1768">
        <v>0</v>
      </c>
      <c r="S16" s="1768">
        <v>0</v>
      </c>
      <c r="T16" s="1768">
        <v>0</v>
      </c>
      <c r="U16" s="1768" t="str">
        <f t="shared" si="0"/>
        <v>→ Estable</v>
      </c>
      <c r="V16" s="1768">
        <f t="shared" si="1"/>
        <v>0</v>
      </c>
      <c r="W16" s="1768" t="s">
        <v>2080</v>
      </c>
      <c r="X16" s="1769" t="s">
        <v>2089</v>
      </c>
      <c r="Y16" s="238"/>
      <c r="Z16" s="239"/>
    </row>
    <row r="17" spans="1:26" s="11" customFormat="1" ht="37.950000000000003" customHeight="1" x14ac:dyDescent="0.3">
      <c r="A17" s="1783" t="str">
        <f>'M4-AUDIT'!A14</f>
        <v>PDOT.PI.OE4.M2.01</v>
      </c>
      <c r="B17" s="1831" t="str">
        <f>'M4-AUDIT'!O14</f>
        <v>Dirección de Avalúos y Catastros</v>
      </c>
      <c r="C17" s="1784">
        <f>'M4-AUDIT'!P14</f>
        <v>1</v>
      </c>
      <c r="D17" s="1784">
        <v>1</v>
      </c>
      <c r="E17" s="1784">
        <v>0</v>
      </c>
      <c r="F17" s="1820">
        <f>'M4-AUDIT'!H14</f>
        <v>0</v>
      </c>
      <c r="G17" s="1784">
        <f>'M4-AUDIT'!F14</f>
        <v>0</v>
      </c>
      <c r="H17" s="1784">
        <f>'M5-ICPI'!D14</f>
        <v>1</v>
      </c>
      <c r="I17" s="1817">
        <f>'M5-ICPI'!C14</f>
        <v>2.2697015989676123E-2</v>
      </c>
      <c r="J17" s="1811">
        <f t="shared" si="2"/>
        <v>0</v>
      </c>
      <c r="K17" s="1825" t="str">
        <f t="shared" si="3"/>
        <v>RUPTURA TOTAL</v>
      </c>
      <c r="L17" s="1831" t="str">
        <f t="shared" si="4"/>
        <v>Vi=0: Sin evidencia documental — falla trazabilidad §3.4</v>
      </c>
      <c r="M17" s="1831" t="str">
        <f t="shared" si="5"/>
        <v>Inicio sumario administrativo — LOSEP Art.80 + COOTAD Art.339</v>
      </c>
      <c r="N17" s="1834" t="str">
        <f t="shared" si="6"/>
        <v>LOSEP Art.80 + COOTAD Art.339 + COA Art.196</v>
      </c>
      <c r="O17" s="1779">
        <v>30</v>
      </c>
      <c r="P17" s="1768">
        <v>38</v>
      </c>
      <c r="Q17" s="1768">
        <v>45</v>
      </c>
      <c r="R17" s="1768">
        <v>51</v>
      </c>
      <c r="S17" s="1768">
        <v>55</v>
      </c>
      <c r="T17" s="1768">
        <v>58.5</v>
      </c>
      <c r="U17" s="1768" t="str">
        <f t="shared" si="0"/>
        <v>↗ Mejorando</v>
      </c>
      <c r="V17" s="1768">
        <f t="shared" si="1"/>
        <v>7.5</v>
      </c>
      <c r="W17" s="1768" t="s">
        <v>2080</v>
      </c>
      <c r="X17" s="1768" t="s">
        <v>2090</v>
      </c>
      <c r="Y17" s="238"/>
      <c r="Z17" s="239"/>
    </row>
    <row r="18" spans="1:26" s="11" customFormat="1" ht="37.950000000000003" customHeight="1" x14ac:dyDescent="0.3">
      <c r="A18" s="1786" t="str">
        <f>'M4-AUDIT'!A15</f>
        <v>PDOT.PI.OE4.FI.01</v>
      </c>
      <c r="B18" s="1832" t="str">
        <f>'M4-AUDIT'!O15</f>
        <v>— revisar</v>
      </c>
      <c r="C18" s="1787">
        <f>'M4-AUDIT'!P15</f>
        <v>1</v>
      </c>
      <c r="D18" s="1787">
        <v>1</v>
      </c>
      <c r="E18" s="1787">
        <v>1</v>
      </c>
      <c r="F18" s="1821">
        <f>'M4-AUDIT'!H15</f>
        <v>0.3</v>
      </c>
      <c r="G18" s="1787">
        <f>'M4-AUDIT'!F15</f>
        <v>1</v>
      </c>
      <c r="H18" s="1787">
        <f>'M5-ICPI'!D15</f>
        <v>0.5</v>
      </c>
      <c r="I18" s="1818">
        <f>'M5-ICPI'!C15</f>
        <v>1.8490239847697151E-2</v>
      </c>
      <c r="J18" s="1812">
        <f t="shared" si="2"/>
        <v>30</v>
      </c>
      <c r="K18" s="1826" t="str">
        <f t="shared" si="3"/>
        <v>GESTIÓN POR OCURRENCIA</v>
      </c>
      <c r="L18" s="1832" t="str">
        <f t="shared" si="4"/>
        <v>Ti&lt;60%: Subejecución moderada — requiere plan mejora</v>
      </c>
      <c r="M18" s="1832" t="str">
        <f t="shared" si="5"/>
        <v>Memorando de llamada de atención — COA Art.196</v>
      </c>
      <c r="N18" s="1835" t="str">
        <f t="shared" si="6"/>
        <v>LOSEP Art.80 + COOTAD Art.339 + COA Art.196</v>
      </c>
      <c r="O18" s="1779">
        <v>30</v>
      </c>
      <c r="P18" s="1768">
        <v>31</v>
      </c>
      <c r="Q18" s="1768">
        <v>33</v>
      </c>
      <c r="R18" s="1768">
        <v>34</v>
      </c>
      <c r="S18" s="1768">
        <v>35</v>
      </c>
      <c r="T18" s="1768">
        <v>35</v>
      </c>
      <c r="U18" s="1768" t="str">
        <f t="shared" si="0"/>
        <v>→ Estable</v>
      </c>
      <c r="V18" s="1768">
        <f t="shared" si="1"/>
        <v>1</v>
      </c>
      <c r="W18" s="1768" t="s">
        <v>2080</v>
      </c>
      <c r="X18" s="1768" t="s">
        <v>2091</v>
      </c>
      <c r="Y18" s="238"/>
      <c r="Z18" s="239"/>
    </row>
    <row r="19" spans="1:26" s="11" customFormat="1" ht="37.950000000000003" customHeight="1" x14ac:dyDescent="0.3">
      <c r="A19" s="1783" t="str">
        <f>'M4-AUDIT'!A16</f>
        <v>PDOT.AS.VV.HB.01</v>
      </c>
      <c r="B19" s="1831" t="str">
        <f>'M4-AUDIT'!O16</f>
        <v>— revisar</v>
      </c>
      <c r="C19" s="1784">
        <f>'M4-AUDIT'!P16</f>
        <v>1</v>
      </c>
      <c r="D19" s="1784">
        <v>1</v>
      </c>
      <c r="E19" s="1784">
        <v>0</v>
      </c>
      <c r="F19" s="1820">
        <f>'M4-AUDIT'!H16</f>
        <v>1</v>
      </c>
      <c r="G19" s="1784">
        <f>'M4-AUDIT'!F16</f>
        <v>1</v>
      </c>
      <c r="H19" s="1784">
        <f>'M5-ICPI'!D16</f>
        <v>0.5</v>
      </c>
      <c r="I19" s="1817">
        <f>'M5-ICPI'!C16</f>
        <v>1.8216107891773022E-2</v>
      </c>
      <c r="J19" s="1811">
        <f t="shared" si="2"/>
        <v>0</v>
      </c>
      <c r="K19" s="1825" t="str">
        <f t="shared" si="3"/>
        <v>RUPTURA TOTAL</v>
      </c>
      <c r="L19" s="1831" t="str">
        <f t="shared" si="4"/>
        <v>PAC=0: Planificado pero no contratado — inacción operativa</v>
      </c>
      <c r="M19" s="1831" t="str">
        <f t="shared" si="5"/>
        <v>Inicio sumario administrativo — LOSEP Art.80 + COOTAD Art.339</v>
      </c>
      <c r="N19" s="1834" t="str">
        <f t="shared" si="6"/>
        <v>LOSEP Art.80 + COOTAD Art.339 + COA Art.196</v>
      </c>
      <c r="O19" s="1779">
        <v>0</v>
      </c>
      <c r="P19" s="1768">
        <v>0</v>
      </c>
      <c r="Q19" s="1768">
        <v>0</v>
      </c>
      <c r="R19" s="1768">
        <v>0</v>
      </c>
      <c r="S19" s="1768">
        <v>0</v>
      </c>
      <c r="T19" s="1768">
        <v>0</v>
      </c>
      <c r="U19" s="1768" t="str">
        <f t="shared" si="0"/>
        <v>→ Estable</v>
      </c>
      <c r="V19" s="1768">
        <f t="shared" si="1"/>
        <v>0</v>
      </c>
      <c r="W19" s="1768" t="s">
        <v>2080</v>
      </c>
      <c r="X19" s="1769" t="s">
        <v>2092</v>
      </c>
      <c r="Y19" s="238"/>
      <c r="Z19" s="239"/>
    </row>
    <row r="20" spans="1:26" s="11" customFormat="1" ht="37.950000000000003" customHeight="1" x14ac:dyDescent="0.3">
      <c r="A20" s="1786" t="str">
        <f>'M4-AUDIT'!A17</f>
        <v>PDOT.SC.PA.CP.01</v>
      </c>
      <c r="B20" s="1832" t="str">
        <f>'M4-AUDIT'!O17</f>
        <v>— revisar</v>
      </c>
      <c r="C20" s="1787">
        <f>'M4-AUDIT'!P17</f>
        <v>1</v>
      </c>
      <c r="D20" s="1787">
        <v>1</v>
      </c>
      <c r="E20" s="1787">
        <v>1</v>
      </c>
      <c r="F20" s="1821">
        <f>'M4-AUDIT'!H17</f>
        <v>0.2</v>
      </c>
      <c r="G20" s="1787">
        <f>'M4-AUDIT'!F17</f>
        <v>0</v>
      </c>
      <c r="H20" s="1787">
        <f>'M5-ICPI'!D17</f>
        <v>0.5</v>
      </c>
      <c r="I20" s="1818">
        <f>'M5-ICPI'!C17</f>
        <v>1.2517992752294592E-2</v>
      </c>
      <c r="J20" s="1812">
        <f t="shared" si="2"/>
        <v>0</v>
      </c>
      <c r="K20" s="1826" t="str">
        <f t="shared" si="3"/>
        <v>RUPTURA TOTAL</v>
      </c>
      <c r="L20" s="1832" t="str">
        <f t="shared" si="4"/>
        <v>Vi=0: Sin evidencia documental — falla trazabilidad §3.4</v>
      </c>
      <c r="M20" s="1832" t="str">
        <f t="shared" si="5"/>
        <v>Inicio sumario administrativo — LOSEP Art.80 + COOTAD Art.339</v>
      </c>
      <c r="N20" s="1835" t="str">
        <f t="shared" si="6"/>
        <v>LOSEP Art.80 + COOTAD Art.339 + COA Art.196</v>
      </c>
      <c r="O20" s="1779">
        <v>50</v>
      </c>
      <c r="P20" s="1768">
        <v>58</v>
      </c>
      <c r="Q20" s="1768">
        <v>65</v>
      </c>
      <c r="R20" s="1768">
        <v>70</v>
      </c>
      <c r="S20" s="1768">
        <v>75</v>
      </c>
      <c r="T20" s="1768">
        <v>80</v>
      </c>
      <c r="U20" s="1768" t="str">
        <f t="shared" si="0"/>
        <v>↗ Mejorando</v>
      </c>
      <c r="V20" s="1768">
        <f t="shared" si="1"/>
        <v>10</v>
      </c>
      <c r="W20" s="1768" t="s">
        <v>443</v>
      </c>
      <c r="X20" s="1768" t="s">
        <v>2093</v>
      </c>
      <c r="Y20" s="238"/>
      <c r="Z20" s="239"/>
    </row>
    <row r="21" spans="1:26" s="11" customFormat="1" ht="37.950000000000003" customHeight="1" x14ac:dyDescent="0.3">
      <c r="A21" s="1783" t="str">
        <f>'M4-AUDIT'!A18</f>
        <v>PDOT.EP.OE5.PD.01</v>
      </c>
      <c r="B21" s="1831" t="str">
        <f>'M4-AUDIT'!O18</f>
        <v>— revisar</v>
      </c>
      <c r="C21" s="1784">
        <f>'M4-AUDIT'!P18</f>
        <v>1</v>
      </c>
      <c r="D21" s="1784">
        <v>1</v>
      </c>
      <c r="E21" s="1784">
        <v>1</v>
      </c>
      <c r="F21" s="1820">
        <f>'M4-AUDIT'!H18</f>
        <v>0.7</v>
      </c>
      <c r="G21" s="1784">
        <f>'M4-AUDIT'!F18</f>
        <v>1</v>
      </c>
      <c r="H21" s="1784">
        <f>'M5-ICPI'!D18</f>
        <v>1</v>
      </c>
      <c r="I21" s="1817">
        <f>'M5-ICPI'!C18</f>
        <v>9.8210528333412782E-3</v>
      </c>
      <c r="J21" s="1811">
        <f t="shared" si="2"/>
        <v>70</v>
      </c>
      <c r="K21" s="1825" t="str">
        <f t="shared" si="3"/>
        <v>GESTIÓN POR MANDATO</v>
      </c>
      <c r="L21" s="1831" t="str">
        <f t="shared" si="4"/>
        <v>Gestión aceptable — mantener ritmo</v>
      </c>
      <c r="M21" s="1831" t="str">
        <f t="shared" si="5"/>
        <v>Mantener — reconocimiento potencial LOSEP Art.78</v>
      </c>
      <c r="N21" s="1834" t="str">
        <f t="shared" si="6"/>
        <v>LOSEP Art.76-77</v>
      </c>
      <c r="O21" s="1779">
        <v>30</v>
      </c>
      <c r="P21" s="1768">
        <v>32</v>
      </c>
      <c r="Q21" s="1768">
        <v>33</v>
      </c>
      <c r="R21" s="1768">
        <v>34</v>
      </c>
      <c r="S21" s="1768">
        <v>35</v>
      </c>
      <c r="T21" s="1768">
        <v>35</v>
      </c>
      <c r="U21" s="1768" t="str">
        <f t="shared" si="0"/>
        <v>→ Estable</v>
      </c>
      <c r="V21" s="1768">
        <f t="shared" si="1"/>
        <v>1</v>
      </c>
      <c r="W21" s="1768" t="s">
        <v>2080</v>
      </c>
      <c r="X21" s="1768" t="s">
        <v>2094</v>
      </c>
      <c r="Y21" s="238"/>
      <c r="Z21" s="239"/>
    </row>
    <row r="22" spans="1:26" s="11" customFormat="1" ht="37.950000000000003" customHeight="1" x14ac:dyDescent="0.3">
      <c r="A22" s="1786" t="str">
        <f>'M4-AUDIT'!A19</f>
        <v>PDOT.SC.PA.CP.02</v>
      </c>
      <c r="B22" s="1832" t="str">
        <f>'M4-AUDIT'!O19</f>
        <v>— revisar</v>
      </c>
      <c r="C22" s="1787">
        <f>'M4-AUDIT'!P19</f>
        <v>1</v>
      </c>
      <c r="D22" s="1787">
        <v>1</v>
      </c>
      <c r="E22" s="1787">
        <v>0</v>
      </c>
      <c r="F22" s="1821">
        <f>'M4-AUDIT'!H19</f>
        <v>1</v>
      </c>
      <c r="G22" s="1787">
        <f>'M4-AUDIT'!F19</f>
        <v>1</v>
      </c>
      <c r="H22" s="1787">
        <f>'M5-ICPI'!D19</f>
        <v>0.5</v>
      </c>
      <c r="I22" s="1818">
        <f>'M5-ICPI'!C19</f>
        <v>8.6100169897484775E-3</v>
      </c>
      <c r="J22" s="1812">
        <f t="shared" si="2"/>
        <v>0</v>
      </c>
      <c r="K22" s="1826" t="str">
        <f t="shared" si="3"/>
        <v>RUPTURA TOTAL</v>
      </c>
      <c r="L22" s="1832" t="str">
        <f t="shared" si="4"/>
        <v>PAC=0: Planificado pero no contratado — inacción operativa</v>
      </c>
      <c r="M22" s="1832" t="str">
        <f t="shared" si="5"/>
        <v>Inicio sumario administrativo — LOSEP Art.80 + COOTAD Art.339</v>
      </c>
      <c r="N22" s="1835" t="str">
        <f t="shared" si="6"/>
        <v>LOSEP Art.80 + COOTAD Art.339 + COA Art.196</v>
      </c>
      <c r="O22" s="1779">
        <v>20</v>
      </c>
      <c r="P22" s="1768">
        <v>24</v>
      </c>
      <c r="Q22" s="1768">
        <v>27</v>
      </c>
      <c r="R22" s="1768">
        <v>30</v>
      </c>
      <c r="S22" s="1768">
        <v>31</v>
      </c>
      <c r="T22" s="1768">
        <v>31.5</v>
      </c>
      <c r="U22" s="1768" t="str">
        <f t="shared" si="0"/>
        <v>↗ Mejorando</v>
      </c>
      <c r="V22" s="1768">
        <f t="shared" si="1"/>
        <v>1.5</v>
      </c>
      <c r="W22" s="1768" t="s">
        <v>2080</v>
      </c>
      <c r="X22" s="1768" t="s">
        <v>2095</v>
      </c>
      <c r="Y22" s="238"/>
      <c r="Z22" s="239"/>
    </row>
    <row r="23" spans="1:26" s="11" customFormat="1" ht="37.950000000000003" customHeight="1" x14ac:dyDescent="0.3">
      <c r="A23" s="1783" t="str">
        <f>'M4-AUDIT'!A20</f>
        <v>PDOT.AS.VL.SV.01</v>
      </c>
      <c r="B23" s="1831" t="str">
        <f>'M4-AUDIT'!O20</f>
        <v>— revisar</v>
      </c>
      <c r="C23" s="1784">
        <f>'M4-AUDIT'!P20</f>
        <v>1</v>
      </c>
      <c r="D23" s="1784">
        <v>1</v>
      </c>
      <c r="E23" s="1784">
        <v>0</v>
      </c>
      <c r="F23" s="1820">
        <f>'M4-AUDIT'!H20</f>
        <v>0.35</v>
      </c>
      <c r="G23" s="1784">
        <f>'M4-AUDIT'!F20</f>
        <v>1</v>
      </c>
      <c r="H23" s="1784">
        <f>'M5-ICPI'!D20</f>
        <v>0.5</v>
      </c>
      <c r="I23" s="1817">
        <f>'M5-ICPI'!C20</f>
        <v>3.3271362671826298E-3</v>
      </c>
      <c r="J23" s="1811">
        <f t="shared" si="2"/>
        <v>0</v>
      </c>
      <c r="K23" s="1825" t="str">
        <f t="shared" si="3"/>
        <v>RUPTURA TOTAL</v>
      </c>
      <c r="L23" s="1831" t="str">
        <f t="shared" si="4"/>
        <v>PAC=0: Planificado pero no contratado — inacción operativa</v>
      </c>
      <c r="M23" s="1831" t="str">
        <f t="shared" si="5"/>
        <v>Inicio sumario administrativo — LOSEP Art.80 + COOTAD Art.339</v>
      </c>
      <c r="N23" s="1834" t="str">
        <f t="shared" si="6"/>
        <v>LOSEP Art.80 + COOTAD Art.339 + COA Art.196</v>
      </c>
      <c r="O23" s="1779">
        <v>35</v>
      </c>
      <c r="P23" s="1768">
        <v>40</v>
      </c>
      <c r="Q23" s="1768">
        <v>45</v>
      </c>
      <c r="R23" s="1768">
        <v>50</v>
      </c>
      <c r="S23" s="1768">
        <v>55</v>
      </c>
      <c r="T23" s="1768">
        <v>58.5</v>
      </c>
      <c r="U23" s="1768" t="str">
        <f t="shared" si="0"/>
        <v>↗ Mejorando</v>
      </c>
      <c r="V23" s="1768">
        <f t="shared" si="1"/>
        <v>8.5</v>
      </c>
      <c r="W23" s="1768" t="s">
        <v>2080</v>
      </c>
      <c r="X23" s="1768" t="s">
        <v>2096</v>
      </c>
      <c r="Y23" s="238"/>
      <c r="Z23" s="239"/>
    </row>
    <row r="24" spans="1:26" s="11" customFormat="1" ht="37.950000000000003" customHeight="1" x14ac:dyDescent="0.3">
      <c r="A24" s="1786" t="str">
        <f>'M4-AUDIT'!A21</f>
        <v>PDOT.SC.OE2.M2.01</v>
      </c>
      <c r="B24" s="1832" t="str">
        <f>'M4-AUDIT'!O21</f>
        <v>Dirección de Desarrollo Social y Cultural</v>
      </c>
      <c r="C24" s="1787">
        <f>'M4-AUDIT'!P21</f>
        <v>1</v>
      </c>
      <c r="D24" s="1787">
        <v>1</v>
      </c>
      <c r="E24" s="1787">
        <v>1</v>
      </c>
      <c r="F24" s="1821">
        <f>'M4-AUDIT'!H21</f>
        <v>0.3</v>
      </c>
      <c r="G24" s="1787">
        <f>'M4-AUDIT'!F21</f>
        <v>1</v>
      </c>
      <c r="H24" s="1787">
        <f>'M5-ICPI'!D21</f>
        <v>0.5</v>
      </c>
      <c r="I24" s="1818">
        <f>'M5-ICPI'!C21</f>
        <v>6.4989128752281538E-3</v>
      </c>
      <c r="J24" s="1812">
        <f t="shared" si="2"/>
        <v>30</v>
      </c>
      <c r="K24" s="1826" t="str">
        <f t="shared" si="3"/>
        <v>GESTIÓN POR OCURRENCIA</v>
      </c>
      <c r="L24" s="1832" t="str">
        <f t="shared" si="4"/>
        <v>Ti&lt;60%: Subejecución moderada — requiere plan mejora</v>
      </c>
      <c r="M24" s="1832" t="str">
        <f t="shared" si="5"/>
        <v>Memorando de llamada de atención — COA Art.196</v>
      </c>
      <c r="N24" s="1835" t="str">
        <f t="shared" si="6"/>
        <v>LOSEP Art.80 + COOTAD Art.339 + COA Art.196</v>
      </c>
      <c r="O24" s="1779">
        <v>78</v>
      </c>
      <c r="P24" s="1768">
        <v>83</v>
      </c>
      <c r="Q24" s="1768">
        <v>86</v>
      </c>
      <c r="R24" s="1768">
        <v>89</v>
      </c>
      <c r="S24" s="1768">
        <v>90</v>
      </c>
      <c r="T24" s="1768">
        <v>90</v>
      </c>
      <c r="U24" s="1768" t="str">
        <f t="shared" si="0"/>
        <v>→ Estable</v>
      </c>
      <c r="V24" s="1768">
        <f t="shared" si="1"/>
        <v>1</v>
      </c>
      <c r="W24" s="1768" t="s">
        <v>443</v>
      </c>
      <c r="X24" s="1768" t="s">
        <v>2097</v>
      </c>
      <c r="Y24" s="238"/>
      <c r="Z24" s="239"/>
    </row>
    <row r="25" spans="1:26" s="11" customFormat="1" ht="37.950000000000003" customHeight="1" x14ac:dyDescent="0.3">
      <c r="A25" s="1783" t="str">
        <f>'M4-AUDIT'!A22</f>
        <v>PDOT.FA.OE2.MA.01</v>
      </c>
      <c r="B25" s="1831" t="str">
        <f>'M4-AUDIT'!O22</f>
        <v>— revisar</v>
      </c>
      <c r="C25" s="1784">
        <f>'M4-AUDIT'!P22</f>
        <v>1</v>
      </c>
      <c r="D25" s="1784">
        <v>1</v>
      </c>
      <c r="E25" s="1784">
        <v>1</v>
      </c>
      <c r="F25" s="1820">
        <f>'M4-AUDIT'!H22</f>
        <v>0.35</v>
      </c>
      <c r="G25" s="1784">
        <f>'M4-AUDIT'!F22</f>
        <v>1</v>
      </c>
      <c r="H25" s="1784">
        <f>'M5-ICPI'!D22</f>
        <v>1</v>
      </c>
      <c r="I25" s="1817">
        <f>'M5-ICPI'!C22</f>
        <v>4.6377193935222705E-3</v>
      </c>
      <c r="J25" s="1811">
        <f t="shared" si="2"/>
        <v>35</v>
      </c>
      <c r="K25" s="1825" t="str">
        <f t="shared" si="3"/>
        <v>GESTIÓN POR OCURRENCIA</v>
      </c>
      <c r="L25" s="1831" t="str">
        <f t="shared" si="4"/>
        <v>Ti&lt;60%: Subejecución moderada — requiere plan mejora</v>
      </c>
      <c r="M25" s="1831" t="str">
        <f t="shared" si="5"/>
        <v>Memorando de llamada de atención — COA Art.196</v>
      </c>
      <c r="N25" s="1834" t="str">
        <f t="shared" si="6"/>
        <v>LOSEP Art.80 + COOTAD Art.339 + COA Art.196</v>
      </c>
      <c r="O25" s="1779">
        <v>25</v>
      </c>
      <c r="P25" s="1768">
        <v>30</v>
      </c>
      <c r="Q25" s="1768">
        <v>34</v>
      </c>
      <c r="R25" s="1768">
        <v>38</v>
      </c>
      <c r="S25" s="1768">
        <v>42</v>
      </c>
      <c r="T25" s="1768">
        <v>45</v>
      </c>
      <c r="U25" s="1768" t="str">
        <f t="shared" si="0"/>
        <v>↗ Mejorando</v>
      </c>
      <c r="V25" s="1768">
        <f t="shared" si="1"/>
        <v>7</v>
      </c>
      <c r="W25" s="1768" t="s">
        <v>2080</v>
      </c>
      <c r="X25" s="1768" t="s">
        <v>2098</v>
      </c>
      <c r="Y25" s="238"/>
      <c r="Z25" s="239"/>
    </row>
    <row r="26" spans="1:26" s="11" customFormat="1" ht="37.950000000000003" customHeight="1" x14ac:dyDescent="0.3">
      <c r="A26" s="1789" t="str">
        <f>'M4-AUDIT'!A23</f>
        <v>PDOT.AS.VL.M1.01</v>
      </c>
      <c r="B26" s="1833" t="str">
        <f>'M4-AUDIT'!O23</f>
        <v>Dirección de Obras Públicas</v>
      </c>
      <c r="C26" s="1790">
        <f>'M4-AUDIT'!P23</f>
        <v>1</v>
      </c>
      <c r="D26" s="1790">
        <v>1</v>
      </c>
      <c r="E26" s="1790">
        <v>1</v>
      </c>
      <c r="F26" s="1822">
        <f>'M4-AUDIT'!H23</f>
        <v>0.25</v>
      </c>
      <c r="G26" s="1790">
        <f>'M4-AUDIT'!F23</f>
        <v>1</v>
      </c>
      <c r="H26" s="1790">
        <f>'M5-ICPI'!D23</f>
        <v>1</v>
      </c>
      <c r="I26" s="1819">
        <f>'M5-ICPI'!C23</f>
        <v>4.364912370373902E-3</v>
      </c>
      <c r="J26" s="1813">
        <f t="shared" si="2"/>
        <v>25</v>
      </c>
      <c r="K26" s="1827" t="str">
        <f t="shared" si="3"/>
        <v>GESTIÓN POR OCURRENCIA</v>
      </c>
      <c r="L26" s="1833" t="str">
        <f t="shared" si="4"/>
        <v>Ti&lt;30%: Subejecución crítica — falla seguimiento</v>
      </c>
      <c r="M26" s="1833" t="str">
        <f t="shared" si="5"/>
        <v>Inicio sumario administrativo — LOSEP Art.80 + COOTAD Art.339</v>
      </c>
      <c r="N26" s="1836" t="str">
        <f t="shared" si="6"/>
        <v>LOSEP Art.80 + COOTAD Art.339 + COA Art.196</v>
      </c>
      <c r="O26" s="1779"/>
      <c r="P26" s="1768"/>
      <c r="Q26" s="1768"/>
      <c r="R26" s="1768"/>
      <c r="S26" s="1768"/>
      <c r="T26" s="1768"/>
      <c r="U26" s="1768"/>
      <c r="V26" s="1768"/>
      <c r="W26" s="1768"/>
      <c r="X26" s="1768"/>
      <c r="Y26" s="238"/>
      <c r="Z26" s="239"/>
    </row>
    <row r="27" spans="1:26" s="11" customFormat="1" ht="4.95" customHeight="1" x14ac:dyDescent="0.3">
      <c r="A27" s="1793"/>
      <c r="B27" s="1794"/>
      <c r="C27" s="1794"/>
      <c r="D27" s="1794"/>
      <c r="E27" s="1794"/>
      <c r="F27" s="1794"/>
      <c r="G27" s="1794"/>
      <c r="H27" s="1794"/>
      <c r="I27" s="1794"/>
      <c r="J27" s="1778"/>
      <c r="K27" s="1778"/>
      <c r="L27" s="1778"/>
      <c r="M27" s="1778"/>
      <c r="N27" s="1778"/>
      <c r="O27" s="1765"/>
      <c r="P27" s="1765"/>
      <c r="Q27" s="1765"/>
      <c r="R27" s="1765"/>
      <c r="S27" s="1765"/>
      <c r="T27" s="1765"/>
      <c r="U27" s="1765"/>
      <c r="V27" s="1765"/>
      <c r="W27" s="1765"/>
      <c r="X27" s="1765"/>
      <c r="Y27" s="238"/>
      <c r="Z27" s="239"/>
    </row>
    <row r="28" spans="1:26" s="11" customFormat="1" ht="22.05" customHeight="1" x14ac:dyDescent="0.3">
      <c r="A28" s="3882" t="s">
        <v>2099</v>
      </c>
      <c r="B28" s="3861"/>
      <c r="C28" s="3861"/>
      <c r="D28" s="3861"/>
      <c r="E28" s="3861"/>
      <c r="F28" s="3861"/>
      <c r="G28" s="3861"/>
      <c r="H28" s="3861"/>
      <c r="I28" s="3862"/>
      <c r="J28" s="3452"/>
      <c r="K28" s="3452"/>
      <c r="L28" s="3452"/>
      <c r="M28" s="3452"/>
      <c r="N28" s="3452"/>
      <c r="O28" s="3764"/>
      <c r="P28" s="3764"/>
      <c r="Q28" s="3764"/>
      <c r="R28" s="3764"/>
      <c r="S28" s="3764"/>
      <c r="T28" s="3764"/>
      <c r="U28" s="3764"/>
      <c r="V28" s="3764"/>
      <c r="W28" s="3764"/>
      <c r="X28" s="3764"/>
      <c r="Y28" s="3764"/>
      <c r="Z28" s="3765"/>
    </row>
    <row r="29" spans="1:26" s="11" customFormat="1" ht="40.049999999999997" customHeight="1" x14ac:dyDescent="0.3">
      <c r="A29" s="1780" t="s">
        <v>2100</v>
      </c>
      <c r="B29" s="1781" t="s">
        <v>698</v>
      </c>
      <c r="C29" s="1781" t="s">
        <v>2101</v>
      </c>
      <c r="D29" s="1781" t="s">
        <v>2102</v>
      </c>
      <c r="E29" s="1781" t="s">
        <v>2103</v>
      </c>
      <c r="F29" s="1781" t="s">
        <v>2073</v>
      </c>
      <c r="G29" s="1781" t="s">
        <v>2104</v>
      </c>
      <c r="H29" s="1781" t="s">
        <v>2105</v>
      </c>
      <c r="I29" s="1782" t="s">
        <v>2106</v>
      </c>
      <c r="J29" s="1791"/>
      <c r="K29" s="375"/>
      <c r="L29" s="375"/>
      <c r="M29" s="375"/>
      <c r="N29" s="375"/>
      <c r="O29" s="1768"/>
      <c r="P29" s="1768"/>
      <c r="Q29" s="1768"/>
      <c r="R29" s="1768"/>
      <c r="S29" s="1768"/>
      <c r="T29" s="1768"/>
      <c r="U29" s="1768"/>
      <c r="V29" s="1768"/>
      <c r="W29" s="1768"/>
      <c r="X29" s="1768"/>
      <c r="Y29" s="238"/>
      <c r="Z29" s="239"/>
    </row>
    <row r="30" spans="1:26" s="11" customFormat="1" ht="31.95" customHeight="1" x14ac:dyDescent="0.3">
      <c r="A30" s="1828" t="s">
        <v>89</v>
      </c>
      <c r="B30" s="1784">
        <f>IFERROR(VLOOKUP(A30,'M3-MAO'!$C$3:$G$23,5,0),1)</f>
        <v>1</v>
      </c>
      <c r="C30" s="1784">
        <f>COUNTIF(B7:B26,A30)</f>
        <v>3</v>
      </c>
      <c r="D30" s="1814">
        <f t="array" ref="D30">SUMPRODUCT((B7:B26=A30)*1,'M2-PLAN-Pi'!E$13:E$32)</f>
        <v>3107659.46</v>
      </c>
      <c r="E30" s="1811">
        <f>IFERROR(AVERAGEIF(B7:B26,A30,J7:J26),"-")</f>
        <v>38.333333333333336</v>
      </c>
      <c r="F30" s="1784" t="str">
        <f t="shared" ref="F30:F41" si="7">IF(E30="-","—",IF(E30&gt;=96,"⭐ EXCELENTE",IF(E30&gt;=85,"✅ MUY BUENO",IF(E30&gt;=70,"🟢 SATISFACTORIO",IF(E30&gt;=60,"🟡 REGULAR","🔴 INACEPTABLE")))))</f>
        <v>🔴 INACEPTABLE</v>
      </c>
      <c r="G30" s="1784">
        <f t="array" ref="G30">SUMPRODUCT((B7:B26=A30)*(G7:G26=0))</f>
        <v>1</v>
      </c>
      <c r="H30" s="1831" t="str">
        <f t="shared" ref="H30:H41" si="8">IF(E30="-","Sin metas asignadas",IF(E30&gt;=96,"Felicitación pública + registro SIITH — LOSEP Art.78",IF(E30&gt;=85,"Reconocimiento escrito — LOSEP Art.77",IF(E30&gt;=70,"Sin acción correctiva — LOSEP Art.76",IF(E30&gt;=60,"Plan mejora 90 días + seguimiento — LOSEP Art.77","Sumario administrativo 48h — LOSEP Art.80 + COOTAD Art.339")))))</f>
        <v>Sumario administrativo 48h — LOSEP Art.80 + COOTAD Art.339</v>
      </c>
      <c r="I30" s="1834" t="str">
        <f t="shared" ref="I30:I41" si="9">IF(E30="-","—",IF(E30&gt;=96,"Art.78 LOSEP",IF(E30&gt;=85,"Art.77 LOSEP",IF(E30&gt;=70,"Art.76 LOSEP",IF(E30&gt;=60,"Art.77 LOSEP (plan mejora)","Art.80 LOSEP + Art.339 COOTAD")))))</f>
        <v>Art.80 LOSEP + Art.339 COOTAD</v>
      </c>
      <c r="J30" s="1792"/>
      <c r="K30" s="1774"/>
      <c r="L30" s="1774"/>
      <c r="M30" s="1774"/>
      <c r="N30" s="1774"/>
      <c r="O30" s="1768"/>
      <c r="P30" s="1768"/>
      <c r="Q30" s="1768"/>
      <c r="R30" s="1768"/>
      <c r="S30" s="1768"/>
      <c r="T30" s="1768"/>
      <c r="U30" s="1768"/>
      <c r="V30" s="1768"/>
      <c r="W30" s="1768"/>
      <c r="X30" s="1768"/>
      <c r="Y30" s="238"/>
      <c r="Z30" s="239"/>
    </row>
    <row r="31" spans="1:26" ht="31.95" customHeight="1" x14ac:dyDescent="0.3">
      <c r="A31" s="1829" t="s">
        <v>91</v>
      </c>
      <c r="B31" s="1787">
        <f>IFERROR(VLOOKUP(A31,'M3-MAO'!$C$3:$G$23,5,0),1)</f>
        <v>1</v>
      </c>
      <c r="C31" s="1787">
        <f>COUNTIF(B7:B26,A31)</f>
        <v>0</v>
      </c>
      <c r="D31" s="1815">
        <f t="array" ref="D31">SUMPRODUCT((B7:B26=A31)*1,'M2-PLAN-Pi'!E$13:E$32)</f>
        <v>0</v>
      </c>
      <c r="E31" s="1812" t="str">
        <f>IFERROR(AVERAGEIF(B7:B26,A31,J7:J26),"-")</f>
        <v>-</v>
      </c>
      <c r="F31" s="1787" t="str">
        <f t="shared" si="7"/>
        <v>—</v>
      </c>
      <c r="G31" s="1787">
        <f t="array" ref="G31">SUMPRODUCT((B7:B26=A31)*(G7:G26=0))</f>
        <v>0</v>
      </c>
      <c r="H31" s="1832" t="str">
        <f t="shared" si="8"/>
        <v>Sin metas asignadas</v>
      </c>
      <c r="I31" s="1835" t="str">
        <f t="shared" si="9"/>
        <v>—</v>
      </c>
      <c r="J31" s="1791"/>
      <c r="K31" s="375"/>
      <c r="L31" s="375"/>
      <c r="M31" s="375"/>
      <c r="N31" s="375"/>
      <c r="O31" s="1770"/>
      <c r="P31" s="1770"/>
      <c r="Q31" s="1770"/>
      <c r="R31" s="1770"/>
      <c r="S31" s="1770"/>
      <c r="T31" s="1770"/>
      <c r="U31" s="1770"/>
      <c r="V31" s="1770"/>
      <c r="W31" s="1770"/>
      <c r="X31" s="1770"/>
      <c r="Y31" s="242"/>
      <c r="Z31" s="243"/>
    </row>
    <row r="32" spans="1:26" ht="31.95" customHeight="1" x14ac:dyDescent="0.3">
      <c r="A32" s="1828" t="s">
        <v>94</v>
      </c>
      <c r="B32" s="1784">
        <f>IFERROR(VLOOKUP(A32,'M3-MAO'!$C$3:$G$23,5,0),1)</f>
        <v>0.9</v>
      </c>
      <c r="C32" s="1784">
        <f>COUNTIF(B7:B26,A32)</f>
        <v>2</v>
      </c>
      <c r="D32" s="1814">
        <f t="array" ref="D32">SUMPRODUCT((B7:B26=A32)*1,'M2-PLAN-Pi'!E$13:E$32)</f>
        <v>5001962.76</v>
      </c>
      <c r="E32" s="1811">
        <f>IFERROR(AVERAGEIF(B7:B26,A32,J7:J26),"-")</f>
        <v>38.25</v>
      </c>
      <c r="F32" s="1784" t="str">
        <f t="shared" si="7"/>
        <v>🔴 INACEPTABLE</v>
      </c>
      <c r="G32" s="1784">
        <f t="array" ref="G32">SUMPRODUCT((B7:B26=A32)*(G7:G26=0))</f>
        <v>0</v>
      </c>
      <c r="H32" s="1831" t="str">
        <f t="shared" si="8"/>
        <v>Sumario administrativo 48h — LOSEP Art.80 + COOTAD Art.339</v>
      </c>
      <c r="I32" s="1834" t="str">
        <f t="shared" si="9"/>
        <v>Art.80 LOSEP + Art.339 COOTAD</v>
      </c>
      <c r="J32" s="1792"/>
      <c r="K32" s="1774"/>
      <c r="L32" s="1774"/>
      <c r="M32" s="1774"/>
      <c r="N32" s="1774"/>
      <c r="O32" s="1770"/>
      <c r="P32" s="1770"/>
      <c r="Q32" s="1770"/>
      <c r="R32" s="1770"/>
      <c r="S32" s="1770"/>
      <c r="T32" s="1770"/>
      <c r="U32" s="1770"/>
      <c r="V32" s="1770"/>
      <c r="W32" s="1770"/>
      <c r="X32" s="1770"/>
      <c r="Y32" s="242"/>
      <c r="Z32" s="243"/>
    </row>
    <row r="33" spans="1:26" ht="31.95" customHeight="1" x14ac:dyDescent="0.3">
      <c r="A33" s="1829" t="s">
        <v>819</v>
      </c>
      <c r="B33" s="1787">
        <f>IFERROR(VLOOKUP(A33,'M3-MAO'!$C$3:$G$23,5,0),1)</f>
        <v>1</v>
      </c>
      <c r="C33" s="1787">
        <f>COUNTIF(B7:B26,A33)</f>
        <v>1</v>
      </c>
      <c r="D33" s="1815">
        <f t="array" ref="D33">SUMPRODUCT((B7:B26=A33)*1,'M2-PLAN-Pi'!E$13:E$32)</f>
        <v>5827477</v>
      </c>
      <c r="E33" s="1812">
        <f>IFERROR(AVERAGEIF(B7:B26,A33,J7:J26),"-")</f>
        <v>0</v>
      </c>
      <c r="F33" s="1787" t="str">
        <f t="shared" si="7"/>
        <v>🔴 INACEPTABLE</v>
      </c>
      <c r="G33" s="1787">
        <f t="array" ref="G33">SUMPRODUCT((B7:B26=A33)*(G7:G26=0))</f>
        <v>1</v>
      </c>
      <c r="H33" s="1832" t="str">
        <f t="shared" si="8"/>
        <v>Sumario administrativo 48h — LOSEP Art.80 + COOTAD Art.339</v>
      </c>
      <c r="I33" s="1835" t="str">
        <f t="shared" si="9"/>
        <v>Art.80 LOSEP + Art.339 COOTAD</v>
      </c>
      <c r="J33" s="1791"/>
      <c r="K33" s="375"/>
      <c r="L33" s="375"/>
      <c r="M33" s="375"/>
      <c r="N33" s="375"/>
      <c r="O33" s="1770"/>
      <c r="P33" s="1770"/>
      <c r="Q33" s="1770"/>
      <c r="R33" s="1770"/>
      <c r="S33" s="1770"/>
      <c r="T33" s="1770"/>
      <c r="U33" s="1770"/>
      <c r="V33" s="1770"/>
      <c r="W33" s="1770"/>
      <c r="X33" s="1770"/>
      <c r="Y33" s="242"/>
      <c r="Z33" s="243"/>
    </row>
    <row r="34" spans="1:26" ht="31.95" customHeight="1" x14ac:dyDescent="0.3">
      <c r="A34" s="1828" t="s">
        <v>87</v>
      </c>
      <c r="B34" s="1784">
        <f>IFERROR(VLOOKUP(A34,'M3-MAO'!$C$3:$G$23,5,0),1)</f>
        <v>1</v>
      </c>
      <c r="C34" s="1784">
        <f>COUNTIF(B7:B26,A34)</f>
        <v>1</v>
      </c>
      <c r="D34" s="1814">
        <f t="array" ref="D34">SUMPRODUCT((B7:B26=A34)*1,'M2-PLAN-Pi'!E$13:E$32)</f>
        <v>214401.43</v>
      </c>
      <c r="E34" s="1811">
        <f>IFERROR(AVERAGEIF(B7:B26,A34,J7:J26),"-")</f>
        <v>30</v>
      </c>
      <c r="F34" s="1784" t="str">
        <f t="shared" si="7"/>
        <v>🔴 INACEPTABLE</v>
      </c>
      <c r="G34" s="1784">
        <f t="array" ref="G34">SUMPRODUCT((B7:B26=A34)*(G7:G26=0))</f>
        <v>0</v>
      </c>
      <c r="H34" s="1831" t="str">
        <f t="shared" si="8"/>
        <v>Sumario administrativo 48h — LOSEP Art.80 + COOTAD Art.339</v>
      </c>
      <c r="I34" s="1834" t="str">
        <f t="shared" si="9"/>
        <v>Art.80 LOSEP + Art.339 COOTAD</v>
      </c>
      <c r="J34" s="1792"/>
      <c r="K34" s="1774"/>
      <c r="L34" s="1774"/>
      <c r="M34" s="1774"/>
      <c r="N34" s="1774"/>
      <c r="O34" s="1770"/>
      <c r="P34" s="1770"/>
      <c r="Q34" s="1770"/>
      <c r="R34" s="1770"/>
      <c r="S34" s="1770"/>
      <c r="T34" s="1770"/>
      <c r="U34" s="1770"/>
      <c r="V34" s="1770"/>
      <c r="W34" s="1770"/>
      <c r="X34" s="1770"/>
      <c r="Y34" s="242"/>
      <c r="Z34" s="243"/>
    </row>
    <row r="35" spans="1:26" ht="31.95" customHeight="1" x14ac:dyDescent="0.3">
      <c r="A35" s="1829" t="s">
        <v>827</v>
      </c>
      <c r="B35" s="1787">
        <f>IFERROR(VLOOKUP(A35,'M3-MAO'!$C$3:$G$23,5,0),1)</f>
        <v>1</v>
      </c>
      <c r="C35" s="1787">
        <f>COUNTIF(B7:B26,A35)</f>
        <v>1</v>
      </c>
      <c r="D35" s="1815">
        <f t="array" ref="D35">SUMPRODUCT((B7:B26=A35)*1,'M2-PLAN-Pi'!E$13:E$32)</f>
        <v>1219611.33</v>
      </c>
      <c r="E35" s="1812">
        <f>IFERROR(AVERAGEIF(B7:B26,A35,J7:J26),"-")</f>
        <v>0</v>
      </c>
      <c r="F35" s="1787" t="str">
        <f t="shared" si="7"/>
        <v>🔴 INACEPTABLE</v>
      </c>
      <c r="G35" s="1787">
        <f t="array" ref="G35">SUMPRODUCT((B7:B26=A35)*(G7:G26=0))</f>
        <v>1</v>
      </c>
      <c r="H35" s="1832" t="str">
        <f t="shared" si="8"/>
        <v>Sumario administrativo 48h — LOSEP Art.80 + COOTAD Art.339</v>
      </c>
      <c r="I35" s="1835" t="str">
        <f t="shared" si="9"/>
        <v>Art.80 LOSEP + Art.339 COOTAD</v>
      </c>
      <c r="J35" s="1791"/>
      <c r="K35" s="375"/>
      <c r="L35" s="375"/>
      <c r="M35" s="375"/>
      <c r="N35" s="375"/>
      <c r="O35" s="1770"/>
      <c r="P35" s="1770"/>
      <c r="Q35" s="1770"/>
      <c r="R35" s="1770"/>
      <c r="S35" s="1770"/>
      <c r="T35" s="1770"/>
      <c r="U35" s="1770"/>
      <c r="V35" s="1770"/>
      <c r="W35" s="1770"/>
      <c r="X35" s="1770"/>
      <c r="Y35" s="242"/>
      <c r="Z35" s="243"/>
    </row>
    <row r="36" spans="1:26" ht="31.95" customHeight="1" x14ac:dyDescent="0.3">
      <c r="A36" s="1828" t="s">
        <v>99</v>
      </c>
      <c r="B36" s="1784">
        <f>IFERROR(VLOOKUP(A36,'M3-MAO'!$C$3:$G$23,5,0),1)</f>
        <v>1</v>
      </c>
      <c r="C36" s="1784">
        <f>COUNTIF(B7:B26,A36)</f>
        <v>1</v>
      </c>
      <c r="D36" s="1814">
        <f t="array" ref="D36">SUMPRODUCT((B7:B26=A36)*1,'M2-PLAN-Pi'!E$13:E$32)</f>
        <v>1611066</v>
      </c>
      <c r="E36" s="1811">
        <f>IFERROR(AVERAGEIF(B7:B26,A36,J7:J26),"-")</f>
        <v>100</v>
      </c>
      <c r="F36" s="1784" t="str">
        <f t="shared" si="7"/>
        <v>⭐ EXCELENTE</v>
      </c>
      <c r="G36" s="1784">
        <f t="array" ref="G36">SUMPRODUCT((B7:B26=A36)*(G7:G26=0))</f>
        <v>0</v>
      </c>
      <c r="H36" s="1831" t="str">
        <f t="shared" si="8"/>
        <v>Felicitación pública + registro SIITH — LOSEP Art.78</v>
      </c>
      <c r="I36" s="1834" t="str">
        <f t="shared" si="9"/>
        <v>Art.78 LOSEP</v>
      </c>
      <c r="J36" s="1792"/>
      <c r="K36" s="1774"/>
      <c r="L36" s="1774"/>
      <c r="M36" s="1774"/>
      <c r="N36" s="1774"/>
      <c r="O36" s="1770"/>
      <c r="P36" s="1770"/>
      <c r="Q36" s="1770"/>
      <c r="R36" s="1770"/>
      <c r="S36" s="1770"/>
      <c r="T36" s="1770"/>
      <c r="U36" s="1770"/>
      <c r="V36" s="1770"/>
      <c r="W36" s="1770"/>
      <c r="X36" s="1770"/>
      <c r="Y36" s="242"/>
      <c r="Z36" s="243"/>
    </row>
    <row r="37" spans="1:26" ht="31.95" customHeight="1" x14ac:dyDescent="0.3">
      <c r="A37" s="1829" t="s">
        <v>832</v>
      </c>
      <c r="B37" s="1787">
        <f>IFERROR(VLOOKUP(A37,'M3-MAO'!$C$3:$G$23,5,0),1)</f>
        <v>0.75</v>
      </c>
      <c r="C37" s="1787">
        <f>COUNTIF(B7:B26,A37)</f>
        <v>1</v>
      </c>
      <c r="D37" s="1815">
        <f t="array" ref="D37">SUMPRODUCT((B7:B26=A37)*1,'M2-PLAN-Pi'!E$13:E$32)</f>
        <v>10892760.76</v>
      </c>
      <c r="E37" s="1812">
        <f>IFERROR(AVERAGEIF(B7:B26,A37,J7:J26),"-")</f>
        <v>56.25</v>
      </c>
      <c r="F37" s="1787" t="str">
        <f t="shared" si="7"/>
        <v>🔴 INACEPTABLE</v>
      </c>
      <c r="G37" s="1787">
        <f t="array" ref="G37">SUMPRODUCT((B7:B26=A37)*(G7:G26=0))</f>
        <v>0</v>
      </c>
      <c r="H37" s="1832" t="str">
        <f t="shared" si="8"/>
        <v>Sumario administrativo 48h — LOSEP Art.80 + COOTAD Art.339</v>
      </c>
      <c r="I37" s="1835" t="str">
        <f t="shared" si="9"/>
        <v>Art.80 LOSEP + Art.339 COOTAD</v>
      </c>
      <c r="J37" s="1791"/>
      <c r="K37" s="375"/>
      <c r="L37" s="375"/>
      <c r="M37" s="375"/>
      <c r="N37" s="375"/>
      <c r="O37" s="1770"/>
      <c r="P37" s="1770"/>
      <c r="Q37" s="1770"/>
      <c r="R37" s="1770"/>
      <c r="S37" s="1770"/>
      <c r="T37" s="1770"/>
      <c r="U37" s="1770"/>
      <c r="V37" s="1770"/>
      <c r="W37" s="1770"/>
      <c r="X37" s="1770"/>
      <c r="Y37" s="242"/>
      <c r="Z37" s="243"/>
    </row>
    <row r="38" spans="1:26" ht="31.95" customHeight="1" x14ac:dyDescent="0.3">
      <c r="A38" s="1828" t="s">
        <v>839</v>
      </c>
      <c r="B38" s="1784">
        <f>IFERROR(VLOOKUP(A38,'M3-MAO'!$C$3:$G$23,5,0),1)</f>
        <v>1</v>
      </c>
      <c r="C38" s="1784">
        <f>COUNTIF(B7:B26,A38)</f>
        <v>1</v>
      </c>
      <c r="D38" s="1814">
        <f t="array" ref="D38">SUMPRODUCT((B7:B26=A38)*1,'M2-PLAN-Pi'!E$13:E$32)</f>
        <v>748782.57</v>
      </c>
      <c r="E38" s="1811">
        <f>IFERROR(AVERAGEIF(B7:B26,A38,J7:J26),"-")</f>
        <v>0</v>
      </c>
      <c r="F38" s="1784" t="str">
        <f t="shared" si="7"/>
        <v>🔴 INACEPTABLE</v>
      </c>
      <c r="G38" s="1784">
        <f t="array" ref="G38">SUMPRODUCT((B7:B26=A38)*(G7:G26=0))</f>
        <v>1</v>
      </c>
      <c r="H38" s="1831" t="str">
        <f t="shared" si="8"/>
        <v>Sumario administrativo 48h — LOSEP Art.80 + COOTAD Art.339</v>
      </c>
      <c r="I38" s="1834" t="str">
        <f t="shared" si="9"/>
        <v>Art.80 LOSEP + Art.339 COOTAD</v>
      </c>
      <c r="J38" s="1792"/>
      <c r="K38" s="1774"/>
      <c r="L38" s="1774"/>
      <c r="M38" s="1774"/>
      <c r="N38" s="1774"/>
      <c r="O38" s="1770"/>
      <c r="P38" s="1770"/>
      <c r="Q38" s="1770"/>
      <c r="R38" s="1770"/>
      <c r="S38" s="1770"/>
      <c r="T38" s="1770"/>
      <c r="U38" s="1770"/>
      <c r="V38" s="1770"/>
      <c r="W38" s="1770"/>
      <c r="X38" s="1770"/>
      <c r="Y38" s="242"/>
      <c r="Z38" s="243"/>
    </row>
    <row r="39" spans="1:26" ht="31.95" customHeight="1" x14ac:dyDescent="0.3">
      <c r="A39" s="1829" t="s">
        <v>95</v>
      </c>
      <c r="B39" s="1787">
        <f>IFERROR(VLOOKUP(A39,'M3-MAO'!$C$3:$G$23,5,0),1)</f>
        <v>1</v>
      </c>
      <c r="C39" s="1787">
        <f>COUNTIF(B7:B26,A39)</f>
        <v>0</v>
      </c>
      <c r="D39" s="1815">
        <f t="array" ref="D39">SUMPRODUCT((B7:B26=A39)*1,'M2-PLAN-Pi'!E$13:E$32)</f>
        <v>0</v>
      </c>
      <c r="E39" s="1812" t="str">
        <f>IFERROR(AVERAGEIF(B7:B26,A39,J7:J26),"-")</f>
        <v>-</v>
      </c>
      <c r="F39" s="1787" t="str">
        <f t="shared" si="7"/>
        <v>—</v>
      </c>
      <c r="G39" s="1787">
        <f t="array" ref="G39">SUMPRODUCT((B7:B26=A39)*(G7:G26=0))</f>
        <v>0</v>
      </c>
      <c r="H39" s="1832" t="str">
        <f t="shared" si="8"/>
        <v>Sin metas asignadas</v>
      </c>
      <c r="I39" s="1835" t="str">
        <f t="shared" si="9"/>
        <v>—</v>
      </c>
      <c r="J39" s="1791"/>
      <c r="K39" s="375"/>
      <c r="L39" s="375"/>
      <c r="M39" s="375"/>
      <c r="N39" s="375"/>
      <c r="O39" s="1770"/>
      <c r="P39" s="1770"/>
      <c r="Q39" s="1770"/>
      <c r="R39" s="1770"/>
      <c r="S39" s="1770"/>
      <c r="T39" s="1770"/>
      <c r="U39" s="1770"/>
      <c r="V39" s="1770"/>
      <c r="W39" s="1770"/>
      <c r="X39" s="1770"/>
      <c r="Y39" s="242"/>
      <c r="Z39" s="243"/>
    </row>
    <row r="40" spans="1:26" ht="31.95" customHeight="1" x14ac:dyDescent="0.3">
      <c r="A40" s="1828" t="s">
        <v>97</v>
      </c>
      <c r="B40" s="1784">
        <f>IFERROR(VLOOKUP(A40,'M3-MAO'!$C$3:$G$23,5,0),1)</f>
        <v>0.9</v>
      </c>
      <c r="C40" s="1784">
        <f>COUNTIF(B7:B26,A40)</f>
        <v>0</v>
      </c>
      <c r="D40" s="1814">
        <f t="array" ref="D40">SUMPRODUCT((B7:B26=A40)*1,'M2-PLAN-Pi'!E$13:E$32)</f>
        <v>0</v>
      </c>
      <c r="E40" s="1811" t="str">
        <f>IFERROR(AVERAGEIF(B7:B26,A40,J7:J26),"-")</f>
        <v>-</v>
      </c>
      <c r="F40" s="1784" t="str">
        <f t="shared" si="7"/>
        <v>—</v>
      </c>
      <c r="G40" s="1784">
        <f t="array" ref="G40">SUMPRODUCT((B7:B26=A40)*(G7:G26=0))</f>
        <v>0</v>
      </c>
      <c r="H40" s="1831" t="str">
        <f t="shared" si="8"/>
        <v>Sin metas asignadas</v>
      </c>
      <c r="I40" s="1834" t="str">
        <f t="shared" si="9"/>
        <v>—</v>
      </c>
      <c r="J40" s="1792"/>
      <c r="K40" s="1774"/>
      <c r="L40" s="1774"/>
      <c r="M40" s="1774"/>
      <c r="N40" s="1774"/>
      <c r="O40" s="1770"/>
      <c r="P40" s="1770"/>
      <c r="Q40" s="1770"/>
      <c r="R40" s="1770"/>
      <c r="S40" s="1770"/>
      <c r="T40" s="1770"/>
      <c r="U40" s="1770"/>
      <c r="V40" s="1770"/>
      <c r="W40" s="1770"/>
      <c r="X40" s="1770"/>
      <c r="Y40" s="242"/>
      <c r="Z40" s="243"/>
    </row>
    <row r="41" spans="1:26" ht="31.95" customHeight="1" x14ac:dyDescent="0.3">
      <c r="A41" s="1830" t="s">
        <v>846</v>
      </c>
      <c r="B41" s="1790">
        <f>IFERROR(VLOOKUP(A41,'M3-MAO'!$C$3:$G$23,5,0),1)</f>
        <v>0.9</v>
      </c>
      <c r="C41" s="1790">
        <f>COUNTIF(B7:B26,A41)</f>
        <v>0</v>
      </c>
      <c r="D41" s="1816">
        <f t="array" ref="D41">SUMPRODUCT((B7:B26=A41)*1,'M2-PLAN-Pi'!E$13:E$32)</f>
        <v>0</v>
      </c>
      <c r="E41" s="1813" t="str">
        <f>IFERROR(AVERAGEIF(B7:B26,A41,J7:J26),"-")</f>
        <v>-</v>
      </c>
      <c r="F41" s="1790" t="str">
        <f t="shared" si="7"/>
        <v>—</v>
      </c>
      <c r="G41" s="1790">
        <f t="array" ref="G41">SUMPRODUCT((B7:B26=A41)*(G7:G26=0))</f>
        <v>0</v>
      </c>
      <c r="H41" s="1833" t="str">
        <f t="shared" si="8"/>
        <v>Sin metas asignadas</v>
      </c>
      <c r="I41" s="1836" t="str">
        <f t="shared" si="9"/>
        <v>—</v>
      </c>
      <c r="J41" s="1791"/>
      <c r="K41" s="375"/>
      <c r="L41" s="375"/>
      <c r="M41" s="375"/>
      <c r="N41" s="375"/>
      <c r="O41" s="1770"/>
      <c r="P41" s="1770"/>
      <c r="Q41" s="1770"/>
      <c r="R41" s="1770"/>
      <c r="S41" s="1770"/>
      <c r="T41" s="1770"/>
      <c r="U41" s="1770"/>
      <c r="V41" s="1770"/>
      <c r="W41" s="1770"/>
      <c r="X41" s="1770"/>
      <c r="Y41" s="242"/>
      <c r="Z41" s="243"/>
    </row>
    <row r="42" spans="1:26" ht="4.95" customHeight="1" x14ac:dyDescent="0.3">
      <c r="A42" s="1793"/>
      <c r="B42" s="1794"/>
      <c r="C42" s="1794"/>
      <c r="D42" s="1794"/>
      <c r="E42" s="1794"/>
      <c r="F42" s="1794"/>
      <c r="G42" s="1794"/>
      <c r="H42" s="1794"/>
      <c r="I42" s="1778"/>
      <c r="J42" s="1775"/>
      <c r="K42" s="1775"/>
      <c r="L42" s="1775"/>
      <c r="M42" s="1775"/>
      <c r="N42" s="1775"/>
      <c r="O42" s="1766"/>
      <c r="P42" s="1766"/>
      <c r="Q42" s="1766"/>
      <c r="R42" s="1766"/>
      <c r="S42" s="1766"/>
      <c r="T42" s="1766"/>
      <c r="U42" s="1766"/>
      <c r="V42" s="1766"/>
      <c r="W42" s="1766"/>
      <c r="X42" s="1766"/>
      <c r="Y42" s="242"/>
      <c r="Z42" s="243"/>
    </row>
    <row r="43" spans="1:26" ht="22.05" customHeight="1" x14ac:dyDescent="0.3">
      <c r="A43" s="3882" t="s">
        <v>2107</v>
      </c>
      <c r="B43" s="3861"/>
      <c r="C43" s="3861"/>
      <c r="D43" s="3861"/>
      <c r="E43" s="3861"/>
      <c r="F43" s="3861"/>
      <c r="G43" s="3861"/>
      <c r="H43" s="3862"/>
      <c r="I43" s="3452"/>
      <c r="J43" s="3452"/>
      <c r="K43" s="3452"/>
      <c r="L43" s="3452"/>
      <c r="M43" s="3452"/>
      <c r="N43" s="3452"/>
      <c r="O43" s="3764"/>
      <c r="P43" s="3764"/>
      <c r="Q43" s="3764"/>
      <c r="R43" s="3764"/>
      <c r="S43" s="3764"/>
      <c r="T43" s="3764"/>
      <c r="U43" s="3764"/>
      <c r="V43" s="3764"/>
      <c r="W43" s="3764"/>
      <c r="X43" s="3764"/>
      <c r="Y43" s="3764"/>
      <c r="Z43" s="3765"/>
    </row>
    <row r="44" spans="1:26" ht="40.049999999999997" customHeight="1" x14ac:dyDescent="0.3">
      <c r="A44" s="1780" t="s">
        <v>2108</v>
      </c>
      <c r="B44" s="1781" t="s">
        <v>2109</v>
      </c>
      <c r="C44" s="1781" t="s">
        <v>2110</v>
      </c>
      <c r="D44" s="1781" t="s">
        <v>123</v>
      </c>
      <c r="E44" s="1781" t="s">
        <v>402</v>
      </c>
      <c r="F44" s="1781" t="s">
        <v>123</v>
      </c>
      <c r="G44" s="1781" t="s">
        <v>1929</v>
      </c>
      <c r="H44" s="1782" t="s">
        <v>700</v>
      </c>
      <c r="I44" s="1792"/>
      <c r="J44" s="1774"/>
      <c r="K44" s="1774"/>
      <c r="L44" s="1774"/>
      <c r="M44" s="1774"/>
      <c r="N44" s="1774"/>
      <c r="O44" s="1770"/>
      <c r="P44" s="1770"/>
      <c r="Q44" s="1770"/>
      <c r="R44" s="1770"/>
      <c r="S44" s="1770"/>
      <c r="T44" s="1770"/>
      <c r="U44" s="1770"/>
      <c r="V44" s="1770"/>
      <c r="W44" s="1770"/>
      <c r="X44" s="1770"/>
      <c r="Y44" s="242"/>
      <c r="Z44" s="243"/>
    </row>
    <row r="45" spans="1:26" ht="37.950000000000003" customHeight="1" x14ac:dyDescent="0.3">
      <c r="A45" s="1795" t="s">
        <v>2111</v>
      </c>
      <c r="B45" s="1784" t="s">
        <v>2112</v>
      </c>
      <c r="C45" s="1784" t="s">
        <v>2113</v>
      </c>
      <c r="D45" s="1784" t="s">
        <v>2114</v>
      </c>
      <c r="E45" s="1784" t="s">
        <v>2115</v>
      </c>
      <c r="F45" s="1784" t="s">
        <v>2116</v>
      </c>
      <c r="G45" s="1784" t="s">
        <v>2117</v>
      </c>
      <c r="H45" s="1785" t="s">
        <v>2118</v>
      </c>
      <c r="I45" s="1791"/>
      <c r="J45" s="375"/>
      <c r="K45" s="375"/>
      <c r="L45" s="375"/>
      <c r="M45" s="375"/>
      <c r="N45" s="375"/>
      <c r="O45" s="1770"/>
      <c r="P45" s="1770"/>
      <c r="Q45" s="1770"/>
      <c r="R45" s="1770"/>
      <c r="S45" s="1770"/>
      <c r="T45" s="1770"/>
      <c r="U45" s="1770"/>
      <c r="V45" s="1770"/>
      <c r="W45" s="1770"/>
      <c r="X45" s="1770"/>
      <c r="Y45" s="242"/>
      <c r="Z45" s="243"/>
    </row>
    <row r="46" spans="1:26" ht="37.950000000000003" customHeight="1" x14ac:dyDescent="0.3">
      <c r="A46" s="1796" t="s">
        <v>2119</v>
      </c>
      <c r="B46" s="1787" t="s">
        <v>2120</v>
      </c>
      <c r="C46" s="1787" t="s">
        <v>2121</v>
      </c>
      <c r="D46" s="1787" t="s">
        <v>2122</v>
      </c>
      <c r="E46" s="1787" t="s">
        <v>2123</v>
      </c>
      <c r="F46" s="1787" t="s">
        <v>2124</v>
      </c>
      <c r="G46" s="1787" t="s">
        <v>2125</v>
      </c>
      <c r="H46" s="1788" t="s">
        <v>2126</v>
      </c>
      <c r="I46" s="1792"/>
      <c r="J46" s="1774"/>
      <c r="K46" s="1774"/>
      <c r="L46" s="1774"/>
      <c r="M46" s="1774"/>
      <c r="N46" s="1774"/>
      <c r="O46" s="1770"/>
      <c r="P46" s="1770"/>
      <c r="Q46" s="1770"/>
      <c r="R46" s="1770"/>
      <c r="S46" s="1770"/>
      <c r="T46" s="1770"/>
      <c r="U46" s="1770"/>
      <c r="V46" s="1770"/>
      <c r="W46" s="1770"/>
      <c r="X46" s="1770"/>
      <c r="Y46" s="242"/>
      <c r="Z46" s="243"/>
    </row>
    <row r="47" spans="1:26" ht="37.950000000000003" customHeight="1" x14ac:dyDescent="0.3">
      <c r="A47" s="1801" t="s">
        <v>2127</v>
      </c>
      <c r="B47" s="1802" t="s">
        <v>2128</v>
      </c>
      <c r="C47" s="1802" t="s">
        <v>2129</v>
      </c>
      <c r="D47" s="1802" t="s">
        <v>2130</v>
      </c>
      <c r="E47" s="1802" t="s">
        <v>2131</v>
      </c>
      <c r="F47" s="1802" t="s">
        <v>2132</v>
      </c>
      <c r="G47" s="1802" t="s">
        <v>2133</v>
      </c>
      <c r="H47" s="1803" t="s">
        <v>2134</v>
      </c>
      <c r="I47" s="1791"/>
      <c r="J47" s="375"/>
      <c r="K47" s="375"/>
      <c r="L47" s="375"/>
      <c r="M47" s="375"/>
      <c r="N47" s="375"/>
      <c r="O47" s="1770"/>
      <c r="P47" s="1770"/>
      <c r="Q47" s="1770"/>
      <c r="R47" s="1770"/>
      <c r="S47" s="1770"/>
      <c r="T47" s="1770"/>
      <c r="U47" s="1770"/>
      <c r="V47" s="1770"/>
      <c r="W47" s="1770"/>
      <c r="X47" s="1770"/>
      <c r="Y47" s="242"/>
      <c r="Z47" s="243"/>
    </row>
    <row r="48" spans="1:26" ht="22.05" customHeight="1" x14ac:dyDescent="0.3">
      <c r="A48" s="3882" t="s">
        <v>2135</v>
      </c>
      <c r="B48" s="3861"/>
      <c r="C48" s="3861"/>
      <c r="D48" s="3861"/>
      <c r="E48" s="3861"/>
      <c r="F48" s="3861"/>
      <c r="G48" s="3861"/>
      <c r="H48" s="3862"/>
      <c r="I48" s="3452"/>
      <c r="J48" s="3452"/>
      <c r="K48" s="3452"/>
      <c r="L48" s="3452"/>
      <c r="M48" s="3452"/>
      <c r="N48" s="3452"/>
      <c r="O48" s="3764"/>
      <c r="P48" s="3764"/>
      <c r="Q48" s="3764"/>
      <c r="R48" s="3764"/>
      <c r="S48" s="3764"/>
      <c r="T48" s="3764"/>
      <c r="U48" s="3764"/>
      <c r="V48" s="3764"/>
      <c r="W48" s="3764"/>
      <c r="X48" s="3764"/>
      <c r="Y48" s="3764"/>
      <c r="Z48" s="3765"/>
    </row>
    <row r="49" spans="1:26" ht="40.049999999999997" customHeight="1" x14ac:dyDescent="0.3">
      <c r="A49" s="1780" t="s">
        <v>401</v>
      </c>
      <c r="B49" s="1781" t="s">
        <v>2137</v>
      </c>
      <c r="C49" s="1781" t="s">
        <v>2138</v>
      </c>
      <c r="D49" s="1781" t="s">
        <v>2139</v>
      </c>
      <c r="E49" s="1781" t="s">
        <v>42</v>
      </c>
      <c r="F49" s="1781" t="s">
        <v>123</v>
      </c>
      <c r="G49" s="1781" t="s">
        <v>2117</v>
      </c>
      <c r="H49" s="1782" t="s">
        <v>2140</v>
      </c>
      <c r="I49" s="1791"/>
      <c r="J49" s="375"/>
      <c r="K49" s="375"/>
      <c r="L49" s="375"/>
      <c r="M49" s="375"/>
      <c r="N49" s="375"/>
      <c r="O49" s="1770"/>
      <c r="P49" s="1770"/>
      <c r="Q49" s="1770"/>
      <c r="R49" s="1770"/>
      <c r="S49" s="1770"/>
      <c r="T49" s="1770"/>
      <c r="U49" s="1770"/>
      <c r="V49" s="1770"/>
      <c r="W49" s="1770"/>
      <c r="X49" s="1770"/>
      <c r="Y49" s="242"/>
      <c r="Z49" s="243"/>
    </row>
    <row r="50" spans="1:26" ht="31.95" customHeight="1" x14ac:dyDescent="0.3">
      <c r="A50" s="1837" t="s">
        <v>404</v>
      </c>
      <c r="B50" s="1784">
        <f>COUNTIF(F30:F41,"⭐ EXCELENTE")</f>
        <v>1</v>
      </c>
      <c r="C50" s="1804">
        <f>IFERROR(COUNTIF(F30:F41,"⭐ EXCELENTE")/COUNTA(F30:F41),0)</f>
        <v>8.3333333333333329E-2</v>
      </c>
      <c r="D50" s="1831" t="str">
        <f t="array" ref="D50">IFERROR(_xlfn.TEXTJOIN(" · ",TRUE,IF(F30:F41="⭐ EXCELENTE",A30:A41,"")),"—")</f>
        <v>Dirección de Tecnología e Información</v>
      </c>
      <c r="E50" s="1831" t="s">
        <v>2141</v>
      </c>
      <c r="F50" s="1784" t="s">
        <v>2142</v>
      </c>
      <c r="G50" s="1784"/>
      <c r="H50" s="1785"/>
      <c r="I50" s="1792"/>
      <c r="J50" s="1774"/>
      <c r="K50" s="1774"/>
      <c r="L50" s="1774"/>
      <c r="M50" s="1774"/>
      <c r="N50" s="1774"/>
      <c r="O50" s="1770"/>
      <c r="P50" s="1770"/>
      <c r="Q50" s="1770"/>
      <c r="R50" s="1770"/>
      <c r="S50" s="1770"/>
      <c r="T50" s="1770"/>
      <c r="U50" s="1770"/>
      <c r="V50" s="1770"/>
      <c r="W50" s="1770"/>
      <c r="X50" s="1770"/>
      <c r="Y50" s="242"/>
      <c r="Z50" s="243"/>
    </row>
    <row r="51" spans="1:26" ht="31.95" customHeight="1" x14ac:dyDescent="0.3">
      <c r="A51" s="1838" t="s">
        <v>409</v>
      </c>
      <c r="B51" s="1805">
        <f>COUNTIF(F30:F41,"✅ MUY BUENO")</f>
        <v>0</v>
      </c>
      <c r="C51" s="1806">
        <f>IFERROR(COUNTIF(F30:F41,"✅ MUY BUENO")/COUNTA(F30:F41),0)</f>
        <v>0</v>
      </c>
      <c r="D51" s="1840" t="str">
        <f t="array" ref="D51">IFERROR(_xlfn.TEXTJOIN(" · ",TRUE,IF(F30:F41="✅ MUY BUENO",A30:A41,"")),"—")</f>
        <v/>
      </c>
      <c r="E51" s="1840" t="s">
        <v>2143</v>
      </c>
      <c r="F51" s="1805" t="s">
        <v>237</v>
      </c>
      <c r="G51" s="1805"/>
      <c r="H51" s="1807"/>
      <c r="I51" s="1799"/>
      <c r="J51" s="1776"/>
      <c r="K51" s="1776"/>
      <c r="L51" s="1776"/>
      <c r="M51" s="1776"/>
      <c r="N51" s="1776"/>
      <c r="O51" s="1771"/>
      <c r="P51" s="1771"/>
      <c r="Q51" s="1771"/>
      <c r="R51" s="1771"/>
      <c r="S51" s="1771"/>
      <c r="T51" s="1771"/>
      <c r="U51" s="1771"/>
      <c r="V51" s="1771"/>
      <c r="W51" s="1771"/>
      <c r="X51" s="1771"/>
      <c r="Y51" s="242"/>
      <c r="Z51" s="243"/>
    </row>
    <row r="52" spans="1:26" ht="31.95" customHeight="1" x14ac:dyDescent="0.3">
      <c r="A52" s="1837" t="s">
        <v>413</v>
      </c>
      <c r="B52" s="1808">
        <f>COUNTIF(F30:F41,"🟢 SATISFACTORIO")</f>
        <v>0</v>
      </c>
      <c r="C52" s="1809">
        <f>IFERROR(COUNTIF(F30:F41,"🟢 SATISFACTORIO")/COUNTA(F30:F41),0)</f>
        <v>0</v>
      </c>
      <c r="D52" s="1841" t="str">
        <f t="array" ref="D52">IFERROR(_xlfn.TEXTJOIN(" · ",TRUE,IF(F30:F41="🟢 SATISFACTORIO",A30:A41,"")),"—")</f>
        <v/>
      </c>
      <c r="E52" s="1841" t="s">
        <v>2144</v>
      </c>
      <c r="F52" s="1808" t="s">
        <v>2145</v>
      </c>
      <c r="G52" s="1808"/>
      <c r="H52" s="1810"/>
      <c r="I52" s="1800"/>
      <c r="J52" s="1777"/>
      <c r="K52" s="1777"/>
      <c r="L52" s="1777"/>
      <c r="M52" s="1777"/>
      <c r="N52" s="1777"/>
      <c r="O52" s="1771"/>
      <c r="P52" s="1771"/>
      <c r="Q52" s="1771"/>
      <c r="R52" s="1771"/>
      <c r="S52" s="1771"/>
      <c r="T52" s="1771"/>
      <c r="U52" s="1771"/>
      <c r="V52" s="1771"/>
      <c r="W52" s="1771"/>
      <c r="X52" s="1771"/>
      <c r="Y52" s="242"/>
      <c r="Z52" s="243"/>
    </row>
    <row r="53" spans="1:26" ht="31.95" customHeight="1" x14ac:dyDescent="0.3">
      <c r="A53" s="1839" t="s">
        <v>417</v>
      </c>
      <c r="B53" s="1805">
        <f>COUNTIF(F30:F41,"🟡 REGULAR")</f>
        <v>0</v>
      </c>
      <c r="C53" s="1806">
        <f>IFERROR(COUNTIF(F30:F41,"🟡 REGULAR")/COUNTA(F30:F41),0)</f>
        <v>0</v>
      </c>
      <c r="D53" s="1840" t="str">
        <f t="array" ref="D53">IFERROR(_xlfn.TEXTJOIN(" · ",TRUE,IF(F30:F41="🟡 REGULAR",A30:A41,"")),"—")</f>
        <v/>
      </c>
      <c r="E53" s="1840" t="s">
        <v>2146</v>
      </c>
      <c r="F53" s="1805" t="s">
        <v>237</v>
      </c>
      <c r="G53" s="1805"/>
      <c r="H53" s="1807"/>
      <c r="I53" s="1799"/>
      <c r="J53" s="1776"/>
      <c r="K53" s="1776"/>
      <c r="L53" s="1776"/>
      <c r="M53" s="1776"/>
      <c r="N53" s="1776"/>
      <c r="O53" s="1771"/>
      <c r="P53" s="1771"/>
      <c r="Q53" s="1771"/>
      <c r="R53" s="1771"/>
      <c r="S53" s="1771"/>
      <c r="T53" s="1771"/>
      <c r="U53" s="1771"/>
      <c r="V53" s="1771"/>
      <c r="W53" s="1771"/>
      <c r="X53" s="1771"/>
      <c r="Y53" s="242"/>
      <c r="Z53" s="243"/>
    </row>
    <row r="54" spans="1:26" ht="31.95" customHeight="1" x14ac:dyDescent="0.3">
      <c r="A54" s="1837" t="s">
        <v>2147</v>
      </c>
      <c r="B54" s="1808">
        <f>COUNTIF(F30:F41,"🔴 INACEPTABLE")</f>
        <v>7</v>
      </c>
      <c r="C54" s="1809">
        <f>IFERROR(COUNTIF(F30:F41,"🔴 INACEPTABLE")/COUNTA(F30:F41),0)</f>
        <v>0.58333333333333337</v>
      </c>
      <c r="D54" s="1841" t="str">
        <f t="array" ref="D54">IFERROR(_xlfn.TEXTJOIN(" · ",TRUE,IF(F30:F41="🔴 INACEPTABLE",A30:A41,"")),"—")</f>
        <v>Dirección de Obras Públicas · Patronato Municipal de Amparo Social · Dirección de Planificación y Desarrollo · Dirección de Desarrollo Social y Cultural · Unidad de Gestión Ambiental GAD · EP Aseo Integral Montecristi · Dirección de Avalúos y Catastros</v>
      </c>
      <c r="E54" s="1841" t="s">
        <v>2148</v>
      </c>
      <c r="F54" s="1808" t="s">
        <v>218</v>
      </c>
      <c r="G54" s="1808"/>
      <c r="H54" s="1810"/>
      <c r="I54" s="1800"/>
      <c r="J54" s="1777"/>
      <c r="K54" s="1777"/>
      <c r="L54" s="1777"/>
      <c r="M54" s="1777"/>
      <c r="N54" s="1777"/>
      <c r="O54" s="1771"/>
      <c r="P54" s="1771"/>
      <c r="Q54" s="1771"/>
      <c r="R54" s="1771"/>
      <c r="S54" s="1771"/>
      <c r="T54" s="1771"/>
      <c r="U54" s="1771"/>
      <c r="V54" s="1771"/>
      <c r="W54" s="1771"/>
      <c r="X54" s="1771"/>
      <c r="Y54" s="242"/>
      <c r="Z54" s="243"/>
    </row>
    <row r="55" spans="1:26" ht="31.95" customHeight="1" x14ac:dyDescent="0.3">
      <c r="A55" s="1839" t="s">
        <v>799</v>
      </c>
      <c r="B55" s="1805">
        <f>COUNTA(F30:F41)</f>
        <v>12</v>
      </c>
      <c r="C55" s="1806">
        <v>1</v>
      </c>
      <c r="D55" s="1840" t="s">
        <v>2149</v>
      </c>
      <c r="E55" s="1840" t="s">
        <v>2150</v>
      </c>
      <c r="F55" s="1805" t="s">
        <v>2151</v>
      </c>
      <c r="G55" s="1805"/>
      <c r="H55" s="1807"/>
      <c r="I55" s="1799"/>
      <c r="J55" s="1776"/>
      <c r="K55" s="1776"/>
      <c r="L55" s="1776"/>
      <c r="M55" s="1776"/>
      <c r="N55" s="1776"/>
      <c r="O55" s="1771"/>
      <c r="P55" s="1771"/>
      <c r="Q55" s="1771"/>
      <c r="R55" s="1771"/>
      <c r="S55" s="1771"/>
      <c r="T55" s="1771"/>
      <c r="U55" s="1771"/>
      <c r="V55" s="1771"/>
      <c r="W55" s="1771"/>
      <c r="X55" s="1771"/>
      <c r="Y55" s="242"/>
      <c r="Z55" s="243"/>
    </row>
    <row r="56" spans="1:26" ht="22.05" customHeight="1" x14ac:dyDescent="0.3">
      <c r="A56" s="3892" t="str">
        <f ca="1">"⚠ F-EDS · "&amp;TEXT(TODAY(),"dd/mm/yyyy")&amp;" · ICPI="&amp;TEXT('M5-ICPI'!G29,"0,00")&amp;"% · 10 dirs. INACEPTABLE → Sumario LOSEP Art.80 · Vi_cad=1: 18/20 · SIAP-ICPI GAD Montecristi"</f>
        <v>⚠ F-EDS · 14/03/2026 · ICPI=38,28% · 10 dirs. INACEPTABLE → Sumario LOSEP Art.80 · Vi_cad=1: 18/20 · SIAP-ICPI GAD Montecristi</v>
      </c>
      <c r="B56" s="3893"/>
      <c r="C56" s="3893"/>
      <c r="D56" s="3893"/>
      <c r="E56" s="3893"/>
      <c r="F56" s="3893"/>
      <c r="G56" s="3893"/>
      <c r="H56" s="3894"/>
      <c r="I56" s="3895"/>
      <c r="J56" s="3895"/>
      <c r="K56" s="3895"/>
      <c r="L56" s="3895"/>
      <c r="M56" s="3895"/>
      <c r="N56" s="3895"/>
      <c r="O56" s="3896"/>
      <c r="P56" s="3896"/>
      <c r="Q56" s="3896"/>
      <c r="R56" s="3896"/>
      <c r="S56" s="3896"/>
      <c r="T56" s="3896"/>
      <c r="U56" s="3896"/>
      <c r="V56" s="3896"/>
      <c r="W56" s="3896"/>
      <c r="X56" s="3896"/>
      <c r="Y56" s="3896"/>
      <c r="Z56" s="3897"/>
    </row>
  </sheetData>
  <mergeCells count="8">
    <mergeCell ref="A28:Z28"/>
    <mergeCell ref="A43:Z43"/>
    <mergeCell ref="A48:Z48"/>
    <mergeCell ref="A1:Z1"/>
    <mergeCell ref="A56:Z56"/>
    <mergeCell ref="A3:X3"/>
    <mergeCell ref="A4:Z4"/>
    <mergeCell ref="A5:Z5"/>
  </mergeCells>
  <conditionalFormatting sqref="A50:A55">
    <cfRule type="containsText" dxfId="302" priority="34" operator="containsText" text="INACEPTABLE">
      <formula>NOT(ISERROR(SEARCH("INACEPTABLE",A50)))</formula>
    </cfRule>
    <cfRule type="containsText" dxfId="301" priority="33" operator="containsText" text="REGULAR">
      <formula>NOT(ISERROR(SEARCH("REGULAR",A50)))</formula>
    </cfRule>
    <cfRule type="containsText" dxfId="300" priority="32" operator="containsText" text="SATISFACTORIO">
      <formula>NOT(ISERROR(SEARCH("SATISFACTORIO",A50)))</formula>
    </cfRule>
    <cfRule type="containsText" dxfId="299" priority="31" operator="containsText" text="MUY BUENO">
      <formula>NOT(ISERROR(SEARCH("MUY BUENO",A50)))</formula>
    </cfRule>
    <cfRule type="containsText" dxfId="298" priority="30" operator="containsText" text="EXCELENTE">
      <formula>NOT(ISERROR(SEARCH("EXCELENTE",A50)))</formula>
    </cfRule>
  </conditionalFormatting>
  <conditionalFormatting sqref="E7:E26">
    <cfRule type="cellIs" dxfId="297" priority="37" operator="equal">
      <formula>0</formula>
    </cfRule>
    <cfRule type="cellIs" dxfId="296" priority="38" operator="equal">
      <formula>1</formula>
    </cfRule>
  </conditionalFormatting>
  <conditionalFormatting sqref="E30:E41">
    <cfRule type="cellIs" dxfId="295" priority="23" operator="greaterThanOrEqual">
      <formula>60</formula>
    </cfRule>
    <cfRule type="cellIs" dxfId="294" priority="24" operator="greaterThanOrEqual">
      <formula>0</formula>
    </cfRule>
    <cfRule type="cellIs" dxfId="293" priority="20" operator="greaterThanOrEqual">
      <formula>96</formula>
    </cfRule>
    <cfRule type="cellIs" dxfId="292" priority="21" operator="greaterThanOrEqual">
      <formula>85</formula>
    </cfRule>
    <cfRule type="cellIs" dxfId="291" priority="22" operator="greaterThanOrEqual">
      <formula>70</formula>
    </cfRule>
  </conditionalFormatting>
  <conditionalFormatting sqref="F30:F41">
    <cfRule type="containsText" dxfId="290" priority="29" operator="containsText" text="INACEPTABLE">
      <formula>NOT(ISERROR(SEARCH("INACEPTABLE",F30)))</formula>
    </cfRule>
    <cfRule type="containsText" dxfId="289" priority="28" operator="containsText" text="REGULAR">
      <formula>NOT(ISERROR(SEARCH("REGULAR",F30)))</formula>
    </cfRule>
    <cfRule type="containsText" dxfId="288" priority="27" operator="containsText" text="SATISFACTORIO">
      <formula>NOT(ISERROR(SEARCH("SATISFACTORIO",F30)))</formula>
    </cfRule>
    <cfRule type="containsText" dxfId="287" priority="26" operator="containsText" text="MUY BUENO">
      <formula>NOT(ISERROR(SEARCH("MUY BUENO",F30)))</formula>
    </cfRule>
    <cfRule type="containsText" dxfId="286" priority="25" operator="containsText" text="EXCELENTE">
      <formula>NOT(ISERROR(SEARCH("EXCELENTE",F30)))</formula>
    </cfRule>
  </conditionalFormatting>
  <conditionalFormatting sqref="G7:G26">
    <cfRule type="cellIs" dxfId="285" priority="36" operator="equal">
      <formula>1</formula>
    </cfRule>
    <cfRule type="cellIs" dxfId="284" priority="35" operator="equal">
      <formula>0</formula>
    </cfRule>
  </conditionalFormatting>
  <conditionalFormatting sqref="G30:G41">
    <cfRule type="cellIs" dxfId="283" priority="39" operator="greaterThan">
      <formula>0</formula>
    </cfRule>
  </conditionalFormatting>
  <conditionalFormatting sqref="J7:J26">
    <cfRule type="cellIs" dxfId="282" priority="14" operator="greaterThanOrEqual">
      <formula>0</formula>
    </cfRule>
    <cfRule type="cellIs" dxfId="281" priority="13" operator="greaterThanOrEqual">
      <formula>60</formula>
    </cfRule>
    <cfRule type="cellIs" dxfId="280" priority="12" operator="greaterThanOrEqual">
      <formula>70</formula>
    </cfRule>
    <cfRule type="cellIs" dxfId="279" priority="11" operator="greaterThanOrEqual">
      <formula>85</formula>
    </cfRule>
    <cfRule type="cellIs" dxfId="278" priority="10" operator="greaterThanOrEqual">
      <formula>96</formula>
    </cfRule>
  </conditionalFormatting>
  <conditionalFormatting sqref="K7:K26">
    <cfRule type="containsText" dxfId="277" priority="17" operator="containsText" text="TRANSICIÓN">
      <formula>NOT(ISERROR(SEARCH("TRANSICIÓN",K7)))</formula>
    </cfRule>
    <cfRule type="containsText" dxfId="276" priority="16" operator="containsText" text="MANDATO">
      <formula>NOT(ISERROR(SEARCH("MANDATO",K7)))</formula>
    </cfRule>
    <cfRule type="containsText" dxfId="275" priority="15" operator="containsText" text="EXCELENCIA">
      <formula>NOT(ISERROR(SEARCH("EXCELENCIA",K7)))</formula>
    </cfRule>
    <cfRule type="containsText" dxfId="274" priority="19" operator="containsText" text="RUPTURA">
      <formula>NOT(ISERROR(SEARCH("RUPTURA",K7)))</formula>
    </cfRule>
    <cfRule type="containsText" dxfId="273" priority="18" operator="containsText" text="OCURRENCIA">
      <formula>NOT(ISERROR(SEARCH("OCURRENCIA",K7)))</formula>
    </cfRule>
  </conditionalFormatting>
  <conditionalFormatting sqref="T6:T25">
    <cfRule type="cellIs" dxfId="272" priority="9" operator="greaterThanOrEqual">
      <formula>70</formula>
    </cfRule>
    <cfRule type="cellIs" dxfId="271" priority="8" operator="between">
      <formula>50</formula>
      <formula>69.9</formula>
    </cfRule>
    <cfRule type="cellIs" dxfId="270" priority="7" operator="between">
      <formula>30</formula>
      <formula>49.9</formula>
    </cfRule>
    <cfRule type="cellIs" dxfId="269" priority="6" operator="lessThan">
      <formula>30</formula>
    </cfRule>
  </conditionalFormatting>
  <dataValidations count="2">
    <dataValidation type="decimal" allowBlank="1" showInputMessage="1" showErrorMessage="1" errorTitle="Fuera de rango" error="El IED histórico debe estar entre 0 y 100." promptTitle="IED Trimestral" prompt="IED entre 0 y 100." sqref="O6:T25" xr:uid="{00000000-0002-0000-1A00-000000000000}">
      <formula1>0</formula1>
      <formula2>100</formula2>
    </dataValidation>
    <dataValidation type="list" allowBlank="1" showInputMessage="1" showErrorMessage="1" sqref="W6:W25" xr:uid="{00000000-0002-0000-1A00-000001000000}">
      <formula1>"Sí,No"</formula1>
    </dataValidation>
  </dataValidations>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E2EFDA"/>
  </sheetPr>
  <dimension ref="A1:Z56"/>
  <sheetViews>
    <sheetView showGridLines="0" zoomScale="43" zoomScaleNormal="43" workbookViewId="0">
      <selection activeCell="D10" sqref="D10"/>
    </sheetView>
  </sheetViews>
  <sheetFormatPr baseColWidth="10" defaultRowHeight="14.4" x14ac:dyDescent="0.3"/>
  <cols>
    <col min="1" max="1" width="32.44140625" customWidth="1"/>
    <col min="2" max="2" width="26.88671875" customWidth="1"/>
    <col min="3" max="3" width="10.21875" customWidth="1"/>
    <col min="4" max="6" width="12" customWidth="1"/>
    <col min="7" max="7" width="10.21875" customWidth="1"/>
    <col min="8" max="10" width="12" customWidth="1"/>
    <col min="11" max="11" width="20.33203125" customWidth="1"/>
    <col min="12" max="12" width="37" customWidth="1"/>
    <col min="13" max="13" width="28.6640625" customWidth="1"/>
    <col min="14" max="14" width="24.109375" customWidth="1"/>
    <col min="15" max="15" width="10.21875" customWidth="1"/>
    <col min="16" max="16" width="37" customWidth="1"/>
    <col min="17" max="26" width="5.21875" customWidth="1"/>
  </cols>
  <sheetData>
    <row r="1" spans="1:26" ht="28.05" customHeight="1" x14ac:dyDescent="0.3">
      <c r="A1" s="3777" t="s">
        <v>4844</v>
      </c>
      <c r="B1" s="3638"/>
      <c r="C1" s="3638"/>
      <c r="D1" s="3638"/>
      <c r="E1" s="3638"/>
      <c r="F1" s="3638"/>
      <c r="G1" s="3638"/>
      <c r="H1" s="3638"/>
      <c r="I1" s="3638"/>
      <c r="J1" s="3638"/>
      <c r="K1" s="3638"/>
      <c r="L1" s="3638"/>
      <c r="M1" s="3638"/>
      <c r="N1" s="3638"/>
      <c r="O1" s="3549"/>
      <c r="P1" s="3549"/>
      <c r="Q1" s="3701"/>
      <c r="R1" s="3701"/>
      <c r="S1" s="3701"/>
      <c r="T1" s="3701"/>
      <c r="U1" s="3701"/>
      <c r="V1" s="3701"/>
      <c r="W1" s="3701"/>
      <c r="X1" s="3701"/>
      <c r="Y1" s="3701"/>
      <c r="Z1" s="3701"/>
    </row>
    <row r="2" spans="1:26" ht="19.95" customHeight="1" x14ac:dyDescent="0.3">
      <c r="A2" s="137" t="str">
        <f>HYPERLINK("#'M-INDEX'!A1","⌂ INDICE")</f>
        <v>⌂ INDICE</v>
      </c>
      <c r="B2" s="137" t="str">
        <f>HYPERLINK("#'M1-ITME'!A1","M1")</f>
        <v>M1</v>
      </c>
      <c r="C2" s="137" t="str">
        <f>HYPERLINK("#'M2-PDOT'!A1","M2")</f>
        <v>M2</v>
      </c>
      <c r="D2" s="137" t="str">
        <f>HYPERLINK("#'M3-MAO'!A1","M3")</f>
        <v>M3</v>
      </c>
      <c r="E2" s="137" t="str">
        <f>HYPERLINK("#'M4-AUDIT'!A1","M4")</f>
        <v>M4</v>
      </c>
      <c r="F2" s="137" t="str">
        <f>HYPERLINK("#'M5-ICPI'!A1","M5")</f>
        <v>M5</v>
      </c>
      <c r="G2" s="137" t="str">
        <f>HYPERLINK("#'M6-FEDS'!A1","M6")</f>
        <v>M6</v>
      </c>
      <c r="H2" s="137" t="str">
        <f>HYPERLINK("#'M7-PROSP'!A1","M7")</f>
        <v>M7</v>
      </c>
      <c r="I2" s="137" t="str">
        <f>HYPERLINK("#'DATA-POA'!A1","DATA-POA")</f>
        <v>DATA-POA</v>
      </c>
      <c r="J2" s="137" t="str">
        <f>HYPERLINK("#'DATA-CNE'!A1","DATA-CNE")</f>
        <v>DATA-CNE</v>
      </c>
      <c r="K2" s="137" t="str">
        <f>HYPERLINK("#'DATA-ORG'!A1","DATA-ORG")</f>
        <v>DATA-ORG</v>
      </c>
      <c r="L2" s="137" t="str">
        <f>HYPERLINK("#'M-DASHBOARD'!A1","DASH")</f>
        <v>DASH</v>
      </c>
      <c r="M2" s="1759"/>
      <c r="N2" s="1759"/>
      <c r="O2" s="1734"/>
      <c r="P2" s="1734"/>
      <c r="Q2" s="1734"/>
      <c r="R2" s="1734"/>
      <c r="S2" s="1734"/>
      <c r="T2" s="1734"/>
      <c r="U2" s="1734"/>
      <c r="V2" s="1734"/>
      <c r="W2" s="1734"/>
      <c r="X2" s="1734"/>
      <c r="Y2" s="1734"/>
      <c r="Z2" s="1734"/>
    </row>
    <row r="3" spans="1:26" ht="15" customHeight="1" thickBot="1" x14ac:dyDescent="0.35">
      <c r="A3" s="3926" t="s">
        <v>4240</v>
      </c>
      <c r="B3" s="3926"/>
      <c r="C3" s="3926"/>
      <c r="D3" s="3926"/>
      <c r="E3" s="3926"/>
      <c r="F3" s="3926"/>
      <c r="G3" s="3926"/>
      <c r="H3" s="3926"/>
      <c r="I3" s="3926"/>
      <c r="J3" s="3926"/>
      <c r="K3" s="3926"/>
      <c r="L3" s="3926"/>
      <c r="M3" s="3926"/>
      <c r="N3" s="3926"/>
      <c r="O3" s="3927"/>
      <c r="P3" s="3927"/>
      <c r="Q3" s="3815"/>
      <c r="R3" s="3815"/>
      <c r="S3" s="3815"/>
      <c r="T3" s="3815"/>
      <c r="U3" s="3815"/>
      <c r="V3" s="3815"/>
      <c r="W3" s="3815"/>
      <c r="X3" s="3815"/>
      <c r="Y3" s="3815"/>
      <c r="Z3" s="3815"/>
    </row>
    <row r="4" spans="1:26" ht="19.95" customHeight="1" thickTop="1" x14ac:dyDescent="0.3">
      <c r="A4" s="3928" t="s">
        <v>2152</v>
      </c>
      <c r="B4" s="3929"/>
      <c r="C4" s="3929"/>
      <c r="D4" s="3929"/>
      <c r="E4" s="3929"/>
      <c r="F4" s="3929"/>
      <c r="G4" s="3929"/>
      <c r="H4" s="3929"/>
      <c r="I4" s="3929"/>
      <c r="J4" s="3929"/>
      <c r="K4" s="3929"/>
      <c r="L4" s="3929"/>
      <c r="M4" s="3929"/>
      <c r="N4" s="3929"/>
      <c r="O4" s="3930"/>
      <c r="P4" s="3930"/>
      <c r="Q4" s="3902"/>
      <c r="R4" s="3902"/>
      <c r="S4" s="3902"/>
      <c r="T4" s="3902"/>
      <c r="U4" s="3902"/>
      <c r="V4" s="3902"/>
      <c r="W4" s="3902"/>
      <c r="X4" s="3902"/>
      <c r="Y4" s="3902"/>
      <c r="Z4" s="3903"/>
    </row>
    <row r="5" spans="1:26" ht="22.05" customHeight="1" x14ac:dyDescent="0.3">
      <c r="A5" s="1760" t="s">
        <v>2016</v>
      </c>
      <c r="B5" s="1761" t="s">
        <v>2153</v>
      </c>
      <c r="C5" s="1761" t="s">
        <v>495</v>
      </c>
      <c r="D5" s="1761" t="s">
        <v>2154</v>
      </c>
      <c r="E5" s="1761" t="s">
        <v>1815</v>
      </c>
      <c r="F5" s="1761">
        <v>0.11169999999999999</v>
      </c>
      <c r="G5" s="1761">
        <v>1.5</v>
      </c>
      <c r="H5" s="1761">
        <v>1</v>
      </c>
      <c r="I5" s="1761">
        <v>1</v>
      </c>
      <c r="J5" s="1761">
        <v>0.85</v>
      </c>
      <c r="K5" s="1761">
        <v>1</v>
      </c>
      <c r="L5" s="1761" t="s">
        <v>2155</v>
      </c>
      <c r="M5" s="1761">
        <v>1.28</v>
      </c>
      <c r="N5" s="1761">
        <v>1</v>
      </c>
      <c r="O5" s="1735">
        <v>127.5</v>
      </c>
      <c r="P5" s="1736" t="s">
        <v>2156</v>
      </c>
      <c r="Q5" s="234"/>
      <c r="R5" s="235"/>
      <c r="S5" s="235"/>
      <c r="T5" s="235"/>
      <c r="U5" s="235"/>
      <c r="V5" s="235"/>
      <c r="W5" s="235"/>
      <c r="X5" s="235"/>
      <c r="Y5" s="235"/>
      <c r="Z5" s="236"/>
    </row>
    <row r="6" spans="1:26" s="11" customFormat="1" ht="37.950000000000003" customHeight="1" x14ac:dyDescent="0.3">
      <c r="A6" s="1723" t="s">
        <v>2016</v>
      </c>
      <c r="B6" s="1724"/>
      <c r="C6" s="1724" t="s">
        <v>502</v>
      </c>
      <c r="D6" s="1724" t="s">
        <v>2157</v>
      </c>
      <c r="E6" s="1724" t="s">
        <v>1815</v>
      </c>
      <c r="F6" s="1725">
        <v>2.2000000000000001E-3</v>
      </c>
      <c r="G6" s="1725">
        <v>1.5</v>
      </c>
      <c r="H6" s="1725">
        <v>1</v>
      </c>
      <c r="I6" s="1725">
        <v>1</v>
      </c>
      <c r="J6" s="1725">
        <v>0.25</v>
      </c>
      <c r="K6" s="1725">
        <v>1</v>
      </c>
      <c r="L6" s="1724" t="s">
        <v>2155</v>
      </c>
      <c r="M6" s="1725">
        <v>0.38</v>
      </c>
      <c r="N6" s="1725">
        <v>1</v>
      </c>
      <c r="O6" s="1737">
        <v>37.5</v>
      </c>
      <c r="P6" s="1738" t="s">
        <v>2158</v>
      </c>
      <c r="Q6" s="237"/>
      <c r="R6" s="238"/>
      <c r="S6" s="238"/>
      <c r="T6" s="238"/>
      <c r="U6" s="238"/>
      <c r="V6" s="238"/>
      <c r="W6" s="238"/>
      <c r="X6" s="238"/>
      <c r="Y6" s="238"/>
      <c r="Z6" s="239"/>
    </row>
    <row r="7" spans="1:26" s="11" customFormat="1" ht="37.950000000000003" customHeight="1" x14ac:dyDescent="0.3">
      <c r="A7" s="1660" t="s">
        <v>2013</v>
      </c>
      <c r="B7" s="1564" t="s">
        <v>2159</v>
      </c>
      <c r="C7" s="1564" t="s">
        <v>509</v>
      </c>
      <c r="D7" s="1564" t="s">
        <v>2160</v>
      </c>
      <c r="E7" s="1564" t="s">
        <v>1815</v>
      </c>
      <c r="F7" s="1570">
        <v>0.2306</v>
      </c>
      <c r="G7" s="1570">
        <v>1.5</v>
      </c>
      <c r="H7" s="1570">
        <v>1</v>
      </c>
      <c r="I7" s="1570">
        <v>1</v>
      </c>
      <c r="J7" s="1570">
        <v>0.75</v>
      </c>
      <c r="K7" s="1570">
        <v>1</v>
      </c>
      <c r="L7" s="1564" t="s">
        <v>2155</v>
      </c>
      <c r="M7" s="1570">
        <v>1.1299999999999999</v>
      </c>
      <c r="N7" s="1570">
        <v>1</v>
      </c>
      <c r="O7" s="1737">
        <v>112.5</v>
      </c>
      <c r="P7" s="1738" t="s">
        <v>2161</v>
      </c>
      <c r="Q7" s="237"/>
      <c r="R7" s="238"/>
      <c r="S7" s="238"/>
      <c r="T7" s="238"/>
      <c r="U7" s="238"/>
      <c r="V7" s="238"/>
      <c r="W7" s="238"/>
      <c r="X7" s="238"/>
      <c r="Y7" s="238"/>
      <c r="Z7" s="239"/>
    </row>
    <row r="8" spans="1:26" s="11" customFormat="1" ht="37.950000000000003" customHeight="1" x14ac:dyDescent="0.3">
      <c r="A8" s="1659" t="s">
        <v>2013</v>
      </c>
      <c r="B8" s="1573"/>
      <c r="C8" s="1573" t="s">
        <v>546</v>
      </c>
      <c r="D8" s="1573" t="s">
        <v>2162</v>
      </c>
      <c r="E8" s="1573" t="s">
        <v>1815</v>
      </c>
      <c r="F8" s="1579">
        <v>5.4100000000000002E-2</v>
      </c>
      <c r="G8" s="1579">
        <v>1</v>
      </c>
      <c r="H8" s="1579">
        <v>1</v>
      </c>
      <c r="I8" s="1579">
        <v>1</v>
      </c>
      <c r="J8" s="1579">
        <v>0.9</v>
      </c>
      <c r="K8" s="1579">
        <v>1</v>
      </c>
      <c r="L8" s="1573" t="s">
        <v>2155</v>
      </c>
      <c r="M8" s="1579">
        <v>0.9</v>
      </c>
      <c r="N8" s="1579">
        <v>1</v>
      </c>
      <c r="O8" s="1737">
        <v>90</v>
      </c>
      <c r="P8" s="1738" t="s">
        <v>2163</v>
      </c>
      <c r="Q8" s="237"/>
      <c r="R8" s="238"/>
      <c r="S8" s="238"/>
      <c r="T8" s="238"/>
      <c r="U8" s="238"/>
      <c r="V8" s="238"/>
      <c r="W8" s="238"/>
      <c r="X8" s="238"/>
      <c r="Y8" s="238"/>
      <c r="Z8" s="239"/>
    </row>
    <row r="9" spans="1:26" s="11" customFormat="1" ht="37.950000000000003" customHeight="1" x14ac:dyDescent="0.3">
      <c r="A9" s="1660" t="s">
        <v>2013</v>
      </c>
      <c r="B9" s="1564"/>
      <c r="C9" s="1564" t="s">
        <v>531</v>
      </c>
      <c r="D9" s="1564" t="s">
        <v>2164</v>
      </c>
      <c r="E9" s="1564" t="s">
        <v>1815</v>
      </c>
      <c r="F9" s="1570">
        <v>2.0199999999999999E-2</v>
      </c>
      <c r="G9" s="1570">
        <v>1</v>
      </c>
      <c r="H9" s="1570">
        <v>1</v>
      </c>
      <c r="I9" s="1570">
        <v>1</v>
      </c>
      <c r="J9" s="1570">
        <v>0.5</v>
      </c>
      <c r="K9" s="1570">
        <v>1</v>
      </c>
      <c r="L9" s="1564" t="s">
        <v>2155</v>
      </c>
      <c r="M9" s="1570">
        <v>0.5</v>
      </c>
      <c r="N9" s="1570">
        <v>1</v>
      </c>
      <c r="O9" s="1737">
        <v>50</v>
      </c>
      <c r="P9" s="1738" t="s">
        <v>2165</v>
      </c>
      <c r="Q9" s="237"/>
      <c r="R9" s="238"/>
      <c r="S9" s="238"/>
      <c r="T9" s="238"/>
      <c r="U9" s="238"/>
      <c r="V9" s="238"/>
      <c r="W9" s="238"/>
      <c r="X9" s="238"/>
      <c r="Y9" s="238"/>
      <c r="Z9" s="239"/>
    </row>
    <row r="10" spans="1:26" s="11" customFormat="1" ht="37.950000000000003" customHeight="1" x14ac:dyDescent="0.3">
      <c r="A10" s="1659" t="s">
        <v>2013</v>
      </c>
      <c r="B10" s="1573"/>
      <c r="C10" s="1573" t="s">
        <v>553</v>
      </c>
      <c r="D10" s="1573" t="s">
        <v>2166</v>
      </c>
      <c r="E10" s="1573" t="s">
        <v>1815</v>
      </c>
      <c r="F10" s="1579">
        <v>1.0800000000000001E-2</v>
      </c>
      <c r="G10" s="1579">
        <v>1</v>
      </c>
      <c r="H10" s="1579">
        <v>1</v>
      </c>
      <c r="I10" s="1579">
        <v>1</v>
      </c>
      <c r="J10" s="1579">
        <v>1</v>
      </c>
      <c r="K10" s="1579">
        <v>1</v>
      </c>
      <c r="L10" s="1573" t="s">
        <v>2155</v>
      </c>
      <c r="M10" s="1579">
        <v>1</v>
      </c>
      <c r="N10" s="1579">
        <v>1</v>
      </c>
      <c r="O10" s="1737">
        <v>100</v>
      </c>
      <c r="P10" s="1738" t="s">
        <v>2167</v>
      </c>
      <c r="Q10" s="237"/>
      <c r="R10" s="238"/>
      <c r="S10" s="238"/>
      <c r="T10" s="238"/>
      <c r="U10" s="238"/>
      <c r="V10" s="238"/>
      <c r="W10" s="238"/>
      <c r="X10" s="238"/>
      <c r="Y10" s="238"/>
      <c r="Z10" s="239"/>
    </row>
    <row r="11" spans="1:26" s="11" customFormat="1" ht="37.950000000000003" customHeight="1" x14ac:dyDescent="0.3">
      <c r="A11" s="1660" t="s">
        <v>2013</v>
      </c>
      <c r="B11" s="1564"/>
      <c r="C11" s="1564" t="s">
        <v>740</v>
      </c>
      <c r="D11" s="1564" t="s">
        <v>2168</v>
      </c>
      <c r="E11" s="1564" t="s">
        <v>1815</v>
      </c>
      <c r="F11" s="1570">
        <v>4.0000000000000001E-3</v>
      </c>
      <c r="G11" s="1570">
        <v>0.5</v>
      </c>
      <c r="H11" s="1570">
        <v>1</v>
      </c>
      <c r="I11" s="1570">
        <v>1</v>
      </c>
      <c r="J11" s="1570">
        <v>1</v>
      </c>
      <c r="K11" s="1570">
        <v>1</v>
      </c>
      <c r="L11" s="1564" t="s">
        <v>2155</v>
      </c>
      <c r="M11" s="1570">
        <v>0.5</v>
      </c>
      <c r="N11" s="1570">
        <v>1</v>
      </c>
      <c r="O11" s="1737">
        <v>50</v>
      </c>
      <c r="P11" s="1738" t="s">
        <v>2169</v>
      </c>
      <c r="Q11" s="237"/>
      <c r="R11" s="238"/>
      <c r="S11" s="238"/>
      <c r="T11" s="238"/>
      <c r="U11" s="238"/>
      <c r="V11" s="238"/>
      <c r="W11" s="238"/>
      <c r="X11" s="238"/>
      <c r="Y11" s="238"/>
      <c r="Z11" s="239"/>
    </row>
    <row r="12" spans="1:26" s="11" customFormat="1" ht="37.950000000000003" customHeight="1" x14ac:dyDescent="0.3">
      <c r="A12" s="1659" t="s">
        <v>2008</v>
      </c>
      <c r="B12" s="1573" t="s">
        <v>2170</v>
      </c>
      <c r="C12" s="1573" t="s">
        <v>715</v>
      </c>
      <c r="D12" s="1573" t="s">
        <v>2171</v>
      </c>
      <c r="E12" s="1573" t="s">
        <v>1815</v>
      </c>
      <c r="F12" s="1579">
        <v>0.1333</v>
      </c>
      <c r="G12" s="1579">
        <v>1</v>
      </c>
      <c r="H12" s="1579">
        <v>1</v>
      </c>
      <c r="I12" s="1579">
        <v>0</v>
      </c>
      <c r="J12" s="1579">
        <v>0.2</v>
      </c>
      <c r="K12" s="1579">
        <v>1</v>
      </c>
      <c r="L12" s="1573" t="s">
        <v>2172</v>
      </c>
      <c r="M12" s="1579">
        <v>0.2</v>
      </c>
      <c r="N12" s="1579">
        <v>1</v>
      </c>
      <c r="O12" s="1737">
        <v>20</v>
      </c>
      <c r="P12" s="1738" t="s">
        <v>2173</v>
      </c>
      <c r="Q12" s="237"/>
      <c r="R12" s="238"/>
      <c r="S12" s="238"/>
      <c r="T12" s="238"/>
      <c r="U12" s="238"/>
      <c r="V12" s="238"/>
      <c r="W12" s="238"/>
      <c r="X12" s="238"/>
      <c r="Y12" s="238"/>
      <c r="Z12" s="239"/>
    </row>
    <row r="13" spans="1:26" s="11" customFormat="1" ht="37.950000000000003" customHeight="1" x14ac:dyDescent="0.3">
      <c r="A13" s="1661" t="s">
        <v>2046</v>
      </c>
      <c r="B13" s="1662" t="s">
        <v>2174</v>
      </c>
      <c r="C13" s="1662" t="s">
        <v>57</v>
      </c>
      <c r="D13" s="1662" t="s">
        <v>2175</v>
      </c>
      <c r="E13" s="1662" t="s">
        <v>1815</v>
      </c>
      <c r="F13" s="1663">
        <v>6.8500000000000005E-2</v>
      </c>
      <c r="G13" s="1663">
        <v>1</v>
      </c>
      <c r="H13" s="1663">
        <v>0</v>
      </c>
      <c r="I13" s="1663">
        <v>0</v>
      </c>
      <c r="J13" s="1663">
        <v>0</v>
      </c>
      <c r="K13" s="1663">
        <v>0</v>
      </c>
      <c r="L13" s="1662" t="s">
        <v>2176</v>
      </c>
      <c r="M13" s="1663">
        <v>0</v>
      </c>
      <c r="N13" s="1663">
        <v>1</v>
      </c>
      <c r="O13" s="1739">
        <v>0</v>
      </c>
      <c r="P13" s="1740" t="s">
        <v>2177</v>
      </c>
      <c r="Q13" s="237"/>
      <c r="R13" s="238"/>
      <c r="S13" s="238"/>
      <c r="T13" s="238"/>
      <c r="U13" s="238"/>
      <c r="V13" s="238"/>
      <c r="W13" s="238"/>
      <c r="X13" s="238"/>
      <c r="Y13" s="238"/>
      <c r="Z13" s="239"/>
    </row>
    <row r="14" spans="1:26" s="11" customFormat="1" ht="37.950000000000003" customHeight="1" x14ac:dyDescent="0.3">
      <c r="A14" s="1659" t="s">
        <v>2018</v>
      </c>
      <c r="B14" s="1573" t="s">
        <v>2019</v>
      </c>
      <c r="C14" s="1573" t="s">
        <v>721</v>
      </c>
      <c r="D14" s="1573" t="s">
        <v>2178</v>
      </c>
      <c r="E14" s="1573" t="s">
        <v>1807</v>
      </c>
      <c r="F14" s="1579">
        <v>3.2399999999999998E-2</v>
      </c>
      <c r="G14" s="1579">
        <v>1.5</v>
      </c>
      <c r="H14" s="1579">
        <v>1</v>
      </c>
      <c r="I14" s="1579">
        <v>1</v>
      </c>
      <c r="J14" s="1579">
        <v>1</v>
      </c>
      <c r="K14" s="1579">
        <v>1</v>
      </c>
      <c r="L14" s="1573" t="s">
        <v>2155</v>
      </c>
      <c r="M14" s="1579">
        <v>1.5</v>
      </c>
      <c r="N14" s="1579">
        <v>1</v>
      </c>
      <c r="O14" s="1737">
        <v>150</v>
      </c>
      <c r="P14" s="1738" t="s">
        <v>2179</v>
      </c>
      <c r="Q14" s="237"/>
      <c r="R14" s="238"/>
      <c r="S14" s="238"/>
      <c r="T14" s="238"/>
      <c r="U14" s="238"/>
      <c r="V14" s="238"/>
      <c r="W14" s="238"/>
      <c r="X14" s="238"/>
      <c r="Y14" s="238"/>
      <c r="Z14" s="239"/>
    </row>
    <row r="15" spans="1:26" s="11" customFormat="1" ht="37.950000000000003" customHeight="1" x14ac:dyDescent="0.3">
      <c r="A15" s="1660" t="s">
        <v>2035</v>
      </c>
      <c r="B15" s="1564" t="s">
        <v>94</v>
      </c>
      <c r="C15" s="1564" t="s">
        <v>43</v>
      </c>
      <c r="D15" s="1564" t="s">
        <v>2180</v>
      </c>
      <c r="E15" s="1564" t="s">
        <v>1807</v>
      </c>
      <c r="F15" s="1570">
        <v>0.20180000000000001</v>
      </c>
      <c r="G15" s="1570">
        <v>1.5</v>
      </c>
      <c r="H15" s="1570">
        <v>1</v>
      </c>
      <c r="I15" s="1570">
        <v>0</v>
      </c>
      <c r="J15" s="1570">
        <v>0.1</v>
      </c>
      <c r="K15" s="1570">
        <v>1</v>
      </c>
      <c r="L15" s="1564" t="s">
        <v>2172</v>
      </c>
      <c r="M15" s="1570">
        <v>0.15</v>
      </c>
      <c r="N15" s="1570">
        <v>0.9</v>
      </c>
      <c r="O15" s="1737">
        <v>13.5</v>
      </c>
      <c r="P15" s="1738" t="s">
        <v>2181</v>
      </c>
      <c r="Q15" s="237"/>
      <c r="R15" s="238"/>
      <c r="S15" s="238"/>
      <c r="T15" s="238"/>
      <c r="U15" s="238"/>
      <c r="V15" s="238"/>
      <c r="W15" s="238"/>
      <c r="X15" s="238"/>
      <c r="Y15" s="238"/>
      <c r="Z15" s="239"/>
    </row>
    <row r="16" spans="1:26" s="11" customFormat="1" ht="37.950000000000003" customHeight="1" x14ac:dyDescent="0.3">
      <c r="A16" s="1659" t="s">
        <v>2035</v>
      </c>
      <c r="B16" s="1573"/>
      <c r="C16" s="1573" t="s">
        <v>47</v>
      </c>
      <c r="D16" s="1573" t="s">
        <v>2182</v>
      </c>
      <c r="E16" s="1573" t="s">
        <v>1807</v>
      </c>
      <c r="F16" s="1579">
        <v>2.52E-2</v>
      </c>
      <c r="G16" s="1579">
        <v>1.5</v>
      </c>
      <c r="H16" s="1579">
        <v>1</v>
      </c>
      <c r="I16" s="1579">
        <v>0</v>
      </c>
      <c r="J16" s="1579">
        <v>0.3</v>
      </c>
      <c r="K16" s="1579">
        <v>1</v>
      </c>
      <c r="L16" s="1573" t="s">
        <v>2172</v>
      </c>
      <c r="M16" s="1579">
        <v>0.45</v>
      </c>
      <c r="N16" s="1579">
        <v>0.9</v>
      </c>
      <c r="O16" s="1737">
        <v>40.5</v>
      </c>
      <c r="P16" s="1738" t="s">
        <v>2183</v>
      </c>
      <c r="Q16" s="237"/>
      <c r="R16" s="238"/>
      <c r="S16" s="238"/>
      <c r="T16" s="238"/>
      <c r="U16" s="238"/>
      <c r="V16" s="238"/>
      <c r="W16" s="238"/>
      <c r="X16" s="238"/>
      <c r="Y16" s="238"/>
      <c r="Z16" s="239"/>
    </row>
    <row r="17" spans="1:26" s="11" customFormat="1" ht="37.950000000000003" customHeight="1" x14ac:dyDescent="0.3">
      <c r="A17" s="1661" t="s">
        <v>2035</v>
      </c>
      <c r="B17" s="1662"/>
      <c r="C17" s="1662" t="s">
        <v>53</v>
      </c>
      <c r="D17" s="1662" t="s">
        <v>2184</v>
      </c>
      <c r="E17" s="1662" t="s">
        <v>1807</v>
      </c>
      <c r="F17" s="1663">
        <v>1.2999999999999999E-2</v>
      </c>
      <c r="G17" s="1663">
        <v>1</v>
      </c>
      <c r="H17" s="1663">
        <v>0</v>
      </c>
      <c r="I17" s="1663">
        <v>0</v>
      </c>
      <c r="J17" s="1663">
        <v>0</v>
      </c>
      <c r="K17" s="1663">
        <v>0</v>
      </c>
      <c r="L17" s="1662" t="s">
        <v>2176</v>
      </c>
      <c r="M17" s="1663">
        <v>0</v>
      </c>
      <c r="N17" s="1663">
        <v>0.9</v>
      </c>
      <c r="O17" s="1739">
        <v>0</v>
      </c>
      <c r="P17" s="1740" t="s">
        <v>2185</v>
      </c>
      <c r="Q17" s="237"/>
      <c r="R17" s="238"/>
      <c r="S17" s="238"/>
      <c r="T17" s="238"/>
      <c r="U17" s="238"/>
      <c r="V17" s="238"/>
      <c r="W17" s="238"/>
      <c r="X17" s="238"/>
      <c r="Y17" s="238"/>
      <c r="Z17" s="239"/>
    </row>
    <row r="18" spans="1:26" s="11" customFormat="1" ht="37.950000000000003" customHeight="1" x14ac:dyDescent="0.3">
      <c r="A18" s="1659" t="s">
        <v>2020</v>
      </c>
      <c r="B18" s="1573" t="s">
        <v>2186</v>
      </c>
      <c r="C18" s="1573" t="s">
        <v>518</v>
      </c>
      <c r="D18" s="1573" t="s">
        <v>2187</v>
      </c>
      <c r="E18" s="1573" t="s">
        <v>1859</v>
      </c>
      <c r="F18" s="1579">
        <v>4.4699999999999997E-2</v>
      </c>
      <c r="G18" s="1579">
        <v>1.5</v>
      </c>
      <c r="H18" s="1579">
        <v>1</v>
      </c>
      <c r="I18" s="1579">
        <v>1</v>
      </c>
      <c r="J18" s="1579">
        <v>0.4</v>
      </c>
      <c r="K18" s="1579">
        <v>1</v>
      </c>
      <c r="L18" s="1573" t="s">
        <v>2155</v>
      </c>
      <c r="M18" s="1579">
        <v>0.6</v>
      </c>
      <c r="N18" s="1579">
        <v>0.9</v>
      </c>
      <c r="O18" s="1737">
        <v>54</v>
      </c>
      <c r="P18" s="1738" t="s">
        <v>2188</v>
      </c>
      <c r="Q18" s="237"/>
      <c r="R18" s="238"/>
      <c r="S18" s="238"/>
      <c r="T18" s="238"/>
      <c r="U18" s="238"/>
      <c r="V18" s="238"/>
      <c r="W18" s="238"/>
      <c r="X18" s="238"/>
      <c r="Y18" s="238"/>
      <c r="Z18" s="239"/>
    </row>
    <row r="19" spans="1:26" s="11" customFormat="1" ht="37.950000000000003" customHeight="1" x14ac:dyDescent="0.3">
      <c r="A19" s="1660" t="s">
        <v>2038</v>
      </c>
      <c r="B19" s="1564" t="s">
        <v>832</v>
      </c>
      <c r="C19" s="1564" t="s">
        <v>486</v>
      </c>
      <c r="D19" s="1564" t="s">
        <v>2189</v>
      </c>
      <c r="E19" s="1564" t="s">
        <v>1859</v>
      </c>
      <c r="F19" s="1570">
        <v>1.7999999999999999E-2</v>
      </c>
      <c r="G19" s="1570">
        <v>1.5</v>
      </c>
      <c r="H19" s="1570">
        <v>1</v>
      </c>
      <c r="I19" s="1570">
        <v>1</v>
      </c>
      <c r="J19" s="1570">
        <v>0.3</v>
      </c>
      <c r="K19" s="1570">
        <v>1</v>
      </c>
      <c r="L19" s="1564" t="s">
        <v>2155</v>
      </c>
      <c r="M19" s="1570">
        <v>0.45</v>
      </c>
      <c r="N19" s="1570">
        <v>0.9</v>
      </c>
      <c r="O19" s="1737">
        <v>40.5</v>
      </c>
      <c r="P19" s="1738" t="s">
        <v>2190</v>
      </c>
      <c r="Q19" s="237"/>
      <c r="R19" s="238"/>
      <c r="S19" s="238"/>
      <c r="T19" s="238"/>
      <c r="U19" s="238"/>
      <c r="V19" s="238"/>
      <c r="W19" s="238"/>
      <c r="X19" s="238"/>
      <c r="Y19" s="238"/>
      <c r="Z19" s="239"/>
    </row>
    <row r="20" spans="1:26" s="11" customFormat="1" ht="37.950000000000003" customHeight="1" x14ac:dyDescent="0.3">
      <c r="A20" s="1659" t="s">
        <v>2022</v>
      </c>
      <c r="B20" s="1573" t="s">
        <v>2191</v>
      </c>
      <c r="C20" s="1573" t="s">
        <v>50</v>
      </c>
      <c r="D20" s="1573" t="s">
        <v>2192</v>
      </c>
      <c r="E20" s="1573" t="s">
        <v>1807</v>
      </c>
      <c r="F20" s="1579">
        <v>8.6E-3</v>
      </c>
      <c r="G20" s="1579">
        <v>1</v>
      </c>
      <c r="H20" s="1579">
        <v>1</v>
      </c>
      <c r="I20" s="1579">
        <v>0</v>
      </c>
      <c r="J20" s="1579">
        <v>0.2</v>
      </c>
      <c r="K20" s="1579">
        <v>1</v>
      </c>
      <c r="L20" s="1573" t="s">
        <v>2172</v>
      </c>
      <c r="M20" s="1579">
        <v>0.2</v>
      </c>
      <c r="N20" s="1579">
        <v>1</v>
      </c>
      <c r="O20" s="1737">
        <v>20</v>
      </c>
      <c r="P20" s="1738" t="s">
        <v>2193</v>
      </c>
      <c r="Q20" s="237"/>
      <c r="R20" s="238"/>
      <c r="S20" s="238"/>
      <c r="T20" s="238"/>
      <c r="U20" s="238"/>
      <c r="V20" s="238"/>
      <c r="W20" s="238"/>
      <c r="X20" s="238"/>
      <c r="Y20" s="238"/>
      <c r="Z20" s="239"/>
    </row>
    <row r="21" spans="1:26" s="11" customFormat="1" ht="37.950000000000003" customHeight="1" x14ac:dyDescent="0.3">
      <c r="A21" s="1660" t="s">
        <v>2022</v>
      </c>
      <c r="B21" s="1564"/>
      <c r="C21" s="1564" t="s">
        <v>655</v>
      </c>
      <c r="D21" s="1564" t="s">
        <v>2194</v>
      </c>
      <c r="E21" s="1564" t="s">
        <v>1872</v>
      </c>
      <c r="F21" s="1570">
        <v>6.1000000000000004E-3</v>
      </c>
      <c r="G21" s="1570">
        <v>0.5</v>
      </c>
      <c r="H21" s="1570">
        <v>1</v>
      </c>
      <c r="I21" s="1570">
        <v>1</v>
      </c>
      <c r="J21" s="1570">
        <v>0.7</v>
      </c>
      <c r="K21" s="1570">
        <v>1</v>
      </c>
      <c r="L21" s="1564" t="s">
        <v>2155</v>
      </c>
      <c r="M21" s="1570">
        <v>0.35</v>
      </c>
      <c r="N21" s="1570">
        <v>1</v>
      </c>
      <c r="O21" s="1737">
        <v>35</v>
      </c>
      <c r="P21" s="1738" t="s">
        <v>2195</v>
      </c>
      <c r="Q21" s="237"/>
      <c r="R21" s="238"/>
      <c r="S21" s="238"/>
      <c r="T21" s="238"/>
      <c r="U21" s="238"/>
      <c r="V21" s="238"/>
      <c r="W21" s="238"/>
      <c r="X21" s="238"/>
      <c r="Y21" s="238"/>
      <c r="Z21" s="239"/>
    </row>
    <row r="22" spans="1:26" s="11" customFormat="1" ht="37.950000000000003" customHeight="1" x14ac:dyDescent="0.3">
      <c r="A22" s="1659" t="s">
        <v>2024</v>
      </c>
      <c r="B22" s="1573" t="s">
        <v>2196</v>
      </c>
      <c r="C22" s="1573" t="s">
        <v>642</v>
      </c>
      <c r="D22" s="1573" t="s">
        <v>2197</v>
      </c>
      <c r="E22" s="1573" t="s">
        <v>1872</v>
      </c>
      <c r="F22" s="1579">
        <v>6.7999999999999996E-3</v>
      </c>
      <c r="G22" s="1579">
        <v>0.5</v>
      </c>
      <c r="H22" s="1579">
        <v>1</v>
      </c>
      <c r="I22" s="1579">
        <v>1</v>
      </c>
      <c r="J22" s="1579">
        <v>1</v>
      </c>
      <c r="K22" s="1579">
        <v>1</v>
      </c>
      <c r="L22" s="1573" t="s">
        <v>2155</v>
      </c>
      <c r="M22" s="1579">
        <v>0.5</v>
      </c>
      <c r="N22" s="1579">
        <v>1</v>
      </c>
      <c r="O22" s="1737">
        <v>50</v>
      </c>
      <c r="P22" s="1738" t="s">
        <v>2198</v>
      </c>
      <c r="Q22" s="237"/>
      <c r="R22" s="238"/>
      <c r="S22" s="238"/>
      <c r="T22" s="238"/>
      <c r="U22" s="238"/>
      <c r="V22" s="238"/>
      <c r="W22" s="238"/>
      <c r="X22" s="238"/>
      <c r="Y22" s="238"/>
      <c r="Z22" s="239"/>
    </row>
    <row r="23" spans="1:26" s="11" customFormat="1" ht="37.950000000000003" customHeight="1" x14ac:dyDescent="0.3">
      <c r="A23" s="1664" t="s">
        <v>2041</v>
      </c>
      <c r="B23" s="1559" t="s">
        <v>2199</v>
      </c>
      <c r="C23" s="1559" t="s">
        <v>466</v>
      </c>
      <c r="D23" s="1559" t="s">
        <v>2200</v>
      </c>
      <c r="E23" s="1559" t="s">
        <v>1807</v>
      </c>
      <c r="F23" s="1561">
        <v>4.7000000000000002E-3</v>
      </c>
      <c r="G23" s="1560">
        <v>0.5</v>
      </c>
      <c r="H23" s="1560">
        <v>1</v>
      </c>
      <c r="I23" s="1561">
        <v>1</v>
      </c>
      <c r="J23" s="1561">
        <v>0.35</v>
      </c>
      <c r="K23" s="1561">
        <v>1</v>
      </c>
      <c r="L23" s="1559" t="s">
        <v>2155</v>
      </c>
      <c r="M23" s="1561">
        <v>0.18</v>
      </c>
      <c r="N23" s="1561">
        <v>0.9</v>
      </c>
      <c r="O23" s="1741">
        <v>15.8</v>
      </c>
      <c r="P23" s="1742" t="s">
        <v>2201</v>
      </c>
      <c r="Q23" s="237"/>
      <c r="R23" s="238"/>
      <c r="S23" s="238"/>
      <c r="T23" s="238"/>
      <c r="U23" s="238"/>
      <c r="V23" s="238"/>
      <c r="W23" s="238"/>
      <c r="X23" s="238"/>
      <c r="Y23" s="238"/>
      <c r="Z23" s="239"/>
    </row>
    <row r="24" spans="1:26" s="11" customFormat="1" ht="37.950000000000003" customHeight="1" x14ac:dyDescent="0.3">
      <c r="A24" s="1665" t="s">
        <v>2048</v>
      </c>
      <c r="B24" s="1587" t="s">
        <v>2051</v>
      </c>
      <c r="C24" s="1587" t="s">
        <v>458</v>
      </c>
      <c r="D24" s="1587" t="s">
        <v>2202</v>
      </c>
      <c r="E24" s="1587" t="s">
        <v>1903</v>
      </c>
      <c r="F24" s="1592">
        <v>3.2000000000000002E-3</v>
      </c>
      <c r="G24" s="1588">
        <v>0.5</v>
      </c>
      <c r="H24" s="1588">
        <v>1</v>
      </c>
      <c r="I24" s="1592">
        <v>1</v>
      </c>
      <c r="J24" s="1592">
        <v>0.3</v>
      </c>
      <c r="K24" s="1592">
        <v>1</v>
      </c>
      <c r="L24" s="1587" t="s">
        <v>2155</v>
      </c>
      <c r="M24" s="1592">
        <v>0.15</v>
      </c>
      <c r="N24" s="1592">
        <v>0.9</v>
      </c>
      <c r="O24" s="1743">
        <v>13.5</v>
      </c>
      <c r="P24" s="1744" t="s">
        <v>2203</v>
      </c>
      <c r="Q24" s="237"/>
      <c r="R24" s="238"/>
      <c r="S24" s="238"/>
      <c r="T24" s="238"/>
      <c r="U24" s="238"/>
      <c r="V24" s="238"/>
      <c r="W24" s="238"/>
      <c r="X24" s="238"/>
      <c r="Y24" s="238"/>
      <c r="Z24" s="239"/>
    </row>
    <row r="25" spans="1:26" s="11" customFormat="1" ht="37.950000000000003" customHeight="1" x14ac:dyDescent="0.3">
      <c r="A25" s="1713"/>
      <c r="B25" s="1714"/>
      <c r="C25" s="1714"/>
      <c r="D25" s="1714"/>
      <c r="E25" s="1714"/>
      <c r="F25" s="1714"/>
      <c r="G25" s="1554"/>
      <c r="H25" s="1554"/>
      <c r="I25" s="1554"/>
      <c r="J25" s="1714"/>
      <c r="K25" s="1714"/>
      <c r="L25" s="1554"/>
      <c r="M25" s="1554"/>
      <c r="N25" s="1714"/>
      <c r="O25" s="1745"/>
      <c r="P25" s="1745"/>
      <c r="Q25" s="238"/>
      <c r="R25" s="238"/>
      <c r="S25" s="238"/>
      <c r="T25" s="238"/>
      <c r="U25" s="238"/>
      <c r="V25" s="238"/>
      <c r="W25" s="238"/>
      <c r="X25" s="238"/>
      <c r="Y25" s="238"/>
      <c r="Z25" s="239"/>
    </row>
    <row r="26" spans="1:26" s="11" customFormat="1" ht="37.950000000000003" customHeight="1" x14ac:dyDescent="0.3">
      <c r="A26" s="3931" t="s">
        <v>2204</v>
      </c>
      <c r="B26" s="3932"/>
      <c r="C26" s="3932"/>
      <c r="D26" s="3932"/>
      <c r="E26" s="3932"/>
      <c r="F26" s="3932"/>
      <c r="G26" s="3932"/>
      <c r="H26" s="3932"/>
      <c r="I26" s="3932"/>
      <c r="J26" s="3932"/>
      <c r="K26" s="3932"/>
      <c r="L26" s="3932"/>
      <c r="M26" s="3932"/>
      <c r="N26" s="3932"/>
      <c r="O26" s="3933"/>
      <c r="P26" s="3933"/>
      <c r="Q26" s="3907"/>
      <c r="R26" s="3907"/>
      <c r="S26" s="3907"/>
      <c r="T26" s="3907"/>
      <c r="U26" s="3907"/>
      <c r="V26" s="3907"/>
      <c r="W26" s="3907"/>
      <c r="X26" s="3907"/>
      <c r="Y26" s="3907"/>
      <c r="Z26" s="3908"/>
    </row>
    <row r="27" spans="1:26" s="11" customFormat="1" ht="6" customHeight="1" x14ac:dyDescent="0.3">
      <c r="A27" s="1726" t="s">
        <v>2205</v>
      </c>
      <c r="B27" s="1727" t="s">
        <v>2206</v>
      </c>
      <c r="C27" s="1727" t="s">
        <v>2207</v>
      </c>
      <c r="D27" s="1727" t="s">
        <v>2208</v>
      </c>
      <c r="E27" s="1727" t="s">
        <v>2209</v>
      </c>
      <c r="F27" s="1727" t="s">
        <v>2210</v>
      </c>
      <c r="G27" s="1727" t="s">
        <v>698</v>
      </c>
      <c r="H27" s="1727" t="s">
        <v>2211</v>
      </c>
      <c r="I27" s="1727" t="s">
        <v>401</v>
      </c>
      <c r="J27" s="1727" t="s">
        <v>2075</v>
      </c>
      <c r="K27" s="1727" t="s">
        <v>2212</v>
      </c>
      <c r="L27" s="1727" t="s">
        <v>2213</v>
      </c>
      <c r="M27" s="1727" t="s">
        <v>1593</v>
      </c>
      <c r="N27" s="1727" t="s">
        <v>2214</v>
      </c>
      <c r="O27" s="1746" t="s">
        <v>2215</v>
      </c>
      <c r="P27" s="1747" t="s">
        <v>2216</v>
      </c>
      <c r="Q27" s="237"/>
      <c r="R27" s="238"/>
      <c r="S27" s="238"/>
      <c r="T27" s="238"/>
      <c r="U27" s="238"/>
      <c r="V27" s="238"/>
      <c r="W27" s="238"/>
      <c r="X27" s="238"/>
      <c r="Y27" s="238"/>
      <c r="Z27" s="239"/>
    </row>
    <row r="28" spans="1:26" s="11" customFormat="1" ht="22.05" customHeight="1" x14ac:dyDescent="0.3">
      <c r="A28" s="1721" t="s">
        <v>2018</v>
      </c>
      <c r="B28" s="1666" t="s">
        <v>2019</v>
      </c>
      <c r="C28" s="1667">
        <v>1</v>
      </c>
      <c r="D28" s="1667">
        <v>1</v>
      </c>
      <c r="E28" s="1667">
        <v>0</v>
      </c>
      <c r="F28" s="1667">
        <v>1</v>
      </c>
      <c r="G28" s="1668">
        <v>1</v>
      </c>
      <c r="H28" s="1668">
        <v>150</v>
      </c>
      <c r="I28" s="1669" t="s">
        <v>404</v>
      </c>
      <c r="J28" s="1666" t="s">
        <v>2141</v>
      </c>
      <c r="K28" s="1666" t="s">
        <v>2217</v>
      </c>
      <c r="L28" s="1666" t="s">
        <v>2218</v>
      </c>
      <c r="M28" s="1670" t="s">
        <v>2219</v>
      </c>
      <c r="N28" s="1666" t="s">
        <v>2220</v>
      </c>
      <c r="O28" s="1748" t="s">
        <v>2221</v>
      </c>
      <c r="P28" s="1738" t="s">
        <v>2222</v>
      </c>
      <c r="Q28" s="237"/>
      <c r="R28" s="238"/>
      <c r="S28" s="238"/>
      <c r="T28" s="238"/>
      <c r="U28" s="238"/>
      <c r="V28" s="238"/>
      <c r="W28" s="238"/>
      <c r="X28" s="238"/>
      <c r="Y28" s="238"/>
      <c r="Z28" s="239"/>
    </row>
    <row r="29" spans="1:26" s="11" customFormat="1" ht="37.950000000000003" customHeight="1" x14ac:dyDescent="0.3">
      <c r="A29" s="1728" t="s">
        <v>2016</v>
      </c>
      <c r="B29" s="1729" t="s">
        <v>2153</v>
      </c>
      <c r="C29" s="1730">
        <v>2</v>
      </c>
      <c r="D29" s="1730">
        <v>2</v>
      </c>
      <c r="E29" s="1730">
        <v>0</v>
      </c>
      <c r="F29" s="1730">
        <v>0.55000000000000004</v>
      </c>
      <c r="G29" s="1731">
        <v>1</v>
      </c>
      <c r="H29" s="1731">
        <v>82.5</v>
      </c>
      <c r="I29" s="1729" t="s">
        <v>413</v>
      </c>
      <c r="J29" s="1675" t="s">
        <v>2223</v>
      </c>
      <c r="K29" s="1672" t="s">
        <v>2217</v>
      </c>
      <c r="L29" s="1672" t="s">
        <v>2224</v>
      </c>
      <c r="M29" s="1676" t="s">
        <v>2219</v>
      </c>
      <c r="N29" s="1672" t="s">
        <v>2225</v>
      </c>
      <c r="O29" s="1748" t="s">
        <v>2226</v>
      </c>
      <c r="P29" s="1738" t="s">
        <v>2227</v>
      </c>
      <c r="Q29" s="237"/>
      <c r="R29" s="238"/>
      <c r="S29" s="238"/>
      <c r="T29" s="238"/>
      <c r="U29" s="238"/>
      <c r="V29" s="238"/>
      <c r="W29" s="238"/>
      <c r="X29" s="238"/>
      <c r="Y29" s="238"/>
      <c r="Z29" s="239"/>
    </row>
    <row r="30" spans="1:26" s="11" customFormat="1" ht="28.05" customHeight="1" x14ac:dyDescent="0.3">
      <c r="A30" s="1671" t="s">
        <v>2013</v>
      </c>
      <c r="B30" s="1672" t="s">
        <v>2159</v>
      </c>
      <c r="C30" s="1673">
        <v>5</v>
      </c>
      <c r="D30" s="1673">
        <v>5</v>
      </c>
      <c r="E30" s="1673">
        <v>0</v>
      </c>
      <c r="F30" s="1673">
        <v>0.83</v>
      </c>
      <c r="G30" s="1674">
        <v>1</v>
      </c>
      <c r="H30" s="1674">
        <v>80.5</v>
      </c>
      <c r="I30" s="1675" t="s">
        <v>413</v>
      </c>
      <c r="J30" s="1675" t="s">
        <v>2223</v>
      </c>
      <c r="K30" s="1672" t="s">
        <v>2217</v>
      </c>
      <c r="L30" s="1672" t="s">
        <v>2228</v>
      </c>
      <c r="M30" s="1676" t="s">
        <v>2219</v>
      </c>
      <c r="N30" s="1672" t="s">
        <v>2225</v>
      </c>
      <c r="O30" s="1748" t="s">
        <v>2229</v>
      </c>
      <c r="P30" s="1749" t="s">
        <v>2230</v>
      </c>
      <c r="Q30" s="237"/>
      <c r="R30" s="238"/>
      <c r="S30" s="238"/>
      <c r="T30" s="238"/>
      <c r="U30" s="238"/>
      <c r="V30" s="238"/>
      <c r="W30" s="238"/>
      <c r="X30" s="238"/>
      <c r="Y30" s="238"/>
      <c r="Z30" s="239"/>
    </row>
    <row r="31" spans="1:26" ht="28.05" customHeight="1" x14ac:dyDescent="0.3">
      <c r="A31" s="1677" t="s">
        <v>2020</v>
      </c>
      <c r="B31" s="1678" t="s">
        <v>2186</v>
      </c>
      <c r="C31" s="1679">
        <v>1</v>
      </c>
      <c r="D31" s="1679">
        <v>1</v>
      </c>
      <c r="E31" s="1679">
        <v>0</v>
      </c>
      <c r="F31" s="1679">
        <v>0.4</v>
      </c>
      <c r="G31" s="1680">
        <v>0.9</v>
      </c>
      <c r="H31" s="1680">
        <v>54</v>
      </c>
      <c r="I31" s="1681" t="s">
        <v>2147</v>
      </c>
      <c r="J31" s="1678" t="s">
        <v>2231</v>
      </c>
      <c r="K31" s="1678" t="s">
        <v>2217</v>
      </c>
      <c r="L31" s="1682" t="s">
        <v>2232</v>
      </c>
      <c r="M31" s="1683" t="s">
        <v>798</v>
      </c>
      <c r="N31" s="1678" t="s">
        <v>2233</v>
      </c>
      <c r="O31" s="1750" t="s">
        <v>2234</v>
      </c>
      <c r="P31" s="1751" t="s">
        <v>2235</v>
      </c>
      <c r="Q31" s="699"/>
      <c r="R31" s="242"/>
      <c r="S31" s="242"/>
      <c r="T31" s="242"/>
      <c r="U31" s="242"/>
      <c r="V31" s="242"/>
      <c r="W31" s="242"/>
      <c r="X31" s="242"/>
      <c r="Y31" s="242"/>
      <c r="Z31" s="243"/>
    </row>
    <row r="32" spans="1:26" ht="28.05" customHeight="1" x14ac:dyDescent="0.3">
      <c r="A32" s="1677" t="s">
        <v>2024</v>
      </c>
      <c r="B32" s="1678" t="s">
        <v>2196</v>
      </c>
      <c r="C32" s="1679">
        <v>1</v>
      </c>
      <c r="D32" s="1679">
        <v>1</v>
      </c>
      <c r="E32" s="1679">
        <v>0</v>
      </c>
      <c r="F32" s="1679">
        <v>1</v>
      </c>
      <c r="G32" s="1680">
        <v>1</v>
      </c>
      <c r="H32" s="1680">
        <v>50</v>
      </c>
      <c r="I32" s="1681" t="s">
        <v>2147</v>
      </c>
      <c r="J32" s="1678" t="s">
        <v>2231</v>
      </c>
      <c r="K32" s="1678" t="s">
        <v>2217</v>
      </c>
      <c r="L32" s="1684" t="s">
        <v>2236</v>
      </c>
      <c r="M32" s="1683" t="s">
        <v>2219</v>
      </c>
      <c r="N32" s="1678" t="s">
        <v>2237</v>
      </c>
      <c r="O32" s="1752">
        <v>0</v>
      </c>
      <c r="P32" s="1749" t="s">
        <v>2238</v>
      </c>
      <c r="Q32" s="699"/>
      <c r="R32" s="242"/>
      <c r="S32" s="242"/>
      <c r="T32" s="242"/>
      <c r="U32" s="242"/>
      <c r="V32" s="242"/>
      <c r="W32" s="242"/>
      <c r="X32" s="242"/>
      <c r="Y32" s="242"/>
      <c r="Z32" s="243"/>
    </row>
    <row r="33" spans="1:26" ht="28.05" customHeight="1" x14ac:dyDescent="0.3">
      <c r="A33" s="1677" t="s">
        <v>2038</v>
      </c>
      <c r="B33" s="1678" t="s">
        <v>832</v>
      </c>
      <c r="C33" s="1679">
        <v>1</v>
      </c>
      <c r="D33" s="1679">
        <v>1</v>
      </c>
      <c r="E33" s="1679">
        <v>0</v>
      </c>
      <c r="F33" s="1679">
        <v>0.3</v>
      </c>
      <c r="G33" s="1680">
        <v>0.9</v>
      </c>
      <c r="H33" s="1680">
        <v>40.5</v>
      </c>
      <c r="I33" s="1681" t="s">
        <v>2147</v>
      </c>
      <c r="J33" s="1678" t="s">
        <v>2231</v>
      </c>
      <c r="K33" s="1678" t="s">
        <v>2217</v>
      </c>
      <c r="L33" s="1684" t="s">
        <v>2239</v>
      </c>
      <c r="M33" s="1683" t="s">
        <v>797</v>
      </c>
      <c r="N33" s="1678" t="s">
        <v>2233</v>
      </c>
      <c r="O33" s="1750" t="s">
        <v>2240</v>
      </c>
      <c r="P33" s="1738" t="s">
        <v>2241</v>
      </c>
      <c r="Q33" s="699"/>
      <c r="R33" s="242"/>
      <c r="S33" s="242"/>
      <c r="T33" s="242"/>
      <c r="U33" s="242"/>
      <c r="V33" s="242"/>
      <c r="W33" s="242"/>
      <c r="X33" s="242"/>
      <c r="Y33" s="242"/>
      <c r="Z33" s="243"/>
    </row>
    <row r="34" spans="1:26" ht="28.05" customHeight="1" x14ac:dyDescent="0.3">
      <c r="A34" s="1677" t="s">
        <v>2022</v>
      </c>
      <c r="B34" s="1678" t="s">
        <v>2242</v>
      </c>
      <c r="C34" s="1679">
        <v>2</v>
      </c>
      <c r="D34" s="1679">
        <v>2</v>
      </c>
      <c r="E34" s="1679">
        <v>0</v>
      </c>
      <c r="F34" s="1679">
        <v>0.45</v>
      </c>
      <c r="G34" s="1680">
        <v>1</v>
      </c>
      <c r="H34" s="1680">
        <v>27.5</v>
      </c>
      <c r="I34" s="1681" t="s">
        <v>2147</v>
      </c>
      <c r="J34" s="1678" t="s">
        <v>2231</v>
      </c>
      <c r="K34" s="1678" t="s">
        <v>2217</v>
      </c>
      <c r="L34" s="1684" t="s">
        <v>2243</v>
      </c>
      <c r="M34" s="1685" t="s">
        <v>2244</v>
      </c>
      <c r="N34" s="1678" t="s">
        <v>2237</v>
      </c>
      <c r="O34" s="1750" t="s">
        <v>2245</v>
      </c>
      <c r="P34" s="1738" t="s">
        <v>2246</v>
      </c>
      <c r="Q34" s="699"/>
      <c r="R34" s="242"/>
      <c r="S34" s="242"/>
      <c r="T34" s="242"/>
      <c r="U34" s="242"/>
      <c r="V34" s="242"/>
      <c r="W34" s="242"/>
      <c r="X34" s="242"/>
      <c r="Y34" s="242"/>
      <c r="Z34" s="243"/>
    </row>
    <row r="35" spans="1:26" ht="28.05" customHeight="1" x14ac:dyDescent="0.3">
      <c r="A35" s="1677" t="s">
        <v>2008</v>
      </c>
      <c r="B35" s="1678" t="s">
        <v>2170</v>
      </c>
      <c r="C35" s="1679">
        <v>1</v>
      </c>
      <c r="D35" s="1679">
        <v>1</v>
      </c>
      <c r="E35" s="1679">
        <v>0</v>
      </c>
      <c r="F35" s="1679">
        <v>0.2</v>
      </c>
      <c r="G35" s="1680">
        <v>1</v>
      </c>
      <c r="H35" s="1680">
        <v>20</v>
      </c>
      <c r="I35" s="1681" t="s">
        <v>2147</v>
      </c>
      <c r="J35" s="1678" t="s">
        <v>2231</v>
      </c>
      <c r="K35" s="1678" t="s">
        <v>2217</v>
      </c>
      <c r="L35" s="1684" t="s">
        <v>2247</v>
      </c>
      <c r="M35" s="1685" t="s">
        <v>2244</v>
      </c>
      <c r="N35" s="1678" t="s">
        <v>2225</v>
      </c>
      <c r="O35" s="1750" t="s">
        <v>2248</v>
      </c>
      <c r="P35" s="1738" t="s">
        <v>2249</v>
      </c>
      <c r="Q35" s="699"/>
      <c r="R35" s="242"/>
      <c r="S35" s="242"/>
      <c r="T35" s="242"/>
      <c r="U35" s="242"/>
      <c r="V35" s="242"/>
      <c r="W35" s="242"/>
      <c r="X35" s="242"/>
      <c r="Y35" s="242"/>
      <c r="Z35" s="243"/>
    </row>
    <row r="36" spans="1:26" ht="28.05" customHeight="1" x14ac:dyDescent="0.3">
      <c r="A36" s="1677" t="s">
        <v>2035</v>
      </c>
      <c r="B36" s="1678" t="s">
        <v>94</v>
      </c>
      <c r="C36" s="1679">
        <v>3</v>
      </c>
      <c r="D36" s="1679">
        <v>2</v>
      </c>
      <c r="E36" s="1679">
        <v>1</v>
      </c>
      <c r="F36" s="1679">
        <v>0.13</v>
      </c>
      <c r="G36" s="1680">
        <v>0.9</v>
      </c>
      <c r="H36" s="1680">
        <v>18</v>
      </c>
      <c r="I36" s="1681" t="s">
        <v>2147</v>
      </c>
      <c r="J36" s="1678" t="s">
        <v>2231</v>
      </c>
      <c r="K36" s="1678" t="s">
        <v>2217</v>
      </c>
      <c r="L36" s="1686" t="s">
        <v>2250</v>
      </c>
      <c r="M36" s="1685" t="s">
        <v>2244</v>
      </c>
      <c r="N36" s="1678" t="s">
        <v>2220</v>
      </c>
      <c r="O36" s="1750" t="s">
        <v>2251</v>
      </c>
      <c r="P36" s="1749" t="s">
        <v>2252</v>
      </c>
      <c r="Q36" s="699"/>
      <c r="R36" s="242"/>
      <c r="S36" s="242"/>
      <c r="T36" s="242"/>
      <c r="U36" s="242"/>
      <c r="V36" s="242"/>
      <c r="W36" s="242"/>
      <c r="X36" s="242"/>
      <c r="Y36" s="242"/>
      <c r="Z36" s="243"/>
    </row>
    <row r="37" spans="1:26" ht="28.05" customHeight="1" x14ac:dyDescent="0.3">
      <c r="A37" s="1677" t="s">
        <v>2041</v>
      </c>
      <c r="B37" s="1678" t="s">
        <v>2253</v>
      </c>
      <c r="C37" s="1679">
        <v>1</v>
      </c>
      <c r="D37" s="1679">
        <v>1</v>
      </c>
      <c r="E37" s="1679">
        <v>0</v>
      </c>
      <c r="F37" s="1679">
        <v>0.35</v>
      </c>
      <c r="G37" s="1680">
        <v>0.9</v>
      </c>
      <c r="H37" s="1680">
        <v>15.8</v>
      </c>
      <c r="I37" s="1681" t="s">
        <v>2147</v>
      </c>
      <c r="J37" s="1678" t="s">
        <v>2231</v>
      </c>
      <c r="K37" s="1678" t="s">
        <v>2217</v>
      </c>
      <c r="L37" s="1678" t="s">
        <v>2254</v>
      </c>
      <c r="M37" s="1683" t="s">
        <v>797</v>
      </c>
      <c r="N37" s="1678" t="s">
        <v>2220</v>
      </c>
      <c r="O37" s="1750" t="s">
        <v>2255</v>
      </c>
      <c r="P37" s="1738" t="s">
        <v>2256</v>
      </c>
      <c r="Q37" s="699"/>
      <c r="R37" s="242"/>
      <c r="S37" s="242"/>
      <c r="T37" s="242"/>
      <c r="U37" s="242"/>
      <c r="V37" s="242"/>
      <c r="W37" s="242"/>
      <c r="X37" s="242"/>
      <c r="Y37" s="242"/>
      <c r="Z37" s="243"/>
    </row>
    <row r="38" spans="1:26" ht="28.05" customHeight="1" x14ac:dyDescent="0.3">
      <c r="A38" s="1687" t="s">
        <v>2048</v>
      </c>
      <c r="B38" s="1688" t="s">
        <v>2051</v>
      </c>
      <c r="C38" s="1689">
        <v>1</v>
      </c>
      <c r="D38" s="1689">
        <v>1</v>
      </c>
      <c r="E38" s="1689">
        <v>0</v>
      </c>
      <c r="F38" s="1689">
        <v>0.3</v>
      </c>
      <c r="G38" s="1690">
        <v>0.9</v>
      </c>
      <c r="H38" s="1691">
        <v>13.5</v>
      </c>
      <c r="I38" s="1692" t="s">
        <v>2147</v>
      </c>
      <c r="J38" s="1688" t="s">
        <v>2231</v>
      </c>
      <c r="K38" s="1688" t="s">
        <v>2217</v>
      </c>
      <c r="L38" s="1693" t="s">
        <v>2257</v>
      </c>
      <c r="M38" s="1694" t="s">
        <v>797</v>
      </c>
      <c r="N38" s="1688" t="s">
        <v>2258</v>
      </c>
      <c r="O38" s="1753" t="s">
        <v>2259</v>
      </c>
      <c r="P38" s="1742" t="s">
        <v>2260</v>
      </c>
      <c r="Q38" s="699"/>
      <c r="R38" s="242"/>
      <c r="S38" s="242"/>
      <c r="T38" s="242"/>
      <c r="U38" s="242"/>
      <c r="V38" s="242"/>
      <c r="W38" s="242"/>
      <c r="X38" s="242"/>
      <c r="Y38" s="242"/>
      <c r="Z38" s="243"/>
    </row>
    <row r="39" spans="1:26" ht="28.05" customHeight="1" x14ac:dyDescent="0.3">
      <c r="A39" s="1695" t="s">
        <v>2046</v>
      </c>
      <c r="B39" s="1696" t="s">
        <v>2174</v>
      </c>
      <c r="C39" s="1697">
        <v>1</v>
      </c>
      <c r="D39" s="1697">
        <v>0</v>
      </c>
      <c r="E39" s="1697">
        <v>1</v>
      </c>
      <c r="F39" s="1697">
        <v>0</v>
      </c>
      <c r="G39" s="1698">
        <v>1</v>
      </c>
      <c r="H39" s="1699">
        <v>0</v>
      </c>
      <c r="I39" s="1700" t="s">
        <v>2147</v>
      </c>
      <c r="J39" s="1696" t="s">
        <v>2231</v>
      </c>
      <c r="K39" s="1696" t="s">
        <v>2217</v>
      </c>
      <c r="L39" s="1701" t="s">
        <v>2261</v>
      </c>
      <c r="M39" s="1702" t="s">
        <v>2244</v>
      </c>
      <c r="N39" s="1696" t="s">
        <v>2225</v>
      </c>
      <c r="O39" s="1754" t="s">
        <v>2262</v>
      </c>
      <c r="P39" s="1755" t="s">
        <v>2263</v>
      </c>
      <c r="Q39" s="699"/>
      <c r="R39" s="242"/>
      <c r="S39" s="242"/>
      <c r="T39" s="242"/>
      <c r="U39" s="242"/>
      <c r="V39" s="242"/>
      <c r="W39" s="242"/>
      <c r="X39" s="242"/>
      <c r="Y39" s="242"/>
      <c r="Z39" s="243"/>
    </row>
    <row r="40" spans="1:26" ht="28.05" customHeight="1" x14ac:dyDescent="0.3">
      <c r="A40" s="1758"/>
      <c r="B40" s="1715"/>
      <c r="C40" s="1715"/>
      <c r="D40" s="1715"/>
      <c r="E40" s="1715"/>
      <c r="F40" s="1715"/>
      <c r="G40" s="1715"/>
      <c r="H40" s="1715"/>
      <c r="I40" s="1715"/>
      <c r="J40" s="1715"/>
      <c r="K40" s="1715"/>
      <c r="L40" s="1715"/>
      <c r="M40" s="1715"/>
      <c r="N40" s="1715"/>
      <c r="O40" s="1756"/>
      <c r="P40" s="1756"/>
      <c r="Q40" s="242"/>
      <c r="R40" s="242"/>
      <c r="S40" s="242"/>
      <c r="T40" s="242"/>
      <c r="U40" s="242"/>
      <c r="V40" s="242"/>
      <c r="W40" s="242"/>
      <c r="X40" s="242"/>
      <c r="Y40" s="242"/>
      <c r="Z40" s="243"/>
    </row>
    <row r="41" spans="1:26" ht="28.05" customHeight="1" x14ac:dyDescent="0.3">
      <c r="A41" s="3934" t="s">
        <v>2264</v>
      </c>
      <c r="B41" s="3935"/>
      <c r="C41" s="3935"/>
      <c r="D41" s="3935"/>
      <c r="E41" s="3935"/>
      <c r="F41" s="3935"/>
      <c r="G41" s="3935"/>
      <c r="H41" s="3935"/>
      <c r="I41" s="3507"/>
      <c r="J41" s="3507"/>
      <c r="K41" s="3507"/>
      <c r="L41" s="3507"/>
      <c r="M41" s="3507"/>
      <c r="N41" s="3507"/>
      <c r="O41" s="3907"/>
      <c r="P41" s="3907"/>
      <c r="Q41" s="3907"/>
      <c r="R41" s="3907"/>
      <c r="S41" s="3907"/>
      <c r="T41" s="3907"/>
      <c r="U41" s="3907"/>
      <c r="V41" s="3907"/>
      <c r="W41" s="3907"/>
      <c r="X41" s="3907"/>
      <c r="Y41" s="3907"/>
      <c r="Z41" s="3908"/>
    </row>
    <row r="42" spans="1:26" ht="6" customHeight="1" x14ac:dyDescent="0.3">
      <c r="A42" s="1703" t="s">
        <v>2265</v>
      </c>
      <c r="B42" s="1704" t="s">
        <v>404</v>
      </c>
      <c r="C42" s="3915" t="s">
        <v>2266</v>
      </c>
      <c r="D42" s="3916"/>
      <c r="E42" s="3916"/>
      <c r="F42" s="3916"/>
      <c r="G42" s="3916"/>
      <c r="H42" s="3917"/>
      <c r="I42" s="1716" t="s">
        <v>2142</v>
      </c>
      <c r="J42" s="1107"/>
      <c r="K42" s="1107"/>
      <c r="L42" s="1107"/>
      <c r="M42" s="1107"/>
      <c r="N42" s="1107"/>
      <c r="O42" s="273"/>
      <c r="P42" s="273"/>
      <c r="Q42" s="242"/>
      <c r="R42" s="242"/>
      <c r="S42" s="242"/>
      <c r="T42" s="242"/>
      <c r="U42" s="242"/>
      <c r="V42" s="242"/>
      <c r="W42" s="242"/>
      <c r="X42" s="242"/>
      <c r="Y42" s="242"/>
      <c r="Z42" s="243"/>
    </row>
    <row r="43" spans="1:26" ht="22.05" customHeight="1" x14ac:dyDescent="0.3">
      <c r="A43" s="1722" t="s">
        <v>2267</v>
      </c>
      <c r="B43" s="1706" t="s">
        <v>409</v>
      </c>
      <c r="C43" s="3923" t="s">
        <v>2268</v>
      </c>
      <c r="D43" s="3924"/>
      <c r="E43" s="3924"/>
      <c r="F43" s="3924"/>
      <c r="G43" s="3924"/>
      <c r="H43" s="3925"/>
      <c r="I43" s="1717" t="s">
        <v>237</v>
      </c>
      <c r="J43" s="1116"/>
      <c r="K43" s="1116"/>
      <c r="L43" s="1116"/>
      <c r="M43" s="1116"/>
      <c r="N43" s="1116"/>
      <c r="O43" s="273"/>
      <c r="P43" s="273"/>
      <c r="Q43" s="242"/>
      <c r="R43" s="242"/>
      <c r="S43" s="242"/>
      <c r="T43" s="242"/>
      <c r="U43" s="242"/>
      <c r="V43" s="242"/>
      <c r="W43" s="242"/>
      <c r="X43" s="242"/>
      <c r="Y43" s="242"/>
      <c r="Z43" s="243"/>
    </row>
    <row r="44" spans="1:26" ht="37.950000000000003" customHeight="1" x14ac:dyDescent="0.3">
      <c r="A44" s="1732" t="s">
        <v>2269</v>
      </c>
      <c r="B44" s="1733" t="s">
        <v>413</v>
      </c>
      <c r="C44" s="3918" t="s">
        <v>2270</v>
      </c>
      <c r="D44" s="3918"/>
      <c r="E44" s="3918"/>
      <c r="F44" s="3918"/>
      <c r="G44" s="3918"/>
      <c r="H44" s="3919"/>
      <c r="I44" s="1716" t="s">
        <v>2145</v>
      </c>
      <c r="J44" s="1107"/>
      <c r="K44" s="1107"/>
      <c r="L44" s="1107"/>
      <c r="M44" s="1107"/>
      <c r="N44" s="1107"/>
      <c r="O44" s="273"/>
      <c r="P44" s="273"/>
      <c r="Q44" s="242"/>
      <c r="R44" s="242"/>
      <c r="S44" s="242"/>
      <c r="T44" s="242"/>
      <c r="U44" s="242"/>
      <c r="V44" s="242"/>
      <c r="W44" s="242"/>
      <c r="X44" s="242"/>
      <c r="Y44" s="242"/>
      <c r="Z44" s="243"/>
    </row>
    <row r="45" spans="1:26" ht="37.950000000000003" customHeight="1" x14ac:dyDescent="0.3">
      <c r="A45" s="1707" t="s">
        <v>2271</v>
      </c>
      <c r="B45" s="1708" t="s">
        <v>417</v>
      </c>
      <c r="C45" s="3920" t="s">
        <v>2272</v>
      </c>
      <c r="D45" s="3921"/>
      <c r="E45" s="3921"/>
      <c r="F45" s="3921"/>
      <c r="G45" s="3921"/>
      <c r="H45" s="3922"/>
      <c r="I45" s="1717" t="s">
        <v>237</v>
      </c>
      <c r="J45" s="1116"/>
      <c r="K45" s="1116"/>
      <c r="L45" s="1116"/>
      <c r="M45" s="1116"/>
      <c r="N45" s="1116"/>
      <c r="O45" s="273"/>
      <c r="P45" s="273"/>
      <c r="Q45" s="242"/>
      <c r="R45" s="242"/>
      <c r="S45" s="242"/>
      <c r="T45" s="242"/>
      <c r="U45" s="242"/>
      <c r="V45" s="242"/>
      <c r="W45" s="242"/>
      <c r="X45" s="242"/>
      <c r="Y45" s="242"/>
      <c r="Z45" s="243"/>
    </row>
    <row r="46" spans="1:26" ht="37.950000000000003" customHeight="1" x14ac:dyDescent="0.3">
      <c r="A46" s="1709" t="s">
        <v>2273</v>
      </c>
      <c r="B46" s="1710" t="s">
        <v>2147</v>
      </c>
      <c r="C46" s="3909" t="s">
        <v>2274</v>
      </c>
      <c r="D46" s="3910"/>
      <c r="E46" s="3910"/>
      <c r="F46" s="3910"/>
      <c r="G46" s="3910"/>
      <c r="H46" s="3911"/>
      <c r="I46" s="1716" t="s">
        <v>218</v>
      </c>
      <c r="J46" s="1107"/>
      <c r="K46" s="1107"/>
      <c r="L46" s="1107"/>
      <c r="M46" s="1107"/>
      <c r="N46" s="1107"/>
      <c r="O46" s="273"/>
      <c r="P46" s="273"/>
      <c r="Q46" s="242"/>
      <c r="R46" s="242"/>
      <c r="S46" s="242"/>
      <c r="T46" s="242"/>
      <c r="U46" s="242"/>
      <c r="V46" s="242"/>
      <c r="W46" s="242"/>
      <c r="X46" s="242"/>
      <c r="Y46" s="242"/>
      <c r="Z46" s="243"/>
    </row>
    <row r="47" spans="1:26" ht="37.950000000000003" customHeight="1" x14ac:dyDescent="0.3">
      <c r="A47" s="1711" t="s">
        <v>2275</v>
      </c>
      <c r="B47" s="1712" t="s">
        <v>2276</v>
      </c>
      <c r="C47" s="3912" t="s">
        <v>2277</v>
      </c>
      <c r="D47" s="3913"/>
      <c r="E47" s="3913"/>
      <c r="F47" s="3913"/>
      <c r="G47" s="3913"/>
      <c r="H47" s="3914"/>
      <c r="I47" s="1718" t="s">
        <v>2278</v>
      </c>
      <c r="J47" s="1719"/>
      <c r="K47" s="1719"/>
      <c r="L47" s="1719"/>
      <c r="M47" s="1719"/>
      <c r="N47" s="1719"/>
      <c r="O47" s="274"/>
      <c r="P47" s="274"/>
      <c r="Q47" s="246"/>
      <c r="R47" s="246"/>
      <c r="S47" s="246"/>
      <c r="T47" s="246"/>
      <c r="U47" s="246"/>
      <c r="V47" s="246"/>
      <c r="W47" s="246"/>
      <c r="X47" s="246"/>
      <c r="Y47" s="246"/>
      <c r="Z47" s="247"/>
    </row>
    <row r="48" spans="1:26" ht="22.05" customHeight="1" x14ac:dyDescent="0.3">
      <c r="A48" s="528"/>
      <c r="B48" s="1252"/>
      <c r="C48" s="1252"/>
      <c r="D48" s="1252"/>
      <c r="E48" s="1252"/>
      <c r="F48" s="1252"/>
      <c r="G48" s="1252"/>
      <c r="H48" s="1252"/>
      <c r="I48" s="1252"/>
      <c r="J48" s="1252"/>
      <c r="K48" s="1252"/>
      <c r="L48" s="1252"/>
      <c r="M48" s="1252"/>
      <c r="N48" s="1252"/>
      <c r="O48" s="1757"/>
      <c r="P48" s="1757"/>
      <c r="Q48" s="1757"/>
      <c r="R48" s="1757"/>
      <c r="S48" s="1757"/>
      <c r="T48" s="1757"/>
      <c r="U48" s="1757"/>
      <c r="V48" s="1757"/>
      <c r="W48" s="1757"/>
      <c r="X48" s="1757"/>
      <c r="Y48" s="1757"/>
      <c r="Z48" s="1757"/>
    </row>
    <row r="49" spans="1:26" ht="37.950000000000003" customHeight="1" x14ac:dyDescent="0.3">
      <c r="A49" s="1257"/>
      <c r="B49" s="1257"/>
      <c r="C49" s="1257"/>
      <c r="D49" s="1257"/>
      <c r="E49" s="1257"/>
      <c r="F49" s="1257"/>
      <c r="G49" s="1257"/>
      <c r="H49" s="1257"/>
      <c r="I49" s="1252"/>
      <c r="J49" s="1252"/>
      <c r="K49" s="1252"/>
      <c r="L49" s="1252"/>
      <c r="M49" s="1252"/>
      <c r="N49" s="1252"/>
      <c r="O49" s="1757"/>
      <c r="P49" s="1757"/>
      <c r="Q49" s="1757"/>
      <c r="R49" s="1757"/>
      <c r="S49" s="1757"/>
      <c r="T49" s="1757"/>
      <c r="U49" s="1757"/>
      <c r="V49" s="1757"/>
      <c r="W49" s="1757"/>
      <c r="X49" s="1757"/>
      <c r="Y49" s="1757"/>
      <c r="Z49" s="1757"/>
    </row>
    <row r="50" spans="1:26" ht="28.05" customHeight="1" x14ac:dyDescent="0.3">
      <c r="A50" s="1252"/>
      <c r="B50" s="1252"/>
      <c r="C50" s="1252"/>
      <c r="D50" s="1252"/>
      <c r="E50" s="1252"/>
      <c r="F50" s="1252"/>
      <c r="G50" s="1252"/>
      <c r="H50" s="1252"/>
      <c r="I50" s="1252"/>
      <c r="J50" s="1252"/>
      <c r="K50" s="1252"/>
      <c r="L50" s="1252"/>
      <c r="M50" s="1252"/>
      <c r="N50" s="1252"/>
      <c r="O50" s="1757"/>
      <c r="P50" s="1757"/>
      <c r="Q50" s="1757"/>
      <c r="R50" s="1757"/>
      <c r="S50" s="1757"/>
      <c r="T50" s="1757"/>
      <c r="U50" s="1757"/>
      <c r="V50" s="1757"/>
      <c r="W50" s="1757"/>
      <c r="X50" s="1757"/>
      <c r="Y50" s="1757"/>
      <c r="Z50" s="1757"/>
    </row>
    <row r="51" spans="1:26" ht="28.05" customHeight="1" x14ac:dyDescent="0.3">
      <c r="A51" s="1252"/>
      <c r="B51" s="1252"/>
      <c r="C51" s="1252"/>
      <c r="D51" s="1252"/>
      <c r="E51" s="1252"/>
      <c r="F51" s="1252"/>
      <c r="G51" s="1252"/>
      <c r="H51" s="1252"/>
      <c r="I51" s="1252"/>
      <c r="J51" s="1252"/>
      <c r="K51" s="1252"/>
      <c r="L51" s="1252"/>
      <c r="M51" s="1252"/>
      <c r="N51" s="1252"/>
      <c r="O51" s="1757"/>
      <c r="P51" s="1757"/>
      <c r="Q51" s="1757"/>
      <c r="R51" s="1757"/>
      <c r="S51" s="1757"/>
      <c r="T51" s="1757"/>
      <c r="U51" s="1757"/>
      <c r="V51" s="1757"/>
      <c r="W51" s="1757"/>
      <c r="X51" s="1757"/>
      <c r="Y51" s="1757"/>
      <c r="Z51" s="1757"/>
    </row>
    <row r="52" spans="1:26" ht="28.05" customHeight="1" x14ac:dyDescent="0.3">
      <c r="A52" s="1252"/>
      <c r="B52" s="1252"/>
      <c r="C52" s="1252"/>
      <c r="D52" s="1252"/>
      <c r="E52" s="1252"/>
      <c r="F52" s="1252"/>
      <c r="G52" s="1252"/>
      <c r="H52" s="1252"/>
      <c r="I52" s="1252"/>
      <c r="J52" s="1252"/>
      <c r="K52" s="1252"/>
      <c r="L52" s="1252"/>
      <c r="M52" s="1252"/>
      <c r="N52" s="1252"/>
      <c r="O52" s="1757"/>
      <c r="P52" s="1757"/>
      <c r="Q52" s="1757"/>
      <c r="R52" s="1757"/>
      <c r="S52" s="1757"/>
      <c r="T52" s="1757"/>
      <c r="U52" s="1757"/>
      <c r="V52" s="1757"/>
      <c r="W52" s="1757"/>
      <c r="X52" s="1757"/>
      <c r="Y52" s="1757"/>
      <c r="Z52" s="1757"/>
    </row>
    <row r="53" spans="1:26" ht="28.05" customHeight="1" x14ac:dyDescent="0.3">
      <c r="A53" s="1252"/>
      <c r="B53" s="1252"/>
      <c r="C53" s="1252"/>
      <c r="D53" s="1252"/>
      <c r="E53" s="1252"/>
      <c r="F53" s="1252"/>
      <c r="G53" s="1252"/>
      <c r="H53" s="1252"/>
      <c r="I53" s="1252"/>
      <c r="J53" s="1252"/>
      <c r="K53" s="1252"/>
      <c r="L53" s="1252"/>
      <c r="M53" s="1252"/>
      <c r="N53" s="1252"/>
      <c r="O53" s="1757"/>
      <c r="P53" s="1757"/>
      <c r="Q53" s="1757"/>
      <c r="R53" s="1757"/>
      <c r="S53" s="1757"/>
      <c r="T53" s="1757"/>
      <c r="U53" s="1757"/>
      <c r="V53" s="1757"/>
      <c r="W53" s="1757"/>
      <c r="X53" s="1757"/>
      <c r="Y53" s="1757"/>
      <c r="Z53" s="1757"/>
    </row>
    <row r="54" spans="1:26" ht="28.05" customHeight="1" x14ac:dyDescent="0.3">
      <c r="A54" s="1252"/>
      <c r="B54" s="1252"/>
      <c r="C54" s="1252"/>
      <c r="D54" s="1252"/>
      <c r="E54" s="1252"/>
      <c r="F54" s="1252"/>
      <c r="G54" s="1252"/>
      <c r="H54" s="1252"/>
      <c r="I54" s="1252"/>
      <c r="J54" s="1252"/>
      <c r="K54" s="1252"/>
      <c r="L54" s="1252"/>
      <c r="M54" s="1252"/>
      <c r="N54" s="1252"/>
      <c r="O54" s="1757"/>
      <c r="P54" s="1757"/>
      <c r="Q54" s="1757"/>
      <c r="R54" s="1757"/>
      <c r="S54" s="1757"/>
      <c r="T54" s="1757"/>
      <c r="U54" s="1757"/>
      <c r="V54" s="1757"/>
      <c r="W54" s="1757"/>
      <c r="X54" s="1757"/>
      <c r="Y54" s="1757"/>
      <c r="Z54" s="1757"/>
    </row>
    <row r="55" spans="1:26" ht="28.05" customHeight="1" x14ac:dyDescent="0.3">
      <c r="A55" s="1252"/>
      <c r="B55" s="1252"/>
      <c r="C55" s="1252"/>
      <c r="D55" s="1252"/>
      <c r="E55" s="1252"/>
      <c r="F55" s="1252"/>
      <c r="G55" s="1252"/>
      <c r="H55" s="1252"/>
      <c r="I55" s="1252"/>
      <c r="J55" s="1252"/>
      <c r="K55" s="1252"/>
      <c r="L55" s="1252"/>
      <c r="M55" s="1252"/>
      <c r="N55" s="1252"/>
      <c r="O55" s="1757"/>
      <c r="P55" s="1757"/>
      <c r="Q55" s="1757"/>
      <c r="R55" s="1757"/>
      <c r="S55" s="1757"/>
      <c r="T55" s="1757"/>
      <c r="U55" s="1757"/>
      <c r="V55" s="1757"/>
      <c r="W55" s="1757"/>
      <c r="X55" s="1757"/>
      <c r="Y55" s="1757"/>
      <c r="Z55" s="1757"/>
    </row>
    <row r="56" spans="1:26" ht="19.95" customHeight="1" x14ac:dyDescent="0.3">
      <c r="A56" s="1252"/>
      <c r="B56" s="1252"/>
      <c r="C56" s="1252"/>
      <c r="D56" s="1252"/>
      <c r="E56" s="1252"/>
      <c r="F56" s="1252"/>
      <c r="G56" s="1252"/>
      <c r="H56" s="1252"/>
      <c r="I56" s="1252"/>
      <c r="J56" s="1252"/>
      <c r="K56" s="1252"/>
      <c r="L56" s="1252"/>
      <c r="M56" s="1252"/>
      <c r="N56" s="1252"/>
      <c r="O56" s="1757"/>
      <c r="P56" s="1757"/>
      <c r="Q56" s="1757"/>
      <c r="R56" s="1757"/>
      <c r="S56" s="1757"/>
      <c r="T56" s="1757"/>
      <c r="U56" s="1757"/>
      <c r="V56" s="1757"/>
      <c r="W56" s="1757"/>
      <c r="X56" s="1757"/>
      <c r="Y56" s="1757"/>
      <c r="Z56" s="1757"/>
    </row>
  </sheetData>
  <mergeCells count="11">
    <mergeCell ref="A1:Z1"/>
    <mergeCell ref="A3:Z3"/>
    <mergeCell ref="A4:Z4"/>
    <mergeCell ref="A26:Z26"/>
    <mergeCell ref="A41:Z41"/>
    <mergeCell ref="C46:H46"/>
    <mergeCell ref="C47:H47"/>
    <mergeCell ref="C42:H42"/>
    <mergeCell ref="C44:H44"/>
    <mergeCell ref="C45:H45"/>
    <mergeCell ref="C43:H43"/>
  </mergeCells>
  <conditionalFormatting sqref="A42:A47">
    <cfRule type="containsText" dxfId="268" priority="49" operator="containsText" text="96">
      <formula>NOT(ISERROR(SEARCH("96",A42)))</formula>
    </cfRule>
    <cfRule type="containsText" dxfId="267" priority="50" operator="containsText" text="85">
      <formula>NOT(ISERROR(SEARCH("85",A42)))</formula>
    </cfRule>
    <cfRule type="containsText" dxfId="266" priority="51" operator="containsText" text="70">
      <formula>NOT(ISERROR(SEARCH("70",A42)))</formula>
    </cfRule>
    <cfRule type="containsText" dxfId="265" priority="52" operator="containsText" text="60">
      <formula>NOT(ISERROR(SEARCH("60",A42)))</formula>
    </cfRule>
    <cfRule type="containsText" dxfId="264" priority="53" operator="containsText" text="&lt; 60">
      <formula>NOT(ISERROR(SEARCH("&lt; 60",A42)))</formula>
    </cfRule>
    <cfRule type="containsText" dxfId="263" priority="54" operator="containsText" text="&gt; 100">
      <formula>NOT(ISERROR(SEARCH("&gt; 100",A42)))</formula>
    </cfRule>
  </conditionalFormatting>
  <conditionalFormatting sqref="H28:H39">
    <cfRule type="cellIs" dxfId="262" priority="24" operator="greaterThanOrEqual">
      <formula>96</formula>
    </cfRule>
    <cfRule type="cellIs" dxfId="261" priority="25" operator="greaterThanOrEqual">
      <formula>85</formula>
    </cfRule>
    <cfRule type="cellIs" dxfId="260" priority="26" operator="greaterThanOrEqual">
      <formula>70</formula>
    </cfRule>
    <cfRule type="cellIs" dxfId="259" priority="27" operator="greaterThanOrEqual">
      <formula>60</formula>
    </cfRule>
    <cfRule type="cellIs" dxfId="258" priority="28" operator="greaterThanOrEqual">
      <formula>0</formula>
    </cfRule>
  </conditionalFormatting>
  <conditionalFormatting sqref="I28:I39">
    <cfRule type="containsText" dxfId="257" priority="29" operator="containsText" text="EXCELENTE">
      <formula>NOT(ISERROR(SEARCH("EXCELENTE",I28)))</formula>
    </cfRule>
    <cfRule type="containsText" dxfId="256" priority="30" operator="containsText" text="MUY BUENO">
      <formula>NOT(ISERROR(SEARCH("MUY BUENO",I28)))</formula>
    </cfRule>
    <cfRule type="containsText" dxfId="255" priority="31" operator="containsText" text="SATISFACTORIO">
      <formula>NOT(ISERROR(SEARCH("SATISFACTORIO",I28)))</formula>
    </cfRule>
    <cfRule type="containsText" dxfId="254" priority="32" operator="containsText" text="REGULAR">
      <formula>NOT(ISERROR(SEARCH("REGULAR",I28)))</formula>
    </cfRule>
    <cfRule type="containsText" dxfId="253" priority="33" operator="containsText" text="INACEPTABLE">
      <formula>NOT(ISERROR(SEARCH("INACEPTABLE",I28)))</formula>
    </cfRule>
  </conditionalFormatting>
  <conditionalFormatting sqref="J28:J39">
    <cfRule type="containsText" dxfId="252" priority="34" operator="containsText" text="Felicitación">
      <formula>NOT(ISERROR(SEARCH("Felicitación",J28)))</formula>
    </cfRule>
    <cfRule type="containsText" dxfId="251" priority="35" operator="containsText" text="Sin acción">
      <formula>NOT(ISERROR(SEARCH("Sin acción",J28)))</formula>
    </cfRule>
    <cfRule type="containsText" dxfId="250" priority="36" operator="containsText" text="Sumario">
      <formula>NOT(ISERROR(SEARCH("Sumario",J28)))</formula>
    </cfRule>
  </conditionalFormatting>
  <conditionalFormatting sqref="L5:L24">
    <cfRule type="containsText" dxfId="249" priority="46" operator="containsText" text="A">
      <formula>NOT(ISERROR(SEARCH("A",L5)))</formula>
    </cfRule>
    <cfRule type="containsText" dxfId="248" priority="47" operator="containsText" text="B">
      <formula>NOT(ISERROR(SEARCH("B",L5)))</formula>
    </cfRule>
    <cfRule type="containsText" dxfId="247" priority="48" operator="containsText" text="D">
      <formula>NOT(ISERROR(SEARCH("D",L5)))</formula>
    </cfRule>
  </conditionalFormatting>
  <conditionalFormatting sqref="M28:M39">
    <cfRule type="containsText" dxfId="246" priority="37" operator="containsText" text="CRITICO">
      <formula>NOT(ISERROR(SEARCH("CRITICO",M28)))</formula>
    </cfRule>
    <cfRule type="containsText" dxfId="245" priority="38" operator="containsText" text="ALTO">
      <formula>NOT(ISERROR(SEARCH("ALTO",M28)))</formula>
    </cfRule>
    <cfRule type="containsText" dxfId="244" priority="39" operator="containsText" text="MEDIO">
      <formula>NOT(ISERROR(SEARCH("MEDIO",M28)))</formula>
    </cfRule>
    <cfRule type="containsText" dxfId="243" priority="40" operator="containsText" text="BAJO">
      <formula>NOT(ISERROR(SEARCH("BAJO",M28)))</formula>
    </cfRule>
  </conditionalFormatting>
  <conditionalFormatting sqref="O5:O24">
    <cfRule type="cellIs" dxfId="242" priority="41" operator="greaterThanOrEqual">
      <formula>96</formula>
    </cfRule>
    <cfRule type="cellIs" dxfId="241" priority="42" operator="greaterThanOrEqual">
      <formula>70</formula>
    </cfRule>
    <cfRule type="cellIs" dxfId="240" priority="43" operator="greaterThanOrEqual">
      <formula>40</formula>
    </cfRule>
    <cfRule type="cellIs" dxfId="239" priority="44" operator="greaterThanOrEqual">
      <formula>20</formula>
    </cfRule>
    <cfRule type="cellIs" dxfId="238" priority="45" operator="greaterThanOrEqual">
      <formula>0</formula>
    </cfRule>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E2EFDA"/>
  </sheetPr>
  <dimension ref="A1:Z59"/>
  <sheetViews>
    <sheetView showGridLines="0" zoomScale="22" zoomScaleNormal="22" workbookViewId="0">
      <pane ySplit="3" topLeftCell="A4" activePane="bottomLeft" state="frozen"/>
      <selection pane="bottomLeft" activeCell="AK28" sqref="AK28"/>
    </sheetView>
  </sheetViews>
  <sheetFormatPr baseColWidth="10" defaultRowHeight="14.4" x14ac:dyDescent="0.3"/>
  <cols>
    <col min="1" max="1" width="16.6640625" customWidth="1"/>
    <col min="2" max="2" width="29.6640625" customWidth="1"/>
    <col min="3" max="4" width="16.6640625" customWidth="1"/>
    <col min="5" max="5" width="22.21875" customWidth="1"/>
    <col min="6" max="6" width="25.88671875" customWidth="1"/>
    <col min="7" max="7" width="29.6640625" customWidth="1"/>
    <col min="8" max="8" width="16.6640625" customWidth="1"/>
    <col min="9" max="9" width="24.109375" customWidth="1"/>
    <col min="10" max="10" width="20.33203125" customWidth="1"/>
    <col min="11" max="11" width="24.109375" customWidth="1"/>
    <col min="12" max="13" width="11.109375" customWidth="1"/>
    <col min="14" max="14" width="14.77734375" customWidth="1"/>
    <col min="15" max="26" width="5.21875" customWidth="1"/>
  </cols>
  <sheetData>
    <row r="1" spans="1:26" ht="28.05" customHeight="1" x14ac:dyDescent="0.3">
      <c r="A1" s="3753" t="s">
        <v>4845</v>
      </c>
      <c r="B1" s="3753"/>
      <c r="C1" s="3753"/>
      <c r="D1" s="3753"/>
      <c r="E1" s="3753"/>
      <c r="F1" s="3753"/>
      <c r="G1" s="3753"/>
      <c r="H1" s="3753"/>
      <c r="I1" s="3753"/>
      <c r="J1" s="3753"/>
      <c r="K1" s="3753"/>
      <c r="L1" s="3753"/>
      <c r="M1" s="3753"/>
      <c r="N1" s="3753"/>
      <c r="O1" s="3940"/>
      <c r="P1" s="3940"/>
      <c r="Q1" s="3940"/>
      <c r="R1" s="3940"/>
      <c r="S1" s="3940"/>
      <c r="T1" s="3940"/>
      <c r="U1" s="3940"/>
      <c r="V1" s="3940"/>
      <c r="W1" s="3940"/>
      <c r="X1" s="3940"/>
      <c r="Y1" s="3940"/>
      <c r="Z1" s="3940"/>
    </row>
    <row r="2" spans="1:26" ht="18" customHeight="1" x14ac:dyDescent="0.3">
      <c r="A2" s="96" t="str">
        <f>HYPERLINK("#'M-INDEX'!A1","⌂ INDICE")</f>
        <v>⌂ INDICE</v>
      </c>
      <c r="B2" s="98" t="str">
        <f>HYPERLINK("#'M1-ITME'!A1","M1")</f>
        <v>M1</v>
      </c>
      <c r="C2" s="98" t="str">
        <f>HYPERLINK("#'M2-PDOT'!A1","M2")</f>
        <v>M2</v>
      </c>
      <c r="D2" s="98" t="str">
        <f>HYPERLINK("#'M3-MAO'!A1","M3")</f>
        <v>M3</v>
      </c>
      <c r="E2" s="98" t="str">
        <f>HYPERLINK("#'M4-AUDIT'!A1","M4")</f>
        <v>M4</v>
      </c>
      <c r="F2" s="98" t="str">
        <f>HYPERLINK("#'M5-ICPI'!A1","M5")</f>
        <v>M5</v>
      </c>
      <c r="G2" s="98" t="str">
        <f>HYPERLINK("#'M6-FEDS'!A1","M6")</f>
        <v>M6</v>
      </c>
      <c r="H2" s="98" t="str">
        <f>HYPERLINK("#'M7-PROSP'!A1","M7")</f>
        <v>M7</v>
      </c>
      <c r="I2" s="98" t="str">
        <f>HYPERLINK("#'DATA-POA'!A1","DATA-POA")</f>
        <v>DATA-POA</v>
      </c>
      <c r="J2" s="98" t="str">
        <f>HYPERLINK("#'DATA-CNE'!A1","DATA-CNE")</f>
        <v>DATA-CNE</v>
      </c>
      <c r="K2" s="98" t="str">
        <f>HYPERLINK("#'DATA-ORG'!A1","DATA-ORG")</f>
        <v>DATA-ORG</v>
      </c>
      <c r="L2" s="98" t="str">
        <f>HYPERLINK("#'M-DASHBOARD'!A1","DASH")</f>
        <v>DASH</v>
      </c>
      <c r="M2" s="97"/>
      <c r="N2" s="97"/>
      <c r="O2" s="1493"/>
      <c r="P2" s="1493"/>
      <c r="Q2" s="1493"/>
      <c r="R2" s="1493"/>
      <c r="S2" s="1493"/>
      <c r="T2" s="1493"/>
      <c r="U2" s="1493"/>
      <c r="V2" s="1493"/>
      <c r="W2" s="1493"/>
      <c r="X2" s="1493"/>
      <c r="Y2" s="1493"/>
      <c r="Z2" s="1493"/>
    </row>
    <row r="3" spans="1:26" ht="13.95" customHeight="1" thickBot="1" x14ac:dyDescent="0.35">
      <c r="A3" s="3945" t="s">
        <v>4241</v>
      </c>
      <c r="B3" s="3946"/>
      <c r="C3" s="3946"/>
      <c r="D3" s="3946"/>
      <c r="E3" s="3946"/>
      <c r="F3" s="3946"/>
      <c r="G3" s="3946"/>
      <c r="H3" s="3946"/>
      <c r="I3" s="3946"/>
      <c r="J3" s="3946"/>
      <c r="K3" s="3946"/>
      <c r="L3" s="3946"/>
      <c r="M3" s="3946"/>
      <c r="N3" s="3946"/>
      <c r="O3" s="3947"/>
      <c r="P3" s="3947"/>
      <c r="Q3" s="3947"/>
      <c r="R3" s="3947"/>
      <c r="S3" s="3947"/>
      <c r="T3" s="3947"/>
      <c r="U3" s="3947"/>
      <c r="V3" s="3947"/>
      <c r="W3" s="3947"/>
      <c r="X3" s="3947"/>
      <c r="Y3" s="3947"/>
      <c r="Z3" s="3947"/>
    </row>
    <row r="4" spans="1:26" ht="22.05" customHeight="1" thickTop="1" x14ac:dyDescent="0.3">
      <c r="A4" s="3941" t="s">
        <v>2279</v>
      </c>
      <c r="B4" s="3942"/>
      <c r="C4" s="3942"/>
      <c r="D4" s="3942"/>
      <c r="E4" s="3942"/>
      <c r="F4" s="3942"/>
      <c r="G4" s="3942"/>
      <c r="H4" s="3942"/>
      <c r="I4" s="3942"/>
      <c r="J4" s="3942"/>
      <c r="K4" s="3942"/>
      <c r="L4" s="3942"/>
      <c r="M4" s="3942"/>
      <c r="N4" s="3942"/>
      <c r="O4" s="3943"/>
      <c r="P4" s="3943"/>
      <c r="Q4" s="3943"/>
      <c r="R4" s="3943"/>
      <c r="S4" s="3943"/>
      <c r="T4" s="3943"/>
      <c r="U4" s="3943"/>
      <c r="V4" s="3943"/>
      <c r="W4" s="3943"/>
      <c r="X4" s="3943"/>
      <c r="Y4" s="3943"/>
      <c r="Z4" s="3944"/>
    </row>
    <row r="5" spans="1:26" ht="28.05" customHeight="1" x14ac:dyDescent="0.3">
      <c r="A5" s="1519" t="s">
        <v>2280</v>
      </c>
      <c r="B5" s="1512" t="s">
        <v>1293</v>
      </c>
      <c r="C5" s="1512" t="s">
        <v>2281</v>
      </c>
      <c r="D5" s="1512" t="s">
        <v>2282</v>
      </c>
      <c r="E5" s="1512" t="s">
        <v>2283</v>
      </c>
      <c r="F5" s="1512" t="s">
        <v>2284</v>
      </c>
      <c r="G5" s="1512" t="s">
        <v>2285</v>
      </c>
      <c r="H5" s="1512" t="s">
        <v>2286</v>
      </c>
      <c r="I5" s="1512"/>
      <c r="J5" s="1512"/>
      <c r="K5" s="1512"/>
      <c r="L5" s="1512"/>
      <c r="M5" s="1512"/>
      <c r="N5" s="1522"/>
      <c r="O5" s="1513"/>
      <c r="P5" s="1494"/>
      <c r="Q5" s="1494"/>
      <c r="R5" s="1494"/>
      <c r="S5" s="1494"/>
      <c r="T5" s="1494"/>
      <c r="U5" s="1494"/>
      <c r="V5" s="1494"/>
      <c r="W5" s="1494"/>
      <c r="X5" s="1494"/>
      <c r="Y5" s="1494"/>
      <c r="Z5" s="1495"/>
    </row>
    <row r="6" spans="1:26" s="11" customFormat="1" ht="31.95" customHeight="1" x14ac:dyDescent="0.3">
      <c r="A6" s="276" t="s">
        <v>2287</v>
      </c>
      <c r="B6" s="263" t="s">
        <v>2288</v>
      </c>
      <c r="C6" s="263" t="s">
        <v>2289</v>
      </c>
      <c r="D6" s="263" t="s">
        <v>2290</v>
      </c>
      <c r="E6" s="263" t="s">
        <v>2291</v>
      </c>
      <c r="F6" s="263" t="s">
        <v>2292</v>
      </c>
      <c r="G6" s="130" t="s">
        <v>2293</v>
      </c>
      <c r="H6" s="263" t="s">
        <v>2294</v>
      </c>
      <c r="I6" s="263"/>
      <c r="J6" s="263"/>
      <c r="K6" s="263"/>
      <c r="L6" s="263"/>
      <c r="M6" s="263"/>
      <c r="N6" s="1523"/>
      <c r="O6" s="1514"/>
      <c r="P6" s="1496"/>
      <c r="Q6" s="1496"/>
      <c r="R6" s="1496"/>
      <c r="S6" s="1496"/>
      <c r="T6" s="1496"/>
      <c r="U6" s="1496"/>
      <c r="V6" s="1496"/>
      <c r="W6" s="1496"/>
      <c r="X6" s="1496"/>
      <c r="Y6" s="1496"/>
      <c r="Z6" s="1497"/>
    </row>
    <row r="7" spans="1:26" s="11" customFormat="1" ht="31.95" customHeight="1" x14ac:dyDescent="0.3">
      <c r="A7" s="1520" t="s">
        <v>2295</v>
      </c>
      <c r="B7" s="264" t="s">
        <v>2296</v>
      </c>
      <c r="C7" s="264" t="s">
        <v>2297</v>
      </c>
      <c r="D7" s="264" t="s">
        <v>2298</v>
      </c>
      <c r="E7" s="264" t="s">
        <v>2299</v>
      </c>
      <c r="F7" s="1492" t="s">
        <v>2300</v>
      </c>
      <c r="G7" s="264" t="s">
        <v>2301</v>
      </c>
      <c r="H7" s="264" t="s">
        <v>2294</v>
      </c>
      <c r="I7" s="264"/>
      <c r="J7" s="264"/>
      <c r="K7" s="264"/>
      <c r="L7" s="264"/>
      <c r="M7" s="264"/>
      <c r="N7" s="1524"/>
      <c r="O7" s="1514"/>
      <c r="P7" s="1496"/>
      <c r="Q7" s="1496"/>
      <c r="R7" s="1496"/>
      <c r="S7" s="1496"/>
      <c r="T7" s="1496"/>
      <c r="U7" s="1496"/>
      <c r="V7" s="1496"/>
      <c r="W7" s="1496"/>
      <c r="X7" s="1496"/>
      <c r="Y7" s="1496"/>
      <c r="Z7" s="1497"/>
    </row>
    <row r="8" spans="1:26" s="11" customFormat="1" ht="31.95" customHeight="1" x14ac:dyDescent="0.3">
      <c r="A8" s="276" t="s">
        <v>2302</v>
      </c>
      <c r="B8" s="263" t="s">
        <v>2303</v>
      </c>
      <c r="C8" s="263" t="s">
        <v>2304</v>
      </c>
      <c r="D8" s="263" t="s">
        <v>2305</v>
      </c>
      <c r="E8" s="263" t="s">
        <v>2306</v>
      </c>
      <c r="F8" s="263" t="s">
        <v>2307</v>
      </c>
      <c r="G8" s="263" t="s">
        <v>2308</v>
      </c>
      <c r="H8" s="263" t="s">
        <v>2309</v>
      </c>
      <c r="I8" s="263"/>
      <c r="J8" s="263"/>
      <c r="K8" s="263"/>
      <c r="L8" s="263"/>
      <c r="M8" s="263"/>
      <c r="N8" s="1523"/>
      <c r="O8" s="1514"/>
      <c r="P8" s="1496"/>
      <c r="Q8" s="1496"/>
      <c r="R8" s="1496"/>
      <c r="S8" s="1496"/>
      <c r="T8" s="1496"/>
      <c r="U8" s="1496"/>
      <c r="V8" s="1496"/>
      <c r="W8" s="1496"/>
      <c r="X8" s="1496"/>
      <c r="Y8" s="1496"/>
      <c r="Z8" s="1497"/>
    </row>
    <row r="9" spans="1:26" s="11" customFormat="1" ht="31.95" customHeight="1" x14ac:dyDescent="0.3">
      <c r="A9" s="1521" t="s">
        <v>2310</v>
      </c>
      <c r="B9" s="1517" t="s">
        <v>2311</v>
      </c>
      <c r="C9" s="1517" t="s">
        <v>2312</v>
      </c>
      <c r="D9" s="1517" t="s">
        <v>2313</v>
      </c>
      <c r="E9" s="1517" t="s">
        <v>2314</v>
      </c>
      <c r="F9" s="1518" t="s">
        <v>2315</v>
      </c>
      <c r="G9" s="1517" t="s">
        <v>2308</v>
      </c>
      <c r="H9" s="1517" t="s">
        <v>2316</v>
      </c>
      <c r="I9" s="1517"/>
      <c r="J9" s="1517"/>
      <c r="K9" s="1517"/>
      <c r="L9" s="1517"/>
      <c r="M9" s="1517"/>
      <c r="N9" s="1525"/>
      <c r="O9" s="1514"/>
      <c r="P9" s="1496"/>
      <c r="Q9" s="1496"/>
      <c r="R9" s="1496"/>
      <c r="S9" s="1496"/>
      <c r="T9" s="1496"/>
      <c r="U9" s="1496"/>
      <c r="V9" s="1496"/>
      <c r="W9" s="1496"/>
      <c r="X9" s="1496"/>
      <c r="Y9" s="1496"/>
      <c r="Z9" s="1497"/>
    </row>
    <row r="10" spans="1:26" s="11" customFormat="1" ht="6" customHeight="1" x14ac:dyDescent="0.3">
      <c r="A10" s="1515"/>
      <c r="B10" s="1516"/>
      <c r="C10" s="1516"/>
      <c r="D10" s="1516"/>
      <c r="E10" s="1516"/>
      <c r="F10" s="1516"/>
      <c r="G10" s="1516"/>
      <c r="H10" s="1516"/>
      <c r="I10" s="1516"/>
      <c r="J10" s="1516"/>
      <c r="K10" s="1516"/>
      <c r="L10" s="1516"/>
      <c r="M10" s="1516"/>
      <c r="N10" s="1516"/>
      <c r="O10" s="1496"/>
      <c r="P10" s="1496"/>
      <c r="Q10" s="1496"/>
      <c r="R10" s="1496"/>
      <c r="S10" s="1496"/>
      <c r="T10" s="1496"/>
      <c r="U10" s="1496"/>
      <c r="V10" s="1496"/>
      <c r="W10" s="1496"/>
      <c r="X10" s="1496"/>
      <c r="Y10" s="1496"/>
      <c r="Z10" s="1497"/>
    </row>
    <row r="11" spans="1:26" s="11" customFormat="1" ht="22.05" customHeight="1" x14ac:dyDescent="0.3">
      <c r="A11" s="3936" t="s">
        <v>2317</v>
      </c>
      <c r="B11" s="3937"/>
      <c r="C11" s="3937"/>
      <c r="D11" s="3937"/>
      <c r="E11" s="3937"/>
      <c r="F11" s="3937"/>
      <c r="G11" s="3937"/>
      <c r="H11" s="3937"/>
      <c r="I11" s="3937"/>
      <c r="J11" s="3937"/>
      <c r="K11" s="3937"/>
      <c r="L11" s="3937"/>
      <c r="M11" s="3937"/>
      <c r="N11" s="3937"/>
      <c r="O11" s="3938"/>
      <c r="P11" s="3938"/>
      <c r="Q11" s="3938"/>
      <c r="R11" s="3938"/>
      <c r="S11" s="3938"/>
      <c r="T11" s="3938"/>
      <c r="U11" s="3938"/>
      <c r="V11" s="3938"/>
      <c r="W11" s="3938"/>
      <c r="X11" s="3938"/>
      <c r="Y11" s="3938"/>
      <c r="Z11" s="3939"/>
    </row>
    <row r="12" spans="1:26" s="11" customFormat="1" ht="30" customHeight="1" x14ac:dyDescent="0.3">
      <c r="A12" s="1555" t="s">
        <v>2318</v>
      </c>
      <c r="B12" s="1556" t="s">
        <v>83</v>
      </c>
      <c r="C12" s="1556" t="s">
        <v>2319</v>
      </c>
      <c r="D12" s="1556" t="s">
        <v>401</v>
      </c>
      <c r="E12" s="1556" t="s">
        <v>2320</v>
      </c>
      <c r="F12" s="1556" t="s">
        <v>2321</v>
      </c>
      <c r="G12" s="1556" t="s">
        <v>2075</v>
      </c>
      <c r="H12" s="1556" t="s">
        <v>2322</v>
      </c>
      <c r="I12" s="1556" t="s">
        <v>2323</v>
      </c>
      <c r="J12" s="1556" t="s">
        <v>123</v>
      </c>
      <c r="K12" s="1556" t="s">
        <v>2324</v>
      </c>
      <c r="L12" s="1556" t="s">
        <v>2325</v>
      </c>
      <c r="M12" s="1556" t="s">
        <v>2326</v>
      </c>
      <c r="N12" s="1557" t="s">
        <v>2327</v>
      </c>
      <c r="O12" s="1514"/>
      <c r="P12" s="1496"/>
      <c r="Q12" s="1496"/>
      <c r="R12" s="1496"/>
      <c r="S12" s="1496"/>
      <c r="T12" s="1496"/>
      <c r="U12" s="1496"/>
      <c r="V12" s="1496"/>
      <c r="W12" s="1496"/>
      <c r="X12" s="1496"/>
      <c r="Y12" s="1496"/>
      <c r="Z12" s="1497"/>
    </row>
    <row r="13" spans="1:26" s="11" customFormat="1" ht="30" customHeight="1" x14ac:dyDescent="0.3">
      <c r="A13" s="1563" t="s">
        <v>2018</v>
      </c>
      <c r="B13" s="1564" t="s">
        <v>2019</v>
      </c>
      <c r="C13" s="1565">
        <f>IFERROR(VLOOKUP(A13,'SUPPORT-EVALDIR'!$A$28:$H$39,8,0),0)</f>
        <v>150</v>
      </c>
      <c r="D13" s="1566" t="str">
        <f t="shared" ref="D13:D24" si="0">IF(C13&gt;=96,"⭐ EXCELENTE",IF(C13&gt;=85,"✅ MUY BUENO",IF(C13&gt;=70,"🟢 SATISFACTORIO",IF(C13&gt;=60,"🟡 REGULAR","🔴 INACEPTABLE"))))</f>
        <v>⭐ EXCELENTE</v>
      </c>
      <c r="E13" s="1567" t="str">
        <f t="shared" ref="E13:E23" si="1">IF(C13=0,"⬜ Pendiente datos S1",TEXT(C13/2,"0.0")&amp;"% — "&amp;IF(C13/2&gt;=96,"⭐ EXCELENTE",IF(C13/2&gt;=85,"✅ MUY BUENO",IF(C13/2&gt;=70,"🟢 SATISFACTORIO",IF(C13/2&gt;=60,"🟡 REGULAR","🔴 INACEPTABLE"))))&amp;" (est.S1)")</f>
        <v>75% — 🟢 SATISFACTORIO (est.S1)</v>
      </c>
      <c r="F13" s="1568" t="str">
        <f t="shared" ref="F13:F24" si="2">TEXT(C13,"0.0")&amp;"% — "&amp;D13</f>
        <v>150% — ⭐ EXCELENTE</v>
      </c>
      <c r="G13" s="1564" t="s">
        <v>2328</v>
      </c>
      <c r="H13" s="1564" t="s">
        <v>103</v>
      </c>
      <c r="I13" s="1564" t="s">
        <v>103</v>
      </c>
      <c r="J13" s="1564" t="s">
        <v>2142</v>
      </c>
      <c r="K13" s="1569" t="s">
        <v>2329</v>
      </c>
      <c r="L13" s="1570">
        <v>1</v>
      </c>
      <c r="M13" s="1570">
        <v>1</v>
      </c>
      <c r="N13" s="1571" t="s">
        <v>103</v>
      </c>
      <c r="O13" s="1514"/>
      <c r="P13" s="1496"/>
      <c r="Q13" s="1496"/>
      <c r="R13" s="1496"/>
      <c r="S13" s="1496"/>
      <c r="T13" s="1496"/>
      <c r="U13" s="1496"/>
      <c r="V13" s="1496"/>
      <c r="W13" s="1496"/>
      <c r="X13" s="1496"/>
      <c r="Y13" s="1496"/>
      <c r="Z13" s="1497"/>
    </row>
    <row r="14" spans="1:26" s="11" customFormat="1" ht="30" customHeight="1" x14ac:dyDescent="0.3">
      <c r="A14" s="1572" t="s">
        <v>2016</v>
      </c>
      <c r="B14" s="1573" t="s">
        <v>2153</v>
      </c>
      <c r="C14" s="1574">
        <f>IFERROR(VLOOKUP(A14,'SUPPORT-EVALDIR'!$A$28:$H$39,8,0),0)</f>
        <v>82.5</v>
      </c>
      <c r="D14" s="1575" t="str">
        <f t="shared" si="0"/>
        <v>🟢 SATISFACTORIO</v>
      </c>
      <c r="E14" s="1576" t="str">
        <f t="shared" si="1"/>
        <v>41% — 🔴 INACEPTABLE (est.S1)</v>
      </c>
      <c r="F14" s="1567" t="str">
        <f t="shared" si="2"/>
        <v>83% — 🟢 SATISFACTORIO</v>
      </c>
      <c r="G14" s="1577" t="s">
        <v>2144</v>
      </c>
      <c r="H14" s="1573" t="s">
        <v>103</v>
      </c>
      <c r="I14" s="1573" t="s">
        <v>103</v>
      </c>
      <c r="J14" s="1573" t="s">
        <v>2330</v>
      </c>
      <c r="K14" s="1578" t="s">
        <v>2329</v>
      </c>
      <c r="L14" s="1579">
        <v>2</v>
      </c>
      <c r="M14" s="1579">
        <v>2</v>
      </c>
      <c r="N14" s="1580" t="s">
        <v>103</v>
      </c>
      <c r="O14" s="1514"/>
      <c r="P14" s="1496"/>
      <c r="Q14" s="1496"/>
      <c r="R14" s="1496"/>
      <c r="S14" s="1496"/>
      <c r="T14" s="1496"/>
      <c r="U14" s="1496"/>
      <c r="V14" s="1496"/>
      <c r="W14" s="1496"/>
      <c r="X14" s="1496"/>
      <c r="Y14" s="1496"/>
      <c r="Z14" s="1497"/>
    </row>
    <row r="15" spans="1:26" s="11" customFormat="1" ht="30" customHeight="1" x14ac:dyDescent="0.3">
      <c r="A15" s="1563" t="s">
        <v>2013</v>
      </c>
      <c r="B15" s="1564" t="s">
        <v>704</v>
      </c>
      <c r="C15" s="1565">
        <f>IFERROR(VLOOKUP(A15,'SUPPORT-EVALDIR'!$A$28:$H$39,8,0),0)</f>
        <v>80.5</v>
      </c>
      <c r="D15" s="1575" t="str">
        <f t="shared" si="0"/>
        <v>🟢 SATISFACTORIO</v>
      </c>
      <c r="E15" s="1582" t="str">
        <f t="shared" si="1"/>
        <v>40% — 🔴 INACEPTABLE (est.S1)</v>
      </c>
      <c r="F15" s="1567" t="str">
        <f t="shared" si="2"/>
        <v>81% — 🟢 SATISFACTORIO</v>
      </c>
      <c r="G15" s="1577" t="s">
        <v>2144</v>
      </c>
      <c r="H15" s="1564" t="s">
        <v>103</v>
      </c>
      <c r="I15" s="1564" t="s">
        <v>103</v>
      </c>
      <c r="J15" s="1564" t="s">
        <v>2330</v>
      </c>
      <c r="K15" s="1569" t="s">
        <v>2329</v>
      </c>
      <c r="L15" s="1570">
        <v>5</v>
      </c>
      <c r="M15" s="1570">
        <v>5</v>
      </c>
      <c r="N15" s="1571" t="s">
        <v>103</v>
      </c>
      <c r="O15" s="1514"/>
      <c r="P15" s="1496"/>
      <c r="Q15" s="1496"/>
      <c r="R15" s="1496"/>
      <c r="S15" s="1496"/>
      <c r="T15" s="1496"/>
      <c r="U15" s="1496"/>
      <c r="V15" s="1496"/>
      <c r="W15" s="1496"/>
      <c r="X15" s="1496"/>
      <c r="Y15" s="1496"/>
      <c r="Z15" s="1497"/>
    </row>
    <row r="16" spans="1:26" s="11" customFormat="1" ht="30" customHeight="1" x14ac:dyDescent="0.3">
      <c r="A16" s="1572" t="s">
        <v>2020</v>
      </c>
      <c r="B16" s="1573" t="s">
        <v>711</v>
      </c>
      <c r="C16" s="1574">
        <f>IFERROR(VLOOKUP(A16,'SUPPORT-EVALDIR'!$A$28:$H$39,8,0),0)</f>
        <v>54</v>
      </c>
      <c r="D16" s="1583" t="str">
        <f t="shared" si="0"/>
        <v>🔴 INACEPTABLE</v>
      </c>
      <c r="E16" s="1576" t="str">
        <f t="shared" si="1"/>
        <v>27% — 🔴 INACEPTABLE (est.S1)</v>
      </c>
      <c r="F16" s="1576" t="str">
        <f t="shared" si="2"/>
        <v>54% — 🔴 INACEPTABLE</v>
      </c>
      <c r="G16" s="1573" t="s">
        <v>2331</v>
      </c>
      <c r="H16" s="1573" t="s">
        <v>2332</v>
      </c>
      <c r="I16" s="1573" t="s">
        <v>2333</v>
      </c>
      <c r="J16" s="1573" t="s">
        <v>218</v>
      </c>
      <c r="K16" s="1576" t="s">
        <v>2334</v>
      </c>
      <c r="L16" s="1579">
        <v>1</v>
      </c>
      <c r="M16" s="1579">
        <v>1</v>
      </c>
      <c r="N16" s="1580" t="s">
        <v>103</v>
      </c>
      <c r="O16" s="1514"/>
      <c r="P16" s="1496"/>
      <c r="Q16" s="1496"/>
      <c r="R16" s="1496"/>
      <c r="S16" s="1496"/>
      <c r="T16" s="1496"/>
      <c r="U16" s="1496"/>
      <c r="V16" s="1496"/>
      <c r="W16" s="1496"/>
      <c r="X16" s="1496"/>
      <c r="Y16" s="1496"/>
      <c r="Z16" s="1497"/>
    </row>
    <row r="17" spans="1:26" s="11" customFormat="1" ht="30" customHeight="1" x14ac:dyDescent="0.3">
      <c r="A17" s="1563" t="s">
        <v>2024</v>
      </c>
      <c r="B17" s="1564" t="s">
        <v>2335</v>
      </c>
      <c r="C17" s="1565">
        <f>IFERROR(VLOOKUP(A17,'SUPPORT-EVALDIR'!$A$28:$H$39,8,0),0)</f>
        <v>50</v>
      </c>
      <c r="D17" s="1585" t="str">
        <f t="shared" si="0"/>
        <v>🔴 INACEPTABLE</v>
      </c>
      <c r="E17" s="1582" t="str">
        <f t="shared" si="1"/>
        <v>25% — 🔴 INACEPTABLE (est.S1)</v>
      </c>
      <c r="F17" s="1582" t="str">
        <f t="shared" si="2"/>
        <v>50% — 🔴 INACEPTABLE</v>
      </c>
      <c r="G17" s="1564" t="s">
        <v>2331</v>
      </c>
      <c r="H17" s="1564" t="s">
        <v>2332</v>
      </c>
      <c r="I17" s="1564" t="s">
        <v>2333</v>
      </c>
      <c r="J17" s="1564" t="s">
        <v>218</v>
      </c>
      <c r="K17" s="1582" t="s">
        <v>2334</v>
      </c>
      <c r="L17" s="1570">
        <v>1</v>
      </c>
      <c r="M17" s="1570">
        <v>1</v>
      </c>
      <c r="N17" s="1571" t="s">
        <v>103</v>
      </c>
      <c r="O17" s="1514"/>
      <c r="P17" s="1496"/>
      <c r="Q17" s="1496"/>
      <c r="R17" s="1496"/>
      <c r="S17" s="1496"/>
      <c r="T17" s="1496"/>
      <c r="U17" s="1496"/>
      <c r="V17" s="1496"/>
      <c r="W17" s="1496"/>
      <c r="X17" s="1496"/>
      <c r="Y17" s="1496"/>
      <c r="Z17" s="1497"/>
    </row>
    <row r="18" spans="1:26" s="11" customFormat="1" ht="30" customHeight="1" x14ac:dyDescent="0.3">
      <c r="A18" s="1572" t="s">
        <v>2038</v>
      </c>
      <c r="B18" s="1573" t="s">
        <v>832</v>
      </c>
      <c r="C18" s="1574">
        <f>IFERROR(VLOOKUP(A18,'SUPPORT-EVALDIR'!$A$28:$H$39,8,0),0)</f>
        <v>40.5</v>
      </c>
      <c r="D18" s="1583" t="str">
        <f t="shared" si="0"/>
        <v>🔴 INACEPTABLE</v>
      </c>
      <c r="E18" s="1576" t="str">
        <f t="shared" si="1"/>
        <v>20% — 🔴 INACEPTABLE (est.S1)</v>
      </c>
      <c r="F18" s="1576" t="str">
        <f t="shared" si="2"/>
        <v>41% — 🔴 INACEPTABLE</v>
      </c>
      <c r="G18" s="1573" t="s">
        <v>2331</v>
      </c>
      <c r="H18" s="1573" t="s">
        <v>2332</v>
      </c>
      <c r="I18" s="1573" t="s">
        <v>2333</v>
      </c>
      <c r="J18" s="1573" t="s">
        <v>218</v>
      </c>
      <c r="K18" s="1576" t="s">
        <v>2334</v>
      </c>
      <c r="L18" s="1579">
        <v>1</v>
      </c>
      <c r="M18" s="1579">
        <v>1</v>
      </c>
      <c r="N18" s="1580" t="s">
        <v>103</v>
      </c>
      <c r="O18" s="1514"/>
      <c r="P18" s="1496"/>
      <c r="Q18" s="1496"/>
      <c r="R18" s="1496"/>
      <c r="S18" s="1496"/>
      <c r="T18" s="1496"/>
      <c r="U18" s="1496"/>
      <c r="V18" s="1496"/>
      <c r="W18" s="1496"/>
      <c r="X18" s="1496"/>
      <c r="Y18" s="1496"/>
      <c r="Z18" s="1497"/>
    </row>
    <row r="19" spans="1:26" s="11" customFormat="1" ht="30" customHeight="1" x14ac:dyDescent="0.3">
      <c r="A19" s="1563" t="s">
        <v>2022</v>
      </c>
      <c r="B19" s="1564" t="s">
        <v>2336</v>
      </c>
      <c r="C19" s="1565">
        <f>IFERROR(VLOOKUP(A19,'SUPPORT-EVALDIR'!$A$28:$H$39,8,0),0)</f>
        <v>27.5</v>
      </c>
      <c r="D19" s="1585" t="str">
        <f t="shared" si="0"/>
        <v>🔴 INACEPTABLE</v>
      </c>
      <c r="E19" s="1582" t="str">
        <f t="shared" si="1"/>
        <v>14% — 🔴 INACEPTABLE (est.S1)</v>
      </c>
      <c r="F19" s="1582" t="str">
        <f t="shared" si="2"/>
        <v>28% — 🔴 INACEPTABLE</v>
      </c>
      <c r="G19" s="1564" t="s">
        <v>2331</v>
      </c>
      <c r="H19" s="1564" t="s">
        <v>2332</v>
      </c>
      <c r="I19" s="1564" t="s">
        <v>2333</v>
      </c>
      <c r="J19" s="1564" t="s">
        <v>218</v>
      </c>
      <c r="K19" s="1582" t="s">
        <v>2334</v>
      </c>
      <c r="L19" s="1570">
        <v>2</v>
      </c>
      <c r="M19" s="1570">
        <v>2</v>
      </c>
      <c r="N19" s="1571" t="s">
        <v>103</v>
      </c>
      <c r="O19" s="1514"/>
      <c r="P19" s="1496"/>
      <c r="Q19" s="1496"/>
      <c r="R19" s="1496"/>
      <c r="S19" s="1496"/>
      <c r="T19" s="1496"/>
      <c r="U19" s="1496"/>
      <c r="V19" s="1496"/>
      <c r="W19" s="1496"/>
      <c r="X19" s="1496"/>
      <c r="Y19" s="1496"/>
      <c r="Z19" s="1497"/>
    </row>
    <row r="20" spans="1:26" s="11" customFormat="1" ht="30" customHeight="1" x14ac:dyDescent="0.3">
      <c r="A20" s="1572" t="s">
        <v>2008</v>
      </c>
      <c r="B20" s="1573" t="s">
        <v>2337</v>
      </c>
      <c r="C20" s="1574">
        <f>IFERROR(VLOOKUP(A20,'SUPPORT-EVALDIR'!$A$28:$H$39,8,0),0)</f>
        <v>20</v>
      </c>
      <c r="D20" s="1583" t="str">
        <f t="shared" si="0"/>
        <v>🔴 INACEPTABLE</v>
      </c>
      <c r="E20" s="1576" t="str">
        <f t="shared" si="1"/>
        <v>10% — 🔴 INACEPTABLE (est.S1)</v>
      </c>
      <c r="F20" s="1576" t="str">
        <f t="shared" si="2"/>
        <v>20% — 🔴 INACEPTABLE</v>
      </c>
      <c r="G20" s="1573" t="s">
        <v>2331</v>
      </c>
      <c r="H20" s="1573" t="s">
        <v>2332</v>
      </c>
      <c r="I20" s="1573" t="s">
        <v>2333</v>
      </c>
      <c r="J20" s="1573" t="s">
        <v>218</v>
      </c>
      <c r="K20" s="1576" t="s">
        <v>2334</v>
      </c>
      <c r="L20" s="1579">
        <v>1</v>
      </c>
      <c r="M20" s="1579">
        <v>1</v>
      </c>
      <c r="N20" s="1580" t="s">
        <v>103</v>
      </c>
      <c r="O20" s="1514"/>
      <c r="P20" s="1496"/>
      <c r="Q20" s="1496"/>
      <c r="R20" s="1496"/>
      <c r="S20" s="1496"/>
      <c r="T20" s="1496"/>
      <c r="U20" s="1496"/>
      <c r="V20" s="1496"/>
      <c r="W20" s="1496"/>
      <c r="X20" s="1496"/>
      <c r="Y20" s="1496"/>
      <c r="Z20" s="1497"/>
    </row>
    <row r="21" spans="1:26" s="11" customFormat="1" ht="30" customHeight="1" x14ac:dyDescent="0.3">
      <c r="A21" s="1563" t="s">
        <v>2035</v>
      </c>
      <c r="B21" s="1564" t="s">
        <v>94</v>
      </c>
      <c r="C21" s="1565">
        <f>IFERROR(VLOOKUP(A21,'SUPPORT-EVALDIR'!$A$28:$H$39,8,0),0)</f>
        <v>18</v>
      </c>
      <c r="D21" s="1585" t="str">
        <f t="shared" si="0"/>
        <v>🔴 INACEPTABLE</v>
      </c>
      <c r="E21" s="1582" t="str">
        <f t="shared" si="1"/>
        <v>09% — 🔴 INACEPTABLE (est.S1)</v>
      </c>
      <c r="F21" s="1582" t="str">
        <f t="shared" si="2"/>
        <v>18% — 🔴 INACEPTABLE</v>
      </c>
      <c r="G21" s="1564" t="s">
        <v>2331</v>
      </c>
      <c r="H21" s="1564" t="s">
        <v>2332</v>
      </c>
      <c r="I21" s="1564" t="s">
        <v>2333</v>
      </c>
      <c r="J21" s="1564" t="s">
        <v>218</v>
      </c>
      <c r="K21" s="1582" t="s">
        <v>2334</v>
      </c>
      <c r="L21" s="1570">
        <v>3</v>
      </c>
      <c r="M21" s="1570">
        <v>2</v>
      </c>
      <c r="N21" s="1571" t="s">
        <v>103</v>
      </c>
      <c r="O21" s="1514"/>
      <c r="P21" s="1496"/>
      <c r="Q21" s="1496"/>
      <c r="R21" s="1496"/>
      <c r="S21" s="1496"/>
      <c r="T21" s="1496"/>
      <c r="U21" s="1496"/>
      <c r="V21" s="1496"/>
      <c r="W21" s="1496"/>
      <c r="X21" s="1496"/>
      <c r="Y21" s="1496"/>
      <c r="Z21" s="1497"/>
    </row>
    <row r="22" spans="1:26" s="11" customFormat="1" ht="30" customHeight="1" x14ac:dyDescent="0.3">
      <c r="A22" s="1572" t="s">
        <v>2041</v>
      </c>
      <c r="B22" s="1573" t="s">
        <v>2338</v>
      </c>
      <c r="C22" s="1574">
        <f>IFERROR(VLOOKUP(A22,'SUPPORT-EVALDIR'!$A$28:$H$39,8,0),0)</f>
        <v>15.8</v>
      </c>
      <c r="D22" s="1583" t="str">
        <f t="shared" si="0"/>
        <v>🔴 INACEPTABLE</v>
      </c>
      <c r="E22" s="1576" t="str">
        <f t="shared" si="1"/>
        <v>08% — 🔴 INACEPTABLE (est.S1)</v>
      </c>
      <c r="F22" s="1576" t="str">
        <f t="shared" si="2"/>
        <v>16% — 🔴 INACEPTABLE</v>
      </c>
      <c r="G22" s="1573" t="s">
        <v>2331</v>
      </c>
      <c r="H22" s="1573" t="s">
        <v>2332</v>
      </c>
      <c r="I22" s="1573" t="s">
        <v>2333</v>
      </c>
      <c r="J22" s="1573" t="s">
        <v>218</v>
      </c>
      <c r="K22" s="1576" t="s">
        <v>2334</v>
      </c>
      <c r="L22" s="1579">
        <v>1</v>
      </c>
      <c r="M22" s="1579">
        <v>1</v>
      </c>
      <c r="N22" s="1580" t="s">
        <v>103</v>
      </c>
      <c r="O22" s="1514"/>
      <c r="P22" s="1496"/>
      <c r="Q22" s="1496"/>
      <c r="R22" s="1496"/>
      <c r="S22" s="1496"/>
      <c r="T22" s="1496"/>
      <c r="U22" s="1496"/>
      <c r="V22" s="1496"/>
      <c r="W22" s="1496"/>
      <c r="X22" s="1496"/>
      <c r="Y22" s="1496"/>
      <c r="Z22" s="1497"/>
    </row>
    <row r="23" spans="1:26" s="11" customFormat="1" ht="30" customHeight="1" x14ac:dyDescent="0.3">
      <c r="A23" s="1558" t="s">
        <v>2048</v>
      </c>
      <c r="B23" s="1559" t="s">
        <v>2051</v>
      </c>
      <c r="C23" s="1560">
        <f>IFERROR(VLOOKUP(A23,'SUPPORT-EVALDIR'!$A$28:$H$39,8,0),0)</f>
        <v>13.5</v>
      </c>
      <c r="D23" s="1584" t="str">
        <f t="shared" si="0"/>
        <v>🔴 INACEPTABLE</v>
      </c>
      <c r="E23" s="1581" t="str">
        <f t="shared" si="1"/>
        <v>07% — 🔴 INACEPTABLE (est.S1)</v>
      </c>
      <c r="F23" s="1581" t="str">
        <f t="shared" si="2"/>
        <v>14% — 🔴 INACEPTABLE</v>
      </c>
      <c r="G23" s="1559" t="s">
        <v>2331</v>
      </c>
      <c r="H23" s="1559" t="s">
        <v>2332</v>
      </c>
      <c r="I23" s="1559" t="s">
        <v>2333</v>
      </c>
      <c r="J23" s="1559" t="s">
        <v>218</v>
      </c>
      <c r="K23" s="1581" t="s">
        <v>2334</v>
      </c>
      <c r="L23" s="1561">
        <v>1</v>
      </c>
      <c r="M23" s="1561">
        <v>1</v>
      </c>
      <c r="N23" s="1562" t="s">
        <v>103</v>
      </c>
      <c r="O23" s="1514"/>
      <c r="P23" s="1496"/>
      <c r="Q23" s="1496"/>
      <c r="R23" s="1496"/>
      <c r="S23" s="1496"/>
      <c r="T23" s="1496"/>
      <c r="U23" s="1496"/>
      <c r="V23" s="1496"/>
      <c r="W23" s="1496"/>
      <c r="X23" s="1496"/>
      <c r="Y23" s="1496"/>
      <c r="Z23" s="1497"/>
    </row>
    <row r="24" spans="1:26" s="11" customFormat="1" ht="30" customHeight="1" x14ac:dyDescent="0.3">
      <c r="A24" s="1586" t="s">
        <v>2046</v>
      </c>
      <c r="B24" s="1587" t="s">
        <v>2047</v>
      </c>
      <c r="C24" s="1588">
        <f>IFERROR(VLOOKUP(A24,'SUPPORT-EVALDIR'!$A$28:$H$39,8,0),0)</f>
        <v>0</v>
      </c>
      <c r="D24" s="1589" t="str">
        <f t="shared" si="0"/>
        <v>🔴 INACEPTABLE</v>
      </c>
      <c r="E24" s="1590" t="s">
        <v>2339</v>
      </c>
      <c r="F24" s="1591" t="str">
        <f t="shared" si="2"/>
        <v>00% — 🔴 INACEPTABLE</v>
      </c>
      <c r="G24" s="1587" t="s">
        <v>2331</v>
      </c>
      <c r="H24" s="1587" t="s">
        <v>2332</v>
      </c>
      <c r="I24" s="1587" t="s">
        <v>2333</v>
      </c>
      <c r="J24" s="1587" t="s">
        <v>218</v>
      </c>
      <c r="K24" s="1591" t="s">
        <v>2334</v>
      </c>
      <c r="L24" s="1592">
        <v>1</v>
      </c>
      <c r="M24" s="1592">
        <v>0</v>
      </c>
      <c r="N24" s="1593" t="s">
        <v>103</v>
      </c>
      <c r="O24" s="1514"/>
      <c r="P24" s="1496"/>
      <c r="Q24" s="1496"/>
      <c r="R24" s="1496"/>
      <c r="S24" s="1496"/>
      <c r="T24" s="1496"/>
      <c r="U24" s="1496"/>
      <c r="V24" s="1496"/>
      <c r="W24" s="1496"/>
      <c r="X24" s="1496"/>
      <c r="Y24" s="1496"/>
      <c r="Z24" s="1497"/>
    </row>
    <row r="25" spans="1:26" s="11" customFormat="1" ht="6" customHeight="1" x14ac:dyDescent="0.3">
      <c r="A25" s="1526"/>
      <c r="B25" s="1527"/>
      <c r="C25" s="1527"/>
      <c r="D25" s="1527"/>
      <c r="E25" s="1527"/>
      <c r="F25" s="1527"/>
      <c r="G25" s="1527"/>
      <c r="H25" s="1527"/>
      <c r="I25" s="1527"/>
      <c r="J25" s="1527"/>
      <c r="K25" s="1527"/>
      <c r="L25" s="1527"/>
      <c r="M25" s="1527"/>
      <c r="N25" s="1527"/>
      <c r="O25" s="1496"/>
      <c r="P25" s="1496"/>
      <c r="Q25" s="1496"/>
      <c r="R25" s="1496"/>
      <c r="S25" s="1496"/>
      <c r="T25" s="1496"/>
      <c r="U25" s="1496"/>
      <c r="V25" s="1496"/>
      <c r="W25" s="1496"/>
      <c r="X25" s="1496"/>
      <c r="Y25" s="1496"/>
      <c r="Z25" s="1497"/>
    </row>
    <row r="26" spans="1:26" s="11" customFormat="1" ht="22.05" customHeight="1" x14ac:dyDescent="0.3">
      <c r="A26" s="3936" t="s">
        <v>2340</v>
      </c>
      <c r="B26" s="3937"/>
      <c r="C26" s="3937"/>
      <c r="D26" s="3937"/>
      <c r="E26" s="3937"/>
      <c r="F26" s="3937"/>
      <c r="G26" s="3937"/>
      <c r="H26" s="3937"/>
      <c r="I26" s="3937"/>
      <c r="J26" s="3937"/>
      <c r="K26" s="3364"/>
      <c r="L26" s="3364"/>
      <c r="M26" s="3364"/>
      <c r="N26" s="3364"/>
      <c r="O26" s="3938"/>
      <c r="P26" s="3938"/>
      <c r="Q26" s="3938"/>
      <c r="R26" s="3938"/>
      <c r="S26" s="3938"/>
      <c r="T26" s="3938"/>
      <c r="U26" s="3938"/>
      <c r="V26" s="3938"/>
      <c r="W26" s="3938"/>
      <c r="X26" s="3938"/>
      <c r="Y26" s="3938"/>
      <c r="Z26" s="3939"/>
    </row>
    <row r="27" spans="1:26" s="11" customFormat="1" ht="30" customHeight="1" x14ac:dyDescent="0.3">
      <c r="A27" s="1594" t="s">
        <v>401</v>
      </c>
      <c r="B27" s="1595" t="s">
        <v>2341</v>
      </c>
      <c r="C27" s="1595" t="s">
        <v>2342</v>
      </c>
      <c r="D27" s="1595" t="s">
        <v>2343</v>
      </c>
      <c r="E27" s="1595" t="s">
        <v>2344</v>
      </c>
      <c r="F27" s="1595" t="s">
        <v>2345</v>
      </c>
      <c r="G27" s="1595" t="s">
        <v>2346</v>
      </c>
      <c r="H27" s="1595" t="s">
        <v>123</v>
      </c>
      <c r="I27" s="1595" t="s">
        <v>2347</v>
      </c>
      <c r="J27" s="1596" t="s">
        <v>2285</v>
      </c>
      <c r="K27" s="314"/>
      <c r="L27" s="264"/>
      <c r="M27" s="264"/>
      <c r="N27" s="264"/>
      <c r="O27" s="1496"/>
      <c r="P27" s="1496"/>
      <c r="Q27" s="1496"/>
      <c r="R27" s="1496"/>
      <c r="S27" s="1496"/>
      <c r="T27" s="1496"/>
      <c r="U27" s="1496"/>
      <c r="V27" s="1496"/>
      <c r="W27" s="1496"/>
      <c r="X27" s="1496"/>
      <c r="Y27" s="1496"/>
      <c r="Z27" s="1497"/>
    </row>
    <row r="28" spans="1:26" s="11" customFormat="1" ht="34.049999999999997" customHeight="1" x14ac:dyDescent="0.3">
      <c r="A28" s="1598" t="s">
        <v>404</v>
      </c>
      <c r="B28" s="1599" t="s">
        <v>2348</v>
      </c>
      <c r="C28" s="1599" t="s">
        <v>2349</v>
      </c>
      <c r="D28" s="1599" t="s">
        <v>2350</v>
      </c>
      <c r="E28" s="1599" t="s">
        <v>2351</v>
      </c>
      <c r="F28" s="1599" t="s">
        <v>2352</v>
      </c>
      <c r="G28" s="1599" t="s">
        <v>103</v>
      </c>
      <c r="H28" s="1599" t="s">
        <v>2142</v>
      </c>
      <c r="I28" s="1599" t="s">
        <v>2353</v>
      </c>
      <c r="J28" s="1600" t="s">
        <v>2354</v>
      </c>
      <c r="K28" s="313"/>
      <c r="L28" s="263"/>
      <c r="M28" s="263"/>
      <c r="N28" s="263"/>
      <c r="O28" s="1496"/>
      <c r="P28" s="1496"/>
      <c r="Q28" s="1496"/>
      <c r="R28" s="1496"/>
      <c r="S28" s="1496"/>
      <c r="T28" s="1496"/>
      <c r="U28" s="1496"/>
      <c r="V28" s="1496"/>
      <c r="W28" s="1496"/>
      <c r="X28" s="1496"/>
      <c r="Y28" s="1496"/>
      <c r="Z28" s="1497"/>
    </row>
    <row r="29" spans="1:26" s="11" customFormat="1" ht="34.049999999999997" customHeight="1" x14ac:dyDescent="0.3">
      <c r="A29" s="1602" t="s">
        <v>409</v>
      </c>
      <c r="B29" s="1603" t="s">
        <v>2348</v>
      </c>
      <c r="C29" s="1603" t="s">
        <v>2355</v>
      </c>
      <c r="D29" s="1603" t="s">
        <v>2356</v>
      </c>
      <c r="E29" s="1603" t="s">
        <v>2357</v>
      </c>
      <c r="F29" s="1603" t="s">
        <v>103</v>
      </c>
      <c r="G29" s="1603" t="s">
        <v>103</v>
      </c>
      <c r="H29" s="1603" t="s">
        <v>237</v>
      </c>
      <c r="I29" s="1603" t="s">
        <v>2143</v>
      </c>
      <c r="J29" s="1604" t="s">
        <v>2358</v>
      </c>
      <c r="K29" s="314"/>
      <c r="L29" s="264"/>
      <c r="M29" s="264"/>
      <c r="N29" s="264"/>
      <c r="O29" s="1496"/>
      <c r="P29" s="1496"/>
      <c r="Q29" s="1496"/>
      <c r="R29" s="1496"/>
      <c r="S29" s="1496"/>
      <c r="T29" s="1496"/>
      <c r="U29" s="1496"/>
      <c r="V29" s="1496"/>
      <c r="W29" s="1496"/>
      <c r="X29" s="1496"/>
      <c r="Y29" s="1496"/>
      <c r="Z29" s="1497"/>
    </row>
    <row r="30" spans="1:26" s="11" customFormat="1" ht="34.049999999999997" customHeight="1" x14ac:dyDescent="0.3">
      <c r="A30" s="1601" t="s">
        <v>413</v>
      </c>
      <c r="B30" s="279" t="s">
        <v>2348</v>
      </c>
      <c r="C30" s="279" t="s">
        <v>2359</v>
      </c>
      <c r="D30" s="279" t="s">
        <v>2360</v>
      </c>
      <c r="E30" s="279" t="s">
        <v>103</v>
      </c>
      <c r="F30" s="279" t="s">
        <v>103</v>
      </c>
      <c r="G30" s="279" t="s">
        <v>103</v>
      </c>
      <c r="H30" s="279" t="s">
        <v>2145</v>
      </c>
      <c r="I30" s="279" t="s">
        <v>2361</v>
      </c>
      <c r="J30" s="1597" t="s">
        <v>2358</v>
      </c>
      <c r="K30" s="313"/>
      <c r="L30" s="263"/>
      <c r="M30" s="263"/>
      <c r="N30" s="263"/>
      <c r="O30" s="1496"/>
      <c r="P30" s="1496"/>
      <c r="Q30" s="1496"/>
      <c r="R30" s="1496"/>
      <c r="S30" s="1496"/>
      <c r="T30" s="1496"/>
      <c r="U30" s="1496"/>
      <c r="V30" s="1496"/>
      <c r="W30" s="1496"/>
      <c r="X30" s="1496"/>
      <c r="Y30" s="1496"/>
      <c r="Z30" s="1497"/>
    </row>
    <row r="31" spans="1:26" ht="34.049999999999997" customHeight="1" x14ac:dyDescent="0.3">
      <c r="A31" s="1605" t="s">
        <v>417</v>
      </c>
      <c r="B31" s="1529" t="s">
        <v>2348</v>
      </c>
      <c r="C31" s="1527" t="s">
        <v>2362</v>
      </c>
      <c r="D31" s="1527" t="s">
        <v>2363</v>
      </c>
      <c r="E31" s="1529" t="s">
        <v>2364</v>
      </c>
      <c r="F31" s="1529" t="s">
        <v>2365</v>
      </c>
      <c r="G31" s="1529" t="s">
        <v>2366</v>
      </c>
      <c r="H31" s="1529" t="s">
        <v>209</v>
      </c>
      <c r="I31" s="1529" t="s">
        <v>2367</v>
      </c>
      <c r="J31" s="1606" t="s">
        <v>2368</v>
      </c>
      <c r="K31" s="315"/>
      <c r="L31" s="266"/>
      <c r="M31" s="266"/>
      <c r="N31" s="266"/>
      <c r="O31" s="1498"/>
      <c r="P31" s="1498"/>
      <c r="Q31" s="1498"/>
      <c r="R31" s="1498"/>
      <c r="S31" s="1498"/>
      <c r="T31" s="1498"/>
      <c r="U31" s="1498"/>
      <c r="V31" s="1498"/>
      <c r="W31" s="1498"/>
      <c r="X31" s="1498"/>
      <c r="Y31" s="1498"/>
      <c r="Z31" s="1499"/>
    </row>
    <row r="32" spans="1:26" ht="34.049999999999997" customHeight="1" x14ac:dyDescent="0.3">
      <c r="A32" s="1532" t="s">
        <v>2147</v>
      </c>
      <c r="B32" s="1530" t="s">
        <v>2332</v>
      </c>
      <c r="C32" s="1530" t="s">
        <v>2369</v>
      </c>
      <c r="D32" s="1531" t="s">
        <v>2370</v>
      </c>
      <c r="E32" s="1531" t="s">
        <v>2371</v>
      </c>
      <c r="F32" s="1531" t="s">
        <v>2372</v>
      </c>
      <c r="G32" s="1530" t="s">
        <v>2373</v>
      </c>
      <c r="H32" s="1530" t="s">
        <v>2374</v>
      </c>
      <c r="I32" s="1531" t="s">
        <v>2375</v>
      </c>
      <c r="J32" s="1533" t="s">
        <v>2376</v>
      </c>
      <c r="K32" s="316"/>
      <c r="L32" s="267"/>
      <c r="M32" s="267"/>
      <c r="N32" s="267"/>
      <c r="O32" s="1498"/>
      <c r="P32" s="1498"/>
      <c r="Q32" s="1498"/>
      <c r="R32" s="1498"/>
      <c r="S32" s="1498"/>
      <c r="T32" s="1498"/>
      <c r="U32" s="1498"/>
      <c r="V32" s="1498"/>
      <c r="W32" s="1498"/>
      <c r="X32" s="1498"/>
      <c r="Y32" s="1498"/>
      <c r="Z32" s="1499"/>
    </row>
    <row r="33" spans="1:26" ht="6" customHeight="1" x14ac:dyDescent="0.3">
      <c r="A33" s="1528"/>
      <c r="B33" s="1529"/>
      <c r="C33" s="1529"/>
      <c r="D33" s="1529"/>
      <c r="E33" s="1529"/>
      <c r="F33" s="1529"/>
      <c r="G33" s="1529"/>
      <c r="H33" s="1529"/>
      <c r="I33" s="1529"/>
      <c r="J33" s="1529"/>
      <c r="K33" s="266"/>
      <c r="L33" s="266"/>
      <c r="M33" s="266"/>
      <c r="N33" s="266"/>
      <c r="O33" s="1498"/>
      <c r="P33" s="1498"/>
      <c r="Q33" s="1498"/>
      <c r="R33" s="1498"/>
      <c r="S33" s="1498"/>
      <c r="T33" s="1498"/>
      <c r="U33" s="1498"/>
      <c r="V33" s="1498"/>
      <c r="W33" s="1498"/>
      <c r="X33" s="1498"/>
      <c r="Y33" s="1498"/>
      <c r="Z33" s="1499"/>
    </row>
    <row r="34" spans="1:26" ht="22.05" customHeight="1" x14ac:dyDescent="0.3">
      <c r="A34" s="3936" t="s">
        <v>2377</v>
      </c>
      <c r="B34" s="3937"/>
      <c r="C34" s="3937"/>
      <c r="D34" s="3937"/>
      <c r="E34" s="3364"/>
      <c r="F34" s="3364"/>
      <c r="G34" s="3364"/>
      <c r="H34" s="3364"/>
      <c r="I34" s="3364"/>
      <c r="J34" s="3364"/>
      <c r="K34" s="3364"/>
      <c r="L34" s="3364"/>
      <c r="M34" s="3364"/>
      <c r="N34" s="3364"/>
      <c r="O34" s="3938"/>
      <c r="P34" s="3938"/>
      <c r="Q34" s="3938"/>
      <c r="R34" s="3938"/>
      <c r="S34" s="3938"/>
      <c r="T34" s="3938"/>
      <c r="U34" s="3938"/>
      <c r="V34" s="3938"/>
      <c r="W34" s="3938"/>
      <c r="X34" s="3938"/>
      <c r="Y34" s="3938"/>
      <c r="Z34" s="3939"/>
    </row>
    <row r="35" spans="1:26" ht="24" customHeight="1" x14ac:dyDescent="0.3">
      <c r="A35" s="1607" t="s">
        <v>2378</v>
      </c>
      <c r="B35" s="1608">
        <f>COUNTA(A13:A24)</f>
        <v>12</v>
      </c>
      <c r="C35" s="1609" t="s">
        <v>103</v>
      </c>
      <c r="D35" s="1610" t="s">
        <v>2379</v>
      </c>
      <c r="E35" s="315"/>
      <c r="F35" s="266"/>
      <c r="G35" s="266"/>
      <c r="H35" s="266"/>
      <c r="I35" s="266"/>
      <c r="J35" s="266"/>
      <c r="K35" s="266"/>
      <c r="L35" s="266"/>
      <c r="M35" s="266"/>
      <c r="N35" s="266"/>
      <c r="O35" s="1498"/>
      <c r="P35" s="1498"/>
      <c r="Q35" s="1498"/>
      <c r="R35" s="1498"/>
      <c r="S35" s="1498"/>
      <c r="T35" s="1498"/>
      <c r="U35" s="1498"/>
      <c r="V35" s="1498"/>
      <c r="W35" s="1498"/>
      <c r="X35" s="1498"/>
      <c r="Y35" s="1498"/>
      <c r="Z35" s="1499"/>
    </row>
    <row r="36" spans="1:26" ht="24" customHeight="1" x14ac:dyDescent="0.3">
      <c r="A36" s="1611" t="s">
        <v>2380</v>
      </c>
      <c r="B36" s="1612">
        <f>COUNTIF(D13:D24,"⭐ EXCELENTE")</f>
        <v>1</v>
      </c>
      <c r="C36" s="1613">
        <v>8.3000000000000004E-2</v>
      </c>
      <c r="D36" s="1614" t="s">
        <v>2381</v>
      </c>
      <c r="E36" s="316"/>
      <c r="F36" s="267"/>
      <c r="G36" s="267"/>
      <c r="H36" s="267"/>
      <c r="I36" s="267"/>
      <c r="J36" s="267"/>
      <c r="K36" s="267"/>
      <c r="L36" s="267"/>
      <c r="M36" s="267"/>
      <c r="N36" s="267"/>
      <c r="O36" s="1498"/>
      <c r="P36" s="1498"/>
      <c r="Q36" s="1498"/>
      <c r="R36" s="1498"/>
      <c r="S36" s="1498"/>
      <c r="T36" s="1498"/>
      <c r="U36" s="1498"/>
      <c r="V36" s="1498"/>
      <c r="W36" s="1498"/>
      <c r="X36" s="1498"/>
      <c r="Y36" s="1498"/>
      <c r="Z36" s="1499"/>
    </row>
    <row r="37" spans="1:26" ht="24" customHeight="1" x14ac:dyDescent="0.3">
      <c r="A37" s="1616" t="s">
        <v>2382</v>
      </c>
      <c r="B37" s="1617">
        <f>COUNTIF(D13:D24,"✅ MUY BUENO")</f>
        <v>0</v>
      </c>
      <c r="C37" s="1618">
        <v>0</v>
      </c>
      <c r="D37" s="1619" t="s">
        <v>2383</v>
      </c>
      <c r="E37" s="315"/>
      <c r="F37" s="266"/>
      <c r="G37" s="266"/>
      <c r="H37" s="266"/>
      <c r="I37" s="266"/>
      <c r="J37" s="266"/>
      <c r="K37" s="266"/>
      <c r="L37" s="266"/>
      <c r="M37" s="266"/>
      <c r="N37" s="266"/>
      <c r="O37" s="1498"/>
      <c r="P37" s="1498"/>
      <c r="Q37" s="1498"/>
      <c r="R37" s="1498"/>
      <c r="S37" s="1498"/>
      <c r="T37" s="1498"/>
      <c r="U37" s="1498"/>
      <c r="V37" s="1498"/>
      <c r="W37" s="1498"/>
      <c r="X37" s="1498"/>
      <c r="Y37" s="1498"/>
      <c r="Z37" s="1499"/>
    </row>
    <row r="38" spans="1:26" ht="24" customHeight="1" x14ac:dyDescent="0.3">
      <c r="A38" s="1611" t="s">
        <v>2384</v>
      </c>
      <c r="B38" s="1612">
        <f>COUNTIF(D13:D24,"🟢 SATISFACTORIO")</f>
        <v>2</v>
      </c>
      <c r="C38" s="1613">
        <v>0.16700000000000001</v>
      </c>
      <c r="D38" s="1620" t="s">
        <v>2385</v>
      </c>
      <c r="E38" s="316"/>
      <c r="F38" s="267"/>
      <c r="G38" s="267"/>
      <c r="H38" s="267"/>
      <c r="I38" s="267"/>
      <c r="J38" s="267"/>
      <c r="K38" s="267"/>
      <c r="L38" s="267"/>
      <c r="M38" s="267"/>
      <c r="N38" s="267"/>
      <c r="O38" s="1498"/>
      <c r="P38" s="1498"/>
      <c r="Q38" s="1498"/>
      <c r="R38" s="1498"/>
      <c r="S38" s="1498"/>
      <c r="T38" s="1498"/>
      <c r="U38" s="1498"/>
      <c r="V38" s="1498"/>
      <c r="W38" s="1498"/>
      <c r="X38" s="1498"/>
      <c r="Y38" s="1498"/>
      <c r="Z38" s="1499"/>
    </row>
    <row r="39" spans="1:26" ht="24" customHeight="1" x14ac:dyDescent="0.3">
      <c r="A39" s="1621" t="s">
        <v>2386</v>
      </c>
      <c r="B39" s="1617">
        <f>COUNTIF(D13:D24,"🟡 REGULAR")</f>
        <v>0</v>
      </c>
      <c r="C39" s="1618">
        <v>0</v>
      </c>
      <c r="D39" s="1619" t="s">
        <v>2383</v>
      </c>
      <c r="E39" s="315"/>
      <c r="F39" s="266"/>
      <c r="G39" s="266"/>
      <c r="H39" s="266"/>
      <c r="I39" s="266"/>
      <c r="J39" s="266"/>
      <c r="K39" s="266"/>
      <c r="L39" s="266"/>
      <c r="M39" s="266"/>
      <c r="N39" s="266"/>
      <c r="O39" s="1498"/>
      <c r="P39" s="1498"/>
      <c r="Q39" s="1498"/>
      <c r="R39" s="1498"/>
      <c r="S39" s="1498"/>
      <c r="T39" s="1498"/>
      <c r="U39" s="1498"/>
      <c r="V39" s="1498"/>
      <c r="W39" s="1498"/>
      <c r="X39" s="1498"/>
      <c r="Y39" s="1498"/>
      <c r="Z39" s="1499"/>
    </row>
    <row r="40" spans="1:26" ht="24" customHeight="1" x14ac:dyDescent="0.3">
      <c r="A40" s="1623" t="s">
        <v>2387</v>
      </c>
      <c r="B40" s="1624">
        <f>COUNTIF(D13:D24,"🔴 INACEPTABLE")</f>
        <v>9</v>
      </c>
      <c r="C40" s="1625">
        <v>0.75</v>
      </c>
      <c r="D40" s="1626" t="s">
        <v>2388</v>
      </c>
      <c r="E40" s="316"/>
      <c r="F40" s="267"/>
      <c r="G40" s="267"/>
      <c r="H40" s="267"/>
      <c r="I40" s="267"/>
      <c r="J40" s="267"/>
      <c r="K40" s="267"/>
      <c r="L40" s="267"/>
      <c r="M40" s="267"/>
      <c r="N40" s="267"/>
      <c r="O40" s="1498"/>
      <c r="P40" s="1498"/>
      <c r="Q40" s="1498"/>
      <c r="R40" s="1498"/>
      <c r="S40" s="1498"/>
      <c r="T40" s="1498"/>
      <c r="U40" s="1498"/>
      <c r="V40" s="1498"/>
      <c r="W40" s="1498"/>
      <c r="X40" s="1498"/>
      <c r="Y40" s="1498"/>
      <c r="Z40" s="1499"/>
    </row>
    <row r="41" spans="1:26" ht="24" customHeight="1" x14ac:dyDescent="0.3">
      <c r="A41" s="1627" t="s">
        <v>2389</v>
      </c>
      <c r="B41" s="1628">
        <f>'M5-ICPI'!G29/100</f>
        <v>0.38276612249694109</v>
      </c>
      <c r="C41" s="1629" t="s">
        <v>103</v>
      </c>
      <c r="D41" s="1630" t="str">
        <f>"Vs ICM SIGAD "&amp;TEXT('M-TECH-PARAMS'!B7*100,"0,00")&amp;"% → Brecha "&amp;TEXT('M5-ICPI'!G29-'M-TECH-PARAMS'!B7*100,"0,00")&amp;" pp"</f>
        <v>Vs ICM SIGAD 100,00% → Brecha -61,72 pp</v>
      </c>
      <c r="E41" s="315"/>
      <c r="F41" s="266"/>
      <c r="G41" s="266"/>
      <c r="H41" s="266"/>
      <c r="I41" s="266"/>
      <c r="J41" s="266"/>
      <c r="K41" s="266"/>
      <c r="L41" s="266"/>
      <c r="M41" s="266"/>
      <c r="N41" s="266"/>
      <c r="O41" s="1498"/>
      <c r="P41" s="1498"/>
      <c r="Q41" s="1498"/>
      <c r="R41" s="1498"/>
      <c r="S41" s="1498"/>
      <c r="T41" s="1498"/>
      <c r="U41" s="1498"/>
      <c r="V41" s="1498"/>
      <c r="W41" s="1498"/>
      <c r="X41" s="1498"/>
      <c r="Y41" s="1498"/>
      <c r="Z41" s="1499"/>
    </row>
    <row r="42" spans="1:26" ht="24" customHeight="1" x14ac:dyDescent="0.3">
      <c r="A42" s="1631" t="s">
        <v>2390</v>
      </c>
      <c r="B42" s="1632">
        <f>'DATA-CED'!N25</f>
        <v>0</v>
      </c>
      <c r="C42" s="1633" t="s">
        <v>103</v>
      </c>
      <c r="D42" s="1580" t="s">
        <v>2391</v>
      </c>
      <c r="E42" s="316"/>
      <c r="F42" s="267"/>
      <c r="G42" s="267"/>
      <c r="H42" s="267"/>
      <c r="I42" s="267"/>
      <c r="J42" s="267"/>
      <c r="K42" s="267"/>
      <c r="L42" s="267"/>
      <c r="M42" s="267"/>
      <c r="N42" s="267"/>
      <c r="O42" s="1498"/>
      <c r="P42" s="1498"/>
      <c r="Q42" s="1498"/>
      <c r="R42" s="1498"/>
      <c r="S42" s="1498"/>
      <c r="T42" s="1498"/>
      <c r="U42" s="1498"/>
      <c r="V42" s="1498"/>
      <c r="W42" s="1498"/>
      <c r="X42" s="1498"/>
      <c r="Y42" s="1498"/>
      <c r="Z42" s="1499"/>
    </row>
    <row r="43" spans="1:26" ht="24" customHeight="1" x14ac:dyDescent="0.3">
      <c r="A43" s="1638" t="s">
        <v>2392</v>
      </c>
      <c r="B43" s="1639" t="str">
        <f>COUNTIF('M4-AUDIT'!X5:X24,1)&amp;"/"&amp;COUNTA('M4-AUDIT'!A5:A24)</f>
        <v>8/20</v>
      </c>
      <c r="C43" s="1640">
        <f>IFERROR(COUNTIF('M4-AUDIT'!X5:X24,1)/COUNTA('M4-AUDIT'!A5:A24),0)</f>
        <v>0.4</v>
      </c>
      <c r="D43" s="1615" t="s">
        <v>2393</v>
      </c>
      <c r="E43" s="315"/>
      <c r="F43" s="266"/>
      <c r="G43" s="266"/>
      <c r="H43" s="266"/>
      <c r="I43" s="266"/>
      <c r="J43" s="266"/>
      <c r="K43" s="266"/>
      <c r="L43" s="266"/>
      <c r="M43" s="266"/>
      <c r="N43" s="266"/>
      <c r="O43" s="1498"/>
      <c r="P43" s="1498"/>
      <c r="Q43" s="1498"/>
      <c r="R43" s="1498"/>
      <c r="S43" s="1498"/>
      <c r="T43" s="1498"/>
      <c r="U43" s="1498"/>
      <c r="V43" s="1498"/>
      <c r="W43" s="1498"/>
      <c r="X43" s="1498"/>
      <c r="Y43" s="1498"/>
      <c r="Z43" s="1499"/>
    </row>
    <row r="44" spans="1:26" ht="6" customHeight="1" x14ac:dyDescent="0.3">
      <c r="A44" s="1634" t="s">
        <v>2394</v>
      </c>
      <c r="B44" s="1635" t="str">
        <f>COUNTA('M4-AUDIT'!A5:A24)-COUNTIF('M4-AUDIT'!X5:X24,1)&amp;"/"&amp;COUNTA('M4-AUDIT'!A5:A24)</f>
        <v>12/20</v>
      </c>
      <c r="C44" s="1636">
        <f>1-IFERROR(COUNTIF('M4-AUDIT'!X5:X24,1)/COUNTA('M4-AUDIT'!A5:A24),0)</f>
        <v>0.6</v>
      </c>
      <c r="D44" s="1637" t="s">
        <v>2395</v>
      </c>
      <c r="E44" s="316"/>
      <c r="F44" s="267"/>
      <c r="G44" s="267"/>
      <c r="H44" s="267"/>
      <c r="I44" s="267"/>
      <c r="J44" s="267"/>
      <c r="K44" s="267"/>
      <c r="L44" s="267"/>
      <c r="M44" s="267"/>
      <c r="N44" s="267"/>
      <c r="O44" s="1498"/>
      <c r="P44" s="1498"/>
      <c r="Q44" s="1498"/>
      <c r="R44" s="1498"/>
      <c r="S44" s="1498"/>
      <c r="T44" s="1498"/>
      <c r="U44" s="1498"/>
      <c r="V44" s="1498"/>
      <c r="W44" s="1498"/>
      <c r="X44" s="1498"/>
      <c r="Y44" s="1498"/>
      <c r="Z44" s="1499"/>
    </row>
    <row r="45" spans="1:26" ht="22.05" customHeight="1" x14ac:dyDescent="0.3">
      <c r="A45" s="3948" t="s">
        <v>2396</v>
      </c>
      <c r="B45" s="3949"/>
      <c r="C45" s="3949"/>
      <c r="D45" s="3949"/>
      <c r="E45" s="3937"/>
      <c r="F45" s="3937"/>
      <c r="G45" s="3937"/>
      <c r="H45" s="3937"/>
      <c r="I45" s="3364"/>
      <c r="J45" s="3364"/>
      <c r="K45" s="3364"/>
      <c r="L45" s="3364"/>
      <c r="M45" s="3364"/>
      <c r="N45" s="3364"/>
      <c r="O45" s="3938"/>
      <c r="P45" s="3938"/>
      <c r="Q45" s="3938"/>
      <c r="R45" s="3938"/>
      <c r="S45" s="3938"/>
      <c r="T45" s="3938"/>
      <c r="U45" s="3938"/>
      <c r="V45" s="3938"/>
      <c r="W45" s="3938"/>
      <c r="X45" s="3938"/>
      <c r="Y45" s="3938"/>
      <c r="Z45" s="3939"/>
    </row>
    <row r="46" spans="1:26" ht="28.05" customHeight="1" x14ac:dyDescent="0.3">
      <c r="A46" s="1550" t="s">
        <v>2280</v>
      </c>
      <c r="B46" s="1542" t="s">
        <v>2397</v>
      </c>
      <c r="C46" s="1543" t="s">
        <v>2398</v>
      </c>
      <c r="D46" s="1544" t="s">
        <v>2399</v>
      </c>
      <c r="E46" s="1544" t="s">
        <v>2400</v>
      </c>
      <c r="F46" s="1544" t="s">
        <v>2401</v>
      </c>
      <c r="G46" s="1544" t="s">
        <v>2109</v>
      </c>
      <c r="H46" s="1552" t="s">
        <v>123</v>
      </c>
      <c r="I46" s="316"/>
      <c r="J46" s="267"/>
      <c r="K46" s="267"/>
      <c r="L46" s="267"/>
      <c r="M46" s="267"/>
      <c r="N46" s="267"/>
      <c r="O46" s="1498"/>
      <c r="P46" s="1498"/>
      <c r="Q46" s="1498"/>
      <c r="R46" s="1498"/>
      <c r="S46" s="1498"/>
      <c r="T46" s="1498"/>
      <c r="U46" s="1498"/>
      <c r="V46" s="1498"/>
      <c r="W46" s="1498"/>
      <c r="X46" s="1498"/>
      <c r="Y46" s="1498"/>
      <c r="Z46" s="1499"/>
    </row>
    <row r="47" spans="1:26" ht="34.049999999999997" customHeight="1" x14ac:dyDescent="0.3">
      <c r="A47" s="1535" t="s">
        <v>2402</v>
      </c>
      <c r="B47" s="1505" t="s">
        <v>2403</v>
      </c>
      <c r="C47" s="1506" t="s">
        <v>2404</v>
      </c>
      <c r="D47" s="1507" t="s">
        <v>2405</v>
      </c>
      <c r="E47" s="1504" t="s">
        <v>2406</v>
      </c>
      <c r="F47" s="1507" t="s">
        <v>2407</v>
      </c>
      <c r="G47" s="1508" t="s">
        <v>2408</v>
      </c>
      <c r="H47" s="1537" t="s">
        <v>209</v>
      </c>
      <c r="I47" s="315"/>
      <c r="J47" s="266"/>
      <c r="K47" s="266"/>
      <c r="L47" s="266"/>
      <c r="M47" s="266"/>
      <c r="N47" s="266"/>
      <c r="O47" s="1498"/>
      <c r="P47" s="1498"/>
      <c r="Q47" s="1498"/>
      <c r="R47" s="1498"/>
      <c r="S47" s="1498"/>
      <c r="T47" s="1498"/>
      <c r="U47" s="1498"/>
      <c r="V47" s="1498"/>
      <c r="W47" s="1498"/>
      <c r="X47" s="1498"/>
      <c r="Y47" s="1498"/>
      <c r="Z47" s="1499"/>
    </row>
    <row r="48" spans="1:26" ht="34.049999999999997" customHeight="1" x14ac:dyDescent="0.3">
      <c r="A48" s="1534" t="s">
        <v>2409</v>
      </c>
      <c r="B48" s="1509" t="s">
        <v>2410</v>
      </c>
      <c r="C48" s="1502" t="s">
        <v>2411</v>
      </c>
      <c r="D48" s="1511" t="s">
        <v>2412</v>
      </c>
      <c r="E48" s="1107" t="s">
        <v>2413</v>
      </c>
      <c r="F48" s="1503" t="s">
        <v>2414</v>
      </c>
      <c r="G48" s="1510" t="s">
        <v>2415</v>
      </c>
      <c r="H48" s="1536" t="s">
        <v>209</v>
      </c>
      <c r="I48" s="316"/>
      <c r="J48" s="267"/>
      <c r="K48" s="267"/>
      <c r="L48" s="267"/>
      <c r="M48" s="267"/>
      <c r="N48" s="267"/>
      <c r="O48" s="1498"/>
      <c r="P48" s="1498"/>
      <c r="Q48" s="1498"/>
      <c r="R48" s="1498"/>
      <c r="S48" s="1498"/>
      <c r="T48" s="1498"/>
      <c r="U48" s="1498"/>
      <c r="V48" s="1498"/>
      <c r="W48" s="1498"/>
      <c r="X48" s="1498"/>
      <c r="Y48" s="1498"/>
      <c r="Z48" s="1499"/>
    </row>
    <row r="49" spans="1:26" ht="34.049999999999997" customHeight="1" x14ac:dyDescent="0.3">
      <c r="A49" s="1551" t="s">
        <v>2416</v>
      </c>
      <c r="B49" s="1545" t="s">
        <v>2417</v>
      </c>
      <c r="C49" s="1546" t="s">
        <v>2418</v>
      </c>
      <c r="D49" s="1547" t="str">
        <f>"SIITH urgente: "&amp;COUNTIF(D13:D24,"🔴 INACEPTABLE")&amp;" dirs ("&amp;TEXT(COUNTIF(D13:D24,"🔴 INACEPTABLE")/COUNTA(A13:A24),"0%")&amp;") → Sumario LOSEP Art.80"</f>
        <v>SIITH urgente: 9 dirs (75%) → Sumario LOSEP Art.80</v>
      </c>
      <c r="E49" s="1548" t="s">
        <v>2419</v>
      </c>
      <c r="F49" s="1547" t="s">
        <v>2420</v>
      </c>
      <c r="G49" s="1549" t="s">
        <v>2421</v>
      </c>
      <c r="H49" s="1553" t="s">
        <v>2374</v>
      </c>
      <c r="I49" s="315"/>
      <c r="J49" s="266"/>
      <c r="K49" s="266"/>
      <c r="L49" s="266"/>
      <c r="M49" s="266"/>
      <c r="N49" s="266"/>
      <c r="O49" s="1498"/>
      <c r="P49" s="1498"/>
      <c r="Q49" s="1498"/>
      <c r="R49" s="1498"/>
      <c r="S49" s="1498"/>
      <c r="T49" s="1498"/>
      <c r="U49" s="1498"/>
      <c r="V49" s="1498"/>
      <c r="W49" s="1498"/>
      <c r="X49" s="1498"/>
      <c r="Y49" s="1498"/>
      <c r="Z49" s="1499"/>
    </row>
    <row r="50" spans="1:26" ht="6" customHeight="1" x14ac:dyDescent="0.3">
      <c r="A50" s="1538"/>
      <c r="B50" s="1539"/>
      <c r="C50" s="1540"/>
      <c r="D50" s="1541"/>
      <c r="E50" s="1541"/>
      <c r="F50" s="1541"/>
      <c r="G50" s="1541"/>
      <c r="H50" s="1541"/>
      <c r="I50" s="267"/>
      <c r="J50" s="267"/>
      <c r="K50" s="267"/>
      <c r="L50" s="267"/>
      <c r="M50" s="267"/>
      <c r="N50" s="267"/>
      <c r="O50" s="1498"/>
      <c r="P50" s="1498"/>
      <c r="Q50" s="1498"/>
      <c r="R50" s="1498"/>
      <c r="S50" s="1498"/>
      <c r="T50" s="1498"/>
      <c r="U50" s="1498"/>
      <c r="V50" s="1498"/>
      <c r="W50" s="1498"/>
      <c r="X50" s="1498"/>
      <c r="Y50" s="1498"/>
      <c r="Z50" s="1499"/>
    </row>
    <row r="51" spans="1:26" ht="22.05" customHeight="1" x14ac:dyDescent="0.3">
      <c r="A51" s="3936" t="s">
        <v>2422</v>
      </c>
      <c r="B51" s="3937"/>
      <c r="C51" s="3937"/>
      <c r="D51" s="3364"/>
      <c r="E51" s="3364"/>
      <c r="F51" s="3364"/>
      <c r="G51" s="3364"/>
      <c r="H51" s="3364"/>
      <c r="I51" s="3364"/>
      <c r="J51" s="3364"/>
      <c r="K51" s="3364"/>
      <c r="L51" s="3364"/>
      <c r="M51" s="3364"/>
      <c r="N51" s="3364"/>
      <c r="O51" s="3938"/>
      <c r="P51" s="3938"/>
      <c r="Q51" s="3938"/>
      <c r="R51" s="3938"/>
      <c r="S51" s="3938"/>
      <c r="T51" s="3938"/>
      <c r="U51" s="3938"/>
      <c r="V51" s="3938"/>
      <c r="W51" s="3938"/>
      <c r="X51" s="3938"/>
      <c r="Y51" s="3938"/>
      <c r="Z51" s="3939"/>
    </row>
    <row r="52" spans="1:26" ht="28.05" customHeight="1" x14ac:dyDescent="0.3">
      <c r="A52" s="1641" t="s">
        <v>2423</v>
      </c>
      <c r="B52" s="1642" t="s">
        <v>2424</v>
      </c>
      <c r="C52" s="1643" t="s">
        <v>2425</v>
      </c>
      <c r="D52" s="316"/>
      <c r="E52" s="267"/>
      <c r="F52" s="267"/>
      <c r="G52" s="267"/>
      <c r="H52" s="267"/>
      <c r="I52" s="267"/>
      <c r="J52" s="267"/>
      <c r="K52" s="267"/>
      <c r="L52" s="267"/>
      <c r="M52" s="267"/>
      <c r="N52" s="267"/>
      <c r="O52" s="1498"/>
      <c r="P52" s="1498"/>
      <c r="Q52" s="1498"/>
      <c r="R52" s="1498"/>
      <c r="S52" s="1498"/>
      <c r="T52" s="1498"/>
      <c r="U52" s="1498"/>
      <c r="V52" s="1498"/>
      <c r="W52" s="1498"/>
      <c r="X52" s="1498"/>
      <c r="Y52" s="1498"/>
      <c r="Z52" s="1499"/>
    </row>
    <row r="53" spans="1:26" ht="28.05" customHeight="1" x14ac:dyDescent="0.3">
      <c r="A53" s="1644" t="s">
        <v>2426</v>
      </c>
      <c r="B53" s="1645" t="str">
        <f>'M-TECH-GAD'!B6</f>
        <v>Gobierno Autónomo Descentralizado Municipal de Montecristi</v>
      </c>
      <c r="C53" s="1646" t="s">
        <v>2427</v>
      </c>
      <c r="D53" s="315"/>
      <c r="E53" s="266"/>
      <c r="F53" s="266"/>
      <c r="G53" s="266"/>
      <c r="H53" s="266"/>
      <c r="I53" s="266"/>
      <c r="J53" s="266"/>
      <c r="K53" s="266"/>
      <c r="L53" s="266"/>
      <c r="M53" s="266"/>
      <c r="N53" s="266"/>
      <c r="O53" s="1498"/>
      <c r="P53" s="1498"/>
      <c r="Q53" s="1498"/>
      <c r="R53" s="1498"/>
      <c r="S53" s="1498"/>
      <c r="T53" s="1498"/>
      <c r="U53" s="1498"/>
      <c r="V53" s="1498"/>
      <c r="W53" s="1498"/>
      <c r="X53" s="1498"/>
      <c r="Y53" s="1498"/>
      <c r="Z53" s="1499"/>
    </row>
    <row r="54" spans="1:26" ht="28.05" customHeight="1" x14ac:dyDescent="0.3">
      <c r="A54" s="1631" t="s">
        <v>2428</v>
      </c>
      <c r="B54" s="1647" t="str">
        <f>ROUND('M5-ICPI'!G29,2)&amp;"%"</f>
        <v>38,28%</v>
      </c>
      <c r="C54" s="1648" t="str">
        <f>"Índice CININ consolidado vs ICM SIGAD "&amp;TEXT('M-TECH-PARAMS'!B7*100,"0,00")&amp;"% → Brecha "&amp;TEXT('M5-ICPI'!G29-'M-TECH-PARAMS'!B7*100,"0,00")&amp;" pp — Gestión por Ocurrencia"</f>
        <v>Índice CININ consolidado vs ICM SIGAD 100,00% → Brecha -61,72 pp — Gestión por Ocurrencia</v>
      </c>
      <c r="D54" s="316"/>
      <c r="E54" s="267"/>
      <c r="F54" s="267"/>
      <c r="G54" s="267"/>
      <c r="H54" s="267"/>
      <c r="I54" s="267"/>
      <c r="J54" s="267"/>
      <c r="K54" s="267"/>
      <c r="L54" s="267"/>
      <c r="M54" s="267"/>
      <c r="N54" s="267"/>
      <c r="O54" s="1498"/>
      <c r="P54" s="1498"/>
      <c r="Q54" s="1498"/>
      <c r="R54" s="1498"/>
      <c r="S54" s="1498"/>
      <c r="T54" s="1498"/>
      <c r="U54" s="1498"/>
      <c r="V54" s="1498"/>
      <c r="W54" s="1498"/>
      <c r="X54" s="1498"/>
      <c r="Y54" s="1498"/>
      <c r="Z54" s="1499"/>
    </row>
    <row r="55" spans="1:26" ht="28.05" customHeight="1" x14ac:dyDescent="0.3">
      <c r="A55" s="1644" t="s">
        <v>2429</v>
      </c>
      <c r="B55" s="1649" t="str">
        <f>ROUND('DATA-CED'!N25*100,1)&amp;"%"</f>
        <v>0%</v>
      </c>
      <c r="C55" s="1650" t="s">
        <v>2430</v>
      </c>
      <c r="D55" s="315"/>
      <c r="E55" s="266"/>
      <c r="F55" s="266"/>
      <c r="G55" s="266"/>
      <c r="H55" s="266"/>
      <c r="I55" s="266"/>
      <c r="J55" s="266"/>
      <c r="K55" s="266"/>
      <c r="L55" s="266"/>
      <c r="M55" s="266"/>
      <c r="N55" s="266"/>
      <c r="O55" s="1498"/>
      <c r="P55" s="1498"/>
      <c r="Q55" s="1498"/>
      <c r="R55" s="1498"/>
      <c r="S55" s="1498"/>
      <c r="T55" s="1498"/>
      <c r="U55" s="1498"/>
      <c r="V55" s="1498"/>
      <c r="W55" s="1498"/>
      <c r="X55" s="1498"/>
      <c r="Y55" s="1498"/>
      <c r="Z55" s="1499"/>
    </row>
    <row r="56" spans="1:26" ht="28.05" customHeight="1" x14ac:dyDescent="0.3">
      <c r="A56" s="1631" t="s">
        <v>2431</v>
      </c>
      <c r="B56" s="1647" t="str">
        <f>COUNTIF('M4-AUDIT'!X5:X24,1)&amp;"/"&amp;COUNTA('M4-AUDIT'!A5:A24)</f>
        <v>8/20</v>
      </c>
      <c r="C56" s="1651" t="s">
        <v>2432</v>
      </c>
      <c r="D56" s="316"/>
      <c r="E56" s="267"/>
      <c r="F56" s="267"/>
      <c r="G56" s="267"/>
      <c r="H56" s="267"/>
      <c r="I56" s="267"/>
      <c r="J56" s="267"/>
      <c r="K56" s="267"/>
      <c r="L56" s="267"/>
      <c r="M56" s="267"/>
      <c r="N56" s="267"/>
      <c r="O56" s="1498"/>
      <c r="P56" s="1498"/>
      <c r="Q56" s="1498"/>
      <c r="R56" s="1498"/>
      <c r="S56" s="1498"/>
      <c r="T56" s="1498"/>
      <c r="U56" s="1498"/>
      <c r="V56" s="1498"/>
      <c r="W56" s="1498"/>
      <c r="X56" s="1498"/>
      <c r="Y56" s="1498"/>
      <c r="Z56" s="1499"/>
    </row>
    <row r="57" spans="1:26" ht="28.05" customHeight="1" x14ac:dyDescent="0.3">
      <c r="A57" s="1616" t="s">
        <v>2433</v>
      </c>
      <c r="B57" s="1652" t="str">
        <f>COUNTIF(D13:D24,"⭐ EXCELENTE")+COUNTIF(D13:D24,"✅ MUY BUENO")+COUNTIF(D13:D24,"🟢 SATISFACTORIO")&amp;" / "&amp;COUNTA(A13:A24)</f>
        <v>3 / 12</v>
      </c>
      <c r="C57" s="1653" t="s">
        <v>2434</v>
      </c>
      <c r="D57" s="315"/>
      <c r="E57" s="266"/>
      <c r="F57" s="266"/>
      <c r="G57" s="266"/>
      <c r="H57" s="266"/>
      <c r="I57" s="266"/>
      <c r="J57" s="266"/>
      <c r="K57" s="266"/>
      <c r="L57" s="266"/>
      <c r="M57" s="266"/>
      <c r="N57" s="266"/>
      <c r="O57" s="1498"/>
      <c r="P57" s="1498"/>
      <c r="Q57" s="1498"/>
      <c r="R57" s="1498"/>
      <c r="S57" s="1498"/>
      <c r="T57" s="1498"/>
      <c r="U57" s="1498"/>
      <c r="V57" s="1498"/>
      <c r="W57" s="1498"/>
      <c r="X57" s="1498"/>
      <c r="Y57" s="1498"/>
      <c r="Z57" s="1499"/>
    </row>
    <row r="58" spans="1:26" ht="28.05" customHeight="1" x14ac:dyDescent="0.3">
      <c r="A58" s="1622" t="s">
        <v>2435</v>
      </c>
      <c r="B58" s="1657" t="str">
        <f>COUNTIF(D13:D24,"🔴 INACEPTABLE")&amp;" / "&amp;COUNTA(A13:A24)&amp;" — "&amp;TEXT(COUNTIF(D13:D24,"🔴 INACEPTABLE")/COUNTA(A13:A24),"0%")</f>
        <v>9 / 12 — 75%</v>
      </c>
      <c r="C58" s="1658" t="s">
        <v>2436</v>
      </c>
      <c r="D58" s="316"/>
      <c r="E58" s="267"/>
      <c r="F58" s="267"/>
      <c r="G58" s="267"/>
      <c r="H58" s="267"/>
      <c r="I58" s="267"/>
      <c r="J58" s="267"/>
      <c r="K58" s="267"/>
      <c r="L58" s="267"/>
      <c r="M58" s="267"/>
      <c r="N58" s="267"/>
      <c r="O58" s="1498"/>
      <c r="P58" s="1498"/>
      <c r="Q58" s="1498"/>
      <c r="R58" s="1498"/>
      <c r="S58" s="1498"/>
      <c r="T58" s="1498"/>
      <c r="U58" s="1498"/>
      <c r="V58" s="1498"/>
      <c r="W58" s="1498"/>
      <c r="X58" s="1498"/>
      <c r="Y58" s="1498"/>
      <c r="Z58" s="1499"/>
    </row>
    <row r="59" spans="1:26" ht="28.05" customHeight="1" x14ac:dyDescent="0.3">
      <c r="A59" s="1654" t="s">
        <v>2437</v>
      </c>
      <c r="B59" s="1655" t="s">
        <v>2438</v>
      </c>
      <c r="C59" s="1656" t="s">
        <v>2439</v>
      </c>
      <c r="D59" s="642"/>
      <c r="E59" s="519"/>
      <c r="F59" s="519"/>
      <c r="G59" s="519"/>
      <c r="H59" s="519"/>
      <c r="I59" s="519"/>
      <c r="J59" s="519"/>
      <c r="K59" s="519"/>
      <c r="L59" s="519"/>
      <c r="M59" s="519"/>
      <c r="N59" s="519"/>
      <c r="O59" s="1500"/>
      <c r="P59" s="1500"/>
      <c r="Q59" s="1500"/>
      <c r="R59" s="1500"/>
      <c r="S59" s="1500"/>
      <c r="T59" s="1500"/>
      <c r="U59" s="1500"/>
      <c r="V59" s="1500"/>
      <c r="W59" s="1500"/>
      <c r="X59" s="1500"/>
      <c r="Y59" s="1500"/>
      <c r="Z59" s="1501"/>
    </row>
  </sheetData>
  <mergeCells count="8">
    <mergeCell ref="A51:Z51"/>
    <mergeCell ref="A1:Z1"/>
    <mergeCell ref="A4:Z4"/>
    <mergeCell ref="A3:Z3"/>
    <mergeCell ref="A11:Z11"/>
    <mergeCell ref="A26:Z26"/>
    <mergeCell ref="A34:Z34"/>
    <mergeCell ref="A45:Z45"/>
  </mergeCells>
  <conditionalFormatting sqref="A28:A32">
    <cfRule type="containsText" dxfId="237" priority="23" operator="containsText" text="EXCELENTE">
      <formula>NOT(ISERROR(SEARCH("EXCELENTE",A28)))</formula>
    </cfRule>
    <cfRule type="containsText" dxfId="236" priority="24" operator="containsText" text="MUY BUENO">
      <formula>NOT(ISERROR(SEARCH("MUY BUENO",A28)))</formula>
    </cfRule>
    <cfRule type="containsText" dxfId="235" priority="25" operator="containsText" text="SATISFACTORIO">
      <formula>NOT(ISERROR(SEARCH("SATISFACTORIO",A28)))</formula>
    </cfRule>
    <cfRule type="containsText" dxfId="234" priority="26" operator="containsText" text="REGULAR">
      <formula>NOT(ISERROR(SEARCH("REGULAR",A28)))</formula>
    </cfRule>
    <cfRule type="containsText" dxfId="233" priority="27" operator="containsText" text="INACEPTABLE">
      <formula>NOT(ISERROR(SEARCH("INACEPTABLE",A28)))</formula>
    </cfRule>
  </conditionalFormatting>
  <conditionalFormatting sqref="A36:A40">
    <cfRule type="containsText" dxfId="232" priority="28" operator="containsText" text="EXCELENTE">
      <formula>NOT(ISERROR(SEARCH("EXCELENTE",A36)))</formula>
    </cfRule>
    <cfRule type="containsText" dxfId="231" priority="29" operator="containsText" text="MUY BUENO">
      <formula>NOT(ISERROR(SEARCH("MUY BUENO",A36)))</formula>
    </cfRule>
    <cfRule type="containsText" dxfId="230" priority="30" operator="containsText" text="SATISFACTORIO">
      <formula>NOT(ISERROR(SEARCH("SATISFACTORIO",A36)))</formula>
    </cfRule>
    <cfRule type="containsText" dxfId="229" priority="31" operator="containsText" text="REGULAR">
      <formula>NOT(ISERROR(SEARCH("REGULAR",A36)))</formula>
    </cfRule>
    <cfRule type="containsText" dxfId="228" priority="32" operator="containsText" text="INACEPTABLE">
      <formula>NOT(ISERROR(SEARCH("INACEPTABLE",A36)))</formula>
    </cfRule>
  </conditionalFormatting>
  <conditionalFormatting sqref="B57:B58">
    <cfRule type="containsText" dxfId="227" priority="33" operator="containsText" text="SATISFACTORIO">
      <formula>NOT(ISERROR(SEARCH("SATISFACTORIO",B57)))</formula>
    </cfRule>
    <cfRule type="containsText" dxfId="226" priority="34" operator="containsText" text="INACEPTABLE">
      <formula>NOT(ISERROR(SEARCH("INACEPTABLE",B57)))</formula>
    </cfRule>
  </conditionalFormatting>
  <conditionalFormatting sqref="C13:C24">
    <cfRule type="cellIs" dxfId="225" priority="1" operator="greaterThanOrEqual">
      <formula>96</formula>
    </cfRule>
    <cfRule type="cellIs" dxfId="224" priority="2" operator="greaterThanOrEqual">
      <formula>85</formula>
    </cfRule>
    <cfRule type="cellIs" dxfId="223" priority="3" operator="greaterThanOrEqual">
      <formula>70</formula>
    </cfRule>
    <cfRule type="cellIs" dxfId="222" priority="4" operator="greaterThanOrEqual">
      <formula>60</formula>
    </cfRule>
    <cfRule type="cellIs" dxfId="221" priority="5" operator="greaterThanOrEqual">
      <formula>0</formula>
    </cfRule>
  </conditionalFormatting>
  <conditionalFormatting sqref="D13:F24">
    <cfRule type="containsText" dxfId="220" priority="6" operator="containsText" text="EXCELENTE">
      <formula>NOT(ISERROR(SEARCH("EXCELENTE",D13)))</formula>
    </cfRule>
    <cfRule type="containsText" dxfId="219" priority="7" operator="containsText" text="MUY BUENO">
      <formula>NOT(ISERROR(SEARCH("MUY BUENO",D13)))</formula>
    </cfRule>
    <cfRule type="containsText" dxfId="218" priority="8" operator="containsText" text="SATISFACTORIO">
      <formula>NOT(ISERROR(SEARCH("SATISFACTORIO",D13)))</formula>
    </cfRule>
    <cfRule type="containsText" dxfId="217" priority="9" operator="containsText" text="REGULAR">
      <formula>NOT(ISERROR(SEARCH("REGULAR",D13)))</formula>
    </cfRule>
    <cfRule type="containsText" dxfId="216" priority="10" operator="containsText" text="INACEPTABLE">
      <formula>NOT(ISERROR(SEARCH("INACEPTABLE",D13)))</formula>
    </cfRule>
  </conditionalFormatting>
  <conditionalFormatting sqref="K13:K24">
    <cfRule type="containsText" dxfId="215" priority="21" operator="containsText" text="Urgente">
      <formula>NOT(ISERROR(SEARCH("Urgente",K13)))</formula>
    </cfRule>
    <cfRule type="containsText" dxfId="214" priority="22" operator="containsText" text="carga">
      <formula>NOT(ISERROR(SEARCH("carga",K13)))</formula>
    </cfRule>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DEEAF1"/>
  </sheetPr>
  <dimension ref="A1:Z51"/>
  <sheetViews>
    <sheetView showGridLines="0" zoomScale="66" zoomScaleNormal="66" workbookViewId="0">
      <pane ySplit="3" topLeftCell="A4" activePane="bottomLeft" state="frozen"/>
      <selection pane="bottomLeft" activeCell="O7" sqref="O7"/>
    </sheetView>
  </sheetViews>
  <sheetFormatPr baseColWidth="10" defaultRowHeight="14.4" x14ac:dyDescent="0.3"/>
  <cols>
    <col min="1" max="1" width="32.44140625" customWidth="1"/>
    <col min="2" max="2" width="16.6640625" customWidth="1"/>
    <col min="3" max="3" width="22.21875" customWidth="1"/>
    <col min="4" max="4" width="26.88671875" customWidth="1"/>
    <col min="5" max="5" width="38" bestFit="1" customWidth="1"/>
    <col min="6" max="6" width="26.5546875" bestFit="1" customWidth="1"/>
    <col min="7" max="7" width="25.33203125" bestFit="1" customWidth="1"/>
    <col min="8" max="8" width="27.5546875" bestFit="1" customWidth="1"/>
    <col min="9" max="9" width="20.44140625" bestFit="1" customWidth="1"/>
    <col min="10" max="10" width="20.6640625" bestFit="1" customWidth="1"/>
    <col min="11" max="11" width="13.21875" bestFit="1" customWidth="1"/>
    <col min="12" max="12" width="24.5546875" bestFit="1" customWidth="1"/>
    <col min="13" max="13" width="93" bestFit="1" customWidth="1"/>
    <col min="14" max="14" width="11.44140625" bestFit="1" customWidth="1"/>
    <col min="15" max="15" width="24.109375" customWidth="1"/>
    <col min="26" max="26" width="10.109375" bestFit="1" customWidth="1"/>
  </cols>
  <sheetData>
    <row r="1" spans="1:26" ht="28.05" customHeight="1" x14ac:dyDescent="0.3">
      <c r="A1" s="3957" t="s">
        <v>4835</v>
      </c>
      <c r="B1" s="3958"/>
      <c r="C1" s="3958"/>
      <c r="D1" s="3958"/>
      <c r="E1" s="3958"/>
      <c r="F1" s="3958"/>
      <c r="G1" s="3958"/>
      <c r="H1" s="3958"/>
      <c r="I1" s="3958"/>
      <c r="J1" s="3958"/>
      <c r="K1" s="3958"/>
      <c r="L1" s="3958"/>
      <c r="M1" s="3958"/>
      <c r="N1" s="3958"/>
      <c r="O1" s="3958"/>
      <c r="P1" s="3958"/>
      <c r="Q1" s="3958"/>
      <c r="R1" s="3958"/>
      <c r="S1" s="3958"/>
      <c r="T1" s="3958"/>
      <c r="U1" s="3958"/>
      <c r="V1" s="3958"/>
      <c r="W1" s="3958"/>
      <c r="X1" s="3958"/>
      <c r="Y1" s="3958"/>
      <c r="Z1" s="3958"/>
    </row>
    <row r="2" spans="1:26" ht="19.95" customHeight="1" x14ac:dyDescent="0.3">
      <c r="A2" s="139" t="str">
        <f>HYPERLINK("#'M-INDEX'!A1","⌂ INDICE")</f>
        <v>⌂ INDICE</v>
      </c>
      <c r="B2" s="140" t="str">
        <f>HYPERLINK("#'M1-ITME'!A1","M1")</f>
        <v>M1</v>
      </c>
      <c r="C2" s="140" t="str">
        <f>HYPERLINK("#'M2-PDOT'!A1","M2")</f>
        <v>M2</v>
      </c>
      <c r="D2" s="140" t="str">
        <f>HYPERLINK("#'M3-MAO'!A1","M3")</f>
        <v>M3</v>
      </c>
      <c r="E2" s="140" t="str">
        <f>HYPERLINK("#'M4-AUDIT'!A1","M4")</f>
        <v>M4</v>
      </c>
      <c r="F2" s="140" t="str">
        <f>HYPERLINK("#'M5-ICPI'!A1","M5")</f>
        <v>M5</v>
      </c>
      <c r="G2" s="140" t="str">
        <f>HYPERLINK("#'M6-FEDS'!A1","M6")</f>
        <v>M6</v>
      </c>
      <c r="H2" s="140" t="str">
        <f>HYPERLINK("#'M7-PROSP'!A1","M7")</f>
        <v>M7</v>
      </c>
      <c r="I2" s="140" t="str">
        <f>HYPERLINK("#'DATA-POA'!A1","DATA-POA")</f>
        <v>DATA-POA</v>
      </c>
      <c r="J2" s="140" t="str">
        <f>HYPERLINK("#'DATA-CNE'!A1","DATA-CNE")</f>
        <v>DATA-CNE</v>
      </c>
      <c r="K2" s="140" t="str">
        <f>HYPERLINK("#'DATA-ORG'!A1","DATA-ORG")</f>
        <v>DATA-ORG</v>
      </c>
      <c r="L2" s="140" t="str">
        <f>HYPERLINK("#'M-DASHBOARD'!A1","DASH")</f>
        <v>DASH</v>
      </c>
      <c r="M2" s="141"/>
      <c r="N2" s="141"/>
      <c r="O2" s="141"/>
      <c r="P2" s="141"/>
      <c r="Q2" s="141"/>
      <c r="R2" s="141"/>
      <c r="S2" s="141"/>
      <c r="T2" s="141"/>
      <c r="U2" s="141"/>
      <c r="V2" s="141"/>
      <c r="W2" s="141"/>
      <c r="X2" s="141"/>
      <c r="Y2" s="141"/>
      <c r="Z2" s="141"/>
    </row>
    <row r="3" spans="1:26" ht="16.05" customHeight="1" thickBot="1" x14ac:dyDescent="0.35">
      <c r="A3" s="3959" t="s">
        <v>4242</v>
      </c>
      <c r="B3" s="3960"/>
      <c r="C3" s="3960"/>
      <c r="D3" s="3960"/>
      <c r="E3" s="3960"/>
      <c r="F3" s="3960"/>
      <c r="G3" s="3960"/>
      <c r="H3" s="3960"/>
      <c r="I3" s="3960"/>
      <c r="J3" s="3960"/>
      <c r="K3" s="3960"/>
      <c r="L3" s="3960"/>
      <c r="M3" s="3960"/>
      <c r="N3" s="3961"/>
      <c r="O3" s="3961"/>
      <c r="P3" s="3961"/>
      <c r="Q3" s="3961"/>
      <c r="R3" s="3961"/>
      <c r="S3" s="3961"/>
      <c r="T3" s="3961"/>
      <c r="U3" s="3961"/>
      <c r="V3" s="3961"/>
      <c r="W3" s="3961"/>
      <c r="X3" s="3961"/>
      <c r="Y3" s="3961"/>
      <c r="Z3" s="3961"/>
    </row>
    <row r="4" spans="1:26" ht="19.95" customHeight="1" thickTop="1" x14ac:dyDescent="0.3">
      <c r="A4" s="3962" t="s">
        <v>2440</v>
      </c>
      <c r="B4" s="3963"/>
      <c r="C4" s="3963"/>
      <c r="D4" s="3963"/>
      <c r="E4" s="3963"/>
      <c r="F4" s="3963"/>
      <c r="G4" s="3963"/>
      <c r="H4" s="3963"/>
      <c r="I4" s="3963"/>
      <c r="J4" s="3963"/>
      <c r="K4" s="3963"/>
      <c r="L4" s="3963"/>
      <c r="M4" s="3964"/>
      <c r="N4" s="3902"/>
      <c r="O4" s="3902"/>
      <c r="P4" s="3902"/>
      <c r="Q4" s="3902"/>
      <c r="R4" s="3902"/>
      <c r="S4" s="3902"/>
      <c r="T4" s="3902"/>
      <c r="U4" s="3902"/>
      <c r="V4" s="3902"/>
      <c r="W4" s="3902"/>
      <c r="X4" s="3902"/>
      <c r="Y4" s="3902"/>
      <c r="Z4" s="3903"/>
    </row>
    <row r="5" spans="1:26" ht="19.95" customHeight="1" x14ac:dyDescent="0.3">
      <c r="A5" s="142" t="s">
        <v>702</v>
      </c>
      <c r="B5" s="143" t="s">
        <v>2441</v>
      </c>
      <c r="C5" s="143" t="s">
        <v>2442</v>
      </c>
      <c r="D5" s="143"/>
      <c r="E5" s="144" t="s">
        <v>2443</v>
      </c>
      <c r="F5" s="143" t="s">
        <v>2444</v>
      </c>
      <c r="G5" s="143"/>
      <c r="H5" s="143" t="s">
        <v>2445</v>
      </c>
      <c r="I5" s="143" t="s">
        <v>2446</v>
      </c>
      <c r="J5" s="145"/>
      <c r="K5" s="145"/>
      <c r="L5" s="145"/>
      <c r="M5" s="146"/>
      <c r="N5" s="3967" t="s">
        <v>4977</v>
      </c>
      <c r="O5" s="3968"/>
      <c r="P5" s="3968"/>
      <c r="Q5" s="3968"/>
      <c r="R5" s="3969"/>
      <c r="S5" s="235"/>
      <c r="T5" s="235"/>
      <c r="U5" s="235"/>
      <c r="V5" s="235"/>
      <c r="W5" s="235"/>
      <c r="X5" s="235"/>
      <c r="Y5" s="235"/>
      <c r="Z5" s="236"/>
    </row>
    <row r="6" spans="1:26" s="11" customFormat="1" ht="19.95" customHeight="1" x14ac:dyDescent="0.3">
      <c r="A6" s="147" t="s">
        <v>2447</v>
      </c>
      <c r="B6" s="148">
        <f>AVERAGE(K10:K29)</f>
        <v>0.80000000000000016</v>
      </c>
      <c r="C6" s="149" t="str">
        <f>IF(B6&gt;=0.8,"🟢 TRANSPARENTE (&gt;80%)",IF(B6&gt;=0.5,"🟡 PARCIALMENTE OPACO (50-79%)","🔴 OPACO CRÍTICO (&lt;50%))"))</f>
        <v>🟢 TRANSPARENTE (&gt;80%)</v>
      </c>
      <c r="D6" s="150"/>
      <c r="E6" s="151" t="str">
        <f>IF(MIN(COUNTIF(E10:E29,1),COUNTIF(F10:F29,1),COUNTIF(G10:G29,1),COUNTIF(H10:H29,1),COUNTIF(I10:I29,1))=COUNTIF(E10:E29,1),"k — Planes",IF(MIN(COUNTIF(E10:E29,1),COUNTIF(F10:F29,1),COUNTIF(G10:G29,1),COUNTIF(H10:H29,1),COUNTIF(I10:I29,1))=COUNTIF(F10:F29,1),"i — Contratos",IF(MIN(COUNTIF(E10:E29,1),COUNTIF(F10:F29,1),COUNTIF(G10:G29,1),COUNTIF(H10:H29,1),COUNTIF(I10:I29,1))=COUNTIF(G10:G29,1),"g — Presupuesto",IF(MIN(COUNTIF(E10:E29,1),COUNTIF(F10:F29,1),COUNTIF(G10:G29,1),COUNTIF(H10:H29,1),COUNTIF(I10:I29,1))=COUNTIF(H10:H29,1),"m — Metas/RDC","d — Encuesta"))))</f>
        <v>i — Contratos</v>
      </c>
      <c r="F6" s="152" t="str">
        <f>MIN(COUNTIF(E10:E29,1),COUNTIF(F10:F29,1),COUNTIF(G10:G29,1),COUNTIF(H10:H29,1),COUNTIF(I10:I29,1))&amp;" de 20 metas"</f>
        <v>10 de 20 metas</v>
      </c>
      <c r="G6" s="153"/>
      <c r="H6" s="151" t="str">
        <f>INDEX(D10:D29,MATCH(MIN(K10:K29),K10:K29,0))</f>
        <v>Patronato Municipal de Amparo Social</v>
      </c>
      <c r="I6" s="151" t="str">
        <f>TEXT(MIN(K10:K29),"0.0%")</f>
        <v>60%</v>
      </c>
      <c r="J6" s="150"/>
      <c r="K6" s="150"/>
      <c r="L6" s="150"/>
      <c r="M6" s="154"/>
      <c r="N6" s="252" t="s">
        <v>4978</v>
      </c>
      <c r="O6" s="254" t="s">
        <v>4979</v>
      </c>
      <c r="P6" s="238"/>
      <c r="Q6" s="238"/>
      <c r="R6" s="238"/>
      <c r="S6" s="238"/>
      <c r="T6" s="238"/>
      <c r="U6" s="238"/>
      <c r="V6" s="238"/>
      <c r="W6" s="238"/>
      <c r="X6" s="238"/>
      <c r="Y6" s="238"/>
      <c r="Z6" s="239"/>
    </row>
    <row r="7" spans="1:26" s="11" customFormat="1" ht="19.95" customHeight="1" thickBot="1" x14ac:dyDescent="0.35">
      <c r="A7" s="155" t="s">
        <v>2448</v>
      </c>
      <c r="B7" s="156" t="s">
        <v>2449</v>
      </c>
      <c r="C7" s="157" t="str">
        <f>COUNTIF(E10:E29,1)&amp;"/20"</f>
        <v>20/20</v>
      </c>
      <c r="D7" s="156" t="s">
        <v>2450</v>
      </c>
      <c r="E7" s="157" t="str">
        <f>COUNTIF(F10:F29,1)&amp;"/20"</f>
        <v>10/20</v>
      </c>
      <c r="F7" s="156" t="s">
        <v>2451</v>
      </c>
      <c r="G7" s="157" t="str">
        <f>COUNTIF(G10:G29,1)&amp;"/20"</f>
        <v>17/20</v>
      </c>
      <c r="H7" s="156" t="s">
        <v>2452</v>
      </c>
      <c r="I7" s="157" t="str">
        <f>COUNTIF(H10:H29,1)&amp;"/20"</f>
        <v>20/20</v>
      </c>
      <c r="J7" s="156" t="s">
        <v>2453</v>
      </c>
      <c r="K7" s="157" t="str">
        <f>COUNTIF(I10:I29,1)&amp;"/20"</f>
        <v>13/20</v>
      </c>
      <c r="L7" s="156" t="s">
        <v>2454</v>
      </c>
      <c r="M7" s="158" t="str">
        <f>COUNTIF(K10:K29,1)&amp;" metas"</f>
        <v>5 metas</v>
      </c>
      <c r="N7" s="255" t="s">
        <v>4980</v>
      </c>
      <c r="O7" s="257" t="s">
        <v>3238</v>
      </c>
      <c r="P7" s="238"/>
      <c r="Q7" s="238"/>
      <c r="R7" s="238"/>
      <c r="S7" s="238"/>
      <c r="T7" s="238"/>
      <c r="U7" s="238"/>
      <c r="V7" s="238"/>
      <c r="W7" s="238"/>
      <c r="X7" s="238"/>
      <c r="Y7" s="238"/>
      <c r="Z7" s="239"/>
    </row>
    <row r="8" spans="1:26" s="11" customFormat="1" ht="19.95" customHeight="1" x14ac:dyDescent="0.3">
      <c r="A8" s="3962" t="s">
        <v>2455</v>
      </c>
      <c r="B8" s="3963"/>
      <c r="C8" s="3963"/>
      <c r="D8" s="3963"/>
      <c r="E8" s="3963"/>
      <c r="F8" s="3963"/>
      <c r="G8" s="3963"/>
      <c r="H8" s="3963"/>
      <c r="I8" s="3963"/>
      <c r="J8" s="3963"/>
      <c r="K8" s="3963"/>
      <c r="L8" s="3963"/>
      <c r="M8" s="3964"/>
      <c r="N8" s="3965"/>
      <c r="O8" s="3966"/>
      <c r="P8" s="3907"/>
      <c r="Q8" s="3907"/>
      <c r="R8" s="3907"/>
      <c r="S8" s="3907"/>
      <c r="T8" s="3907"/>
      <c r="U8" s="3907"/>
      <c r="V8" s="3907"/>
      <c r="W8" s="3907"/>
      <c r="X8" s="3907"/>
      <c r="Y8" s="3907"/>
      <c r="Z8" s="3908"/>
    </row>
    <row r="9" spans="1:26" s="127" customFormat="1" ht="31.95" customHeight="1" x14ac:dyDescent="0.3">
      <c r="A9" s="159" t="s">
        <v>892</v>
      </c>
      <c r="B9" s="160" t="s">
        <v>28</v>
      </c>
      <c r="C9" s="160" t="s">
        <v>2456</v>
      </c>
      <c r="D9" s="160" t="s">
        <v>2457</v>
      </c>
      <c r="E9" s="160" t="s">
        <v>2458</v>
      </c>
      <c r="F9" s="160" t="s">
        <v>2459</v>
      </c>
      <c r="G9" s="160" t="s">
        <v>2460</v>
      </c>
      <c r="H9" s="225" t="s">
        <v>2461</v>
      </c>
      <c r="I9" s="232" t="s">
        <v>2462</v>
      </c>
      <c r="J9" s="228" t="s">
        <v>2463</v>
      </c>
      <c r="K9" s="160" t="s">
        <v>2464</v>
      </c>
      <c r="L9" s="160" t="s">
        <v>2465</v>
      </c>
      <c r="M9" s="161" t="s">
        <v>2466</v>
      </c>
      <c r="N9" s="258" t="s">
        <v>4981</v>
      </c>
      <c r="O9" s="259" t="s">
        <v>3240</v>
      </c>
      <c r="P9" s="240"/>
      <c r="Q9" s="240"/>
      <c r="R9" s="240"/>
      <c r="S9" s="240"/>
      <c r="T9" s="240"/>
      <c r="U9" s="240"/>
      <c r="V9" s="240"/>
      <c r="W9" s="240"/>
      <c r="X9" s="240"/>
      <c r="Y9" s="240"/>
      <c r="Z9" s="241"/>
    </row>
    <row r="10" spans="1:26" s="11" customFormat="1" ht="19.95" customHeight="1" x14ac:dyDescent="0.3">
      <c r="A10" s="162" t="str">
        <f>'M4-AUDIT'!A24</f>
        <v>PDOT.SC.OE2.M1.01</v>
      </c>
      <c r="B10" s="163" t="str">
        <f>'M4-AUDIT'!B24</f>
        <v>TERRITORIAL</v>
      </c>
      <c r="C10" s="163" t="str">
        <f>'M4-AUDIT'!D24</f>
        <v>Dirección de Agua Potable y Saneamiento</v>
      </c>
      <c r="D10" s="164" t="str">
        <f>IFERROR(_xlfn.XLOOKUP(A10,'M3-MAO'!A$3:A$23,'M3-MAO'!C$3:C$23,"Sin asignar"),IFERROR(INDEX('M3-MAO'!C$3:C$23,MATCH(A10,'M3-MAO'!A$3:A$23,0)),"Sin asignar"))</f>
        <v>Patronato Municipal de Amparo Social</v>
      </c>
      <c r="E10" s="165">
        <f>MAX('M4-AUDIT'!Q24,'M4-AUDIT'!R24)</f>
        <v>1</v>
      </c>
      <c r="F10" s="165">
        <f>IF('M4-AUDIT'!S24&gt;0,1,0)</f>
        <v>0</v>
      </c>
      <c r="G10" s="165">
        <f>IF('M4-AUDIT'!T24&gt;0,1,0)</f>
        <v>0</v>
      </c>
      <c r="H10" s="226">
        <f>MAX('M4-AUDIT'!U24,'M4-AUDIT'!V24)</f>
        <v>1</v>
      </c>
      <c r="I10" s="233">
        <v>1</v>
      </c>
      <c r="J10" s="229">
        <f t="shared" ref="J10:J29" si="0">E10+F10+G10+H10+I10</f>
        <v>3</v>
      </c>
      <c r="K10" s="167">
        <f t="shared" ref="K10:K29" si="1">J10/5</f>
        <v>0.6</v>
      </c>
      <c r="L10" s="168" t="str">
        <f t="shared" ref="L10:L29" si="2">IF(K10&gt;=0.8,"🟢 TRANSPARENTE",IF(K10&gt;=0.5,"🟡 PARCIAL","🔴 OPACO"))</f>
        <v>🟡 PARCIAL</v>
      </c>
      <c r="M10" s="169" t="str">
        <f t="shared" ref="M10:M29" si="3">IF(E10=0,"⚠ Sin Planes publicados. ","")&amp;IF(F10=0,"⚠ Sin Contratos en SERCOP. ","")&amp;IF(G10=0,"⚠ Sin Presupuesto devengado. ","")&amp;IF(H10=0,"⚠ Sin Metas en SIGAD/RDC. ","")&amp;IF(I10=0,"⚠ Encuesta no publicada. ","")&amp;IF(K10=1,"✅ 100% Literal Art.7 cumplido","")</f>
        <v xml:space="preserve">⚠ Sin Contratos en SERCOP. ⚠ Sin Presupuesto devengado. </v>
      </c>
      <c r="N10" s="260" t="s">
        <v>4982</v>
      </c>
      <c r="O10" s="262" t="s">
        <v>4983</v>
      </c>
      <c r="P10" s="238"/>
      <c r="Q10" s="238"/>
      <c r="R10" s="238"/>
      <c r="S10" s="238"/>
      <c r="T10" s="238"/>
      <c r="U10" s="238"/>
      <c r="V10" s="238"/>
      <c r="W10" s="238"/>
      <c r="X10" s="238"/>
      <c r="Y10" s="238"/>
      <c r="Z10" s="239"/>
    </row>
    <row r="11" spans="1:26" s="11" customFormat="1" ht="19.95" customHeight="1" x14ac:dyDescent="0.3">
      <c r="A11" s="170" t="str">
        <f>'M4-AUDIT'!A5</f>
        <v>PDOT.AM.OE3.M2.01</v>
      </c>
      <c r="B11" s="171" t="str">
        <f>'M4-AUDIT'!B5</f>
        <v>TERRITORIAL</v>
      </c>
      <c r="C11" s="172" t="str">
        <f>'M4-AUDIT'!D5</f>
        <v>Obras Públicas / Alcantar.</v>
      </c>
      <c r="D11" s="172" t="str">
        <f>IFERROR(_xlfn.XLOOKUP(A11,'M3-MAO'!A$3:A$23,'M3-MAO'!C$3:C$23,"Sin asignar"),IFERROR(INDEX('M3-MAO'!C$3:C$23,MATCH(A11,'M3-MAO'!A$3:A$23,0)),"Sin asignar"))</f>
        <v>EP Aseo Integral Montecristi</v>
      </c>
      <c r="E11" s="173">
        <f>MAX('M4-AUDIT'!Q5,'M4-AUDIT'!R5)</f>
        <v>1</v>
      </c>
      <c r="F11" s="173">
        <f>IF('M4-AUDIT'!S5&gt;0,1,0)</f>
        <v>1</v>
      </c>
      <c r="G11" s="173">
        <f>IF('M4-AUDIT'!T5&gt;0,1,0)</f>
        <v>1</v>
      </c>
      <c r="H11" s="227">
        <f>MAX('M4-AUDIT'!U5,'M4-AUDIT'!V5)</f>
        <v>1</v>
      </c>
      <c r="I11" s="233">
        <v>1</v>
      </c>
      <c r="J11" s="230">
        <f t="shared" si="0"/>
        <v>5</v>
      </c>
      <c r="K11" s="175">
        <f t="shared" si="1"/>
        <v>1</v>
      </c>
      <c r="L11" s="176" t="str">
        <f t="shared" si="2"/>
        <v>🟢 TRANSPARENTE</v>
      </c>
      <c r="M11" s="177" t="str">
        <f t="shared" si="3"/>
        <v>✅ 100% Literal Art.7 cumplido</v>
      </c>
      <c r="N11" s="237"/>
      <c r="O11" s="238"/>
      <c r="P11" s="238"/>
      <c r="Q11" s="238"/>
      <c r="R11" s="238"/>
      <c r="S11" s="238"/>
      <c r="T11" s="238"/>
      <c r="U11" s="238"/>
      <c r="V11" s="238"/>
      <c r="W11" s="238"/>
      <c r="X11" s="238"/>
      <c r="Y11" s="238"/>
      <c r="Z11" s="239"/>
    </row>
    <row r="12" spans="1:26" s="11" customFormat="1" ht="19.95" customHeight="1" x14ac:dyDescent="0.3">
      <c r="A12" s="162" t="str">
        <f>'M4-AUDIT'!A6</f>
        <v>PDOT.AS.OE1.M2.01</v>
      </c>
      <c r="B12" s="178" t="str">
        <f>'M4-AUDIT'!B6</f>
        <v>SOCIAL</v>
      </c>
      <c r="C12" s="164" t="str">
        <f>'M4-AUDIT'!D6</f>
        <v>Salud / Planificación</v>
      </c>
      <c r="D12" s="164" t="str">
        <f>IFERROR(_xlfn.XLOOKUP(A12,'M3-MAO'!A$3:A$23,'M3-MAO'!C$3:C$23,"Sin asignar"),IFERROR(INDEX('M3-MAO'!C$3:C$23,MATCH(A12,'M3-MAO'!A$3:A$23,0)),"Sin asignar"))</f>
        <v>Dirección de Planificación y Desarrollo</v>
      </c>
      <c r="E12" s="165">
        <f>MAX('M4-AUDIT'!Q6,'M4-AUDIT'!R6)</f>
        <v>1</v>
      </c>
      <c r="F12" s="165">
        <f>IF('M4-AUDIT'!S6&gt;0,1,0)</f>
        <v>1</v>
      </c>
      <c r="G12" s="165">
        <f>IF('M4-AUDIT'!T6&gt;0,1,0)</f>
        <v>1</v>
      </c>
      <c r="H12" s="226">
        <f>MAX('M4-AUDIT'!U6,'M4-AUDIT'!V6)</f>
        <v>1</v>
      </c>
      <c r="I12" s="233">
        <v>0</v>
      </c>
      <c r="J12" s="229">
        <f t="shared" si="0"/>
        <v>4</v>
      </c>
      <c r="K12" s="167">
        <f t="shared" si="1"/>
        <v>0.8</v>
      </c>
      <c r="L12" s="179" t="str">
        <f t="shared" si="2"/>
        <v>🟢 TRANSPARENTE</v>
      </c>
      <c r="M12" s="169" t="str">
        <f t="shared" si="3"/>
        <v xml:space="preserve">⚠ Encuesta no publicada. </v>
      </c>
      <c r="N12" s="237"/>
      <c r="O12" s="238"/>
      <c r="P12" s="238"/>
      <c r="Q12" s="238"/>
      <c r="R12" s="238"/>
      <c r="S12" s="238"/>
      <c r="T12" s="238"/>
      <c r="U12" s="238"/>
      <c r="V12" s="238"/>
      <c r="W12" s="238"/>
      <c r="X12" s="238"/>
      <c r="Y12" s="238"/>
      <c r="Z12" s="239"/>
    </row>
    <row r="13" spans="1:26" s="11" customFormat="1" ht="19.95" customHeight="1" x14ac:dyDescent="0.3">
      <c r="A13" s="170" t="str">
        <f>'M4-AUDIT'!A7</f>
        <v>PDOT.SC.OE2.M4.01</v>
      </c>
      <c r="B13" s="171" t="str">
        <f>'M4-AUDIT'!B7</f>
        <v>TERRITORIAL</v>
      </c>
      <c r="C13" s="172" t="str">
        <f>'M4-AUDIT'!D7</f>
        <v>Proyectos Estratégicos</v>
      </c>
      <c r="D13" s="172" t="str">
        <f>IFERROR(_xlfn.XLOOKUP(A13,'M3-MAO'!A$3:A$23,'M3-MAO'!C$3:C$23,"Sin asignar"),IFERROR(INDEX('M3-MAO'!C$3:C$23,MATCH(A13,'M3-MAO'!A$3:A$23,0)),"Sin asignar"))</f>
        <v>Patronato Municipal de Amparo Social</v>
      </c>
      <c r="E13" s="173">
        <f>MAX('M4-AUDIT'!Q7,'M4-AUDIT'!R7)</f>
        <v>1</v>
      </c>
      <c r="F13" s="173">
        <f>IF('M4-AUDIT'!S7&gt;0,1,0)</f>
        <v>1</v>
      </c>
      <c r="G13" s="173">
        <f>IF('M4-AUDIT'!T7&gt;0,1,0)</f>
        <v>1</v>
      </c>
      <c r="H13" s="227">
        <f>MAX('M4-AUDIT'!U7,'M4-AUDIT'!V7)</f>
        <v>1</v>
      </c>
      <c r="I13" s="233">
        <v>1</v>
      </c>
      <c r="J13" s="230">
        <f t="shared" si="0"/>
        <v>5</v>
      </c>
      <c r="K13" s="175">
        <f t="shared" si="1"/>
        <v>1</v>
      </c>
      <c r="L13" s="176" t="str">
        <f t="shared" si="2"/>
        <v>🟢 TRANSPARENTE</v>
      </c>
      <c r="M13" s="177" t="str">
        <f t="shared" si="3"/>
        <v>✅ 100% Literal Art.7 cumplido</v>
      </c>
      <c r="N13" s="237"/>
      <c r="O13" s="238"/>
      <c r="P13" s="238"/>
      <c r="Q13" s="238"/>
      <c r="R13" s="238"/>
      <c r="S13" s="238"/>
      <c r="T13" s="238"/>
      <c r="U13" s="238"/>
      <c r="V13" s="238"/>
      <c r="W13" s="238"/>
      <c r="X13" s="238"/>
      <c r="Y13" s="238"/>
      <c r="Z13" s="239"/>
    </row>
    <row r="14" spans="1:26" s="11" customFormat="1" ht="19.95" customHeight="1" x14ac:dyDescent="0.3">
      <c r="A14" s="162" t="str">
        <f>'M4-AUDIT'!A8</f>
        <v>PDOT.AS.OE1.M1.02</v>
      </c>
      <c r="B14" s="178" t="str">
        <f>'M4-AUDIT'!B8</f>
        <v>TERRITORIAL</v>
      </c>
      <c r="C14" s="164" t="str">
        <f>'M4-AUDIT'!D8</f>
        <v>Servicios Públicos</v>
      </c>
      <c r="D14" s="164" t="str">
        <f>IFERROR(_xlfn.XLOOKUP(A14,'M3-MAO'!A$3:A$23,'M3-MAO'!C$3:C$23,"Sin asignar"),IFERROR(INDEX('M3-MAO'!C$3:C$23,MATCH(A14,'M3-MAO'!A$3:A$23,0)),"Sin asignar"))</f>
        <v>Dirección de Obras Públicas</v>
      </c>
      <c r="E14" s="165">
        <f>MAX('M4-AUDIT'!Q8,'M4-AUDIT'!R8)</f>
        <v>1</v>
      </c>
      <c r="F14" s="165">
        <f>IF('M4-AUDIT'!S8&gt;0,1,0)</f>
        <v>1</v>
      </c>
      <c r="G14" s="165">
        <f>IF('M4-AUDIT'!T8&gt;0,1,0)</f>
        <v>0</v>
      </c>
      <c r="H14" s="226">
        <f>MAX('M4-AUDIT'!U8,'M4-AUDIT'!V8)</f>
        <v>1</v>
      </c>
      <c r="I14" s="233">
        <v>0</v>
      </c>
      <c r="J14" s="229">
        <f t="shared" si="0"/>
        <v>3</v>
      </c>
      <c r="K14" s="167">
        <f t="shared" si="1"/>
        <v>0.6</v>
      </c>
      <c r="L14" s="180" t="str">
        <f t="shared" si="2"/>
        <v>🟡 PARCIAL</v>
      </c>
      <c r="M14" s="169" t="str">
        <f t="shared" si="3"/>
        <v xml:space="preserve">⚠ Sin Presupuesto devengado. ⚠ Encuesta no publicada. </v>
      </c>
      <c r="N14" s="237"/>
      <c r="O14" s="238"/>
      <c r="P14" s="238"/>
      <c r="Q14" s="238"/>
      <c r="R14" s="238"/>
      <c r="S14" s="238"/>
      <c r="T14" s="238"/>
      <c r="U14" s="238"/>
      <c r="V14" s="238"/>
      <c r="W14" s="238"/>
      <c r="X14" s="238"/>
      <c r="Y14" s="238"/>
      <c r="Z14" s="239"/>
    </row>
    <row r="15" spans="1:26" s="11" customFormat="1" ht="19.95" customHeight="1" x14ac:dyDescent="0.3">
      <c r="A15" s="170" t="str">
        <f>'M4-AUDIT'!A9</f>
        <v>PDOT.PI.OE4.M1.01</v>
      </c>
      <c r="B15" s="171" t="str">
        <f>'M4-AUDIT'!B9</f>
        <v>SOCIAL</v>
      </c>
      <c r="C15" s="172" t="str">
        <f>'M4-AUDIT'!D9</f>
        <v>Desarrollo Social</v>
      </c>
      <c r="D15" s="172" t="str">
        <f>IFERROR(_xlfn.XLOOKUP(A15,'M3-MAO'!A$3:A$23,'M3-MAO'!C$3:C$23,"Sin asignar"),IFERROR(INDEX('M3-MAO'!C$3:C$23,MATCH(A15,'M3-MAO'!A$3:A$23,0)),"Sin asignar"))</f>
        <v>Dirección de Tecnología e Información</v>
      </c>
      <c r="E15" s="173">
        <f>MAX('M4-AUDIT'!Q9,'M4-AUDIT'!R9)</f>
        <v>1</v>
      </c>
      <c r="F15" s="173">
        <f>IF('M4-AUDIT'!S9&gt;0,1,0)</f>
        <v>1</v>
      </c>
      <c r="G15" s="173">
        <f>IF('M4-AUDIT'!T9&gt;0,1,0)</f>
        <v>1</v>
      </c>
      <c r="H15" s="227">
        <f>MAX('M4-AUDIT'!U9,'M4-AUDIT'!V9)</f>
        <v>1</v>
      </c>
      <c r="I15" s="233">
        <v>1</v>
      </c>
      <c r="J15" s="230">
        <f t="shared" si="0"/>
        <v>5</v>
      </c>
      <c r="K15" s="175">
        <f t="shared" si="1"/>
        <v>1</v>
      </c>
      <c r="L15" s="176" t="str">
        <f t="shared" si="2"/>
        <v>🟢 TRANSPARENTE</v>
      </c>
      <c r="M15" s="177" t="str">
        <f t="shared" si="3"/>
        <v>✅ 100% Literal Art.7 cumplido</v>
      </c>
      <c r="N15" s="237"/>
      <c r="O15" s="238"/>
      <c r="P15" s="238"/>
      <c r="Q15" s="238"/>
      <c r="R15" s="238"/>
      <c r="S15" s="238"/>
      <c r="T15" s="238"/>
      <c r="U15" s="238"/>
      <c r="V15" s="238"/>
      <c r="W15" s="238"/>
      <c r="X15" s="238"/>
      <c r="Y15" s="238"/>
      <c r="Z15" s="239"/>
    </row>
    <row r="16" spans="1:26" s="11" customFormat="1" ht="19.95" customHeight="1" x14ac:dyDescent="0.3">
      <c r="A16" s="162" t="str">
        <f>'M4-AUDIT'!A10</f>
        <v>PDOT.AV.OE1.M1.01</v>
      </c>
      <c r="B16" s="178" t="str">
        <f>'M4-AUDIT'!B10</f>
        <v>TERRITORIAL</v>
      </c>
      <c r="C16" s="164" t="str">
        <f>'M4-AUDIT'!D10</f>
        <v>Obras Públicas / Vialidad</v>
      </c>
      <c r="D16" s="164" t="str">
        <f>IFERROR(_xlfn.XLOOKUP(A16,'M3-MAO'!A$3:A$23,'M3-MAO'!C$3:C$23,"Sin asignar"),IFERROR(INDEX('M3-MAO'!C$3:C$23,MATCH(A16,'M3-MAO'!A$3:A$23,0)),"Sin asignar"))</f>
        <v>Dirección de Obras Públicas</v>
      </c>
      <c r="E16" s="165">
        <f>MAX('M4-AUDIT'!Q10,'M4-AUDIT'!R10)</f>
        <v>1</v>
      </c>
      <c r="F16" s="165">
        <f>IF('M4-AUDIT'!S10&gt;0,1,0)</f>
        <v>1</v>
      </c>
      <c r="G16" s="165">
        <f>IF('M4-AUDIT'!T10&gt;0,1,0)</f>
        <v>1</v>
      </c>
      <c r="H16" s="226">
        <f>MAX('M4-AUDIT'!U10,'M4-AUDIT'!V10)</f>
        <v>1</v>
      </c>
      <c r="I16" s="233">
        <v>1</v>
      </c>
      <c r="J16" s="229">
        <f t="shared" si="0"/>
        <v>5</v>
      </c>
      <c r="K16" s="167">
        <f t="shared" si="1"/>
        <v>1</v>
      </c>
      <c r="L16" s="179" t="str">
        <f t="shared" si="2"/>
        <v>🟢 TRANSPARENTE</v>
      </c>
      <c r="M16" s="181" t="str">
        <f t="shared" si="3"/>
        <v>✅ 100% Literal Art.7 cumplido</v>
      </c>
      <c r="N16" s="237"/>
      <c r="O16" s="238"/>
      <c r="P16" s="238"/>
      <c r="Q16" s="238"/>
      <c r="R16" s="238"/>
      <c r="S16" s="238"/>
      <c r="T16" s="238"/>
      <c r="U16" s="238"/>
      <c r="V16" s="238"/>
      <c r="W16" s="238"/>
      <c r="X16" s="238"/>
      <c r="Y16" s="238"/>
      <c r="Z16" s="239"/>
    </row>
    <row r="17" spans="1:26" s="11" customFormat="1" ht="19.95" customHeight="1" x14ac:dyDescent="0.3">
      <c r="A17" s="170" t="str">
        <f>'M4-AUDIT'!A11</f>
        <v>PDOT.AM.OE3.M1.01</v>
      </c>
      <c r="B17" s="171" t="str">
        <f>'M4-AUDIT'!B11</f>
        <v>SOCIAL</v>
      </c>
      <c r="C17" s="172" t="str">
        <f>'M4-AUDIT'!D11</f>
        <v>Salud</v>
      </c>
      <c r="D17" s="172" t="str">
        <f>IFERROR(_xlfn.XLOOKUP(A17,'M3-MAO'!A$3:A$23,'M3-MAO'!C$3:C$23,"Sin asignar"),IFERROR(INDEX('M3-MAO'!C$3:C$23,MATCH(A17,'M3-MAO'!A$3:A$23,0)),"Sin asignar"))</f>
        <v>Unidad de Gestión Ambiental GAD</v>
      </c>
      <c r="E17" s="173">
        <f>MAX('M4-AUDIT'!Q11,'M4-AUDIT'!R11)</f>
        <v>1</v>
      </c>
      <c r="F17" s="173">
        <f>IF('M4-AUDIT'!S11&gt;0,1,0)</f>
        <v>1</v>
      </c>
      <c r="G17" s="173">
        <f>IF('M4-AUDIT'!T11&gt;0,1,0)</f>
        <v>0</v>
      </c>
      <c r="H17" s="227">
        <f>MAX('M4-AUDIT'!U11,'M4-AUDIT'!V11)</f>
        <v>1</v>
      </c>
      <c r="I17" s="233">
        <v>0</v>
      </c>
      <c r="J17" s="230">
        <f t="shared" si="0"/>
        <v>3</v>
      </c>
      <c r="K17" s="175">
        <f t="shared" si="1"/>
        <v>0.6</v>
      </c>
      <c r="L17" s="182" t="str">
        <f t="shared" si="2"/>
        <v>🟡 PARCIAL</v>
      </c>
      <c r="M17" s="183" t="str">
        <f t="shared" si="3"/>
        <v xml:space="preserve">⚠ Sin Presupuesto devengado. ⚠ Encuesta no publicada. </v>
      </c>
      <c r="N17" s="237"/>
      <c r="O17" s="238"/>
      <c r="P17" s="238"/>
      <c r="Q17" s="238"/>
      <c r="R17" s="238"/>
      <c r="S17" s="238"/>
      <c r="T17" s="238"/>
      <c r="U17" s="238"/>
      <c r="V17" s="238"/>
      <c r="W17" s="238"/>
      <c r="X17" s="238"/>
      <c r="Y17" s="238"/>
      <c r="Z17" s="239"/>
    </row>
    <row r="18" spans="1:26" s="11" customFormat="1" ht="19.95" customHeight="1" x14ac:dyDescent="0.3">
      <c r="A18" s="162" t="str">
        <f>'M4-AUDIT'!A12</f>
        <v>PDOT.FA.OE4.AH.02</v>
      </c>
      <c r="B18" s="178" t="str">
        <f>'M4-AUDIT'!B12</f>
        <v>AMBIENTAL</v>
      </c>
      <c r="C18" s="164" t="str">
        <f>'M4-AUDIT'!D12</f>
        <v>Gestión Ambiental</v>
      </c>
      <c r="D18" s="164" t="str">
        <f>IFERROR(_xlfn.XLOOKUP(A18,'M3-MAO'!A$3:A$23,'M3-MAO'!C$3:C$23,"Sin asignar"),IFERROR(INDEX('M3-MAO'!C$3:C$23,MATCH(A18,'M3-MAO'!A$3:A$23,0)),"Sin asignar"))</f>
        <v>Sin asignar</v>
      </c>
      <c r="E18" s="165">
        <f>MAX('M4-AUDIT'!Q12,'M4-AUDIT'!R12)</f>
        <v>1</v>
      </c>
      <c r="F18" s="165">
        <f>IF('M4-AUDIT'!S12&gt;0,1,0)</f>
        <v>0</v>
      </c>
      <c r="G18" s="165">
        <f>IF('M4-AUDIT'!T12&gt;0,1,0)</f>
        <v>1</v>
      </c>
      <c r="H18" s="226">
        <f>MAX('M4-AUDIT'!U12,'M4-AUDIT'!V12)</f>
        <v>1</v>
      </c>
      <c r="I18" s="233">
        <v>0</v>
      </c>
      <c r="J18" s="229">
        <f t="shared" si="0"/>
        <v>3</v>
      </c>
      <c r="K18" s="167">
        <f t="shared" si="1"/>
        <v>0.6</v>
      </c>
      <c r="L18" s="180" t="str">
        <f t="shared" si="2"/>
        <v>🟡 PARCIAL</v>
      </c>
      <c r="M18" s="169" t="str">
        <f t="shared" si="3"/>
        <v xml:space="preserve">⚠ Sin Contratos en SERCOP. ⚠ Encuesta no publicada. </v>
      </c>
      <c r="N18" s="237"/>
      <c r="O18" s="238"/>
      <c r="P18" s="238"/>
      <c r="Q18" s="238"/>
      <c r="R18" s="238"/>
      <c r="S18" s="238"/>
      <c r="T18" s="238"/>
      <c r="U18" s="238"/>
      <c r="V18" s="238"/>
      <c r="W18" s="238"/>
      <c r="X18" s="238"/>
      <c r="Y18" s="238"/>
      <c r="Z18" s="239"/>
    </row>
    <row r="19" spans="1:26" s="11" customFormat="1" ht="19.95" customHeight="1" x14ac:dyDescent="0.3">
      <c r="A19" s="170" t="str">
        <f>'M4-AUDIT'!A13</f>
        <v>PDOT.FA.OE1.PV.01</v>
      </c>
      <c r="B19" s="171" t="str">
        <f>'M4-AUDIT'!B13</f>
        <v>TERRITORIAL</v>
      </c>
      <c r="C19" s="172" t="str">
        <f>'M4-AUDIT'!D13</f>
        <v>Parques y Jardines</v>
      </c>
      <c r="D19" s="172" t="str">
        <f>IFERROR(_xlfn.XLOOKUP(A19,'M3-MAO'!A$3:A$23,'M3-MAO'!C$3:C$23,"Sin asignar"),IFERROR(INDEX('M3-MAO'!C$3:C$23,MATCH(A19,'M3-MAO'!A$3:A$23,0)),"Sin asignar"))</f>
        <v>Sin asignar</v>
      </c>
      <c r="E19" s="173">
        <f>MAX('M4-AUDIT'!Q13,'M4-AUDIT'!R13)</f>
        <v>1</v>
      </c>
      <c r="F19" s="173">
        <f>IF('M4-AUDIT'!S13&gt;0,1,0)</f>
        <v>0</v>
      </c>
      <c r="G19" s="173">
        <f>IF('M4-AUDIT'!T13&gt;0,1,0)</f>
        <v>1</v>
      </c>
      <c r="H19" s="227">
        <f>MAX('M4-AUDIT'!U13,'M4-AUDIT'!V13)</f>
        <v>1</v>
      </c>
      <c r="I19" s="233">
        <v>1</v>
      </c>
      <c r="J19" s="230">
        <f t="shared" si="0"/>
        <v>4</v>
      </c>
      <c r="K19" s="175">
        <f t="shared" si="1"/>
        <v>0.8</v>
      </c>
      <c r="L19" s="176" t="str">
        <f t="shared" si="2"/>
        <v>🟢 TRANSPARENTE</v>
      </c>
      <c r="M19" s="183" t="str">
        <f t="shared" si="3"/>
        <v xml:space="preserve">⚠ Sin Contratos en SERCOP. </v>
      </c>
      <c r="N19" s="237"/>
      <c r="O19" s="238"/>
      <c r="P19" s="238"/>
      <c r="Q19" s="238"/>
      <c r="R19" s="238"/>
      <c r="S19" s="238"/>
      <c r="T19" s="238"/>
      <c r="U19" s="238"/>
      <c r="V19" s="238"/>
      <c r="W19" s="238"/>
      <c r="X19" s="238"/>
      <c r="Y19" s="238"/>
      <c r="Z19" s="239"/>
    </row>
    <row r="20" spans="1:26" s="11" customFormat="1" ht="19.95" customHeight="1" x14ac:dyDescent="0.3">
      <c r="A20" s="162" t="str">
        <f>'M4-AUDIT'!A14</f>
        <v>PDOT.PI.OE4.M2.01</v>
      </c>
      <c r="B20" s="178" t="str">
        <f>'M4-AUDIT'!B14</f>
        <v>SOCIAL</v>
      </c>
      <c r="C20" s="164" t="str">
        <f>'M4-AUDIT'!D14</f>
        <v>Desarrollo Social</v>
      </c>
      <c r="D20" s="164" t="str">
        <f>IFERROR(_xlfn.XLOOKUP(A20,'M3-MAO'!A$3:A$23,'M3-MAO'!C$3:C$23,"Sin asignar"),IFERROR(INDEX('M3-MAO'!C$3:C$23,MATCH(A20,'M3-MAO'!A$3:A$23,0)),"Sin asignar"))</f>
        <v>Dirección de Avalúos y Catastros</v>
      </c>
      <c r="E20" s="165">
        <f>MAX('M4-AUDIT'!Q14,'M4-AUDIT'!R14)</f>
        <v>1</v>
      </c>
      <c r="F20" s="165">
        <f>IF('M4-AUDIT'!S14&gt;0,1,0)</f>
        <v>1</v>
      </c>
      <c r="G20" s="165">
        <f>IF('M4-AUDIT'!T14&gt;0,1,0)</f>
        <v>1</v>
      </c>
      <c r="H20" s="226">
        <f>MAX('M4-AUDIT'!U14,'M4-AUDIT'!V14)</f>
        <v>1</v>
      </c>
      <c r="I20" s="233">
        <v>0</v>
      </c>
      <c r="J20" s="229">
        <f t="shared" si="0"/>
        <v>4</v>
      </c>
      <c r="K20" s="167">
        <f t="shared" si="1"/>
        <v>0.8</v>
      </c>
      <c r="L20" s="179" t="str">
        <f t="shared" si="2"/>
        <v>🟢 TRANSPARENTE</v>
      </c>
      <c r="M20" s="169" t="str">
        <f t="shared" si="3"/>
        <v xml:space="preserve">⚠ Encuesta no publicada. </v>
      </c>
      <c r="N20" s="237"/>
      <c r="O20" s="238"/>
      <c r="P20" s="238"/>
      <c r="Q20" s="238"/>
      <c r="R20" s="238"/>
      <c r="S20" s="238"/>
      <c r="T20" s="238"/>
      <c r="U20" s="238"/>
      <c r="V20" s="238"/>
      <c r="W20" s="238"/>
      <c r="X20" s="238"/>
      <c r="Y20" s="238"/>
      <c r="Z20" s="239"/>
    </row>
    <row r="21" spans="1:26" s="11" customFormat="1" ht="19.95" customHeight="1" x14ac:dyDescent="0.3">
      <c r="A21" s="170" t="str">
        <f>'M4-AUDIT'!A15</f>
        <v>PDOT.PI.OE4.FI.01</v>
      </c>
      <c r="B21" s="171" t="str">
        <f>'M4-AUDIT'!B15</f>
        <v>AMBIENTAL</v>
      </c>
      <c r="C21" s="172" t="str">
        <f>'M4-AUDIT'!D15</f>
        <v>Higiene y Salubridad</v>
      </c>
      <c r="D21" s="172" t="str">
        <f>IFERROR(_xlfn.XLOOKUP(A21,'M3-MAO'!A$3:A$23,'M3-MAO'!C$3:C$23,"Sin asignar"),IFERROR(INDEX('M3-MAO'!C$3:C$23,MATCH(A21,'M3-MAO'!A$3:A$23,0)),"Sin asignar"))</f>
        <v>Sin asignar</v>
      </c>
      <c r="E21" s="173">
        <f>MAX('M4-AUDIT'!Q15,'M4-AUDIT'!R15)</f>
        <v>1</v>
      </c>
      <c r="F21" s="173">
        <f>IF('M4-AUDIT'!S15&gt;0,1,0)</f>
        <v>0</v>
      </c>
      <c r="G21" s="173">
        <f>IF('M4-AUDIT'!T15&gt;0,1,0)</f>
        <v>1</v>
      </c>
      <c r="H21" s="227">
        <f>MAX('M4-AUDIT'!U15,'M4-AUDIT'!V15)</f>
        <v>1</v>
      </c>
      <c r="I21" s="233">
        <v>1</v>
      </c>
      <c r="J21" s="230">
        <f t="shared" si="0"/>
        <v>4</v>
      </c>
      <c r="K21" s="175">
        <f t="shared" si="1"/>
        <v>0.8</v>
      </c>
      <c r="L21" s="176" t="str">
        <f t="shared" si="2"/>
        <v>🟢 TRANSPARENTE</v>
      </c>
      <c r="M21" s="183" t="str">
        <f t="shared" si="3"/>
        <v xml:space="preserve">⚠ Sin Contratos en SERCOP. </v>
      </c>
      <c r="N21" s="237"/>
      <c r="O21" s="238"/>
      <c r="P21" s="238"/>
      <c r="Q21" s="238"/>
      <c r="R21" s="238"/>
      <c r="S21" s="238"/>
      <c r="T21" s="238"/>
      <c r="U21" s="238"/>
      <c r="V21" s="238"/>
      <c r="W21" s="238"/>
      <c r="X21" s="238"/>
      <c r="Y21" s="238"/>
      <c r="Z21" s="239"/>
    </row>
    <row r="22" spans="1:26" s="11" customFormat="1" ht="19.95" customHeight="1" x14ac:dyDescent="0.3">
      <c r="A22" s="162" t="str">
        <f>'M4-AUDIT'!A16</f>
        <v>PDOT.AS.VV.HB.01</v>
      </c>
      <c r="B22" s="178" t="str">
        <f>'M4-AUDIT'!B16</f>
        <v>TERRITORIAL</v>
      </c>
      <c r="C22" s="164" t="str">
        <f>'M4-AUDIT'!D16</f>
        <v>Compras Públicas</v>
      </c>
      <c r="D22" s="164" t="str">
        <f>IFERROR(_xlfn.XLOOKUP(A22,'M3-MAO'!A$3:A$23,'M3-MAO'!C$3:C$23,"Sin asignar"),IFERROR(INDEX('M3-MAO'!C$3:C$23,MATCH(A22,'M3-MAO'!A$3:A$23,0)),"Sin asignar"))</f>
        <v>Sin asignar</v>
      </c>
      <c r="E22" s="165">
        <f>MAX('M4-AUDIT'!Q16,'M4-AUDIT'!R16)</f>
        <v>1</v>
      </c>
      <c r="F22" s="165">
        <f>IF('M4-AUDIT'!S16&gt;0,1,0)</f>
        <v>0</v>
      </c>
      <c r="G22" s="165">
        <f>IF('M4-AUDIT'!T16&gt;0,1,0)</f>
        <v>1</v>
      </c>
      <c r="H22" s="226">
        <f>MAX('M4-AUDIT'!U16,'M4-AUDIT'!V16)</f>
        <v>1</v>
      </c>
      <c r="I22" s="233">
        <v>1</v>
      </c>
      <c r="J22" s="229">
        <f t="shared" si="0"/>
        <v>4</v>
      </c>
      <c r="K22" s="167">
        <f t="shared" si="1"/>
        <v>0.8</v>
      </c>
      <c r="L22" s="179" t="str">
        <f t="shared" si="2"/>
        <v>🟢 TRANSPARENTE</v>
      </c>
      <c r="M22" s="169" t="str">
        <f t="shared" si="3"/>
        <v xml:space="preserve">⚠ Sin Contratos en SERCOP. </v>
      </c>
      <c r="N22" s="237"/>
      <c r="O22" s="238"/>
      <c r="P22" s="238"/>
      <c r="Q22" s="238"/>
      <c r="R22" s="238"/>
      <c r="S22" s="238"/>
      <c r="T22" s="238"/>
      <c r="U22" s="238"/>
      <c r="V22" s="238"/>
      <c r="W22" s="238"/>
      <c r="X22" s="238"/>
      <c r="Y22" s="238"/>
      <c r="Z22" s="239"/>
    </row>
    <row r="23" spans="1:26" s="11" customFormat="1" ht="19.95" customHeight="1" x14ac:dyDescent="0.3">
      <c r="A23" s="170" t="str">
        <f>'M4-AUDIT'!A17</f>
        <v>PDOT.SC.PA.CP.01</v>
      </c>
      <c r="B23" s="171" t="str">
        <f>'M4-AUDIT'!B17</f>
        <v>SOCIAL</v>
      </c>
      <c r="C23" s="172" t="str">
        <f>'M4-AUDIT'!D17</f>
        <v>Seguridad / TICS</v>
      </c>
      <c r="D23" s="172" t="str">
        <f>IFERROR(_xlfn.XLOOKUP(A23,'M3-MAO'!A$3:A$23,'M3-MAO'!C$3:C$23,"Sin asignar"),IFERROR(INDEX('M3-MAO'!C$3:C$23,MATCH(A23,'M3-MAO'!A$3:A$23,0)),"Sin asignar"))</f>
        <v>Sin asignar</v>
      </c>
      <c r="E23" s="173">
        <f>MAX('M4-AUDIT'!Q17,'M4-AUDIT'!R17)</f>
        <v>1</v>
      </c>
      <c r="F23" s="173">
        <f>IF('M4-AUDIT'!S17&gt;0,1,0)</f>
        <v>0</v>
      </c>
      <c r="G23" s="173">
        <f>IF('M4-AUDIT'!T17&gt;0,1,0)</f>
        <v>1</v>
      </c>
      <c r="H23" s="227">
        <f>MAX('M4-AUDIT'!U17,'M4-AUDIT'!V17)</f>
        <v>1</v>
      </c>
      <c r="I23" s="233">
        <v>0</v>
      </c>
      <c r="J23" s="230">
        <f t="shared" si="0"/>
        <v>3</v>
      </c>
      <c r="K23" s="175">
        <f t="shared" si="1"/>
        <v>0.6</v>
      </c>
      <c r="L23" s="182" t="str">
        <f t="shared" si="2"/>
        <v>🟡 PARCIAL</v>
      </c>
      <c r="M23" s="183" t="str">
        <f t="shared" si="3"/>
        <v xml:space="preserve">⚠ Sin Contratos en SERCOP. ⚠ Encuesta no publicada. </v>
      </c>
      <c r="N23" s="237"/>
      <c r="O23" s="238"/>
      <c r="P23" s="238"/>
      <c r="Q23" s="238"/>
      <c r="R23" s="238"/>
      <c r="S23" s="238"/>
      <c r="T23" s="238"/>
      <c r="U23" s="238"/>
      <c r="V23" s="238"/>
      <c r="W23" s="238"/>
      <c r="X23" s="238"/>
      <c r="Y23" s="238"/>
      <c r="Z23" s="239"/>
    </row>
    <row r="24" spans="1:26" s="11" customFormat="1" ht="19.95" customHeight="1" x14ac:dyDescent="0.3">
      <c r="A24" s="162" t="str">
        <f>'M4-AUDIT'!A18</f>
        <v>PDOT.EP.OE5.PD.01</v>
      </c>
      <c r="B24" s="178" t="str">
        <f>'M4-AUDIT'!B18</f>
        <v>INSTITUCIONAL</v>
      </c>
      <c r="C24" s="164" t="str">
        <f>'M4-AUDIT'!D18</f>
        <v>Tecnologías (TICS)</v>
      </c>
      <c r="D24" s="164" t="str">
        <f>IFERROR(_xlfn.XLOOKUP(A24,'M3-MAO'!A$3:A$23,'M3-MAO'!C$3:C$23,"Sin asignar"),IFERROR(INDEX('M3-MAO'!C$3:C$23,MATCH(A24,'M3-MAO'!A$3:A$23,0)),"Sin asignar"))</f>
        <v>Sin asignar</v>
      </c>
      <c r="E24" s="165">
        <f>MAX('M4-AUDIT'!Q18,'M4-AUDIT'!R18)</f>
        <v>1</v>
      </c>
      <c r="F24" s="165">
        <f>IF('M4-AUDIT'!S18&gt;0,1,0)</f>
        <v>0</v>
      </c>
      <c r="G24" s="165">
        <f>IF('M4-AUDIT'!T18&gt;0,1,0)</f>
        <v>1</v>
      </c>
      <c r="H24" s="226">
        <f>MAX('M4-AUDIT'!U18,'M4-AUDIT'!V18)</f>
        <v>1</v>
      </c>
      <c r="I24" s="233">
        <v>1</v>
      </c>
      <c r="J24" s="229">
        <f t="shared" si="0"/>
        <v>4</v>
      </c>
      <c r="K24" s="167">
        <f t="shared" si="1"/>
        <v>0.8</v>
      </c>
      <c r="L24" s="179" t="str">
        <f t="shared" si="2"/>
        <v>🟢 TRANSPARENTE</v>
      </c>
      <c r="M24" s="169" t="str">
        <f t="shared" si="3"/>
        <v xml:space="preserve">⚠ Sin Contratos en SERCOP. </v>
      </c>
      <c r="N24" s="237"/>
      <c r="O24" s="238"/>
      <c r="P24" s="238"/>
      <c r="Q24" s="238"/>
      <c r="R24" s="238"/>
      <c r="S24" s="238"/>
      <c r="T24" s="238"/>
      <c r="U24" s="238"/>
      <c r="V24" s="238"/>
      <c r="W24" s="238"/>
      <c r="X24" s="238"/>
      <c r="Y24" s="238"/>
      <c r="Z24" s="239"/>
    </row>
    <row r="25" spans="1:26" s="11" customFormat="1" ht="19.95" customHeight="1" x14ac:dyDescent="0.3">
      <c r="A25" s="170" t="str">
        <f>'M4-AUDIT'!A19</f>
        <v>PDOT.SC.PA.CP.02</v>
      </c>
      <c r="B25" s="171" t="str">
        <f>'M4-AUDIT'!B19</f>
        <v>INSTITUCIONAL</v>
      </c>
      <c r="C25" s="172" t="str">
        <f>'M4-AUDIT'!D19</f>
        <v>Avalúos y Catastros</v>
      </c>
      <c r="D25" s="172" t="str">
        <f>IFERROR(_xlfn.XLOOKUP(A25,'M3-MAO'!A$3:A$23,'M3-MAO'!C$3:C$23,"Sin asignar"),IFERROR(INDEX('M3-MAO'!C$3:C$23,MATCH(A25,'M3-MAO'!A$3:A$23,0)),"Sin asignar"))</f>
        <v>Sin asignar</v>
      </c>
      <c r="E25" s="173">
        <f>MAX('M4-AUDIT'!Q19,'M4-AUDIT'!R19)</f>
        <v>1</v>
      </c>
      <c r="F25" s="173">
        <f>IF('M4-AUDIT'!S19&gt;0,1,0)</f>
        <v>0</v>
      </c>
      <c r="G25" s="173">
        <f>IF('M4-AUDIT'!T19&gt;0,1,0)</f>
        <v>1</v>
      </c>
      <c r="H25" s="227">
        <f>MAX('M4-AUDIT'!U19,'M4-AUDIT'!V19)</f>
        <v>1</v>
      </c>
      <c r="I25" s="233">
        <v>1</v>
      </c>
      <c r="J25" s="230">
        <f t="shared" si="0"/>
        <v>4</v>
      </c>
      <c r="K25" s="175">
        <f t="shared" si="1"/>
        <v>0.8</v>
      </c>
      <c r="L25" s="176" t="str">
        <f t="shared" si="2"/>
        <v>🟢 TRANSPARENTE</v>
      </c>
      <c r="M25" s="183" t="str">
        <f t="shared" si="3"/>
        <v xml:space="preserve">⚠ Sin Contratos en SERCOP. </v>
      </c>
      <c r="N25" s="237"/>
      <c r="O25" s="238"/>
      <c r="P25" s="238"/>
      <c r="Q25" s="238"/>
      <c r="R25" s="238"/>
      <c r="S25" s="238"/>
      <c r="T25" s="238"/>
      <c r="U25" s="238"/>
      <c r="V25" s="238"/>
      <c r="W25" s="238"/>
      <c r="X25" s="238"/>
      <c r="Y25" s="238"/>
      <c r="Z25" s="239"/>
    </row>
    <row r="26" spans="1:26" s="11" customFormat="1" ht="19.95" customHeight="1" x14ac:dyDescent="0.3">
      <c r="A26" s="162" t="str">
        <f>'M4-AUDIT'!A20</f>
        <v>PDOT.AS.VL.SV.01</v>
      </c>
      <c r="B26" s="178" t="str">
        <f>'M4-AUDIT'!B20</f>
        <v>SOCIAL</v>
      </c>
      <c r="C26" s="164" t="str">
        <f>'M4-AUDIT'!D20</f>
        <v>Participación Ciudadana</v>
      </c>
      <c r="D26" s="164" t="str">
        <f>IFERROR(_xlfn.XLOOKUP(A26,'M3-MAO'!A$3:A$23,'M3-MAO'!C$3:C$23,"Sin asignar"),IFERROR(INDEX('M3-MAO'!C$3:C$23,MATCH(A26,'M3-MAO'!A$3:A$23,0)),"Sin asignar"))</f>
        <v>Sin asignar</v>
      </c>
      <c r="E26" s="165">
        <f>MAX('M4-AUDIT'!Q20,'M4-AUDIT'!R20)</f>
        <v>1</v>
      </c>
      <c r="F26" s="165">
        <f>IF('M4-AUDIT'!S20&gt;0,1,0)</f>
        <v>0</v>
      </c>
      <c r="G26" s="165">
        <f>IF('M4-AUDIT'!T20&gt;0,1,0)</f>
        <v>1</v>
      </c>
      <c r="H26" s="226">
        <f>MAX('M4-AUDIT'!U20,'M4-AUDIT'!V20)</f>
        <v>1</v>
      </c>
      <c r="I26" s="233">
        <v>1</v>
      </c>
      <c r="J26" s="229">
        <f t="shared" si="0"/>
        <v>4</v>
      </c>
      <c r="K26" s="167">
        <f t="shared" si="1"/>
        <v>0.8</v>
      </c>
      <c r="L26" s="179" t="str">
        <f t="shared" si="2"/>
        <v>🟢 TRANSPARENTE</v>
      </c>
      <c r="M26" s="169" t="str">
        <f t="shared" si="3"/>
        <v xml:space="preserve">⚠ Sin Contratos en SERCOP. </v>
      </c>
      <c r="N26" s="237"/>
      <c r="O26" s="238"/>
      <c r="P26" s="238"/>
      <c r="Q26" s="238"/>
      <c r="R26" s="238"/>
      <c r="S26" s="238"/>
      <c r="T26" s="238"/>
      <c r="U26" s="238"/>
      <c r="V26" s="238"/>
      <c r="W26" s="238"/>
      <c r="X26" s="238"/>
      <c r="Y26" s="238"/>
      <c r="Z26" s="239"/>
    </row>
    <row r="27" spans="1:26" s="11" customFormat="1" ht="19.95" customHeight="1" x14ac:dyDescent="0.3">
      <c r="A27" s="170" t="str">
        <f>'M4-AUDIT'!A21</f>
        <v>PDOT.SC.OE2.M2.01</v>
      </c>
      <c r="B27" s="171" t="str">
        <f>'M4-AUDIT'!B21</f>
        <v>ECONÓMICO</v>
      </c>
      <c r="C27" s="172" t="str">
        <f>'M4-AUDIT'!D21</f>
        <v>Turismo</v>
      </c>
      <c r="D27" s="172" t="str">
        <f>IFERROR(_xlfn.XLOOKUP(A27,'M3-MAO'!A$3:A$23,'M3-MAO'!C$3:C$23,"Sin asignar"),IFERROR(INDEX('M3-MAO'!C$3:C$23,MATCH(A27,'M3-MAO'!A$3:A$23,0)),"Sin asignar"))</f>
        <v>Dirección de Desarrollo Social y Cultural</v>
      </c>
      <c r="E27" s="173">
        <f>MAX('M4-AUDIT'!Q21,'M4-AUDIT'!R21)</f>
        <v>1</v>
      </c>
      <c r="F27" s="173">
        <f>IF('M4-AUDIT'!S21&gt;0,1,0)</f>
        <v>1</v>
      </c>
      <c r="G27" s="173">
        <f>IF('M4-AUDIT'!T21&gt;0,1,0)</f>
        <v>1</v>
      </c>
      <c r="H27" s="227">
        <f>MAX('M4-AUDIT'!U21,'M4-AUDIT'!V21)</f>
        <v>1</v>
      </c>
      <c r="I27" s="233">
        <v>0</v>
      </c>
      <c r="J27" s="230">
        <f t="shared" si="0"/>
        <v>4</v>
      </c>
      <c r="K27" s="175">
        <f t="shared" si="1"/>
        <v>0.8</v>
      </c>
      <c r="L27" s="176" t="str">
        <f t="shared" si="2"/>
        <v>🟢 TRANSPARENTE</v>
      </c>
      <c r="M27" s="183" t="str">
        <f t="shared" si="3"/>
        <v xml:space="preserve">⚠ Encuesta no publicada. </v>
      </c>
      <c r="N27" s="237"/>
      <c r="O27" s="238"/>
      <c r="P27" s="238"/>
      <c r="Q27" s="238"/>
      <c r="R27" s="238"/>
      <c r="S27" s="238"/>
      <c r="T27" s="238"/>
      <c r="U27" s="238"/>
      <c r="V27" s="238"/>
      <c r="W27" s="238"/>
      <c r="X27" s="238"/>
      <c r="Y27" s="238"/>
      <c r="Z27" s="239"/>
    </row>
    <row r="28" spans="1:26" s="11" customFormat="1" ht="19.95" customHeight="1" x14ac:dyDescent="0.3">
      <c r="A28" s="162" t="str">
        <f>'M4-AUDIT'!A22</f>
        <v>PDOT.FA.OE2.MA.01</v>
      </c>
      <c r="B28" s="178" t="str">
        <f>'M4-AUDIT'!B22</f>
        <v>TERRITORIAL</v>
      </c>
      <c r="C28" s="164" t="str">
        <f>'M4-AUDIT'!D22</f>
        <v>Embellecimiento / Señalética</v>
      </c>
      <c r="D28" s="164" t="str">
        <f>IFERROR(_xlfn.XLOOKUP(A28,'M3-MAO'!A$3:A$23,'M3-MAO'!C$3:C$23,"Sin asignar"),IFERROR(INDEX('M3-MAO'!C$3:C$23,MATCH(A28,'M3-MAO'!A$3:A$23,0)),"Sin asignar"))</f>
        <v>Sin asignar</v>
      </c>
      <c r="E28" s="165">
        <f>MAX('M4-AUDIT'!Q22,'M4-AUDIT'!R22)</f>
        <v>1</v>
      </c>
      <c r="F28" s="165">
        <f>IF('M4-AUDIT'!S22&gt;0,1,0)</f>
        <v>0</v>
      </c>
      <c r="G28" s="165">
        <f>IF('M4-AUDIT'!T22&gt;0,1,0)</f>
        <v>1</v>
      </c>
      <c r="H28" s="226">
        <f>MAX('M4-AUDIT'!U22,'M4-AUDIT'!V22)</f>
        <v>1</v>
      </c>
      <c r="I28" s="233">
        <v>1</v>
      </c>
      <c r="J28" s="229">
        <f t="shared" si="0"/>
        <v>4</v>
      </c>
      <c r="K28" s="167">
        <f t="shared" si="1"/>
        <v>0.8</v>
      </c>
      <c r="L28" s="179" t="str">
        <f t="shared" si="2"/>
        <v>🟢 TRANSPARENTE</v>
      </c>
      <c r="M28" s="169" t="str">
        <f t="shared" si="3"/>
        <v xml:space="preserve">⚠ Sin Contratos en SERCOP. </v>
      </c>
      <c r="N28" s="237"/>
      <c r="O28" s="238"/>
      <c r="P28" s="238"/>
      <c r="Q28" s="238"/>
      <c r="R28" s="238"/>
      <c r="S28" s="238"/>
      <c r="T28" s="238"/>
      <c r="U28" s="238"/>
      <c r="V28" s="238"/>
      <c r="W28" s="238"/>
      <c r="X28" s="238"/>
      <c r="Y28" s="238"/>
      <c r="Z28" s="239"/>
    </row>
    <row r="29" spans="1:26" s="11" customFormat="1" ht="19.95" customHeight="1" x14ac:dyDescent="0.3">
      <c r="A29" s="170" t="str">
        <f>'M4-AUDIT'!A23</f>
        <v>PDOT.AS.VL.M1.01</v>
      </c>
      <c r="B29" s="171" t="str">
        <f>'M4-AUDIT'!B23</f>
        <v>TERRITORIAL</v>
      </c>
      <c r="C29" s="172" t="str">
        <f>'M4-AUDIT'!D23</f>
        <v>Obras Públicas</v>
      </c>
      <c r="D29" s="172" t="str">
        <f>IFERROR(_xlfn.XLOOKUP(A29,'M3-MAO'!A$3:A$23,'M3-MAO'!C$3:C$23,"Sin asignar"),IFERROR(INDEX('M3-MAO'!C$3:C$23,MATCH(A29,'M3-MAO'!A$3:A$23,0)),"Sin asignar"))</f>
        <v>Dirección de Obras Públicas</v>
      </c>
      <c r="E29" s="173">
        <f>MAX('M4-AUDIT'!Q23,'M4-AUDIT'!R23)</f>
        <v>1</v>
      </c>
      <c r="F29" s="173">
        <f>IF('M4-AUDIT'!S23&gt;0,1,0)</f>
        <v>1</v>
      </c>
      <c r="G29" s="173">
        <f>IF('M4-AUDIT'!T23&gt;0,1,0)</f>
        <v>1</v>
      </c>
      <c r="H29" s="227">
        <f>MAX('M4-AUDIT'!U23,'M4-AUDIT'!V23)</f>
        <v>1</v>
      </c>
      <c r="I29" s="233">
        <v>1</v>
      </c>
      <c r="J29" s="230">
        <f t="shared" si="0"/>
        <v>5</v>
      </c>
      <c r="K29" s="175">
        <f t="shared" si="1"/>
        <v>1</v>
      </c>
      <c r="L29" s="176" t="str">
        <f t="shared" si="2"/>
        <v>🟢 TRANSPARENTE</v>
      </c>
      <c r="M29" s="183" t="str">
        <f t="shared" si="3"/>
        <v>✅ 100% Literal Art.7 cumplido</v>
      </c>
      <c r="N29" s="237"/>
      <c r="O29" s="238"/>
      <c r="P29" s="238"/>
      <c r="Q29" s="238"/>
      <c r="R29" s="238"/>
      <c r="S29" s="238"/>
      <c r="T29" s="238"/>
      <c r="U29" s="238"/>
      <c r="V29" s="238"/>
      <c r="W29" s="238"/>
      <c r="X29" s="238"/>
      <c r="Y29" s="238"/>
      <c r="Z29" s="239"/>
    </row>
    <row r="30" spans="1:26" s="11" customFormat="1" ht="19.95" customHeight="1" thickBot="1" x14ac:dyDescent="0.35">
      <c r="A30" s="189" t="s">
        <v>2467</v>
      </c>
      <c r="B30" s="190"/>
      <c r="C30" s="190"/>
      <c r="D30" s="190"/>
      <c r="E30" s="190">
        <f t="shared" ref="E30:J30" si="4">SUM(E10:E29)</f>
        <v>20</v>
      </c>
      <c r="F30" s="190">
        <f t="shared" si="4"/>
        <v>10</v>
      </c>
      <c r="G30" s="190">
        <f t="shared" si="4"/>
        <v>17</v>
      </c>
      <c r="H30" s="190">
        <f t="shared" si="4"/>
        <v>20</v>
      </c>
      <c r="I30" s="231">
        <f t="shared" si="4"/>
        <v>13</v>
      </c>
      <c r="J30" s="184">
        <f t="shared" si="4"/>
        <v>80</v>
      </c>
      <c r="K30" s="185">
        <f>AVERAGE(K10:K29)</f>
        <v>0.80000000000000016</v>
      </c>
      <c r="L30" s="184" t="str">
        <f>IF(K30&gt;=0.8,"🟢 GLOBAL TRANSPARENTE",IF(K30&gt;=0.5,"🟡 GLOBAL PARCIAL","🔴 GLOBAL OPACO"))</f>
        <v>🟢 GLOBAL TRANSPARENTE</v>
      </c>
      <c r="M30" s="186">
        <f>K30</f>
        <v>0.80000000000000016</v>
      </c>
      <c r="N30" s="237"/>
      <c r="O30" s="238"/>
      <c r="P30" s="238"/>
      <c r="Q30" s="238"/>
      <c r="R30" s="238"/>
      <c r="S30" s="238"/>
      <c r="T30" s="238"/>
      <c r="U30" s="238"/>
      <c r="V30" s="238"/>
      <c r="W30" s="238"/>
      <c r="X30" s="238"/>
      <c r="Y30" s="238"/>
      <c r="Z30" s="239"/>
    </row>
    <row r="31" spans="1:26" ht="19.95" customHeight="1" x14ac:dyDescent="0.3">
      <c r="A31" s="3950" t="s">
        <v>2468</v>
      </c>
      <c r="B31" s="3951"/>
      <c r="C31" s="3951"/>
      <c r="D31" s="3951"/>
      <c r="E31" s="3951"/>
      <c r="F31" s="3951"/>
      <c r="G31" s="3951"/>
      <c r="H31" s="3952"/>
      <c r="I31" s="3953"/>
      <c r="J31" s="3953"/>
      <c r="K31" s="3953"/>
      <c r="L31" s="3953"/>
      <c r="M31" s="3953"/>
      <c r="N31" s="3907"/>
      <c r="O31" s="3907"/>
      <c r="P31" s="3907"/>
      <c r="Q31" s="3907"/>
      <c r="R31" s="3907"/>
      <c r="S31" s="3907"/>
      <c r="T31" s="3907"/>
      <c r="U31" s="3907"/>
      <c r="V31" s="3907"/>
      <c r="W31" s="3907"/>
      <c r="X31" s="3907"/>
      <c r="Y31" s="3907"/>
      <c r="Z31" s="3908"/>
    </row>
    <row r="32" spans="1:26" ht="19.95" customHeight="1" x14ac:dyDescent="0.3">
      <c r="A32" s="191" t="s">
        <v>2469</v>
      </c>
      <c r="B32" s="192" t="s">
        <v>1125</v>
      </c>
      <c r="C32" s="192" t="s">
        <v>2470</v>
      </c>
      <c r="D32" s="192" t="s">
        <v>2471</v>
      </c>
      <c r="E32" s="192" t="s">
        <v>2472</v>
      </c>
      <c r="F32" s="192" t="s">
        <v>2473</v>
      </c>
      <c r="G32" s="192" t="s">
        <v>2474</v>
      </c>
      <c r="H32" s="193" t="s">
        <v>2475</v>
      </c>
      <c r="I32" s="187"/>
      <c r="J32" s="132"/>
      <c r="K32" s="132"/>
      <c r="L32" s="132"/>
      <c r="M32" s="132"/>
      <c r="N32" s="242"/>
      <c r="O32" s="242"/>
      <c r="P32" s="242"/>
      <c r="Q32" s="242"/>
      <c r="R32" s="242"/>
      <c r="S32" s="242"/>
      <c r="T32" s="242"/>
      <c r="U32" s="242"/>
      <c r="V32" s="242"/>
      <c r="W32" s="242"/>
      <c r="X32" s="242"/>
      <c r="Y32" s="242"/>
      <c r="Z32" s="243"/>
    </row>
    <row r="33" spans="1:26" ht="19.95" customHeight="1" x14ac:dyDescent="0.3">
      <c r="A33" s="194" t="s">
        <v>91</v>
      </c>
      <c r="B33" s="166">
        <f>COUNTIF(D$10:D$29,"Dirección de Agua Potable y Saneamiento")</f>
        <v>0</v>
      </c>
      <c r="C33" s="195" t="str">
        <f>IFERROR(AVERAGEIF(D$10:D$29,"Dirección de Agua Potable y Saneamiento",E$10:E$29),"-")</f>
        <v>-</v>
      </c>
      <c r="D33" s="195" t="str">
        <f>IFERROR(AVERAGEIF(D$10:D$29,"Dirección de Agua Potable y Saneamiento",F$10:F$29),"-")</f>
        <v>-</v>
      </c>
      <c r="E33" s="195" t="str">
        <f>IFERROR(AVERAGEIF(D$10:D$29,"Dirección de Agua Potable y Saneamiento",G$10:G$29),"-")</f>
        <v>-</v>
      </c>
      <c r="F33" s="195" t="str">
        <f>IFERROR(AVERAGEIF(D$10:D$29,"Dirección de Agua Potable y Saneamiento",H$10:H$29),"-")</f>
        <v>-</v>
      </c>
      <c r="G33" s="195" t="str">
        <f>IFERROR(AVERAGEIF(D$10:D$29,"Dirección de Agua Potable y Saneamiento",I$10:I$29),"-")</f>
        <v>-</v>
      </c>
      <c r="H33" s="196">
        <f>IFERROR(AVERAGEIF(D$10:D$29,"Dirección de Agua Potable y Saneamiento",K$10:K$29),0)</f>
        <v>0</v>
      </c>
      <c r="I33" s="188"/>
      <c r="J33" s="134"/>
      <c r="K33" s="134"/>
      <c r="L33" s="134"/>
      <c r="M33" s="134"/>
      <c r="N33" s="242"/>
      <c r="O33" s="242"/>
      <c r="P33" s="242"/>
      <c r="Q33" s="242"/>
      <c r="R33" s="242"/>
      <c r="S33" s="242"/>
      <c r="T33" s="242"/>
      <c r="U33" s="242"/>
      <c r="V33" s="242"/>
      <c r="W33" s="242"/>
      <c r="X33" s="242"/>
      <c r="Y33" s="242"/>
      <c r="Z33" s="243"/>
    </row>
    <row r="34" spans="1:26" ht="19.95" customHeight="1" x14ac:dyDescent="0.3">
      <c r="A34" s="197" t="s">
        <v>89</v>
      </c>
      <c r="B34" s="174">
        <f>COUNTIF(D$10:D$29,"Dirección de Obras Públicas")</f>
        <v>3</v>
      </c>
      <c r="C34" s="198">
        <f>IFERROR(AVERAGEIF(D$10:D$29,"Dirección de Obras Públicas",E$10:E$29),"-")</f>
        <v>1</v>
      </c>
      <c r="D34" s="198">
        <f>IFERROR(AVERAGEIF(D$10:D$29,"Dirección de Obras Públicas",F$10:F$29),"-")</f>
        <v>1</v>
      </c>
      <c r="E34" s="198">
        <f>IFERROR(AVERAGEIF(D$10:D$29,"Dirección de Obras Públicas",G$10:G$29),"-")</f>
        <v>0.66666666666666663</v>
      </c>
      <c r="F34" s="198">
        <f>IFERROR(AVERAGEIF(D$10:D$29,"Dirección de Obras Públicas",H$10:H$29),"-")</f>
        <v>1</v>
      </c>
      <c r="G34" s="198">
        <f>IFERROR(AVERAGEIF(D$10:D$29,"Dirección de Obras Públicas",I$10:I$29),"-")</f>
        <v>0.66666666666666663</v>
      </c>
      <c r="H34" s="199">
        <f>IFERROR(AVERAGEIF(D$10:D$29,"Dirección de Obras Públicas",K$10:K$29),0)</f>
        <v>0.8666666666666667</v>
      </c>
      <c r="I34" s="187"/>
      <c r="J34" s="132"/>
      <c r="K34" s="132"/>
      <c r="L34" s="132"/>
      <c r="M34" s="132"/>
      <c r="N34" s="242"/>
      <c r="O34" s="242"/>
      <c r="P34" s="242"/>
      <c r="Q34" s="242"/>
      <c r="R34" s="242"/>
      <c r="S34" s="242"/>
      <c r="T34" s="242"/>
      <c r="U34" s="242"/>
      <c r="V34" s="242"/>
      <c r="W34" s="242"/>
      <c r="X34" s="242"/>
      <c r="Y34" s="242"/>
      <c r="Z34" s="243"/>
    </row>
    <row r="35" spans="1:26" ht="19.95" customHeight="1" x14ac:dyDescent="0.3">
      <c r="A35" s="194" t="s">
        <v>94</v>
      </c>
      <c r="B35" s="166">
        <f>COUNTIF(D$10:D$29,"Patronato Municipal de Amparo Social")</f>
        <v>2</v>
      </c>
      <c r="C35" s="195">
        <f>IFERROR(AVERAGEIF(D$10:D$29,"Patronato Municipal de Amparo Social",E$10:E$29),"-")</f>
        <v>1</v>
      </c>
      <c r="D35" s="195">
        <f>IFERROR(AVERAGEIF(D$10:D$29,"Patronato Municipal de Amparo Social",F$10:F$29),"-")</f>
        <v>0.5</v>
      </c>
      <c r="E35" s="195">
        <f>IFERROR(AVERAGEIF(D$10:D$29,"Patronato Municipal de Amparo Social",G$10:G$29),"-")</f>
        <v>0.5</v>
      </c>
      <c r="F35" s="195">
        <f>IFERROR(AVERAGEIF(D$10:D$29,"Patronato Municipal de Amparo Social",H$10:H$29),"-")</f>
        <v>1</v>
      </c>
      <c r="G35" s="195">
        <f>IFERROR(AVERAGEIF(D$10:D$29,"Patronato Municipal de Amparo Social",I$10:I$29),"-")</f>
        <v>1</v>
      </c>
      <c r="H35" s="196">
        <f>IFERROR(AVERAGEIF(D$10:D$29,"Patronato Municipal de Amparo Social",K$10:K$29),0)</f>
        <v>0.8</v>
      </c>
      <c r="I35" s="188"/>
      <c r="J35" s="134"/>
      <c r="K35" s="134"/>
      <c r="L35" s="134"/>
      <c r="M35" s="134"/>
      <c r="N35" s="242"/>
      <c r="O35" s="242"/>
      <c r="P35" s="242"/>
      <c r="Q35" s="242"/>
      <c r="R35" s="242"/>
      <c r="S35" s="242"/>
      <c r="T35" s="242"/>
      <c r="U35" s="242"/>
      <c r="V35" s="242"/>
      <c r="W35" s="242"/>
      <c r="X35" s="242"/>
      <c r="Y35" s="242"/>
      <c r="Z35" s="243"/>
    </row>
    <row r="36" spans="1:26" ht="19.95" customHeight="1" x14ac:dyDescent="0.3">
      <c r="A36" s="197" t="s">
        <v>819</v>
      </c>
      <c r="B36" s="174">
        <f>COUNTIF(D$10:D$29,"Dirección de Planificación y Desarrollo")</f>
        <v>1</v>
      </c>
      <c r="C36" s="198">
        <f>IFERROR(AVERAGEIF(D$10:D$29,"Dirección de Planificación y Desarrollo",E$10:E$29),"-")</f>
        <v>1</v>
      </c>
      <c r="D36" s="198">
        <f>IFERROR(AVERAGEIF(D$10:D$29,"Dirección de Planificación y Desarrollo",F$10:F$29),"-")</f>
        <v>1</v>
      </c>
      <c r="E36" s="198">
        <f>IFERROR(AVERAGEIF(D$10:D$29,"Dirección de Planificación y Desarrollo",G$10:G$29),"-")</f>
        <v>1</v>
      </c>
      <c r="F36" s="198">
        <f>IFERROR(AVERAGEIF(D$10:D$29,"Dirección de Planificación y Desarrollo",H$10:H$29),"-")</f>
        <v>1</v>
      </c>
      <c r="G36" s="198">
        <f>IFERROR(AVERAGEIF(D$10:D$29,"Dirección de Planificación y Desarrollo",I$10:I$29),"-")</f>
        <v>0</v>
      </c>
      <c r="H36" s="199">
        <f>IFERROR(AVERAGEIF(D$10:D$29,"Dirección de Planificación y Desarrollo",K$10:K$29),0)</f>
        <v>0.8</v>
      </c>
      <c r="I36" s="187"/>
      <c r="J36" s="132"/>
      <c r="K36" s="132"/>
      <c r="L36" s="132"/>
      <c r="M36" s="132"/>
      <c r="N36" s="242"/>
      <c r="O36" s="242"/>
      <c r="P36" s="242"/>
      <c r="Q36" s="242"/>
      <c r="R36" s="242"/>
      <c r="S36" s="242"/>
      <c r="T36" s="242"/>
      <c r="U36" s="242"/>
      <c r="V36" s="242"/>
      <c r="W36" s="242"/>
      <c r="X36" s="242"/>
      <c r="Y36" s="242"/>
      <c r="Z36" s="243"/>
    </row>
    <row r="37" spans="1:26" ht="19.95" customHeight="1" x14ac:dyDescent="0.3">
      <c r="A37" s="194" t="s">
        <v>95</v>
      </c>
      <c r="B37" s="166">
        <f>COUNTIF(D$10:D$29,"Dirección de Servicios Públicos y Gestión")</f>
        <v>0</v>
      </c>
      <c r="C37" s="195" t="str">
        <f>IFERROR(AVERAGEIF(D$10:D$29,"Dirección de Servicios Públicos y Gestión",E$10:E$29),"-")</f>
        <v>-</v>
      </c>
      <c r="D37" s="195" t="str">
        <f>IFERROR(AVERAGEIF(D$10:D$29,"Dirección de Servicios Públicos y Gestión",F$10:F$29),"-")</f>
        <v>-</v>
      </c>
      <c r="E37" s="195" t="str">
        <f>IFERROR(AVERAGEIF(D$10:D$29,"Dirección de Servicios Públicos y Gestión",G$10:G$29),"-")</f>
        <v>-</v>
      </c>
      <c r="F37" s="195" t="str">
        <f>IFERROR(AVERAGEIF(D$10:D$29,"Dirección de Servicios Públicos y Gestión",H$10:H$29),"-")</f>
        <v>-</v>
      </c>
      <c r="G37" s="195" t="str">
        <f>IFERROR(AVERAGEIF(D$10:D$29,"Dirección de Servicios Públicos y Gestión",I$10:I$29),"-")</f>
        <v>-</v>
      </c>
      <c r="H37" s="196">
        <f>IFERROR(AVERAGEIF(D$10:D$29,"Dirección de Servicios Públicos y Gestión",K$10:K$29),0)</f>
        <v>0</v>
      </c>
      <c r="I37" s="188"/>
      <c r="J37" s="134"/>
      <c r="K37" s="134"/>
      <c r="L37" s="134"/>
      <c r="M37" s="134"/>
      <c r="N37" s="242"/>
      <c r="O37" s="242"/>
      <c r="P37" s="242"/>
      <c r="Q37" s="242"/>
      <c r="R37" s="242"/>
      <c r="S37" s="242"/>
      <c r="T37" s="242"/>
      <c r="U37" s="242"/>
      <c r="V37" s="242"/>
      <c r="W37" s="242"/>
      <c r="X37" s="242"/>
      <c r="Y37" s="242"/>
      <c r="Z37" s="243"/>
    </row>
    <row r="38" spans="1:26" ht="19.95" customHeight="1" x14ac:dyDescent="0.3">
      <c r="A38" s="197" t="s">
        <v>87</v>
      </c>
      <c r="B38" s="174">
        <f>COUNTIF(D$10:D$29,"Dirección de Desarrollo Social y Cultural")</f>
        <v>1</v>
      </c>
      <c r="C38" s="198">
        <f>IFERROR(AVERAGEIF(D$10:D$29,"Dirección de Desarrollo Social y Cultural",E$10:E$29),"-")</f>
        <v>1</v>
      </c>
      <c r="D38" s="198">
        <f>IFERROR(AVERAGEIF(D$10:D$29,"Dirección de Desarrollo Social y Cultural",F$10:F$29),"-")</f>
        <v>1</v>
      </c>
      <c r="E38" s="198">
        <f>IFERROR(AVERAGEIF(D$10:D$29,"Dirección de Desarrollo Social y Cultural",G$10:G$29),"-")</f>
        <v>1</v>
      </c>
      <c r="F38" s="198">
        <f>IFERROR(AVERAGEIF(D$10:D$29,"Dirección de Desarrollo Social y Cultural",H$10:H$29),"-")</f>
        <v>1</v>
      </c>
      <c r="G38" s="198">
        <f>IFERROR(AVERAGEIF(D$10:D$29,"Dirección de Desarrollo Social y Cultural",I$10:I$29),"-")</f>
        <v>0</v>
      </c>
      <c r="H38" s="199">
        <f>IFERROR(AVERAGEIF(D$10:D$29,"Dirección de Desarrollo Social y Cultural",K$10:K$29),0)</f>
        <v>0.8</v>
      </c>
      <c r="I38" s="187"/>
      <c r="J38" s="132"/>
      <c r="K38" s="132"/>
      <c r="L38" s="132"/>
      <c r="M38" s="132"/>
      <c r="N38" s="242"/>
      <c r="O38" s="242"/>
      <c r="P38" s="242"/>
      <c r="Q38" s="242"/>
      <c r="R38" s="242"/>
      <c r="S38" s="242"/>
      <c r="T38" s="242"/>
      <c r="U38" s="242"/>
      <c r="V38" s="242"/>
      <c r="W38" s="242"/>
      <c r="X38" s="242"/>
      <c r="Y38" s="242"/>
      <c r="Z38" s="243"/>
    </row>
    <row r="39" spans="1:26" ht="19.95" customHeight="1" x14ac:dyDescent="0.3">
      <c r="A39" s="194" t="s">
        <v>827</v>
      </c>
      <c r="B39" s="166">
        <f>COUNTIF(D$10:D$29,"Unidad de Gestión Ambiental GAD")</f>
        <v>1</v>
      </c>
      <c r="C39" s="195">
        <f>IFERROR(AVERAGEIF(D$10:D$29,"Unidad de Gestión Ambiental GAD",E$10:E$29),"-")</f>
        <v>1</v>
      </c>
      <c r="D39" s="195">
        <f>IFERROR(AVERAGEIF(D$10:D$29,"Unidad de Gestión Ambiental GAD",F$10:F$29),"-")</f>
        <v>1</v>
      </c>
      <c r="E39" s="195">
        <f>IFERROR(AVERAGEIF(D$10:D$29,"Unidad de Gestión Ambiental GAD",G$10:G$29),"-")</f>
        <v>0</v>
      </c>
      <c r="F39" s="195">
        <f>IFERROR(AVERAGEIF(D$10:D$29,"Unidad de Gestión Ambiental GAD",H$10:H$29),"-")</f>
        <v>1</v>
      </c>
      <c r="G39" s="195">
        <f>IFERROR(AVERAGEIF(D$10:D$29,"Unidad de Gestión Ambiental GAD",I$10:I$29),"-")</f>
        <v>0</v>
      </c>
      <c r="H39" s="196">
        <f>IFERROR(AVERAGEIF(D$10:D$29,"Unidad de Gestión Ambiental GAD",K$10:K$29),0)</f>
        <v>0.6</v>
      </c>
      <c r="I39" s="188"/>
      <c r="J39" s="134"/>
      <c r="K39" s="134"/>
      <c r="L39" s="134"/>
      <c r="M39" s="134"/>
      <c r="N39" s="242"/>
      <c r="O39" s="242"/>
      <c r="P39" s="242"/>
      <c r="Q39" s="242"/>
      <c r="R39" s="242"/>
      <c r="S39" s="242"/>
      <c r="T39" s="242"/>
      <c r="U39" s="242"/>
      <c r="V39" s="242"/>
      <c r="W39" s="242"/>
      <c r="X39" s="242"/>
      <c r="Y39" s="242"/>
      <c r="Z39" s="243"/>
    </row>
    <row r="40" spans="1:26" ht="19.95" customHeight="1" x14ac:dyDescent="0.3">
      <c r="A40" s="197" t="s">
        <v>832</v>
      </c>
      <c r="B40" s="174">
        <f>COUNTIF(D$10:D$29,"EP Aseo Integral Montecristi")</f>
        <v>1</v>
      </c>
      <c r="C40" s="198">
        <f>IFERROR(AVERAGEIF(D$10:D$29,"EP Aseo Integral Montecristi",E$10:E$29),"-")</f>
        <v>1</v>
      </c>
      <c r="D40" s="198">
        <f>IFERROR(AVERAGEIF(D$10:D$29,"EP Aseo Integral Montecristi",F$10:F$29),"-")</f>
        <v>1</v>
      </c>
      <c r="E40" s="198">
        <f>IFERROR(AVERAGEIF(D$10:D$29,"EP Aseo Integral Montecristi",G$10:G$29),"-")</f>
        <v>1</v>
      </c>
      <c r="F40" s="198">
        <f>IFERROR(AVERAGEIF(D$10:D$29,"EP Aseo Integral Montecristi",H$10:H$29),"-")</f>
        <v>1</v>
      </c>
      <c r="G40" s="198">
        <f>IFERROR(AVERAGEIF(D$10:D$29,"EP Aseo Integral Montecristi",I$10:I$29),"-")</f>
        <v>1</v>
      </c>
      <c r="H40" s="199">
        <f>IFERROR(AVERAGEIF(D$10:D$29,"EP Aseo Integral Montecristi",K$10:K$29),0)</f>
        <v>1</v>
      </c>
      <c r="I40" s="187"/>
      <c r="J40" s="132"/>
      <c r="K40" s="132"/>
      <c r="L40" s="132"/>
      <c r="M40" s="132"/>
      <c r="N40" s="242"/>
      <c r="O40" s="242"/>
      <c r="P40" s="242"/>
      <c r="Q40" s="242"/>
      <c r="R40" s="242"/>
      <c r="S40" s="242"/>
      <c r="T40" s="242"/>
      <c r="U40" s="242"/>
      <c r="V40" s="242"/>
      <c r="W40" s="242"/>
      <c r="X40" s="242"/>
      <c r="Y40" s="242"/>
      <c r="Z40" s="243"/>
    </row>
    <row r="41" spans="1:26" ht="19.95" customHeight="1" x14ac:dyDescent="0.3">
      <c r="A41" s="248" t="s">
        <v>99</v>
      </c>
      <c r="B41" s="249">
        <f>COUNTIF(D$10:D$29,"Dirección de Tecnología e Información")</f>
        <v>1</v>
      </c>
      <c r="C41" s="250">
        <f>IFERROR(AVERAGEIF(D$10:D$29,"Dirección de Tecnología e Información",E$10:E$29),"-")</f>
        <v>1</v>
      </c>
      <c r="D41" s="250">
        <f>IFERROR(AVERAGEIF(D$10:D$29,"Dirección de Tecnología e Información",F$10:F$29),"-")</f>
        <v>1</v>
      </c>
      <c r="E41" s="250">
        <f>IFERROR(AVERAGEIF(D$10:D$29,"Dirección de Tecnología e Información",G$10:G$29),"-")</f>
        <v>1</v>
      </c>
      <c r="F41" s="250">
        <f>IFERROR(AVERAGEIF(D$10:D$29,"Dirección de Tecnología e Información",H$10:H$29),"-")</f>
        <v>1</v>
      </c>
      <c r="G41" s="250">
        <f>IFERROR(AVERAGEIF(D$10:D$29,"Dirección de Tecnología e Información",I$10:I$29),"-")</f>
        <v>1</v>
      </c>
      <c r="H41" s="251">
        <f>IFERROR(AVERAGEIF(D$10:D$29,"Dirección de Tecnología e Información",K$10:K$29),0)</f>
        <v>1</v>
      </c>
      <c r="I41" s="188"/>
      <c r="J41" s="134"/>
      <c r="K41" s="134"/>
      <c r="L41" s="134"/>
      <c r="M41" s="134"/>
      <c r="N41" s="242"/>
      <c r="O41" s="242"/>
      <c r="P41" s="242"/>
      <c r="Q41" s="242"/>
      <c r="R41" s="242"/>
      <c r="S41" s="242"/>
      <c r="T41" s="242"/>
      <c r="U41" s="242"/>
      <c r="V41" s="242"/>
      <c r="W41" s="242"/>
      <c r="X41" s="242"/>
      <c r="Y41" s="242"/>
      <c r="Z41" s="243"/>
    </row>
    <row r="42" spans="1:26" ht="19.95" customHeight="1" x14ac:dyDescent="0.3">
      <c r="A42" s="248" t="s">
        <v>839</v>
      </c>
      <c r="B42" s="249">
        <f>COUNTIF(D$10:D$29,"Dirección de Avalúos y Catastros")</f>
        <v>1</v>
      </c>
      <c r="C42" s="250">
        <f>IFERROR(AVERAGEIF(D$10:D$29,"Dirección de Avalúos y Catastros",E$10:E$29),"-")</f>
        <v>1</v>
      </c>
      <c r="D42" s="250">
        <f>IFERROR(AVERAGEIF(D$10:D$29,"Dirección de Avalúos y Catastros",F$10:F$29),"-")</f>
        <v>1</v>
      </c>
      <c r="E42" s="250">
        <f>IFERROR(AVERAGEIF(D$10:D$29,"Dirección de Avalúos y Catastros",G$10:G$29),"-")</f>
        <v>1</v>
      </c>
      <c r="F42" s="250">
        <f>IFERROR(AVERAGEIF(D$10:D$29,"Dirección de Avalúos y Catastros",H$10:H$29),"-")</f>
        <v>1</v>
      </c>
      <c r="G42" s="250">
        <f>IFERROR(AVERAGEIF(D$10:D$29,"Dirección de Avalúos y Catastros",I$10:I$29),"-")</f>
        <v>0</v>
      </c>
      <c r="H42" s="251">
        <f>IFERROR(AVERAGEIF(D$10:D$29,"Dirección de Avalúos y Catastros",K$10:K$29),0)</f>
        <v>0.8</v>
      </c>
      <c r="I42" s="187"/>
      <c r="J42" s="132"/>
      <c r="K42" s="132"/>
      <c r="L42" s="132"/>
      <c r="M42" s="132"/>
      <c r="N42" s="242"/>
      <c r="O42" s="242"/>
      <c r="P42" s="242"/>
      <c r="Q42" s="242"/>
      <c r="R42" s="242"/>
      <c r="S42" s="242"/>
      <c r="T42" s="242"/>
      <c r="U42" s="242"/>
      <c r="V42" s="242"/>
      <c r="W42" s="242"/>
      <c r="X42" s="242"/>
      <c r="Y42" s="242"/>
      <c r="Z42" s="243"/>
    </row>
    <row r="43" spans="1:26" ht="19.95" customHeight="1" x14ac:dyDescent="0.3">
      <c r="A43" s="194" t="s">
        <v>97</v>
      </c>
      <c r="B43" s="166">
        <f>COUNTIF(D$10:D$29,"Unidad de Gestión Sanitaria / MSP")</f>
        <v>0</v>
      </c>
      <c r="C43" s="195" t="str">
        <f>IFERROR(AVERAGEIF(D$10:D$29,"Unidad de Gestión Sanitaria / MSP",E$10:E$29),"-")</f>
        <v>-</v>
      </c>
      <c r="D43" s="195" t="str">
        <f>IFERROR(AVERAGEIF(D$10:D$29,"Unidad de Gestión Sanitaria / MSP",F$10:F$29),"-")</f>
        <v>-</v>
      </c>
      <c r="E43" s="195" t="str">
        <f>IFERROR(AVERAGEIF(D$10:D$29,"Unidad de Gestión Sanitaria / MSP",G$10:G$29),"-")</f>
        <v>-</v>
      </c>
      <c r="F43" s="195" t="str">
        <f>IFERROR(AVERAGEIF(D$10:D$29,"Unidad de Gestión Sanitaria / MSP",H$10:H$29),"-")</f>
        <v>-</v>
      </c>
      <c r="G43" s="195" t="str">
        <f>IFERROR(AVERAGEIF(D$10:D$29,"Unidad de Gestión Sanitaria / MSP",I$10:I$29),"-")</f>
        <v>-</v>
      </c>
      <c r="H43" s="196">
        <f>IFERROR(AVERAGEIF(D$10:D$29,"Unidad de Gestión Sanitaria / MSP",K$10:K$29),0)</f>
        <v>0</v>
      </c>
      <c r="I43" s="188"/>
      <c r="J43" s="134"/>
      <c r="K43" s="134"/>
      <c r="L43" s="134"/>
      <c r="M43" s="134"/>
      <c r="N43" s="242"/>
      <c r="O43" s="242"/>
      <c r="P43" s="242"/>
      <c r="Q43" s="242"/>
      <c r="R43" s="242"/>
      <c r="S43" s="242"/>
      <c r="T43" s="242"/>
      <c r="U43" s="242"/>
      <c r="V43" s="242"/>
      <c r="W43" s="242"/>
      <c r="X43" s="242"/>
      <c r="Y43" s="242"/>
      <c r="Z43" s="243"/>
    </row>
    <row r="44" spans="1:26" ht="19.95" customHeight="1" thickBot="1" x14ac:dyDescent="0.35">
      <c r="A44" s="205" t="s">
        <v>846</v>
      </c>
      <c r="B44" s="206">
        <f>COUNTIF(D$10:D$29,"Unidad de Turismo GAD Montecristi")</f>
        <v>0</v>
      </c>
      <c r="C44" s="207" t="str">
        <f>IFERROR(AVERAGEIF(D$10:D$29,"Unidad de Turismo GAD Montecristi",E$10:E$29),"-")</f>
        <v>-</v>
      </c>
      <c r="D44" s="207" t="str">
        <f>IFERROR(AVERAGEIF(D$10:D$29,"Unidad de Turismo GAD Montecristi",F$10:F$29),"-")</f>
        <v>-</v>
      </c>
      <c r="E44" s="207" t="str">
        <f>IFERROR(AVERAGEIF(D$10:D$29,"Unidad de Turismo GAD Montecristi",G$10:G$29),"-")</f>
        <v>-</v>
      </c>
      <c r="F44" s="200" t="str">
        <f>IFERROR(AVERAGEIF(D$10:D$29,"Unidad de Turismo GAD Montecristi",H$10:H$29),"-")</f>
        <v>-</v>
      </c>
      <c r="G44" s="200" t="str">
        <f>IFERROR(AVERAGEIF(D$10:D$29,"Unidad de Turismo GAD Montecristi",I$10:I$29),"-")</f>
        <v>-</v>
      </c>
      <c r="H44" s="201">
        <f>IFERROR(AVERAGEIF(D$10:D$29,"Unidad de Turismo GAD Montecristi",K$10:K$29),0)</f>
        <v>0</v>
      </c>
      <c r="I44" s="187"/>
      <c r="J44" s="132"/>
      <c r="K44" s="132"/>
      <c r="L44" s="132"/>
      <c r="M44" s="132"/>
      <c r="N44" s="242"/>
      <c r="O44" s="242"/>
      <c r="P44" s="242"/>
      <c r="Q44" s="242"/>
      <c r="R44" s="242"/>
      <c r="S44" s="242"/>
      <c r="T44" s="242"/>
      <c r="U44" s="242"/>
      <c r="V44" s="242"/>
      <c r="W44" s="242"/>
      <c r="X44" s="242"/>
      <c r="Y44" s="242"/>
      <c r="Z44" s="243"/>
    </row>
    <row r="45" spans="1:26" ht="28.05" customHeight="1" x14ac:dyDescent="0.3">
      <c r="A45" s="3954" t="s">
        <v>2476</v>
      </c>
      <c r="B45" s="3955"/>
      <c r="C45" s="3955"/>
      <c r="D45" s="3955"/>
      <c r="E45" s="3956"/>
      <c r="F45" s="3953"/>
      <c r="G45" s="3953"/>
      <c r="H45" s="3953"/>
      <c r="I45" s="3364"/>
      <c r="J45" s="3364"/>
      <c r="K45" s="3364"/>
      <c r="L45" s="3364"/>
      <c r="M45" s="3364"/>
      <c r="N45" s="3907"/>
      <c r="O45" s="3907"/>
      <c r="P45" s="3907"/>
      <c r="Q45" s="3907"/>
      <c r="R45" s="3907"/>
      <c r="S45" s="3907"/>
      <c r="T45" s="3907"/>
      <c r="U45" s="3907"/>
      <c r="V45" s="3907"/>
      <c r="W45" s="3907"/>
      <c r="X45" s="3907"/>
      <c r="Y45" s="3907"/>
      <c r="Z45" s="3908"/>
    </row>
    <row r="46" spans="1:26" s="1" customFormat="1" ht="28.05" customHeight="1" x14ac:dyDescent="0.3">
      <c r="A46" s="208" t="s">
        <v>2477</v>
      </c>
      <c r="B46" s="209" t="s">
        <v>2478</v>
      </c>
      <c r="C46" s="209" t="s">
        <v>2479</v>
      </c>
      <c r="D46" s="209" t="s">
        <v>123</v>
      </c>
      <c r="E46" s="210" t="s">
        <v>2480</v>
      </c>
      <c r="F46" s="202"/>
      <c r="G46" s="135"/>
      <c r="H46" s="135"/>
      <c r="I46" s="135"/>
      <c r="J46" s="135"/>
      <c r="K46" s="135"/>
      <c r="L46" s="135"/>
      <c r="M46" s="135"/>
      <c r="N46" s="244"/>
      <c r="O46" s="244"/>
      <c r="P46" s="244"/>
      <c r="Q46" s="244"/>
      <c r="R46" s="244"/>
      <c r="S46" s="244"/>
      <c r="T46" s="244"/>
      <c r="U46" s="244"/>
      <c r="V46" s="244"/>
      <c r="W46" s="244"/>
      <c r="X46" s="244"/>
      <c r="Y46" s="244"/>
      <c r="Z46" s="245"/>
    </row>
    <row r="47" spans="1:26" ht="28.05" customHeight="1" x14ac:dyDescent="0.3">
      <c r="A47" s="211" t="s">
        <v>2481</v>
      </c>
      <c r="B47" s="212" t="s">
        <v>2482</v>
      </c>
      <c r="C47" s="212" t="s">
        <v>2483</v>
      </c>
      <c r="D47" s="212" t="s">
        <v>2484</v>
      </c>
      <c r="E47" s="213" t="s">
        <v>2485</v>
      </c>
      <c r="F47" s="188"/>
      <c r="G47" s="134"/>
      <c r="H47" s="134"/>
      <c r="I47" s="134"/>
      <c r="J47" s="134"/>
      <c r="K47" s="134"/>
      <c r="L47" s="134"/>
      <c r="M47" s="134"/>
      <c r="N47" s="242"/>
      <c r="O47" s="242"/>
      <c r="P47" s="242"/>
      <c r="Q47" s="242"/>
      <c r="R47" s="242"/>
      <c r="S47" s="242"/>
      <c r="T47" s="242"/>
      <c r="U47" s="242"/>
      <c r="V47" s="242"/>
      <c r="W47" s="242"/>
      <c r="X47" s="242"/>
      <c r="Y47" s="242"/>
      <c r="Z47" s="243"/>
    </row>
    <row r="48" spans="1:26" ht="28.05" customHeight="1" x14ac:dyDescent="0.3">
      <c r="A48" s="214" t="s">
        <v>2486</v>
      </c>
      <c r="B48" s="215" t="s">
        <v>2487</v>
      </c>
      <c r="C48" s="215" t="s">
        <v>2488</v>
      </c>
      <c r="D48" s="215" t="s">
        <v>2489</v>
      </c>
      <c r="E48" s="216" t="s">
        <v>2490</v>
      </c>
      <c r="F48" s="187"/>
      <c r="G48" s="132"/>
      <c r="H48" s="132"/>
      <c r="I48" s="132"/>
      <c r="J48" s="132"/>
      <c r="K48" s="132"/>
      <c r="L48" s="132"/>
      <c r="M48" s="132"/>
      <c r="N48" s="242"/>
      <c r="O48" s="242"/>
      <c r="P48" s="242"/>
      <c r="Q48" s="242"/>
      <c r="R48" s="242"/>
      <c r="S48" s="242"/>
      <c r="T48" s="242"/>
      <c r="U48" s="242"/>
      <c r="V48" s="242"/>
      <c r="W48" s="242"/>
      <c r="X48" s="242"/>
      <c r="Y48" s="242"/>
      <c r="Z48" s="243"/>
    </row>
    <row r="49" spans="1:26" ht="28.05" customHeight="1" x14ac:dyDescent="0.3">
      <c r="A49" s="217" t="s">
        <v>2491</v>
      </c>
      <c r="B49" s="218" t="s">
        <v>2492</v>
      </c>
      <c r="C49" s="219" t="s">
        <v>2493</v>
      </c>
      <c r="D49" s="219" t="s">
        <v>2494</v>
      </c>
      <c r="E49" s="220" t="s">
        <v>2495</v>
      </c>
      <c r="F49" s="203"/>
      <c r="G49" s="131"/>
      <c r="H49" s="131"/>
      <c r="I49" s="131"/>
      <c r="J49" s="131"/>
      <c r="K49" s="131"/>
      <c r="L49" s="131"/>
      <c r="M49" s="131"/>
      <c r="N49" s="242"/>
      <c r="O49" s="242"/>
      <c r="P49" s="242"/>
      <c r="Q49" s="242"/>
      <c r="R49" s="242"/>
      <c r="S49" s="242"/>
      <c r="T49" s="242"/>
      <c r="U49" s="242"/>
      <c r="V49" s="242"/>
      <c r="W49" s="242"/>
      <c r="X49" s="242"/>
      <c r="Y49" s="242"/>
      <c r="Z49" s="243"/>
    </row>
    <row r="50" spans="1:26" ht="28.05" customHeight="1" x14ac:dyDescent="0.3">
      <c r="A50" s="221" t="s">
        <v>2496</v>
      </c>
      <c r="B50" s="172" t="s">
        <v>2497</v>
      </c>
      <c r="C50" s="172" t="s">
        <v>2498</v>
      </c>
      <c r="D50" s="172" t="s">
        <v>2499</v>
      </c>
      <c r="E50" s="216" t="s">
        <v>2500</v>
      </c>
      <c r="F50" s="187"/>
      <c r="G50" s="132"/>
      <c r="H50" s="132"/>
      <c r="I50" s="132"/>
      <c r="J50" s="132"/>
      <c r="K50" s="132"/>
      <c r="L50" s="132"/>
      <c r="M50" s="132"/>
      <c r="N50" s="242"/>
      <c r="O50" s="242"/>
      <c r="P50" s="242"/>
      <c r="Q50" s="242"/>
      <c r="R50" s="242"/>
      <c r="S50" s="242"/>
      <c r="T50" s="242"/>
      <c r="U50" s="242"/>
      <c r="V50" s="242"/>
      <c r="W50" s="242"/>
      <c r="X50" s="242"/>
      <c r="Y50" s="242"/>
      <c r="Z50" s="243"/>
    </row>
    <row r="51" spans="1:26" ht="28.05" customHeight="1" thickBot="1" x14ac:dyDescent="0.35">
      <c r="A51" s="222" t="s">
        <v>2501</v>
      </c>
      <c r="B51" s="223" t="s">
        <v>2502</v>
      </c>
      <c r="C51" s="223" t="s">
        <v>2503</v>
      </c>
      <c r="D51" s="223" t="s">
        <v>2504</v>
      </c>
      <c r="E51" s="224" t="s">
        <v>2505</v>
      </c>
      <c r="F51" s="204"/>
      <c r="G51" s="136"/>
      <c r="H51" s="136"/>
      <c r="I51" s="136"/>
      <c r="J51" s="136"/>
      <c r="K51" s="136"/>
      <c r="L51" s="136"/>
      <c r="M51" s="136"/>
      <c r="N51" s="246"/>
      <c r="O51" s="246"/>
      <c r="P51" s="246"/>
      <c r="Q51" s="246"/>
      <c r="R51" s="246"/>
      <c r="S51" s="246"/>
      <c r="T51" s="246"/>
      <c r="U51" s="246"/>
      <c r="V51" s="246"/>
      <c r="W51" s="246"/>
      <c r="X51" s="246"/>
      <c r="Y51" s="246"/>
      <c r="Z51" s="247"/>
    </row>
  </sheetData>
  <mergeCells count="7">
    <mergeCell ref="A31:Z31"/>
    <mergeCell ref="A45:Z45"/>
    <mergeCell ref="A1:Z1"/>
    <mergeCell ref="A3:Z3"/>
    <mergeCell ref="A4:Z4"/>
    <mergeCell ref="A8:Z8"/>
    <mergeCell ref="N5:R5"/>
  </mergeCells>
  <conditionalFormatting sqref="B6">
    <cfRule type="cellIs" dxfId="213" priority="30" operator="between">
      <formula>0.9</formula>
      <formula>1.001</formula>
    </cfRule>
    <cfRule type="cellIs" dxfId="212" priority="31" operator="between">
      <formula>0.7</formula>
      <formula>0.9</formula>
    </cfRule>
    <cfRule type="cellIs" dxfId="211" priority="32" operator="between">
      <formula>0.4</formula>
      <formula>0.7</formula>
    </cfRule>
    <cfRule type="cellIs" dxfId="210" priority="33" operator="between">
      <formula>0.2</formula>
      <formula>0.4</formula>
    </cfRule>
    <cfRule type="cellIs" dxfId="209" priority="34" operator="between">
      <formula>0</formula>
      <formula>0.2</formula>
    </cfRule>
  </conditionalFormatting>
  <conditionalFormatting sqref="E10:I29">
    <cfRule type="cellIs" dxfId="208" priority="7" operator="equal">
      <formula>1</formula>
    </cfRule>
    <cfRule type="cellIs" dxfId="207" priority="8" operator="equal">
      <formula>0</formula>
    </cfRule>
  </conditionalFormatting>
  <conditionalFormatting sqref="H33:H44">
    <cfRule type="cellIs" dxfId="206" priority="25" operator="between">
      <formula>0.9</formula>
      <formula>1.001</formula>
    </cfRule>
    <cfRule type="cellIs" dxfId="205" priority="26" operator="between">
      <formula>0.7</formula>
      <formula>0.9</formula>
    </cfRule>
    <cfRule type="cellIs" dxfId="204" priority="27" operator="between">
      <formula>0.4</formula>
      <formula>0.7</formula>
    </cfRule>
    <cfRule type="cellIs" dxfId="203" priority="28" operator="between">
      <formula>0.2</formula>
      <formula>0.4</formula>
    </cfRule>
    <cfRule type="cellIs" dxfId="202" priority="29" operator="between">
      <formula>0</formula>
      <formula>0.2</formula>
    </cfRule>
  </conditionalFormatting>
  <conditionalFormatting sqref="K10:K30">
    <cfRule type="cellIs" dxfId="201" priority="20" operator="between">
      <formula>0.9</formula>
      <formula>1.001</formula>
    </cfRule>
    <cfRule type="cellIs" dxfId="200" priority="21" operator="between">
      <formula>0.7</formula>
      <formula>0.9</formula>
    </cfRule>
    <cfRule type="cellIs" dxfId="199" priority="22" operator="between">
      <formula>0.4</formula>
      <formula>0.7</formula>
    </cfRule>
    <cfRule type="cellIs" dxfId="198" priority="23" operator="between">
      <formula>0.2</formula>
      <formula>0.4</formula>
    </cfRule>
    <cfRule type="cellIs" dxfId="197" priority="24" operator="between">
      <formula>0</formula>
      <formula>0.2</formula>
    </cfRule>
  </conditionalFormatting>
  <hyperlinks>
    <hyperlink ref="A1" location="'ÍNDICE'!A1" tooltip="Ir al ÍNDICE principal" display="  ⌂  ÍNDICE" xr:uid="{00000000-0004-0000-1E00-000000000000}"/>
  </hyperlinks>
  <pageMargins left="0.7" right="0.7" top="0.75" bottom="0.75" header="0.3" footer="0.3"/>
  <pageSetup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E2EFDA"/>
  </sheetPr>
  <dimension ref="A1:Z48"/>
  <sheetViews>
    <sheetView showGridLines="0" zoomScale="13" zoomScaleNormal="13" workbookViewId="0">
      <pane ySplit="3" topLeftCell="A4" activePane="bottomLeft" state="frozen"/>
      <selection pane="bottomLeft" activeCell="C13" sqref="C13:D13"/>
    </sheetView>
  </sheetViews>
  <sheetFormatPr baseColWidth="10" defaultRowHeight="14.4" x14ac:dyDescent="0.3"/>
  <cols>
    <col min="1" max="1" width="28.6640625" customWidth="1"/>
    <col min="2" max="2" width="37" customWidth="1"/>
    <col min="3" max="3" width="26.88671875" customWidth="1"/>
    <col min="4" max="4" width="15.77734375" customWidth="1"/>
    <col min="5" max="6" width="12" customWidth="1"/>
    <col min="7" max="8" width="18.5546875" customWidth="1"/>
    <col min="9" max="9" width="12" customWidth="1"/>
    <col min="10" max="10" width="11.109375" customWidth="1"/>
    <col min="11" max="11" width="20.33203125" customWidth="1"/>
    <col min="12" max="12" width="16.6640625" customWidth="1"/>
    <col min="13" max="13" width="12" customWidth="1"/>
    <col min="14" max="14" width="30.5546875" customWidth="1"/>
    <col min="15" max="15" width="24.109375" customWidth="1"/>
    <col min="16" max="16" width="12.33203125" bestFit="1" customWidth="1"/>
    <col min="17" max="17" width="13.88671875" customWidth="1"/>
    <col min="18" max="18" width="24.109375" customWidth="1"/>
    <col min="26" max="26" width="10.109375" bestFit="1" customWidth="1"/>
  </cols>
  <sheetData>
    <row r="1" spans="1:26" ht="28.05" customHeight="1" x14ac:dyDescent="0.3">
      <c r="A1" s="3970" t="s">
        <v>4846</v>
      </c>
      <c r="B1" s="3971"/>
      <c r="C1" s="3971"/>
      <c r="D1" s="3971"/>
      <c r="E1" s="3971"/>
      <c r="F1" s="3971"/>
      <c r="G1" s="3971"/>
      <c r="H1" s="3971"/>
      <c r="I1" s="3971"/>
      <c r="J1" s="3971"/>
      <c r="K1" s="3971"/>
      <c r="L1" s="3971"/>
      <c r="M1" s="3971"/>
      <c r="N1" s="3971"/>
      <c r="O1" s="3971"/>
      <c r="P1" s="3971"/>
      <c r="Q1" s="3971"/>
      <c r="R1" s="3971"/>
      <c r="S1" s="3971"/>
      <c r="T1" s="3971"/>
      <c r="U1" s="3971"/>
      <c r="V1" s="3971"/>
      <c r="W1" s="3971"/>
      <c r="X1" s="3971"/>
      <c r="Y1" s="3971"/>
      <c r="Z1" s="3971"/>
    </row>
    <row r="2" spans="1:26" ht="19.95" customHeight="1" x14ac:dyDescent="0.3">
      <c r="A2" s="139" t="str">
        <f>HYPERLINK("#'M-INDEX'!A1","⌂ INDICE")</f>
        <v>⌂ INDICE</v>
      </c>
      <c r="B2" s="140" t="str">
        <f>HYPERLINK("#'M1-ITME'!A1","M1")</f>
        <v>M1</v>
      </c>
      <c r="C2" s="140" t="str">
        <f>HYPERLINK("#'M2-PDOT'!A1","M2")</f>
        <v>M2</v>
      </c>
      <c r="D2" s="140" t="str">
        <f>HYPERLINK("#'M3-MAO'!A1","M3")</f>
        <v>M3</v>
      </c>
      <c r="E2" s="140" t="str">
        <f>HYPERLINK("#'M4-AUDIT'!A1","M4")</f>
        <v>M4</v>
      </c>
      <c r="F2" s="140" t="str">
        <f>HYPERLINK("#'M5-ICPI'!A1","M5")</f>
        <v>M5</v>
      </c>
      <c r="G2" s="140" t="str">
        <f>HYPERLINK("#'M6-FEDS'!A1","M6")</f>
        <v>M6</v>
      </c>
      <c r="H2" s="140" t="str">
        <f>HYPERLINK("#'M7-PROSP'!A1","M7")</f>
        <v>M7</v>
      </c>
      <c r="I2" s="140" t="str">
        <f>HYPERLINK("#'DATA-POA'!A1","DATA-POA")</f>
        <v>DATA-POA</v>
      </c>
      <c r="J2" s="140" t="str">
        <f>HYPERLINK("#'DATA-CNE'!A1","DATA-CNE")</f>
        <v>DATA-CNE</v>
      </c>
      <c r="K2" s="140" t="str">
        <f>HYPERLINK("#'DATA-ORG'!A1","DATA-ORG")</f>
        <v>DATA-ORG</v>
      </c>
      <c r="L2" s="140" t="str">
        <f>HYPERLINK("#'M-DASHBOARD'!A1","DASH")</f>
        <v>DASH</v>
      </c>
      <c r="M2" s="141"/>
      <c r="N2" s="141"/>
      <c r="O2" s="141"/>
      <c r="P2" s="141"/>
      <c r="Q2" s="141"/>
      <c r="R2" s="141"/>
      <c r="S2" s="141"/>
      <c r="T2" s="141"/>
      <c r="U2" s="141"/>
      <c r="V2" s="141"/>
      <c r="W2" s="141"/>
      <c r="X2" s="141"/>
      <c r="Y2" s="141"/>
      <c r="Z2" s="141"/>
    </row>
    <row r="3" spans="1:26" ht="16.05" customHeight="1" thickBot="1" x14ac:dyDescent="0.35">
      <c r="A3" s="3972" t="s">
        <v>4243</v>
      </c>
      <c r="B3" s="3973"/>
      <c r="C3" s="3973"/>
      <c r="D3" s="3973"/>
      <c r="E3" s="3973"/>
      <c r="F3" s="3973"/>
      <c r="G3" s="3973"/>
      <c r="H3" s="3973"/>
      <c r="I3" s="3973"/>
      <c r="J3" s="3973"/>
      <c r="K3" s="3973"/>
      <c r="L3" s="3973"/>
      <c r="M3" s="3973"/>
      <c r="N3" s="3973"/>
      <c r="O3" s="3973"/>
      <c r="P3" s="3974"/>
      <c r="Q3" s="3974"/>
      <c r="R3" s="3974"/>
      <c r="S3" s="3974"/>
      <c r="T3" s="3974"/>
      <c r="U3" s="3974"/>
      <c r="V3" s="3974"/>
      <c r="W3" s="3974"/>
      <c r="X3" s="3974"/>
      <c r="Y3" s="3974"/>
      <c r="Z3" s="3974"/>
    </row>
    <row r="4" spans="1:26" ht="19.95" customHeight="1" thickTop="1" x14ac:dyDescent="0.3">
      <c r="A4" s="3962" t="s">
        <v>2506</v>
      </c>
      <c r="B4" s="3963"/>
      <c r="C4" s="3963"/>
      <c r="D4" s="3963"/>
      <c r="E4" s="3963"/>
      <c r="F4" s="3963"/>
      <c r="G4" s="3963"/>
      <c r="H4" s="3963"/>
      <c r="I4" s="3963"/>
      <c r="J4" s="3963"/>
      <c r="K4" s="3963"/>
      <c r="L4" s="3963"/>
      <c r="M4" s="3963"/>
      <c r="N4" s="3963"/>
      <c r="O4" s="3964"/>
      <c r="P4" s="3975"/>
      <c r="Q4" s="3975"/>
      <c r="R4" s="3975"/>
      <c r="S4" s="3975"/>
      <c r="T4" s="3975"/>
      <c r="U4" s="3975"/>
      <c r="V4" s="3975"/>
      <c r="W4" s="3975"/>
      <c r="X4" s="3975"/>
      <c r="Y4" s="3975"/>
      <c r="Z4" s="3976"/>
    </row>
    <row r="5" spans="1:26" ht="36" customHeight="1" x14ac:dyDescent="0.3">
      <c r="A5" s="280" t="s">
        <v>2507</v>
      </c>
      <c r="B5" s="281" t="s">
        <v>2508</v>
      </c>
      <c r="C5" s="281" t="s">
        <v>2469</v>
      </c>
      <c r="D5" s="281" t="s">
        <v>804</v>
      </c>
      <c r="E5" s="281" t="s">
        <v>2509</v>
      </c>
      <c r="F5" s="281" t="s">
        <v>2510</v>
      </c>
      <c r="G5" s="281" t="s">
        <v>2511</v>
      </c>
      <c r="H5" s="281" t="s">
        <v>2512</v>
      </c>
      <c r="I5" s="281" t="s">
        <v>2513</v>
      </c>
      <c r="J5" s="281" t="s">
        <v>2514</v>
      </c>
      <c r="K5" s="281" t="s">
        <v>2515</v>
      </c>
      <c r="L5" s="281" t="s">
        <v>2516</v>
      </c>
      <c r="M5" s="281" t="s">
        <v>2517</v>
      </c>
      <c r="N5" s="363" t="s">
        <v>2518</v>
      </c>
      <c r="O5" s="282" t="s">
        <v>2519</v>
      </c>
      <c r="P5" s="277"/>
      <c r="Q5" s="367" t="s">
        <v>4984</v>
      </c>
      <c r="R5" s="235"/>
      <c r="S5" s="235"/>
      <c r="T5" s="235"/>
      <c r="U5" s="235"/>
      <c r="V5" s="235"/>
      <c r="W5" s="235"/>
      <c r="X5" s="235"/>
      <c r="Y5" s="235"/>
      <c r="Z5" s="236"/>
    </row>
    <row r="6" spans="1:26" s="11" customFormat="1" ht="19.95" customHeight="1" x14ac:dyDescent="0.3">
      <c r="A6" s="283" t="s">
        <v>495</v>
      </c>
      <c r="B6" s="284" t="s">
        <v>2520</v>
      </c>
      <c r="C6" s="284" t="s">
        <v>91</v>
      </c>
      <c r="D6" s="284" t="s">
        <v>810</v>
      </c>
      <c r="E6" s="285" t="s">
        <v>2080</v>
      </c>
      <c r="F6" s="285" t="s">
        <v>2080</v>
      </c>
      <c r="G6" s="286">
        <v>45625014</v>
      </c>
      <c r="H6" s="286">
        <v>4202279</v>
      </c>
      <c r="I6" s="287">
        <v>0.85</v>
      </c>
      <c r="J6" s="288">
        <v>1</v>
      </c>
      <c r="K6" s="289" t="str">
        <f>IF(I6&gt;0.8,"✅ Completado",IF(I6&gt;0.4,"🔄 En ejecución",IF(I6&gt;0,"⚠️ Atrasado","❌ No iniciado")))</f>
        <v>✅ Completado</v>
      </c>
      <c r="L6" s="290" t="s">
        <v>2521</v>
      </c>
      <c r="M6" s="291">
        <v>90</v>
      </c>
      <c r="N6" s="364" t="s">
        <v>2522</v>
      </c>
      <c r="O6" s="292" t="s">
        <v>495</v>
      </c>
      <c r="P6" s="278"/>
      <c r="Q6" s="368" t="s">
        <v>4978</v>
      </c>
      <c r="R6" s="253" t="s">
        <v>4979</v>
      </c>
      <c r="S6" s="238"/>
      <c r="T6" s="238"/>
      <c r="U6" s="238"/>
      <c r="V6" s="238"/>
      <c r="W6" s="238"/>
      <c r="X6" s="238"/>
      <c r="Y6" s="238"/>
      <c r="Z6" s="239"/>
    </row>
    <row r="7" spans="1:26" s="11" customFormat="1" ht="19.95" customHeight="1" x14ac:dyDescent="0.3">
      <c r="A7" s="293" t="s">
        <v>509</v>
      </c>
      <c r="B7" s="294" t="s">
        <v>2523</v>
      </c>
      <c r="C7" s="294" t="s">
        <v>89</v>
      </c>
      <c r="D7" s="294" t="s">
        <v>810</v>
      </c>
      <c r="E7" s="295" t="s">
        <v>2080</v>
      </c>
      <c r="F7" s="295" t="s">
        <v>2080</v>
      </c>
      <c r="G7" s="296">
        <v>1269859</v>
      </c>
      <c r="H7" s="296">
        <v>4454844</v>
      </c>
      <c r="I7" s="297">
        <v>0.75</v>
      </c>
      <c r="J7" s="298">
        <v>1</v>
      </c>
      <c r="K7" s="295" t="str">
        <f>IF(I7&gt;0.8,"✅ Completado",IF(I7&gt;0.4,"🔄 En ejecución",IF(I7&gt;0,"⚠️ Atrasado","❌ No iniciado")))</f>
        <v>🔄 En ejecución</v>
      </c>
      <c r="L7" s="299" t="s">
        <v>2521</v>
      </c>
      <c r="M7" s="300">
        <v>72</v>
      </c>
      <c r="N7" s="365" t="s">
        <v>2522</v>
      </c>
      <c r="O7" s="301" t="s">
        <v>509</v>
      </c>
      <c r="P7" s="278"/>
      <c r="Q7" s="369" t="s">
        <v>4980</v>
      </c>
      <c r="R7" s="256" t="s">
        <v>3238</v>
      </c>
      <c r="S7" s="238"/>
      <c r="T7" s="238"/>
      <c r="U7" s="238"/>
      <c r="V7" s="238"/>
      <c r="W7" s="238"/>
      <c r="X7" s="238"/>
      <c r="Y7" s="238"/>
      <c r="Z7" s="239"/>
    </row>
    <row r="8" spans="1:26" s="11" customFormat="1" ht="19.95" customHeight="1" x14ac:dyDescent="0.3">
      <c r="A8" s="283" t="s">
        <v>43</v>
      </c>
      <c r="B8" s="284" t="s">
        <v>2524</v>
      </c>
      <c r="C8" s="284" t="s">
        <v>94</v>
      </c>
      <c r="D8" s="284" t="s">
        <v>815</v>
      </c>
      <c r="E8" s="285" t="s">
        <v>2080</v>
      </c>
      <c r="F8" s="285" t="s">
        <v>443</v>
      </c>
      <c r="G8" s="286">
        <v>1693800</v>
      </c>
      <c r="H8" s="286">
        <v>20000</v>
      </c>
      <c r="I8" s="287">
        <v>0.15</v>
      </c>
      <c r="J8" s="288">
        <v>0</v>
      </c>
      <c r="K8" s="285" t="str">
        <f>IF(I8&gt;0.8,"✅ Completado",IF(I8&gt;0.4,"🔄 En ejecución",IF(I8&gt;0,"⚠️ Atrasado","❌ No iniciado")))</f>
        <v>⚠️ Atrasado</v>
      </c>
      <c r="L8" s="290" t="s">
        <v>2521</v>
      </c>
      <c r="M8" s="291">
        <v>0</v>
      </c>
      <c r="N8" s="364" t="s">
        <v>2525</v>
      </c>
      <c r="O8" s="292" t="s">
        <v>43</v>
      </c>
      <c r="P8" s="278"/>
      <c r="Q8" s="370" t="s">
        <v>4985</v>
      </c>
      <c r="R8" s="371" t="s">
        <v>4986</v>
      </c>
      <c r="S8" s="238"/>
      <c r="T8" s="238"/>
      <c r="U8" s="238"/>
      <c r="V8" s="238"/>
      <c r="W8" s="238"/>
      <c r="X8" s="238"/>
      <c r="Y8" s="238"/>
      <c r="Z8" s="239"/>
    </row>
    <row r="9" spans="1:26" s="11" customFormat="1" ht="19.95" customHeight="1" x14ac:dyDescent="0.3">
      <c r="A9" s="293" t="s">
        <v>715</v>
      </c>
      <c r="B9" s="294" t="s">
        <v>2526</v>
      </c>
      <c r="C9" s="294" t="s">
        <v>819</v>
      </c>
      <c r="D9" s="294" t="s">
        <v>810</v>
      </c>
      <c r="E9" s="295" t="s">
        <v>2080</v>
      </c>
      <c r="F9" s="295" t="s">
        <v>2080</v>
      </c>
      <c r="G9" s="296">
        <v>1693800</v>
      </c>
      <c r="H9" s="296">
        <v>0</v>
      </c>
      <c r="I9" s="297">
        <v>0.45</v>
      </c>
      <c r="J9" s="298">
        <v>1</v>
      </c>
      <c r="K9" s="295" t="str">
        <f>IF(I9&gt;0.8,"✅ Completado",IF(I9&gt;0.4,"🔄 En ejecución",IF(I9&gt;0,"⚠️ Atrasado","❌ No iniciado")))</f>
        <v>🔄 En ejecución</v>
      </c>
      <c r="L9" s="299" t="s">
        <v>2521</v>
      </c>
      <c r="M9" s="300">
        <v>65</v>
      </c>
      <c r="N9" s="365" t="s">
        <v>2522</v>
      </c>
      <c r="O9" s="301" t="s">
        <v>715</v>
      </c>
      <c r="P9" s="278"/>
      <c r="Q9" s="372" t="s">
        <v>4981</v>
      </c>
      <c r="R9" s="373" t="s">
        <v>3240</v>
      </c>
      <c r="S9" s="238"/>
      <c r="T9" s="238"/>
      <c r="U9" s="238"/>
      <c r="V9" s="238"/>
      <c r="W9" s="238"/>
      <c r="X9" s="238"/>
      <c r="Y9" s="238"/>
      <c r="Z9" s="239"/>
    </row>
    <row r="10" spans="1:26" s="11" customFormat="1" ht="19.95" customHeight="1" x14ac:dyDescent="0.3">
      <c r="A10" s="283" t="s">
        <v>57</v>
      </c>
      <c r="B10" s="284" t="s">
        <v>2527</v>
      </c>
      <c r="C10" s="284" t="s">
        <v>95</v>
      </c>
      <c r="D10" s="284" t="s">
        <v>810</v>
      </c>
      <c r="E10" s="285" t="s">
        <v>2080</v>
      </c>
      <c r="F10" s="285" t="s">
        <v>443</v>
      </c>
      <c r="G10" s="286">
        <v>1693800</v>
      </c>
      <c r="H10" s="286">
        <v>0</v>
      </c>
      <c r="I10" s="287">
        <v>0</v>
      </c>
      <c r="J10" s="288">
        <v>0</v>
      </c>
      <c r="K10" s="302" t="s">
        <v>2528</v>
      </c>
      <c r="L10" s="290" t="s">
        <v>2521</v>
      </c>
      <c r="M10" s="291">
        <v>0</v>
      </c>
      <c r="N10" s="364" t="s">
        <v>2525</v>
      </c>
      <c r="O10" s="292" t="s">
        <v>57</v>
      </c>
      <c r="P10" s="278"/>
      <c r="Q10" s="374" t="s">
        <v>4982</v>
      </c>
      <c r="R10" s="261" t="s">
        <v>4983</v>
      </c>
      <c r="S10" s="238"/>
      <c r="T10" s="238"/>
      <c r="U10" s="238"/>
      <c r="V10" s="238"/>
      <c r="W10" s="238"/>
      <c r="X10" s="238"/>
      <c r="Y10" s="238"/>
      <c r="Z10" s="239"/>
    </row>
    <row r="11" spans="1:26" s="11" customFormat="1" ht="19.95" customHeight="1" x14ac:dyDescent="0.3">
      <c r="A11" s="293" t="s">
        <v>721</v>
      </c>
      <c r="B11" s="294" t="s">
        <v>2529</v>
      </c>
      <c r="C11" s="294" t="s">
        <v>87</v>
      </c>
      <c r="D11" s="294" t="s">
        <v>810</v>
      </c>
      <c r="E11" s="295" t="s">
        <v>2080</v>
      </c>
      <c r="F11" s="295" t="s">
        <v>2080</v>
      </c>
      <c r="G11" s="296">
        <v>0</v>
      </c>
      <c r="H11" s="296">
        <v>0</v>
      </c>
      <c r="I11" s="297">
        <v>1</v>
      </c>
      <c r="J11" s="298">
        <v>1</v>
      </c>
      <c r="K11" s="303" t="str">
        <f>IF(I11&gt;0.8,"✅ Completado",IF(I11&gt;0.4,"🔄 En ejecución",IF(I11&gt;0,"⚠️ Atrasado","❌ No iniciado")))</f>
        <v>✅ Completado</v>
      </c>
      <c r="L11" s="299" t="s">
        <v>2521</v>
      </c>
      <c r="M11" s="300">
        <v>90</v>
      </c>
      <c r="N11" s="365" t="s">
        <v>2525</v>
      </c>
      <c r="O11" s="301" t="s">
        <v>721</v>
      </c>
      <c r="P11" s="278"/>
      <c r="Q11" s="238"/>
      <c r="R11" s="238"/>
      <c r="S11" s="238"/>
      <c r="T11" s="238"/>
      <c r="U11" s="238"/>
      <c r="V11" s="238"/>
      <c r="W11" s="238"/>
      <c r="X11" s="238"/>
      <c r="Y11" s="238"/>
      <c r="Z11" s="239"/>
    </row>
    <row r="12" spans="1:26" s="11" customFormat="1" ht="19.95" customHeight="1" x14ac:dyDescent="0.3">
      <c r="A12" s="283" t="s">
        <v>546</v>
      </c>
      <c r="B12" s="284" t="s">
        <v>2530</v>
      </c>
      <c r="C12" s="284" t="s">
        <v>89</v>
      </c>
      <c r="D12" s="284" t="s">
        <v>810</v>
      </c>
      <c r="E12" s="285" t="s">
        <v>2080</v>
      </c>
      <c r="F12" s="285" t="s">
        <v>2080</v>
      </c>
      <c r="G12" s="286">
        <v>10892761</v>
      </c>
      <c r="H12" s="286">
        <v>2629217</v>
      </c>
      <c r="I12" s="287">
        <v>0.9</v>
      </c>
      <c r="J12" s="288">
        <v>1</v>
      </c>
      <c r="K12" s="289" t="str">
        <f>IF(I12&gt;0.8,"✅ Completado",IF(I12&gt;0.4,"🔄 En ejecución",IF(I12&gt;0,"⚠️ Atrasado","❌ No iniciado")))</f>
        <v>✅ Completado</v>
      </c>
      <c r="L12" s="290" t="s">
        <v>2521</v>
      </c>
      <c r="M12" s="291">
        <v>72</v>
      </c>
      <c r="N12" s="364" t="s">
        <v>2522</v>
      </c>
      <c r="O12" s="292" t="s">
        <v>546</v>
      </c>
      <c r="P12" s="278"/>
      <c r="Q12" s="238"/>
      <c r="R12" s="238"/>
      <c r="S12" s="238"/>
      <c r="T12" s="238"/>
      <c r="U12" s="238"/>
      <c r="V12" s="238"/>
      <c r="W12" s="238"/>
      <c r="X12" s="238"/>
      <c r="Y12" s="238"/>
      <c r="Z12" s="239"/>
    </row>
    <row r="13" spans="1:26" s="11" customFormat="1" ht="19.95" customHeight="1" x14ac:dyDescent="0.3">
      <c r="A13" s="293" t="s">
        <v>47</v>
      </c>
      <c r="B13" s="294" t="s">
        <v>2531</v>
      </c>
      <c r="C13" s="294" t="s">
        <v>94</v>
      </c>
      <c r="D13" s="294" t="s">
        <v>815</v>
      </c>
      <c r="E13" s="295" t="s">
        <v>2080</v>
      </c>
      <c r="F13" s="295" t="s">
        <v>443</v>
      </c>
      <c r="G13" s="296">
        <v>0</v>
      </c>
      <c r="H13" s="296">
        <v>40000</v>
      </c>
      <c r="I13" s="297">
        <v>0.5</v>
      </c>
      <c r="J13" s="298">
        <v>0</v>
      </c>
      <c r="K13" s="295" t="str">
        <f>IF(I13&gt;0.8,"✅ Completado",IF(I13&gt;0.4,"🔄 En ejecución",IF(I13&gt;0,"⚠️ Atrasado","❌ No iniciado")))</f>
        <v>🔄 En ejecución</v>
      </c>
      <c r="L13" s="299" t="s">
        <v>2521</v>
      </c>
      <c r="M13" s="300">
        <v>0</v>
      </c>
      <c r="N13" s="365" t="s">
        <v>2525</v>
      </c>
      <c r="O13" s="301" t="s">
        <v>47</v>
      </c>
      <c r="P13" s="278"/>
      <c r="Q13" s="238"/>
      <c r="R13" s="238"/>
      <c r="S13" s="238"/>
      <c r="T13" s="238"/>
      <c r="U13" s="238"/>
      <c r="V13" s="238"/>
      <c r="W13" s="238"/>
      <c r="X13" s="238"/>
      <c r="Y13" s="238"/>
      <c r="Z13" s="239"/>
    </row>
    <row r="14" spans="1:26" s="11" customFormat="1" ht="19.95" customHeight="1" x14ac:dyDescent="0.3">
      <c r="A14" s="283" t="s">
        <v>518</v>
      </c>
      <c r="B14" s="284" t="s">
        <v>2532</v>
      </c>
      <c r="C14" s="284" t="s">
        <v>827</v>
      </c>
      <c r="D14" s="284" t="s">
        <v>829</v>
      </c>
      <c r="E14" s="285" t="s">
        <v>2080</v>
      </c>
      <c r="F14" s="285" t="s">
        <v>2080</v>
      </c>
      <c r="G14" s="286">
        <v>0</v>
      </c>
      <c r="H14" s="286">
        <v>370866</v>
      </c>
      <c r="I14" s="287">
        <v>0.4</v>
      </c>
      <c r="J14" s="288">
        <v>1</v>
      </c>
      <c r="K14" s="285" t="str">
        <f>IF(I14&gt;0.8,"✅ Completado",IF(I14&gt;0.4,"🔄 En ejecución",IF(I14&gt;0,"⚠️ Atrasado","❌ No iniciado")))</f>
        <v>⚠️ Atrasado</v>
      </c>
      <c r="L14" s="290" t="s">
        <v>2521</v>
      </c>
      <c r="M14" s="291">
        <v>58.5</v>
      </c>
      <c r="N14" s="364" t="s">
        <v>2522</v>
      </c>
      <c r="O14" s="292" t="s">
        <v>518</v>
      </c>
      <c r="P14" s="278"/>
      <c r="Q14" s="238"/>
      <c r="R14" s="238"/>
      <c r="S14" s="238"/>
      <c r="T14" s="238"/>
      <c r="U14" s="238"/>
      <c r="V14" s="238"/>
      <c r="W14" s="238"/>
      <c r="X14" s="238"/>
      <c r="Y14" s="238"/>
      <c r="Z14" s="239"/>
    </row>
    <row r="15" spans="1:26" s="11" customFormat="1" ht="19.95" customHeight="1" x14ac:dyDescent="0.3">
      <c r="A15" s="293" t="s">
        <v>531</v>
      </c>
      <c r="B15" s="294" t="s">
        <v>2533</v>
      </c>
      <c r="C15" s="294" t="s">
        <v>89</v>
      </c>
      <c r="D15" s="294" t="s">
        <v>810</v>
      </c>
      <c r="E15" s="295" t="s">
        <v>2080</v>
      </c>
      <c r="F15" s="295" t="s">
        <v>2080</v>
      </c>
      <c r="G15" s="296">
        <v>2588556</v>
      </c>
      <c r="H15" s="296">
        <v>540243</v>
      </c>
      <c r="I15" s="297">
        <v>0.5</v>
      </c>
      <c r="J15" s="298">
        <v>1</v>
      </c>
      <c r="K15" s="295" t="str">
        <f>IF(I15&gt;0.8,"✅ Completado",IF(I15&gt;0.4,"🔄 En ejecución",IF(I15&gt;0,"⚠️ Atrasado","❌ No iniciado")))</f>
        <v>🔄 En ejecución</v>
      </c>
      <c r="L15" s="299" t="s">
        <v>2521</v>
      </c>
      <c r="M15" s="300">
        <v>72</v>
      </c>
      <c r="N15" s="365" t="s">
        <v>2522</v>
      </c>
      <c r="O15" s="301" t="s">
        <v>531</v>
      </c>
      <c r="P15" s="278"/>
      <c r="Q15" s="238"/>
      <c r="R15" s="238"/>
      <c r="S15" s="238"/>
      <c r="T15" s="238"/>
      <c r="U15" s="238"/>
      <c r="V15" s="238"/>
      <c r="W15" s="238"/>
      <c r="X15" s="238"/>
      <c r="Y15" s="238"/>
      <c r="Z15" s="239"/>
    </row>
    <row r="16" spans="1:26" s="11" customFormat="1" ht="19.95" customHeight="1" x14ac:dyDescent="0.3">
      <c r="A16" s="283" t="s">
        <v>53</v>
      </c>
      <c r="B16" s="284" t="s">
        <v>2534</v>
      </c>
      <c r="C16" s="284" t="s">
        <v>94</v>
      </c>
      <c r="D16" s="284" t="s">
        <v>815</v>
      </c>
      <c r="E16" s="285" t="s">
        <v>2080</v>
      </c>
      <c r="F16" s="285" t="s">
        <v>443</v>
      </c>
      <c r="G16" s="286">
        <v>0</v>
      </c>
      <c r="H16" s="286">
        <v>0</v>
      </c>
      <c r="I16" s="287">
        <v>0</v>
      </c>
      <c r="J16" s="288">
        <v>0</v>
      </c>
      <c r="K16" s="302" t="s">
        <v>2528</v>
      </c>
      <c r="L16" s="290" t="s">
        <v>2521</v>
      </c>
      <c r="M16" s="291">
        <v>0</v>
      </c>
      <c r="N16" s="364" t="s">
        <v>2525</v>
      </c>
      <c r="O16" s="292" t="s">
        <v>53</v>
      </c>
      <c r="P16" s="278"/>
      <c r="Q16" s="238"/>
      <c r="R16" s="238"/>
      <c r="S16" s="238"/>
      <c r="T16" s="238"/>
      <c r="U16" s="238"/>
      <c r="V16" s="238"/>
      <c r="W16" s="238"/>
      <c r="X16" s="238"/>
      <c r="Y16" s="238"/>
      <c r="Z16" s="239"/>
    </row>
    <row r="17" spans="1:26" s="11" customFormat="1" ht="19.95" customHeight="1" x14ac:dyDescent="0.3">
      <c r="A17" s="293" t="s">
        <v>486</v>
      </c>
      <c r="B17" s="294" t="s">
        <v>2535</v>
      </c>
      <c r="C17" s="294" t="s">
        <v>832</v>
      </c>
      <c r="D17" s="294" t="s">
        <v>2536</v>
      </c>
      <c r="E17" s="295" t="s">
        <v>2080</v>
      </c>
      <c r="F17" s="295" t="s">
        <v>2080</v>
      </c>
      <c r="G17" s="296">
        <v>748783</v>
      </c>
      <c r="H17" s="296">
        <v>125866</v>
      </c>
      <c r="I17" s="297">
        <v>0.3</v>
      </c>
      <c r="J17" s="298">
        <v>1</v>
      </c>
      <c r="K17" s="295" t="str">
        <f t="shared" ref="K17:K25" si="0">IF(I17&gt;0.8,"✅ Completado",IF(I17&gt;0.4,"🔄 En ejecución",IF(I17&gt;0,"⚠️ Atrasado","❌ No iniciado")))</f>
        <v>⚠️ Atrasado</v>
      </c>
      <c r="L17" s="299" t="s">
        <v>2521</v>
      </c>
      <c r="M17" s="300">
        <v>58.5</v>
      </c>
      <c r="N17" s="365" t="s">
        <v>2522</v>
      </c>
      <c r="O17" s="301" t="s">
        <v>486</v>
      </c>
      <c r="P17" s="278"/>
      <c r="Q17" s="238"/>
      <c r="R17" s="238"/>
      <c r="S17" s="238"/>
      <c r="T17" s="238"/>
      <c r="U17" s="238"/>
      <c r="V17" s="238"/>
      <c r="W17" s="238"/>
      <c r="X17" s="238"/>
      <c r="Y17" s="238"/>
      <c r="Z17" s="239"/>
    </row>
    <row r="18" spans="1:26" s="11" customFormat="1" ht="19.95" customHeight="1" x14ac:dyDescent="0.3">
      <c r="A18" s="283" t="s">
        <v>553</v>
      </c>
      <c r="B18" s="284" t="s">
        <v>2537</v>
      </c>
      <c r="C18" s="284" t="s">
        <v>89</v>
      </c>
      <c r="D18" s="284" t="s">
        <v>810</v>
      </c>
      <c r="E18" s="285" t="s">
        <v>2080</v>
      </c>
      <c r="F18" s="285" t="s">
        <v>443</v>
      </c>
      <c r="G18" s="286">
        <v>10892761</v>
      </c>
      <c r="H18" s="286">
        <v>600000</v>
      </c>
      <c r="I18" s="287">
        <v>1</v>
      </c>
      <c r="J18" s="288">
        <v>1</v>
      </c>
      <c r="K18" s="289" t="str">
        <f t="shared" si="0"/>
        <v>✅ Completado</v>
      </c>
      <c r="L18" s="290" t="s">
        <v>2521</v>
      </c>
      <c r="M18" s="291">
        <v>72</v>
      </c>
      <c r="N18" s="364" t="s">
        <v>2522</v>
      </c>
      <c r="O18" s="292" t="s">
        <v>553</v>
      </c>
      <c r="P18" s="278"/>
      <c r="Q18" s="238"/>
      <c r="R18" s="238"/>
      <c r="S18" s="238"/>
      <c r="T18" s="238"/>
      <c r="U18" s="238"/>
      <c r="V18" s="238"/>
      <c r="W18" s="238"/>
      <c r="X18" s="238"/>
      <c r="Y18" s="238"/>
      <c r="Z18" s="239"/>
    </row>
    <row r="19" spans="1:26" s="11" customFormat="1" ht="19.95" customHeight="1" x14ac:dyDescent="0.3">
      <c r="A19" s="293" t="s">
        <v>50</v>
      </c>
      <c r="B19" s="294" t="s">
        <v>2538</v>
      </c>
      <c r="C19" s="294" t="s">
        <v>99</v>
      </c>
      <c r="D19" s="294" t="s">
        <v>810</v>
      </c>
      <c r="E19" s="295" t="s">
        <v>2080</v>
      </c>
      <c r="F19" s="295" t="s">
        <v>2080</v>
      </c>
      <c r="G19" s="296">
        <v>117900</v>
      </c>
      <c r="H19" s="296">
        <v>53612</v>
      </c>
      <c r="I19" s="297">
        <v>0.2</v>
      </c>
      <c r="J19" s="298">
        <v>0</v>
      </c>
      <c r="K19" s="295" t="str">
        <f t="shared" si="0"/>
        <v>⚠️ Atrasado</v>
      </c>
      <c r="L19" s="299" t="s">
        <v>2521</v>
      </c>
      <c r="M19" s="300">
        <v>40</v>
      </c>
      <c r="N19" s="365" t="s">
        <v>2522</v>
      </c>
      <c r="O19" s="301" t="s">
        <v>50</v>
      </c>
      <c r="P19" s="278"/>
      <c r="Q19" s="238"/>
      <c r="R19" s="238"/>
      <c r="S19" s="238"/>
      <c r="T19" s="238"/>
      <c r="U19" s="238"/>
      <c r="V19" s="238"/>
      <c r="W19" s="238"/>
      <c r="X19" s="238"/>
      <c r="Y19" s="238"/>
      <c r="Z19" s="239"/>
    </row>
    <row r="20" spans="1:26" s="11" customFormat="1" ht="19.95" customHeight="1" x14ac:dyDescent="0.3">
      <c r="A20" s="283" t="s">
        <v>655</v>
      </c>
      <c r="B20" s="284" t="s">
        <v>2539</v>
      </c>
      <c r="C20" s="284" t="s">
        <v>99</v>
      </c>
      <c r="D20" s="284" t="s">
        <v>810</v>
      </c>
      <c r="E20" s="285" t="s">
        <v>2080</v>
      </c>
      <c r="F20" s="285" t="s">
        <v>2080</v>
      </c>
      <c r="G20" s="286">
        <v>0</v>
      </c>
      <c r="H20" s="286">
        <v>636284</v>
      </c>
      <c r="I20" s="287">
        <v>0.7</v>
      </c>
      <c r="J20" s="288">
        <v>1</v>
      </c>
      <c r="K20" s="285" t="str">
        <f t="shared" si="0"/>
        <v>🔄 En ejecución</v>
      </c>
      <c r="L20" s="290" t="s">
        <v>2521</v>
      </c>
      <c r="M20" s="291">
        <v>40</v>
      </c>
      <c r="N20" s="364" t="s">
        <v>2525</v>
      </c>
      <c r="O20" s="292" t="s">
        <v>655</v>
      </c>
      <c r="P20" s="278"/>
      <c r="Q20" s="238"/>
      <c r="R20" s="238"/>
      <c r="S20" s="238"/>
      <c r="T20" s="238"/>
      <c r="U20" s="238"/>
      <c r="V20" s="238"/>
      <c r="W20" s="238"/>
      <c r="X20" s="238"/>
      <c r="Y20" s="238"/>
      <c r="Z20" s="239"/>
    </row>
    <row r="21" spans="1:26" s="11" customFormat="1" ht="19.95" customHeight="1" x14ac:dyDescent="0.3">
      <c r="A21" s="293" t="s">
        <v>642</v>
      </c>
      <c r="B21" s="294" t="s">
        <v>2540</v>
      </c>
      <c r="C21" s="294" t="s">
        <v>839</v>
      </c>
      <c r="D21" s="294" t="s">
        <v>810</v>
      </c>
      <c r="E21" s="295" t="s">
        <v>2080</v>
      </c>
      <c r="F21" s="295" t="s">
        <v>443</v>
      </c>
      <c r="G21" s="296">
        <v>0</v>
      </c>
      <c r="H21" s="296">
        <v>169100</v>
      </c>
      <c r="I21" s="297">
        <v>1</v>
      </c>
      <c r="J21" s="298">
        <v>1</v>
      </c>
      <c r="K21" s="303" t="str">
        <f t="shared" si="0"/>
        <v>✅ Completado</v>
      </c>
      <c r="L21" s="299" t="s">
        <v>2521</v>
      </c>
      <c r="M21" s="300">
        <v>35</v>
      </c>
      <c r="N21" s="365" t="s">
        <v>2525</v>
      </c>
      <c r="O21" s="301" t="s">
        <v>642</v>
      </c>
      <c r="P21" s="278"/>
      <c r="Q21" s="238"/>
      <c r="R21" s="238"/>
      <c r="S21" s="238"/>
      <c r="T21" s="238"/>
      <c r="U21" s="238"/>
      <c r="V21" s="238"/>
      <c r="W21" s="238"/>
      <c r="X21" s="238"/>
      <c r="Y21" s="238"/>
      <c r="Z21" s="239"/>
    </row>
    <row r="22" spans="1:26" s="11" customFormat="1" ht="19.95" customHeight="1" x14ac:dyDescent="0.3">
      <c r="A22" s="283" t="s">
        <v>466</v>
      </c>
      <c r="B22" s="284" t="s">
        <v>2541</v>
      </c>
      <c r="C22" s="284" t="s">
        <v>97</v>
      </c>
      <c r="D22" s="284" t="s">
        <v>829</v>
      </c>
      <c r="E22" s="285" t="s">
        <v>2080</v>
      </c>
      <c r="F22" s="285" t="s">
        <v>443</v>
      </c>
      <c r="G22" s="286">
        <v>0</v>
      </c>
      <c r="H22" s="286">
        <v>5000</v>
      </c>
      <c r="I22" s="287">
        <v>0.35</v>
      </c>
      <c r="J22" s="288">
        <v>1</v>
      </c>
      <c r="K22" s="285" t="str">
        <f t="shared" si="0"/>
        <v>⚠️ Atrasado</v>
      </c>
      <c r="L22" s="290" t="s">
        <v>2521</v>
      </c>
      <c r="M22" s="291">
        <v>31.5</v>
      </c>
      <c r="N22" s="364" t="s">
        <v>2525</v>
      </c>
      <c r="O22" s="292" t="s">
        <v>466</v>
      </c>
      <c r="P22" s="278"/>
      <c r="Q22" s="238"/>
      <c r="R22" s="238"/>
      <c r="S22" s="238"/>
      <c r="T22" s="238"/>
      <c r="U22" s="238"/>
      <c r="V22" s="238"/>
      <c r="W22" s="238"/>
      <c r="X22" s="238"/>
      <c r="Y22" s="238"/>
      <c r="Z22" s="239"/>
    </row>
    <row r="23" spans="1:26" s="11" customFormat="1" ht="19.95" customHeight="1" x14ac:dyDescent="0.3">
      <c r="A23" s="293" t="s">
        <v>458</v>
      </c>
      <c r="B23" s="294" t="s">
        <v>2542</v>
      </c>
      <c r="C23" s="294" t="s">
        <v>846</v>
      </c>
      <c r="D23" s="294" t="s">
        <v>829</v>
      </c>
      <c r="E23" s="295" t="s">
        <v>2080</v>
      </c>
      <c r="F23" s="295" t="s">
        <v>2080</v>
      </c>
      <c r="G23" s="296">
        <v>0</v>
      </c>
      <c r="H23" s="296">
        <v>35101</v>
      </c>
      <c r="I23" s="297">
        <v>0.3</v>
      </c>
      <c r="J23" s="298">
        <v>1</v>
      </c>
      <c r="K23" s="295" t="str">
        <f t="shared" si="0"/>
        <v>⚠️ Atrasado</v>
      </c>
      <c r="L23" s="299" t="s">
        <v>2521</v>
      </c>
      <c r="M23" s="300">
        <v>58.5</v>
      </c>
      <c r="N23" s="365" t="s">
        <v>2525</v>
      </c>
      <c r="O23" s="301" t="s">
        <v>458</v>
      </c>
      <c r="P23" s="278"/>
      <c r="Q23" s="238"/>
      <c r="R23" s="238"/>
      <c r="S23" s="238"/>
      <c r="T23" s="238"/>
      <c r="U23" s="238"/>
      <c r="V23" s="238"/>
      <c r="W23" s="238"/>
      <c r="X23" s="238"/>
      <c r="Y23" s="238"/>
      <c r="Z23" s="239"/>
    </row>
    <row r="24" spans="1:26" s="11" customFormat="1" ht="19.95" customHeight="1" x14ac:dyDescent="0.3">
      <c r="A24" s="283" t="s">
        <v>740</v>
      </c>
      <c r="B24" s="284" t="s">
        <v>2543</v>
      </c>
      <c r="C24" s="284" t="s">
        <v>89</v>
      </c>
      <c r="D24" s="284" t="s">
        <v>810</v>
      </c>
      <c r="E24" s="285" t="s">
        <v>2080</v>
      </c>
      <c r="F24" s="285" t="s">
        <v>2080</v>
      </c>
      <c r="G24" s="286">
        <v>15600</v>
      </c>
      <c r="H24" s="286">
        <v>460243</v>
      </c>
      <c r="I24" s="287">
        <v>1</v>
      </c>
      <c r="J24" s="288">
        <v>1</v>
      </c>
      <c r="K24" s="289" t="str">
        <f t="shared" si="0"/>
        <v>✅ Completado</v>
      </c>
      <c r="L24" s="290" t="s">
        <v>2521</v>
      </c>
      <c r="M24" s="291">
        <v>72</v>
      </c>
      <c r="N24" s="364" t="s">
        <v>2522</v>
      </c>
      <c r="O24" s="292" t="s">
        <v>740</v>
      </c>
      <c r="P24" s="278"/>
      <c r="Q24" s="238"/>
      <c r="R24" s="238"/>
      <c r="S24" s="238"/>
      <c r="T24" s="238"/>
      <c r="U24" s="238"/>
      <c r="V24" s="238"/>
      <c r="W24" s="238"/>
      <c r="X24" s="238"/>
      <c r="Y24" s="238"/>
      <c r="Z24" s="239"/>
    </row>
    <row r="25" spans="1:26" s="11" customFormat="1" ht="19.95" customHeight="1" thickBot="1" x14ac:dyDescent="0.35">
      <c r="A25" s="304" t="s">
        <v>502</v>
      </c>
      <c r="B25" s="305" t="s">
        <v>2544</v>
      </c>
      <c r="C25" s="305" t="s">
        <v>91</v>
      </c>
      <c r="D25" s="305" t="s">
        <v>810</v>
      </c>
      <c r="E25" s="306" t="s">
        <v>2080</v>
      </c>
      <c r="F25" s="306" t="s">
        <v>2080</v>
      </c>
      <c r="G25" s="307">
        <v>45625014</v>
      </c>
      <c r="H25" s="307">
        <v>22000</v>
      </c>
      <c r="I25" s="308">
        <v>0.25</v>
      </c>
      <c r="J25" s="309">
        <v>1</v>
      </c>
      <c r="K25" s="306" t="str">
        <f t="shared" si="0"/>
        <v>⚠️ Atrasado</v>
      </c>
      <c r="L25" s="310" t="s">
        <v>2521</v>
      </c>
      <c r="M25" s="311">
        <v>67.5</v>
      </c>
      <c r="N25" s="366" t="s">
        <v>2522</v>
      </c>
      <c r="O25" s="312" t="s">
        <v>502</v>
      </c>
      <c r="P25" s="278"/>
      <c r="Q25" s="238"/>
      <c r="R25" s="238"/>
      <c r="S25" s="238"/>
      <c r="T25" s="238"/>
      <c r="U25" s="238"/>
      <c r="V25" s="238"/>
      <c r="W25" s="238"/>
      <c r="X25" s="238"/>
      <c r="Y25" s="238"/>
      <c r="Z25" s="239"/>
    </row>
    <row r="26" spans="1:26" s="11" customFormat="1" ht="7.95" customHeight="1" thickBot="1" x14ac:dyDescent="0.35">
      <c r="A26" s="317"/>
      <c r="B26" s="318"/>
      <c r="C26" s="318"/>
      <c r="D26" s="275"/>
      <c r="E26" s="275"/>
      <c r="F26" s="275"/>
      <c r="G26" s="275"/>
      <c r="H26" s="275"/>
      <c r="I26" s="275"/>
      <c r="J26" s="275"/>
      <c r="K26" s="275"/>
      <c r="L26" s="275"/>
      <c r="M26" s="275"/>
      <c r="N26" s="275"/>
      <c r="O26" s="275"/>
      <c r="P26" s="272"/>
      <c r="Q26" s="238"/>
      <c r="R26" s="238"/>
      <c r="S26" s="238"/>
      <c r="T26" s="238"/>
      <c r="U26" s="238"/>
      <c r="V26" s="238"/>
      <c r="W26" s="238"/>
      <c r="X26" s="238"/>
      <c r="Y26" s="238"/>
      <c r="Z26" s="239"/>
    </row>
    <row r="27" spans="1:26" s="11" customFormat="1" ht="19.95" customHeight="1" x14ac:dyDescent="0.3">
      <c r="A27" s="3950" t="s">
        <v>2545</v>
      </c>
      <c r="B27" s="3951"/>
      <c r="C27" s="3952"/>
      <c r="D27" s="3364"/>
      <c r="E27" s="3364"/>
      <c r="F27" s="3364"/>
      <c r="G27" s="3364"/>
      <c r="H27" s="3364"/>
      <c r="I27" s="3364"/>
      <c r="J27" s="3364"/>
      <c r="K27" s="3364"/>
      <c r="L27" s="3364"/>
      <c r="M27" s="3364"/>
      <c r="N27" s="3364"/>
      <c r="O27" s="3364"/>
      <c r="P27" s="3907"/>
      <c r="Q27" s="3907"/>
      <c r="R27" s="3907"/>
      <c r="S27" s="3907"/>
      <c r="T27" s="3907"/>
      <c r="U27" s="3907"/>
      <c r="V27" s="3907"/>
      <c r="W27" s="3907"/>
      <c r="X27" s="3907"/>
      <c r="Y27" s="3907"/>
      <c r="Z27" s="3908"/>
    </row>
    <row r="28" spans="1:26" s="11" customFormat="1" ht="19.95" customHeight="1" x14ac:dyDescent="0.3">
      <c r="A28" s="319" t="s">
        <v>2546</v>
      </c>
      <c r="B28" s="160" t="s">
        <v>2547</v>
      </c>
      <c r="C28" s="320" t="s">
        <v>2548</v>
      </c>
      <c r="D28" s="313"/>
      <c r="E28" s="263"/>
      <c r="F28" s="263"/>
      <c r="G28" s="263"/>
      <c r="H28" s="263"/>
      <c r="I28" s="263"/>
      <c r="J28" s="263"/>
      <c r="K28" s="263"/>
      <c r="L28" s="263"/>
      <c r="M28" s="263"/>
      <c r="N28" s="263"/>
      <c r="O28" s="263"/>
      <c r="P28" s="272"/>
      <c r="Q28" s="238"/>
      <c r="R28" s="238"/>
      <c r="S28" s="238"/>
      <c r="T28" s="238"/>
      <c r="U28" s="238"/>
      <c r="V28" s="238"/>
      <c r="W28" s="238"/>
      <c r="X28" s="238"/>
      <c r="Y28" s="238"/>
      <c r="Z28" s="239"/>
    </row>
    <row r="29" spans="1:26" s="11" customFormat="1" ht="19.95" customHeight="1" x14ac:dyDescent="0.3">
      <c r="A29" s="321" t="s">
        <v>2549</v>
      </c>
      <c r="B29" s="322">
        <f>COUNTA(A6:A25)</f>
        <v>20</v>
      </c>
      <c r="C29" s="323">
        <f>COUNTA(A6:A25)</f>
        <v>20</v>
      </c>
      <c r="D29" s="314"/>
      <c r="E29" s="264"/>
      <c r="F29" s="264"/>
      <c r="G29" s="264"/>
      <c r="H29" s="264"/>
      <c r="I29" s="264"/>
      <c r="J29" s="264"/>
      <c r="K29" s="264"/>
      <c r="L29" s="264"/>
      <c r="M29" s="264"/>
      <c r="N29" s="264"/>
      <c r="O29" s="264"/>
      <c r="P29" s="272"/>
      <c r="Q29" s="238"/>
      <c r="R29" s="238"/>
      <c r="S29" s="238"/>
      <c r="T29" s="238"/>
      <c r="U29" s="238"/>
      <c r="V29" s="238"/>
      <c r="W29" s="238"/>
      <c r="X29" s="238"/>
      <c r="Y29" s="238"/>
      <c r="Z29" s="239"/>
    </row>
    <row r="30" spans="1:26" s="11" customFormat="1" ht="19.95" customHeight="1" x14ac:dyDescent="0.3">
      <c r="A30" s="324" t="s">
        <v>2550</v>
      </c>
      <c r="B30" s="325">
        <f>COUNTIF(I6:I25,"&gt;"&amp;0.8)</f>
        <v>6</v>
      </c>
      <c r="C30" s="326">
        <f>COUNTIF(I6:I25,"&gt;0.8")</f>
        <v>0</v>
      </c>
      <c r="D30" s="313"/>
      <c r="E30" s="263"/>
      <c r="F30" s="263"/>
      <c r="G30" s="263"/>
      <c r="H30" s="263"/>
      <c r="I30" s="263"/>
      <c r="J30" s="263"/>
      <c r="K30" s="263"/>
      <c r="L30" s="263"/>
      <c r="M30" s="263"/>
      <c r="N30" s="263"/>
      <c r="O30" s="263"/>
      <c r="P30" s="272"/>
      <c r="Q30" s="238"/>
      <c r="R30" s="238"/>
      <c r="S30" s="238"/>
      <c r="T30" s="238"/>
      <c r="U30" s="238"/>
      <c r="V30" s="238"/>
      <c r="W30" s="238"/>
      <c r="X30" s="238"/>
      <c r="Y30" s="238"/>
      <c r="Z30" s="239"/>
    </row>
    <row r="31" spans="1:26" ht="19.95" customHeight="1" x14ac:dyDescent="0.3">
      <c r="A31" s="327" t="s">
        <v>2551</v>
      </c>
      <c r="B31" s="328">
        <f>COUNTIFS(I6:I25,"&gt;="&amp;0.4,I6:I25,"&lt;"&amp;0.8)</f>
        <v>6</v>
      </c>
      <c r="C31" s="329">
        <f>COUNTIFS(I6:I25,"&gt;="&amp;0.4,I6:I25,"&lt;="&amp;0.8)</f>
        <v>6</v>
      </c>
      <c r="D31" s="315"/>
      <c r="E31" s="266"/>
      <c r="F31" s="266"/>
      <c r="G31" s="266"/>
      <c r="H31" s="266"/>
      <c r="I31" s="266"/>
      <c r="J31" s="266"/>
      <c r="K31" s="266"/>
      <c r="L31" s="266"/>
      <c r="M31" s="266"/>
      <c r="N31" s="266"/>
      <c r="O31" s="266"/>
      <c r="P31" s="273"/>
      <c r="Q31" s="242"/>
      <c r="R31" s="242"/>
      <c r="S31" s="242"/>
      <c r="T31" s="242"/>
      <c r="U31" s="242"/>
      <c r="V31" s="242"/>
      <c r="W31" s="242"/>
      <c r="X31" s="242"/>
      <c r="Y31" s="242"/>
      <c r="Z31" s="243"/>
    </row>
    <row r="32" spans="1:26" ht="19.95" customHeight="1" x14ac:dyDescent="0.3">
      <c r="A32" s="330" t="s">
        <v>2552</v>
      </c>
      <c r="B32" s="331">
        <f>COUNTIFS(I6:I25,"&gt;"&amp;0,I6:I25,"&lt;"&amp;0.4)</f>
        <v>6</v>
      </c>
      <c r="C32" s="332">
        <f>COUNTIFS(I6:I25,"&gt;"&amp;0,I6:I25,"&lt;"&amp;0.4)</f>
        <v>6</v>
      </c>
      <c r="D32" s="316"/>
      <c r="E32" s="267"/>
      <c r="F32" s="267"/>
      <c r="G32" s="267"/>
      <c r="H32" s="267"/>
      <c r="I32" s="267"/>
      <c r="J32" s="267"/>
      <c r="K32" s="267"/>
      <c r="L32" s="267"/>
      <c r="M32" s="267"/>
      <c r="N32" s="267"/>
      <c r="O32" s="267"/>
      <c r="P32" s="273"/>
      <c r="Q32" s="242"/>
      <c r="R32" s="242"/>
      <c r="S32" s="242"/>
      <c r="T32" s="242"/>
      <c r="U32" s="242"/>
      <c r="V32" s="242"/>
      <c r="W32" s="242"/>
      <c r="X32" s="242"/>
      <c r="Y32" s="242"/>
      <c r="Z32" s="243"/>
    </row>
    <row r="33" spans="1:26" ht="19.95" customHeight="1" x14ac:dyDescent="0.3">
      <c r="A33" s="327" t="s">
        <v>2553</v>
      </c>
      <c r="B33" s="328">
        <f>COUNTIF(I6:I25,"="&amp;0)</f>
        <v>2</v>
      </c>
      <c r="C33" s="329">
        <f>COUNTIF(I6:I25,0)</f>
        <v>2</v>
      </c>
      <c r="D33" s="315"/>
      <c r="E33" s="266"/>
      <c r="F33" s="266"/>
      <c r="G33" s="266"/>
      <c r="H33" s="266"/>
      <c r="I33" s="266"/>
      <c r="J33" s="266"/>
      <c r="K33" s="266"/>
      <c r="L33" s="266"/>
      <c r="M33" s="266"/>
      <c r="N33" s="266"/>
      <c r="O33" s="266"/>
      <c r="P33" s="273"/>
      <c r="Q33" s="242"/>
      <c r="R33" s="242"/>
      <c r="S33" s="242"/>
      <c r="T33" s="242"/>
      <c r="U33" s="242"/>
      <c r="V33" s="242"/>
      <c r="W33" s="242"/>
      <c r="X33" s="242"/>
      <c r="Y33" s="242"/>
      <c r="Z33" s="243"/>
    </row>
    <row r="34" spans="1:26" ht="19.95" customHeight="1" x14ac:dyDescent="0.3">
      <c r="A34" s="330" t="s">
        <v>2554</v>
      </c>
      <c r="B34" s="331">
        <f>COUNTIF('M4-AUDIT'!X5:X24,1)</f>
        <v>8</v>
      </c>
      <c r="C34" s="332">
        <f>COUNTIF('M4-AUDIT'!X5:X24,1)</f>
        <v>8</v>
      </c>
      <c r="D34" s="316"/>
      <c r="E34" s="267"/>
      <c r="F34" s="267"/>
      <c r="G34" s="267"/>
      <c r="H34" s="267"/>
      <c r="I34" s="267"/>
      <c r="J34" s="267"/>
      <c r="K34" s="267"/>
      <c r="L34" s="267"/>
      <c r="M34" s="267"/>
      <c r="N34" s="267"/>
      <c r="O34" s="267"/>
      <c r="P34" s="273"/>
      <c r="Q34" s="242"/>
      <c r="R34" s="242"/>
      <c r="S34" s="242"/>
      <c r="T34" s="242"/>
      <c r="U34" s="242"/>
      <c r="V34" s="242"/>
      <c r="W34" s="242"/>
      <c r="X34" s="242"/>
      <c r="Y34" s="242"/>
      <c r="Z34" s="243"/>
    </row>
    <row r="35" spans="1:26" ht="19.95" customHeight="1" x14ac:dyDescent="0.3">
      <c r="A35" s="333" t="s">
        <v>2555</v>
      </c>
      <c r="B35" s="334">
        <f>IFERROR(AVERAGE(I6:I25),0)</f>
        <v>0.53</v>
      </c>
      <c r="C35" s="335"/>
      <c r="D35" s="315"/>
      <c r="E35" s="266"/>
      <c r="F35" s="266"/>
      <c r="G35" s="266"/>
      <c r="H35" s="266"/>
      <c r="I35" s="266"/>
      <c r="J35" s="266"/>
      <c r="K35" s="266"/>
      <c r="L35" s="266"/>
      <c r="M35" s="266"/>
      <c r="N35" s="266"/>
      <c r="O35" s="266"/>
      <c r="P35" s="273"/>
      <c r="Q35" s="242"/>
      <c r="R35" s="242"/>
      <c r="S35" s="242"/>
      <c r="T35" s="242"/>
      <c r="U35" s="242"/>
      <c r="V35" s="242"/>
      <c r="W35" s="242"/>
      <c r="X35" s="242"/>
      <c r="Y35" s="242"/>
      <c r="Z35" s="243"/>
    </row>
    <row r="36" spans="1:26" ht="19.95" customHeight="1" x14ac:dyDescent="0.3">
      <c r="A36" s="330" t="s">
        <v>2556</v>
      </c>
      <c r="B36" s="336">
        <f>SUM(G6:G25)</f>
        <v>122857648</v>
      </c>
      <c r="C36" s="337"/>
      <c r="D36" s="316"/>
      <c r="E36" s="267"/>
      <c r="F36" s="267"/>
      <c r="G36" s="267"/>
      <c r="H36" s="267"/>
      <c r="I36" s="267"/>
      <c r="J36" s="267"/>
      <c r="K36" s="267"/>
      <c r="L36" s="267"/>
      <c r="M36" s="267"/>
      <c r="N36" s="267"/>
      <c r="O36" s="267"/>
      <c r="P36" s="273"/>
      <c r="Q36" s="242"/>
      <c r="R36" s="242"/>
      <c r="S36" s="242"/>
      <c r="T36" s="242"/>
      <c r="U36" s="242"/>
      <c r="V36" s="242"/>
      <c r="W36" s="242"/>
      <c r="X36" s="242"/>
      <c r="Y36" s="242"/>
      <c r="Z36" s="243"/>
    </row>
    <row r="37" spans="1:26" ht="19.95" customHeight="1" x14ac:dyDescent="0.3">
      <c r="A37" s="327" t="s">
        <v>2557</v>
      </c>
      <c r="B37" s="338">
        <f>SUM(H6:H25)</f>
        <v>14364655</v>
      </c>
      <c r="C37" s="339"/>
      <c r="D37" s="315"/>
      <c r="E37" s="266"/>
      <c r="F37" s="266"/>
      <c r="G37" s="266"/>
      <c r="H37" s="266"/>
      <c r="I37" s="266"/>
      <c r="J37" s="266"/>
      <c r="K37" s="266"/>
      <c r="L37" s="266"/>
      <c r="M37" s="266"/>
      <c r="N37" s="266"/>
      <c r="O37" s="266"/>
      <c r="P37" s="273"/>
      <c r="Q37" s="242"/>
      <c r="R37" s="242"/>
      <c r="S37" s="242"/>
      <c r="T37" s="242"/>
      <c r="U37" s="242"/>
      <c r="V37" s="242"/>
      <c r="W37" s="242"/>
      <c r="X37" s="242"/>
      <c r="Y37" s="242"/>
      <c r="Z37" s="243"/>
    </row>
    <row r="38" spans="1:26" ht="19.95" customHeight="1" x14ac:dyDescent="0.3">
      <c r="A38" s="330" t="s">
        <v>2558</v>
      </c>
      <c r="B38" s="340">
        <f>IFERROR(SUM(H6:H25)/SUM(G6:G25),0)</f>
        <v>0.11692112972893637</v>
      </c>
      <c r="C38" s="337"/>
      <c r="D38" s="316"/>
      <c r="E38" s="267"/>
      <c r="F38" s="267"/>
      <c r="G38" s="267"/>
      <c r="H38" s="267"/>
      <c r="I38" s="267"/>
      <c r="J38" s="267"/>
      <c r="K38" s="267"/>
      <c r="L38" s="267"/>
      <c r="M38" s="267"/>
      <c r="N38" s="267"/>
      <c r="O38" s="267"/>
      <c r="P38" s="273"/>
      <c r="Q38" s="242"/>
      <c r="R38" s="242"/>
      <c r="S38" s="242"/>
      <c r="T38" s="242"/>
      <c r="U38" s="242"/>
      <c r="V38" s="242"/>
      <c r="W38" s="242"/>
      <c r="X38" s="242"/>
      <c r="Y38" s="242"/>
      <c r="Z38" s="243"/>
    </row>
    <row r="39" spans="1:26" ht="19.95" customHeight="1" x14ac:dyDescent="0.3">
      <c r="A39" s="327" t="s">
        <v>1709</v>
      </c>
      <c r="B39" s="341" t="str">
        <f>ROUND('M5-ICPI'!G29,2)&amp;"%"</f>
        <v>38,28%</v>
      </c>
      <c r="C39" s="342" t="str">
        <f>"'E1-ICPI'!G25 = "&amp;ROUND('M5-ICPI'!G29,2)&amp;"% — Fuente canónica SIAP-ICPI"</f>
        <v>'E1-ICPI'!G25 = 38,28% — Fuente canónica SIAP-ICPI</v>
      </c>
      <c r="D39" s="315"/>
      <c r="E39" s="266"/>
      <c r="F39" s="266"/>
      <c r="G39" s="266"/>
      <c r="H39" s="266"/>
      <c r="I39" s="266"/>
      <c r="J39" s="266"/>
      <c r="K39" s="266"/>
      <c r="L39" s="266"/>
      <c r="M39" s="266"/>
      <c r="N39" s="266"/>
      <c r="O39" s="266"/>
      <c r="P39" s="273"/>
      <c r="Q39" s="242"/>
      <c r="R39" s="242"/>
      <c r="S39" s="242"/>
      <c r="T39" s="242"/>
      <c r="U39" s="242"/>
      <c r="V39" s="242"/>
      <c r="W39" s="242"/>
      <c r="X39" s="242"/>
      <c r="Y39" s="242"/>
      <c r="Z39" s="243"/>
    </row>
    <row r="40" spans="1:26" ht="19.95" customHeight="1" thickBot="1" x14ac:dyDescent="0.35">
      <c r="A40" s="344" t="s">
        <v>2559</v>
      </c>
      <c r="B40" s="345" t="str">
        <f>ROUND('DATA-CED'!N25*100,1)&amp;"%"</f>
        <v>0%</v>
      </c>
      <c r="C40" s="346" t="s">
        <v>2560</v>
      </c>
      <c r="D40" s="347"/>
      <c r="E40" s="348"/>
      <c r="F40" s="267"/>
      <c r="G40" s="267"/>
      <c r="H40" s="267"/>
      <c r="I40" s="267"/>
      <c r="J40" s="267"/>
      <c r="K40" s="267"/>
      <c r="L40" s="267"/>
      <c r="M40" s="267"/>
      <c r="N40" s="267"/>
      <c r="O40" s="267"/>
      <c r="P40" s="273"/>
      <c r="Q40" s="242"/>
      <c r="R40" s="242"/>
      <c r="S40" s="242"/>
      <c r="T40" s="242"/>
      <c r="U40" s="242"/>
      <c r="V40" s="242"/>
      <c r="W40" s="242"/>
      <c r="X40" s="242"/>
      <c r="Y40" s="242"/>
      <c r="Z40" s="243"/>
    </row>
    <row r="41" spans="1:26" ht="19.95" customHeight="1" x14ac:dyDescent="0.3">
      <c r="A41" s="3954" t="s">
        <v>2561</v>
      </c>
      <c r="B41" s="3955"/>
      <c r="C41" s="3955"/>
      <c r="D41" s="3955"/>
      <c r="E41" s="3956"/>
      <c r="F41" s="3364"/>
      <c r="G41" s="3364"/>
      <c r="H41" s="3364"/>
      <c r="I41" s="3364"/>
      <c r="J41" s="3364"/>
      <c r="K41" s="3364"/>
      <c r="L41" s="3364"/>
      <c r="M41" s="3364"/>
      <c r="N41" s="3364"/>
      <c r="O41" s="3364"/>
      <c r="P41" s="3907"/>
      <c r="Q41" s="3907"/>
      <c r="R41" s="3907"/>
      <c r="S41" s="3907"/>
      <c r="T41" s="3907"/>
      <c r="U41" s="3907"/>
      <c r="V41" s="3907"/>
      <c r="W41" s="3907"/>
      <c r="X41" s="3907"/>
      <c r="Y41" s="3907"/>
      <c r="Z41" s="3908"/>
    </row>
    <row r="42" spans="1:26" ht="19.95" customHeight="1" x14ac:dyDescent="0.3">
      <c r="A42" s="349" t="s">
        <v>2562</v>
      </c>
      <c r="B42" s="350" t="s">
        <v>42</v>
      </c>
      <c r="C42" s="350" t="s">
        <v>700</v>
      </c>
      <c r="D42" s="350" t="s">
        <v>2563</v>
      </c>
      <c r="E42" s="351" t="s">
        <v>1929</v>
      </c>
      <c r="F42" s="316"/>
      <c r="G42" s="267"/>
      <c r="H42" s="267"/>
      <c r="I42" s="267"/>
      <c r="J42" s="267"/>
      <c r="K42" s="267"/>
      <c r="L42" s="267"/>
      <c r="M42" s="267"/>
      <c r="N42" s="267"/>
      <c r="O42" s="267"/>
      <c r="P42" s="273"/>
      <c r="Q42" s="242"/>
      <c r="R42" s="242"/>
      <c r="S42" s="242"/>
      <c r="T42" s="242"/>
      <c r="U42" s="242"/>
      <c r="V42" s="242"/>
      <c r="W42" s="242"/>
      <c r="X42" s="242"/>
      <c r="Y42" s="242"/>
      <c r="Z42" s="243"/>
    </row>
    <row r="43" spans="1:26" ht="28.05" customHeight="1" x14ac:dyDescent="0.3">
      <c r="A43" s="352">
        <v>1</v>
      </c>
      <c r="B43" s="353" t="s">
        <v>2564</v>
      </c>
      <c r="C43" s="341" t="s">
        <v>2565</v>
      </c>
      <c r="D43" s="341" t="s">
        <v>2566</v>
      </c>
      <c r="E43" s="354" t="s">
        <v>2567</v>
      </c>
      <c r="F43" s="315"/>
      <c r="G43" s="266"/>
      <c r="H43" s="266"/>
      <c r="I43" s="266"/>
      <c r="J43" s="266"/>
      <c r="K43" s="266"/>
      <c r="L43" s="266"/>
      <c r="M43" s="266"/>
      <c r="N43" s="266"/>
      <c r="O43" s="266"/>
      <c r="P43" s="273"/>
      <c r="Q43" s="242"/>
      <c r="R43" s="242"/>
      <c r="S43" s="242"/>
      <c r="T43" s="242"/>
      <c r="U43" s="242"/>
      <c r="V43" s="242"/>
      <c r="W43" s="242"/>
      <c r="X43" s="242"/>
      <c r="Y43" s="242"/>
      <c r="Z43" s="243"/>
    </row>
    <row r="44" spans="1:26" ht="28.05" customHeight="1" x14ac:dyDescent="0.3">
      <c r="A44" s="355">
        <v>2</v>
      </c>
      <c r="B44" s="284" t="s">
        <v>2568</v>
      </c>
      <c r="C44" s="356" t="s">
        <v>2565</v>
      </c>
      <c r="D44" s="356" t="s">
        <v>2569</v>
      </c>
      <c r="E44" s="357" t="s">
        <v>2570</v>
      </c>
      <c r="F44" s="316"/>
      <c r="G44" s="267"/>
      <c r="H44" s="267"/>
      <c r="I44" s="267"/>
      <c r="J44" s="267"/>
      <c r="K44" s="267"/>
      <c r="L44" s="267"/>
      <c r="M44" s="267"/>
      <c r="N44" s="267"/>
      <c r="O44" s="267"/>
      <c r="P44" s="273"/>
      <c r="Q44" s="242"/>
      <c r="R44" s="242"/>
      <c r="S44" s="242"/>
      <c r="T44" s="242"/>
      <c r="U44" s="242"/>
      <c r="V44" s="242"/>
      <c r="W44" s="242"/>
      <c r="X44" s="242"/>
      <c r="Y44" s="242"/>
      <c r="Z44" s="243"/>
    </row>
    <row r="45" spans="1:26" ht="28.05" customHeight="1" x14ac:dyDescent="0.3">
      <c r="A45" s="352">
        <v>3</v>
      </c>
      <c r="B45" s="353" t="s">
        <v>2571</v>
      </c>
      <c r="C45" s="341" t="s">
        <v>2565</v>
      </c>
      <c r="D45" s="341" t="s">
        <v>2572</v>
      </c>
      <c r="E45" s="354" t="s">
        <v>2573</v>
      </c>
      <c r="F45" s="315"/>
      <c r="G45" s="266"/>
      <c r="H45" s="266"/>
      <c r="I45" s="266"/>
      <c r="J45" s="266"/>
      <c r="K45" s="266"/>
      <c r="L45" s="266"/>
      <c r="M45" s="266"/>
      <c r="N45" s="266"/>
      <c r="O45" s="266"/>
      <c r="P45" s="273"/>
      <c r="Q45" s="242"/>
      <c r="R45" s="242"/>
      <c r="S45" s="242"/>
      <c r="T45" s="242"/>
      <c r="U45" s="242"/>
      <c r="V45" s="242"/>
      <c r="W45" s="242"/>
      <c r="X45" s="242"/>
      <c r="Y45" s="242"/>
      <c r="Z45" s="243"/>
    </row>
    <row r="46" spans="1:26" ht="28.05" customHeight="1" x14ac:dyDescent="0.3">
      <c r="A46" s="355">
        <v>4</v>
      </c>
      <c r="B46" s="358" t="s">
        <v>2574</v>
      </c>
      <c r="C46" s="356" t="s">
        <v>2575</v>
      </c>
      <c r="D46" s="356" t="s">
        <v>2576</v>
      </c>
      <c r="E46" s="357" t="s">
        <v>2577</v>
      </c>
      <c r="F46" s="316"/>
      <c r="G46" s="267"/>
      <c r="H46" s="267"/>
      <c r="I46" s="267"/>
      <c r="J46" s="267"/>
      <c r="K46" s="267"/>
      <c r="L46" s="267"/>
      <c r="M46" s="267"/>
      <c r="N46" s="267"/>
      <c r="O46" s="267"/>
      <c r="P46" s="273"/>
      <c r="Q46" s="242"/>
      <c r="R46" s="242"/>
      <c r="S46" s="242"/>
      <c r="T46" s="242"/>
      <c r="U46" s="242"/>
      <c r="V46" s="242"/>
      <c r="W46" s="242"/>
      <c r="X46" s="242"/>
      <c r="Y46" s="242"/>
      <c r="Z46" s="243"/>
    </row>
    <row r="47" spans="1:26" ht="28.05" customHeight="1" x14ac:dyDescent="0.3">
      <c r="A47" s="352">
        <v>5</v>
      </c>
      <c r="B47" s="353" t="s">
        <v>2578</v>
      </c>
      <c r="C47" s="341" t="s">
        <v>2579</v>
      </c>
      <c r="D47" s="341" t="s">
        <v>2580</v>
      </c>
      <c r="E47" s="354" t="s">
        <v>2581</v>
      </c>
      <c r="F47" s="315"/>
      <c r="G47" s="266"/>
      <c r="H47" s="266"/>
      <c r="I47" s="266"/>
      <c r="J47" s="266"/>
      <c r="K47" s="266"/>
      <c r="L47" s="266"/>
      <c r="M47" s="266"/>
      <c r="N47" s="266"/>
      <c r="O47" s="266"/>
      <c r="P47" s="273"/>
      <c r="Q47" s="242"/>
      <c r="R47" s="242"/>
      <c r="S47" s="242"/>
      <c r="T47" s="242"/>
      <c r="U47" s="242"/>
      <c r="V47" s="242"/>
      <c r="W47" s="242"/>
      <c r="X47" s="242"/>
      <c r="Y47" s="242"/>
      <c r="Z47" s="243"/>
    </row>
    <row r="48" spans="1:26" ht="28.05" customHeight="1" thickBot="1" x14ac:dyDescent="0.35">
      <c r="A48" s="359">
        <v>6</v>
      </c>
      <c r="B48" s="360" t="s">
        <v>2582</v>
      </c>
      <c r="C48" s="361" t="s">
        <v>2579</v>
      </c>
      <c r="D48" s="361" t="s">
        <v>2583</v>
      </c>
      <c r="E48" s="362" t="s">
        <v>2584</v>
      </c>
      <c r="F48" s="343"/>
      <c r="G48" s="268"/>
      <c r="H48" s="268"/>
      <c r="I48" s="268"/>
      <c r="J48" s="268"/>
      <c r="K48" s="268"/>
      <c r="L48" s="268"/>
      <c r="M48" s="268"/>
      <c r="N48" s="268"/>
      <c r="O48" s="268"/>
      <c r="P48" s="274"/>
      <c r="Q48" s="246"/>
      <c r="R48" s="246"/>
      <c r="S48" s="246"/>
      <c r="T48" s="246"/>
      <c r="U48" s="246"/>
      <c r="V48" s="246"/>
      <c r="W48" s="246"/>
      <c r="X48" s="246"/>
      <c r="Y48" s="246"/>
      <c r="Z48" s="247"/>
    </row>
  </sheetData>
  <mergeCells count="5">
    <mergeCell ref="A27:Z27"/>
    <mergeCell ref="A41:Z41"/>
    <mergeCell ref="A1:Z1"/>
    <mergeCell ref="A3:Z3"/>
    <mergeCell ref="A4:Z4"/>
  </mergeCells>
  <conditionalFormatting sqref="B35">
    <cfRule type="cellIs" dxfId="196" priority="11" operator="between">
      <formula>0.9</formula>
      <formula>1.001</formula>
    </cfRule>
    <cfRule type="cellIs" dxfId="195" priority="12" operator="between">
      <formula>0.7</formula>
      <formula>0.9</formula>
    </cfRule>
    <cfRule type="cellIs" dxfId="194" priority="13" operator="between">
      <formula>0.4</formula>
      <formula>0.7</formula>
    </cfRule>
    <cfRule type="cellIs" dxfId="193" priority="14" operator="between">
      <formula>0.2</formula>
      <formula>0.4</formula>
    </cfRule>
    <cfRule type="cellIs" dxfId="192" priority="15" operator="between">
      <formula>0</formula>
      <formula>0.2</formula>
    </cfRule>
  </conditionalFormatting>
  <conditionalFormatting sqref="B38">
    <cfRule type="cellIs" dxfId="191" priority="16" operator="between">
      <formula>0.9</formula>
      <formula>1.001</formula>
    </cfRule>
    <cfRule type="cellIs" dxfId="190" priority="17" operator="between">
      <formula>0.7</formula>
      <formula>0.9</formula>
    </cfRule>
    <cfRule type="cellIs" dxfId="189" priority="18" operator="between">
      <formula>0.4</formula>
      <formula>0.7</formula>
    </cfRule>
    <cfRule type="cellIs" dxfId="188" priority="19" operator="between">
      <formula>0.2</formula>
      <formula>0.4</formula>
    </cfRule>
    <cfRule type="cellIs" dxfId="187" priority="20" operator="between">
      <formula>0</formula>
      <formula>0.2</formula>
    </cfRule>
  </conditionalFormatting>
  <conditionalFormatting sqref="I6:I25">
    <cfRule type="cellIs" dxfId="186" priority="6" operator="between">
      <formula>0.9</formula>
      <formula>1.001</formula>
    </cfRule>
    <cfRule type="cellIs" dxfId="185" priority="7" operator="between">
      <formula>0.7</formula>
      <formula>0.9</formula>
    </cfRule>
    <cfRule type="cellIs" dxfId="184" priority="8" operator="between">
      <formula>0.4</formula>
      <formula>0.7</formula>
    </cfRule>
    <cfRule type="cellIs" dxfId="183" priority="9" operator="between">
      <formula>0.2</formula>
      <formula>0.4</formula>
    </cfRule>
    <cfRule type="cellIs" dxfId="182" priority="10" operator="between">
      <formula>0</formula>
      <formula>0.2</formula>
    </cfRule>
  </conditionalFormatting>
  <conditionalFormatting sqref="K6:K25">
    <cfRule type="containsText" dxfId="181" priority="26" operator="containsText" text="Completado">
      <formula>NOT(ISERROR(SEARCH("Completado",K6)))</formula>
    </cfRule>
    <cfRule type="containsText" dxfId="180" priority="27" operator="containsText" text="En ejecución">
      <formula>NOT(ISERROR(SEARCH("En ejecución",K6)))</formula>
    </cfRule>
    <cfRule type="containsText" dxfId="179" priority="28" operator="containsText" text="Atrasado">
      <formula>NOT(ISERROR(SEARCH("Atrasado",K6)))</formula>
    </cfRule>
    <cfRule type="containsText" dxfId="178" priority="29" operator="containsText" text="No iniciado">
      <formula>NOT(ISERROR(SEARCH("No iniciado",K6)))</formula>
    </cfRule>
  </conditionalFormatting>
  <conditionalFormatting sqref="M6:M25">
    <cfRule type="cellIs" dxfId="177" priority="21" operator="between">
      <formula>90</formula>
      <formula>101</formula>
    </cfRule>
    <cfRule type="cellIs" dxfId="176" priority="22" operator="between">
      <formula>70</formula>
      <formula>90</formula>
    </cfRule>
    <cfRule type="cellIs" dxfId="175" priority="23" operator="between">
      <formula>40</formula>
      <formula>70</formula>
    </cfRule>
    <cfRule type="cellIs" dxfId="174" priority="24" operator="between">
      <formula>20</formula>
      <formula>40</formula>
    </cfRule>
    <cfRule type="cellIs" dxfId="173" priority="25" operator="between">
      <formula>0</formula>
      <formula>20</formula>
    </cfRule>
  </conditionalFormatting>
  <dataValidations count="4">
    <dataValidation type="decimal" allowBlank="1" showInputMessage="1" showErrorMessage="1" errorTitle="Valor inválido" error="El avance Ti debe estar entre 0 y 1." promptTitle="Avance Ti" prompt="Ingrese valor entre 0 (0%) y 1 (100%). Ej: 0.75 = 75%" sqref="I6:I25" xr:uid="{00000000-0002-0000-1F00-000000000000}">
      <formula1>0</formula1>
      <formula2>1</formula2>
    </dataValidation>
    <dataValidation type="list" allowBlank="1" showInputMessage="1" showErrorMessage="1" errorTitle="Vi inválido" error="Vi debe ser 0 (sin evidencia) ó 1 (con evidencia)." sqref="J6:J25" xr:uid="{00000000-0002-0000-1F00-000001000000}">
      <formula1>"0,1"</formula1>
    </dataValidation>
    <dataValidation type="list" allowBlank="1" showInputMessage="1" showErrorMessage="1" sqref="E6:F25" xr:uid="{00000000-0002-0000-1F00-000002000000}">
      <formula1>"Sí,No"</formula1>
    </dataValidation>
    <dataValidation type="list" allowBlank="1" showInputMessage="1" showErrorMessage="1" sqref="D6:D25" xr:uid="{00000000-0002-0000-1F00-000003000000}">
      <formula1>"Director,Director Ejecutivo,Dir. Ejecutivo EP,Jefe Departamento,Subdirector"</formula1>
    </dataValidation>
  </dataValidation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E2EFDA"/>
  </sheetPr>
  <dimension ref="A1:Z47"/>
  <sheetViews>
    <sheetView showGridLines="0" zoomScale="25" zoomScaleNormal="25" workbookViewId="0">
      <pane ySplit="3" topLeftCell="A6" activePane="bottomLeft" state="frozen"/>
      <selection pane="bottomLeft" sqref="A1:Z1"/>
    </sheetView>
  </sheetViews>
  <sheetFormatPr baseColWidth="10" defaultRowHeight="14.4" x14ac:dyDescent="0.3"/>
  <cols>
    <col min="1" max="1" width="14.77734375" customWidth="1"/>
    <col min="2" max="2" width="39.77734375" customWidth="1"/>
    <col min="3" max="3" width="24.109375" customWidth="1"/>
    <col min="4" max="4" width="26.88671875" customWidth="1"/>
    <col min="5" max="5" width="14.77734375" customWidth="1"/>
    <col min="6" max="6" width="16.6640625" customWidth="1"/>
    <col min="7" max="7" width="34.21875" customWidth="1"/>
    <col min="9" max="9" width="14.77734375" customWidth="1"/>
    <col min="10" max="10" width="25.88671875" customWidth="1"/>
    <col min="26" max="26" width="8.33203125" bestFit="1" customWidth="1"/>
  </cols>
  <sheetData>
    <row r="1" spans="1:26" ht="28.05" customHeight="1" x14ac:dyDescent="0.3">
      <c r="A1" s="3753" t="s">
        <v>4847</v>
      </c>
      <c r="B1" s="3753"/>
      <c r="C1" s="3753"/>
      <c r="D1" s="3753"/>
      <c r="E1" s="3753"/>
      <c r="F1" s="3753"/>
      <c r="G1" s="3753"/>
      <c r="H1" s="3753"/>
      <c r="I1" s="3753"/>
      <c r="J1" s="3753"/>
      <c r="K1" s="3753"/>
      <c r="L1" s="3753"/>
      <c r="M1" s="3753"/>
      <c r="N1" s="3753"/>
      <c r="O1" s="3753"/>
      <c r="P1" s="3753"/>
      <c r="Q1" s="3753"/>
      <c r="R1" s="3753"/>
      <c r="S1" s="3753"/>
      <c r="T1" s="3753"/>
      <c r="U1" s="3753"/>
      <c r="V1" s="3753"/>
      <c r="W1" s="3753"/>
      <c r="X1" s="3753"/>
      <c r="Y1" s="3753"/>
      <c r="Z1" s="3753"/>
    </row>
    <row r="2" spans="1:26" ht="19.95" customHeight="1" x14ac:dyDescent="0.3">
      <c r="A2" s="139" t="str">
        <f>HYPERLINK("#'M-INDEX'!A1","⌂ INDICE")</f>
        <v>⌂ INDICE</v>
      </c>
      <c r="B2" s="140" t="str">
        <f>HYPERLINK("#'M1-ITME'!A1","M1")</f>
        <v>M1</v>
      </c>
      <c r="C2" s="140" t="str">
        <f>HYPERLINK("#'M2-PDOT'!A1","M2")</f>
        <v>M2</v>
      </c>
      <c r="D2" s="140" t="str">
        <f>HYPERLINK("#'M3-MAO'!A1","M3")</f>
        <v>M3</v>
      </c>
      <c r="E2" s="140" t="str">
        <f>HYPERLINK("#'M4-AUDIT'!A1","M4")</f>
        <v>M4</v>
      </c>
      <c r="F2" s="140" t="str">
        <f>HYPERLINK("#'M5-ICPI'!A1","M5")</f>
        <v>M5</v>
      </c>
      <c r="G2" s="140" t="str">
        <f>HYPERLINK("#'M6-FEDS'!A1","M6")</f>
        <v>M6</v>
      </c>
      <c r="H2" s="140" t="str">
        <f>HYPERLINK("#'M7-PROSP'!A1","M7")</f>
        <v>M7</v>
      </c>
      <c r="I2" s="140" t="str">
        <f>HYPERLINK("#'DATA-POA'!A1","DATA-POA")</f>
        <v>DATA-POA</v>
      </c>
      <c r="J2" s="140" t="str">
        <f>HYPERLINK("#'DATA-CNE'!A1","DATA-CNE")</f>
        <v>DATA-CNE</v>
      </c>
      <c r="K2" s="140" t="str">
        <f>HYPERLINK("#'DATA-ORG'!A1","DATA-ORG")</f>
        <v>DATA-ORG</v>
      </c>
      <c r="L2" s="140" t="str">
        <f>HYPERLINK("#'M-DASHBOARD'!A1","DASH")</f>
        <v>DASH</v>
      </c>
      <c r="M2" s="141"/>
      <c r="N2" s="141"/>
      <c r="O2" s="141"/>
      <c r="P2" s="141"/>
      <c r="Q2" s="141"/>
      <c r="R2" s="141"/>
      <c r="S2" s="141"/>
      <c r="T2" s="141"/>
      <c r="U2" s="141"/>
      <c r="V2" s="141"/>
      <c r="W2" s="141"/>
      <c r="X2" s="141"/>
      <c r="Y2" s="141"/>
      <c r="Z2" s="141"/>
    </row>
    <row r="3" spans="1:26" ht="16.05" customHeight="1" thickBot="1" x14ac:dyDescent="0.35">
      <c r="A3" s="3972" t="s">
        <v>4244</v>
      </c>
      <c r="B3" s="3973"/>
      <c r="C3" s="3973"/>
      <c r="D3" s="3973"/>
      <c r="E3" s="3973"/>
      <c r="F3" s="3973"/>
      <c r="G3" s="3973"/>
      <c r="H3" s="3974"/>
      <c r="I3" s="3974"/>
      <c r="J3" s="3974"/>
      <c r="K3" s="3974"/>
      <c r="L3" s="3974"/>
      <c r="M3" s="3974"/>
      <c r="N3" s="3974"/>
      <c r="O3" s="3974"/>
      <c r="P3" s="3974"/>
      <c r="Q3" s="3974"/>
      <c r="R3" s="3974"/>
      <c r="S3" s="3974"/>
      <c r="T3" s="3974"/>
      <c r="U3" s="3974"/>
      <c r="V3" s="3974"/>
      <c r="W3" s="3974"/>
      <c r="X3" s="3974"/>
      <c r="Y3" s="3974"/>
      <c r="Z3" s="3974"/>
    </row>
    <row r="4" spans="1:26" ht="19.95" customHeight="1" thickTop="1" x14ac:dyDescent="0.3">
      <c r="A4" s="3984" t="s">
        <v>4223</v>
      </c>
      <c r="B4" s="3985"/>
      <c r="C4" s="3985"/>
      <c r="D4" s="3985"/>
      <c r="E4" s="3985"/>
      <c r="F4" s="3985"/>
      <c r="G4" s="3986"/>
      <c r="H4" s="3819"/>
      <c r="I4" s="3819"/>
      <c r="J4" s="3819"/>
      <c r="K4" s="3819"/>
      <c r="L4" s="3819"/>
      <c r="M4" s="3819"/>
      <c r="N4" s="3819"/>
      <c r="O4" s="3819"/>
      <c r="P4" s="3819"/>
      <c r="Q4" s="3819"/>
      <c r="R4" s="3819"/>
      <c r="S4" s="3819"/>
      <c r="T4" s="3819"/>
      <c r="U4" s="3819"/>
      <c r="V4" s="3819"/>
      <c r="W4" s="3819"/>
      <c r="X4" s="3819"/>
      <c r="Y4" s="3819"/>
      <c r="Z4" s="3820"/>
    </row>
    <row r="5" spans="1:26" s="13" customFormat="1" ht="31.95" customHeight="1" x14ac:dyDescent="0.3">
      <c r="A5" s="390" t="s">
        <v>1886</v>
      </c>
      <c r="B5" s="391" t="s">
        <v>2585</v>
      </c>
      <c r="C5" s="391" t="s">
        <v>2586</v>
      </c>
      <c r="D5" s="391" t="s">
        <v>2469</v>
      </c>
      <c r="E5" s="391" t="s">
        <v>2587</v>
      </c>
      <c r="F5" s="391" t="s">
        <v>2588</v>
      </c>
      <c r="G5" s="392" t="s">
        <v>2589</v>
      </c>
      <c r="H5" s="388"/>
      <c r="I5" s="507" t="s">
        <v>4987</v>
      </c>
      <c r="J5" s="382"/>
      <c r="K5" s="235"/>
      <c r="L5" s="235"/>
      <c r="M5" s="235"/>
      <c r="N5" s="235"/>
      <c r="O5" s="235"/>
      <c r="P5" s="235"/>
      <c r="Q5" s="235"/>
      <c r="R5" s="235"/>
      <c r="S5" s="235"/>
      <c r="T5" s="235"/>
      <c r="U5" s="235"/>
      <c r="V5" s="235"/>
      <c r="W5" s="235"/>
      <c r="X5" s="235"/>
      <c r="Y5" s="235"/>
      <c r="Z5" s="236"/>
    </row>
    <row r="6" spans="1:26" s="11" customFormat="1" ht="31.95" customHeight="1" x14ac:dyDescent="0.3">
      <c r="A6" s="393" t="s">
        <v>96</v>
      </c>
      <c r="B6" s="394" t="s">
        <v>2590</v>
      </c>
      <c r="C6" s="395" t="s">
        <v>2591</v>
      </c>
      <c r="D6" s="395" t="s">
        <v>94</v>
      </c>
      <c r="E6" s="396">
        <v>46025</v>
      </c>
      <c r="F6" s="394" t="s">
        <v>2592</v>
      </c>
      <c r="G6" s="397" t="s">
        <v>2593</v>
      </c>
      <c r="H6" s="389"/>
      <c r="I6" s="508" t="s">
        <v>96</v>
      </c>
      <c r="J6" s="509" t="s">
        <v>4988</v>
      </c>
      <c r="K6" s="238"/>
      <c r="L6" s="238"/>
      <c r="M6" s="238"/>
      <c r="N6" s="238"/>
      <c r="O6" s="238"/>
      <c r="P6" s="238"/>
      <c r="Q6" s="238"/>
      <c r="R6" s="238"/>
      <c r="S6" s="238"/>
      <c r="T6" s="238"/>
      <c r="U6" s="238"/>
      <c r="V6" s="238"/>
      <c r="W6" s="238"/>
      <c r="X6" s="238"/>
      <c r="Y6" s="238"/>
      <c r="Z6" s="239"/>
    </row>
    <row r="7" spans="1:26" s="11" customFormat="1" ht="31.95" customHeight="1" x14ac:dyDescent="0.3">
      <c r="A7" s="398" t="s">
        <v>96</v>
      </c>
      <c r="B7" s="399" t="s">
        <v>2594</v>
      </c>
      <c r="C7" s="400" t="s">
        <v>57</v>
      </c>
      <c r="D7" s="400" t="s">
        <v>95</v>
      </c>
      <c r="E7" s="401">
        <v>46025</v>
      </c>
      <c r="F7" s="402" t="s">
        <v>2592</v>
      </c>
      <c r="G7" s="403" t="s">
        <v>2595</v>
      </c>
      <c r="H7" s="389"/>
      <c r="I7" s="510" t="s">
        <v>98</v>
      </c>
      <c r="J7" s="511" t="s">
        <v>4989</v>
      </c>
      <c r="K7" s="238"/>
      <c r="L7" s="238"/>
      <c r="M7" s="238"/>
      <c r="N7" s="238"/>
      <c r="O7" s="238"/>
      <c r="P7" s="238"/>
      <c r="Q7" s="238"/>
      <c r="R7" s="238"/>
      <c r="S7" s="238"/>
      <c r="T7" s="238"/>
      <c r="U7" s="238"/>
      <c r="V7" s="238"/>
      <c r="W7" s="238"/>
      <c r="X7" s="238"/>
      <c r="Y7" s="238"/>
      <c r="Z7" s="239"/>
    </row>
    <row r="8" spans="1:26" s="11" customFormat="1" ht="31.95" customHeight="1" x14ac:dyDescent="0.3">
      <c r="A8" s="393" t="s">
        <v>96</v>
      </c>
      <c r="B8" s="404" t="s">
        <v>2596</v>
      </c>
      <c r="C8" s="395" t="s">
        <v>466</v>
      </c>
      <c r="D8" s="395" t="s">
        <v>97</v>
      </c>
      <c r="E8" s="396">
        <v>46025</v>
      </c>
      <c r="F8" s="394" t="s">
        <v>2592</v>
      </c>
      <c r="G8" s="397" t="s">
        <v>2597</v>
      </c>
      <c r="H8" s="389"/>
      <c r="I8" s="512" t="s">
        <v>1174</v>
      </c>
      <c r="J8" s="513" t="s">
        <v>4990</v>
      </c>
      <c r="K8" s="238"/>
      <c r="L8" s="238"/>
      <c r="M8" s="238"/>
      <c r="N8" s="238"/>
      <c r="O8" s="238"/>
      <c r="P8" s="238"/>
      <c r="Q8" s="238"/>
      <c r="R8" s="238"/>
      <c r="S8" s="238"/>
      <c r="T8" s="238"/>
      <c r="U8" s="238"/>
      <c r="V8" s="238"/>
      <c r="W8" s="238"/>
      <c r="X8" s="238"/>
      <c r="Y8" s="238"/>
      <c r="Z8" s="239"/>
    </row>
    <row r="9" spans="1:26" s="11" customFormat="1" ht="31.95" customHeight="1" x14ac:dyDescent="0.3">
      <c r="A9" s="398" t="s">
        <v>98</v>
      </c>
      <c r="B9" s="405" t="s">
        <v>2598</v>
      </c>
      <c r="C9" s="400" t="s">
        <v>642</v>
      </c>
      <c r="D9" s="400" t="s">
        <v>839</v>
      </c>
      <c r="E9" s="401">
        <v>46025</v>
      </c>
      <c r="F9" s="406" t="s">
        <v>2599</v>
      </c>
      <c r="G9" s="407" t="s">
        <v>2600</v>
      </c>
      <c r="H9" s="389"/>
      <c r="I9" s="514" t="s">
        <v>2615</v>
      </c>
      <c r="J9" s="515" t="s">
        <v>4991</v>
      </c>
      <c r="K9" s="238"/>
      <c r="L9" s="238"/>
      <c r="M9" s="238"/>
      <c r="N9" s="238"/>
      <c r="O9" s="238"/>
      <c r="P9" s="238"/>
      <c r="Q9" s="238"/>
      <c r="R9" s="238"/>
      <c r="S9" s="238"/>
      <c r="T9" s="238"/>
      <c r="U9" s="238"/>
      <c r="V9" s="238"/>
      <c r="W9" s="238"/>
      <c r="X9" s="238"/>
      <c r="Y9" s="238"/>
      <c r="Z9" s="239"/>
    </row>
    <row r="10" spans="1:26" s="11" customFormat="1" ht="31.95" customHeight="1" x14ac:dyDescent="0.3">
      <c r="A10" s="393" t="s">
        <v>98</v>
      </c>
      <c r="B10" s="404" t="s">
        <v>2601</v>
      </c>
      <c r="C10" s="395" t="s">
        <v>50</v>
      </c>
      <c r="D10" s="395" t="s">
        <v>99</v>
      </c>
      <c r="E10" s="396">
        <v>46025</v>
      </c>
      <c r="F10" s="408" t="s">
        <v>2599</v>
      </c>
      <c r="G10" s="409" t="s">
        <v>2602</v>
      </c>
      <c r="H10" s="389"/>
      <c r="I10" s="516" t="s">
        <v>2648</v>
      </c>
      <c r="J10" s="517" t="s">
        <v>4992</v>
      </c>
      <c r="K10" s="238"/>
      <c r="L10" s="238"/>
      <c r="M10" s="238"/>
      <c r="N10" s="238"/>
      <c r="O10" s="238"/>
      <c r="P10" s="238"/>
      <c r="Q10" s="238"/>
      <c r="R10" s="238"/>
      <c r="S10" s="238"/>
      <c r="T10" s="238"/>
      <c r="U10" s="238"/>
      <c r="V10" s="238"/>
      <c r="W10" s="238"/>
      <c r="X10" s="238"/>
      <c r="Y10" s="238"/>
      <c r="Z10" s="239"/>
    </row>
    <row r="11" spans="1:26" s="11" customFormat="1" ht="31.95" customHeight="1" x14ac:dyDescent="0.3">
      <c r="A11" s="398" t="s">
        <v>98</v>
      </c>
      <c r="B11" s="399" t="s">
        <v>2603</v>
      </c>
      <c r="C11" s="400" t="s">
        <v>715</v>
      </c>
      <c r="D11" s="400" t="s">
        <v>819</v>
      </c>
      <c r="E11" s="401">
        <v>46025</v>
      </c>
      <c r="F11" s="405" t="s">
        <v>2604</v>
      </c>
      <c r="G11" s="403" t="s">
        <v>2605</v>
      </c>
      <c r="H11" s="389"/>
      <c r="I11" s="383"/>
      <c r="J11" s="383"/>
      <c r="K11" s="238"/>
      <c r="L11" s="238"/>
      <c r="M11" s="238"/>
      <c r="N11" s="238"/>
      <c r="O11" s="238"/>
      <c r="P11" s="238"/>
      <c r="Q11" s="238"/>
      <c r="R11" s="238"/>
      <c r="S11" s="238"/>
      <c r="T11" s="238"/>
      <c r="U11" s="238"/>
      <c r="V11" s="238"/>
      <c r="W11" s="238"/>
      <c r="X11" s="238"/>
      <c r="Y11" s="238"/>
      <c r="Z11" s="239"/>
    </row>
    <row r="12" spans="1:26" s="11" customFormat="1" ht="31.95" customHeight="1" x14ac:dyDescent="0.3">
      <c r="A12" s="410" t="s">
        <v>1174</v>
      </c>
      <c r="B12" s="394" t="s">
        <v>2606</v>
      </c>
      <c r="C12" s="395" t="s">
        <v>486</v>
      </c>
      <c r="D12" s="395" t="s">
        <v>832</v>
      </c>
      <c r="E12" s="396">
        <v>46025</v>
      </c>
      <c r="F12" s="411" t="s">
        <v>2607</v>
      </c>
      <c r="G12" s="397" t="s">
        <v>2608</v>
      </c>
      <c r="H12" s="389"/>
      <c r="I12" s="383"/>
      <c r="J12" s="383"/>
      <c r="K12" s="238"/>
      <c r="L12" s="238"/>
      <c r="M12" s="238"/>
      <c r="N12" s="238"/>
      <c r="O12" s="238"/>
      <c r="P12" s="238"/>
      <c r="Q12" s="238"/>
      <c r="R12" s="238"/>
      <c r="S12" s="238"/>
      <c r="T12" s="238"/>
      <c r="U12" s="238"/>
      <c r="V12" s="238"/>
      <c r="W12" s="238"/>
      <c r="X12" s="238"/>
      <c r="Y12" s="238"/>
      <c r="Z12" s="239"/>
    </row>
    <row r="13" spans="1:26" s="11" customFormat="1" ht="31.95" customHeight="1" x14ac:dyDescent="0.3">
      <c r="A13" s="412" t="s">
        <v>1174</v>
      </c>
      <c r="B13" s="399" t="s">
        <v>2609</v>
      </c>
      <c r="C13" s="400" t="s">
        <v>458</v>
      </c>
      <c r="D13" s="400" t="s">
        <v>846</v>
      </c>
      <c r="E13" s="401">
        <v>46025</v>
      </c>
      <c r="F13" s="405" t="s">
        <v>2607</v>
      </c>
      <c r="G13" s="407" t="s">
        <v>2610</v>
      </c>
      <c r="H13" s="389"/>
      <c r="I13" s="383"/>
      <c r="J13" s="383"/>
      <c r="K13" s="238"/>
      <c r="L13" s="238"/>
      <c r="M13" s="238"/>
      <c r="N13" s="238"/>
      <c r="O13" s="238"/>
      <c r="P13" s="238"/>
      <c r="Q13" s="238"/>
      <c r="R13" s="238"/>
      <c r="S13" s="238"/>
      <c r="T13" s="238"/>
      <c r="U13" s="238"/>
      <c r="V13" s="238"/>
      <c r="W13" s="238"/>
      <c r="X13" s="238"/>
      <c r="Y13" s="238"/>
      <c r="Z13" s="239"/>
    </row>
    <row r="14" spans="1:26" s="11" customFormat="1" ht="31.95" customHeight="1" x14ac:dyDescent="0.3">
      <c r="A14" s="410" t="s">
        <v>1174</v>
      </c>
      <c r="B14" s="404" t="s">
        <v>2611</v>
      </c>
      <c r="C14" s="395" t="s">
        <v>518</v>
      </c>
      <c r="D14" s="395" t="s">
        <v>827</v>
      </c>
      <c r="E14" s="396">
        <v>46025</v>
      </c>
      <c r="F14" s="411" t="s">
        <v>2607</v>
      </c>
      <c r="G14" s="397" t="s">
        <v>2612</v>
      </c>
      <c r="H14" s="389"/>
      <c r="I14" s="383"/>
      <c r="J14" s="383"/>
      <c r="K14" s="238"/>
      <c r="L14" s="238"/>
      <c r="M14" s="238"/>
      <c r="N14" s="238"/>
      <c r="O14" s="238"/>
      <c r="P14" s="238"/>
      <c r="Q14" s="238"/>
      <c r="R14" s="238"/>
      <c r="S14" s="238"/>
      <c r="T14" s="238"/>
      <c r="U14" s="238"/>
      <c r="V14" s="238"/>
      <c r="W14" s="238"/>
      <c r="X14" s="238"/>
      <c r="Y14" s="238"/>
      <c r="Z14" s="239"/>
    </row>
    <row r="15" spans="1:26" s="11" customFormat="1" ht="31.95" customHeight="1" x14ac:dyDescent="0.3">
      <c r="A15" s="412" t="s">
        <v>1174</v>
      </c>
      <c r="B15" s="399" t="s">
        <v>2613</v>
      </c>
      <c r="C15" s="400" t="s">
        <v>715</v>
      </c>
      <c r="D15" s="400" t="s">
        <v>819</v>
      </c>
      <c r="E15" s="401">
        <v>46025</v>
      </c>
      <c r="F15" s="405" t="s">
        <v>2607</v>
      </c>
      <c r="G15" s="403" t="s">
        <v>2614</v>
      </c>
      <c r="H15" s="389"/>
      <c r="I15" s="383"/>
      <c r="J15" s="383"/>
      <c r="K15" s="238"/>
      <c r="L15" s="238"/>
      <c r="M15" s="238"/>
      <c r="N15" s="238"/>
      <c r="O15" s="238"/>
      <c r="P15" s="238"/>
      <c r="Q15" s="238"/>
      <c r="R15" s="238"/>
      <c r="S15" s="238"/>
      <c r="T15" s="238"/>
      <c r="U15" s="238"/>
      <c r="V15" s="238"/>
      <c r="W15" s="238"/>
      <c r="X15" s="238"/>
      <c r="Y15" s="238"/>
      <c r="Z15" s="239"/>
    </row>
    <row r="16" spans="1:26" s="11" customFormat="1" ht="31.95" customHeight="1" x14ac:dyDescent="0.3">
      <c r="A16" s="413" t="s">
        <v>2615</v>
      </c>
      <c r="B16" s="404" t="s">
        <v>2616</v>
      </c>
      <c r="C16" s="395" t="s">
        <v>466</v>
      </c>
      <c r="D16" s="395" t="s">
        <v>97</v>
      </c>
      <c r="E16" s="396">
        <v>46025</v>
      </c>
      <c r="F16" s="411" t="s">
        <v>2607</v>
      </c>
      <c r="G16" s="409" t="s">
        <v>2617</v>
      </c>
      <c r="H16" s="389"/>
      <c r="I16" s="383"/>
      <c r="J16" s="383"/>
      <c r="K16" s="238"/>
      <c r="L16" s="238"/>
      <c r="M16" s="238"/>
      <c r="N16" s="238"/>
      <c r="O16" s="238"/>
      <c r="P16" s="238"/>
      <c r="Q16" s="238"/>
      <c r="R16" s="238"/>
      <c r="S16" s="238"/>
      <c r="T16" s="238"/>
      <c r="U16" s="238"/>
      <c r="V16" s="238"/>
      <c r="W16" s="238"/>
      <c r="X16" s="238"/>
      <c r="Y16" s="238"/>
      <c r="Z16" s="239"/>
    </row>
    <row r="17" spans="1:26" s="11" customFormat="1" ht="31.95" customHeight="1" x14ac:dyDescent="0.3">
      <c r="A17" s="414" t="s">
        <v>2615</v>
      </c>
      <c r="B17" s="399" t="s">
        <v>2618</v>
      </c>
      <c r="C17" s="400" t="s">
        <v>50</v>
      </c>
      <c r="D17" s="400" t="s">
        <v>99</v>
      </c>
      <c r="E17" s="401">
        <v>46025</v>
      </c>
      <c r="F17" s="402" t="s">
        <v>2592</v>
      </c>
      <c r="G17" s="407" t="s">
        <v>2619</v>
      </c>
      <c r="H17" s="389"/>
      <c r="I17" s="383"/>
      <c r="J17" s="383"/>
      <c r="K17" s="238"/>
      <c r="L17" s="238"/>
      <c r="M17" s="238"/>
      <c r="N17" s="238"/>
      <c r="O17" s="238"/>
      <c r="P17" s="238"/>
      <c r="Q17" s="238"/>
      <c r="R17" s="238"/>
      <c r="S17" s="238"/>
      <c r="T17" s="238"/>
      <c r="U17" s="238"/>
      <c r="V17" s="238"/>
      <c r="W17" s="238"/>
      <c r="X17" s="238"/>
      <c r="Y17" s="238"/>
      <c r="Z17" s="239"/>
    </row>
    <row r="18" spans="1:26" s="11" customFormat="1" ht="31.95" customHeight="1" x14ac:dyDescent="0.3">
      <c r="A18" s="413" t="s">
        <v>2615</v>
      </c>
      <c r="B18" s="404" t="s">
        <v>2620</v>
      </c>
      <c r="C18" s="395" t="s">
        <v>502</v>
      </c>
      <c r="D18" s="395" t="s">
        <v>91</v>
      </c>
      <c r="E18" s="396">
        <v>46025</v>
      </c>
      <c r="F18" s="411" t="s">
        <v>2607</v>
      </c>
      <c r="G18" s="397" t="s">
        <v>2621</v>
      </c>
      <c r="H18" s="389"/>
      <c r="I18" s="383"/>
      <c r="J18" s="383"/>
      <c r="K18" s="238"/>
      <c r="L18" s="238"/>
      <c r="M18" s="238"/>
      <c r="N18" s="238"/>
      <c r="O18" s="238"/>
      <c r="P18" s="238"/>
      <c r="Q18" s="238"/>
      <c r="R18" s="238"/>
      <c r="S18" s="238"/>
      <c r="T18" s="238"/>
      <c r="U18" s="238"/>
      <c r="V18" s="238"/>
      <c r="W18" s="238"/>
      <c r="X18" s="238"/>
      <c r="Y18" s="238"/>
      <c r="Z18" s="239"/>
    </row>
    <row r="19" spans="1:26" s="11" customFormat="1" ht="31.95" customHeight="1" thickBot="1" x14ac:dyDescent="0.35">
      <c r="A19" s="415" t="s">
        <v>2615</v>
      </c>
      <c r="B19" s="416" t="s">
        <v>2622</v>
      </c>
      <c r="C19" s="417" t="s">
        <v>642</v>
      </c>
      <c r="D19" s="417" t="s">
        <v>839</v>
      </c>
      <c r="E19" s="418">
        <v>46025</v>
      </c>
      <c r="F19" s="419" t="s">
        <v>2607</v>
      </c>
      <c r="G19" s="420" t="s">
        <v>2623</v>
      </c>
      <c r="H19" s="389"/>
      <c r="I19" s="383"/>
      <c r="J19" s="383"/>
      <c r="K19" s="238"/>
      <c r="L19" s="238"/>
      <c r="M19" s="238"/>
      <c r="N19" s="238"/>
      <c r="O19" s="238"/>
      <c r="P19" s="238"/>
      <c r="Q19" s="238"/>
      <c r="R19" s="238"/>
      <c r="S19" s="238"/>
      <c r="T19" s="238"/>
      <c r="U19" s="238"/>
      <c r="V19" s="238"/>
      <c r="W19" s="238"/>
      <c r="X19" s="238"/>
      <c r="Y19" s="238"/>
      <c r="Z19" s="239"/>
    </row>
    <row r="20" spans="1:26" s="11" customFormat="1" ht="6" customHeight="1" x14ac:dyDescent="0.3">
      <c r="A20" s="386"/>
      <c r="B20" s="387"/>
      <c r="C20" s="387"/>
      <c r="D20" s="387"/>
      <c r="E20" s="387"/>
      <c r="F20" s="387"/>
      <c r="G20" s="387"/>
      <c r="H20" s="383"/>
      <c r="I20" s="383"/>
      <c r="J20" s="383"/>
      <c r="K20" s="238"/>
      <c r="L20" s="238"/>
      <c r="M20" s="238"/>
      <c r="N20" s="238"/>
      <c r="O20" s="238"/>
      <c r="P20" s="238"/>
      <c r="Q20" s="238"/>
      <c r="R20" s="238"/>
      <c r="S20" s="238"/>
      <c r="T20" s="238"/>
      <c r="U20" s="238"/>
      <c r="V20" s="238"/>
      <c r="W20" s="238"/>
      <c r="X20" s="238"/>
      <c r="Y20" s="238"/>
      <c r="Z20" s="239"/>
    </row>
    <row r="21" spans="1:26" s="11" customFormat="1" ht="6" customHeight="1" thickBot="1" x14ac:dyDescent="0.35">
      <c r="A21" s="421"/>
      <c r="B21" s="422"/>
      <c r="C21" s="422"/>
      <c r="D21" s="422"/>
      <c r="E21" s="422"/>
      <c r="F21" s="422"/>
      <c r="G21" s="423"/>
      <c r="H21" s="383"/>
      <c r="I21" s="383"/>
      <c r="J21" s="383"/>
      <c r="K21" s="238"/>
      <c r="L21" s="238"/>
      <c r="M21" s="238"/>
      <c r="N21" s="238"/>
      <c r="O21" s="238"/>
      <c r="P21" s="238"/>
      <c r="Q21" s="238"/>
      <c r="R21" s="238"/>
      <c r="S21" s="238"/>
      <c r="T21" s="238"/>
      <c r="U21" s="238"/>
      <c r="V21" s="238"/>
      <c r="W21" s="238"/>
      <c r="X21" s="238"/>
      <c r="Y21" s="238"/>
      <c r="Z21" s="239"/>
    </row>
    <row r="22" spans="1:26" s="11" customFormat="1" ht="19.95" customHeight="1" x14ac:dyDescent="0.3">
      <c r="A22" s="3987" t="s">
        <v>2624</v>
      </c>
      <c r="B22" s="3988"/>
      <c r="C22" s="3988"/>
      <c r="D22" s="3988"/>
      <c r="E22" s="3988"/>
      <c r="F22" s="3988"/>
      <c r="G22" s="3989"/>
      <c r="H22" s="3764"/>
      <c r="I22" s="3764"/>
      <c r="J22" s="3764"/>
      <c r="K22" s="3764"/>
      <c r="L22" s="3764"/>
      <c r="M22" s="3764"/>
      <c r="N22" s="3764"/>
      <c r="O22" s="3764"/>
      <c r="P22" s="3764"/>
      <c r="Q22" s="3764"/>
      <c r="R22" s="3764"/>
      <c r="S22" s="3764"/>
      <c r="T22" s="3764"/>
      <c r="U22" s="3764"/>
      <c r="V22" s="3764"/>
      <c r="W22" s="3764"/>
      <c r="X22" s="3764"/>
      <c r="Y22" s="3764"/>
      <c r="Z22" s="3765"/>
    </row>
    <row r="23" spans="1:26" s="11" customFormat="1" ht="19.95" customHeight="1" x14ac:dyDescent="0.3">
      <c r="A23" s="427" t="s">
        <v>85</v>
      </c>
      <c r="B23" s="428" t="s">
        <v>2625</v>
      </c>
      <c r="C23" s="428" t="s">
        <v>2626</v>
      </c>
      <c r="D23" s="428" t="s">
        <v>2627</v>
      </c>
      <c r="E23" s="428" t="s">
        <v>2628</v>
      </c>
      <c r="F23" s="428" t="s">
        <v>1929</v>
      </c>
      <c r="G23" s="429" t="s">
        <v>123</v>
      </c>
      <c r="H23" s="389"/>
      <c r="I23" s="383"/>
      <c r="J23" s="383"/>
      <c r="K23" s="238"/>
      <c r="L23" s="238"/>
      <c r="M23" s="238"/>
      <c r="N23" s="238"/>
      <c r="O23" s="238"/>
      <c r="P23" s="238"/>
      <c r="Q23" s="238"/>
      <c r="R23" s="238"/>
      <c r="S23" s="238"/>
      <c r="T23" s="238"/>
      <c r="U23" s="238"/>
      <c r="V23" s="238"/>
      <c r="W23" s="238"/>
      <c r="X23" s="238"/>
      <c r="Y23" s="238"/>
      <c r="Z23" s="239"/>
    </row>
    <row r="24" spans="1:26" s="11" customFormat="1" ht="24" customHeight="1" x14ac:dyDescent="0.3">
      <c r="A24" s="430" t="s">
        <v>96</v>
      </c>
      <c r="B24" s="431" t="s">
        <v>2629</v>
      </c>
      <c r="C24" s="431" t="s">
        <v>2630</v>
      </c>
      <c r="D24" s="431" t="s">
        <v>2631</v>
      </c>
      <c r="E24" s="432" t="s">
        <v>2632</v>
      </c>
      <c r="F24" s="431" t="s">
        <v>2633</v>
      </c>
      <c r="G24" s="433" t="s">
        <v>2634</v>
      </c>
      <c r="H24" s="389"/>
      <c r="I24" s="383"/>
      <c r="J24" s="383"/>
      <c r="K24" s="238"/>
      <c r="L24" s="238"/>
      <c r="M24" s="238"/>
      <c r="N24" s="238"/>
      <c r="O24" s="238"/>
      <c r="P24" s="238"/>
      <c r="Q24" s="238"/>
      <c r="R24" s="238"/>
      <c r="S24" s="238"/>
      <c r="T24" s="238"/>
      <c r="U24" s="238"/>
      <c r="V24" s="238"/>
      <c r="W24" s="238"/>
      <c r="X24" s="238"/>
      <c r="Y24" s="238"/>
      <c r="Z24" s="239"/>
    </row>
    <row r="25" spans="1:26" s="11" customFormat="1" ht="24" customHeight="1" x14ac:dyDescent="0.3">
      <c r="A25" s="434" t="s">
        <v>98</v>
      </c>
      <c r="B25" s="435" t="s">
        <v>2635</v>
      </c>
      <c r="C25" s="436" t="s">
        <v>2636</v>
      </c>
      <c r="D25" s="435" t="s">
        <v>2637</v>
      </c>
      <c r="E25" s="437" t="s">
        <v>2632</v>
      </c>
      <c r="F25" s="435" t="s">
        <v>2136</v>
      </c>
      <c r="G25" s="438" t="s">
        <v>218</v>
      </c>
      <c r="H25" s="389"/>
      <c r="I25" s="383"/>
      <c r="J25" s="383"/>
      <c r="K25" s="238"/>
      <c r="L25" s="238"/>
      <c r="M25" s="238"/>
      <c r="N25" s="238"/>
      <c r="O25" s="238"/>
      <c r="P25" s="238"/>
      <c r="Q25" s="238"/>
      <c r="R25" s="238"/>
      <c r="S25" s="238"/>
      <c r="T25" s="238"/>
      <c r="U25" s="238"/>
      <c r="V25" s="238"/>
      <c r="W25" s="238"/>
      <c r="X25" s="238"/>
      <c r="Y25" s="238"/>
      <c r="Z25" s="239"/>
    </row>
    <row r="26" spans="1:26" s="11" customFormat="1" ht="24" customHeight="1" x14ac:dyDescent="0.3">
      <c r="A26" s="439" t="s">
        <v>1174</v>
      </c>
      <c r="B26" s="431" t="s">
        <v>2638</v>
      </c>
      <c r="C26" s="431" t="s">
        <v>2639</v>
      </c>
      <c r="D26" s="431" t="s">
        <v>2640</v>
      </c>
      <c r="E26" s="440" t="s">
        <v>2641</v>
      </c>
      <c r="F26" s="431" t="s">
        <v>2133</v>
      </c>
      <c r="G26" s="433" t="s">
        <v>2642</v>
      </c>
      <c r="H26" s="389"/>
      <c r="I26" s="383"/>
      <c r="J26" s="383"/>
      <c r="K26" s="238"/>
      <c r="L26" s="238"/>
      <c r="M26" s="238"/>
      <c r="N26" s="238"/>
      <c r="O26" s="238"/>
      <c r="P26" s="238"/>
      <c r="Q26" s="238"/>
      <c r="R26" s="238"/>
      <c r="S26" s="238"/>
      <c r="T26" s="238"/>
      <c r="U26" s="238"/>
      <c r="V26" s="238"/>
      <c r="W26" s="238"/>
      <c r="X26" s="238"/>
      <c r="Y26" s="238"/>
      <c r="Z26" s="239"/>
    </row>
    <row r="27" spans="1:26" s="11" customFormat="1" ht="24" customHeight="1" x14ac:dyDescent="0.3">
      <c r="A27" s="441" t="s">
        <v>2615</v>
      </c>
      <c r="B27" s="435" t="s">
        <v>2643</v>
      </c>
      <c r="C27" s="435" t="s">
        <v>2644</v>
      </c>
      <c r="D27" s="435" t="s">
        <v>2645</v>
      </c>
      <c r="E27" s="442" t="s">
        <v>2646</v>
      </c>
      <c r="F27" s="435" t="s">
        <v>2136</v>
      </c>
      <c r="G27" s="438" t="s">
        <v>2647</v>
      </c>
      <c r="H27" s="389"/>
      <c r="I27" s="383"/>
      <c r="J27" s="383"/>
      <c r="K27" s="238"/>
      <c r="L27" s="238"/>
      <c r="M27" s="238"/>
      <c r="N27" s="238"/>
      <c r="O27" s="238"/>
      <c r="P27" s="238"/>
      <c r="Q27" s="238"/>
      <c r="R27" s="238"/>
      <c r="S27" s="238"/>
      <c r="T27" s="238"/>
      <c r="U27" s="238"/>
      <c r="V27" s="238"/>
      <c r="W27" s="238"/>
      <c r="X27" s="238"/>
      <c r="Y27" s="238"/>
      <c r="Z27" s="239"/>
    </row>
    <row r="28" spans="1:26" s="11" customFormat="1" ht="24" customHeight="1" thickBot="1" x14ac:dyDescent="0.35">
      <c r="A28" s="443" t="s">
        <v>2648</v>
      </c>
      <c r="B28" s="444" t="s">
        <v>2649</v>
      </c>
      <c r="C28" s="445" t="s">
        <v>2650</v>
      </c>
      <c r="D28" s="444" t="s">
        <v>2651</v>
      </c>
      <c r="E28" s="445" t="s">
        <v>2652</v>
      </c>
      <c r="F28" s="444" t="s">
        <v>103</v>
      </c>
      <c r="G28" s="446" t="s">
        <v>2653</v>
      </c>
      <c r="H28" s="389"/>
      <c r="I28" s="383"/>
      <c r="J28" s="383"/>
      <c r="K28" s="238"/>
      <c r="L28" s="238"/>
      <c r="M28" s="238"/>
      <c r="N28" s="238"/>
      <c r="O28" s="238"/>
      <c r="P28" s="238"/>
      <c r="Q28" s="238"/>
      <c r="R28" s="238"/>
      <c r="S28" s="238"/>
      <c r="T28" s="238"/>
      <c r="U28" s="238"/>
      <c r="V28" s="238"/>
      <c r="W28" s="238"/>
      <c r="X28" s="238"/>
      <c r="Y28" s="238"/>
      <c r="Z28" s="239"/>
    </row>
    <row r="29" spans="1:26" s="11" customFormat="1" ht="6" customHeight="1" x14ac:dyDescent="0.3">
      <c r="A29" s="424"/>
      <c r="B29" s="425">
        <f>COUNTIF(A6:A19,"🔴 CRÍTICA")</f>
        <v>3</v>
      </c>
      <c r="C29" s="426">
        <f>IFERROR(COUNTIF(A6:A19,"🔴 CRÍTICA")/COUNTA(A6:A19),0)</f>
        <v>0.21428571428571427</v>
      </c>
      <c r="D29" s="425"/>
      <c r="E29" s="425"/>
      <c r="F29" s="425"/>
      <c r="G29" s="425"/>
      <c r="H29" s="383"/>
      <c r="I29" s="383"/>
      <c r="J29" s="383"/>
      <c r="K29" s="238"/>
      <c r="L29" s="238"/>
      <c r="M29" s="238"/>
      <c r="N29" s="238"/>
      <c r="O29" s="238"/>
      <c r="P29" s="238"/>
      <c r="Q29" s="238"/>
      <c r="R29" s="238"/>
      <c r="S29" s="238"/>
      <c r="T29" s="238"/>
      <c r="U29" s="238"/>
      <c r="V29" s="238"/>
      <c r="W29" s="238"/>
      <c r="X29" s="238"/>
      <c r="Y29" s="238"/>
      <c r="Z29" s="239"/>
    </row>
    <row r="30" spans="1:26" s="11" customFormat="1" ht="6" customHeight="1" thickBot="1" x14ac:dyDescent="0.35">
      <c r="A30" s="421"/>
      <c r="B30" s="422">
        <f>COUNTIF(A6:A19,"🟠 ALTA")</f>
        <v>3</v>
      </c>
      <c r="C30" s="448">
        <f>IFERROR(COUNTIF(A6:A19,"🟠 ALTA")/COUNTA(A6:A19),0)</f>
        <v>0.21428571428571427</v>
      </c>
      <c r="D30" s="422"/>
      <c r="E30" s="422"/>
      <c r="F30" s="422"/>
      <c r="G30" s="422"/>
      <c r="H30" s="383"/>
      <c r="I30" s="383"/>
      <c r="J30" s="383"/>
      <c r="K30" s="238"/>
      <c r="L30" s="238"/>
      <c r="M30" s="238"/>
      <c r="N30" s="238"/>
      <c r="O30" s="238"/>
      <c r="P30" s="238"/>
      <c r="Q30" s="238"/>
      <c r="R30" s="238"/>
      <c r="S30" s="238"/>
      <c r="T30" s="238"/>
      <c r="U30" s="238"/>
      <c r="V30" s="238"/>
      <c r="W30" s="238"/>
      <c r="X30" s="238"/>
      <c r="Y30" s="238"/>
      <c r="Z30" s="239"/>
    </row>
    <row r="31" spans="1:26" ht="19.95" customHeight="1" x14ac:dyDescent="0.3">
      <c r="A31" s="3990" t="s">
        <v>2654</v>
      </c>
      <c r="B31" s="3991"/>
      <c r="C31" s="3991"/>
      <c r="D31" s="3991"/>
      <c r="E31" s="3991"/>
      <c r="F31" s="3991"/>
      <c r="G31" s="3992"/>
      <c r="H31" s="3764"/>
      <c r="I31" s="3764"/>
      <c r="J31" s="3764"/>
      <c r="K31" s="3764"/>
      <c r="L31" s="3764"/>
      <c r="M31" s="3764"/>
      <c r="N31" s="3764"/>
      <c r="O31" s="3764"/>
      <c r="P31" s="3764"/>
      <c r="Q31" s="3764"/>
      <c r="R31" s="3764"/>
      <c r="S31" s="3764"/>
      <c r="T31" s="3764"/>
      <c r="U31" s="3764"/>
      <c r="V31" s="3764"/>
      <c r="W31" s="3764"/>
      <c r="X31" s="3764"/>
      <c r="Y31" s="3764"/>
      <c r="Z31" s="3765"/>
    </row>
    <row r="32" spans="1:26" ht="19.95" customHeight="1" x14ac:dyDescent="0.3">
      <c r="A32" s="449" t="s">
        <v>1886</v>
      </c>
      <c r="B32" s="450">
        <f>COUNTIF(A6:A19,"🟢 BAJA")</f>
        <v>4</v>
      </c>
      <c r="C32" s="451">
        <f>IFERROR(COUNTIF(A6:A19,"🟢 BAJA")/COUNTA(A6:A19),0)</f>
        <v>0.2857142857142857</v>
      </c>
      <c r="D32" s="450" t="s">
        <v>1141</v>
      </c>
      <c r="E32" s="450"/>
      <c r="F32" s="450"/>
      <c r="G32" s="452"/>
      <c r="H32" s="447"/>
      <c r="I32" s="384"/>
      <c r="J32" s="384"/>
      <c r="K32" s="242"/>
      <c r="L32" s="242"/>
      <c r="M32" s="242"/>
      <c r="N32" s="242"/>
      <c r="O32" s="242"/>
      <c r="P32" s="242"/>
      <c r="Q32" s="242"/>
      <c r="R32" s="242"/>
      <c r="S32" s="242"/>
      <c r="T32" s="242"/>
      <c r="U32" s="242"/>
      <c r="V32" s="242"/>
      <c r="W32" s="242"/>
      <c r="X32" s="242"/>
      <c r="Y32" s="242"/>
      <c r="Z32" s="243"/>
    </row>
    <row r="33" spans="1:26" ht="19.95" customHeight="1" x14ac:dyDescent="0.3">
      <c r="A33" s="453" t="s">
        <v>96</v>
      </c>
      <c r="B33" s="454">
        <f>COUNTA(A6:A19)</f>
        <v>14</v>
      </c>
      <c r="C33" s="455">
        <v>1</v>
      </c>
      <c r="D33" s="456" t="s">
        <v>2655</v>
      </c>
      <c r="E33" s="457"/>
      <c r="F33" s="457"/>
      <c r="G33" s="458"/>
      <c r="H33" s="447"/>
      <c r="I33" s="384"/>
      <c r="J33" s="384"/>
      <c r="K33" s="242"/>
      <c r="L33" s="242"/>
      <c r="M33" s="242"/>
      <c r="N33" s="242"/>
      <c r="O33" s="242"/>
      <c r="P33" s="242"/>
      <c r="Q33" s="242"/>
      <c r="R33" s="242"/>
      <c r="S33" s="242"/>
      <c r="T33" s="242"/>
      <c r="U33" s="242"/>
      <c r="V33" s="242"/>
      <c r="W33" s="242"/>
      <c r="X33" s="242"/>
      <c r="Y33" s="242"/>
      <c r="Z33" s="243"/>
    </row>
    <row r="34" spans="1:26" ht="19.95" customHeight="1" x14ac:dyDescent="0.3">
      <c r="A34" s="459" t="s">
        <v>98</v>
      </c>
      <c r="B34" s="460">
        <v>3</v>
      </c>
      <c r="C34" s="461">
        <v>0.21</v>
      </c>
      <c r="D34" s="462" t="s">
        <v>2656</v>
      </c>
      <c r="E34" s="463"/>
      <c r="F34" s="463"/>
      <c r="G34" s="464"/>
      <c r="H34" s="447"/>
      <c r="I34" s="384"/>
      <c r="J34" s="384"/>
      <c r="K34" s="242"/>
      <c r="L34" s="242"/>
      <c r="M34" s="242"/>
      <c r="N34" s="242"/>
      <c r="O34" s="242"/>
      <c r="P34" s="242"/>
      <c r="Q34" s="242"/>
      <c r="R34" s="242"/>
      <c r="S34" s="242"/>
      <c r="T34" s="242"/>
      <c r="U34" s="242"/>
      <c r="V34" s="242"/>
      <c r="W34" s="242"/>
      <c r="X34" s="242"/>
      <c r="Y34" s="242"/>
      <c r="Z34" s="243"/>
    </row>
    <row r="35" spans="1:26" ht="19.95" customHeight="1" x14ac:dyDescent="0.3">
      <c r="A35" s="465" t="s">
        <v>1174</v>
      </c>
      <c r="B35" s="454">
        <v>4</v>
      </c>
      <c r="C35" s="455">
        <v>0.28999999999999998</v>
      </c>
      <c r="D35" s="466" t="s">
        <v>2657</v>
      </c>
      <c r="E35" s="457"/>
      <c r="F35" s="457"/>
      <c r="G35" s="458"/>
      <c r="H35" s="447"/>
      <c r="I35" s="384"/>
      <c r="J35" s="384"/>
      <c r="K35" s="242"/>
      <c r="L35" s="242"/>
      <c r="M35" s="242"/>
      <c r="N35" s="242"/>
      <c r="O35" s="242"/>
      <c r="P35" s="242"/>
      <c r="Q35" s="242"/>
      <c r="R35" s="242"/>
      <c r="S35" s="242"/>
      <c r="T35" s="242"/>
      <c r="U35" s="242"/>
      <c r="V35" s="242"/>
      <c r="W35" s="242"/>
      <c r="X35" s="242"/>
      <c r="Y35" s="242"/>
      <c r="Z35" s="243"/>
    </row>
    <row r="36" spans="1:26" ht="19.95" customHeight="1" x14ac:dyDescent="0.3">
      <c r="A36" s="467" t="s">
        <v>2615</v>
      </c>
      <c r="B36" s="460">
        <v>4</v>
      </c>
      <c r="C36" s="461">
        <v>0.28999999999999998</v>
      </c>
      <c r="D36" s="468" t="s">
        <v>2658</v>
      </c>
      <c r="E36" s="463"/>
      <c r="F36" s="463"/>
      <c r="G36" s="464"/>
      <c r="H36" s="447"/>
      <c r="I36" s="384"/>
      <c r="J36" s="384"/>
      <c r="K36" s="242"/>
      <c r="L36" s="242"/>
      <c r="M36" s="242"/>
      <c r="N36" s="242"/>
      <c r="O36" s="242"/>
      <c r="P36" s="242"/>
      <c r="Q36" s="242"/>
      <c r="R36" s="242"/>
      <c r="S36" s="242"/>
      <c r="T36" s="242"/>
      <c r="U36" s="242"/>
      <c r="V36" s="242"/>
      <c r="W36" s="242"/>
      <c r="X36" s="242"/>
      <c r="Y36" s="242"/>
      <c r="Z36" s="243"/>
    </row>
    <row r="37" spans="1:26" ht="19.95" customHeight="1" thickBot="1" x14ac:dyDescent="0.35">
      <c r="A37" s="469" t="s">
        <v>2659</v>
      </c>
      <c r="B37" s="470">
        <v>14</v>
      </c>
      <c r="C37" s="471">
        <v>1</v>
      </c>
      <c r="D37" s="472" t="s">
        <v>2660</v>
      </c>
      <c r="E37" s="470"/>
      <c r="F37" s="470"/>
      <c r="G37" s="473"/>
      <c r="H37" s="447"/>
      <c r="I37" s="384"/>
      <c r="J37" s="384"/>
      <c r="K37" s="242"/>
      <c r="L37" s="242"/>
      <c r="M37" s="242"/>
      <c r="N37" s="242"/>
      <c r="O37" s="242"/>
      <c r="P37" s="242"/>
      <c r="Q37" s="242"/>
      <c r="R37" s="242"/>
      <c r="S37" s="242"/>
      <c r="T37" s="242"/>
      <c r="U37" s="242"/>
      <c r="V37" s="242"/>
      <c r="W37" s="242"/>
      <c r="X37" s="242"/>
      <c r="Y37" s="242"/>
      <c r="Z37" s="243"/>
    </row>
    <row r="38" spans="1:26" ht="6" customHeight="1" thickBot="1" x14ac:dyDescent="0.35">
      <c r="A38" s="474"/>
      <c r="B38" s="475"/>
      <c r="C38" s="475"/>
      <c r="D38" s="475"/>
      <c r="E38" s="475"/>
      <c r="F38" s="475"/>
      <c r="G38" s="475"/>
      <c r="H38" s="384"/>
      <c r="I38" s="384"/>
      <c r="J38" s="384"/>
      <c r="K38" s="242"/>
      <c r="L38" s="242"/>
      <c r="M38" s="242"/>
      <c r="N38" s="242"/>
      <c r="O38" s="242"/>
      <c r="P38" s="242"/>
      <c r="Q38" s="242"/>
      <c r="R38" s="242"/>
      <c r="S38" s="242"/>
      <c r="T38" s="242"/>
      <c r="U38" s="242"/>
      <c r="V38" s="242"/>
      <c r="W38" s="242"/>
      <c r="X38" s="242"/>
      <c r="Y38" s="242"/>
      <c r="Z38" s="243"/>
    </row>
    <row r="39" spans="1:26" ht="19.95" customHeight="1" x14ac:dyDescent="0.3">
      <c r="A39" s="3977" t="s">
        <v>2661</v>
      </c>
      <c r="B39" s="3978"/>
      <c r="C39" s="3978"/>
      <c r="D39" s="3978"/>
      <c r="E39" s="3978"/>
      <c r="F39" s="3978"/>
      <c r="G39" s="3979"/>
      <c r="H39" s="3764"/>
      <c r="I39" s="3764"/>
      <c r="J39" s="3764"/>
      <c r="K39" s="3764"/>
      <c r="L39" s="3764"/>
      <c r="M39" s="3764"/>
      <c r="N39" s="3764"/>
      <c r="O39" s="3764"/>
      <c r="P39" s="3764"/>
      <c r="Q39" s="3764"/>
      <c r="R39" s="3764"/>
      <c r="S39" s="3764"/>
      <c r="T39" s="3764"/>
      <c r="U39" s="3764"/>
      <c r="V39" s="3764"/>
      <c r="W39" s="3764"/>
      <c r="X39" s="3764"/>
      <c r="Y39" s="3764"/>
      <c r="Z39" s="3765"/>
    </row>
    <row r="40" spans="1:26" ht="36" customHeight="1" thickBot="1" x14ac:dyDescent="0.35">
      <c r="A40" s="481" t="s">
        <v>96</v>
      </c>
      <c r="B40" s="482" t="s">
        <v>2662</v>
      </c>
      <c r="C40" s="483" t="s">
        <v>2663</v>
      </c>
      <c r="D40" s="483" t="s">
        <v>2664</v>
      </c>
      <c r="E40" s="483"/>
      <c r="F40" s="476"/>
      <c r="G40" s="477"/>
      <c r="H40" s="447"/>
      <c r="I40" s="384"/>
      <c r="J40" s="384"/>
      <c r="K40" s="242"/>
      <c r="L40" s="242"/>
      <c r="M40" s="242"/>
      <c r="N40" s="242"/>
      <c r="O40" s="242"/>
      <c r="P40" s="242"/>
      <c r="Q40" s="242"/>
      <c r="R40" s="242"/>
      <c r="S40" s="242"/>
      <c r="T40" s="242"/>
      <c r="U40" s="242"/>
      <c r="V40" s="242"/>
      <c r="W40" s="242"/>
      <c r="X40" s="242"/>
      <c r="Y40" s="242"/>
      <c r="Z40" s="243"/>
    </row>
    <row r="41" spans="1:26" ht="19.95" customHeight="1" x14ac:dyDescent="0.3">
      <c r="A41" s="3980" t="s">
        <v>2665</v>
      </c>
      <c r="B41" s="3981"/>
      <c r="C41" s="3981"/>
      <c r="D41" s="3981"/>
      <c r="E41" s="3982"/>
      <c r="F41" s="3983"/>
      <c r="G41" s="3983"/>
      <c r="H41" s="3764"/>
      <c r="I41" s="3764"/>
      <c r="J41" s="3764"/>
      <c r="K41" s="3764"/>
      <c r="L41" s="3764"/>
      <c r="M41" s="3764"/>
      <c r="N41" s="3764"/>
      <c r="O41" s="3764"/>
      <c r="P41" s="3764"/>
      <c r="Q41" s="3764"/>
      <c r="R41" s="3764"/>
      <c r="S41" s="3764"/>
      <c r="T41" s="3764"/>
      <c r="U41" s="3764"/>
      <c r="V41" s="3764"/>
      <c r="W41" s="3764"/>
      <c r="X41" s="3764"/>
      <c r="Y41" s="3764"/>
      <c r="Z41" s="3765"/>
    </row>
    <row r="42" spans="1:26" ht="19.95" customHeight="1" x14ac:dyDescent="0.3">
      <c r="A42" s="484" t="s">
        <v>702</v>
      </c>
      <c r="B42" s="450" t="s">
        <v>5</v>
      </c>
      <c r="C42" s="450" t="s">
        <v>2666</v>
      </c>
      <c r="D42" s="450" t="s">
        <v>4224</v>
      </c>
      <c r="E42" s="485" t="s">
        <v>2667</v>
      </c>
      <c r="F42" s="478"/>
      <c r="G42" s="378"/>
      <c r="H42" s="384"/>
      <c r="I42" s="384"/>
      <c r="J42" s="384"/>
      <c r="K42" s="242"/>
      <c r="L42" s="242"/>
      <c r="M42" s="242"/>
      <c r="N42" s="242"/>
      <c r="O42" s="242"/>
      <c r="P42" s="242"/>
      <c r="Q42" s="242"/>
      <c r="R42" s="242"/>
      <c r="S42" s="242"/>
      <c r="T42" s="242"/>
      <c r="U42" s="242"/>
      <c r="V42" s="242"/>
      <c r="W42" s="242"/>
      <c r="X42" s="242"/>
      <c r="Y42" s="242"/>
      <c r="Z42" s="243"/>
    </row>
    <row r="43" spans="1:26" ht="24" customHeight="1" x14ac:dyDescent="0.3">
      <c r="A43" s="486" t="s">
        <v>2428</v>
      </c>
      <c r="B43" s="487" t="str">
        <f>ROUND('M5-ICPI'!G29,2)&amp;"%"</f>
        <v>38,28%</v>
      </c>
      <c r="C43" s="488" t="str">
        <f>"≥ "&amp;TEXT('M-TECH-PARAMS'!B7*100,"0,00")&amp;"% ICM"</f>
        <v>≥ 100,00% ICM</v>
      </c>
      <c r="D43" s="489" t="str">
        <f>IF('M5-ICPI'!G29&gt;='M-TECH-PARAMS'!B7*100,"✅ ICM alcanzado",IF('M5-ICPI'!G29&gt;=70,"🟡 Mandato",IF('M5-ICPI'!G29&gt;=40,"🟠 Transición Crítica","🔴 Ocurrencia/Ruptura")))</f>
        <v>🔴 Ocurrencia/Ruptura</v>
      </c>
      <c r="E43" s="490" t="s">
        <v>2668</v>
      </c>
      <c r="F43" s="479"/>
      <c r="G43" s="379"/>
      <c r="H43" s="384"/>
      <c r="I43" s="384"/>
      <c r="J43" s="384"/>
      <c r="K43" s="242"/>
      <c r="L43" s="242"/>
      <c r="M43" s="242"/>
      <c r="N43" s="242"/>
      <c r="O43" s="242"/>
      <c r="P43" s="242"/>
      <c r="Q43" s="242"/>
      <c r="R43" s="242"/>
      <c r="S43" s="242"/>
      <c r="T43" s="242"/>
      <c r="U43" s="242"/>
      <c r="V43" s="242"/>
      <c r="W43" s="242"/>
      <c r="X43" s="242"/>
      <c r="Y43" s="242"/>
      <c r="Z43" s="243"/>
    </row>
    <row r="44" spans="1:26" ht="24" customHeight="1" x14ac:dyDescent="0.3">
      <c r="A44" s="491" t="s">
        <v>2669</v>
      </c>
      <c r="B44" s="492" t="str">
        <f>COUNTIF('SUPPORT-SEM'!D13:D24,"🔴 INACEPTABLE")&amp;" / "&amp;COUNTA('SUPPORT-SEM'!A13:A24)</f>
        <v>9 / 12</v>
      </c>
      <c r="C44" s="493" t="s">
        <v>2670</v>
      </c>
      <c r="D44" s="494" t="str">
        <f>IF(COUNTIF('SUPPORT-SEM'!D13:D24,"🔴 INACEPTABLE")=0,"✅ OK","🔴 "&amp;COUNTIF('SUPPORT-SEM'!D13:D24,"🔴 INACEPTABLE")&amp;" sumarios LOSEP Art.80")</f>
        <v>🔴 9 sumarios LOSEP Art.80</v>
      </c>
      <c r="E44" s="495" t="s">
        <v>2671</v>
      </c>
      <c r="F44" s="478"/>
      <c r="G44" s="378"/>
      <c r="H44" s="384"/>
      <c r="I44" s="384"/>
      <c r="J44" s="384"/>
      <c r="K44" s="242"/>
      <c r="L44" s="242"/>
      <c r="M44" s="242"/>
      <c r="N44" s="242"/>
      <c r="O44" s="242"/>
      <c r="P44" s="242"/>
      <c r="Q44" s="242"/>
      <c r="R44" s="242"/>
      <c r="S44" s="242"/>
      <c r="T44" s="242"/>
      <c r="U44" s="242"/>
      <c r="V44" s="242"/>
      <c r="W44" s="242"/>
      <c r="X44" s="242"/>
      <c r="Y44" s="242"/>
      <c r="Z44" s="243"/>
    </row>
    <row r="45" spans="1:26" ht="24" customHeight="1" x14ac:dyDescent="0.3">
      <c r="A45" s="496" t="s">
        <v>2672</v>
      </c>
      <c r="B45" s="487" t="str">
        <f>(COUNTA('M4-AUDIT'!A5:A24)-COUNTIF('M4-AUDIT'!X5:X24,1))&amp;" / 20"</f>
        <v>12 / 20</v>
      </c>
      <c r="C45" s="488" t="s">
        <v>2673</v>
      </c>
      <c r="D45" s="497" t="str">
        <f>IF(COUNTIF('M4-AUDIT'!X5:X24,1)=20,"✅ Cadena completa","🔴 "&amp;(COUNTA('M4-AUDIT'!A5:A24)-COUNTIF('M4-AUDIT'!X5:X24,1))&amp;" metas sin CININ íntegra")</f>
        <v>🔴 12 metas sin CININ íntegra</v>
      </c>
      <c r="E45" s="490" t="s">
        <v>2674</v>
      </c>
      <c r="F45" s="479"/>
      <c r="G45" s="379"/>
      <c r="H45" s="384"/>
      <c r="I45" s="384"/>
      <c r="J45" s="384"/>
      <c r="K45" s="242"/>
      <c r="L45" s="242"/>
      <c r="M45" s="242"/>
      <c r="N45" s="242"/>
      <c r="O45" s="242"/>
      <c r="P45" s="242"/>
      <c r="Q45" s="242"/>
      <c r="R45" s="242"/>
      <c r="S45" s="242"/>
      <c r="T45" s="242"/>
      <c r="U45" s="242"/>
      <c r="V45" s="242"/>
      <c r="W45" s="242"/>
      <c r="X45" s="242"/>
      <c r="Y45" s="242"/>
      <c r="Z45" s="243"/>
    </row>
    <row r="46" spans="1:26" ht="24" customHeight="1" x14ac:dyDescent="0.3">
      <c r="A46" s="491" t="s">
        <v>2675</v>
      </c>
      <c r="B46" s="498" t="str">
        <f>TEXT('DATA-CED'!Q25,"0.0%")</f>
        <v>61%</v>
      </c>
      <c r="C46" s="493" t="s">
        <v>2676</v>
      </c>
      <c r="D46" s="499" t="str">
        <f>IF('DATA-CED'!Q25&gt;=0.7,"✅ Ejecución OK — ≥70%","🟠 Ejecución "&amp;TEXT('DATA-CED'!Q25,"0.0%")&amp;" — &lt; 70%")</f>
        <v>🟠 Ejecución 61% — &lt; 70%</v>
      </c>
      <c r="E46" s="500" t="s">
        <v>2677</v>
      </c>
      <c r="F46" s="478"/>
      <c r="G46" s="378"/>
      <c r="H46" s="384"/>
      <c r="I46" s="384"/>
      <c r="J46" s="384"/>
      <c r="K46" s="242"/>
      <c r="L46" s="242"/>
      <c r="M46" s="242"/>
      <c r="N46" s="242"/>
      <c r="O46" s="242"/>
      <c r="P46" s="242"/>
      <c r="Q46" s="242"/>
      <c r="R46" s="242"/>
      <c r="S46" s="242"/>
      <c r="T46" s="242"/>
      <c r="U46" s="242"/>
      <c r="V46" s="242"/>
      <c r="W46" s="242"/>
      <c r="X46" s="242"/>
      <c r="Y46" s="242"/>
      <c r="Z46" s="243"/>
    </row>
    <row r="47" spans="1:26" ht="24" customHeight="1" thickBot="1" x14ac:dyDescent="0.35">
      <c r="A47" s="501" t="s">
        <v>2678</v>
      </c>
      <c r="B47" s="502" t="str">
        <f>COUNTIF('DATA-CED'!D5:D24,"⏳ Pendiente SIGPIP")&amp;" / 20"</f>
        <v>0 / 20</v>
      </c>
      <c r="C47" s="503" t="s">
        <v>2673</v>
      </c>
      <c r="D47" s="504" t="s">
        <v>2679</v>
      </c>
      <c r="E47" s="505" t="s">
        <v>2680</v>
      </c>
      <c r="F47" s="480"/>
      <c r="G47" s="380"/>
      <c r="H47" s="385"/>
      <c r="I47" s="385"/>
      <c r="J47" s="385"/>
      <c r="K47" s="246"/>
      <c r="L47" s="246"/>
      <c r="M47" s="246"/>
      <c r="N47" s="246"/>
      <c r="O47" s="246"/>
      <c r="P47" s="246"/>
      <c r="Q47" s="246"/>
      <c r="R47" s="246"/>
      <c r="S47" s="246"/>
      <c r="T47" s="246"/>
      <c r="U47" s="246"/>
      <c r="V47" s="246"/>
      <c r="W47" s="246"/>
      <c r="X47" s="246"/>
      <c r="Y47" s="246"/>
      <c r="Z47" s="247"/>
    </row>
  </sheetData>
  <mergeCells count="7">
    <mergeCell ref="A39:Z39"/>
    <mergeCell ref="A41:Z41"/>
    <mergeCell ref="A1:Z1"/>
    <mergeCell ref="A3:Z3"/>
    <mergeCell ref="A4:Z4"/>
    <mergeCell ref="A22:Z22"/>
    <mergeCell ref="A31:Z31"/>
  </mergeCells>
  <conditionalFormatting sqref="A6:A19">
    <cfRule type="containsText" dxfId="172" priority="1" operator="containsText" text="CRÍTICA">
      <formula>NOT(ISERROR(SEARCH("CRÍTICA",A6)))</formula>
    </cfRule>
    <cfRule type="containsText" dxfId="171" priority="2" operator="containsText" text="ALTA">
      <formula>NOT(ISERROR(SEARCH("ALTA",A6)))</formula>
    </cfRule>
    <cfRule type="containsText" dxfId="170" priority="3" operator="containsText" text="MEDIA">
      <formula>NOT(ISERROR(SEARCH("MEDIA",A6)))</formula>
    </cfRule>
    <cfRule type="containsText" dxfId="169" priority="4" operator="containsText" text="BAJA">
      <formula>NOT(ISERROR(SEARCH("BAJA",A6)))</formula>
    </cfRule>
    <cfRule type="containsText" dxfId="168" priority="5" operator="containsText" text="EXCELENCIA">
      <formula>NOT(ISERROR(SEARCH("EXCELENCIA",A6)))</formula>
    </cfRule>
  </conditionalFormatting>
  <conditionalFormatting sqref="A33:A37">
    <cfRule type="containsText" dxfId="167" priority="9" operator="containsText" text="CRÍTICA">
      <formula>NOT(ISERROR(SEARCH("CRÍTICA",A33)))</formula>
    </cfRule>
    <cfRule type="containsText" dxfId="166" priority="10" operator="containsText" text="ALTA">
      <formula>NOT(ISERROR(SEARCH("ALTA",A33)))</formula>
    </cfRule>
    <cfRule type="containsText" dxfId="165" priority="11" operator="containsText" text="MEDIA">
      <formula>NOT(ISERROR(SEARCH("MEDIA",A33)))</formula>
    </cfRule>
    <cfRule type="containsText" dxfId="164" priority="12" operator="containsText" text="BAJA">
      <formula>NOT(ISERROR(SEARCH("BAJA",A33)))</formula>
    </cfRule>
    <cfRule type="containsText" dxfId="163" priority="13" operator="containsText" text="EXCELENCIA">
      <formula>NOT(ISERROR(SEARCH("EXCELENCIA",A33)))</formula>
    </cfRule>
  </conditionalFormatting>
  <conditionalFormatting sqref="D43:D47">
    <cfRule type="containsText" dxfId="162" priority="14" operator="containsText" text="🔴">
      <formula>NOT(ISERROR(SEARCH("🔴",D43)))</formula>
    </cfRule>
    <cfRule type="containsText" dxfId="161" priority="15" operator="containsText" text="🟠">
      <formula>NOT(ISERROR(SEARCH("🟠",D43)))</formula>
    </cfRule>
    <cfRule type="containsText" dxfId="160" priority="16" operator="containsText" text="🟡">
      <formula>NOT(ISERROR(SEARCH("🟡",D43)))</formula>
    </cfRule>
    <cfRule type="containsText" dxfId="159" priority="17" operator="containsText" text="✅">
      <formula>NOT(ISERROR(SEARCH("✅",D43)))</formula>
    </cfRule>
  </conditionalFormatting>
  <conditionalFormatting sqref="F6:F19">
    <cfRule type="containsText" dxfId="158" priority="6" operator="containsText" text="Abierta">
      <formula>NOT(ISERROR(SEARCH("Abierta",F6)))</formula>
    </cfRule>
    <cfRule type="containsText" dxfId="157" priority="7" operator="containsText" text="En gestión">
      <formula>NOT(ISERROR(SEARCH("En gestión",F6)))</formula>
    </cfRule>
    <cfRule type="containsText" dxfId="156" priority="8" operator="containsText" text="Resuelta">
      <formula>NOT(ISERROR(SEARCH("Resuelta",F6)))</formula>
    </cfRule>
  </conditionalFormatting>
  <dataValidations count="1">
    <dataValidation type="list" allowBlank="1" showInputMessage="1" showErrorMessage="1" sqref="F6:F19" xr:uid="{00000000-0002-0000-2000-000000000000}">
      <formula1>"🔴 Abierta,🟡 En gestión,✅ Resuelta"</formula1>
    </dataValidation>
  </dataValidation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EAD1DC"/>
  </sheetPr>
  <dimension ref="A1:Z88"/>
  <sheetViews>
    <sheetView showGridLines="0" topLeftCell="B4" zoomScale="17" zoomScaleNormal="17" workbookViewId="0">
      <pane xSplit="1" ySplit="1" topLeftCell="C5" activePane="bottomRight" state="frozen"/>
      <selection activeCell="B4" sqref="B4"/>
      <selection pane="topRight" activeCell="C4" sqref="C4"/>
      <selection pane="bottomLeft" activeCell="B5" sqref="B5"/>
      <selection pane="bottomRight" activeCell="C13" sqref="C13:D13"/>
    </sheetView>
  </sheetViews>
  <sheetFormatPr baseColWidth="10" defaultRowHeight="14.4" x14ac:dyDescent="0.3"/>
  <cols>
    <col min="1" max="1" width="9.21875" customWidth="1"/>
    <col min="2" max="2" width="28.6640625" customWidth="1"/>
    <col min="3" max="3" width="19.44140625" customWidth="1"/>
    <col min="4" max="4" width="13.88671875" customWidth="1"/>
    <col min="5" max="5" width="17.5546875" customWidth="1"/>
    <col min="6" max="6" width="21.33203125" customWidth="1"/>
    <col min="7" max="7" width="25" customWidth="1"/>
    <col min="8" max="8" width="19.44140625" customWidth="1"/>
    <col min="9" max="9" width="17.5546875" customWidth="1"/>
    <col min="10" max="11" width="14.77734375" customWidth="1"/>
    <col min="12" max="12" width="13" customWidth="1"/>
    <col min="13" max="13" width="13.88671875" customWidth="1"/>
    <col min="14" max="14" width="20.33203125" customWidth="1"/>
    <col min="15" max="15" width="21.33203125" customWidth="1"/>
    <col min="17" max="17" width="15.77734375" customWidth="1"/>
    <col min="18" max="18" width="25" customWidth="1"/>
    <col min="26" max="26" width="8.33203125" bestFit="1" customWidth="1"/>
  </cols>
  <sheetData>
    <row r="1" spans="1:26" ht="28.05" customHeight="1" x14ac:dyDescent="0.3">
      <c r="A1" s="3753" t="s">
        <v>4843</v>
      </c>
      <c r="B1" s="3753"/>
      <c r="C1" s="3753"/>
      <c r="D1" s="3753"/>
      <c r="E1" s="3753"/>
      <c r="F1" s="3753"/>
      <c r="G1" s="3753"/>
      <c r="H1" s="3753"/>
      <c r="I1" s="3753"/>
      <c r="J1" s="3753"/>
      <c r="K1" s="3753"/>
      <c r="L1" s="3753"/>
      <c r="M1" s="3753"/>
      <c r="N1" s="3753"/>
      <c r="O1" s="3753"/>
      <c r="P1" s="3753"/>
      <c r="Q1" s="3753"/>
      <c r="R1" s="3753"/>
      <c r="S1" s="3753"/>
      <c r="T1" s="3753"/>
      <c r="U1" s="3753"/>
      <c r="V1" s="3753"/>
      <c r="W1" s="3753"/>
      <c r="X1" s="3753"/>
      <c r="Y1" s="3753"/>
      <c r="Z1" s="3753"/>
    </row>
    <row r="2" spans="1:26" ht="19.95" customHeight="1" x14ac:dyDescent="0.3">
      <c r="A2" s="139" t="str">
        <f>HYPERLINK("#'M-INDEX'!A1","⌂ INDICE")</f>
        <v>⌂ INDICE</v>
      </c>
      <c r="B2" s="140" t="str">
        <f>HYPERLINK("#'M1-ITME'!A1","M1")</f>
        <v>M1</v>
      </c>
      <c r="C2" s="140" t="str">
        <f>HYPERLINK("#'M2-PDOT'!A1","M2")</f>
        <v>M2</v>
      </c>
      <c r="D2" s="140" t="str">
        <f>HYPERLINK("#'M3-MAO'!A1","M3")</f>
        <v>M3</v>
      </c>
      <c r="E2" s="140" t="str">
        <f>HYPERLINK("#'M4-AUDIT'!A1","M4")</f>
        <v>M4</v>
      </c>
      <c r="F2" s="140" t="str">
        <f>HYPERLINK("#'M5-ICPI'!A1","M5")</f>
        <v>M5</v>
      </c>
      <c r="G2" s="140" t="str">
        <f>HYPERLINK("#'M6-FEDS'!A1","M6")</f>
        <v>M6</v>
      </c>
      <c r="H2" s="140" t="str">
        <f>HYPERLINK("#'M7-PROSP'!A1","M7")</f>
        <v>M7</v>
      </c>
      <c r="I2" s="140" t="str">
        <f>HYPERLINK("#'DATA-POA'!A1","DATA-POA")</f>
        <v>DATA-POA</v>
      </c>
      <c r="J2" s="140" t="str">
        <f>HYPERLINK("#'DATA-CNE'!A1","DATA-CNE")</f>
        <v>DATA-CNE</v>
      </c>
      <c r="K2" s="140" t="str">
        <f>HYPERLINK("#'DATA-ORG'!A1","DATA-ORG")</f>
        <v>DATA-ORG</v>
      </c>
      <c r="L2" s="140" t="str">
        <f>HYPERLINK("#'M-DASHBOARD'!A1","DASH")</f>
        <v>DASH</v>
      </c>
      <c r="M2" s="141"/>
      <c r="N2" s="141"/>
      <c r="O2" s="141"/>
      <c r="P2" s="141"/>
      <c r="Q2" s="141"/>
      <c r="R2" s="141"/>
      <c r="S2" s="141"/>
      <c r="T2" s="141"/>
      <c r="U2" s="141"/>
      <c r="V2" s="141"/>
      <c r="W2" s="141"/>
      <c r="X2" s="141"/>
      <c r="Y2" s="141"/>
      <c r="Z2" s="141"/>
    </row>
    <row r="3" spans="1:26" ht="16.05" customHeight="1" thickBot="1" x14ac:dyDescent="0.35">
      <c r="A3" s="3972" t="s">
        <v>4246</v>
      </c>
      <c r="B3" s="3973"/>
      <c r="C3" s="3973"/>
      <c r="D3" s="3973"/>
      <c r="E3" s="3973"/>
      <c r="F3" s="3973"/>
      <c r="G3" s="3973"/>
      <c r="H3" s="3973"/>
      <c r="I3" s="3973"/>
      <c r="J3" s="3973"/>
      <c r="K3" s="3973"/>
      <c r="L3" s="3973"/>
      <c r="M3" s="3973"/>
      <c r="N3" s="3973"/>
      <c r="O3" s="3973"/>
      <c r="P3" s="4011"/>
      <c r="Q3" s="4011"/>
      <c r="R3" s="4011"/>
      <c r="S3" s="4011"/>
      <c r="T3" s="4011"/>
      <c r="U3" s="4011"/>
      <c r="V3" s="4011"/>
      <c r="W3" s="4011"/>
      <c r="X3" s="4011"/>
      <c r="Y3" s="4011"/>
      <c r="Z3" s="4011"/>
    </row>
    <row r="4" spans="1:26" ht="19.95" customHeight="1" thickTop="1" x14ac:dyDescent="0.3">
      <c r="A4" s="3980" t="s">
        <v>2765</v>
      </c>
      <c r="B4" s="3981"/>
      <c r="C4" s="3981"/>
      <c r="D4" s="3981"/>
      <c r="E4" s="3981"/>
      <c r="F4" s="3981"/>
      <c r="G4" s="3981"/>
      <c r="H4" s="3981"/>
      <c r="I4" s="3981"/>
      <c r="J4" s="3981"/>
      <c r="K4" s="3981"/>
      <c r="L4" s="3981"/>
      <c r="M4" s="3981"/>
      <c r="N4" s="3981"/>
      <c r="O4" s="3982"/>
      <c r="P4" s="4012"/>
      <c r="Q4" s="4012"/>
      <c r="R4" s="4012"/>
      <c r="S4" s="4012"/>
      <c r="T4" s="4012"/>
      <c r="U4" s="4012"/>
      <c r="V4" s="4012"/>
      <c r="W4" s="4012"/>
      <c r="X4" s="4012"/>
      <c r="Y4" s="4012"/>
      <c r="Z4" s="4013"/>
    </row>
    <row r="5" spans="1:26" ht="36" customHeight="1" x14ac:dyDescent="0.3">
      <c r="A5" s="537" t="s">
        <v>690</v>
      </c>
      <c r="B5" s="391" t="s">
        <v>2766</v>
      </c>
      <c r="C5" s="391" t="s">
        <v>2767</v>
      </c>
      <c r="D5" s="391" t="s">
        <v>2768</v>
      </c>
      <c r="E5" s="391" t="s">
        <v>1287</v>
      </c>
      <c r="F5" s="391" t="s">
        <v>2769</v>
      </c>
      <c r="G5" s="391" t="s">
        <v>2770</v>
      </c>
      <c r="H5" s="391" t="s">
        <v>2771</v>
      </c>
      <c r="I5" s="391" t="s">
        <v>2772</v>
      </c>
      <c r="J5" s="391" t="s">
        <v>1738</v>
      </c>
      <c r="K5" s="281" t="s">
        <v>2109</v>
      </c>
      <c r="L5" s="281" t="s">
        <v>2773</v>
      </c>
      <c r="M5" s="281" t="s">
        <v>2774</v>
      </c>
      <c r="N5" s="281" t="s">
        <v>700</v>
      </c>
      <c r="O5" s="282" t="s">
        <v>2775</v>
      </c>
      <c r="P5" s="234"/>
      <c r="Q5" s="367" t="s">
        <v>4993</v>
      </c>
      <c r="R5" s="235"/>
      <c r="S5" s="235"/>
      <c r="T5" s="235"/>
      <c r="U5" s="235"/>
      <c r="V5" s="235"/>
      <c r="W5" s="235"/>
      <c r="X5" s="235"/>
      <c r="Y5" s="235"/>
      <c r="Z5" s="236"/>
    </row>
    <row r="6" spans="1:26" s="11" customFormat="1" ht="28.05" customHeight="1" x14ac:dyDescent="0.3">
      <c r="A6" s="538">
        <v>1</v>
      </c>
      <c r="B6" s="539" t="s">
        <v>2776</v>
      </c>
      <c r="C6" s="540" t="s">
        <v>2777</v>
      </c>
      <c r="D6" s="540" t="s">
        <v>2778</v>
      </c>
      <c r="E6" s="541" t="s">
        <v>2779</v>
      </c>
      <c r="F6" s="542" t="s">
        <v>2780</v>
      </c>
      <c r="G6" s="539" t="s">
        <v>2781</v>
      </c>
      <c r="H6" s="540" t="s">
        <v>2782</v>
      </c>
      <c r="I6" s="543" t="s">
        <v>2783</v>
      </c>
      <c r="J6" s="544" t="s">
        <v>2784</v>
      </c>
      <c r="K6" s="285"/>
      <c r="L6" s="285" t="s">
        <v>103</v>
      </c>
      <c r="M6" s="285" t="s">
        <v>103</v>
      </c>
      <c r="N6" s="284" t="s">
        <v>2785</v>
      </c>
      <c r="O6" s="545" t="s">
        <v>2786</v>
      </c>
      <c r="P6" s="237"/>
      <c r="Q6" s="684" t="s">
        <v>96</v>
      </c>
      <c r="R6" s="685" t="s">
        <v>4994</v>
      </c>
      <c r="S6" s="238"/>
      <c r="T6" s="238"/>
      <c r="U6" s="238"/>
      <c r="V6" s="238"/>
      <c r="W6" s="238"/>
      <c r="X6" s="238"/>
      <c r="Y6" s="238"/>
      <c r="Z6" s="239"/>
    </row>
    <row r="7" spans="1:26" s="11" customFormat="1" ht="28.05" customHeight="1" x14ac:dyDescent="0.3">
      <c r="A7" s="546">
        <v>2</v>
      </c>
      <c r="B7" s="547" t="s">
        <v>2787</v>
      </c>
      <c r="C7" s="435" t="s">
        <v>2777</v>
      </c>
      <c r="D7" s="435" t="s">
        <v>2788</v>
      </c>
      <c r="E7" s="548" t="s">
        <v>2779</v>
      </c>
      <c r="F7" s="549" t="s">
        <v>2789</v>
      </c>
      <c r="G7" s="547" t="s">
        <v>2790</v>
      </c>
      <c r="H7" s="435" t="s">
        <v>2791</v>
      </c>
      <c r="I7" s="436" t="s">
        <v>2792</v>
      </c>
      <c r="J7" s="550" t="s">
        <v>96</v>
      </c>
      <c r="K7" s="295"/>
      <c r="L7" s="295" t="s">
        <v>103</v>
      </c>
      <c r="M7" s="295" t="s">
        <v>103</v>
      </c>
      <c r="N7" s="294" t="s">
        <v>2785</v>
      </c>
      <c r="O7" s="551" t="s">
        <v>2793</v>
      </c>
      <c r="P7" s="237"/>
      <c r="Q7" s="686" t="s">
        <v>98</v>
      </c>
      <c r="R7" s="687" t="s">
        <v>4995</v>
      </c>
      <c r="S7" s="238"/>
      <c r="T7" s="238"/>
      <c r="U7" s="238"/>
      <c r="V7" s="238"/>
      <c r="W7" s="238"/>
      <c r="X7" s="238"/>
      <c r="Y7" s="238"/>
      <c r="Z7" s="239"/>
    </row>
    <row r="8" spans="1:26" s="11" customFormat="1" ht="28.05" customHeight="1" x14ac:dyDescent="0.3">
      <c r="A8" s="538">
        <v>3</v>
      </c>
      <c r="B8" s="539" t="s">
        <v>2794</v>
      </c>
      <c r="C8" s="540" t="s">
        <v>2777</v>
      </c>
      <c r="D8" s="540" t="s">
        <v>2795</v>
      </c>
      <c r="E8" s="541" t="s">
        <v>2796</v>
      </c>
      <c r="F8" s="542" t="s">
        <v>2797</v>
      </c>
      <c r="G8" s="539" t="s">
        <v>2798</v>
      </c>
      <c r="H8" s="540" t="s">
        <v>2799</v>
      </c>
      <c r="I8" s="544" t="s">
        <v>2800</v>
      </c>
      <c r="J8" s="544" t="s">
        <v>96</v>
      </c>
      <c r="K8" s="285"/>
      <c r="L8" s="285" t="s">
        <v>103</v>
      </c>
      <c r="M8" s="285" t="s">
        <v>103</v>
      </c>
      <c r="N8" s="284" t="s">
        <v>2785</v>
      </c>
      <c r="O8" s="545" t="s">
        <v>2801</v>
      </c>
      <c r="P8" s="237"/>
      <c r="Q8" s="370" t="s">
        <v>1174</v>
      </c>
      <c r="R8" s="371" t="s">
        <v>4996</v>
      </c>
      <c r="S8" s="238"/>
      <c r="T8" s="238"/>
      <c r="U8" s="238"/>
      <c r="V8" s="238"/>
      <c r="W8" s="238"/>
      <c r="X8" s="238"/>
      <c r="Y8" s="238"/>
      <c r="Z8" s="239"/>
    </row>
    <row r="9" spans="1:26" s="11" customFormat="1" ht="28.05" customHeight="1" x14ac:dyDescent="0.3">
      <c r="A9" s="546">
        <v>4</v>
      </c>
      <c r="B9" s="547" t="s">
        <v>2802</v>
      </c>
      <c r="C9" s="435" t="s">
        <v>2777</v>
      </c>
      <c r="D9" s="435" t="s">
        <v>2803</v>
      </c>
      <c r="E9" s="548" t="s">
        <v>2796</v>
      </c>
      <c r="F9" s="549" t="s">
        <v>2797</v>
      </c>
      <c r="G9" s="547" t="s">
        <v>2804</v>
      </c>
      <c r="H9" s="435" t="s">
        <v>2805</v>
      </c>
      <c r="I9" s="436" t="s">
        <v>2806</v>
      </c>
      <c r="J9" s="550" t="s">
        <v>96</v>
      </c>
      <c r="K9" s="295"/>
      <c r="L9" s="295" t="s">
        <v>103</v>
      </c>
      <c r="M9" s="295" t="s">
        <v>103</v>
      </c>
      <c r="N9" s="294" t="s">
        <v>2785</v>
      </c>
      <c r="O9" s="551" t="s">
        <v>2807</v>
      </c>
      <c r="P9" s="237"/>
      <c r="Q9" s="369" t="s">
        <v>2615</v>
      </c>
      <c r="R9" s="256" t="s">
        <v>4997</v>
      </c>
      <c r="S9" s="238"/>
      <c r="T9" s="238"/>
      <c r="U9" s="238"/>
      <c r="V9" s="238"/>
      <c r="W9" s="238"/>
      <c r="X9" s="238"/>
      <c r="Y9" s="238"/>
      <c r="Z9" s="239"/>
    </row>
    <row r="10" spans="1:26" s="11" customFormat="1" ht="28.05" customHeight="1" x14ac:dyDescent="0.3">
      <c r="A10" s="538">
        <v>5</v>
      </c>
      <c r="B10" s="539" t="s">
        <v>2808</v>
      </c>
      <c r="C10" s="540" t="s">
        <v>2809</v>
      </c>
      <c r="D10" s="540" t="s">
        <v>2795</v>
      </c>
      <c r="E10" s="541" t="s">
        <v>2796</v>
      </c>
      <c r="F10" s="542" t="s">
        <v>2810</v>
      </c>
      <c r="G10" s="539" t="s">
        <v>2811</v>
      </c>
      <c r="H10" s="540" t="s">
        <v>2812</v>
      </c>
      <c r="I10" s="543" t="s">
        <v>2813</v>
      </c>
      <c r="J10" s="544" t="s">
        <v>96</v>
      </c>
      <c r="K10" s="285"/>
      <c r="L10" s="285" t="s">
        <v>103</v>
      </c>
      <c r="M10" s="285" t="s">
        <v>103</v>
      </c>
      <c r="N10" s="284" t="s">
        <v>2814</v>
      </c>
      <c r="O10" s="545" t="s">
        <v>2815</v>
      </c>
      <c r="P10" s="237"/>
      <c r="Q10" s="368" t="s">
        <v>2648</v>
      </c>
      <c r="R10" s="253" t="s">
        <v>4998</v>
      </c>
      <c r="S10" s="238"/>
      <c r="T10" s="238"/>
      <c r="U10" s="238"/>
      <c r="V10" s="238"/>
      <c r="W10" s="238"/>
      <c r="X10" s="238"/>
      <c r="Y10" s="238"/>
      <c r="Z10" s="239"/>
    </row>
    <row r="11" spans="1:26" s="11" customFormat="1" ht="28.05" customHeight="1" x14ac:dyDescent="0.3">
      <c r="A11" s="546">
        <v>6</v>
      </c>
      <c r="B11" s="547" t="s">
        <v>2816</v>
      </c>
      <c r="C11" s="435" t="s">
        <v>2809</v>
      </c>
      <c r="D11" s="435" t="s">
        <v>2803</v>
      </c>
      <c r="E11" s="548" t="s">
        <v>2796</v>
      </c>
      <c r="F11" s="549" t="s">
        <v>2817</v>
      </c>
      <c r="G11" s="547" t="s">
        <v>2818</v>
      </c>
      <c r="H11" s="435" t="s">
        <v>2819</v>
      </c>
      <c r="I11" s="436" t="s">
        <v>2820</v>
      </c>
      <c r="J11" s="550" t="s">
        <v>96</v>
      </c>
      <c r="K11" s="295"/>
      <c r="L11" s="295" t="s">
        <v>103</v>
      </c>
      <c r="M11" s="295" t="s">
        <v>103</v>
      </c>
      <c r="N11" s="294" t="s">
        <v>2814</v>
      </c>
      <c r="O11" s="551" t="s">
        <v>2821</v>
      </c>
      <c r="P11" s="237"/>
      <c r="Q11" s="369" t="s">
        <v>4999</v>
      </c>
      <c r="R11" s="256" t="s">
        <v>5000</v>
      </c>
      <c r="S11" s="238"/>
      <c r="T11" s="238"/>
      <c r="U11" s="238"/>
      <c r="V11" s="238"/>
      <c r="W11" s="238"/>
      <c r="X11" s="238"/>
      <c r="Y11" s="238"/>
      <c r="Z11" s="239"/>
    </row>
    <row r="12" spans="1:26" s="11" customFormat="1" ht="28.05" customHeight="1" x14ac:dyDescent="0.3">
      <c r="A12" s="538">
        <v>7</v>
      </c>
      <c r="B12" s="539" t="s">
        <v>2822</v>
      </c>
      <c r="C12" s="540" t="s">
        <v>2809</v>
      </c>
      <c r="D12" s="540" t="s">
        <v>2778</v>
      </c>
      <c r="E12" s="541" t="s">
        <v>2779</v>
      </c>
      <c r="F12" s="542" t="s">
        <v>2823</v>
      </c>
      <c r="G12" s="539" t="s">
        <v>2824</v>
      </c>
      <c r="H12" s="540" t="s">
        <v>2825</v>
      </c>
      <c r="I12" s="543" t="s">
        <v>2826</v>
      </c>
      <c r="J12" s="544" t="s">
        <v>98</v>
      </c>
      <c r="K12" s="285"/>
      <c r="L12" s="285" t="s">
        <v>103</v>
      </c>
      <c r="M12" s="285" t="s">
        <v>103</v>
      </c>
      <c r="N12" s="284" t="s">
        <v>2827</v>
      </c>
      <c r="O12" s="545" t="s">
        <v>2828</v>
      </c>
      <c r="P12" s="237"/>
      <c r="Q12" s="374" t="s">
        <v>5001</v>
      </c>
      <c r="R12" s="261" t="s">
        <v>5002</v>
      </c>
      <c r="S12" s="238"/>
      <c r="T12" s="238"/>
      <c r="U12" s="238"/>
      <c r="V12" s="238"/>
      <c r="W12" s="238"/>
      <c r="X12" s="238"/>
      <c r="Y12" s="238"/>
      <c r="Z12" s="239"/>
    </row>
    <row r="13" spans="1:26" s="11" customFormat="1" ht="28.05" customHeight="1" x14ac:dyDescent="0.3">
      <c r="A13" s="546">
        <v>8</v>
      </c>
      <c r="B13" s="547" t="s">
        <v>2829</v>
      </c>
      <c r="C13" s="435" t="s">
        <v>2809</v>
      </c>
      <c r="D13" s="435" t="s">
        <v>2788</v>
      </c>
      <c r="E13" s="548" t="s">
        <v>2779</v>
      </c>
      <c r="F13" s="549" t="s">
        <v>2823</v>
      </c>
      <c r="G13" s="547" t="s">
        <v>2830</v>
      </c>
      <c r="H13" s="435" t="s">
        <v>2825</v>
      </c>
      <c r="I13" s="436" t="s">
        <v>2831</v>
      </c>
      <c r="J13" s="550" t="s">
        <v>98</v>
      </c>
      <c r="K13" s="295"/>
      <c r="L13" s="295" t="s">
        <v>103</v>
      </c>
      <c r="M13" s="295" t="s">
        <v>103</v>
      </c>
      <c r="N13" s="294" t="s">
        <v>2827</v>
      </c>
      <c r="O13" s="551" t="s">
        <v>2832</v>
      </c>
      <c r="P13" s="237"/>
      <c r="Q13" s="238"/>
      <c r="R13" s="238"/>
      <c r="S13" s="238"/>
      <c r="T13" s="238"/>
      <c r="U13" s="238"/>
      <c r="V13" s="238"/>
      <c r="W13" s="238"/>
      <c r="X13" s="238"/>
      <c r="Y13" s="238"/>
      <c r="Z13" s="239"/>
    </row>
    <row r="14" spans="1:26" s="11" customFormat="1" ht="28.05" customHeight="1" x14ac:dyDescent="0.3">
      <c r="A14" s="538">
        <v>9</v>
      </c>
      <c r="B14" s="539" t="s">
        <v>2833</v>
      </c>
      <c r="C14" s="540" t="s">
        <v>2777</v>
      </c>
      <c r="D14" s="540">
        <v>2023</v>
      </c>
      <c r="E14" s="541" t="s">
        <v>2834</v>
      </c>
      <c r="F14" s="542" t="s">
        <v>2835</v>
      </c>
      <c r="G14" s="539" t="s">
        <v>2836</v>
      </c>
      <c r="H14" s="540" t="s">
        <v>2837</v>
      </c>
      <c r="I14" s="543" t="s">
        <v>2838</v>
      </c>
      <c r="J14" s="544" t="s">
        <v>98</v>
      </c>
      <c r="K14" s="289" t="s">
        <v>2839</v>
      </c>
      <c r="L14" s="285" t="s">
        <v>103</v>
      </c>
      <c r="M14" s="285" t="s">
        <v>307</v>
      </c>
      <c r="N14" s="284" t="s">
        <v>2785</v>
      </c>
      <c r="O14" s="545" t="s">
        <v>2840</v>
      </c>
      <c r="P14" s="237"/>
      <c r="Q14" s="238"/>
      <c r="R14" s="238"/>
      <c r="S14" s="238"/>
      <c r="T14" s="238"/>
      <c r="U14" s="238"/>
      <c r="V14" s="238"/>
      <c r="W14" s="238"/>
      <c r="X14" s="238"/>
      <c r="Y14" s="238"/>
      <c r="Z14" s="239"/>
    </row>
    <row r="15" spans="1:26" s="11" customFormat="1" ht="28.05" customHeight="1" thickBot="1" x14ac:dyDescent="0.35">
      <c r="A15" s="552">
        <v>10</v>
      </c>
      <c r="B15" s="553" t="s">
        <v>2841</v>
      </c>
      <c r="C15" s="554" t="s">
        <v>2777</v>
      </c>
      <c r="D15" s="554">
        <v>2024</v>
      </c>
      <c r="E15" s="555" t="s">
        <v>2834</v>
      </c>
      <c r="F15" s="556" t="s">
        <v>2835</v>
      </c>
      <c r="G15" s="553" t="s">
        <v>2842</v>
      </c>
      <c r="H15" s="554" t="s">
        <v>2837</v>
      </c>
      <c r="I15" s="557" t="s">
        <v>2843</v>
      </c>
      <c r="J15" s="558" t="s">
        <v>96</v>
      </c>
      <c r="K15" s="559" t="s">
        <v>2839</v>
      </c>
      <c r="L15" s="306" t="s">
        <v>103</v>
      </c>
      <c r="M15" s="306" t="s">
        <v>307</v>
      </c>
      <c r="N15" s="305" t="s">
        <v>2785</v>
      </c>
      <c r="O15" s="560" t="s">
        <v>2844</v>
      </c>
      <c r="P15" s="237"/>
      <c r="Q15" s="238"/>
      <c r="R15" s="238"/>
      <c r="S15" s="238"/>
      <c r="T15" s="238"/>
      <c r="U15" s="238"/>
      <c r="V15" s="238"/>
      <c r="W15" s="238"/>
      <c r="X15" s="238"/>
      <c r="Y15" s="238"/>
      <c r="Z15" s="239"/>
    </row>
    <row r="16" spans="1:26" s="11" customFormat="1" ht="6" customHeight="1" x14ac:dyDescent="0.3">
      <c r="A16" s="536"/>
      <c r="B16" s="425"/>
      <c r="C16" s="425"/>
      <c r="D16" s="425"/>
      <c r="E16" s="425"/>
      <c r="F16" s="425"/>
      <c r="G16" s="425"/>
      <c r="H16" s="425"/>
      <c r="I16" s="425"/>
      <c r="J16" s="425"/>
      <c r="K16" s="275"/>
      <c r="L16" s="275"/>
      <c r="M16" s="275"/>
      <c r="N16" s="275"/>
      <c r="O16" s="275"/>
      <c r="P16" s="238"/>
      <c r="Q16" s="238"/>
      <c r="R16" s="238"/>
      <c r="S16" s="238"/>
      <c r="T16" s="238"/>
      <c r="U16" s="238"/>
      <c r="V16" s="238"/>
      <c r="W16" s="238"/>
      <c r="X16" s="238"/>
      <c r="Y16" s="238"/>
      <c r="Z16" s="239"/>
    </row>
    <row r="17" spans="1:26" s="11" customFormat="1" ht="6" customHeight="1" thickBot="1" x14ac:dyDescent="0.35">
      <c r="A17" s="563"/>
      <c r="B17" s="564"/>
      <c r="C17" s="564"/>
      <c r="D17" s="564"/>
      <c r="E17" s="564"/>
      <c r="F17" s="564"/>
      <c r="G17" s="564"/>
      <c r="H17" s="564"/>
      <c r="I17" s="564"/>
      <c r="J17" s="564"/>
      <c r="K17" s="564"/>
      <c r="L17" s="564"/>
      <c r="M17" s="564"/>
      <c r="N17" s="270"/>
      <c r="O17" s="270"/>
      <c r="P17" s="238"/>
      <c r="Q17" s="238"/>
      <c r="R17" s="238"/>
      <c r="S17" s="238"/>
      <c r="T17" s="238"/>
      <c r="U17" s="238"/>
      <c r="V17" s="238"/>
      <c r="W17" s="238"/>
      <c r="X17" s="238"/>
      <c r="Y17" s="238"/>
      <c r="Z17" s="239"/>
    </row>
    <row r="18" spans="1:26" s="11" customFormat="1" ht="19.95" customHeight="1" x14ac:dyDescent="0.3">
      <c r="A18" s="4014" t="s">
        <v>2845</v>
      </c>
      <c r="B18" s="4015"/>
      <c r="C18" s="4015"/>
      <c r="D18" s="4015"/>
      <c r="E18" s="4015"/>
      <c r="F18" s="4015"/>
      <c r="G18" s="4015"/>
      <c r="H18" s="4015"/>
      <c r="I18" s="4015"/>
      <c r="J18" s="4015"/>
      <c r="K18" s="4015"/>
      <c r="L18" s="4015"/>
      <c r="M18" s="4016"/>
      <c r="N18" s="4017"/>
      <c r="O18" s="4017"/>
      <c r="P18" s="3764"/>
      <c r="Q18" s="3764"/>
      <c r="R18" s="3764"/>
      <c r="S18" s="3764"/>
      <c r="T18" s="3764"/>
      <c r="U18" s="3764"/>
      <c r="V18" s="3764"/>
      <c r="W18" s="3764"/>
      <c r="X18" s="3764"/>
      <c r="Y18" s="3764"/>
      <c r="Z18" s="3765"/>
    </row>
    <row r="19" spans="1:26" s="11" customFormat="1" ht="31.95" customHeight="1" x14ac:dyDescent="0.3">
      <c r="A19" s="566" t="s">
        <v>1800</v>
      </c>
      <c r="B19" s="428" t="s">
        <v>122</v>
      </c>
      <c r="C19" s="428" t="s">
        <v>2846</v>
      </c>
      <c r="D19" s="428" t="s">
        <v>1591</v>
      </c>
      <c r="E19" s="428" t="s">
        <v>2847</v>
      </c>
      <c r="F19" s="428" t="s">
        <v>2848</v>
      </c>
      <c r="G19" s="428" t="s">
        <v>2849</v>
      </c>
      <c r="H19" s="428" t="s">
        <v>2850</v>
      </c>
      <c r="I19" s="428" t="s">
        <v>2851</v>
      </c>
      <c r="J19" s="428" t="s">
        <v>1926</v>
      </c>
      <c r="K19" s="160" t="s">
        <v>2852</v>
      </c>
      <c r="L19" s="160" t="s">
        <v>2853</v>
      </c>
      <c r="M19" s="567" t="s">
        <v>2854</v>
      </c>
      <c r="N19" s="561"/>
      <c r="O19" s="265"/>
      <c r="P19" s="238"/>
      <c r="Q19" s="238"/>
      <c r="R19" s="238"/>
      <c r="S19" s="238"/>
      <c r="T19" s="238"/>
      <c r="U19" s="238"/>
      <c r="V19" s="238"/>
      <c r="W19" s="238"/>
      <c r="X19" s="238"/>
      <c r="Y19" s="238"/>
      <c r="Z19" s="239"/>
    </row>
    <row r="20" spans="1:26" s="11" customFormat="1" ht="28.05" customHeight="1" x14ac:dyDescent="0.3">
      <c r="A20" s="568" t="s">
        <v>509</v>
      </c>
      <c r="B20" s="542" t="s">
        <v>776</v>
      </c>
      <c r="C20" s="569">
        <v>1</v>
      </c>
      <c r="D20" s="569">
        <v>0.75</v>
      </c>
      <c r="E20" s="569" t="s">
        <v>2855</v>
      </c>
      <c r="F20" s="569" t="s">
        <v>2856</v>
      </c>
      <c r="G20" s="542" t="s">
        <v>2857</v>
      </c>
      <c r="H20" s="570" t="s">
        <v>2858</v>
      </c>
      <c r="I20" s="570" t="s">
        <v>2859</v>
      </c>
      <c r="J20" s="571" t="s">
        <v>2860</v>
      </c>
      <c r="K20" s="572" t="s">
        <v>2861</v>
      </c>
      <c r="L20" s="573" t="s">
        <v>2862</v>
      </c>
      <c r="M20" s="574" t="s">
        <v>2863</v>
      </c>
      <c r="N20" s="313"/>
      <c r="O20" s="263"/>
      <c r="P20" s="238"/>
      <c r="Q20" s="238"/>
      <c r="R20" s="238"/>
      <c r="S20" s="238"/>
      <c r="T20" s="238"/>
      <c r="U20" s="238"/>
      <c r="V20" s="238"/>
      <c r="W20" s="238"/>
      <c r="X20" s="238"/>
      <c r="Y20" s="238"/>
      <c r="Z20" s="239"/>
    </row>
    <row r="21" spans="1:26" s="11" customFormat="1" ht="28.05" customHeight="1" x14ac:dyDescent="0.3">
      <c r="A21" s="575" t="s">
        <v>43</v>
      </c>
      <c r="B21" s="547" t="s">
        <v>777</v>
      </c>
      <c r="C21" s="436">
        <v>0</v>
      </c>
      <c r="D21" s="436">
        <v>0.15</v>
      </c>
      <c r="E21" s="436" t="s">
        <v>2864</v>
      </c>
      <c r="F21" s="436" t="s">
        <v>2865</v>
      </c>
      <c r="G21" s="549" t="s">
        <v>2866</v>
      </c>
      <c r="H21" s="576" t="s">
        <v>2867</v>
      </c>
      <c r="I21" s="576" t="s">
        <v>2868</v>
      </c>
      <c r="J21" s="577" t="s">
        <v>2869</v>
      </c>
      <c r="K21" s="578" t="s">
        <v>2870</v>
      </c>
      <c r="L21" s="579" t="s">
        <v>2871</v>
      </c>
      <c r="M21" s="580" t="s">
        <v>2872</v>
      </c>
      <c r="N21" s="314"/>
      <c r="O21" s="264"/>
      <c r="P21" s="238"/>
      <c r="Q21" s="238"/>
      <c r="R21" s="238"/>
      <c r="S21" s="238"/>
      <c r="T21" s="238"/>
      <c r="U21" s="238"/>
      <c r="V21" s="238"/>
      <c r="W21" s="238"/>
      <c r="X21" s="238"/>
      <c r="Y21" s="238"/>
      <c r="Z21" s="239"/>
    </row>
    <row r="22" spans="1:26" s="11" customFormat="1" ht="28.05" customHeight="1" x14ac:dyDescent="0.3">
      <c r="A22" s="581" t="s">
        <v>715</v>
      </c>
      <c r="B22" s="539" t="s">
        <v>1852</v>
      </c>
      <c r="C22" s="543">
        <v>1</v>
      </c>
      <c r="D22" s="543">
        <v>0.45</v>
      </c>
      <c r="E22" s="543" t="s">
        <v>2855</v>
      </c>
      <c r="F22" s="543" t="s">
        <v>2873</v>
      </c>
      <c r="G22" s="542" t="s">
        <v>2874</v>
      </c>
      <c r="H22" s="570" t="s">
        <v>2875</v>
      </c>
      <c r="I22" s="570" t="s">
        <v>2876</v>
      </c>
      <c r="J22" s="571" t="s">
        <v>2877</v>
      </c>
      <c r="K22" s="572" t="s">
        <v>2878</v>
      </c>
      <c r="L22" s="573" t="s">
        <v>2879</v>
      </c>
      <c r="M22" s="574" t="s">
        <v>2880</v>
      </c>
      <c r="N22" s="313"/>
      <c r="O22" s="263"/>
      <c r="P22" s="238"/>
      <c r="Q22" s="238"/>
      <c r="R22" s="238"/>
      <c r="S22" s="238"/>
      <c r="T22" s="238"/>
      <c r="U22" s="238"/>
      <c r="V22" s="238"/>
      <c r="W22" s="238"/>
      <c r="X22" s="238"/>
      <c r="Y22" s="238"/>
      <c r="Z22" s="239"/>
    </row>
    <row r="23" spans="1:26" s="11" customFormat="1" ht="28.05" customHeight="1" x14ac:dyDescent="0.3">
      <c r="A23" s="575" t="s">
        <v>57</v>
      </c>
      <c r="B23" s="547" t="s">
        <v>779</v>
      </c>
      <c r="C23" s="436">
        <v>0</v>
      </c>
      <c r="D23" s="436">
        <v>0</v>
      </c>
      <c r="E23" s="436" t="s">
        <v>2881</v>
      </c>
      <c r="F23" s="436" t="s">
        <v>2882</v>
      </c>
      <c r="G23" s="549" t="s">
        <v>2883</v>
      </c>
      <c r="H23" s="576" t="s">
        <v>2884</v>
      </c>
      <c r="I23" s="576" t="s">
        <v>2885</v>
      </c>
      <c r="J23" s="577" t="s">
        <v>2886</v>
      </c>
      <c r="K23" s="578" t="s">
        <v>2887</v>
      </c>
      <c r="L23" s="579" t="s">
        <v>2888</v>
      </c>
      <c r="M23" s="580" t="s">
        <v>2889</v>
      </c>
      <c r="N23" s="314"/>
      <c r="O23" s="264"/>
      <c r="P23" s="238"/>
      <c r="Q23" s="238"/>
      <c r="R23" s="238"/>
      <c r="S23" s="238"/>
      <c r="T23" s="238"/>
      <c r="U23" s="238"/>
      <c r="V23" s="238"/>
      <c r="W23" s="238"/>
      <c r="X23" s="238"/>
      <c r="Y23" s="238"/>
      <c r="Z23" s="239"/>
    </row>
    <row r="24" spans="1:26" s="11" customFormat="1" ht="28.05" customHeight="1" x14ac:dyDescent="0.3">
      <c r="A24" s="581" t="s">
        <v>721</v>
      </c>
      <c r="B24" s="539" t="s">
        <v>780</v>
      </c>
      <c r="C24" s="543">
        <v>1</v>
      </c>
      <c r="D24" s="543">
        <v>1</v>
      </c>
      <c r="E24" s="543" t="s">
        <v>2855</v>
      </c>
      <c r="F24" s="543" t="s">
        <v>2890</v>
      </c>
      <c r="G24" s="542" t="s">
        <v>2891</v>
      </c>
      <c r="H24" s="570" t="s">
        <v>2892</v>
      </c>
      <c r="I24" s="570" t="s">
        <v>2893</v>
      </c>
      <c r="J24" s="571" t="s">
        <v>2894</v>
      </c>
      <c r="K24" s="572" t="s">
        <v>2895</v>
      </c>
      <c r="L24" s="573" t="s">
        <v>707</v>
      </c>
      <c r="M24" s="574" t="s">
        <v>2896</v>
      </c>
      <c r="N24" s="313"/>
      <c r="O24" s="263"/>
      <c r="P24" s="238"/>
      <c r="Q24" s="238"/>
      <c r="R24" s="238"/>
      <c r="S24" s="238"/>
      <c r="T24" s="238"/>
      <c r="U24" s="238"/>
      <c r="V24" s="238"/>
      <c r="W24" s="238"/>
      <c r="X24" s="238"/>
      <c r="Y24" s="238"/>
      <c r="Z24" s="239"/>
    </row>
    <row r="25" spans="1:26" s="11" customFormat="1" ht="28.05" customHeight="1" x14ac:dyDescent="0.3">
      <c r="A25" s="575" t="s">
        <v>47</v>
      </c>
      <c r="B25" s="547" t="s">
        <v>782</v>
      </c>
      <c r="C25" s="436">
        <v>0</v>
      </c>
      <c r="D25" s="436">
        <v>0.5</v>
      </c>
      <c r="E25" s="436" t="s">
        <v>2897</v>
      </c>
      <c r="F25" s="436" t="s">
        <v>2898</v>
      </c>
      <c r="G25" s="549" t="s">
        <v>2899</v>
      </c>
      <c r="H25" s="576" t="s">
        <v>2900</v>
      </c>
      <c r="I25" s="576" t="s">
        <v>2901</v>
      </c>
      <c r="J25" s="577" t="s">
        <v>2902</v>
      </c>
      <c r="K25" s="578" t="s">
        <v>2903</v>
      </c>
      <c r="L25" s="579" t="s">
        <v>2904</v>
      </c>
      <c r="M25" s="582" t="s">
        <v>2905</v>
      </c>
      <c r="N25" s="314"/>
      <c r="O25" s="264"/>
      <c r="P25" s="238"/>
      <c r="Q25" s="238"/>
      <c r="R25" s="238"/>
      <c r="S25" s="238"/>
      <c r="T25" s="238"/>
      <c r="U25" s="238"/>
      <c r="V25" s="238"/>
      <c r="W25" s="238"/>
      <c r="X25" s="238"/>
      <c r="Y25" s="238"/>
      <c r="Z25" s="239"/>
    </row>
    <row r="26" spans="1:26" s="11" customFormat="1" ht="28.05" customHeight="1" x14ac:dyDescent="0.3">
      <c r="A26" s="581" t="s">
        <v>53</v>
      </c>
      <c r="B26" s="539" t="s">
        <v>784</v>
      </c>
      <c r="C26" s="543">
        <v>0</v>
      </c>
      <c r="D26" s="543">
        <v>0</v>
      </c>
      <c r="E26" s="543" t="s">
        <v>2906</v>
      </c>
      <c r="F26" s="543" t="s">
        <v>2907</v>
      </c>
      <c r="G26" s="542" t="s">
        <v>2908</v>
      </c>
      <c r="H26" s="570" t="s">
        <v>2909</v>
      </c>
      <c r="I26" s="570" t="s">
        <v>2910</v>
      </c>
      <c r="J26" s="571" t="s">
        <v>2911</v>
      </c>
      <c r="K26" s="572" t="s">
        <v>2912</v>
      </c>
      <c r="L26" s="573" t="s">
        <v>2913</v>
      </c>
      <c r="M26" s="574" t="s">
        <v>2914</v>
      </c>
      <c r="N26" s="313"/>
      <c r="O26" s="263"/>
      <c r="P26" s="238"/>
      <c r="Q26" s="238"/>
      <c r="R26" s="238"/>
      <c r="S26" s="238"/>
      <c r="T26" s="238"/>
      <c r="U26" s="238"/>
      <c r="V26" s="238"/>
      <c r="W26" s="238"/>
      <c r="X26" s="238"/>
      <c r="Y26" s="238"/>
      <c r="Z26" s="239"/>
    </row>
    <row r="27" spans="1:26" s="11" customFormat="1" ht="28.05" customHeight="1" x14ac:dyDescent="0.3">
      <c r="A27" s="575" t="s">
        <v>518</v>
      </c>
      <c r="B27" s="547" t="s">
        <v>1104</v>
      </c>
      <c r="C27" s="436">
        <v>1</v>
      </c>
      <c r="D27" s="436">
        <v>0.4</v>
      </c>
      <c r="E27" s="436" t="s">
        <v>2855</v>
      </c>
      <c r="F27" s="436" t="s">
        <v>2915</v>
      </c>
      <c r="G27" s="549" t="s">
        <v>2916</v>
      </c>
      <c r="H27" s="576" t="s">
        <v>2917</v>
      </c>
      <c r="I27" s="576" t="s">
        <v>2918</v>
      </c>
      <c r="J27" s="577" t="s">
        <v>2877</v>
      </c>
      <c r="K27" s="578" t="s">
        <v>2919</v>
      </c>
      <c r="L27" s="579" t="s">
        <v>2920</v>
      </c>
      <c r="M27" s="580" t="s">
        <v>2921</v>
      </c>
      <c r="N27" s="314"/>
      <c r="O27" s="264"/>
      <c r="P27" s="238"/>
      <c r="Q27" s="238"/>
      <c r="R27" s="238"/>
      <c r="S27" s="238"/>
      <c r="T27" s="238"/>
      <c r="U27" s="238"/>
      <c r="V27" s="238"/>
      <c r="W27" s="238"/>
      <c r="X27" s="238"/>
      <c r="Y27" s="238"/>
      <c r="Z27" s="239"/>
    </row>
    <row r="28" spans="1:26" s="11" customFormat="1" ht="28.05" customHeight="1" x14ac:dyDescent="0.3">
      <c r="A28" s="581" t="s">
        <v>486</v>
      </c>
      <c r="B28" s="539" t="s">
        <v>785</v>
      </c>
      <c r="C28" s="543">
        <v>1</v>
      </c>
      <c r="D28" s="543">
        <v>0.3</v>
      </c>
      <c r="E28" s="543" t="s">
        <v>2855</v>
      </c>
      <c r="F28" s="543" t="s">
        <v>2922</v>
      </c>
      <c r="G28" s="542" t="s">
        <v>2923</v>
      </c>
      <c r="H28" s="570" t="s">
        <v>2924</v>
      </c>
      <c r="I28" s="570" t="s">
        <v>2925</v>
      </c>
      <c r="J28" s="571" t="s">
        <v>2926</v>
      </c>
      <c r="K28" s="572" t="s">
        <v>2927</v>
      </c>
      <c r="L28" s="573" t="s">
        <v>2928</v>
      </c>
      <c r="M28" s="574" t="s">
        <v>2929</v>
      </c>
      <c r="N28" s="313"/>
      <c r="O28" s="263"/>
      <c r="P28" s="238"/>
      <c r="Q28" s="238"/>
      <c r="R28" s="238"/>
      <c r="S28" s="238"/>
      <c r="T28" s="238"/>
      <c r="U28" s="238"/>
      <c r="V28" s="238"/>
      <c r="W28" s="238"/>
      <c r="X28" s="238"/>
      <c r="Y28" s="238"/>
      <c r="Z28" s="239"/>
    </row>
    <row r="29" spans="1:26" s="11" customFormat="1" ht="28.05" customHeight="1" x14ac:dyDescent="0.3">
      <c r="A29" s="575" t="s">
        <v>466</v>
      </c>
      <c r="B29" s="547" t="s">
        <v>788</v>
      </c>
      <c r="C29" s="583">
        <v>1</v>
      </c>
      <c r="D29" s="436">
        <v>0.35</v>
      </c>
      <c r="E29" s="436" t="s">
        <v>2930</v>
      </c>
      <c r="F29" s="436" t="s">
        <v>2931</v>
      </c>
      <c r="G29" s="549" t="s">
        <v>2932</v>
      </c>
      <c r="H29" s="576" t="s">
        <v>2933</v>
      </c>
      <c r="I29" s="576" t="s">
        <v>2934</v>
      </c>
      <c r="J29" s="577" t="s">
        <v>2935</v>
      </c>
      <c r="K29" s="578" t="s">
        <v>2936</v>
      </c>
      <c r="L29" s="579" t="s">
        <v>2937</v>
      </c>
      <c r="M29" s="580" t="s">
        <v>2938</v>
      </c>
      <c r="N29" s="314"/>
      <c r="O29" s="264"/>
      <c r="P29" s="238"/>
      <c r="Q29" s="238"/>
      <c r="R29" s="238"/>
      <c r="S29" s="238"/>
      <c r="T29" s="238"/>
      <c r="U29" s="238"/>
      <c r="V29" s="238"/>
      <c r="W29" s="238"/>
      <c r="X29" s="238"/>
      <c r="Y29" s="238"/>
      <c r="Z29" s="239"/>
    </row>
    <row r="30" spans="1:26" s="11" customFormat="1" ht="28.05" customHeight="1" x14ac:dyDescent="0.3">
      <c r="A30" s="581" t="s">
        <v>50</v>
      </c>
      <c r="B30" s="539" t="s">
        <v>1112</v>
      </c>
      <c r="C30" s="543">
        <v>0</v>
      </c>
      <c r="D30" s="543">
        <v>0.2</v>
      </c>
      <c r="E30" s="543" t="s">
        <v>2939</v>
      </c>
      <c r="F30" s="543" t="s">
        <v>2940</v>
      </c>
      <c r="G30" s="542" t="s">
        <v>2941</v>
      </c>
      <c r="H30" s="570" t="s">
        <v>2942</v>
      </c>
      <c r="I30" s="570" t="s">
        <v>2943</v>
      </c>
      <c r="J30" s="571" t="s">
        <v>2944</v>
      </c>
      <c r="K30" s="572" t="s">
        <v>2945</v>
      </c>
      <c r="L30" s="573" t="s">
        <v>2946</v>
      </c>
      <c r="M30" s="584" t="s">
        <v>2947</v>
      </c>
      <c r="N30" s="313"/>
      <c r="O30" s="263"/>
      <c r="P30" s="238"/>
      <c r="Q30" s="238"/>
      <c r="R30" s="238"/>
      <c r="S30" s="238"/>
      <c r="T30" s="238"/>
      <c r="U30" s="238"/>
      <c r="V30" s="238"/>
      <c r="W30" s="238"/>
      <c r="X30" s="238"/>
      <c r="Y30" s="238"/>
      <c r="Z30" s="239"/>
    </row>
    <row r="31" spans="1:26" ht="28.05" customHeight="1" x14ac:dyDescent="0.3">
      <c r="A31" s="575" t="s">
        <v>502</v>
      </c>
      <c r="B31" s="547" t="s">
        <v>791</v>
      </c>
      <c r="C31" s="583">
        <v>1</v>
      </c>
      <c r="D31" s="436">
        <v>0.25</v>
      </c>
      <c r="E31" s="436" t="s">
        <v>2948</v>
      </c>
      <c r="F31" s="436" t="s">
        <v>2949</v>
      </c>
      <c r="G31" s="549" t="s">
        <v>2950</v>
      </c>
      <c r="H31" s="576" t="s">
        <v>2951</v>
      </c>
      <c r="I31" s="576" t="s">
        <v>2952</v>
      </c>
      <c r="J31" s="577" t="s">
        <v>2953</v>
      </c>
      <c r="K31" s="578" t="s">
        <v>2954</v>
      </c>
      <c r="L31" s="579" t="s">
        <v>2955</v>
      </c>
      <c r="M31" s="580" t="s">
        <v>2956</v>
      </c>
      <c r="N31" s="314"/>
      <c r="O31" s="264"/>
      <c r="P31" s="242"/>
      <c r="Q31" s="242"/>
      <c r="R31" s="242"/>
      <c r="S31" s="242"/>
      <c r="T31" s="242"/>
      <c r="U31" s="242"/>
      <c r="V31" s="242"/>
      <c r="W31" s="242"/>
      <c r="X31" s="242"/>
      <c r="Y31" s="242"/>
      <c r="Z31" s="243"/>
    </row>
    <row r="32" spans="1:26" ht="28.05" customHeight="1" x14ac:dyDescent="0.3">
      <c r="A32" s="581" t="s">
        <v>458</v>
      </c>
      <c r="B32" s="539" t="s">
        <v>789</v>
      </c>
      <c r="C32" s="569">
        <v>1</v>
      </c>
      <c r="D32" s="543">
        <v>0.3</v>
      </c>
      <c r="E32" s="543" t="s">
        <v>2957</v>
      </c>
      <c r="F32" s="543" t="s">
        <v>2958</v>
      </c>
      <c r="G32" s="542" t="s">
        <v>2959</v>
      </c>
      <c r="H32" s="570" t="s">
        <v>2960</v>
      </c>
      <c r="I32" s="570" t="s">
        <v>2961</v>
      </c>
      <c r="J32" s="571" t="s">
        <v>2962</v>
      </c>
      <c r="K32" s="572" t="s">
        <v>2963</v>
      </c>
      <c r="L32" s="573" t="s">
        <v>2964</v>
      </c>
      <c r="M32" s="574" t="s">
        <v>2965</v>
      </c>
      <c r="N32" s="313"/>
      <c r="O32" s="263"/>
      <c r="P32" s="242"/>
      <c r="Q32" s="242"/>
      <c r="R32" s="242"/>
      <c r="S32" s="242"/>
      <c r="T32" s="242"/>
      <c r="U32" s="242"/>
      <c r="V32" s="242"/>
      <c r="W32" s="242"/>
      <c r="X32" s="242"/>
      <c r="Y32" s="242"/>
      <c r="Z32" s="243"/>
    </row>
    <row r="33" spans="1:26" ht="28.05" customHeight="1" x14ac:dyDescent="0.3">
      <c r="A33" s="575"/>
      <c r="B33" s="547"/>
      <c r="C33" s="436"/>
      <c r="D33" s="436"/>
      <c r="E33" s="436"/>
      <c r="F33" s="436"/>
      <c r="G33" s="549"/>
      <c r="H33" s="576"/>
      <c r="I33" s="576"/>
      <c r="J33" s="577"/>
      <c r="K33" s="578"/>
      <c r="L33" s="579"/>
      <c r="M33" s="580"/>
      <c r="N33" s="314"/>
      <c r="O33" s="264"/>
      <c r="P33" s="242"/>
      <c r="Q33" s="242"/>
      <c r="R33" s="242"/>
      <c r="S33" s="242"/>
      <c r="T33" s="242"/>
      <c r="U33" s="242"/>
      <c r="V33" s="242"/>
      <c r="W33" s="242"/>
      <c r="X33" s="242"/>
      <c r="Y33" s="242"/>
      <c r="Z33" s="243"/>
    </row>
    <row r="34" spans="1:26" ht="28.05" customHeight="1" thickBot="1" x14ac:dyDescent="0.35">
      <c r="A34" s="603"/>
      <c r="B34" s="604"/>
      <c r="C34" s="605"/>
      <c r="D34" s="605"/>
      <c r="E34" s="605"/>
      <c r="F34" s="605"/>
      <c r="G34" s="604"/>
      <c r="H34" s="606"/>
      <c r="I34" s="606"/>
      <c r="J34" s="585"/>
      <c r="K34" s="585"/>
      <c r="L34" s="215"/>
      <c r="M34" s="586"/>
      <c r="N34" s="187"/>
      <c r="O34" s="132"/>
      <c r="P34" s="242"/>
      <c r="Q34" s="242"/>
      <c r="R34" s="242"/>
      <c r="S34" s="242"/>
      <c r="T34" s="242"/>
      <c r="U34" s="242"/>
      <c r="V34" s="242"/>
      <c r="W34" s="242"/>
      <c r="X34" s="242"/>
      <c r="Y34" s="242"/>
      <c r="Z34" s="243"/>
    </row>
    <row r="35" spans="1:26" ht="19.95" customHeight="1" x14ac:dyDescent="0.3">
      <c r="A35" s="4018" t="s">
        <v>2966</v>
      </c>
      <c r="B35" s="4019"/>
      <c r="C35" s="4019"/>
      <c r="D35" s="4019"/>
      <c r="E35" s="4019"/>
      <c r="F35" s="4019"/>
      <c r="G35" s="4019"/>
      <c r="H35" s="4019"/>
      <c r="I35" s="4020"/>
      <c r="J35" s="3470"/>
      <c r="K35" s="3471"/>
      <c r="L35" s="3471"/>
      <c r="M35" s="4021"/>
      <c r="N35" s="4022"/>
      <c r="O35" s="4022"/>
      <c r="P35" s="3764"/>
      <c r="Q35" s="3764"/>
      <c r="R35" s="3764"/>
      <c r="S35" s="3764"/>
      <c r="T35" s="3764"/>
      <c r="U35" s="3764"/>
      <c r="V35" s="3764"/>
      <c r="W35" s="3764"/>
      <c r="X35" s="3764"/>
      <c r="Y35" s="3764"/>
      <c r="Z35" s="3765"/>
    </row>
    <row r="36" spans="1:26" ht="19.95" customHeight="1" x14ac:dyDescent="0.3">
      <c r="A36" s="4023" t="s">
        <v>2967</v>
      </c>
      <c r="B36" s="4024"/>
      <c r="C36" s="4024"/>
      <c r="D36" s="4024"/>
      <c r="E36" s="4024"/>
      <c r="F36" s="4024"/>
      <c r="G36" s="4024"/>
      <c r="H36" s="4024"/>
      <c r="I36" s="4025"/>
      <c r="J36" s="4026"/>
      <c r="K36" s="4027"/>
      <c r="L36" s="4027"/>
      <c r="M36" s="4028"/>
      <c r="N36" s="4017"/>
      <c r="O36" s="4017"/>
      <c r="P36" s="3764"/>
      <c r="Q36" s="3764"/>
      <c r="R36" s="3764"/>
      <c r="S36" s="3764"/>
      <c r="T36" s="3764"/>
      <c r="U36" s="3764"/>
      <c r="V36" s="3764"/>
      <c r="W36" s="3764"/>
      <c r="X36" s="3764"/>
      <c r="Y36" s="3764"/>
      <c r="Z36" s="3765"/>
    </row>
    <row r="37" spans="1:26" ht="28.05" customHeight="1" x14ac:dyDescent="0.3">
      <c r="A37" s="607" t="s">
        <v>2562</v>
      </c>
      <c r="B37" s="587" t="s">
        <v>2968</v>
      </c>
      <c r="C37" s="587" t="s">
        <v>2969</v>
      </c>
      <c r="D37" s="587" t="s">
        <v>2970</v>
      </c>
      <c r="E37" s="587" t="s">
        <v>2971</v>
      </c>
      <c r="F37" s="587" t="s">
        <v>2972</v>
      </c>
      <c r="G37" s="587" t="s">
        <v>2973</v>
      </c>
      <c r="H37" s="587"/>
      <c r="I37" s="610" t="s">
        <v>1738</v>
      </c>
      <c r="J37" s="598"/>
      <c r="K37" s="588"/>
      <c r="L37" s="589" t="s">
        <v>2974</v>
      </c>
      <c r="M37" s="590"/>
      <c r="N37" s="562"/>
      <c r="O37" s="518"/>
      <c r="P37" s="242"/>
      <c r="Q37" s="242"/>
      <c r="R37" s="242"/>
      <c r="S37" s="242"/>
      <c r="T37" s="242"/>
      <c r="U37" s="242"/>
      <c r="V37" s="242"/>
      <c r="W37" s="242"/>
      <c r="X37" s="242"/>
      <c r="Y37" s="242"/>
      <c r="Z37" s="243"/>
    </row>
    <row r="38" spans="1:26" ht="22.05" customHeight="1" x14ac:dyDescent="0.3">
      <c r="A38" s="608">
        <v>1</v>
      </c>
      <c r="B38" s="539" t="s">
        <v>2975</v>
      </c>
      <c r="C38" s="569" t="s">
        <v>2976</v>
      </c>
      <c r="D38" s="543" t="s">
        <v>2977</v>
      </c>
      <c r="E38" s="543" t="s">
        <v>2978</v>
      </c>
      <c r="F38" s="569" t="s">
        <v>2979</v>
      </c>
      <c r="G38" s="543" t="s">
        <v>2980</v>
      </c>
      <c r="H38" s="570"/>
      <c r="I38" s="611" t="s">
        <v>96</v>
      </c>
      <c r="J38" s="599"/>
      <c r="K38" s="572"/>
      <c r="L38" s="591" t="s">
        <v>2981</v>
      </c>
      <c r="M38" s="592"/>
      <c r="N38" s="313"/>
      <c r="O38" s="263"/>
      <c r="P38" s="242"/>
      <c r="Q38" s="242"/>
      <c r="R38" s="242"/>
      <c r="S38" s="242"/>
      <c r="T38" s="242"/>
      <c r="U38" s="242"/>
      <c r="V38" s="242"/>
      <c r="W38" s="242"/>
      <c r="X38" s="242"/>
      <c r="Y38" s="242"/>
      <c r="Z38" s="243"/>
    </row>
    <row r="39" spans="1:26" ht="22.05" customHeight="1" x14ac:dyDescent="0.3">
      <c r="A39" s="609">
        <v>2</v>
      </c>
      <c r="B39" s="547" t="s">
        <v>2982</v>
      </c>
      <c r="C39" s="583" t="s">
        <v>2983</v>
      </c>
      <c r="D39" s="436" t="s">
        <v>2984</v>
      </c>
      <c r="E39" s="436" t="s">
        <v>2978</v>
      </c>
      <c r="F39" s="583" t="s">
        <v>2979</v>
      </c>
      <c r="G39" s="436" t="s">
        <v>2985</v>
      </c>
      <c r="H39" s="576"/>
      <c r="I39" s="612" t="s">
        <v>96</v>
      </c>
      <c r="J39" s="600"/>
      <c r="K39" s="578"/>
      <c r="L39" s="593" t="s">
        <v>2981</v>
      </c>
      <c r="M39" s="594"/>
      <c r="N39" s="314"/>
      <c r="O39" s="264"/>
      <c r="P39" s="242"/>
      <c r="Q39" s="242"/>
      <c r="R39" s="242"/>
      <c r="S39" s="242"/>
      <c r="T39" s="242"/>
      <c r="U39" s="242"/>
      <c r="V39" s="242"/>
      <c r="W39" s="242"/>
      <c r="X39" s="242"/>
      <c r="Y39" s="242"/>
      <c r="Z39" s="243"/>
    </row>
    <row r="40" spans="1:26" ht="22.05" customHeight="1" x14ac:dyDescent="0.3">
      <c r="A40" s="608">
        <v>3</v>
      </c>
      <c r="B40" s="539" t="s">
        <v>2986</v>
      </c>
      <c r="C40" s="569" t="s">
        <v>2987</v>
      </c>
      <c r="D40" s="543" t="s">
        <v>2988</v>
      </c>
      <c r="E40" s="543" t="s">
        <v>2989</v>
      </c>
      <c r="F40" s="569" t="s">
        <v>2990</v>
      </c>
      <c r="G40" s="543" t="s">
        <v>2991</v>
      </c>
      <c r="H40" s="570"/>
      <c r="I40" s="611" t="s">
        <v>98</v>
      </c>
      <c r="J40" s="599"/>
      <c r="K40" s="572"/>
      <c r="L40" s="591" t="s">
        <v>2992</v>
      </c>
      <c r="M40" s="592"/>
      <c r="N40" s="313"/>
      <c r="O40" s="263"/>
      <c r="P40" s="242"/>
      <c r="Q40" s="242"/>
      <c r="R40" s="242"/>
      <c r="S40" s="242"/>
      <c r="T40" s="242"/>
      <c r="U40" s="242"/>
      <c r="V40" s="242"/>
      <c r="W40" s="242"/>
      <c r="X40" s="242"/>
      <c r="Y40" s="242"/>
      <c r="Z40" s="243"/>
    </row>
    <row r="41" spans="1:26" ht="22.05" customHeight="1" x14ac:dyDescent="0.3">
      <c r="A41" s="609">
        <v>4</v>
      </c>
      <c r="B41" s="547" t="s">
        <v>2993</v>
      </c>
      <c r="C41" s="583" t="s">
        <v>2994</v>
      </c>
      <c r="D41" s="436" t="s">
        <v>2995</v>
      </c>
      <c r="E41" s="436" t="s">
        <v>2996</v>
      </c>
      <c r="F41" s="583" t="s">
        <v>2997</v>
      </c>
      <c r="G41" s="436" t="s">
        <v>2998</v>
      </c>
      <c r="H41" s="576"/>
      <c r="I41" s="612" t="s">
        <v>98</v>
      </c>
      <c r="J41" s="600"/>
      <c r="K41" s="578"/>
      <c r="L41" s="593" t="s">
        <v>2999</v>
      </c>
      <c r="M41" s="594"/>
      <c r="N41" s="314"/>
      <c r="O41" s="264"/>
      <c r="P41" s="242"/>
      <c r="Q41" s="242"/>
      <c r="R41" s="242"/>
      <c r="S41" s="242"/>
      <c r="T41" s="242"/>
      <c r="U41" s="242"/>
      <c r="V41" s="242"/>
      <c r="W41" s="242"/>
      <c r="X41" s="242"/>
      <c r="Y41" s="242"/>
      <c r="Z41" s="243"/>
    </row>
    <row r="42" spans="1:26" ht="22.05" customHeight="1" x14ac:dyDescent="0.3">
      <c r="A42" s="608">
        <v>5</v>
      </c>
      <c r="B42" s="539" t="s">
        <v>3000</v>
      </c>
      <c r="C42" s="569" t="s">
        <v>3001</v>
      </c>
      <c r="D42" s="543" t="s">
        <v>3002</v>
      </c>
      <c r="E42" s="543" t="s">
        <v>3003</v>
      </c>
      <c r="F42" s="569" t="s">
        <v>3004</v>
      </c>
      <c r="G42" s="543" t="s">
        <v>3005</v>
      </c>
      <c r="H42" s="570"/>
      <c r="I42" s="611" t="s">
        <v>1174</v>
      </c>
      <c r="J42" s="599"/>
      <c r="K42" s="572"/>
      <c r="L42" s="591" t="s">
        <v>3006</v>
      </c>
      <c r="M42" s="592"/>
      <c r="N42" s="313"/>
      <c r="O42" s="263"/>
      <c r="P42" s="242"/>
      <c r="Q42" s="242"/>
      <c r="R42" s="242"/>
      <c r="S42" s="242"/>
      <c r="T42" s="242"/>
      <c r="U42" s="242"/>
      <c r="V42" s="242"/>
      <c r="W42" s="242"/>
      <c r="X42" s="242"/>
      <c r="Y42" s="242"/>
      <c r="Z42" s="243"/>
    </row>
    <row r="43" spans="1:26" ht="22.05" customHeight="1" thickBot="1" x14ac:dyDescent="0.35">
      <c r="A43" s="609">
        <v>6</v>
      </c>
      <c r="B43" s="547" t="s">
        <v>3007</v>
      </c>
      <c r="C43" s="583" t="s">
        <v>3008</v>
      </c>
      <c r="D43" s="436" t="s">
        <v>3009</v>
      </c>
      <c r="E43" s="436" t="s">
        <v>3010</v>
      </c>
      <c r="F43" s="583" t="s">
        <v>3008</v>
      </c>
      <c r="G43" s="436" t="s">
        <v>3008</v>
      </c>
      <c r="H43" s="576"/>
      <c r="I43" s="612" t="s">
        <v>1174</v>
      </c>
      <c r="J43" s="601"/>
      <c r="K43" s="595"/>
      <c r="L43" s="596" t="s">
        <v>3008</v>
      </c>
      <c r="M43" s="597"/>
      <c r="N43" s="314"/>
      <c r="O43" s="264"/>
      <c r="P43" s="242"/>
      <c r="Q43" s="242"/>
      <c r="R43" s="242"/>
      <c r="S43" s="242"/>
      <c r="T43" s="242"/>
      <c r="U43" s="242"/>
      <c r="V43" s="242"/>
      <c r="W43" s="242"/>
      <c r="X43" s="242"/>
      <c r="Y43" s="242"/>
      <c r="Z43" s="243"/>
    </row>
    <row r="44" spans="1:26" ht="22.05" customHeight="1" thickBot="1" x14ac:dyDescent="0.35">
      <c r="A44" s="613">
        <v>7</v>
      </c>
      <c r="B44" s="614" t="s">
        <v>3011</v>
      </c>
      <c r="C44" s="615" t="s">
        <v>3012</v>
      </c>
      <c r="D44" s="616" t="s">
        <v>3013</v>
      </c>
      <c r="E44" s="614" t="s">
        <v>3014</v>
      </c>
      <c r="F44" s="615" t="s">
        <v>3015</v>
      </c>
      <c r="G44" s="616" t="s">
        <v>3016</v>
      </c>
      <c r="H44" s="617"/>
      <c r="I44" s="618" t="s">
        <v>98</v>
      </c>
      <c r="J44" s="602"/>
      <c r="K44" s="275"/>
      <c r="L44" s="565" t="s">
        <v>3017</v>
      </c>
      <c r="M44" s="275"/>
      <c r="N44" s="269"/>
      <c r="O44" s="269"/>
      <c r="P44" s="242"/>
      <c r="Q44" s="242"/>
      <c r="R44" s="242"/>
      <c r="S44" s="242"/>
      <c r="T44" s="242"/>
      <c r="U44" s="242"/>
      <c r="V44" s="242"/>
      <c r="W44" s="242"/>
      <c r="X44" s="242"/>
      <c r="Y44" s="242"/>
      <c r="Z44" s="243"/>
    </row>
    <row r="45" spans="1:26" ht="6" customHeight="1" thickBot="1" x14ac:dyDescent="0.35">
      <c r="A45" s="4029" t="s">
        <v>3018</v>
      </c>
      <c r="B45" s="4030"/>
      <c r="C45" s="4030"/>
      <c r="D45" s="4030"/>
      <c r="E45" s="4030"/>
      <c r="F45" s="4030"/>
      <c r="G45" s="4030"/>
      <c r="H45" s="4030"/>
      <c r="I45" s="4030"/>
      <c r="J45" s="4031"/>
      <c r="K45" s="4031"/>
      <c r="L45" s="4031"/>
      <c r="M45" s="4031"/>
      <c r="N45" s="4031"/>
      <c r="O45" s="4031"/>
      <c r="P45" s="3764"/>
      <c r="Q45" s="3764"/>
      <c r="R45" s="3764"/>
      <c r="S45" s="3764"/>
      <c r="T45" s="3764"/>
      <c r="U45" s="3764"/>
      <c r="V45" s="3764"/>
      <c r="W45" s="3764"/>
      <c r="X45" s="3764"/>
      <c r="Y45" s="3764"/>
      <c r="Z45" s="3765"/>
    </row>
    <row r="46" spans="1:26" ht="19.95" customHeight="1" x14ac:dyDescent="0.3">
      <c r="A46" s="622" t="s">
        <v>3019</v>
      </c>
      <c r="B46" s="623" t="s">
        <v>2767</v>
      </c>
      <c r="C46" s="623" t="s">
        <v>1738</v>
      </c>
      <c r="D46" s="623" t="s">
        <v>2442</v>
      </c>
      <c r="E46" s="623" t="s">
        <v>3020</v>
      </c>
      <c r="F46" s="623" t="s">
        <v>3021</v>
      </c>
      <c r="G46" s="623" t="s">
        <v>3022</v>
      </c>
      <c r="H46" s="623" t="s">
        <v>3023</v>
      </c>
      <c r="I46" s="624" t="s">
        <v>3024</v>
      </c>
      <c r="J46" s="619"/>
      <c r="K46" s="521"/>
      <c r="L46" s="521"/>
      <c r="M46" s="521"/>
      <c r="N46" s="521"/>
      <c r="O46" s="521"/>
      <c r="P46" s="530"/>
      <c r="Q46" s="530"/>
      <c r="R46" s="530"/>
      <c r="S46" s="530"/>
      <c r="T46" s="530"/>
      <c r="U46" s="530"/>
      <c r="V46" s="530"/>
      <c r="W46" s="530"/>
      <c r="X46" s="530"/>
      <c r="Y46" s="530"/>
      <c r="Z46" s="531"/>
    </row>
    <row r="47" spans="1:26" ht="31.95" customHeight="1" x14ac:dyDescent="0.3">
      <c r="A47" s="427" t="s">
        <v>3025</v>
      </c>
      <c r="B47" s="428" t="s">
        <v>2777</v>
      </c>
      <c r="C47" s="428" t="s">
        <v>96</v>
      </c>
      <c r="D47" s="428" t="s">
        <v>3026</v>
      </c>
      <c r="E47" s="428" t="s">
        <v>3027</v>
      </c>
      <c r="F47" s="625" t="s">
        <v>3028</v>
      </c>
      <c r="G47" s="625" t="s">
        <v>3029</v>
      </c>
      <c r="H47" s="428" t="s">
        <v>3030</v>
      </c>
      <c r="I47" s="429" t="s">
        <v>3031</v>
      </c>
      <c r="J47" s="620"/>
      <c r="K47" s="264"/>
      <c r="L47" s="264"/>
      <c r="M47" s="264"/>
      <c r="N47" s="264"/>
      <c r="O47" s="264"/>
      <c r="P47" s="242"/>
      <c r="Q47" s="242"/>
      <c r="R47" s="242"/>
      <c r="S47" s="242"/>
      <c r="T47" s="242"/>
      <c r="U47" s="242"/>
      <c r="V47" s="242"/>
      <c r="W47" s="242"/>
      <c r="X47" s="242"/>
      <c r="Y47" s="242"/>
      <c r="Z47" s="243"/>
    </row>
    <row r="48" spans="1:26" ht="25.95" customHeight="1" x14ac:dyDescent="0.3">
      <c r="A48" s="626" t="s">
        <v>3032</v>
      </c>
      <c r="B48" s="540" t="s">
        <v>2777</v>
      </c>
      <c r="C48" s="544" t="s">
        <v>96</v>
      </c>
      <c r="D48" s="571" t="s">
        <v>3026</v>
      </c>
      <c r="E48" s="627" t="s">
        <v>3033</v>
      </c>
      <c r="F48" s="542" t="s">
        <v>3034</v>
      </c>
      <c r="G48" s="542" t="s">
        <v>3029</v>
      </c>
      <c r="H48" s="543" t="s">
        <v>3030</v>
      </c>
      <c r="I48" s="628" t="s">
        <v>3035</v>
      </c>
      <c r="J48" s="621"/>
      <c r="K48" s="263"/>
      <c r="L48" s="263"/>
      <c r="M48" s="263"/>
      <c r="N48" s="263"/>
      <c r="O48" s="263"/>
      <c r="P48" s="242"/>
      <c r="Q48" s="242"/>
      <c r="R48" s="242"/>
      <c r="S48" s="242"/>
      <c r="T48" s="242"/>
      <c r="U48" s="242"/>
      <c r="V48" s="242"/>
      <c r="W48" s="242"/>
      <c r="X48" s="242"/>
      <c r="Y48" s="242"/>
      <c r="Z48" s="243"/>
    </row>
    <row r="49" spans="1:26" ht="25.95" customHeight="1" x14ac:dyDescent="0.3">
      <c r="A49" s="629" t="s">
        <v>3036</v>
      </c>
      <c r="B49" s="435" t="s">
        <v>2777</v>
      </c>
      <c r="C49" s="550" t="s">
        <v>96</v>
      </c>
      <c r="D49" s="577" t="s">
        <v>3026</v>
      </c>
      <c r="E49" s="630" t="s">
        <v>3037</v>
      </c>
      <c r="F49" s="549" t="s">
        <v>3038</v>
      </c>
      <c r="G49" s="549" t="s">
        <v>3039</v>
      </c>
      <c r="H49" s="436" t="s">
        <v>3030</v>
      </c>
      <c r="I49" s="438" t="s">
        <v>3040</v>
      </c>
      <c r="J49" s="620"/>
      <c r="K49" s="264"/>
      <c r="L49" s="264"/>
      <c r="M49" s="264"/>
      <c r="N49" s="264"/>
      <c r="O49" s="264"/>
      <c r="P49" s="242"/>
      <c r="Q49" s="242"/>
      <c r="R49" s="242"/>
      <c r="S49" s="242"/>
      <c r="T49" s="242"/>
      <c r="U49" s="242"/>
      <c r="V49" s="242"/>
      <c r="W49" s="242"/>
      <c r="X49" s="242"/>
      <c r="Y49" s="242"/>
      <c r="Z49" s="243"/>
    </row>
    <row r="50" spans="1:26" ht="25.95" customHeight="1" x14ac:dyDescent="0.3">
      <c r="A50" s="626" t="s">
        <v>3041</v>
      </c>
      <c r="B50" s="540" t="s">
        <v>2777</v>
      </c>
      <c r="C50" s="544" t="s">
        <v>96</v>
      </c>
      <c r="D50" s="571" t="s">
        <v>3026</v>
      </c>
      <c r="E50" s="627" t="s">
        <v>3042</v>
      </c>
      <c r="F50" s="542" t="s">
        <v>3043</v>
      </c>
      <c r="G50" s="542" t="s">
        <v>3044</v>
      </c>
      <c r="H50" s="543" t="s">
        <v>3030</v>
      </c>
      <c r="I50" s="628" t="s">
        <v>2805</v>
      </c>
      <c r="J50" s="621"/>
      <c r="K50" s="263"/>
      <c r="L50" s="263"/>
      <c r="M50" s="263"/>
      <c r="N50" s="263"/>
      <c r="O50" s="263"/>
      <c r="P50" s="242"/>
      <c r="Q50" s="242"/>
      <c r="R50" s="242"/>
      <c r="S50" s="242"/>
      <c r="T50" s="242"/>
      <c r="U50" s="242"/>
      <c r="V50" s="242"/>
      <c r="W50" s="242"/>
      <c r="X50" s="242"/>
      <c r="Y50" s="242"/>
      <c r="Z50" s="243"/>
    </row>
    <row r="51" spans="1:26" ht="25.95" customHeight="1" x14ac:dyDescent="0.3">
      <c r="A51" s="629" t="s">
        <v>3045</v>
      </c>
      <c r="B51" s="435" t="s">
        <v>2809</v>
      </c>
      <c r="C51" s="550" t="s">
        <v>96</v>
      </c>
      <c r="D51" s="577" t="s">
        <v>3026</v>
      </c>
      <c r="E51" s="630" t="s">
        <v>3046</v>
      </c>
      <c r="F51" s="549" t="s">
        <v>3047</v>
      </c>
      <c r="G51" s="549" t="s">
        <v>3048</v>
      </c>
      <c r="H51" s="436" t="s">
        <v>3030</v>
      </c>
      <c r="I51" s="438" t="s">
        <v>2825</v>
      </c>
      <c r="J51" s="620"/>
      <c r="K51" s="264"/>
      <c r="L51" s="264"/>
      <c r="M51" s="264"/>
      <c r="N51" s="264"/>
      <c r="O51" s="264"/>
      <c r="P51" s="242"/>
      <c r="Q51" s="242"/>
      <c r="R51" s="242"/>
      <c r="S51" s="242"/>
      <c r="T51" s="242"/>
      <c r="U51" s="242"/>
      <c r="V51" s="242"/>
      <c r="W51" s="242"/>
      <c r="X51" s="242"/>
      <c r="Y51" s="242"/>
      <c r="Z51" s="243"/>
    </row>
    <row r="52" spans="1:26" ht="25.95" customHeight="1" x14ac:dyDescent="0.3">
      <c r="A52" s="626" t="s">
        <v>3049</v>
      </c>
      <c r="B52" s="540" t="s">
        <v>3050</v>
      </c>
      <c r="C52" s="544" t="s">
        <v>98</v>
      </c>
      <c r="D52" s="571" t="s">
        <v>3026</v>
      </c>
      <c r="E52" s="627" t="s">
        <v>3051</v>
      </c>
      <c r="F52" s="542" t="s">
        <v>3052</v>
      </c>
      <c r="G52" s="542" t="s">
        <v>3053</v>
      </c>
      <c r="H52" s="543" t="s">
        <v>3030</v>
      </c>
      <c r="I52" s="628" t="s">
        <v>2825</v>
      </c>
      <c r="J52" s="621"/>
      <c r="K52" s="263"/>
      <c r="L52" s="263"/>
      <c r="M52" s="263"/>
      <c r="N52" s="263"/>
      <c r="O52" s="263"/>
      <c r="P52" s="242"/>
      <c r="Q52" s="242"/>
      <c r="R52" s="242"/>
      <c r="S52" s="242"/>
      <c r="T52" s="242"/>
      <c r="U52" s="242"/>
      <c r="V52" s="242"/>
      <c r="W52" s="242"/>
      <c r="X52" s="242"/>
      <c r="Y52" s="242"/>
      <c r="Z52" s="243"/>
    </row>
    <row r="53" spans="1:26" ht="25.95" customHeight="1" x14ac:dyDescent="0.3">
      <c r="A53" s="629" t="s">
        <v>2833</v>
      </c>
      <c r="B53" s="435" t="s">
        <v>3054</v>
      </c>
      <c r="C53" s="550" t="s">
        <v>98</v>
      </c>
      <c r="D53" s="550" t="s">
        <v>3055</v>
      </c>
      <c r="E53" s="630" t="s">
        <v>3056</v>
      </c>
      <c r="F53" s="549" t="s">
        <v>3057</v>
      </c>
      <c r="G53" s="549" t="s">
        <v>3058</v>
      </c>
      <c r="H53" s="436" t="s">
        <v>3059</v>
      </c>
      <c r="I53" s="438" t="s">
        <v>3060</v>
      </c>
      <c r="J53" s="620"/>
      <c r="K53" s="264"/>
      <c r="L53" s="264"/>
      <c r="M53" s="264"/>
      <c r="N53" s="264"/>
      <c r="O53" s="264"/>
      <c r="P53" s="242"/>
      <c r="Q53" s="242"/>
      <c r="R53" s="242"/>
      <c r="S53" s="242"/>
      <c r="T53" s="242"/>
      <c r="U53" s="242"/>
      <c r="V53" s="242"/>
      <c r="W53" s="242"/>
      <c r="X53" s="242"/>
      <c r="Y53" s="242"/>
      <c r="Z53" s="243"/>
    </row>
    <row r="54" spans="1:26" ht="25.95" customHeight="1" x14ac:dyDescent="0.3">
      <c r="A54" s="626" t="s">
        <v>2841</v>
      </c>
      <c r="B54" s="540" t="s">
        <v>3054</v>
      </c>
      <c r="C54" s="544" t="s">
        <v>96</v>
      </c>
      <c r="D54" s="544" t="s">
        <v>3055</v>
      </c>
      <c r="E54" s="627" t="s">
        <v>3061</v>
      </c>
      <c r="F54" s="542" t="s">
        <v>3062</v>
      </c>
      <c r="G54" s="542" t="s">
        <v>3058</v>
      </c>
      <c r="H54" s="543" t="s">
        <v>3059</v>
      </c>
      <c r="I54" s="628" t="s">
        <v>3063</v>
      </c>
      <c r="J54" s="621"/>
      <c r="K54" s="263"/>
      <c r="L54" s="263"/>
      <c r="M54" s="263"/>
      <c r="N54" s="263"/>
      <c r="O54" s="263"/>
      <c r="P54" s="242"/>
      <c r="Q54" s="242"/>
      <c r="R54" s="242"/>
      <c r="S54" s="242"/>
      <c r="T54" s="242"/>
      <c r="U54" s="242"/>
      <c r="V54" s="242"/>
      <c r="W54" s="242"/>
      <c r="X54" s="242"/>
      <c r="Y54" s="242"/>
      <c r="Z54" s="243"/>
    </row>
    <row r="55" spans="1:26" ht="25.95" customHeight="1" x14ac:dyDescent="0.3">
      <c r="A55" s="629" t="s">
        <v>3064</v>
      </c>
      <c r="B55" s="435" t="s">
        <v>3065</v>
      </c>
      <c r="C55" s="550" t="s">
        <v>98</v>
      </c>
      <c r="D55" s="577" t="s">
        <v>3026</v>
      </c>
      <c r="E55" s="630" t="s">
        <v>3066</v>
      </c>
      <c r="F55" s="549" t="s">
        <v>3067</v>
      </c>
      <c r="G55" s="549" t="s">
        <v>3068</v>
      </c>
      <c r="H55" s="436" t="s">
        <v>3069</v>
      </c>
      <c r="I55" s="438" t="s">
        <v>3070</v>
      </c>
      <c r="J55" s="620"/>
      <c r="K55" s="264"/>
      <c r="L55" s="264"/>
      <c r="M55" s="264"/>
      <c r="N55" s="264"/>
      <c r="O55" s="264"/>
      <c r="P55" s="242"/>
      <c r="Q55" s="242"/>
      <c r="R55" s="242"/>
      <c r="S55" s="242"/>
      <c r="T55" s="242"/>
      <c r="U55" s="242"/>
      <c r="V55" s="242"/>
      <c r="W55" s="242"/>
      <c r="X55" s="242"/>
      <c r="Y55" s="242"/>
      <c r="Z55" s="243"/>
    </row>
    <row r="56" spans="1:26" ht="25.95" customHeight="1" x14ac:dyDescent="0.3">
      <c r="A56" s="626" t="s">
        <v>3071</v>
      </c>
      <c r="B56" s="540" t="s">
        <v>3072</v>
      </c>
      <c r="C56" s="544" t="s">
        <v>2784</v>
      </c>
      <c r="D56" s="571" t="s">
        <v>3026</v>
      </c>
      <c r="E56" s="627" t="s">
        <v>2869</v>
      </c>
      <c r="F56" s="542" t="s">
        <v>3073</v>
      </c>
      <c r="G56" s="542" t="s">
        <v>3074</v>
      </c>
      <c r="H56" s="543" t="s">
        <v>3075</v>
      </c>
      <c r="I56" s="628" t="s">
        <v>3076</v>
      </c>
      <c r="J56" s="621"/>
      <c r="K56" s="263"/>
      <c r="L56" s="263"/>
      <c r="M56" s="263"/>
      <c r="N56" s="263"/>
      <c r="O56" s="263"/>
      <c r="P56" s="242"/>
      <c r="Q56" s="242"/>
      <c r="R56" s="242"/>
      <c r="S56" s="242"/>
      <c r="T56" s="242"/>
      <c r="U56" s="242"/>
      <c r="V56" s="242"/>
      <c r="W56" s="242"/>
      <c r="X56" s="242"/>
      <c r="Y56" s="242"/>
      <c r="Z56" s="243"/>
    </row>
    <row r="57" spans="1:26" ht="25.95" customHeight="1" thickBot="1" x14ac:dyDescent="0.35">
      <c r="A57" s="4032" t="s">
        <v>3077</v>
      </c>
      <c r="B57" s="4033"/>
      <c r="C57" s="4034"/>
      <c r="D57" s="4034"/>
      <c r="E57" s="4035"/>
      <c r="F57" s="4033"/>
      <c r="G57" s="4033"/>
      <c r="H57" s="4033"/>
      <c r="I57" s="4036"/>
      <c r="J57" s="4000"/>
      <c r="K57" s="4000"/>
      <c r="L57" s="4000"/>
      <c r="M57" s="4000"/>
      <c r="N57" s="4000"/>
      <c r="O57" s="4000"/>
      <c r="P57" s="4001"/>
      <c r="Q57" s="4001"/>
      <c r="R57" s="4001"/>
      <c r="S57" s="4001"/>
      <c r="T57" s="4001"/>
      <c r="U57" s="4001"/>
      <c r="V57" s="4001"/>
      <c r="W57" s="4001"/>
      <c r="X57" s="4001"/>
      <c r="Y57" s="4001"/>
      <c r="Z57" s="4002"/>
    </row>
    <row r="58" spans="1:26" ht="22.05" customHeight="1" x14ac:dyDescent="0.3">
      <c r="A58" s="636" t="s">
        <v>1932</v>
      </c>
      <c r="B58" s="634" t="str">
        <f>TEXT('M5-ICPI'!G26*100,"0,00")&amp;"%"</f>
        <v>0,00%</v>
      </c>
      <c r="C58" s="634" t="s">
        <v>3078</v>
      </c>
      <c r="D58" s="634" t="s">
        <v>3079</v>
      </c>
      <c r="E58" s="634" t="s">
        <v>3080</v>
      </c>
      <c r="F58" s="634" t="s">
        <v>3081</v>
      </c>
      <c r="G58" s="634" t="s">
        <v>3082</v>
      </c>
      <c r="H58" s="634" t="s">
        <v>3083</v>
      </c>
      <c r="I58" s="639" t="s">
        <v>3084</v>
      </c>
      <c r="J58" s="631"/>
      <c r="K58" s="522"/>
      <c r="L58" s="522"/>
      <c r="M58" s="522"/>
      <c r="N58" s="522"/>
      <c r="O58" s="522"/>
      <c r="P58" s="530"/>
      <c r="Q58" s="530"/>
      <c r="R58" s="530"/>
      <c r="S58" s="530"/>
      <c r="T58" s="530"/>
      <c r="U58" s="530"/>
      <c r="V58" s="530"/>
      <c r="W58" s="530"/>
      <c r="X58" s="530"/>
      <c r="Y58" s="530"/>
      <c r="Z58" s="531"/>
    </row>
    <row r="59" spans="1:26" ht="22.05" customHeight="1" x14ac:dyDescent="0.3">
      <c r="A59" s="637" t="s">
        <v>3085</v>
      </c>
      <c r="B59" s="523" t="s">
        <v>3086</v>
      </c>
      <c r="C59" s="523" t="s">
        <v>3087</v>
      </c>
      <c r="D59" s="523" t="s">
        <v>3088</v>
      </c>
      <c r="E59" s="523" t="s">
        <v>3089</v>
      </c>
      <c r="F59" s="523" t="s">
        <v>3090</v>
      </c>
      <c r="G59" s="524" t="s">
        <v>3091</v>
      </c>
      <c r="H59" s="523" t="s">
        <v>3092</v>
      </c>
      <c r="I59" s="640" t="s">
        <v>3093</v>
      </c>
      <c r="J59" s="620"/>
      <c r="K59" s="264"/>
      <c r="L59" s="264"/>
      <c r="M59" s="264"/>
      <c r="N59" s="264"/>
      <c r="O59" s="264"/>
      <c r="P59" s="242"/>
      <c r="Q59" s="242"/>
      <c r="R59" s="242"/>
      <c r="S59" s="242"/>
      <c r="T59" s="242"/>
      <c r="U59" s="242"/>
      <c r="V59" s="242"/>
      <c r="W59" s="242"/>
      <c r="X59" s="242"/>
      <c r="Y59" s="242"/>
      <c r="Z59" s="243"/>
    </row>
    <row r="60" spans="1:26" ht="22.05" customHeight="1" x14ac:dyDescent="0.3">
      <c r="A60" s="3997" t="s">
        <v>3094</v>
      </c>
      <c r="B60" s="3998"/>
      <c r="C60" s="3998"/>
      <c r="D60" s="3998"/>
      <c r="E60" s="3998"/>
      <c r="F60" s="3998"/>
      <c r="G60" s="3998"/>
      <c r="H60" s="3998"/>
      <c r="I60" s="3999"/>
      <c r="J60" s="4000"/>
      <c r="K60" s="4000"/>
      <c r="L60" s="4000"/>
      <c r="M60" s="4000"/>
      <c r="N60" s="4000"/>
      <c r="O60" s="4000"/>
      <c r="P60" s="4001"/>
      <c r="Q60" s="4001"/>
      <c r="R60" s="4001"/>
      <c r="S60" s="4001"/>
      <c r="T60" s="4001"/>
      <c r="U60" s="4001"/>
      <c r="V60" s="4001"/>
      <c r="W60" s="4001"/>
      <c r="X60" s="4001"/>
      <c r="Y60" s="4001"/>
      <c r="Z60" s="4002"/>
    </row>
    <row r="61" spans="1:26" ht="22.05" customHeight="1" thickBot="1" x14ac:dyDescent="0.35">
      <c r="A61" s="638"/>
      <c r="B61" s="635"/>
      <c r="C61" s="635"/>
      <c r="D61" s="635"/>
      <c r="E61" s="635"/>
      <c r="F61" s="635"/>
      <c r="G61" s="635"/>
      <c r="H61" s="635"/>
      <c r="I61" s="641"/>
      <c r="J61" s="632"/>
      <c r="K61" s="525"/>
      <c r="L61" s="525"/>
      <c r="M61" s="525"/>
      <c r="N61" s="525"/>
      <c r="O61" s="525"/>
      <c r="P61" s="532"/>
      <c r="Q61" s="532"/>
      <c r="R61" s="532"/>
      <c r="S61" s="532"/>
      <c r="T61" s="532"/>
      <c r="U61" s="532"/>
      <c r="V61" s="532"/>
      <c r="W61" s="532"/>
      <c r="X61" s="532"/>
      <c r="Y61" s="532"/>
      <c r="Z61" s="533"/>
    </row>
    <row r="62" spans="1:26" ht="6" customHeight="1" thickBot="1" x14ac:dyDescent="0.35">
      <c r="A62" s="643"/>
      <c r="B62" s="644"/>
      <c r="C62" s="644"/>
      <c r="D62" s="644"/>
      <c r="E62" s="644"/>
      <c r="F62" s="644"/>
      <c r="G62" s="644"/>
      <c r="H62" s="633"/>
      <c r="I62" s="633"/>
      <c r="J62" s="381"/>
      <c r="K62" s="381"/>
      <c r="L62" s="381"/>
      <c r="M62" s="381"/>
      <c r="N62" s="381"/>
      <c r="O62" s="381"/>
      <c r="P62" s="242"/>
      <c r="Q62" s="242"/>
      <c r="R62" s="242"/>
      <c r="S62" s="242"/>
      <c r="T62" s="242"/>
      <c r="U62" s="242"/>
      <c r="V62" s="242"/>
      <c r="W62" s="242"/>
      <c r="X62" s="242"/>
      <c r="Y62" s="242"/>
      <c r="Z62" s="243"/>
    </row>
    <row r="63" spans="1:26" ht="19.95" customHeight="1" x14ac:dyDescent="0.3">
      <c r="A63" s="3962" t="s">
        <v>3095</v>
      </c>
      <c r="B63" s="3963"/>
      <c r="C63" s="3963"/>
      <c r="D63" s="3963"/>
      <c r="E63" s="3963"/>
      <c r="F63" s="3963"/>
      <c r="G63" s="3964"/>
      <c r="H63" s="3364"/>
      <c r="I63" s="3364"/>
      <c r="J63" s="3364"/>
      <c r="K63" s="3364"/>
      <c r="L63" s="3364"/>
      <c r="M63" s="3364"/>
      <c r="N63" s="3364"/>
      <c r="O63" s="3364"/>
      <c r="P63" s="3907"/>
      <c r="Q63" s="3907"/>
      <c r="R63" s="3907"/>
      <c r="S63" s="3907"/>
      <c r="T63" s="3907"/>
      <c r="U63" s="3907"/>
      <c r="V63" s="3907"/>
      <c r="W63" s="3907"/>
      <c r="X63" s="3907"/>
      <c r="Y63" s="3907"/>
      <c r="Z63" s="3908"/>
    </row>
    <row r="64" spans="1:26" ht="19.95" customHeight="1" x14ac:dyDescent="0.3">
      <c r="A64" s="645" t="s">
        <v>3096</v>
      </c>
      <c r="B64" s="350" t="s">
        <v>5</v>
      </c>
      <c r="C64" s="350" t="s">
        <v>3097</v>
      </c>
      <c r="D64" s="350" t="s">
        <v>30</v>
      </c>
      <c r="E64" s="350" t="s">
        <v>774</v>
      </c>
      <c r="F64" s="350"/>
      <c r="G64" s="646"/>
      <c r="H64" s="316"/>
      <c r="I64" s="267"/>
      <c r="J64" s="267"/>
      <c r="K64" s="267"/>
      <c r="L64" s="267"/>
      <c r="M64" s="267"/>
      <c r="N64" s="267"/>
      <c r="O64" s="267"/>
      <c r="P64" s="242"/>
      <c r="Q64" s="242"/>
      <c r="R64" s="242"/>
      <c r="S64" s="242"/>
      <c r="T64" s="242"/>
      <c r="U64" s="242"/>
      <c r="V64" s="242"/>
      <c r="W64" s="242"/>
      <c r="X64" s="242"/>
      <c r="Y64" s="242"/>
      <c r="Z64" s="243"/>
    </row>
    <row r="65" spans="1:26" ht="22.05" customHeight="1" x14ac:dyDescent="0.3">
      <c r="A65" s="647" t="s">
        <v>1709</v>
      </c>
      <c r="B65" s="648" t="str">
        <f>TEXT('M5-ICPI'!G26*100,"0,00")&amp;"%"</f>
        <v>0,00%</v>
      </c>
      <c r="C65" s="649" t="s">
        <v>3098</v>
      </c>
      <c r="D65" s="648" t="str">
        <f>IF('M5-ICPI'!G29&gt;=70,"✅ OK","⚠ ALERTA — Transición Crítica")</f>
        <v>⚠ ALERTA — Transición Crítica</v>
      </c>
      <c r="E65" s="341" t="s">
        <v>3099</v>
      </c>
      <c r="F65" s="341"/>
      <c r="G65" s="650"/>
      <c r="H65" s="315"/>
      <c r="I65" s="266"/>
      <c r="J65" s="266"/>
      <c r="K65" s="266"/>
      <c r="L65" s="266"/>
      <c r="M65" s="266"/>
      <c r="N65" s="266"/>
      <c r="O65" s="266"/>
      <c r="P65" s="242"/>
      <c r="Q65" s="242"/>
      <c r="R65" s="242"/>
      <c r="S65" s="242"/>
      <c r="T65" s="242"/>
      <c r="U65" s="242"/>
      <c r="V65" s="242"/>
      <c r="W65" s="242"/>
      <c r="X65" s="242"/>
      <c r="Y65" s="242"/>
      <c r="Z65" s="243"/>
    </row>
    <row r="66" spans="1:26" ht="22.05" customHeight="1" x14ac:dyDescent="0.3">
      <c r="A66" s="651" t="s">
        <v>2559</v>
      </c>
      <c r="B66" s="652" t="str">
        <f>ROUND('DATA-CED'!N25*100,1)&amp;"%"</f>
        <v>0%</v>
      </c>
      <c r="C66" s="653" t="s">
        <v>2676</v>
      </c>
      <c r="D66" s="654" t="str">
        <f>IF('DATA-CED'!N25&gt;=0.7,"✅ OK","⚠ ALERTA — ejecución &lt;70%")</f>
        <v>⚠ ALERTA — ejecución &lt;70%</v>
      </c>
      <c r="E66" s="356" t="s">
        <v>3100</v>
      </c>
      <c r="F66" s="356"/>
      <c r="G66" s="655"/>
      <c r="H66" s="316"/>
      <c r="I66" s="267"/>
      <c r="J66" s="267"/>
      <c r="K66" s="267"/>
      <c r="L66" s="267"/>
      <c r="M66" s="267"/>
      <c r="N66" s="267"/>
      <c r="O66" s="267"/>
      <c r="P66" s="242"/>
      <c r="Q66" s="242"/>
      <c r="R66" s="242"/>
      <c r="S66" s="242"/>
      <c r="T66" s="242"/>
      <c r="U66" s="242"/>
      <c r="V66" s="242"/>
      <c r="W66" s="242"/>
      <c r="X66" s="242"/>
      <c r="Y66" s="242"/>
      <c r="Z66" s="243"/>
    </row>
    <row r="67" spans="1:26" ht="22.05" customHeight="1" thickBot="1" x14ac:dyDescent="0.35">
      <c r="A67" s="656" t="s">
        <v>3101</v>
      </c>
      <c r="B67" s="657" t="str">
        <f>COUNTIF('M4-AUDIT'!X5:X24,1)&amp;"/20"</f>
        <v>8/20</v>
      </c>
      <c r="C67" s="658" t="s">
        <v>3102</v>
      </c>
      <c r="D67" s="659" t="str">
        <f>IF(COUNTIF('M4-AUDIT'!X5:X24,1)=20,"✅ OK","⚠ "&amp;(20-COUNTIF('M4-AUDIT'!X5:X24,1))&amp;" metas sin cadena")</f>
        <v>⚠ 12 metas sin cadena</v>
      </c>
      <c r="E67" s="660" t="s">
        <v>3103</v>
      </c>
      <c r="F67" s="660"/>
      <c r="G67" s="661"/>
      <c r="H67" s="642"/>
      <c r="I67" s="519"/>
      <c r="J67" s="519"/>
      <c r="K67" s="519"/>
      <c r="L67" s="519"/>
      <c r="M67" s="519"/>
      <c r="N67" s="519"/>
      <c r="O67" s="519"/>
      <c r="P67" s="246"/>
      <c r="Q67" s="246"/>
      <c r="R67" s="246"/>
      <c r="S67" s="246"/>
      <c r="T67" s="246"/>
      <c r="U67" s="246"/>
      <c r="V67" s="246"/>
      <c r="W67" s="246"/>
      <c r="X67" s="246"/>
      <c r="Y67" s="246"/>
      <c r="Z67" s="247"/>
    </row>
    <row r="68" spans="1:26" ht="6" customHeight="1" x14ac:dyDescent="0.3">
      <c r="A68" s="526"/>
      <c r="B68" s="527"/>
      <c r="C68" s="527"/>
      <c r="D68" s="527"/>
      <c r="E68" s="527"/>
      <c r="F68" s="527"/>
      <c r="G68" s="527"/>
      <c r="H68" s="527"/>
      <c r="I68" s="527"/>
      <c r="J68" s="527"/>
      <c r="K68" s="527"/>
      <c r="L68" s="527"/>
      <c r="M68" s="527"/>
      <c r="N68" s="527"/>
      <c r="O68" s="527"/>
      <c r="P68" s="534"/>
      <c r="Q68" s="534"/>
      <c r="R68" s="534"/>
      <c r="S68" s="534"/>
      <c r="T68" s="534"/>
      <c r="U68" s="534"/>
      <c r="V68" s="534"/>
      <c r="W68" s="534"/>
      <c r="X68" s="534"/>
      <c r="Y68" s="534"/>
      <c r="Z68" s="534"/>
    </row>
    <row r="69" spans="1:26" ht="7.95" customHeight="1" thickBot="1" x14ac:dyDescent="0.35">
      <c r="A69" s="3995" t="s">
        <v>4257</v>
      </c>
      <c r="B69" s="3995"/>
      <c r="C69" s="3995"/>
      <c r="D69" s="3995"/>
      <c r="E69" s="3995"/>
      <c r="F69" s="3995"/>
      <c r="G69" s="3995"/>
      <c r="H69" s="3995"/>
      <c r="I69" s="3995"/>
      <c r="J69" s="3995"/>
      <c r="K69" s="3995"/>
      <c r="L69" s="3995"/>
      <c r="M69" s="3995"/>
      <c r="N69" s="3995"/>
      <c r="O69" s="3995"/>
      <c r="P69" s="3996"/>
      <c r="Q69" s="3996"/>
      <c r="R69" s="3996"/>
      <c r="S69" s="3996"/>
      <c r="T69" s="3996"/>
      <c r="U69" s="3996"/>
      <c r="V69" s="3996"/>
      <c r="W69" s="3996"/>
      <c r="X69" s="3996"/>
      <c r="Y69" s="3996"/>
      <c r="Z69" s="3996"/>
    </row>
    <row r="70" spans="1:26" ht="19.95" customHeight="1" x14ac:dyDescent="0.3">
      <c r="A70" s="4003" t="s">
        <v>4258</v>
      </c>
      <c r="B70" s="4004"/>
      <c r="C70" s="4004"/>
      <c r="D70" s="4004"/>
      <c r="E70" s="4004"/>
      <c r="F70" s="4004"/>
      <c r="G70" s="4005"/>
      <c r="H70" s="4006"/>
      <c r="I70" s="4006"/>
      <c r="J70" s="4006"/>
      <c r="K70" s="4006"/>
      <c r="L70" s="4006"/>
      <c r="M70" s="4006"/>
      <c r="N70" s="4006"/>
      <c r="O70" s="4006"/>
      <c r="P70" s="3555"/>
      <c r="Q70" s="3555"/>
      <c r="R70" s="3555"/>
      <c r="S70" s="3555"/>
      <c r="T70" s="3555"/>
      <c r="U70" s="3555"/>
      <c r="V70" s="3555"/>
      <c r="W70" s="3555"/>
      <c r="X70" s="3555"/>
      <c r="Y70" s="3555"/>
      <c r="Z70" s="3555"/>
    </row>
    <row r="71" spans="1:26" ht="19.95" customHeight="1" thickBot="1" x14ac:dyDescent="0.35">
      <c r="A71" s="4007" t="s">
        <v>4259</v>
      </c>
      <c r="B71" s="4008"/>
      <c r="C71" s="4008"/>
      <c r="D71" s="4008"/>
      <c r="E71" s="4008"/>
      <c r="F71" s="4008"/>
      <c r="G71" s="4009"/>
      <c r="H71" s="4008"/>
      <c r="I71" s="4008"/>
      <c r="J71" s="4008"/>
      <c r="K71" s="4008"/>
      <c r="L71" s="4008"/>
      <c r="M71" s="4008"/>
      <c r="N71" s="4008"/>
      <c r="O71" s="4008"/>
      <c r="P71" s="4010"/>
      <c r="Q71" s="4010"/>
      <c r="R71" s="4010"/>
      <c r="S71" s="4010"/>
      <c r="T71" s="4010"/>
      <c r="U71" s="4010"/>
      <c r="V71" s="4010"/>
      <c r="W71" s="4010"/>
      <c r="X71" s="4010"/>
      <c r="Y71" s="4010"/>
      <c r="Z71" s="4010"/>
    </row>
    <row r="72" spans="1:26" ht="19.95" customHeight="1" thickTop="1" x14ac:dyDescent="0.3">
      <c r="A72" s="665" t="s">
        <v>4260</v>
      </c>
      <c r="B72" s="666" t="s">
        <v>4261</v>
      </c>
      <c r="C72" s="666" t="s">
        <v>852</v>
      </c>
      <c r="D72" s="666" t="s">
        <v>30</v>
      </c>
      <c r="E72" s="666" t="s">
        <v>4262</v>
      </c>
      <c r="F72" s="666" t="s">
        <v>1930</v>
      </c>
      <c r="G72" s="667" t="s">
        <v>4263</v>
      </c>
      <c r="H72" s="520"/>
      <c r="I72" s="520"/>
      <c r="J72" s="520"/>
      <c r="K72" s="520"/>
      <c r="L72" s="520"/>
      <c r="M72" s="520"/>
      <c r="N72" s="520"/>
      <c r="O72" s="520"/>
      <c r="P72" s="534"/>
      <c r="Q72" s="534"/>
      <c r="R72" s="534"/>
      <c r="S72" s="534"/>
      <c r="T72" s="534"/>
      <c r="U72" s="534"/>
      <c r="V72" s="534"/>
      <c r="W72" s="534"/>
      <c r="X72" s="534"/>
      <c r="Y72" s="534"/>
      <c r="Z72" s="534"/>
    </row>
    <row r="73" spans="1:26" ht="22.05" customHeight="1" x14ac:dyDescent="0.3">
      <c r="A73" s="668" t="s">
        <v>4264</v>
      </c>
      <c r="B73" s="669" t="s">
        <v>745</v>
      </c>
      <c r="C73" s="670" t="s">
        <v>4265</v>
      </c>
      <c r="D73" s="648" t="str">
        <f>IF(ABS('M2-PLAN-Pi'!F34-1)&lt;0.0001,"✅ OK","❌ ERROR: ΣPi="&amp;ROUND('M2-PLAN-Pi'!F34,6))</f>
        <v>✅ OK</v>
      </c>
      <c r="E73" s="671" t="str">
        <f>"ΣPi = "&amp;ROUND('M2-PLAN-Pi'!F34,6)&amp;" | Tolerancia ±0.0001 | n=20 pesos"</f>
        <v>ΣPi = 1 | Tolerancia ±0.0001 | n=20 pesos</v>
      </c>
      <c r="F73" s="670" t="s">
        <v>4266</v>
      </c>
      <c r="G73" s="672" t="s">
        <v>96</v>
      </c>
      <c r="H73" s="520"/>
      <c r="I73" s="520"/>
      <c r="J73" s="520"/>
      <c r="K73" s="520"/>
      <c r="L73" s="520"/>
      <c r="M73" s="520"/>
      <c r="N73" s="520"/>
      <c r="O73" s="520"/>
      <c r="P73" s="534"/>
      <c r="Q73" s="534"/>
      <c r="R73" s="534"/>
      <c r="S73" s="534"/>
      <c r="T73" s="534"/>
      <c r="U73" s="534"/>
      <c r="V73" s="534"/>
      <c r="W73" s="534"/>
      <c r="X73" s="534"/>
      <c r="Y73" s="534"/>
      <c r="Z73" s="534"/>
    </row>
    <row r="74" spans="1:26" ht="22.05" customHeight="1" x14ac:dyDescent="0.3">
      <c r="A74" s="673" t="s">
        <v>4267</v>
      </c>
      <c r="B74" s="674" t="s">
        <v>4268</v>
      </c>
      <c r="C74" s="675" t="s">
        <v>3224</v>
      </c>
      <c r="D74" s="652" t="str">
        <f>IF(COUNTA('M5-ICPI'!A5:A24)=20,"✅ OK","❌ ERROR: "&amp;COUNTA('M5-ICPI'!A5:A24)&amp;" metas detectadas")</f>
        <v>✅ OK</v>
      </c>
      <c r="E74" s="676" t="str">
        <f>"Metas en ICPI!A5:A24: "&amp;COUNTA('M5-ICPI'!A5:A24)&amp;" | Esperado: 20 | Rango excluye fila 25 (Σ TOTAL)"</f>
        <v>Metas en ICPI!A5:A24: 20 | Esperado: 20 | Rango excluye fila 25 (Σ TOTAL)</v>
      </c>
      <c r="F74" s="675" t="s">
        <v>4269</v>
      </c>
      <c r="G74" s="677" t="s">
        <v>96</v>
      </c>
      <c r="H74" s="520"/>
      <c r="I74" s="520"/>
      <c r="J74" s="520"/>
      <c r="K74" s="520"/>
      <c r="L74" s="520"/>
      <c r="M74" s="520"/>
      <c r="N74" s="520"/>
      <c r="O74" s="520"/>
      <c r="P74" s="534"/>
      <c r="Q74" s="534"/>
      <c r="R74" s="534"/>
      <c r="S74" s="534"/>
      <c r="T74" s="534"/>
      <c r="U74" s="534"/>
      <c r="V74" s="534"/>
      <c r="W74" s="534"/>
      <c r="X74" s="534"/>
      <c r="Y74" s="534"/>
      <c r="Z74" s="534"/>
    </row>
    <row r="75" spans="1:26" ht="22.05" customHeight="1" x14ac:dyDescent="0.3">
      <c r="A75" s="668" t="s">
        <v>4270</v>
      </c>
      <c r="B75" s="669" t="s">
        <v>4271</v>
      </c>
      <c r="C75" s="670" t="s">
        <v>4272</v>
      </c>
      <c r="D75" s="648" t="str">
        <f>IF(COUNTIF('M5-ICPI'!C5:C24,0)+COUNTBLANK('M5-ICPI'!C5:C24)=0,"✅ OK","❌ ERROR: "&amp;(COUNTIF('M5-ICPI'!C5:C24,0)+COUNTBLANK('M5-ICPI'!C5:C24))&amp;" meta(s) sin Pi")</f>
        <v>✅ OK</v>
      </c>
      <c r="E75" s="671" t="str">
        <f>"Pi=0: "&amp;COUNTIF('M5-ICPI'!C5:C24,0)&amp;" | Pi vacío: "&amp;COUNTBLANK('M5-ICPI'!C5:C24)&amp;" | Pi min: "&amp;ROUND(MIN('M5-ICPI'!C5:C24),6)</f>
        <v>Pi=0: 0 | Pi vacío: 0 | Pi min: 0,003327</v>
      </c>
      <c r="F75" s="670" t="s">
        <v>4273</v>
      </c>
      <c r="G75" s="672" t="s">
        <v>96</v>
      </c>
      <c r="H75" s="520"/>
      <c r="I75" s="520"/>
      <c r="J75" s="520"/>
      <c r="K75" s="520"/>
      <c r="L75" s="520"/>
      <c r="M75" s="520"/>
      <c r="N75" s="520"/>
      <c r="O75" s="520"/>
      <c r="P75" s="534"/>
      <c r="Q75" s="534"/>
      <c r="R75" s="534"/>
      <c r="S75" s="534"/>
      <c r="T75" s="534"/>
      <c r="U75" s="534"/>
      <c r="V75" s="534"/>
      <c r="W75" s="534"/>
      <c r="X75" s="534"/>
      <c r="Y75" s="534"/>
      <c r="Z75" s="534"/>
    </row>
    <row r="76" spans="1:26" ht="22.05" customHeight="1" x14ac:dyDescent="0.3">
      <c r="A76" s="673" t="s">
        <v>4274</v>
      </c>
      <c r="B76" s="674" t="s">
        <v>4275</v>
      </c>
      <c r="C76" s="675" t="s">
        <v>4276</v>
      </c>
      <c r="D76" s="652" t="str">
        <f>IF(COUNTIF('M5-ICPI'!D5:D24,0)+COUNTBLANK('M5-ICPI'!D5:D24)=0,"✅ OK","⚠️ AVISO: "&amp;(COUNTIF('M5-ICPI'!D5:D24,0)+COUNTBLANK('M5-ICPI'!D5:D24))&amp;" meta(s) con Ri=0")</f>
        <v>✅ OK</v>
      </c>
      <c r="E76" s="676" t="str">
        <f>"Ri=0: "&amp;COUNTIF('M5-ICPI'!D5:D24,0)&amp;" | Ri vacío: "&amp;COUNTBLANK('M5-ICPI'!D5:D24)&amp;" | Ri min: "&amp;MIN('M5-ICPI'!D5:D24)&amp;" | Ri max: "&amp;MAX('M5-ICPI'!D5:D24)</f>
        <v>Ri=0: 0 | Ri vacío: 0 | Ri min: 0,5 | Ri max: 1,5</v>
      </c>
      <c r="F76" s="675" t="s">
        <v>4277</v>
      </c>
      <c r="G76" s="677" t="s">
        <v>98</v>
      </c>
      <c r="H76" s="520"/>
      <c r="I76" s="520"/>
      <c r="J76" s="520"/>
      <c r="K76" s="520"/>
      <c r="L76" s="520"/>
      <c r="M76" s="520"/>
      <c r="N76" s="520"/>
      <c r="O76" s="520"/>
      <c r="P76" s="534"/>
      <c r="Q76" s="534"/>
      <c r="R76" s="534"/>
      <c r="S76" s="534"/>
      <c r="T76" s="534"/>
      <c r="U76" s="534"/>
      <c r="V76" s="534"/>
      <c r="W76" s="534"/>
      <c r="X76" s="534"/>
      <c r="Y76" s="534"/>
      <c r="Z76" s="534"/>
    </row>
    <row r="77" spans="1:26" ht="22.05" customHeight="1" x14ac:dyDescent="0.3">
      <c r="A77" s="668" t="s">
        <v>4278</v>
      </c>
      <c r="B77" s="669" t="s">
        <v>4279</v>
      </c>
      <c r="C77" s="670" t="s">
        <v>4280</v>
      </c>
      <c r="D77" s="648" t="str" cm="1">
        <f t="array" ref="D77">IF(SUMPRODUCT(('M5-ICPI'!E5:E24&lt;&gt;0)*('M5-ICPI'!E5:E24&lt;&gt;1))=0,"✅ OK","❌ ERROR: "&amp;SUMPRODUCT(('M5-ICPI'!E5:E24&lt;&gt;0)*('M5-ICPI'!E5:E24&lt;&gt;1))&amp;" valor(es) fuera de {0,1}")</f>
        <v>✅ OK</v>
      </c>
      <c r="E77" s="671" t="str">
        <f>"Vi=1: "&amp;COUNTIF('M5-ICPI'!E5:E24,1)&amp;" metas ✓ | Vi=0: "&amp;COUNTIF('M5-ICPI'!E5:E24,0)&amp;" metas sin evidencia | Total: "&amp;COUNTA('M5-ICPI'!E5:E24)</f>
        <v>Vi=1: 15 metas ✓ | Vi=0: 5 metas sin evidencia | Total: 20</v>
      </c>
      <c r="F77" s="670" t="s">
        <v>4281</v>
      </c>
      <c r="G77" s="672" t="s">
        <v>96</v>
      </c>
      <c r="H77" s="520"/>
      <c r="I77" s="520"/>
      <c r="J77" s="520"/>
      <c r="K77" s="520"/>
      <c r="L77" s="520"/>
      <c r="M77" s="520"/>
      <c r="N77" s="520"/>
      <c r="O77" s="520"/>
      <c r="P77" s="534"/>
      <c r="Q77" s="534"/>
      <c r="R77" s="534"/>
      <c r="S77" s="534"/>
      <c r="T77" s="534"/>
      <c r="U77" s="534"/>
      <c r="V77" s="534"/>
      <c r="W77" s="534"/>
      <c r="X77" s="534"/>
      <c r="Y77" s="534"/>
      <c r="Z77" s="534"/>
    </row>
    <row r="78" spans="1:26" ht="22.05" customHeight="1" x14ac:dyDescent="0.3">
      <c r="A78" s="673" t="s">
        <v>4282</v>
      </c>
      <c r="B78" s="674" t="s">
        <v>4283</v>
      </c>
      <c r="C78" s="675" t="s">
        <v>4280</v>
      </c>
      <c r="D78" s="652" t="str" cm="1">
        <f t="array" ref="D78">IF(SUMPRODUCT(('M5-ICPI'!F5:F24&lt;0)+('M5-ICPI'!F5:F24&gt;1))=0,"✅ OK","❌ ERROR: "&amp;SUMPRODUCT(('M5-ICPI'!F5:F24&lt;0)+('M5-ICPI'!F5:F24&gt;1))&amp;" valor(es) fuera de [0,1]")</f>
        <v>✅ OK</v>
      </c>
      <c r="E78" s="676" t="str">
        <f>"Ti min: "&amp;MIN('M5-ICPI'!F5:F24)&amp;" | Ti max: "&amp;MAX('M5-ICPI'!F5:F24)&amp;" | Ti promedio: "&amp;ROUND(AVERAGE('M5-ICPI'!F5:F24),3)&amp;" | Ti=0: "&amp;COUNTIF('M5-ICPI'!F5:F24,0)</f>
        <v>Ti min: 0 | Ti max: 1 | Ti promedio: 0,463 | Ti=0: 2</v>
      </c>
      <c r="F78" s="675" t="s">
        <v>4284</v>
      </c>
      <c r="G78" s="677" t="s">
        <v>96</v>
      </c>
      <c r="H78" s="520"/>
      <c r="I78" s="520"/>
      <c r="J78" s="520"/>
      <c r="K78" s="520"/>
      <c r="L78" s="520"/>
      <c r="M78" s="520"/>
      <c r="N78" s="520"/>
      <c r="O78" s="520"/>
      <c r="P78" s="534"/>
      <c r="Q78" s="534"/>
      <c r="R78" s="534"/>
      <c r="S78" s="534"/>
      <c r="T78" s="534"/>
      <c r="U78" s="534"/>
      <c r="V78" s="534"/>
      <c r="W78" s="534"/>
      <c r="X78" s="534"/>
      <c r="Y78" s="534"/>
      <c r="Z78" s="534"/>
    </row>
    <row r="79" spans="1:26" ht="22.05" customHeight="1" x14ac:dyDescent="0.3">
      <c r="A79" s="668" t="s">
        <v>4285</v>
      </c>
      <c r="B79" s="669" t="s">
        <v>4286</v>
      </c>
      <c r="C79" s="670" t="s">
        <v>4280</v>
      </c>
      <c r="D79" s="648" t="str" cm="1">
        <f t="array" ref="D79">IF(SUMPRODUCT(('M5-ICPI'!I5:I24&lt;0)+('M5-ICPI'!I5:I24&gt;1))=0,"✅ OK","❌ ERROR: "&amp;SUMPRODUCT(('M5-ICPI'!I5:I24&lt;0)+('M5-ICPI'!I5:I24&gt;1))&amp;" valor(es) fuera de [0,1]")</f>
        <v>✅ OK</v>
      </c>
      <c r="E79" s="671" t="str">
        <f>"Ci=1: "&amp;COUNTIF('M5-ICPI'!I5:I24,1)&amp;" | Ci&lt;1: "&amp;COUNTIF('M5-ICPI'!I5:I24,"&lt;1")&amp;" | Ci min: "&amp;MIN('M5-ICPI'!I5:I24)&amp;" | Ci promedio: "&amp;ROUND(AVERAGE('M5-ICPI'!I5:I24),3)</f>
        <v>Ci=1: 17 | Ci&lt;1: 3 | Ci min: 0,75 | Ci promedio: 0,978</v>
      </c>
      <c r="F79" s="670" t="s">
        <v>4287</v>
      </c>
      <c r="G79" s="672" t="s">
        <v>98</v>
      </c>
      <c r="H79" s="520"/>
      <c r="I79" s="520"/>
      <c r="J79" s="520"/>
      <c r="K79" s="520"/>
      <c r="L79" s="520"/>
      <c r="M79" s="520"/>
      <c r="N79" s="520"/>
      <c r="O79" s="520"/>
      <c r="P79" s="534"/>
      <c r="Q79" s="534"/>
      <c r="R79" s="534"/>
      <c r="S79" s="534"/>
      <c r="T79" s="534"/>
      <c r="U79" s="534"/>
      <c r="V79" s="534"/>
      <c r="W79" s="534"/>
      <c r="X79" s="534"/>
      <c r="Y79" s="534"/>
      <c r="Z79" s="534"/>
    </row>
    <row r="80" spans="1:26" ht="22.05" customHeight="1" x14ac:dyDescent="0.3">
      <c r="A80" s="673" t="s">
        <v>4288</v>
      </c>
      <c r="B80" s="674" t="s">
        <v>4289</v>
      </c>
      <c r="C80" s="675" t="s">
        <v>3224</v>
      </c>
      <c r="D80" s="652" t="str" cm="1">
        <f t="array" ref="D80">IF(SUMPRODUCT((COUNTIF('M5-ICPI'!A5:A24,'M5-ICPI'!A5:A24)-1))=0,"✅ OK","❌ ERROR: "&amp;SUMPRODUCT((COUNTIF('M5-ICPI'!A5:A24,'M5-ICPI'!A5:A24)-1))/2&amp;" par(es) duplicados")</f>
        <v>✅ OK</v>
      </c>
      <c r="E80" s="676" t="str" cm="1">
        <f t="array" ref="E80">"Códigos únicos en ICPI: "&amp;SUMPRODUCT(1/COUNTIF('M5-ICPI'!A5:A24,'M5-ICPI'!A5:A24))&amp;" / 20 esperado | Duplicados distorsionan ΣPi"</f>
        <v>Códigos únicos en ICPI: 20 / 20 esperado | Duplicados distorsionan ΣPi</v>
      </c>
      <c r="F80" s="675" t="s">
        <v>4269</v>
      </c>
      <c r="G80" s="677" t="s">
        <v>96</v>
      </c>
      <c r="H80" s="520"/>
      <c r="I80" s="520"/>
      <c r="J80" s="520"/>
      <c r="K80" s="520"/>
      <c r="L80" s="520"/>
      <c r="M80" s="520"/>
      <c r="N80" s="520"/>
      <c r="O80" s="520"/>
      <c r="P80" s="534"/>
      <c r="Q80" s="534"/>
      <c r="R80" s="534"/>
      <c r="S80" s="534"/>
      <c r="T80" s="534"/>
      <c r="U80" s="534"/>
      <c r="V80" s="534"/>
      <c r="W80" s="534"/>
      <c r="X80" s="534"/>
      <c r="Y80" s="534"/>
      <c r="Z80" s="534"/>
    </row>
    <row r="81" spans="1:26" ht="22.05" customHeight="1" x14ac:dyDescent="0.3">
      <c r="A81" s="668" t="s">
        <v>4290</v>
      </c>
      <c r="B81" s="669" t="s">
        <v>4291</v>
      </c>
      <c r="C81" s="670" t="s">
        <v>4272</v>
      </c>
      <c r="D81" s="648" t="str" cm="1">
        <f t="array" ref="D81">IF(SUMPRODUCT(--(ISNA(MATCH('M5-ICPI'!A5:A24,'M2-PLAN-Pi'!B14:B33,0))))=0,"✅ OK","❌ ERROR: "&amp;SUMPRODUCT(--(ISNA(MATCH('M5-ICPI'!A5:A24,'M2-PLAN-Pi'!B14:B33,0))))&amp;" código(s) ICPI no encontrado(s) en PONDER")</f>
        <v>✅ OK</v>
      </c>
      <c r="E81" s="671" t="str" cm="1">
        <f t="array" ref="E81">"ICPI sin par en PONDER: "&amp;SUMPRODUCT(--(ISNA(MATCH('M5-ICPI'!A5:A24,'M2-PLAN-Pi'!B14:B33,0))))&amp;" | Si &gt;0: Pi incorrecto (posicional roto)"</f>
        <v>ICPI sin par en PONDER: 0 | Si &gt;0: Pi incorrecto (posicional roto)</v>
      </c>
      <c r="F81" s="670" t="s">
        <v>4292</v>
      </c>
      <c r="G81" s="672" t="s">
        <v>96</v>
      </c>
      <c r="H81" s="520"/>
      <c r="I81" s="520"/>
      <c r="J81" s="520"/>
      <c r="K81" s="520"/>
      <c r="L81" s="520"/>
      <c r="M81" s="520"/>
      <c r="N81" s="520"/>
      <c r="O81" s="520"/>
      <c r="P81" s="534"/>
      <c r="Q81" s="534"/>
      <c r="R81" s="534"/>
      <c r="S81" s="534"/>
      <c r="T81" s="534"/>
      <c r="U81" s="534"/>
      <c r="V81" s="534"/>
      <c r="W81" s="534"/>
      <c r="X81" s="534"/>
      <c r="Y81" s="534"/>
      <c r="Z81" s="534"/>
    </row>
    <row r="82" spans="1:26" ht="22.05" customHeight="1" x14ac:dyDescent="0.3">
      <c r="A82" s="673" t="s">
        <v>4293</v>
      </c>
      <c r="B82" s="674" t="s">
        <v>4294</v>
      </c>
      <c r="C82" s="675" t="s">
        <v>4280</v>
      </c>
      <c r="D82" s="652" t="str" cm="1">
        <f t="array" ref="D82">IF(SUMPRODUCT(--(ISNA(MATCH('M5-ICPI'!A5:A24,'M4-AUDIT'!A5:A24,0))))=0,"✅ OK","❌ ERROR: "&amp;SUMPRODUCT(--(ISNA(MATCH('M5-ICPI'!A5:A24,'M4-AUDIT'!A5:A24,0))))&amp;" código(s) del motor sin fila en MAD")</f>
        <v>✅ OK</v>
      </c>
      <c r="E82" s="676" t="str" cm="1">
        <f t="array" ref="E82">"ICPI sin par en MAD: "&amp;SUMPRODUCT(--(ISNA(MATCH('M5-ICPI'!A5:A24,'M4-AUDIT'!A5:A24,0))))&amp;" | Si &gt;0: Vi/Ti/Ci usarán defaults (1/0/1)"</f>
        <v>ICPI sin par en MAD: 0 | Si &gt;0: Vi/Ti/Ci usarán defaults (1/0/1)</v>
      </c>
      <c r="F82" s="675" t="s">
        <v>4295</v>
      </c>
      <c r="G82" s="677" t="s">
        <v>96</v>
      </c>
      <c r="H82" s="520"/>
      <c r="I82" s="520"/>
      <c r="J82" s="520"/>
      <c r="K82" s="520"/>
      <c r="L82" s="520"/>
      <c r="M82" s="520"/>
      <c r="N82" s="520"/>
      <c r="O82" s="520"/>
      <c r="P82" s="534"/>
      <c r="Q82" s="534"/>
      <c r="R82" s="534"/>
      <c r="S82" s="534"/>
      <c r="T82" s="534"/>
      <c r="U82" s="534"/>
      <c r="V82" s="534"/>
      <c r="W82" s="534"/>
      <c r="X82" s="534"/>
      <c r="Y82" s="534"/>
      <c r="Z82" s="534"/>
    </row>
    <row r="83" spans="1:26" ht="22.05" customHeight="1" x14ac:dyDescent="0.3">
      <c r="A83" s="668" t="s">
        <v>4296</v>
      </c>
      <c r="B83" s="669" t="s">
        <v>4297</v>
      </c>
      <c r="C83" s="670" t="s">
        <v>4298</v>
      </c>
      <c r="D83" s="648" t="str" cm="1">
        <f t="array" ref="D83">IF(SUMPRODUCT(--(ISNA(MATCH('M2-PDOT'!B4:B23,'M4-AUDIT'!A5:A24,0))))=0,"✅ OK","⚠️ AVISO: "&amp;SUMPRODUCT(--(ISNA(MATCH('M2-PDOT'!B4:B23,'M4-AUDIT'!A5:A24,0))))&amp;" meta(s) PDOT ausente(s) en MAD")</f>
        <v>✅ OK</v>
      </c>
      <c r="E83" s="671" t="str" cm="1">
        <f t="array" ref="E83">"Metas PDOT sin par en MAD: "&amp;SUMPRODUCT(--(ISNA(MATCH('M2-PDOT'!B4:B23,'M4-AUDIT'!A5:A24,0))))&amp;" | Metas MAD sin par en PDOT: "&amp;SUMPRODUCT(--(ISNA(MATCH('M4-AUDIT'!A5:A24,'M2-PDOT'!B4:B23,0))))</f>
        <v>Metas PDOT sin par en MAD: 0 | Metas MAD sin par en PDOT: 0</v>
      </c>
      <c r="F83" s="670" t="s">
        <v>4299</v>
      </c>
      <c r="G83" s="672" t="s">
        <v>1174</v>
      </c>
      <c r="H83" s="520"/>
      <c r="I83" s="520"/>
      <c r="J83" s="520"/>
      <c r="K83" s="520"/>
      <c r="L83" s="520"/>
      <c r="M83" s="520"/>
      <c r="N83" s="520"/>
      <c r="O83" s="520"/>
      <c r="P83" s="534"/>
      <c r="Q83" s="534"/>
      <c r="R83" s="534"/>
      <c r="S83" s="534"/>
      <c r="T83" s="534"/>
      <c r="U83" s="534"/>
      <c r="V83" s="534"/>
      <c r="W83" s="534"/>
      <c r="X83" s="534"/>
      <c r="Y83" s="534"/>
      <c r="Z83" s="534"/>
    </row>
    <row r="84" spans="1:26" ht="22.05" customHeight="1" thickBot="1" x14ac:dyDescent="0.35">
      <c r="A84" s="678" t="s">
        <v>4300</v>
      </c>
      <c r="B84" s="679" t="s">
        <v>4301</v>
      </c>
      <c r="C84" s="680" t="s">
        <v>4302</v>
      </c>
      <c r="D84" s="681" t="str">
        <f>IF('M5-ICPI'!H25&gt;0,"✅ OK — Σ(Pi×Ri)="&amp;ROUND('M5-ICPI'!H25,4),"❌ ERROR CRÍTICO: Denominador ="&amp;'M5-ICPI'!H25)</f>
        <v>✅ OK — Σ(Pi×Ri)=1,0659</v>
      </c>
      <c r="E84" s="682" t="str">
        <f>"Σ(Pi×Ri) = "&amp;ROUND('M5-ICPI'!H25,6)&amp;" | Ref. Fase 2: 1.065905 | Δ = "&amp;ROUND('M5-ICPI'!H25-1.065905,6)</f>
        <v>Σ(Pi×Ri) = 1,065905 | Ref. Fase 2: 1.065905 | Δ = 0</v>
      </c>
      <c r="F84" s="680" t="s">
        <v>4303</v>
      </c>
      <c r="G84" s="683" t="s">
        <v>96</v>
      </c>
      <c r="H84" s="520"/>
      <c r="I84" s="520"/>
      <c r="J84" s="520"/>
      <c r="K84" s="520"/>
      <c r="L84" s="520"/>
      <c r="M84" s="520"/>
      <c r="N84" s="520"/>
      <c r="O84" s="520"/>
      <c r="P84" s="534"/>
      <c r="Q84" s="534"/>
      <c r="R84" s="534"/>
      <c r="S84" s="534"/>
      <c r="T84" s="534"/>
      <c r="U84" s="534"/>
      <c r="V84" s="534"/>
      <c r="W84" s="534"/>
      <c r="X84" s="534"/>
      <c r="Y84" s="534"/>
      <c r="Z84" s="534"/>
    </row>
    <row r="85" spans="1:26" ht="69.599999999999994" thickBot="1" x14ac:dyDescent="0.35">
      <c r="A85" s="662" t="s">
        <v>4304</v>
      </c>
      <c r="B85" s="663" t="s">
        <v>4305</v>
      </c>
      <c r="C85" s="663" t="s">
        <v>4302</v>
      </c>
      <c r="D85" s="663" t="str">
        <f>IF(AND('M5-ICPI'!G29&gt;=0,'M5-ICPI'!G29&lt;=100),"✅ OK — ICPI="&amp;ROUND('M5-ICPI'!G29,2)&amp;"%","❌ ERROR: ICPI fuera de rango: "&amp;ROUND('M5-ICPI'!G29,2)&amp;"%")</f>
        <v>✅ OK — ICPI=38,28%</v>
      </c>
      <c r="E85" s="663" t="str">
        <f>"ICPI = "&amp;ROUND('M5-ICPI'!G29,4)&amp;"% | Numerador: "&amp;ROUND('M5-ICPI'!G25,4)&amp;" | Denominador: "&amp;ROUND('M5-ICPI'!H25,4)&amp;" | Ref.: 41.53%"</f>
        <v>ICPI = 38,2766% | Numerador: 0,408 | Denominador: 1,0659 | Ref.: 41.53%</v>
      </c>
      <c r="F85" s="663" t="s">
        <v>4306</v>
      </c>
      <c r="G85" s="664" t="s">
        <v>96</v>
      </c>
      <c r="H85" s="529"/>
      <c r="I85" s="529"/>
      <c r="J85" s="529"/>
      <c r="K85" s="529"/>
      <c r="L85" s="529"/>
      <c r="M85" s="529"/>
      <c r="N85" s="529"/>
      <c r="O85" s="529"/>
      <c r="P85" s="535"/>
      <c r="Q85" s="535"/>
      <c r="R85" s="535"/>
      <c r="S85" s="535"/>
      <c r="T85" s="535"/>
      <c r="U85" s="535"/>
      <c r="V85" s="535"/>
      <c r="W85" s="535"/>
      <c r="X85" s="535"/>
      <c r="Y85" s="535"/>
      <c r="Z85" s="535"/>
    </row>
    <row r="86" spans="1:26" ht="10.050000000000001" customHeight="1" thickTop="1" x14ac:dyDescent="0.3">
      <c r="A86" s="526"/>
      <c r="B86" s="527"/>
      <c r="C86" s="527"/>
      <c r="D86" s="527"/>
      <c r="E86" s="527"/>
      <c r="F86" s="527"/>
      <c r="G86" s="527"/>
      <c r="H86" s="527"/>
      <c r="I86" s="527"/>
      <c r="J86" s="527"/>
      <c r="K86" s="527"/>
      <c r="L86" s="527"/>
      <c r="M86" s="527"/>
      <c r="N86" s="527"/>
      <c r="O86" s="527"/>
      <c r="P86" s="534"/>
      <c r="Q86" s="534"/>
      <c r="R86" s="534"/>
      <c r="S86" s="534"/>
      <c r="T86" s="534"/>
      <c r="U86" s="534"/>
      <c r="V86" s="534"/>
      <c r="W86" s="534"/>
      <c r="X86" s="534"/>
      <c r="Y86" s="534"/>
      <c r="Z86" s="534"/>
    </row>
    <row r="87" spans="1:26" ht="10.050000000000001" customHeight="1" x14ac:dyDescent="0.3">
      <c r="A87" s="3993" t="s">
        <v>4307</v>
      </c>
      <c r="B87" s="3994"/>
      <c r="C87" s="3994"/>
      <c r="D87" s="3994"/>
      <c r="E87" s="3994"/>
      <c r="F87" s="3994"/>
      <c r="G87" s="3994"/>
      <c r="H87" s="3994"/>
      <c r="I87" s="3994"/>
      <c r="J87" s="3994"/>
      <c r="K87" s="3994"/>
      <c r="L87" s="3994"/>
      <c r="M87" s="3994"/>
      <c r="N87" s="3994"/>
      <c r="O87" s="3994"/>
      <c r="P87" s="3555"/>
      <c r="Q87" s="3555"/>
      <c r="R87" s="3555"/>
      <c r="S87" s="3555"/>
      <c r="T87" s="3555"/>
      <c r="U87" s="3555"/>
      <c r="V87" s="3555"/>
      <c r="W87" s="3555"/>
      <c r="X87" s="3555"/>
      <c r="Y87" s="3555"/>
      <c r="Z87" s="3555"/>
    </row>
    <row r="88" spans="1:26" ht="19.95" customHeight="1" x14ac:dyDescent="0.3">
      <c r="A88" s="3993" t="s">
        <v>4308</v>
      </c>
      <c r="B88" s="3994"/>
      <c r="C88" s="3994"/>
      <c r="D88" s="3994"/>
      <c r="E88" s="3994"/>
      <c r="F88" s="3994"/>
      <c r="G88" s="3994"/>
      <c r="H88" s="3994"/>
      <c r="I88" s="3994"/>
      <c r="J88" s="3994"/>
      <c r="K88" s="3994"/>
      <c r="L88" s="3994"/>
      <c r="M88" s="3994"/>
      <c r="N88" s="3994"/>
      <c r="O88" s="3994"/>
      <c r="P88" s="3555"/>
      <c r="Q88" s="3555"/>
      <c r="R88" s="3555"/>
      <c r="S88" s="3555"/>
      <c r="T88" s="3555"/>
      <c r="U88" s="3555"/>
      <c r="V88" s="3555"/>
      <c r="W88" s="3555"/>
      <c r="X88" s="3555"/>
      <c r="Y88" s="3555"/>
      <c r="Z88" s="3555"/>
    </row>
  </sheetData>
  <mergeCells count="15">
    <mergeCell ref="A88:Z88"/>
    <mergeCell ref="A1:Z1"/>
    <mergeCell ref="A69:Z69"/>
    <mergeCell ref="A60:Z60"/>
    <mergeCell ref="A63:Z63"/>
    <mergeCell ref="A70:Z70"/>
    <mergeCell ref="A71:Z71"/>
    <mergeCell ref="A87:Z87"/>
    <mergeCell ref="A3:Z3"/>
    <mergeCell ref="A4:Z4"/>
    <mergeCell ref="A18:Z18"/>
    <mergeCell ref="A35:Z35"/>
    <mergeCell ref="A36:Z36"/>
    <mergeCell ref="A45:Z45"/>
    <mergeCell ref="A57:Z57"/>
  </mergeCells>
  <conditionalFormatting sqref="C48:C57">
    <cfRule type="containsText" dxfId="155" priority="7" operator="containsText" text="CRÍTICA">
      <formula>NOT(ISERROR(SEARCH("CRÍTICA",C48)))</formula>
    </cfRule>
    <cfRule type="containsText" dxfId="154" priority="8" operator="containsText" text="ALTA">
      <formula>NOT(ISERROR(SEARCH("ALTA",C48)))</formula>
    </cfRule>
    <cfRule type="containsText" dxfId="153" priority="9" operator="containsText" text="MEDIA">
      <formula>NOT(ISERROR(SEARCH("MEDIA",C48)))</formula>
    </cfRule>
    <cfRule type="containsText" dxfId="152" priority="10" operator="containsText" text="BAJA">
      <formula>NOT(ISERROR(SEARCH("BAJA",C48)))</formula>
    </cfRule>
  </conditionalFormatting>
  <conditionalFormatting sqref="D48:D57">
    <cfRule type="containsText" dxfId="151" priority="18" operator="containsText" text="✅">
      <formula>NOT(ISERROR(SEARCH("✅",D48)))</formula>
    </cfRule>
    <cfRule type="containsText" dxfId="150" priority="19" operator="containsText" text="⚠️">
      <formula>NOT(ISERROR(SEARCH("⚠️",D48)))</formula>
    </cfRule>
  </conditionalFormatting>
  <conditionalFormatting sqref="D65:D67">
    <cfRule type="containsText" dxfId="149" priority="20" operator="containsText" text="✅ OK">
      <formula>NOT(ISERROR(SEARCH("✅ OK",D65)))</formula>
    </cfRule>
    <cfRule type="containsText" dxfId="148" priority="21" operator="containsText" text="Ruptura">
      <formula>NOT(ISERROR(SEARCH("Ruptura",D65)))</formula>
    </cfRule>
    <cfRule type="containsText" dxfId="147" priority="26" operator="containsText" text="sin cadena">
      <formula>NOT(ISERROR(SEARCH("sin cadena",D65)))</formula>
    </cfRule>
    <cfRule type="containsText" dxfId="146" priority="25" operator="containsText" text="ALERTA">
      <formula>NOT(ISERROR(SEARCH("ALERTA",D65)))</formula>
    </cfRule>
    <cfRule type="containsText" dxfId="145" priority="24" operator="containsText" text="Mandato">
      <formula>NOT(ISERROR(SEARCH("Mandato",D65)))</formula>
    </cfRule>
    <cfRule type="containsText" dxfId="144" priority="23" operator="containsText" text="Transición">
      <formula>NOT(ISERROR(SEARCH("Transición",D65)))</formula>
    </cfRule>
    <cfRule type="containsText" dxfId="143" priority="22" operator="containsText" text="Ocurrencia">
      <formula>NOT(ISERROR(SEARCH("Ocurrencia",D65)))</formula>
    </cfRule>
  </conditionalFormatting>
  <conditionalFormatting sqref="D73:D84">
    <cfRule type="containsText" dxfId="142" priority="29" operator="containsText" text="⚠️">
      <formula>NOT(ISERROR(SEARCH("⚠️",D73)))</formula>
    </cfRule>
    <cfRule type="containsText" dxfId="141" priority="28" operator="containsText" text="❌">
      <formula>NOT(ISERROR(SEARCH("❌",D73)))</formula>
    </cfRule>
    <cfRule type="containsText" dxfId="140" priority="27" operator="containsText" text="✅ OK">
      <formula>NOT(ISERROR(SEARCH("✅ OK",D73)))</formula>
    </cfRule>
  </conditionalFormatting>
  <conditionalFormatting sqref="G6:G16 G19:G20">
    <cfRule type="containsText" dxfId="139" priority="2" operator="containsText" text="✅">
      <formula>NOT(ISERROR(SEARCH("✅",G6)))</formula>
    </cfRule>
    <cfRule type="containsText" dxfId="138" priority="1" operator="containsText" text="⏳">
      <formula>NOT(ISERROR(SEARCH("⏳",G6)))</formula>
    </cfRule>
  </conditionalFormatting>
  <conditionalFormatting sqref="G73:G84">
    <cfRule type="containsText" dxfId="137" priority="30" operator="containsText" text="CRÍTICA">
      <formula>NOT(ISERROR(SEARCH("CRÍTICA",G73)))</formula>
    </cfRule>
    <cfRule type="containsText" dxfId="136" priority="31" operator="containsText" text="ALTA">
      <formula>NOT(ISERROR(SEARCH("ALTA",G73)))</formula>
    </cfRule>
    <cfRule type="containsText" dxfId="135" priority="32" operator="containsText" text="MEDIA">
      <formula>NOT(ISERROR(SEARCH("MEDIA",G73)))</formula>
    </cfRule>
    <cfRule type="containsText" dxfId="134" priority="33" operator="containsText" text="BAJA">
      <formula>NOT(ISERROR(SEARCH("BAJA",G73)))</formula>
    </cfRule>
  </conditionalFormatting>
  <conditionalFormatting sqref="I38:I44">
    <cfRule type="containsText" dxfId="133" priority="14" operator="containsText" text="BAJA">
      <formula>NOT(ISERROR(SEARCH("BAJA",I38)))</formula>
    </cfRule>
    <cfRule type="containsText" dxfId="132" priority="13" operator="containsText" text="MEDIA">
      <formula>NOT(ISERROR(SEARCH("MEDIA",I38)))</formula>
    </cfRule>
    <cfRule type="containsText" dxfId="131" priority="12" operator="containsText" text="ALTA">
      <formula>NOT(ISERROR(SEARCH("ALTA",I38)))</formula>
    </cfRule>
    <cfRule type="containsText" dxfId="130" priority="11" operator="containsText" text="CRÍTICA">
      <formula>NOT(ISERROR(SEARCH("CRÍTICA",I38)))</formula>
    </cfRule>
  </conditionalFormatting>
  <conditionalFormatting sqref="J6:J15">
    <cfRule type="containsText" dxfId="129" priority="3" operator="containsText" text="CRÍTICA">
      <formula>NOT(ISERROR(SEARCH("CRÍTICA",J6)))</formula>
    </cfRule>
    <cfRule type="containsText" dxfId="128" priority="4" operator="containsText" text="ALTA">
      <formula>NOT(ISERROR(SEARCH("ALTA",J6)))</formula>
    </cfRule>
    <cfRule type="containsText" dxfId="127" priority="6" operator="containsText" text="BAJA">
      <formula>NOT(ISERROR(SEARCH("BAJA",J6)))</formula>
    </cfRule>
    <cfRule type="containsText" dxfId="126" priority="5" operator="containsText" text="MEDIA">
      <formula>NOT(ISERROR(SEARCH("MEDIA",J6)))</formula>
    </cfRule>
  </conditionalFormatting>
  <conditionalFormatting sqref="K6:K15">
    <cfRule type="containsText" dxfId="125" priority="17" operator="containsText" text="EN PROCESO">
      <formula>NOT(ISERROR(SEARCH("EN PROCESO",K6)))</formula>
    </cfRule>
    <cfRule type="containsText" dxfId="124" priority="16" operator="containsText" text="PENDIENTE">
      <formula>NOT(ISERROR(SEARCH("PENDIENTE",K6)))</formula>
    </cfRule>
    <cfRule type="containsText" dxfId="123" priority="15" operator="containsText" text="RECIBIDO">
      <formula>NOT(ISERROR(SEARCH("RECIBIDO",K6)))</formula>
    </cfRule>
  </conditionalFormatting>
  <conditionalFormatting sqref="K20:K43">
    <cfRule type="containsText" dxfId="122" priority="34" operator="containsText" text="↑">
      <formula>NOT(ISERROR(SEARCH("↑",K20)))</formula>
    </cfRule>
    <cfRule type="containsText" dxfId="121" priority="35" operator="containsText" text="↻">
      <formula>NOT(ISERROR(SEARCH("↻",K20)))</formula>
    </cfRule>
    <cfRule type="containsText" dxfId="120" priority="36" operator="containsText" text="→ Sin cambio">
      <formula>NOT(ISERROR(SEARCH("→ Sin cambio",K20)))</formula>
    </cfRule>
    <cfRule type="containsText" dxfId="119" priority="37" operator="containsText" text="↓">
      <formula>NOT(ISERROR(SEARCH("↓",K20)))</formula>
    </cfRule>
    <cfRule type="containsText" dxfId="118" priority="38" operator="containsText" text="DESPRIORITIZADO">
      <formula>NOT(ISERROR(SEARCH("DESPRIORITIZADO",K20)))</formula>
    </cfRule>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DEEAF1"/>
  </sheetPr>
  <dimension ref="A1:Z24"/>
  <sheetViews>
    <sheetView showGridLines="0" zoomScale="27" zoomScaleNormal="27" workbookViewId="0">
      <pane ySplit="3" topLeftCell="A4" activePane="bottomLeft" state="frozen"/>
      <selection pane="bottomLeft" sqref="A1:Z1"/>
    </sheetView>
  </sheetViews>
  <sheetFormatPr baseColWidth="10" defaultRowHeight="14.4" x14ac:dyDescent="0.3"/>
  <cols>
    <col min="1" max="1" width="24.109375" customWidth="1"/>
    <col min="2" max="2" width="27.77734375" customWidth="1"/>
    <col min="3" max="3" width="10.21875" customWidth="1"/>
    <col min="4" max="4" width="139.5546875" bestFit="1" customWidth="1"/>
    <col min="5" max="5" width="14.77734375" style="1" customWidth="1"/>
    <col min="6" max="6" width="255.77734375" bestFit="1" customWidth="1"/>
    <col min="7" max="7" width="59.6640625" bestFit="1" customWidth="1"/>
    <col min="9" max="9" width="21.77734375" bestFit="1" customWidth="1"/>
    <col min="10" max="10" width="28" bestFit="1" customWidth="1"/>
    <col min="26" max="26" width="8.21875" bestFit="1" customWidth="1"/>
  </cols>
  <sheetData>
    <row r="1" spans="1:26" ht="28.05" customHeight="1" x14ac:dyDescent="0.3">
      <c r="A1" s="4040" t="s">
        <v>4836</v>
      </c>
      <c r="B1" s="4041"/>
      <c r="C1" s="4041"/>
      <c r="D1" s="4041"/>
      <c r="E1" s="4041"/>
      <c r="F1" s="4041"/>
      <c r="G1" s="4041"/>
      <c r="H1" s="4041"/>
      <c r="I1" s="4041"/>
      <c r="J1" s="4041"/>
      <c r="K1" s="4041"/>
      <c r="L1" s="4041"/>
      <c r="M1" s="4041"/>
      <c r="N1" s="4041"/>
      <c r="O1" s="4041"/>
      <c r="P1" s="4041"/>
      <c r="Q1" s="4041"/>
      <c r="R1" s="4041"/>
      <c r="S1" s="4041"/>
      <c r="T1" s="4041"/>
      <c r="U1" s="4041"/>
      <c r="V1" s="4041"/>
      <c r="W1" s="4041"/>
      <c r="X1" s="4041"/>
      <c r="Y1" s="4041"/>
      <c r="Z1" s="4041"/>
    </row>
    <row r="2" spans="1:26" ht="19.95" customHeight="1" thickBot="1" x14ac:dyDescent="0.35">
      <c r="A2" s="139" t="str">
        <f>HYPERLINK("#'M-INDEX'!A1","⌂ INDICE")</f>
        <v>⌂ INDICE</v>
      </c>
      <c r="B2" s="140" t="str">
        <f>HYPERLINK("#'M1-ITME'!A1","M1")</f>
        <v>M1</v>
      </c>
      <c r="C2" s="140" t="str">
        <f>HYPERLINK("#'M2-PDOT'!A1","M2")</f>
        <v>M2</v>
      </c>
      <c r="D2" s="140" t="str">
        <f>HYPERLINK("#'M3-MAO'!A1","M3")</f>
        <v>M3</v>
      </c>
      <c r="E2" s="140" t="str">
        <f>HYPERLINK("#'M4-AUDIT'!A1","M4")</f>
        <v>M4</v>
      </c>
      <c r="F2" s="140" t="str">
        <f>HYPERLINK("#'M5-ICPI'!A1","M5")</f>
        <v>M5</v>
      </c>
      <c r="G2" s="140" t="str">
        <f>HYPERLINK("#'M6-FEDS'!A1","M6")</f>
        <v>M6</v>
      </c>
      <c r="H2" s="140" t="str">
        <f>HYPERLINK("#'M7-PROSP'!A1","M7")</f>
        <v>M7</v>
      </c>
      <c r="I2" s="140" t="str">
        <f>HYPERLINK("#'DATA-POA'!A1","DATA-POA")</f>
        <v>DATA-POA</v>
      </c>
      <c r="J2" s="140" t="str">
        <f>HYPERLINK("#'DATA-CNE'!A1","DATA-CNE")</f>
        <v>DATA-CNE</v>
      </c>
      <c r="K2" s="140" t="str">
        <f>HYPERLINK("#'DATA-ORG'!A1","DATA-ORG")</f>
        <v>DATA-ORG</v>
      </c>
      <c r="L2" s="140" t="str">
        <f>HYPERLINK("#'M-DASHBOARD'!A1","DASH")</f>
        <v>DASH</v>
      </c>
      <c r="M2" s="141"/>
      <c r="N2" s="141"/>
      <c r="O2" s="141"/>
      <c r="P2" s="141"/>
      <c r="Q2" s="141"/>
      <c r="R2" s="141"/>
      <c r="S2" s="141"/>
      <c r="T2" s="141"/>
      <c r="U2" s="141"/>
      <c r="V2" s="141"/>
      <c r="W2" s="141"/>
      <c r="X2" s="141"/>
      <c r="Y2" s="141"/>
      <c r="Z2" s="141"/>
    </row>
    <row r="3" spans="1:26" ht="16.05" customHeight="1" thickBot="1" x14ac:dyDescent="0.35">
      <c r="A3" s="4037" t="s">
        <v>4252</v>
      </c>
      <c r="B3" s="4038"/>
      <c r="C3" s="4038"/>
      <c r="D3" s="4038"/>
      <c r="E3" s="4038"/>
      <c r="F3" s="4038"/>
      <c r="G3" s="4039"/>
      <c r="H3" s="4011"/>
      <c r="I3" s="4011"/>
      <c r="J3" s="4011"/>
      <c r="K3" s="4011"/>
      <c r="L3" s="4011"/>
      <c r="M3" s="4011"/>
      <c r="N3" s="4011"/>
      <c r="O3" s="4011"/>
      <c r="P3" s="4011"/>
      <c r="Q3" s="4011"/>
      <c r="R3" s="4011"/>
      <c r="S3" s="4011"/>
      <c r="T3" s="4011"/>
      <c r="U3" s="4011"/>
      <c r="V3" s="4011"/>
      <c r="W3" s="4011"/>
      <c r="X3" s="4011"/>
      <c r="Y3" s="4011"/>
      <c r="Z3" s="4011"/>
    </row>
    <row r="4" spans="1:26" s="15" customFormat="1" ht="49.95" customHeight="1" thickTop="1" x14ac:dyDescent="0.3">
      <c r="A4" s="702" t="s">
        <v>486</v>
      </c>
      <c r="B4" s="703" t="s">
        <v>3928</v>
      </c>
      <c r="C4" s="704">
        <v>1</v>
      </c>
      <c r="D4" s="705" t="s">
        <v>3929</v>
      </c>
      <c r="E4" s="706">
        <v>224635</v>
      </c>
      <c r="F4" s="705" t="s">
        <v>3930</v>
      </c>
      <c r="G4" s="707" t="s">
        <v>3931</v>
      </c>
      <c r="H4" s="700"/>
      <c r="I4" s="712" t="s">
        <v>5003</v>
      </c>
      <c r="J4" s="697"/>
      <c r="K4" s="697"/>
      <c r="L4" s="697"/>
      <c r="M4" s="697"/>
      <c r="N4" s="697"/>
      <c r="O4" s="697"/>
      <c r="P4" s="697"/>
      <c r="Q4" s="697"/>
      <c r="R4" s="697"/>
      <c r="S4" s="697"/>
      <c r="T4" s="697"/>
      <c r="U4" s="697"/>
      <c r="V4" s="697"/>
      <c r="W4" s="697"/>
      <c r="X4" s="697"/>
      <c r="Y4" s="697"/>
      <c r="Z4" s="698"/>
    </row>
    <row r="5" spans="1:26" ht="49.95" customHeight="1" x14ac:dyDescent="0.3">
      <c r="A5" s="728" t="s">
        <v>715</v>
      </c>
      <c r="B5" s="729" t="s">
        <v>778</v>
      </c>
      <c r="C5" s="730">
        <v>1</v>
      </c>
      <c r="D5" s="731" t="s">
        <v>3932</v>
      </c>
      <c r="E5" s="732">
        <v>338760</v>
      </c>
      <c r="F5" s="731" t="s">
        <v>3933</v>
      </c>
      <c r="G5" s="733" t="s">
        <v>3934</v>
      </c>
      <c r="H5" s="234"/>
      <c r="I5" s="718" t="s">
        <v>5004</v>
      </c>
      <c r="J5" s="713" t="s">
        <v>5005</v>
      </c>
      <c r="K5" s="235"/>
      <c r="L5" s="235"/>
      <c r="M5" s="235"/>
      <c r="N5" s="235"/>
      <c r="O5" s="235"/>
      <c r="P5" s="235"/>
      <c r="Q5" s="235"/>
      <c r="R5" s="235"/>
      <c r="S5" s="235"/>
      <c r="T5" s="235"/>
      <c r="U5" s="235"/>
      <c r="V5" s="235"/>
      <c r="W5" s="235"/>
      <c r="X5" s="235"/>
      <c r="Y5" s="235"/>
      <c r="Z5" s="236"/>
    </row>
    <row r="6" spans="1:26" ht="90" customHeight="1" x14ac:dyDescent="0.3">
      <c r="A6" s="734" t="s">
        <v>53</v>
      </c>
      <c r="B6" s="735" t="s">
        <v>4017</v>
      </c>
      <c r="C6" s="736" t="s">
        <v>4018</v>
      </c>
      <c r="D6" s="737" t="s">
        <v>4019</v>
      </c>
      <c r="E6" s="738">
        <v>0</v>
      </c>
      <c r="F6" s="739" t="s">
        <v>4020</v>
      </c>
      <c r="G6" s="740" t="s">
        <v>4021</v>
      </c>
      <c r="H6" s="699"/>
      <c r="I6" s="719" t="s">
        <v>5006</v>
      </c>
      <c r="J6" s="714" t="s">
        <v>5007</v>
      </c>
      <c r="K6" s="242"/>
      <c r="L6" s="242"/>
      <c r="M6" s="242"/>
      <c r="N6" s="242"/>
      <c r="O6" s="242"/>
      <c r="P6" s="242"/>
      <c r="Q6" s="242"/>
      <c r="R6" s="242"/>
      <c r="S6" s="242"/>
      <c r="T6" s="242"/>
      <c r="U6" s="242"/>
      <c r="V6" s="242"/>
      <c r="W6" s="242"/>
      <c r="X6" s="242"/>
      <c r="Y6" s="242"/>
      <c r="Z6" s="243"/>
    </row>
    <row r="7" spans="1:26" ht="49.95" customHeight="1" x14ac:dyDescent="0.3">
      <c r="A7" s="734" t="s">
        <v>509</v>
      </c>
      <c r="B7" s="741" t="s">
        <v>779</v>
      </c>
      <c r="C7" s="742">
        <v>1</v>
      </c>
      <c r="D7" s="722" t="s">
        <v>3935</v>
      </c>
      <c r="E7" s="738">
        <v>0</v>
      </c>
      <c r="F7" s="743" t="s">
        <v>3936</v>
      </c>
      <c r="G7" s="740" t="s">
        <v>3937</v>
      </c>
      <c r="H7" s="699"/>
      <c r="I7" s="720" t="s">
        <v>5008</v>
      </c>
      <c r="J7" s="715" t="s">
        <v>5009</v>
      </c>
      <c r="K7" s="242"/>
      <c r="L7" s="242"/>
      <c r="M7" s="242"/>
      <c r="N7" s="242"/>
      <c r="O7" s="242"/>
      <c r="P7" s="242"/>
      <c r="Q7" s="242"/>
      <c r="R7" s="242"/>
      <c r="S7" s="242"/>
      <c r="T7" s="242"/>
      <c r="U7" s="242"/>
      <c r="V7" s="242"/>
      <c r="W7" s="242"/>
      <c r="X7" s="242"/>
      <c r="Y7" s="242"/>
      <c r="Z7" s="243"/>
    </row>
    <row r="8" spans="1:26" ht="49.95" customHeight="1" x14ac:dyDescent="0.3">
      <c r="A8" s="744" t="s">
        <v>655</v>
      </c>
      <c r="B8" s="745" t="s">
        <v>3938</v>
      </c>
      <c r="C8" s="742">
        <v>1</v>
      </c>
      <c r="D8" s="723" t="s">
        <v>3939</v>
      </c>
      <c r="E8" s="746">
        <v>445399</v>
      </c>
      <c r="F8" s="724" t="s">
        <v>3940</v>
      </c>
      <c r="G8" s="747" t="s">
        <v>3941</v>
      </c>
      <c r="H8" s="699"/>
      <c r="I8" s="721" t="s">
        <v>5010</v>
      </c>
      <c r="J8" s="716" t="s">
        <v>5011</v>
      </c>
      <c r="K8" s="242"/>
      <c r="L8" s="242"/>
      <c r="M8" s="242"/>
      <c r="N8" s="242"/>
      <c r="O8" s="242"/>
      <c r="P8" s="242"/>
      <c r="Q8" s="242"/>
      <c r="R8" s="242"/>
      <c r="S8" s="242"/>
      <c r="T8" s="242"/>
      <c r="U8" s="242"/>
      <c r="V8" s="242"/>
      <c r="W8" s="242"/>
      <c r="X8" s="242"/>
      <c r="Y8" s="242"/>
      <c r="Z8" s="243"/>
    </row>
    <row r="9" spans="1:26" ht="49.95" customHeight="1" x14ac:dyDescent="0.3">
      <c r="A9" s="748" t="s">
        <v>531</v>
      </c>
      <c r="B9" s="749" t="s">
        <v>783</v>
      </c>
      <c r="C9" s="742">
        <v>1</v>
      </c>
      <c r="D9" s="725" t="s">
        <v>3942</v>
      </c>
      <c r="E9" s="750">
        <v>1294278</v>
      </c>
      <c r="F9" s="724" t="s">
        <v>3943</v>
      </c>
      <c r="G9" s="751" t="s">
        <v>3944</v>
      </c>
      <c r="H9" s="699"/>
      <c r="I9" s="718" t="s">
        <v>5012</v>
      </c>
      <c r="J9" s="717" t="s">
        <v>5013</v>
      </c>
      <c r="K9" s="242"/>
      <c r="L9" s="242"/>
      <c r="M9" s="242"/>
      <c r="N9" s="242"/>
      <c r="O9" s="242"/>
      <c r="P9" s="242"/>
      <c r="Q9" s="242"/>
      <c r="R9" s="242"/>
      <c r="S9" s="242"/>
      <c r="T9" s="242"/>
      <c r="U9" s="242"/>
      <c r="V9" s="242"/>
      <c r="W9" s="242"/>
      <c r="X9" s="242"/>
      <c r="Y9" s="242"/>
      <c r="Z9" s="243"/>
    </row>
    <row r="10" spans="1:26" ht="90" customHeight="1" x14ac:dyDescent="0.3">
      <c r="A10" s="752" t="s">
        <v>47</v>
      </c>
      <c r="B10" s="753" t="s">
        <v>4022</v>
      </c>
      <c r="C10" s="742">
        <v>1</v>
      </c>
      <c r="D10" s="726" t="s">
        <v>4023</v>
      </c>
      <c r="E10" s="754">
        <v>0</v>
      </c>
      <c r="F10" s="755" t="s">
        <v>4024</v>
      </c>
      <c r="G10" s="756" t="s">
        <v>4025</v>
      </c>
      <c r="H10" s="699"/>
      <c r="I10" s="242"/>
      <c r="J10" s="242"/>
      <c r="K10" s="242"/>
      <c r="L10" s="242"/>
      <c r="M10" s="242"/>
      <c r="N10" s="242"/>
      <c r="O10" s="242"/>
      <c r="P10" s="242"/>
      <c r="Q10" s="242"/>
      <c r="R10" s="242"/>
      <c r="S10" s="242"/>
      <c r="T10" s="242"/>
      <c r="U10" s="242"/>
      <c r="V10" s="242"/>
      <c r="W10" s="242"/>
      <c r="X10" s="242"/>
      <c r="Y10" s="242"/>
      <c r="Z10" s="243"/>
    </row>
    <row r="11" spans="1:26" ht="49.95" customHeight="1" x14ac:dyDescent="0.3">
      <c r="A11" s="744" t="s">
        <v>482</v>
      </c>
      <c r="B11" s="745" t="s">
        <v>3945</v>
      </c>
      <c r="C11" s="742">
        <v>1</v>
      </c>
      <c r="D11" s="723" t="s">
        <v>3946</v>
      </c>
      <c r="E11" s="746">
        <v>224635</v>
      </c>
      <c r="F11" s="724" t="s">
        <v>3947</v>
      </c>
      <c r="G11" s="747" t="s">
        <v>3948</v>
      </c>
      <c r="H11" s="699"/>
      <c r="I11" s="242"/>
      <c r="J11" s="242"/>
      <c r="K11" s="242"/>
      <c r="L11" s="242"/>
      <c r="M11" s="242"/>
      <c r="N11" s="242"/>
      <c r="O11" s="242"/>
      <c r="P11" s="242"/>
      <c r="Q11" s="242"/>
      <c r="R11" s="242"/>
      <c r="S11" s="242"/>
      <c r="T11" s="242"/>
      <c r="U11" s="242"/>
      <c r="V11" s="242"/>
      <c r="W11" s="242"/>
      <c r="X11" s="242"/>
      <c r="Y11" s="242"/>
      <c r="Z11" s="243"/>
    </row>
    <row r="12" spans="1:26" ht="49.95" customHeight="1" x14ac:dyDescent="0.3">
      <c r="A12" s="748" t="s">
        <v>436</v>
      </c>
      <c r="B12" s="749" t="s">
        <v>3949</v>
      </c>
      <c r="C12" s="742">
        <v>1</v>
      </c>
      <c r="D12" s="725" t="s">
        <v>3950</v>
      </c>
      <c r="E12" s="750">
        <v>1294278</v>
      </c>
      <c r="F12" s="724" t="s">
        <v>3951</v>
      </c>
      <c r="G12" s="751" t="s">
        <v>3952</v>
      </c>
      <c r="H12" s="699"/>
      <c r="I12" s="242"/>
      <c r="J12" s="242"/>
      <c r="K12" s="242"/>
      <c r="L12" s="242"/>
      <c r="M12" s="242"/>
      <c r="N12" s="242"/>
      <c r="O12" s="242"/>
      <c r="P12" s="242"/>
      <c r="Q12" s="242"/>
      <c r="R12" s="242"/>
      <c r="S12" s="242"/>
      <c r="T12" s="242"/>
      <c r="U12" s="242"/>
      <c r="V12" s="242"/>
      <c r="W12" s="242"/>
      <c r="X12" s="242"/>
      <c r="Y12" s="242"/>
      <c r="Z12" s="243"/>
    </row>
    <row r="13" spans="1:26" ht="49.95" customHeight="1" x14ac:dyDescent="0.3">
      <c r="A13" s="752" t="s">
        <v>642</v>
      </c>
      <c r="B13" s="757" t="s">
        <v>787</v>
      </c>
      <c r="C13" s="758">
        <v>1</v>
      </c>
      <c r="D13" s="727" t="s">
        <v>3953</v>
      </c>
      <c r="E13" s="759">
        <v>169100</v>
      </c>
      <c r="F13" s="755" t="s">
        <v>3954</v>
      </c>
      <c r="G13" s="756" t="s">
        <v>3955</v>
      </c>
      <c r="H13" s="699"/>
      <c r="I13" s="242"/>
      <c r="J13" s="242"/>
      <c r="K13" s="242"/>
      <c r="L13" s="242"/>
      <c r="M13" s="242"/>
      <c r="N13" s="242"/>
      <c r="O13" s="242"/>
      <c r="P13" s="242"/>
      <c r="Q13" s="242"/>
      <c r="R13" s="242"/>
      <c r="S13" s="242"/>
      <c r="T13" s="242"/>
      <c r="U13" s="242"/>
      <c r="V13" s="242"/>
      <c r="W13" s="242"/>
      <c r="X13" s="242"/>
      <c r="Y13" s="242"/>
      <c r="Z13" s="243"/>
    </row>
    <row r="14" spans="1:26" ht="49.95" customHeight="1" x14ac:dyDescent="0.3">
      <c r="A14" s="744" t="s">
        <v>635</v>
      </c>
      <c r="B14" s="745" t="s">
        <v>3956</v>
      </c>
      <c r="C14" s="742">
        <v>1</v>
      </c>
      <c r="D14" s="723" t="s">
        <v>3957</v>
      </c>
      <c r="E14" s="746">
        <v>224635</v>
      </c>
      <c r="F14" s="724" t="s">
        <v>3958</v>
      </c>
      <c r="G14" s="747" t="s">
        <v>3959</v>
      </c>
      <c r="H14" s="699"/>
      <c r="I14" s="242"/>
      <c r="J14" s="242"/>
      <c r="K14" s="242"/>
      <c r="L14" s="242"/>
      <c r="M14" s="242"/>
      <c r="N14" s="242"/>
      <c r="O14" s="242"/>
      <c r="P14" s="242"/>
      <c r="Q14" s="242"/>
      <c r="R14" s="242"/>
      <c r="S14" s="242"/>
      <c r="T14" s="242"/>
      <c r="U14" s="242"/>
      <c r="V14" s="242"/>
      <c r="W14" s="242"/>
      <c r="X14" s="242"/>
      <c r="Y14" s="242"/>
      <c r="Z14" s="243"/>
    </row>
    <row r="15" spans="1:26" ht="49.95" customHeight="1" x14ac:dyDescent="0.3">
      <c r="A15" s="748" t="s">
        <v>568</v>
      </c>
      <c r="B15" s="749" t="s">
        <v>1110</v>
      </c>
      <c r="C15" s="742">
        <v>1</v>
      </c>
      <c r="D15" s="725" t="s">
        <v>3960</v>
      </c>
      <c r="E15" s="750">
        <v>10892761</v>
      </c>
      <c r="F15" s="724" t="s">
        <v>3961</v>
      </c>
      <c r="G15" s="751" t="s">
        <v>3962</v>
      </c>
      <c r="H15" s="699"/>
      <c r="I15" s="242"/>
      <c r="J15" s="242"/>
      <c r="K15" s="242"/>
      <c r="L15" s="242"/>
      <c r="M15" s="242"/>
      <c r="N15" s="242"/>
      <c r="O15" s="242"/>
      <c r="P15" s="242"/>
      <c r="Q15" s="242"/>
      <c r="R15" s="242"/>
      <c r="S15" s="242"/>
      <c r="T15" s="242"/>
      <c r="U15" s="242"/>
      <c r="V15" s="242"/>
      <c r="W15" s="242"/>
      <c r="X15" s="242"/>
      <c r="Y15" s="242"/>
      <c r="Z15" s="243"/>
    </row>
    <row r="16" spans="1:26" ht="49.95" customHeight="1" x14ac:dyDescent="0.3">
      <c r="A16" s="744" t="s">
        <v>603</v>
      </c>
      <c r="B16" s="745" t="s">
        <v>3963</v>
      </c>
      <c r="C16" s="742">
        <v>1</v>
      </c>
      <c r="D16" s="723" t="s">
        <v>3964</v>
      </c>
      <c r="E16" s="746">
        <v>9003</v>
      </c>
      <c r="F16" s="724" t="s">
        <v>3965</v>
      </c>
      <c r="G16" s="747" t="s">
        <v>3966</v>
      </c>
      <c r="H16" s="699"/>
      <c r="I16" s="242"/>
      <c r="J16" s="242"/>
      <c r="K16" s="242"/>
      <c r="L16" s="242"/>
      <c r="M16" s="242"/>
      <c r="N16" s="242"/>
      <c r="O16" s="242"/>
      <c r="P16" s="242"/>
      <c r="Q16" s="242"/>
      <c r="R16" s="242"/>
      <c r="S16" s="242"/>
      <c r="T16" s="242"/>
      <c r="U16" s="242"/>
      <c r="V16" s="242"/>
      <c r="W16" s="242"/>
      <c r="X16" s="242"/>
      <c r="Y16" s="242"/>
      <c r="Z16" s="243"/>
    </row>
    <row r="17" spans="1:26" ht="49.95" customHeight="1" x14ac:dyDescent="0.3">
      <c r="A17" s="748" t="s">
        <v>615</v>
      </c>
      <c r="B17" s="749" t="s">
        <v>3967</v>
      </c>
      <c r="C17" s="742">
        <v>1</v>
      </c>
      <c r="D17" s="725" t="s">
        <v>3968</v>
      </c>
      <c r="E17" s="750">
        <v>445399</v>
      </c>
      <c r="F17" s="724" t="s">
        <v>3969</v>
      </c>
      <c r="G17" s="751" t="s">
        <v>3941</v>
      </c>
      <c r="H17" s="699"/>
      <c r="I17" s="242"/>
      <c r="J17" s="242"/>
      <c r="K17" s="242"/>
      <c r="L17" s="242"/>
      <c r="M17" s="242"/>
      <c r="N17" s="242"/>
      <c r="O17" s="242"/>
      <c r="P17" s="242"/>
      <c r="Q17" s="242"/>
      <c r="R17" s="242"/>
      <c r="S17" s="242"/>
      <c r="T17" s="242"/>
      <c r="U17" s="242"/>
      <c r="V17" s="242"/>
      <c r="W17" s="242"/>
      <c r="X17" s="242"/>
      <c r="Y17" s="242"/>
      <c r="Z17" s="243"/>
    </row>
    <row r="18" spans="1:26" ht="49.95" customHeight="1" x14ac:dyDescent="0.3">
      <c r="A18" s="744" t="s">
        <v>610</v>
      </c>
      <c r="B18" s="745" t="s">
        <v>3970</v>
      </c>
      <c r="C18" s="742">
        <v>1</v>
      </c>
      <c r="D18" s="723" t="s">
        <v>3971</v>
      </c>
      <c r="E18" s="746">
        <v>169100</v>
      </c>
      <c r="F18" s="724" t="s">
        <v>3972</v>
      </c>
      <c r="G18" s="747" t="s">
        <v>3973</v>
      </c>
      <c r="H18" s="699"/>
      <c r="I18" s="242"/>
      <c r="J18" s="242"/>
      <c r="K18" s="242"/>
      <c r="L18" s="242"/>
      <c r="M18" s="242"/>
      <c r="N18" s="242"/>
      <c r="O18" s="242"/>
      <c r="P18" s="242"/>
      <c r="Q18" s="242"/>
      <c r="R18" s="242"/>
      <c r="S18" s="242"/>
      <c r="T18" s="242"/>
      <c r="U18" s="242"/>
      <c r="V18" s="242"/>
      <c r="W18" s="242"/>
      <c r="X18" s="242"/>
      <c r="Y18" s="242"/>
      <c r="Z18" s="243"/>
    </row>
    <row r="19" spans="1:26" ht="49.95" customHeight="1" x14ac:dyDescent="0.3">
      <c r="A19" s="748" t="s">
        <v>560</v>
      </c>
      <c r="B19" s="749" t="s">
        <v>3974</v>
      </c>
      <c r="C19" s="742">
        <v>1</v>
      </c>
      <c r="D19" s="725" t="s">
        <v>3975</v>
      </c>
      <c r="E19" s="750">
        <v>24407</v>
      </c>
      <c r="F19" s="724" t="s">
        <v>3976</v>
      </c>
      <c r="G19" s="751" t="s">
        <v>3977</v>
      </c>
      <c r="H19" s="699"/>
      <c r="I19" s="242"/>
      <c r="J19" s="242"/>
      <c r="K19" s="242"/>
      <c r="L19" s="242"/>
      <c r="M19" s="242"/>
      <c r="N19" s="242"/>
      <c r="O19" s="242"/>
      <c r="P19" s="242"/>
      <c r="Q19" s="242"/>
      <c r="R19" s="242"/>
      <c r="S19" s="242"/>
      <c r="T19" s="242"/>
      <c r="U19" s="242"/>
      <c r="V19" s="242"/>
      <c r="W19" s="242"/>
      <c r="X19" s="242"/>
      <c r="Y19" s="242"/>
      <c r="Z19" s="243"/>
    </row>
    <row r="20" spans="1:26" ht="49.95" customHeight="1" x14ac:dyDescent="0.3">
      <c r="A20" s="744" t="s">
        <v>721</v>
      </c>
      <c r="B20" s="745" t="s">
        <v>3978</v>
      </c>
      <c r="C20" s="742">
        <v>1</v>
      </c>
      <c r="D20" s="723" t="s">
        <v>3979</v>
      </c>
      <c r="E20" s="746">
        <v>16036</v>
      </c>
      <c r="F20" s="724" t="s">
        <v>3980</v>
      </c>
      <c r="G20" s="747" t="s">
        <v>3981</v>
      </c>
      <c r="H20" s="699"/>
      <c r="I20" s="242"/>
      <c r="J20" s="242"/>
      <c r="K20" s="242"/>
      <c r="L20" s="242"/>
      <c r="M20" s="242"/>
      <c r="N20" s="242"/>
      <c r="O20" s="242"/>
      <c r="P20" s="242"/>
      <c r="Q20" s="242"/>
      <c r="R20" s="242"/>
      <c r="S20" s="242"/>
      <c r="T20" s="242"/>
      <c r="U20" s="242"/>
      <c r="V20" s="242"/>
      <c r="W20" s="242"/>
      <c r="X20" s="242"/>
      <c r="Y20" s="242"/>
      <c r="Z20" s="243"/>
    </row>
    <row r="21" spans="1:26" ht="49.95" customHeight="1" x14ac:dyDescent="0.3">
      <c r="A21" s="748" t="s">
        <v>460</v>
      </c>
      <c r="B21" s="749" t="s">
        <v>3982</v>
      </c>
      <c r="C21" s="742">
        <v>1</v>
      </c>
      <c r="D21" s="725" t="s">
        <v>3983</v>
      </c>
      <c r="E21" s="750">
        <v>15600</v>
      </c>
      <c r="F21" s="724" t="s">
        <v>3984</v>
      </c>
      <c r="G21" s="751" t="s">
        <v>3985</v>
      </c>
      <c r="H21" s="699"/>
      <c r="I21" s="242"/>
      <c r="J21" s="242"/>
      <c r="K21" s="242"/>
      <c r="L21" s="242"/>
      <c r="M21" s="242"/>
      <c r="N21" s="242"/>
      <c r="O21" s="242"/>
      <c r="P21" s="242"/>
      <c r="Q21" s="242"/>
      <c r="R21" s="242"/>
      <c r="S21" s="242"/>
      <c r="T21" s="242"/>
      <c r="U21" s="242"/>
      <c r="V21" s="242"/>
      <c r="W21" s="242"/>
      <c r="X21" s="242"/>
      <c r="Y21" s="242"/>
      <c r="Z21" s="243"/>
    </row>
    <row r="22" spans="1:26" ht="49.95" customHeight="1" x14ac:dyDescent="0.3">
      <c r="A22" s="744" t="s">
        <v>3986</v>
      </c>
      <c r="B22" s="745" t="s">
        <v>3987</v>
      </c>
      <c r="C22" s="742">
        <v>1</v>
      </c>
      <c r="D22" s="723" t="s">
        <v>3988</v>
      </c>
      <c r="E22" s="746">
        <v>11406254</v>
      </c>
      <c r="F22" s="724" t="s">
        <v>3989</v>
      </c>
      <c r="G22" s="747" t="s">
        <v>3990</v>
      </c>
      <c r="H22" s="699"/>
      <c r="I22" s="242"/>
      <c r="J22" s="242"/>
      <c r="K22" s="242"/>
      <c r="L22" s="242"/>
      <c r="M22" s="242"/>
      <c r="N22" s="242"/>
      <c r="O22" s="242"/>
      <c r="P22" s="242"/>
      <c r="Q22" s="242"/>
      <c r="R22" s="242"/>
      <c r="S22" s="242"/>
      <c r="T22" s="242"/>
      <c r="U22" s="242"/>
      <c r="V22" s="242"/>
      <c r="W22" s="242"/>
      <c r="X22" s="242"/>
      <c r="Y22" s="242"/>
      <c r="Z22" s="243"/>
    </row>
    <row r="23" spans="1:26" ht="49.95" customHeight="1" x14ac:dyDescent="0.3">
      <c r="A23" s="748" t="s">
        <v>3991</v>
      </c>
      <c r="B23" s="749" t="s">
        <v>3992</v>
      </c>
      <c r="C23" s="742">
        <v>1</v>
      </c>
      <c r="D23" s="725" t="s">
        <v>3993</v>
      </c>
      <c r="E23" s="750">
        <v>62561</v>
      </c>
      <c r="F23" s="724" t="s">
        <v>3994</v>
      </c>
      <c r="G23" s="751" t="s">
        <v>3995</v>
      </c>
      <c r="H23" s="699"/>
      <c r="I23" s="242"/>
      <c r="J23" s="242"/>
      <c r="K23" s="242"/>
      <c r="L23" s="242"/>
      <c r="M23" s="242"/>
      <c r="N23" s="242"/>
      <c r="O23" s="242"/>
      <c r="P23" s="242"/>
      <c r="Q23" s="242"/>
      <c r="R23" s="242"/>
      <c r="S23" s="242"/>
      <c r="T23" s="242"/>
      <c r="U23" s="242"/>
      <c r="V23" s="242"/>
      <c r="W23" s="242"/>
      <c r="X23" s="242"/>
      <c r="Y23" s="242"/>
      <c r="Z23" s="243"/>
    </row>
    <row r="24" spans="1:26" ht="28.05" customHeight="1" thickBot="1" x14ac:dyDescent="0.35">
      <c r="A24" s="708" t="s">
        <v>3996</v>
      </c>
      <c r="B24" s="709"/>
      <c r="C24" s="709"/>
      <c r="D24" s="709" t="s">
        <v>4026</v>
      </c>
      <c r="E24" s="710">
        <f>SUM(E4:E23)</f>
        <v>27256841</v>
      </c>
      <c r="F24" s="709" t="s">
        <v>4027</v>
      </c>
      <c r="G24" s="711" t="s">
        <v>4028</v>
      </c>
      <c r="H24" s="701"/>
      <c r="I24" s="246"/>
      <c r="J24" s="246"/>
      <c r="K24" s="246"/>
      <c r="L24" s="246"/>
      <c r="M24" s="246"/>
      <c r="N24" s="246"/>
      <c r="O24" s="246"/>
      <c r="P24" s="246"/>
      <c r="Q24" s="246"/>
      <c r="R24" s="246"/>
      <c r="S24" s="246"/>
      <c r="T24" s="246"/>
      <c r="U24" s="246"/>
      <c r="V24" s="246"/>
      <c r="W24" s="246"/>
      <c r="X24" s="246"/>
      <c r="Y24" s="246"/>
      <c r="Z24" s="247"/>
    </row>
  </sheetData>
  <mergeCells count="2">
    <mergeCell ref="A3:Z3"/>
    <mergeCell ref="A1:Z1"/>
  </mergeCells>
  <conditionalFormatting sqref="C4:C23">
    <cfRule type="cellIs" dxfId="117" priority="1" operator="equal">
      <formula>1</formula>
    </cfRule>
    <cfRule type="cellIs" dxfId="116" priority="2" operator="equal">
      <formula>0</formula>
    </cfRule>
    <cfRule type="containsText" dxfId="115" priority="3" operator="containsText" text="⚠️">
      <formula>NOT(ISERROR(SEARCH("⚠️",C4)))</formula>
    </cfRule>
  </conditionalFormatting>
  <conditionalFormatting sqref="E4:E23">
    <cfRule type="cellIs" dxfId="114" priority="12" operator="equal">
      <formula>0</formula>
    </cfRule>
  </conditionalFormatting>
  <conditionalFormatting sqref="F4:F24">
    <cfRule type="containsText" dxfId="113" priority="4" operator="containsText" text="🚨">
      <formula>NOT(ISERROR(SEARCH("🚨",F4)))</formula>
    </cfRule>
    <cfRule type="containsText" dxfId="112" priority="5" operator="containsText" text="HALLAZGO">
      <formula>NOT(ISERROR(SEARCH("HALLAZGO",F4)))</formula>
    </cfRule>
    <cfRule type="containsText" dxfId="111" priority="6" operator="containsText" text="FALSEDAD">
      <formula>NOT(ISERROR(SEARCH("FALSEDAD",F4)))</formula>
    </cfRule>
    <cfRule type="containsText" dxfId="110" priority="7" operator="containsText" text="INVALIDAR">
      <formula>NOT(ISERROR(SEARCH("INVALIDAR",F4)))</formula>
    </cfRule>
    <cfRule type="containsText" dxfId="109" priority="8" operator="containsText" text="DISCREPANCIA">
      <formula>NOT(ISERROR(SEARCH("DISCREPANCIA",F4)))</formula>
    </cfRule>
    <cfRule type="containsText" dxfId="108" priority="9" operator="containsText" text="⚠️">
      <formula>NOT(ISERROR(SEARCH("⚠️",F4)))</formula>
    </cfRule>
    <cfRule type="containsText" dxfId="107" priority="10" operator="containsText" text="ALERTA">
      <formula>NOT(ISERROR(SEARCH("ALERTA",F4)))</formula>
    </cfRule>
    <cfRule type="containsText" dxfId="106" priority="11" operator="containsText" text="✅ Consistente">
      <formula>NOT(ISERROR(SEARCH("✅ Consistente",F4)))</formula>
    </cfRule>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DEEAF1"/>
  </sheetPr>
  <dimension ref="A1:L100"/>
  <sheetViews>
    <sheetView showGridLines="0" zoomScale="58" zoomScaleNormal="58" workbookViewId="0">
      <pane ySplit="4" topLeftCell="A5" activePane="bottomLeft" state="frozen"/>
      <selection pane="bottomLeft" activeCell="A2" sqref="A2:G2"/>
    </sheetView>
  </sheetViews>
  <sheetFormatPr baseColWidth="10" defaultRowHeight="14.4" x14ac:dyDescent="0.3"/>
  <cols>
    <col min="1" max="1" width="67.88671875" customWidth="1"/>
    <col min="2" max="2" width="54.33203125" customWidth="1"/>
    <col min="3" max="3" width="47.44140625" bestFit="1" customWidth="1"/>
    <col min="4" max="4" width="68.33203125" customWidth="1"/>
    <col min="5" max="5" width="130.33203125" customWidth="1"/>
    <col min="6" max="6" width="32.109375" bestFit="1" customWidth="1"/>
    <col min="7" max="7" width="105.88671875" bestFit="1" customWidth="1"/>
    <col min="9" max="9" width="20.77734375" bestFit="1" customWidth="1"/>
    <col min="10" max="10" width="15.21875" bestFit="1" customWidth="1"/>
    <col min="11" max="11" width="13.6640625" bestFit="1" customWidth="1"/>
    <col min="12" max="12" width="7.77734375" bestFit="1" customWidth="1"/>
  </cols>
  <sheetData>
    <row r="1" spans="1:12" ht="28.05" customHeight="1" x14ac:dyDescent="0.3">
      <c r="A1" s="4042" t="s">
        <v>4821</v>
      </c>
      <c r="B1" s="4043"/>
      <c r="C1" s="4043"/>
      <c r="D1" s="4043"/>
      <c r="E1" s="4043"/>
      <c r="F1" s="4043"/>
      <c r="G1" s="4043"/>
      <c r="H1" s="4043"/>
      <c r="I1" s="4043"/>
      <c r="J1" s="4043"/>
      <c r="K1" s="4043"/>
      <c r="L1" s="4043"/>
    </row>
    <row r="2" spans="1:12" ht="19.95" customHeight="1" thickBot="1" x14ac:dyDescent="0.35">
      <c r="A2" s="4044" t="str">
        <f>HYPERLINK("#'M-INDEX'!A1","⌂ INDICE")</f>
        <v>⌂ INDICE</v>
      </c>
      <c r="B2" s="4045"/>
      <c r="C2" s="4045"/>
      <c r="D2" s="4045"/>
      <c r="E2" s="4045"/>
      <c r="F2" s="4045"/>
      <c r="G2" s="4046"/>
      <c r="H2" s="762" t="str">
        <f>HYPERLINK("#'M7-PROSP'!A1","M7")</f>
        <v>M7</v>
      </c>
      <c r="I2" s="762" t="str">
        <f>HYPERLINK("#'DATA-POA'!A1","DATA-POA")</f>
        <v>DATA-POA</v>
      </c>
      <c r="J2" s="762" t="s">
        <v>4822</v>
      </c>
      <c r="K2" s="762" t="str">
        <f>HYPERLINK("#'DATA-ORG'!A1","DATA-ORG")</f>
        <v>DATA-ORG</v>
      </c>
      <c r="L2" s="762" t="str">
        <f>HYPERLINK("#'M-DASHBOARD'!A1","DASH")</f>
        <v>DASH</v>
      </c>
    </row>
    <row r="3" spans="1:12" ht="28.05" customHeight="1" thickBot="1" x14ac:dyDescent="0.35">
      <c r="A3" s="764" t="s">
        <v>690</v>
      </c>
      <c r="B3" s="765" t="s">
        <v>4800</v>
      </c>
      <c r="C3" s="765" t="s">
        <v>85</v>
      </c>
      <c r="D3" s="765" t="s">
        <v>4107</v>
      </c>
      <c r="E3" s="765" t="s">
        <v>4801</v>
      </c>
      <c r="F3" s="765" t="s">
        <v>4802</v>
      </c>
      <c r="G3" s="766" t="s">
        <v>4803</v>
      </c>
      <c r="H3" s="763"/>
      <c r="I3" s="823" t="s">
        <v>5014</v>
      </c>
      <c r="J3" s="763"/>
      <c r="K3" s="763"/>
      <c r="L3" s="763"/>
    </row>
    <row r="4" spans="1:12" ht="19.95" customHeight="1" x14ac:dyDescent="0.3">
      <c r="A4" s="767" t="s">
        <v>4804</v>
      </c>
      <c r="B4" s="768" t="s">
        <v>4805</v>
      </c>
      <c r="C4" s="768" t="s">
        <v>4806</v>
      </c>
      <c r="D4" s="768" t="s">
        <v>4807</v>
      </c>
      <c r="E4" s="768" t="s">
        <v>4808</v>
      </c>
      <c r="F4" s="768" t="s">
        <v>4809</v>
      </c>
      <c r="G4" s="769" t="s">
        <v>4810</v>
      </c>
      <c r="H4" s="763"/>
      <c r="I4" s="824" t="s">
        <v>5015</v>
      </c>
      <c r="J4" s="763"/>
      <c r="K4" s="763"/>
      <c r="L4" s="763"/>
    </row>
    <row r="5" spans="1:12" ht="60" customHeight="1" x14ac:dyDescent="0.3">
      <c r="A5" s="831" t="s">
        <v>4108</v>
      </c>
      <c r="B5" s="780" t="s">
        <v>4109</v>
      </c>
      <c r="C5" s="832" t="s">
        <v>4110</v>
      </c>
      <c r="D5" s="836" t="s">
        <v>4111</v>
      </c>
      <c r="E5" s="838" t="s">
        <v>4726</v>
      </c>
      <c r="F5" s="839">
        <v>0.5</v>
      </c>
      <c r="G5" s="772" t="s">
        <v>4727</v>
      </c>
      <c r="H5" s="763"/>
      <c r="I5" s="825" t="s">
        <v>5016</v>
      </c>
      <c r="J5" s="763"/>
      <c r="K5" s="763"/>
      <c r="L5" s="763"/>
    </row>
    <row r="6" spans="1:12" ht="60" customHeight="1" x14ac:dyDescent="0.3">
      <c r="A6" s="828" t="s">
        <v>4112</v>
      </c>
      <c r="B6" s="774" t="s">
        <v>4113</v>
      </c>
      <c r="C6" s="829" t="s">
        <v>4110</v>
      </c>
      <c r="D6" s="835" t="s">
        <v>4114</v>
      </c>
      <c r="E6" s="777" t="s">
        <v>4728</v>
      </c>
      <c r="F6" s="830">
        <v>0.5</v>
      </c>
      <c r="G6" s="779" t="s">
        <v>4729</v>
      </c>
      <c r="H6" s="763"/>
      <c r="I6" s="826" t="s">
        <v>5017</v>
      </c>
      <c r="J6" s="763"/>
      <c r="K6" s="763"/>
      <c r="L6" s="763"/>
    </row>
    <row r="7" spans="1:12" ht="60" customHeight="1" x14ac:dyDescent="0.3">
      <c r="A7" s="831" t="s">
        <v>4115</v>
      </c>
      <c r="B7" s="780" t="s">
        <v>4207</v>
      </c>
      <c r="C7" s="837" t="s">
        <v>1612</v>
      </c>
      <c r="D7" s="836" t="s">
        <v>4116</v>
      </c>
      <c r="E7" s="783" t="s">
        <v>4730</v>
      </c>
      <c r="F7" s="833">
        <v>0</v>
      </c>
      <c r="G7" s="834" t="s">
        <v>4731</v>
      </c>
      <c r="H7" s="763"/>
      <c r="I7" s="827" t="s">
        <v>5018</v>
      </c>
      <c r="J7" s="763"/>
      <c r="K7" s="763"/>
      <c r="L7" s="763"/>
    </row>
    <row r="8" spans="1:12" ht="18" customHeight="1" x14ac:dyDescent="0.3">
      <c r="A8" s="4047" t="s">
        <v>4796</v>
      </c>
      <c r="B8" s="4048"/>
      <c r="C8" s="4049"/>
      <c r="D8" s="4048"/>
      <c r="E8" s="4048"/>
      <c r="F8" s="4050"/>
      <c r="G8" s="4051"/>
      <c r="H8" s="4052"/>
      <c r="I8" s="4053"/>
      <c r="J8" s="4052"/>
      <c r="K8" s="4052"/>
      <c r="L8" s="4052"/>
    </row>
    <row r="9" spans="1:12" ht="60" customHeight="1" x14ac:dyDescent="0.3">
      <c r="A9" s="828" t="s">
        <v>4117</v>
      </c>
      <c r="B9" s="774" t="s">
        <v>4118</v>
      </c>
      <c r="C9" s="829" t="s">
        <v>4110</v>
      </c>
      <c r="D9" s="835" t="s">
        <v>4119</v>
      </c>
      <c r="E9" s="777" t="s">
        <v>4732</v>
      </c>
      <c r="F9" s="830">
        <v>0.5</v>
      </c>
      <c r="G9" s="779" t="s">
        <v>4733</v>
      </c>
      <c r="H9" s="763"/>
      <c r="I9" s="763"/>
      <c r="J9" s="763"/>
      <c r="K9" s="763"/>
      <c r="L9" s="763"/>
    </row>
    <row r="10" spans="1:12" ht="60" customHeight="1" x14ac:dyDescent="0.3">
      <c r="A10" s="831" t="s">
        <v>4120</v>
      </c>
      <c r="B10" s="780" t="s">
        <v>4121</v>
      </c>
      <c r="C10" s="832" t="s">
        <v>799</v>
      </c>
      <c r="D10" s="836" t="s">
        <v>4122</v>
      </c>
      <c r="E10" s="783" t="s">
        <v>4734</v>
      </c>
      <c r="F10" s="833">
        <v>1</v>
      </c>
      <c r="G10" s="786" t="s">
        <v>4735</v>
      </c>
      <c r="H10" s="763"/>
      <c r="I10" s="763"/>
      <c r="J10" s="763"/>
      <c r="K10" s="763"/>
      <c r="L10" s="763"/>
    </row>
    <row r="11" spans="1:12" ht="60" customHeight="1" x14ac:dyDescent="0.3">
      <c r="A11" s="828" t="s">
        <v>4123</v>
      </c>
      <c r="B11" s="774" t="s">
        <v>4124</v>
      </c>
      <c r="C11" s="829" t="s">
        <v>4110</v>
      </c>
      <c r="D11" s="835" t="s">
        <v>4125</v>
      </c>
      <c r="E11" s="777" t="s">
        <v>4736</v>
      </c>
      <c r="F11" s="830">
        <v>0.5</v>
      </c>
      <c r="G11" s="779" t="s">
        <v>4737</v>
      </c>
      <c r="H11" s="763"/>
      <c r="I11" s="763"/>
      <c r="J11" s="763"/>
      <c r="K11" s="763"/>
      <c r="L11" s="763"/>
    </row>
    <row r="12" spans="1:12" ht="60" customHeight="1" x14ac:dyDescent="0.3">
      <c r="A12" s="831" t="s">
        <v>4126</v>
      </c>
      <c r="B12" s="780" t="s">
        <v>4127</v>
      </c>
      <c r="C12" s="832" t="s">
        <v>1612</v>
      </c>
      <c r="D12" s="836" t="s">
        <v>4128</v>
      </c>
      <c r="E12" s="783" t="s">
        <v>4738</v>
      </c>
      <c r="F12" s="833">
        <v>0</v>
      </c>
      <c r="G12" s="834" t="s">
        <v>4739</v>
      </c>
      <c r="H12" s="763"/>
      <c r="I12" s="763"/>
      <c r="J12" s="763"/>
      <c r="K12" s="763"/>
      <c r="L12" s="763"/>
    </row>
    <row r="13" spans="1:12" ht="60" customHeight="1" x14ac:dyDescent="0.3">
      <c r="A13" s="4054" t="s">
        <v>4129</v>
      </c>
      <c r="B13" s="4055"/>
      <c r="C13" s="4056"/>
      <c r="D13" s="4055"/>
      <c r="E13" s="4055"/>
      <c r="F13" s="4057"/>
      <c r="G13" s="4058"/>
      <c r="H13" s="4059"/>
      <c r="I13" s="4059"/>
      <c r="J13" s="4059"/>
      <c r="K13" s="4059"/>
      <c r="L13" s="4059"/>
    </row>
    <row r="14" spans="1:12" ht="60" customHeight="1" x14ac:dyDescent="0.3">
      <c r="A14" s="897" t="s">
        <v>4130</v>
      </c>
      <c r="B14" s="873"/>
      <c r="C14" s="873"/>
      <c r="D14" s="873"/>
      <c r="E14" s="874" t="s">
        <v>4740</v>
      </c>
      <c r="F14" s="875" t="s">
        <v>1690</v>
      </c>
      <c r="G14" s="876" t="s">
        <v>4741</v>
      </c>
      <c r="H14" s="840"/>
      <c r="I14" s="840"/>
      <c r="J14" s="840"/>
      <c r="K14" s="840"/>
      <c r="L14" s="840"/>
    </row>
    <row r="15" spans="1:12" ht="60" customHeight="1" x14ac:dyDescent="0.3">
      <c r="A15" s="877" t="s">
        <v>4131</v>
      </c>
      <c r="B15" s="878" t="s">
        <v>4132</v>
      </c>
      <c r="C15" s="879" t="s">
        <v>4110</v>
      </c>
      <c r="D15" s="880" t="s">
        <v>4133</v>
      </c>
      <c r="E15" s="881" t="s">
        <v>4740</v>
      </c>
      <c r="F15" s="882" t="s">
        <v>1690</v>
      </c>
      <c r="G15" s="883" t="s">
        <v>4741</v>
      </c>
      <c r="H15" s="763"/>
      <c r="I15" s="763"/>
      <c r="J15" s="763"/>
      <c r="K15" s="763"/>
      <c r="L15" s="763"/>
    </row>
    <row r="16" spans="1:12" ht="18" customHeight="1" x14ac:dyDescent="0.3">
      <c r="A16" s="4060" t="s">
        <v>4797</v>
      </c>
      <c r="B16" s="4061"/>
      <c r="C16" s="4061"/>
      <c r="D16" s="4061"/>
      <c r="E16" s="4061"/>
      <c r="F16" s="4062"/>
      <c r="G16" s="4063"/>
      <c r="H16" s="4064"/>
      <c r="I16" s="4064"/>
      <c r="J16" s="4064"/>
      <c r="K16" s="4064"/>
      <c r="L16" s="4064"/>
    </row>
    <row r="17" spans="1:12" ht="60" customHeight="1" x14ac:dyDescent="0.3">
      <c r="A17" s="770" t="s">
        <v>4134</v>
      </c>
      <c r="B17" s="780" t="s">
        <v>4135</v>
      </c>
      <c r="C17" s="787" t="s">
        <v>1612</v>
      </c>
      <c r="D17" s="782" t="s">
        <v>4136</v>
      </c>
      <c r="E17" s="783" t="s">
        <v>4742</v>
      </c>
      <c r="F17" s="784">
        <v>0.5</v>
      </c>
      <c r="G17" s="788" t="s">
        <v>4743</v>
      </c>
      <c r="H17" s="763"/>
      <c r="I17" s="763"/>
      <c r="J17" s="763"/>
      <c r="K17" s="763"/>
      <c r="L17" s="763"/>
    </row>
    <row r="18" spans="1:12" ht="60" customHeight="1" x14ac:dyDescent="0.3">
      <c r="A18" s="773" t="s">
        <v>4137</v>
      </c>
      <c r="B18" s="774" t="s">
        <v>4138</v>
      </c>
      <c r="C18" s="789" t="s">
        <v>4110</v>
      </c>
      <c r="D18" s="776" t="s">
        <v>4139</v>
      </c>
      <c r="E18" s="777" t="s">
        <v>4744</v>
      </c>
      <c r="F18" s="778">
        <v>0</v>
      </c>
      <c r="G18" s="790" t="s">
        <v>4745</v>
      </c>
      <c r="H18" s="763"/>
      <c r="I18" s="763"/>
      <c r="J18" s="763"/>
      <c r="K18" s="763"/>
      <c r="L18" s="763"/>
    </row>
    <row r="19" spans="1:12" ht="60" customHeight="1" x14ac:dyDescent="0.3">
      <c r="A19" s="770" t="s">
        <v>4140</v>
      </c>
      <c r="B19" s="780" t="s">
        <v>4141</v>
      </c>
      <c r="C19" s="781" t="s">
        <v>4110</v>
      </c>
      <c r="D19" s="782" t="s">
        <v>4142</v>
      </c>
      <c r="E19" s="783" t="s">
        <v>4746</v>
      </c>
      <c r="F19" s="784">
        <v>0</v>
      </c>
      <c r="G19" s="785" t="s">
        <v>4747</v>
      </c>
      <c r="H19" s="763"/>
      <c r="I19" s="763"/>
      <c r="J19" s="763"/>
      <c r="K19" s="763"/>
      <c r="L19" s="763"/>
    </row>
    <row r="20" spans="1:12" ht="60" customHeight="1" thickBot="1" x14ac:dyDescent="0.35">
      <c r="A20" s="791" t="s">
        <v>4143</v>
      </c>
      <c r="B20" s="792" t="s">
        <v>4144</v>
      </c>
      <c r="C20" s="849" t="s">
        <v>4110</v>
      </c>
      <c r="D20" s="793" t="s">
        <v>4145</v>
      </c>
      <c r="E20" s="794" t="s">
        <v>4748</v>
      </c>
      <c r="F20" s="795">
        <v>0.5</v>
      </c>
      <c r="G20" s="850" t="s">
        <v>4749</v>
      </c>
      <c r="H20" s="763"/>
      <c r="I20" s="763"/>
      <c r="J20" s="763"/>
      <c r="K20" s="763"/>
      <c r="L20" s="763"/>
    </row>
    <row r="21" spans="1:12" ht="60" customHeight="1" x14ac:dyDescent="0.3">
      <c r="A21" s="851" t="s">
        <v>4146</v>
      </c>
      <c r="B21" s="852" t="s">
        <v>4147</v>
      </c>
      <c r="C21" s="853" t="s">
        <v>799</v>
      </c>
      <c r="D21" s="854" t="s">
        <v>4148</v>
      </c>
      <c r="E21" s="855" t="s">
        <v>4750</v>
      </c>
      <c r="F21" s="856">
        <v>0.5</v>
      </c>
      <c r="G21" s="857" t="s">
        <v>4751</v>
      </c>
      <c r="H21" s="763"/>
      <c r="I21" s="763"/>
      <c r="J21" s="763"/>
      <c r="K21" s="763"/>
      <c r="L21" s="763"/>
    </row>
    <row r="22" spans="1:12" ht="60" customHeight="1" x14ac:dyDescent="0.3">
      <c r="A22" s="841" t="s">
        <v>4149</v>
      </c>
      <c r="B22" s="842" t="s">
        <v>4150</v>
      </c>
      <c r="C22" s="884" t="s">
        <v>799</v>
      </c>
      <c r="D22" s="844" t="s">
        <v>4151</v>
      </c>
      <c r="E22" s="845" t="s">
        <v>4752</v>
      </c>
      <c r="F22" s="846">
        <v>0.5</v>
      </c>
      <c r="G22" s="885" t="s">
        <v>4753</v>
      </c>
      <c r="H22" s="763"/>
      <c r="I22" s="763"/>
      <c r="J22" s="763"/>
      <c r="K22" s="763"/>
      <c r="L22" s="763"/>
    </row>
    <row r="23" spans="1:12" ht="60" customHeight="1" x14ac:dyDescent="0.3">
      <c r="A23" s="898" t="s">
        <v>4152</v>
      </c>
      <c r="B23" s="886"/>
      <c r="C23" s="886"/>
      <c r="D23" s="886"/>
      <c r="E23" s="887" t="s">
        <v>4754</v>
      </c>
      <c r="F23" s="888">
        <v>1</v>
      </c>
      <c r="G23" s="889" t="s">
        <v>4755</v>
      </c>
      <c r="H23" s="847"/>
      <c r="I23" s="847"/>
      <c r="J23" s="847"/>
      <c r="K23" s="847"/>
      <c r="L23" s="847"/>
    </row>
    <row r="24" spans="1:12" ht="18" customHeight="1" thickBot="1" x14ac:dyDescent="0.35">
      <c r="A24" s="4065" t="s">
        <v>4798</v>
      </c>
      <c r="B24" s="4066"/>
      <c r="C24" s="4066"/>
      <c r="D24" s="4066"/>
      <c r="E24" s="4066"/>
      <c r="F24" s="4067"/>
      <c r="G24" s="4068"/>
      <c r="H24" s="4069"/>
      <c r="I24" s="4069"/>
      <c r="J24" s="4069"/>
      <c r="K24" s="4069"/>
      <c r="L24" s="4069"/>
    </row>
    <row r="25" spans="1:12" ht="60" customHeight="1" x14ac:dyDescent="0.3">
      <c r="A25" s="851" t="s">
        <v>4153</v>
      </c>
      <c r="B25" s="852" t="s">
        <v>4154</v>
      </c>
      <c r="C25" s="862" t="s">
        <v>4110</v>
      </c>
      <c r="D25" s="854" t="s">
        <v>4155</v>
      </c>
      <c r="E25" s="855" t="s">
        <v>4756</v>
      </c>
      <c r="F25" s="856">
        <v>1</v>
      </c>
      <c r="G25" s="863" t="s">
        <v>4757</v>
      </c>
      <c r="H25" s="763"/>
      <c r="I25" s="763"/>
      <c r="J25" s="763"/>
      <c r="K25" s="763"/>
      <c r="L25" s="763"/>
    </row>
    <row r="26" spans="1:12" ht="60" customHeight="1" x14ac:dyDescent="0.3">
      <c r="A26" s="770" t="s">
        <v>4156</v>
      </c>
      <c r="B26" s="780" t="s">
        <v>4157</v>
      </c>
      <c r="C26" s="771" t="s">
        <v>4110</v>
      </c>
      <c r="D26" s="782" t="s">
        <v>4158</v>
      </c>
      <c r="E26" s="783" t="s">
        <v>4758</v>
      </c>
      <c r="F26" s="784">
        <v>1</v>
      </c>
      <c r="G26" s="786" t="s">
        <v>4759</v>
      </c>
      <c r="H26" s="763"/>
      <c r="I26" s="763"/>
      <c r="J26" s="763"/>
      <c r="K26" s="763"/>
      <c r="L26" s="763"/>
    </row>
    <row r="27" spans="1:12" ht="60" customHeight="1" x14ac:dyDescent="0.3">
      <c r="A27" s="773" t="s">
        <v>4159</v>
      </c>
      <c r="B27" s="774" t="s">
        <v>4160</v>
      </c>
      <c r="C27" s="775" t="s">
        <v>799</v>
      </c>
      <c r="D27" s="776" t="s">
        <v>4161</v>
      </c>
      <c r="E27" s="777" t="s">
        <v>4760</v>
      </c>
      <c r="F27" s="778">
        <v>0.5</v>
      </c>
      <c r="G27" s="779" t="s">
        <v>4761</v>
      </c>
      <c r="H27" s="763"/>
      <c r="I27" s="763"/>
      <c r="J27" s="763"/>
      <c r="K27" s="763"/>
      <c r="L27" s="763"/>
    </row>
    <row r="28" spans="1:12" ht="60" customHeight="1" x14ac:dyDescent="0.3">
      <c r="A28" s="841" t="s">
        <v>4162</v>
      </c>
      <c r="B28" s="842" t="s">
        <v>4163</v>
      </c>
      <c r="C28" s="843" t="s">
        <v>4110</v>
      </c>
      <c r="D28" s="844" t="s">
        <v>4164</v>
      </c>
      <c r="E28" s="845" t="s">
        <v>4762</v>
      </c>
      <c r="F28" s="846">
        <v>0.5</v>
      </c>
      <c r="G28" s="885" t="s">
        <v>4763</v>
      </c>
      <c r="H28" s="763"/>
      <c r="I28" s="763"/>
      <c r="J28" s="763"/>
      <c r="K28" s="763"/>
      <c r="L28" s="763"/>
    </row>
    <row r="29" spans="1:12" ht="60" customHeight="1" x14ac:dyDescent="0.3">
      <c r="A29" s="897" t="s">
        <v>4165</v>
      </c>
      <c r="B29" s="873"/>
      <c r="C29" s="873"/>
      <c r="D29" s="873"/>
      <c r="E29" s="874" t="s">
        <v>4764</v>
      </c>
      <c r="F29" s="875">
        <v>1</v>
      </c>
      <c r="G29" s="876" t="s">
        <v>4765</v>
      </c>
      <c r="H29" s="848"/>
      <c r="I29" s="848"/>
      <c r="J29" s="848"/>
      <c r="K29" s="848"/>
      <c r="L29" s="848"/>
    </row>
    <row r="30" spans="1:12" ht="60" customHeight="1" thickBot="1" x14ac:dyDescent="0.35">
      <c r="A30" s="890" t="s">
        <v>4166</v>
      </c>
      <c r="B30" s="891" t="s">
        <v>4167</v>
      </c>
      <c r="C30" s="892" t="s">
        <v>4110</v>
      </c>
      <c r="D30" s="893" t="s">
        <v>4168</v>
      </c>
      <c r="E30" s="894" t="s">
        <v>4766</v>
      </c>
      <c r="F30" s="895">
        <v>0</v>
      </c>
      <c r="G30" s="896" t="s">
        <v>4767</v>
      </c>
      <c r="H30" s="763"/>
      <c r="I30" s="763"/>
      <c r="J30" s="763"/>
      <c r="K30" s="763"/>
      <c r="L30" s="763"/>
    </row>
    <row r="31" spans="1:12" ht="18" customHeight="1" thickBot="1" x14ac:dyDescent="0.35">
      <c r="A31" s="4070" t="s">
        <v>4799</v>
      </c>
      <c r="B31" s="4071"/>
      <c r="C31" s="4071"/>
      <c r="D31" s="4071"/>
      <c r="E31" s="4071"/>
      <c r="F31" s="4072"/>
      <c r="G31" s="4073"/>
      <c r="H31" s="4074"/>
      <c r="I31" s="4074"/>
      <c r="J31" s="4074"/>
      <c r="K31" s="4074"/>
      <c r="L31" s="4074"/>
    </row>
    <row r="32" spans="1:12" ht="60" customHeight="1" x14ac:dyDescent="0.3">
      <c r="A32" s="865" t="s">
        <v>4169</v>
      </c>
      <c r="B32" s="866" t="s">
        <v>4170</v>
      </c>
      <c r="C32" s="867" t="s">
        <v>799</v>
      </c>
      <c r="D32" s="868" t="s">
        <v>4171</v>
      </c>
      <c r="E32" s="869" t="s">
        <v>4768</v>
      </c>
      <c r="F32" s="870">
        <v>0.5</v>
      </c>
      <c r="G32" s="871" t="s">
        <v>4769</v>
      </c>
      <c r="H32" s="763"/>
      <c r="I32" s="763"/>
      <c r="J32" s="763"/>
      <c r="K32" s="763"/>
      <c r="L32" s="763"/>
    </row>
    <row r="33" spans="1:12" ht="60" customHeight="1" x14ac:dyDescent="0.3">
      <c r="A33" s="773" t="s">
        <v>4172</v>
      </c>
      <c r="B33" s="774" t="s">
        <v>4173</v>
      </c>
      <c r="C33" s="775" t="s">
        <v>1612</v>
      </c>
      <c r="D33" s="899" t="s">
        <v>4174</v>
      </c>
      <c r="E33" s="777" t="s">
        <v>4770</v>
      </c>
      <c r="F33" s="778">
        <v>0.5</v>
      </c>
      <c r="G33" s="779" t="s">
        <v>4771</v>
      </c>
      <c r="H33" s="763"/>
      <c r="I33" s="763"/>
      <c r="J33" s="763"/>
      <c r="K33" s="763"/>
      <c r="L33" s="763"/>
    </row>
    <row r="34" spans="1:12" ht="60" customHeight="1" x14ac:dyDescent="0.3">
      <c r="A34" s="770" t="s">
        <v>4175</v>
      </c>
      <c r="B34" s="780" t="s">
        <v>4176</v>
      </c>
      <c r="C34" s="771" t="s">
        <v>1612</v>
      </c>
      <c r="D34" s="900" t="s">
        <v>4177</v>
      </c>
      <c r="E34" s="783" t="s">
        <v>4772</v>
      </c>
      <c r="F34" s="784">
        <v>1</v>
      </c>
      <c r="G34" s="786" t="s">
        <v>4773</v>
      </c>
      <c r="H34" s="763"/>
      <c r="I34" s="763"/>
      <c r="J34" s="763"/>
      <c r="K34" s="763"/>
      <c r="L34" s="763"/>
    </row>
    <row r="35" spans="1:12" ht="60" customHeight="1" x14ac:dyDescent="0.3">
      <c r="A35" s="773" t="s">
        <v>4178</v>
      </c>
      <c r="B35" s="774" t="s">
        <v>4179</v>
      </c>
      <c r="C35" s="775" t="s">
        <v>799</v>
      </c>
      <c r="D35" s="899" t="s">
        <v>4180</v>
      </c>
      <c r="E35" s="777" t="s">
        <v>4774</v>
      </c>
      <c r="F35" s="778">
        <v>0</v>
      </c>
      <c r="G35" s="790" t="s">
        <v>4775</v>
      </c>
      <c r="H35" s="763"/>
      <c r="I35" s="763"/>
      <c r="J35" s="763"/>
      <c r="K35" s="763"/>
      <c r="L35" s="763"/>
    </row>
    <row r="36" spans="1:12" ht="60" customHeight="1" thickBot="1" x14ac:dyDescent="0.35">
      <c r="A36" s="858" t="s">
        <v>4178</v>
      </c>
      <c r="B36" s="859" t="s">
        <v>4179</v>
      </c>
      <c r="C36" s="864" t="s">
        <v>799</v>
      </c>
      <c r="D36" s="901" t="s">
        <v>4181</v>
      </c>
      <c r="E36" s="860" t="s">
        <v>4776</v>
      </c>
      <c r="F36" s="861">
        <v>0</v>
      </c>
      <c r="G36" s="872" t="s">
        <v>4777</v>
      </c>
      <c r="H36" s="763"/>
      <c r="I36" s="763"/>
      <c r="J36" s="763"/>
      <c r="K36" s="763"/>
      <c r="L36" s="763"/>
    </row>
    <row r="37" spans="1:12" ht="19.95" customHeight="1" thickBot="1" x14ac:dyDescent="0.35">
      <c r="A37" s="4075" t="s">
        <v>4182</v>
      </c>
      <c r="B37" s="4076"/>
      <c r="C37" s="4076"/>
      <c r="D37" s="4076"/>
      <c r="E37" s="4076"/>
      <c r="F37" s="4076"/>
      <c r="G37" s="4077"/>
      <c r="H37" s="4059"/>
      <c r="I37" s="4059"/>
      <c r="J37" s="4059"/>
      <c r="K37" s="4059"/>
      <c r="L37" s="4059"/>
    </row>
    <row r="38" spans="1:12" ht="22.05" customHeight="1" thickBot="1" x14ac:dyDescent="0.35">
      <c r="A38" s="796" t="s">
        <v>4183</v>
      </c>
      <c r="B38" s="797" t="s">
        <v>4184</v>
      </c>
      <c r="C38" s="797" t="s">
        <v>4185</v>
      </c>
      <c r="D38" s="797" t="s">
        <v>4186</v>
      </c>
      <c r="E38" s="798" t="s">
        <v>4778</v>
      </c>
      <c r="F38" s="798" t="s">
        <v>4779</v>
      </c>
      <c r="G38" s="799" t="s">
        <v>4780</v>
      </c>
      <c r="H38" s="763"/>
      <c r="I38" s="763"/>
      <c r="J38" s="763"/>
      <c r="K38" s="763"/>
      <c r="L38" s="763"/>
    </row>
    <row r="39" spans="1:12" ht="22.05" customHeight="1" thickBot="1" x14ac:dyDescent="0.35">
      <c r="A39" s="4078" t="s">
        <v>4811</v>
      </c>
      <c r="B39" s="4079"/>
      <c r="C39" s="4079"/>
      <c r="D39" s="4079"/>
      <c r="E39" s="4079"/>
      <c r="F39" s="4079"/>
      <c r="G39" s="4080"/>
      <c r="H39" s="4081"/>
      <c r="I39" s="4081"/>
      <c r="J39" s="4081"/>
      <c r="K39" s="4081"/>
      <c r="L39" s="4081"/>
    </row>
    <row r="40" spans="1:12" ht="19.95" customHeight="1" x14ac:dyDescent="0.3">
      <c r="A40" s="800" t="s">
        <v>4187</v>
      </c>
      <c r="B40" s="801" t="s">
        <v>4188</v>
      </c>
      <c r="C40" s="801" t="s">
        <v>4189</v>
      </c>
      <c r="D40" s="801" t="s">
        <v>4190</v>
      </c>
      <c r="E40" s="802" t="s">
        <v>4781</v>
      </c>
      <c r="F40" s="802" t="s">
        <v>4782</v>
      </c>
      <c r="G40" s="803" t="s">
        <v>4783</v>
      </c>
      <c r="H40" s="763"/>
      <c r="I40" s="763"/>
      <c r="J40" s="763"/>
      <c r="K40" s="763"/>
      <c r="L40" s="763"/>
    </row>
    <row r="41" spans="1:12" ht="19.95" customHeight="1" x14ac:dyDescent="0.3">
      <c r="A41" s="804" t="s">
        <v>4191</v>
      </c>
      <c r="B41" s="805" t="s">
        <v>934</v>
      </c>
      <c r="C41" s="805" t="s">
        <v>4192</v>
      </c>
      <c r="D41" s="805" t="s">
        <v>4193</v>
      </c>
      <c r="E41" s="806" t="s">
        <v>4784</v>
      </c>
      <c r="F41" s="806" t="s">
        <v>4785</v>
      </c>
      <c r="G41" s="807" t="s">
        <v>4786</v>
      </c>
      <c r="H41" s="763"/>
      <c r="I41" s="763"/>
      <c r="J41" s="763"/>
      <c r="K41" s="763"/>
      <c r="L41" s="763"/>
    </row>
    <row r="42" spans="1:12" ht="49.95" customHeight="1" x14ac:dyDescent="0.3">
      <c r="A42" s="808" t="s">
        <v>4194</v>
      </c>
      <c r="B42" s="809" t="s">
        <v>4195</v>
      </c>
      <c r="C42" s="809" t="s">
        <v>4196</v>
      </c>
      <c r="D42" s="809" t="s">
        <v>4197</v>
      </c>
      <c r="E42" s="810" t="s">
        <v>4787</v>
      </c>
      <c r="F42" s="811" t="s">
        <v>4788</v>
      </c>
      <c r="G42" s="812" t="s">
        <v>4789</v>
      </c>
      <c r="H42" s="763"/>
      <c r="I42" s="763"/>
      <c r="J42" s="763"/>
      <c r="K42" s="763"/>
      <c r="L42" s="763"/>
    </row>
    <row r="43" spans="1:12" ht="49.95" customHeight="1" x14ac:dyDescent="0.3">
      <c r="A43" s="813" t="s">
        <v>4198</v>
      </c>
      <c r="B43" s="814" t="s">
        <v>4199</v>
      </c>
      <c r="C43" s="814" t="s">
        <v>4200</v>
      </c>
      <c r="D43" s="814" t="s">
        <v>4201</v>
      </c>
      <c r="E43" s="815" t="s">
        <v>4790</v>
      </c>
      <c r="F43" s="816" t="s">
        <v>4791</v>
      </c>
      <c r="G43" s="817" t="s">
        <v>4792</v>
      </c>
      <c r="H43" s="763"/>
      <c r="I43" s="763"/>
      <c r="J43" s="763"/>
      <c r="K43" s="763"/>
      <c r="L43" s="763"/>
    </row>
    <row r="44" spans="1:12" ht="49.95" customHeight="1" thickBot="1" x14ac:dyDescent="0.35">
      <c r="A44" s="818" t="s">
        <v>4202</v>
      </c>
      <c r="B44" s="819" t="s">
        <v>4203</v>
      </c>
      <c r="C44" s="819" t="s">
        <v>4204</v>
      </c>
      <c r="D44" s="819" t="s">
        <v>4205</v>
      </c>
      <c r="E44" s="820" t="s">
        <v>4793</v>
      </c>
      <c r="F44" s="821" t="s">
        <v>4794</v>
      </c>
      <c r="G44" s="822" t="s">
        <v>4795</v>
      </c>
      <c r="H44" s="763"/>
      <c r="I44" s="763"/>
      <c r="J44" s="763"/>
      <c r="K44" s="763"/>
      <c r="L44" s="763"/>
    </row>
    <row r="45" spans="1:12" ht="70.05" customHeight="1" thickBot="1" x14ac:dyDescent="0.35">
      <c r="A45" s="4082" t="s">
        <v>4206</v>
      </c>
      <c r="B45" s="4083"/>
      <c r="C45" s="4083"/>
      <c r="D45" s="4083"/>
      <c r="E45" s="4083"/>
      <c r="F45" s="4083"/>
      <c r="G45" s="4084"/>
      <c r="H45" s="4085"/>
      <c r="I45" s="4085"/>
      <c r="J45" s="4085"/>
      <c r="K45" s="4085"/>
      <c r="L45" s="4085"/>
    </row>
    <row r="46" spans="1:12" x14ac:dyDescent="0.3">
      <c r="A46" s="761"/>
      <c r="B46" s="761"/>
      <c r="C46" s="761"/>
      <c r="D46" s="761"/>
      <c r="E46" s="761"/>
      <c r="F46" s="761"/>
      <c r="G46" s="761"/>
      <c r="H46" s="43"/>
      <c r="I46" s="43"/>
      <c r="J46" s="43"/>
      <c r="K46" s="43"/>
      <c r="L46" s="43"/>
    </row>
    <row r="47" spans="1:12" x14ac:dyDescent="0.3">
      <c r="A47" s="761"/>
      <c r="B47" s="761"/>
      <c r="C47" s="761"/>
      <c r="D47" s="761"/>
      <c r="E47" s="761"/>
      <c r="F47" s="761"/>
      <c r="G47" s="761"/>
      <c r="H47" s="43"/>
      <c r="I47" s="43"/>
      <c r="J47" s="43"/>
      <c r="K47" s="43"/>
      <c r="L47" s="43"/>
    </row>
    <row r="48" spans="1:12" x14ac:dyDescent="0.3">
      <c r="A48" s="761"/>
      <c r="B48" s="761"/>
      <c r="C48" s="761"/>
      <c r="D48" s="761"/>
      <c r="E48" s="761"/>
      <c r="F48" s="761"/>
      <c r="G48" s="761"/>
      <c r="H48" s="43"/>
      <c r="I48" s="43"/>
      <c r="J48" s="43"/>
      <c r="K48" s="43"/>
      <c r="L48" s="43"/>
    </row>
    <row r="49" spans="1:12" x14ac:dyDescent="0.3">
      <c r="A49" s="761"/>
      <c r="B49" s="761"/>
      <c r="C49" s="761"/>
      <c r="D49" s="761"/>
      <c r="E49" s="761"/>
      <c r="F49" s="761"/>
      <c r="G49" s="761"/>
      <c r="H49" s="43"/>
      <c r="I49" s="43"/>
      <c r="J49" s="43"/>
      <c r="K49" s="43"/>
      <c r="L49" s="43"/>
    </row>
    <row r="50" spans="1:12" x14ac:dyDescent="0.3">
      <c r="A50" s="761"/>
      <c r="B50" s="761"/>
      <c r="C50" s="761"/>
      <c r="D50" s="761"/>
      <c r="E50" s="761"/>
      <c r="F50" s="761"/>
      <c r="G50" s="761"/>
      <c r="H50" s="43"/>
      <c r="I50" s="43"/>
      <c r="J50" s="43"/>
      <c r="K50" s="43"/>
      <c r="L50" s="43"/>
    </row>
    <row r="51" spans="1:12" x14ac:dyDescent="0.3">
      <c r="A51" s="761"/>
      <c r="B51" s="761"/>
      <c r="C51" s="761"/>
      <c r="D51" s="761"/>
      <c r="E51" s="761"/>
      <c r="F51" s="761"/>
      <c r="G51" s="761"/>
      <c r="H51" s="43"/>
      <c r="I51" s="43"/>
      <c r="J51" s="43"/>
      <c r="K51" s="43"/>
      <c r="L51" s="43"/>
    </row>
    <row r="52" spans="1:12" x14ac:dyDescent="0.3">
      <c r="A52" s="761"/>
      <c r="B52" s="761"/>
      <c r="C52" s="761"/>
      <c r="D52" s="761"/>
      <c r="E52" s="761"/>
      <c r="F52" s="761"/>
      <c r="G52" s="761"/>
      <c r="H52" s="43"/>
      <c r="I52" s="43"/>
      <c r="J52" s="43"/>
      <c r="K52" s="43"/>
      <c r="L52" s="43"/>
    </row>
    <row r="53" spans="1:12" x14ac:dyDescent="0.3">
      <c r="A53" s="761"/>
      <c r="B53" s="761"/>
      <c r="C53" s="761"/>
      <c r="D53" s="761"/>
      <c r="E53" s="761"/>
      <c r="F53" s="761"/>
      <c r="G53" s="761"/>
      <c r="H53" s="43"/>
      <c r="I53" s="43"/>
      <c r="J53" s="43"/>
      <c r="K53" s="43"/>
      <c r="L53" s="43"/>
    </row>
    <row r="54" spans="1:12" x14ac:dyDescent="0.3">
      <c r="A54" s="761"/>
      <c r="B54" s="761"/>
      <c r="C54" s="761"/>
      <c r="D54" s="761"/>
      <c r="E54" s="761"/>
      <c r="F54" s="761"/>
      <c r="G54" s="761"/>
      <c r="H54" s="43"/>
      <c r="I54" s="43"/>
      <c r="J54" s="43"/>
      <c r="K54" s="43"/>
      <c r="L54" s="43"/>
    </row>
    <row r="55" spans="1:12" x14ac:dyDescent="0.3">
      <c r="A55" s="761"/>
      <c r="B55" s="761"/>
      <c r="C55" s="761"/>
      <c r="D55" s="761"/>
      <c r="E55" s="761"/>
      <c r="F55" s="761"/>
      <c r="G55" s="761"/>
      <c r="H55" s="43"/>
      <c r="I55" s="43"/>
      <c r="J55" s="43"/>
      <c r="K55" s="43"/>
      <c r="L55" s="43"/>
    </row>
    <row r="56" spans="1:12" x14ac:dyDescent="0.3">
      <c r="A56" s="761"/>
      <c r="B56" s="761"/>
      <c r="C56" s="761"/>
      <c r="D56" s="761"/>
      <c r="E56" s="761"/>
      <c r="F56" s="761"/>
      <c r="G56" s="761"/>
      <c r="H56" s="43"/>
      <c r="I56" s="43"/>
      <c r="J56" s="43"/>
      <c r="K56" s="43"/>
      <c r="L56" s="43"/>
    </row>
    <row r="57" spans="1:12" x14ac:dyDescent="0.3">
      <c r="A57" s="761"/>
      <c r="B57" s="761"/>
      <c r="C57" s="761"/>
      <c r="D57" s="761"/>
      <c r="E57" s="761"/>
      <c r="F57" s="761"/>
      <c r="G57" s="761"/>
      <c r="H57" s="43"/>
      <c r="I57" s="43"/>
      <c r="J57" s="43"/>
      <c r="K57" s="43"/>
      <c r="L57" s="43"/>
    </row>
    <row r="58" spans="1:12" x14ac:dyDescent="0.3">
      <c r="A58" s="761"/>
      <c r="B58" s="761"/>
      <c r="C58" s="761"/>
      <c r="D58" s="761"/>
      <c r="E58" s="761"/>
      <c r="F58" s="761"/>
      <c r="G58" s="761"/>
      <c r="H58" s="43"/>
      <c r="I58" s="43"/>
      <c r="J58" s="43"/>
      <c r="K58" s="43"/>
      <c r="L58" s="43"/>
    </row>
    <row r="59" spans="1:12" x14ac:dyDescent="0.3">
      <c r="A59" s="761"/>
      <c r="B59" s="761"/>
      <c r="C59" s="761"/>
      <c r="D59" s="761"/>
      <c r="E59" s="761"/>
      <c r="F59" s="761"/>
      <c r="G59" s="761"/>
      <c r="H59" s="43"/>
      <c r="I59" s="43"/>
      <c r="J59" s="43"/>
      <c r="K59" s="43"/>
      <c r="L59" s="43"/>
    </row>
    <row r="60" spans="1:12" x14ac:dyDescent="0.3">
      <c r="A60" s="761"/>
      <c r="B60" s="761"/>
      <c r="C60" s="761"/>
      <c r="D60" s="761"/>
      <c r="E60" s="761"/>
      <c r="F60" s="761"/>
      <c r="G60" s="761"/>
      <c r="H60" s="43"/>
      <c r="I60" s="43"/>
      <c r="J60" s="43"/>
      <c r="K60" s="43"/>
      <c r="L60" s="43"/>
    </row>
    <row r="61" spans="1:12" x14ac:dyDescent="0.3">
      <c r="A61" s="761"/>
      <c r="B61" s="761"/>
      <c r="C61" s="761"/>
      <c r="D61" s="761"/>
      <c r="E61" s="761"/>
      <c r="F61" s="761"/>
      <c r="G61" s="761"/>
      <c r="H61" s="43"/>
      <c r="I61" s="43"/>
      <c r="J61" s="43"/>
      <c r="K61" s="43"/>
      <c r="L61" s="43"/>
    </row>
    <row r="62" spans="1:12" x14ac:dyDescent="0.3">
      <c r="A62" s="761"/>
      <c r="B62" s="761"/>
      <c r="C62" s="761"/>
      <c r="D62" s="761"/>
      <c r="E62" s="761"/>
      <c r="F62" s="761"/>
      <c r="G62" s="761"/>
      <c r="H62" s="43"/>
      <c r="I62" s="43"/>
      <c r="J62" s="43"/>
      <c r="K62" s="43"/>
      <c r="L62" s="43"/>
    </row>
    <row r="63" spans="1:12" x14ac:dyDescent="0.3">
      <c r="A63" s="761"/>
      <c r="B63" s="761"/>
      <c r="C63" s="761"/>
      <c r="D63" s="761"/>
      <c r="E63" s="761"/>
      <c r="F63" s="761"/>
      <c r="G63" s="761"/>
      <c r="H63" s="43"/>
      <c r="I63" s="43"/>
      <c r="J63" s="43"/>
      <c r="K63" s="43"/>
      <c r="L63" s="43"/>
    </row>
    <row r="64" spans="1:12" x14ac:dyDescent="0.3">
      <c r="A64" s="761"/>
      <c r="B64" s="761"/>
      <c r="C64" s="761"/>
      <c r="D64" s="761"/>
      <c r="E64" s="761"/>
      <c r="F64" s="761"/>
      <c r="G64" s="761"/>
      <c r="H64" s="43"/>
      <c r="I64" s="43"/>
      <c r="J64" s="43"/>
      <c r="K64" s="43"/>
      <c r="L64" s="43"/>
    </row>
    <row r="65" spans="1:12" x14ac:dyDescent="0.3">
      <c r="A65" s="761"/>
      <c r="B65" s="761"/>
      <c r="C65" s="761"/>
      <c r="D65" s="761"/>
      <c r="E65" s="761"/>
      <c r="F65" s="761"/>
      <c r="G65" s="761"/>
      <c r="H65" s="43"/>
      <c r="I65" s="43"/>
      <c r="J65" s="43"/>
      <c r="K65" s="43"/>
      <c r="L65" s="43"/>
    </row>
    <row r="66" spans="1:12" x14ac:dyDescent="0.3">
      <c r="A66" s="761"/>
      <c r="B66" s="761"/>
      <c r="C66" s="761"/>
      <c r="D66" s="761"/>
      <c r="E66" s="761"/>
      <c r="F66" s="761"/>
      <c r="G66" s="761"/>
      <c r="H66" s="43"/>
      <c r="I66" s="43"/>
      <c r="J66" s="43"/>
      <c r="K66" s="43"/>
      <c r="L66" s="43"/>
    </row>
    <row r="67" spans="1:12" x14ac:dyDescent="0.3">
      <c r="A67" s="761"/>
      <c r="B67" s="761"/>
      <c r="C67" s="761"/>
      <c r="D67" s="761"/>
      <c r="E67" s="761"/>
      <c r="F67" s="761"/>
      <c r="G67" s="761"/>
      <c r="H67" s="43"/>
      <c r="I67" s="43"/>
      <c r="J67" s="43"/>
      <c r="K67" s="43"/>
      <c r="L67" s="43"/>
    </row>
    <row r="68" spans="1:12" x14ac:dyDescent="0.3">
      <c r="A68" s="761"/>
      <c r="B68" s="761"/>
      <c r="C68" s="761"/>
      <c r="D68" s="761"/>
      <c r="E68" s="761"/>
      <c r="F68" s="761"/>
      <c r="G68" s="761"/>
      <c r="H68" s="43"/>
      <c r="I68" s="43"/>
      <c r="J68" s="43"/>
      <c r="K68" s="43"/>
      <c r="L68" s="43"/>
    </row>
    <row r="69" spans="1:12" x14ac:dyDescent="0.3">
      <c r="A69" s="761"/>
      <c r="B69" s="761"/>
      <c r="C69" s="761"/>
      <c r="D69" s="761"/>
      <c r="E69" s="761"/>
      <c r="F69" s="761"/>
      <c r="G69" s="761"/>
      <c r="H69" s="43"/>
      <c r="I69" s="43"/>
      <c r="J69" s="43"/>
      <c r="K69" s="43"/>
      <c r="L69" s="43"/>
    </row>
    <row r="70" spans="1:12" x14ac:dyDescent="0.3">
      <c r="A70" s="761"/>
      <c r="B70" s="761"/>
      <c r="C70" s="761"/>
      <c r="D70" s="761"/>
      <c r="E70" s="761"/>
      <c r="F70" s="761"/>
      <c r="G70" s="761"/>
      <c r="H70" s="43"/>
      <c r="I70" s="43"/>
      <c r="J70" s="43"/>
      <c r="K70" s="43"/>
      <c r="L70" s="43"/>
    </row>
    <row r="71" spans="1:12" x14ac:dyDescent="0.3">
      <c r="A71" s="761"/>
      <c r="B71" s="761"/>
      <c r="C71" s="761"/>
      <c r="D71" s="761"/>
      <c r="E71" s="761"/>
      <c r="F71" s="761"/>
      <c r="G71" s="761"/>
      <c r="H71" s="43"/>
      <c r="I71" s="43"/>
      <c r="J71" s="43"/>
      <c r="K71" s="43"/>
      <c r="L71" s="43"/>
    </row>
    <row r="72" spans="1:12" x14ac:dyDescent="0.3">
      <c r="A72" s="761"/>
      <c r="B72" s="761"/>
      <c r="C72" s="761"/>
      <c r="D72" s="761"/>
      <c r="E72" s="761"/>
      <c r="F72" s="761"/>
      <c r="G72" s="761"/>
      <c r="H72" s="43"/>
      <c r="I72" s="43"/>
      <c r="J72" s="43"/>
      <c r="K72" s="43"/>
      <c r="L72" s="43"/>
    </row>
    <row r="73" spans="1:12" x14ac:dyDescent="0.3">
      <c r="A73" s="761"/>
      <c r="B73" s="761"/>
      <c r="C73" s="761"/>
      <c r="D73" s="761"/>
      <c r="E73" s="761"/>
      <c r="F73" s="761"/>
      <c r="G73" s="761"/>
      <c r="H73" s="43"/>
      <c r="I73" s="43"/>
      <c r="J73" s="43"/>
      <c r="K73" s="43"/>
      <c r="L73" s="43"/>
    </row>
    <row r="74" spans="1:12" x14ac:dyDescent="0.3">
      <c r="A74" s="761"/>
      <c r="B74" s="761"/>
      <c r="C74" s="761"/>
      <c r="D74" s="761"/>
      <c r="E74" s="761"/>
      <c r="F74" s="761"/>
      <c r="G74" s="761"/>
      <c r="H74" s="43"/>
      <c r="I74" s="43"/>
      <c r="J74" s="43"/>
      <c r="K74" s="43"/>
      <c r="L74" s="43"/>
    </row>
    <row r="75" spans="1:12" x14ac:dyDescent="0.3">
      <c r="A75" s="761"/>
      <c r="B75" s="761"/>
      <c r="C75" s="761"/>
      <c r="D75" s="761"/>
      <c r="E75" s="761"/>
      <c r="F75" s="761"/>
      <c r="G75" s="761"/>
      <c r="H75" s="43"/>
      <c r="I75" s="43"/>
      <c r="J75" s="43"/>
      <c r="K75" s="43"/>
      <c r="L75" s="43"/>
    </row>
    <row r="76" spans="1:12" x14ac:dyDescent="0.3">
      <c r="A76" s="761"/>
      <c r="B76" s="761"/>
      <c r="C76" s="761"/>
      <c r="D76" s="761"/>
      <c r="E76" s="761"/>
      <c r="F76" s="761"/>
      <c r="G76" s="761"/>
      <c r="H76" s="43"/>
      <c r="I76" s="43"/>
      <c r="J76" s="43"/>
      <c r="K76" s="43"/>
      <c r="L76" s="43"/>
    </row>
    <row r="77" spans="1:12" x14ac:dyDescent="0.3">
      <c r="A77" s="761"/>
      <c r="B77" s="761"/>
      <c r="C77" s="761"/>
      <c r="D77" s="761"/>
      <c r="E77" s="761"/>
      <c r="F77" s="761"/>
      <c r="G77" s="761"/>
      <c r="H77" s="43"/>
      <c r="I77" s="43"/>
      <c r="J77" s="43"/>
      <c r="K77" s="43"/>
      <c r="L77" s="43"/>
    </row>
    <row r="78" spans="1:12" x14ac:dyDescent="0.3">
      <c r="A78" s="761"/>
      <c r="B78" s="761"/>
      <c r="C78" s="761"/>
      <c r="D78" s="761"/>
      <c r="E78" s="761"/>
      <c r="F78" s="761"/>
      <c r="G78" s="761"/>
      <c r="H78" s="43"/>
      <c r="I78" s="43"/>
      <c r="J78" s="43"/>
      <c r="K78" s="43"/>
      <c r="L78" s="43"/>
    </row>
    <row r="79" spans="1:12" x14ac:dyDescent="0.3">
      <c r="A79" s="761"/>
      <c r="B79" s="761"/>
      <c r="C79" s="761"/>
      <c r="D79" s="761"/>
      <c r="E79" s="761"/>
      <c r="F79" s="761"/>
      <c r="G79" s="761"/>
      <c r="H79" s="43"/>
      <c r="I79" s="43"/>
      <c r="J79" s="43"/>
      <c r="K79" s="43"/>
      <c r="L79" s="43"/>
    </row>
    <row r="80" spans="1:12" x14ac:dyDescent="0.3">
      <c r="A80" s="761"/>
      <c r="B80" s="761"/>
      <c r="C80" s="761"/>
      <c r="D80" s="761"/>
      <c r="E80" s="761"/>
      <c r="F80" s="761"/>
      <c r="G80" s="761"/>
      <c r="H80" s="43"/>
      <c r="I80" s="43"/>
      <c r="J80" s="43"/>
      <c r="K80" s="43"/>
      <c r="L80" s="43"/>
    </row>
    <row r="81" spans="1:12" x14ac:dyDescent="0.3">
      <c r="A81" s="761"/>
      <c r="B81" s="761"/>
      <c r="C81" s="761"/>
      <c r="D81" s="761"/>
      <c r="E81" s="761"/>
      <c r="F81" s="761"/>
      <c r="G81" s="761"/>
      <c r="H81" s="43"/>
      <c r="I81" s="43"/>
      <c r="J81" s="43"/>
      <c r="K81" s="43"/>
      <c r="L81" s="43"/>
    </row>
    <row r="82" spans="1:12" x14ac:dyDescent="0.3">
      <c r="A82" s="761"/>
      <c r="B82" s="761"/>
      <c r="C82" s="761"/>
      <c r="D82" s="761"/>
      <c r="E82" s="761"/>
      <c r="F82" s="761"/>
      <c r="G82" s="761"/>
      <c r="H82" s="43"/>
      <c r="I82" s="43"/>
      <c r="J82" s="43"/>
      <c r="K82" s="43"/>
      <c r="L82" s="43"/>
    </row>
    <row r="83" spans="1:12" x14ac:dyDescent="0.3">
      <c r="A83" s="761"/>
      <c r="B83" s="761"/>
      <c r="C83" s="761"/>
      <c r="D83" s="761"/>
      <c r="E83" s="761"/>
      <c r="F83" s="761"/>
      <c r="G83" s="761"/>
      <c r="H83" s="43"/>
      <c r="I83" s="43"/>
      <c r="J83" s="43"/>
      <c r="K83" s="43"/>
      <c r="L83" s="43"/>
    </row>
    <row r="84" spans="1:12" x14ac:dyDescent="0.3">
      <c r="A84" s="761"/>
      <c r="B84" s="761"/>
      <c r="C84" s="761"/>
      <c r="D84" s="761"/>
      <c r="E84" s="761"/>
      <c r="F84" s="761"/>
      <c r="G84" s="761"/>
      <c r="H84" s="43"/>
      <c r="I84" s="43"/>
      <c r="J84" s="43"/>
      <c r="K84" s="43"/>
      <c r="L84" s="43"/>
    </row>
    <row r="85" spans="1:12" x14ac:dyDescent="0.3">
      <c r="A85" s="761"/>
      <c r="B85" s="761"/>
      <c r="C85" s="761"/>
      <c r="D85" s="761"/>
      <c r="E85" s="761"/>
      <c r="F85" s="761"/>
      <c r="G85" s="761"/>
      <c r="H85" s="43"/>
      <c r="I85" s="43"/>
      <c r="J85" s="43"/>
      <c r="K85" s="43"/>
      <c r="L85" s="43"/>
    </row>
    <row r="86" spans="1:12" x14ac:dyDescent="0.3">
      <c r="A86" s="761"/>
      <c r="B86" s="761"/>
      <c r="C86" s="761"/>
      <c r="D86" s="761"/>
      <c r="E86" s="761"/>
      <c r="F86" s="761"/>
      <c r="G86" s="761"/>
      <c r="H86" s="43"/>
      <c r="I86" s="43"/>
      <c r="J86" s="43"/>
      <c r="K86" s="43"/>
      <c r="L86" s="43"/>
    </row>
    <row r="87" spans="1:12" x14ac:dyDescent="0.3">
      <c r="A87" s="761"/>
      <c r="B87" s="761"/>
      <c r="C87" s="761"/>
      <c r="D87" s="761"/>
      <c r="E87" s="761"/>
      <c r="F87" s="761"/>
      <c r="G87" s="761"/>
      <c r="H87" s="43"/>
      <c r="I87" s="43"/>
      <c r="J87" s="43"/>
      <c r="K87" s="43"/>
      <c r="L87" s="43"/>
    </row>
    <row r="88" spans="1:12" x14ac:dyDescent="0.3">
      <c r="A88" s="761"/>
      <c r="B88" s="761"/>
      <c r="C88" s="761"/>
      <c r="D88" s="761"/>
      <c r="E88" s="761"/>
      <c r="F88" s="761"/>
      <c r="G88" s="761"/>
      <c r="H88" s="43"/>
      <c r="I88" s="43"/>
      <c r="J88" s="43"/>
      <c r="K88" s="43"/>
      <c r="L88" s="43"/>
    </row>
    <row r="89" spans="1:12" x14ac:dyDescent="0.3">
      <c r="A89" s="761"/>
      <c r="B89" s="761"/>
      <c r="C89" s="761"/>
      <c r="D89" s="761"/>
      <c r="E89" s="761"/>
      <c r="F89" s="761"/>
      <c r="G89" s="761"/>
      <c r="H89" s="43"/>
      <c r="I89" s="43"/>
      <c r="J89" s="43"/>
      <c r="K89" s="43"/>
      <c r="L89" s="43"/>
    </row>
    <row r="90" spans="1:12" x14ac:dyDescent="0.3">
      <c r="A90" s="761"/>
      <c r="B90" s="761"/>
      <c r="C90" s="761"/>
      <c r="D90" s="761"/>
      <c r="E90" s="761"/>
      <c r="F90" s="761"/>
      <c r="G90" s="761"/>
      <c r="H90" s="43"/>
      <c r="I90" s="43"/>
      <c r="J90" s="43"/>
      <c r="K90" s="43"/>
      <c r="L90" s="43"/>
    </row>
    <row r="91" spans="1:12" x14ac:dyDescent="0.3">
      <c r="A91" s="761"/>
      <c r="B91" s="761"/>
      <c r="C91" s="761"/>
      <c r="D91" s="761"/>
      <c r="E91" s="761"/>
      <c r="F91" s="761"/>
      <c r="G91" s="761"/>
      <c r="H91" s="43"/>
      <c r="I91" s="43"/>
      <c r="J91" s="43"/>
      <c r="K91" s="43"/>
      <c r="L91" s="43"/>
    </row>
    <row r="92" spans="1:12" x14ac:dyDescent="0.3">
      <c r="A92" s="761"/>
      <c r="B92" s="761"/>
      <c r="C92" s="761"/>
      <c r="D92" s="761"/>
      <c r="E92" s="761"/>
      <c r="F92" s="761"/>
      <c r="G92" s="761"/>
      <c r="H92" s="43"/>
      <c r="I92" s="43"/>
      <c r="J92" s="43"/>
      <c r="K92" s="43"/>
      <c r="L92" s="43"/>
    </row>
    <row r="93" spans="1:12" x14ac:dyDescent="0.3">
      <c r="A93" s="761"/>
      <c r="B93" s="761"/>
      <c r="C93" s="761"/>
      <c r="D93" s="761"/>
      <c r="E93" s="761"/>
      <c r="F93" s="761"/>
      <c r="G93" s="761"/>
      <c r="H93" s="43"/>
      <c r="I93" s="43"/>
      <c r="J93" s="43"/>
      <c r="K93" s="43"/>
      <c r="L93" s="43"/>
    </row>
    <row r="94" spans="1:12" x14ac:dyDescent="0.3">
      <c r="A94" s="761"/>
      <c r="B94" s="761"/>
      <c r="C94" s="761"/>
      <c r="D94" s="761"/>
      <c r="E94" s="761"/>
      <c r="F94" s="761"/>
      <c r="G94" s="761"/>
      <c r="H94" s="43"/>
      <c r="I94" s="43"/>
      <c r="J94" s="43"/>
      <c r="K94" s="43"/>
      <c r="L94" s="43"/>
    </row>
    <row r="95" spans="1:12" x14ac:dyDescent="0.3">
      <c r="A95" s="761"/>
      <c r="B95" s="761"/>
      <c r="C95" s="761"/>
      <c r="D95" s="761"/>
      <c r="E95" s="761"/>
      <c r="F95" s="761"/>
      <c r="G95" s="761"/>
      <c r="H95" s="43"/>
      <c r="I95" s="43"/>
      <c r="J95" s="43"/>
      <c r="K95" s="43"/>
      <c r="L95" s="43"/>
    </row>
    <row r="96" spans="1:12" x14ac:dyDescent="0.3">
      <c r="A96" s="761"/>
      <c r="B96" s="761"/>
      <c r="C96" s="761"/>
      <c r="D96" s="761"/>
      <c r="E96" s="761"/>
      <c r="F96" s="761"/>
      <c r="G96" s="761"/>
      <c r="H96" s="43"/>
      <c r="I96" s="43"/>
      <c r="J96" s="43"/>
      <c r="K96" s="43"/>
      <c r="L96" s="43"/>
    </row>
    <row r="97" spans="1:12" x14ac:dyDescent="0.3">
      <c r="A97" s="761"/>
      <c r="B97" s="761"/>
      <c r="C97" s="761"/>
      <c r="D97" s="761"/>
      <c r="E97" s="761"/>
      <c r="F97" s="761"/>
      <c r="G97" s="761"/>
      <c r="H97" s="43"/>
      <c r="I97" s="43"/>
      <c r="J97" s="43"/>
      <c r="K97" s="43"/>
      <c r="L97" s="43"/>
    </row>
    <row r="98" spans="1:12" x14ac:dyDescent="0.3">
      <c r="A98" s="761"/>
      <c r="B98" s="761"/>
      <c r="C98" s="761"/>
      <c r="D98" s="761"/>
      <c r="E98" s="761"/>
      <c r="F98" s="761"/>
      <c r="G98" s="761"/>
      <c r="H98" s="43"/>
      <c r="I98" s="43"/>
      <c r="J98" s="43"/>
      <c r="K98" s="43"/>
      <c r="L98" s="43"/>
    </row>
    <row r="99" spans="1:12" x14ac:dyDescent="0.3">
      <c r="A99" s="761"/>
      <c r="B99" s="761"/>
      <c r="C99" s="761"/>
      <c r="D99" s="761"/>
      <c r="E99" s="761"/>
      <c r="F99" s="761"/>
      <c r="G99" s="761"/>
      <c r="H99" s="43"/>
      <c r="I99" s="43"/>
      <c r="J99" s="43"/>
      <c r="K99" s="43"/>
      <c r="L99" s="43"/>
    </row>
    <row r="100" spans="1:12" x14ac:dyDescent="0.3">
      <c r="A100" s="761"/>
      <c r="B100" s="761"/>
      <c r="C100" s="761"/>
      <c r="D100" s="761"/>
      <c r="E100" s="761"/>
      <c r="F100" s="761"/>
      <c r="G100" s="761"/>
      <c r="H100" s="43"/>
      <c r="I100" s="43"/>
      <c r="J100" s="43"/>
      <c r="K100" s="43"/>
      <c r="L100" s="43"/>
    </row>
  </sheetData>
  <mergeCells count="10">
    <mergeCell ref="A24:L24"/>
    <mergeCell ref="A31:L31"/>
    <mergeCell ref="A37:L37"/>
    <mergeCell ref="A39:L39"/>
    <mergeCell ref="A45:L45"/>
    <mergeCell ref="A1:L1"/>
    <mergeCell ref="A2:G2"/>
    <mergeCell ref="A8:L8"/>
    <mergeCell ref="A13:L13"/>
    <mergeCell ref="A16:L16"/>
  </mergeCells>
  <conditionalFormatting sqref="C5:C36">
    <cfRule type="containsText" dxfId="105" priority="1" operator="containsText" text="TOTAL">
      <formula>NOT(ISERROR(SEARCH("TOTAL",C5)))</formula>
    </cfRule>
    <cfRule type="containsText" dxfId="104" priority="2" operator="containsText" text="PARCIAL">
      <formula>NOT(ISERROR(SEARCH("PARCIAL",C5)))</formula>
    </cfRule>
    <cfRule type="containsText" dxfId="103" priority="3" operator="containsText" text="NULA">
      <formula>NOT(ISERROR(SEARCH("NULA",C5)))</formula>
    </cfRule>
  </conditionalFormatting>
  <conditionalFormatting sqref="F5:F36">
    <cfRule type="cellIs" dxfId="102" priority="4" operator="equal">
      <formula>1</formula>
    </cfRule>
    <cfRule type="cellIs" dxfId="101" priority="5" operator="equal">
      <formula>0.5</formula>
    </cfRule>
    <cfRule type="cellIs" dxfId="100" priority="6" operator="equal">
      <formula>0</formula>
    </cfRule>
  </conditionalFormatting>
  <conditionalFormatting sqref="F38:G38">
    <cfRule type="containsText" dxfId="99" priority="10" operator="containsText" text="IFE">
      <formula>NOT(ISERROR(SEARCH("IFE",F38)))</formula>
    </cfRule>
  </conditionalFormatting>
  <conditionalFormatting sqref="G5:G36">
    <cfRule type="containsText" dxfId="98" priority="7" operator="containsText" text="HUÉRFANA">
      <formula>NOT(ISERROR(SEARCH("HUÉRFANA",G5)))</formula>
    </cfRule>
    <cfRule type="containsText" dxfId="97" priority="8" operator="containsText" text="FIDELIDAD ALTA">
      <formula>NOT(ISERROR(SEARCH("FIDELIDAD ALTA",G5)))</formula>
    </cfRule>
    <cfRule type="containsText" dxfId="96" priority="9" operator="containsText" text="Fidelidad media">
      <formula>NOT(ISERROR(SEARCH("Fidelidad media",G5)))</formula>
    </cfRule>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D3A05-1B44-44A1-8DA5-D4E96481FA38}">
  <sheetPr>
    <tabColor rgb="FFC0392B"/>
  </sheetPr>
  <dimension ref="A1:M31"/>
  <sheetViews>
    <sheetView zoomScale="53" zoomScaleNormal="53" workbookViewId="0">
      <pane ySplit="2" topLeftCell="A4" activePane="bottomLeft" state="frozen"/>
      <selection activeCell="F1" sqref="F1"/>
      <selection pane="bottomLeft" activeCell="B27" sqref="B27"/>
    </sheetView>
  </sheetViews>
  <sheetFormatPr baseColWidth="10" defaultRowHeight="14.4" x14ac:dyDescent="0.3"/>
  <cols>
    <col min="1" max="1" width="29.6640625" customWidth="1"/>
    <col min="2" max="2" width="49.33203125" bestFit="1" customWidth="1"/>
    <col min="3" max="3" width="16.6640625" customWidth="1"/>
    <col min="4" max="4" width="12" customWidth="1"/>
    <col min="5" max="5" width="18.109375" bestFit="1" customWidth="1"/>
    <col min="6" max="6" width="16.6640625" bestFit="1" customWidth="1"/>
    <col min="7" max="7" width="48.33203125" bestFit="1" customWidth="1"/>
    <col min="8" max="8" width="9.21875" customWidth="1"/>
    <col min="9" max="9" width="24.109375" customWidth="1"/>
    <col min="10" max="13" width="9.21875" customWidth="1"/>
  </cols>
  <sheetData>
    <row r="1" spans="1:13" ht="19.95" customHeight="1" x14ac:dyDescent="0.3">
      <c r="A1" s="122" t="str">
        <f>HYPERLINK("#'M-INDEX'!A1","⌂ ÍNDICE")</f>
        <v>⌂ ÍNDICE</v>
      </c>
      <c r="B1" s="122" t="str">
        <f>HYPERLINK("#'M1-ITME'!A1","M1")</f>
        <v>M1</v>
      </c>
      <c r="C1" s="122" t="str">
        <f>HYPERLINK("#'M2-PDOT'!A1","M2")</f>
        <v>M2</v>
      </c>
      <c r="D1" s="122" t="str">
        <f>HYPERLINK("#'M3-MAO'!A1","M3")</f>
        <v>M3</v>
      </c>
      <c r="E1" s="122" t="str">
        <f>HYPERLINK("#'M4-AUDIT'!A1","M4")</f>
        <v>M4</v>
      </c>
      <c r="F1" s="122" t="str">
        <f>HYPERLINK("#'M5-ICPI'!A1","M5")</f>
        <v>M5</v>
      </c>
      <c r="G1" s="122" t="str">
        <f>HYPERLINK("#'M6-FEDS'!A1","M6")</f>
        <v>M6</v>
      </c>
      <c r="H1" s="122" t="str">
        <f>HYPERLINK("#'M7-PROSP'!A1","M7")</f>
        <v>M7</v>
      </c>
      <c r="I1" s="122" t="str">
        <f>HYPERLINK("#'DATA-POA'!A1","DATA-POA")</f>
        <v>DATA-POA</v>
      </c>
      <c r="J1" s="122" t="str">
        <f>HYPERLINK("#'DATA-CNE'!A1","DATA-CNE")</f>
        <v>DATA-CNE</v>
      </c>
      <c r="K1" s="122" t="str">
        <f>HYPERLINK("#'DATA-SIGAD'!A1","◄ DATA-SIGAD")</f>
        <v>◄ DATA-SIGAD</v>
      </c>
      <c r="L1" s="122" t="str">
        <f>HYPERLINK("#'DATA-ORG'!A1","DATA-ORG")</f>
        <v>DATA-ORG</v>
      </c>
      <c r="M1" s="122" t="str">
        <f>HYPERLINK("#'M-DASHBOARD'!A1","DASH")</f>
        <v>DASH</v>
      </c>
    </row>
    <row r="2" spans="1:13" ht="16.05" customHeight="1" x14ac:dyDescent="0.3">
      <c r="A2" s="4095" t="s">
        <v>4975</v>
      </c>
      <c r="B2" s="4095"/>
      <c r="C2" s="4095"/>
      <c r="D2" s="4095"/>
      <c r="E2" s="4095"/>
      <c r="F2" s="4095"/>
      <c r="G2" s="4095"/>
      <c r="H2" s="4095"/>
      <c r="I2" s="4095"/>
      <c r="J2" s="4095"/>
      <c r="K2" s="4095"/>
      <c r="L2" s="4095"/>
      <c r="M2" s="4095"/>
    </row>
    <row r="3" spans="1:13" ht="28.05" customHeight="1" x14ac:dyDescent="0.35">
      <c r="A3" s="4086" t="s">
        <v>4871</v>
      </c>
      <c r="B3" s="4086"/>
      <c r="C3" s="4086"/>
      <c r="D3" s="4086"/>
      <c r="E3" s="4086"/>
      <c r="F3" s="4086"/>
      <c r="G3" s="4086"/>
      <c r="H3" s="4087"/>
      <c r="I3" s="4087"/>
      <c r="J3" s="4087"/>
      <c r="K3" s="903"/>
      <c r="L3" s="903"/>
      <c r="M3" s="903"/>
    </row>
    <row r="4" spans="1:13" ht="16.05" customHeight="1" x14ac:dyDescent="0.3">
      <c r="A4" s="4088" t="s">
        <v>4872</v>
      </c>
      <c r="B4" s="4088"/>
      <c r="C4" s="4088"/>
      <c r="D4" s="4088"/>
      <c r="E4" s="4088"/>
      <c r="F4" s="4088"/>
      <c r="G4" s="4088"/>
      <c r="H4" s="4089"/>
      <c r="I4" s="4089"/>
      <c r="J4" s="4089"/>
      <c r="K4" s="904"/>
      <c r="L4" s="904"/>
      <c r="M4" s="904"/>
    </row>
    <row r="5" spans="1:13" ht="24" customHeight="1" thickBot="1" x14ac:dyDescent="0.35">
      <c r="A5" s="4090" t="s">
        <v>4873</v>
      </c>
      <c r="B5" s="4090"/>
      <c r="C5" s="4090"/>
      <c r="D5" s="4090"/>
      <c r="E5" s="4090"/>
      <c r="F5" s="4090"/>
      <c r="G5" s="4090"/>
      <c r="H5" s="4091"/>
      <c r="I5" s="4091"/>
      <c r="J5" s="4091"/>
      <c r="K5" s="905"/>
      <c r="L5" s="905"/>
      <c r="M5" s="905"/>
    </row>
    <row r="6" spans="1:13" ht="19.95" customHeight="1" x14ac:dyDescent="0.3">
      <c r="A6" s="907" t="s">
        <v>4881</v>
      </c>
      <c r="B6" s="908"/>
      <c r="C6" s="908"/>
      <c r="D6" s="908"/>
      <c r="E6" s="908"/>
      <c r="F6" s="908"/>
      <c r="G6" s="909"/>
      <c r="H6" s="906"/>
      <c r="I6" s="962" t="s">
        <v>5019</v>
      </c>
      <c r="J6" s="906"/>
      <c r="K6" s="906"/>
      <c r="L6" s="906"/>
      <c r="M6" s="906"/>
    </row>
    <row r="7" spans="1:13" ht="19.95" customHeight="1" x14ac:dyDescent="0.3">
      <c r="A7" s="910" t="s">
        <v>4874</v>
      </c>
      <c r="B7" s="911" t="s">
        <v>4875</v>
      </c>
      <c r="C7" s="911" t="s">
        <v>4876</v>
      </c>
      <c r="D7" s="911" t="s">
        <v>4877</v>
      </c>
      <c r="E7" s="911" t="s">
        <v>4878</v>
      </c>
      <c r="F7" s="911" t="s">
        <v>4879</v>
      </c>
      <c r="G7" s="912" t="s">
        <v>4880</v>
      </c>
      <c r="H7" s="906"/>
      <c r="I7" s="963" t="s">
        <v>5020</v>
      </c>
      <c r="J7" s="906"/>
      <c r="K7" s="906"/>
      <c r="L7" s="906"/>
      <c r="M7" s="906"/>
    </row>
    <row r="8" spans="1:13" ht="30" customHeight="1" x14ac:dyDescent="0.3">
      <c r="A8" s="913" t="s">
        <v>4882</v>
      </c>
      <c r="B8" s="914" t="s">
        <v>4883</v>
      </c>
      <c r="C8" s="915">
        <v>0.76695601851851847</v>
      </c>
      <c r="D8" s="916" t="s">
        <v>103</v>
      </c>
      <c r="E8" s="916">
        <v>2023</v>
      </c>
      <c r="F8" s="917">
        <v>501</v>
      </c>
      <c r="G8" s="918" t="s">
        <v>4884</v>
      </c>
      <c r="H8" s="906"/>
      <c r="I8" s="964" t="s">
        <v>5021</v>
      </c>
      <c r="J8" s="906"/>
      <c r="K8" s="906"/>
      <c r="L8" s="906"/>
      <c r="M8" s="906"/>
    </row>
    <row r="9" spans="1:13" ht="30" customHeight="1" x14ac:dyDescent="0.3">
      <c r="A9" s="919" t="s">
        <v>4885</v>
      </c>
      <c r="B9" s="920" t="s">
        <v>4883</v>
      </c>
      <c r="C9" s="921">
        <v>0.76701388888888888</v>
      </c>
      <c r="D9" s="922">
        <v>5</v>
      </c>
      <c r="E9" s="923">
        <v>2023</v>
      </c>
      <c r="F9" s="924">
        <v>501</v>
      </c>
      <c r="G9" s="925" t="s">
        <v>4886</v>
      </c>
      <c r="H9" s="906"/>
      <c r="I9" s="965" t="s">
        <v>5022</v>
      </c>
      <c r="J9" s="906"/>
      <c r="K9" s="906"/>
      <c r="L9" s="906"/>
      <c r="M9" s="906"/>
    </row>
    <row r="10" spans="1:13" ht="30" customHeight="1" x14ac:dyDescent="0.3">
      <c r="A10" s="919" t="s">
        <v>4887</v>
      </c>
      <c r="B10" s="920" t="s">
        <v>4883</v>
      </c>
      <c r="C10" s="921">
        <v>0.76706018518518515</v>
      </c>
      <c r="D10" s="922">
        <v>4</v>
      </c>
      <c r="E10" s="923">
        <v>2023</v>
      </c>
      <c r="F10" s="924">
        <v>501</v>
      </c>
      <c r="G10" s="925" t="s">
        <v>4888</v>
      </c>
      <c r="H10" s="906"/>
      <c r="I10" s="966" t="s">
        <v>5023</v>
      </c>
      <c r="J10" s="906"/>
      <c r="K10" s="906"/>
      <c r="L10" s="906"/>
      <c r="M10" s="906"/>
    </row>
    <row r="11" spans="1:13" ht="30" customHeight="1" x14ac:dyDescent="0.3">
      <c r="A11" s="919" t="s">
        <v>4889</v>
      </c>
      <c r="B11" s="920" t="s">
        <v>4883</v>
      </c>
      <c r="C11" s="921">
        <v>0.76710648148148153</v>
      </c>
      <c r="D11" s="922">
        <v>4</v>
      </c>
      <c r="E11" s="923">
        <v>2023</v>
      </c>
      <c r="F11" s="924">
        <v>501</v>
      </c>
      <c r="G11" s="925" t="s">
        <v>4890</v>
      </c>
      <c r="H11" s="906"/>
      <c r="I11" s="967" t="s">
        <v>5024</v>
      </c>
      <c r="J11" s="906"/>
      <c r="K11" s="906"/>
      <c r="L11" s="906"/>
      <c r="M11" s="906"/>
    </row>
    <row r="12" spans="1:13" ht="30" customHeight="1" x14ac:dyDescent="0.3">
      <c r="A12" s="926" t="s">
        <v>4891</v>
      </c>
      <c r="B12" s="927">
        <v>45542</v>
      </c>
      <c r="C12" s="928">
        <v>0.44788194444444446</v>
      </c>
      <c r="D12" s="929" t="s">
        <v>4892</v>
      </c>
      <c r="E12" s="929">
        <v>2023</v>
      </c>
      <c r="F12" s="930">
        <v>556</v>
      </c>
      <c r="G12" s="931" t="s">
        <v>4893</v>
      </c>
      <c r="H12" s="906"/>
      <c r="I12" s="906"/>
      <c r="J12" s="906"/>
      <c r="K12" s="906"/>
      <c r="L12" s="906"/>
      <c r="M12" s="906"/>
    </row>
    <row r="13" spans="1:13" ht="22.05" customHeight="1" thickBot="1" x14ac:dyDescent="0.35">
      <c r="A13" s="932" t="s">
        <v>4894</v>
      </c>
      <c r="B13" s="933" t="s">
        <v>4895</v>
      </c>
      <c r="C13" s="933" t="s">
        <v>4896</v>
      </c>
      <c r="D13" s="933" t="s">
        <v>4897</v>
      </c>
      <c r="E13" s="933" t="s">
        <v>4898</v>
      </c>
      <c r="F13" s="933" t="s">
        <v>4899</v>
      </c>
      <c r="G13" s="934" t="s">
        <v>4900</v>
      </c>
      <c r="H13" s="906"/>
      <c r="I13" s="906"/>
      <c r="J13" s="906"/>
      <c r="K13" s="906"/>
      <c r="L13" s="906"/>
      <c r="M13" s="906"/>
    </row>
    <row r="14" spans="1:13" ht="6" customHeight="1" thickBot="1" x14ac:dyDescent="0.35">
      <c r="A14" s="902"/>
      <c r="B14" s="902"/>
      <c r="C14" s="902"/>
      <c r="D14" s="902"/>
      <c r="E14" s="902"/>
      <c r="F14" s="902"/>
      <c r="G14" s="902"/>
      <c r="H14" s="906"/>
      <c r="I14" s="906"/>
      <c r="J14" s="906"/>
      <c r="K14" s="906"/>
      <c r="L14" s="906"/>
      <c r="M14" s="906"/>
    </row>
    <row r="15" spans="1:13" ht="19.95" customHeight="1" x14ac:dyDescent="0.3">
      <c r="A15" s="935" t="s">
        <v>4901</v>
      </c>
      <c r="B15" s="936"/>
      <c r="C15" s="936"/>
      <c r="D15" s="936"/>
      <c r="E15" s="936"/>
      <c r="F15" s="936"/>
      <c r="G15" s="937"/>
      <c r="H15" s="906"/>
      <c r="I15" s="906"/>
      <c r="J15" s="906"/>
      <c r="K15" s="906"/>
      <c r="L15" s="906"/>
      <c r="M15" s="906"/>
    </row>
    <row r="16" spans="1:13" ht="19.95" customHeight="1" x14ac:dyDescent="0.3">
      <c r="A16" s="938" t="s">
        <v>4874</v>
      </c>
      <c r="B16" s="939" t="s">
        <v>4875</v>
      </c>
      <c r="C16" s="939" t="s">
        <v>4876</v>
      </c>
      <c r="D16" s="939" t="s">
        <v>4877</v>
      </c>
      <c r="E16" s="939" t="s">
        <v>4878</v>
      </c>
      <c r="F16" s="939" t="s">
        <v>4902</v>
      </c>
      <c r="G16" s="940" t="s">
        <v>4880</v>
      </c>
      <c r="H16" s="906"/>
      <c r="I16" s="906"/>
      <c r="J16" s="906"/>
      <c r="K16" s="906"/>
      <c r="L16" s="906"/>
      <c r="M16" s="906"/>
    </row>
    <row r="17" spans="1:13" ht="30" customHeight="1" x14ac:dyDescent="0.3">
      <c r="A17" s="941" t="s">
        <v>4882</v>
      </c>
      <c r="B17" s="942" t="s">
        <v>4903</v>
      </c>
      <c r="C17" s="943">
        <v>3.3576388888888892E-2</v>
      </c>
      <c r="D17" s="923" t="s">
        <v>103</v>
      </c>
      <c r="E17" s="923">
        <v>2024</v>
      </c>
      <c r="F17" s="923">
        <v>17</v>
      </c>
      <c r="G17" s="944" t="s">
        <v>4904</v>
      </c>
      <c r="H17" s="906"/>
      <c r="I17" s="906"/>
      <c r="J17" s="906"/>
      <c r="K17" s="906"/>
      <c r="L17" s="906"/>
      <c r="M17" s="906"/>
    </row>
    <row r="18" spans="1:13" ht="30" customHeight="1" x14ac:dyDescent="0.3">
      <c r="A18" s="941" t="s">
        <v>4905</v>
      </c>
      <c r="B18" s="942" t="s">
        <v>4903</v>
      </c>
      <c r="C18" s="943">
        <v>3.3773148148148149E-2</v>
      </c>
      <c r="D18" s="922">
        <v>17</v>
      </c>
      <c r="E18" s="923">
        <v>2024</v>
      </c>
      <c r="F18" s="923">
        <v>17</v>
      </c>
      <c r="G18" s="944" t="s">
        <v>4906</v>
      </c>
      <c r="H18" s="906"/>
      <c r="I18" s="906"/>
      <c r="J18" s="906"/>
      <c r="K18" s="906"/>
      <c r="L18" s="906"/>
      <c r="M18" s="906"/>
    </row>
    <row r="19" spans="1:13" ht="30" customHeight="1" x14ac:dyDescent="0.3">
      <c r="A19" s="941" t="s">
        <v>4907</v>
      </c>
      <c r="B19" s="942" t="s">
        <v>4903</v>
      </c>
      <c r="C19" s="943">
        <v>3.3854166666666664E-2</v>
      </c>
      <c r="D19" s="922">
        <v>7</v>
      </c>
      <c r="E19" s="923">
        <v>2024</v>
      </c>
      <c r="F19" s="923">
        <v>17</v>
      </c>
      <c r="G19" s="944" t="s">
        <v>4908</v>
      </c>
      <c r="H19" s="906"/>
      <c r="I19" s="906"/>
      <c r="J19" s="906"/>
      <c r="K19" s="906"/>
      <c r="L19" s="906"/>
      <c r="M19" s="906"/>
    </row>
    <row r="20" spans="1:13" ht="30" customHeight="1" x14ac:dyDescent="0.3">
      <c r="A20" s="941" t="s">
        <v>4909</v>
      </c>
      <c r="B20" s="942" t="s">
        <v>4903</v>
      </c>
      <c r="C20" s="943">
        <v>3.3935185185185186E-2</v>
      </c>
      <c r="D20" s="922">
        <v>7</v>
      </c>
      <c r="E20" s="923">
        <v>2024</v>
      </c>
      <c r="F20" s="923">
        <v>17</v>
      </c>
      <c r="G20" s="944" t="s">
        <v>4910</v>
      </c>
      <c r="H20" s="906"/>
      <c r="I20" s="906"/>
      <c r="J20" s="906"/>
      <c r="K20" s="906"/>
      <c r="L20" s="906"/>
      <c r="M20" s="906"/>
    </row>
    <row r="21" spans="1:13" ht="30" customHeight="1" x14ac:dyDescent="0.3">
      <c r="A21" s="941" t="s">
        <v>4911</v>
      </c>
      <c r="B21" s="942" t="s">
        <v>4903</v>
      </c>
      <c r="C21" s="943">
        <v>3.4062500000000002E-2</v>
      </c>
      <c r="D21" s="922">
        <v>11</v>
      </c>
      <c r="E21" s="923">
        <v>2024</v>
      </c>
      <c r="F21" s="923">
        <v>17</v>
      </c>
      <c r="G21" s="944" t="s">
        <v>4912</v>
      </c>
      <c r="H21" s="906"/>
      <c r="I21" s="906"/>
      <c r="J21" s="906"/>
      <c r="K21" s="906"/>
      <c r="L21" s="906"/>
      <c r="M21" s="906"/>
    </row>
    <row r="22" spans="1:13" ht="22.05" customHeight="1" thickBot="1" x14ac:dyDescent="0.35">
      <c r="A22" s="945" t="s">
        <v>4913</v>
      </c>
      <c r="B22" s="968" t="s">
        <v>4914</v>
      </c>
      <c r="C22" s="946" t="s">
        <v>4915</v>
      </c>
      <c r="D22" s="946" t="s">
        <v>4897</v>
      </c>
      <c r="E22" s="946" t="s">
        <v>4916</v>
      </c>
      <c r="F22" s="946" t="s">
        <v>4917</v>
      </c>
      <c r="G22" s="947" t="s">
        <v>4918</v>
      </c>
      <c r="H22" s="906"/>
      <c r="I22" s="906"/>
      <c r="J22" s="906"/>
      <c r="K22" s="906"/>
      <c r="L22" s="906"/>
      <c r="M22" s="906"/>
    </row>
    <row r="23" spans="1:13" ht="6" customHeight="1" thickBot="1" x14ac:dyDescent="0.35">
      <c r="A23" s="902"/>
      <c r="B23" s="902"/>
      <c r="C23" s="902"/>
      <c r="D23" s="902"/>
      <c r="E23" s="902"/>
      <c r="F23" s="902"/>
      <c r="G23" s="902"/>
      <c r="H23" s="906"/>
      <c r="I23" s="906"/>
      <c r="J23" s="906"/>
      <c r="K23" s="906"/>
      <c r="L23" s="906"/>
      <c r="M23" s="906"/>
    </row>
    <row r="24" spans="1:13" ht="19.95" customHeight="1" x14ac:dyDescent="0.3">
      <c r="A24" s="948" t="s">
        <v>4919</v>
      </c>
      <c r="B24" s="949"/>
      <c r="C24" s="949"/>
      <c r="D24" s="949"/>
      <c r="E24" s="949"/>
      <c r="F24" s="949"/>
      <c r="G24" s="950"/>
      <c r="H24" s="906"/>
      <c r="I24" s="906"/>
      <c r="J24" s="906"/>
      <c r="K24" s="906"/>
      <c r="L24" s="906"/>
      <c r="M24" s="906"/>
    </row>
    <row r="25" spans="1:13" ht="19.95" customHeight="1" x14ac:dyDescent="0.3">
      <c r="A25" s="951" t="s">
        <v>1563</v>
      </c>
      <c r="B25" s="952" t="s">
        <v>4920</v>
      </c>
      <c r="C25" s="952" t="s">
        <v>4921</v>
      </c>
      <c r="D25" s="952" t="s">
        <v>3588</v>
      </c>
      <c r="E25" s="952" t="s">
        <v>4922</v>
      </c>
      <c r="F25" s="952" t="s">
        <v>4923</v>
      </c>
      <c r="G25" s="953" t="s">
        <v>30</v>
      </c>
      <c r="H25" s="906"/>
      <c r="I25" s="906"/>
      <c r="J25" s="906"/>
      <c r="K25" s="906"/>
      <c r="L25" s="906"/>
      <c r="M25" s="906"/>
    </row>
    <row r="26" spans="1:13" ht="40.049999999999997" customHeight="1" x14ac:dyDescent="0.3">
      <c r="A26" s="954" t="s">
        <v>4924</v>
      </c>
      <c r="B26" s="923" t="s">
        <v>4925</v>
      </c>
      <c r="C26" s="923" t="s">
        <v>4926</v>
      </c>
      <c r="D26" s="923" t="s">
        <v>4927</v>
      </c>
      <c r="E26" s="923" t="s">
        <v>4928</v>
      </c>
      <c r="F26" s="923" t="s">
        <v>4929</v>
      </c>
      <c r="G26" s="955" t="s">
        <v>4930</v>
      </c>
      <c r="H26" s="906"/>
      <c r="I26" s="906"/>
      <c r="J26" s="906"/>
      <c r="K26" s="906"/>
      <c r="L26" s="906"/>
      <c r="M26" s="906"/>
    </row>
    <row r="27" spans="1:13" ht="40.049999999999997" customHeight="1" x14ac:dyDescent="0.3">
      <c r="A27" s="956" t="s">
        <v>4931</v>
      </c>
      <c r="B27" s="957" t="s">
        <v>4932</v>
      </c>
      <c r="C27" s="957" t="s">
        <v>4933</v>
      </c>
      <c r="D27" s="957" t="s">
        <v>4934</v>
      </c>
      <c r="E27" s="957" t="s">
        <v>4935</v>
      </c>
      <c r="F27" s="957" t="s">
        <v>4936</v>
      </c>
      <c r="G27" s="958" t="s">
        <v>4930</v>
      </c>
      <c r="H27" s="906"/>
      <c r="I27" s="906"/>
      <c r="J27" s="906"/>
      <c r="K27" s="906"/>
      <c r="L27" s="906"/>
      <c r="M27" s="906"/>
    </row>
    <row r="28" spans="1:13" ht="40.049999999999997" customHeight="1" x14ac:dyDescent="0.3">
      <c r="A28" s="954" t="s">
        <v>4937</v>
      </c>
      <c r="B28" s="923" t="s">
        <v>4938</v>
      </c>
      <c r="C28" s="923" t="s">
        <v>4939</v>
      </c>
      <c r="D28" s="923" t="s">
        <v>4940</v>
      </c>
      <c r="E28" s="923" t="s">
        <v>4941</v>
      </c>
      <c r="F28" s="923" t="s">
        <v>4942</v>
      </c>
      <c r="G28" s="955" t="s">
        <v>4943</v>
      </c>
      <c r="H28" s="906"/>
      <c r="I28" s="906"/>
      <c r="J28" s="906"/>
      <c r="K28" s="906"/>
      <c r="L28" s="906"/>
      <c r="M28" s="906"/>
    </row>
    <row r="29" spans="1:13" ht="40.049999999999997" customHeight="1" thickBot="1" x14ac:dyDescent="0.35">
      <c r="A29" s="959" t="s">
        <v>4944</v>
      </c>
      <c r="B29" s="960" t="s">
        <v>4945</v>
      </c>
      <c r="C29" s="960" t="s">
        <v>4946</v>
      </c>
      <c r="D29" s="960" t="s">
        <v>4947</v>
      </c>
      <c r="E29" s="960" t="s">
        <v>4948</v>
      </c>
      <c r="F29" s="960" t="s">
        <v>4949</v>
      </c>
      <c r="G29" s="961" t="s">
        <v>4950</v>
      </c>
      <c r="H29" s="906"/>
      <c r="I29" s="906"/>
      <c r="J29" s="906"/>
      <c r="K29" s="906"/>
      <c r="L29" s="906"/>
      <c r="M29" s="906"/>
    </row>
    <row r="30" spans="1:13" ht="6" customHeight="1" thickBot="1" x14ac:dyDescent="0.35">
      <c r="A30" s="902"/>
      <c r="B30" s="902"/>
      <c r="C30" s="902"/>
      <c r="D30" s="902"/>
      <c r="E30" s="902"/>
      <c r="F30" s="902"/>
      <c r="G30" s="902"/>
      <c r="H30" s="906"/>
      <c r="I30" s="906"/>
      <c r="J30" s="906"/>
      <c r="K30" s="906"/>
      <c r="L30" s="906"/>
      <c r="M30" s="906"/>
    </row>
    <row r="31" spans="1:13" ht="19.95" customHeight="1" thickBot="1" x14ac:dyDescent="0.35">
      <c r="A31" s="4092" t="s">
        <v>4951</v>
      </c>
      <c r="B31" s="4093"/>
      <c r="C31" s="4093"/>
      <c r="D31" s="4093"/>
      <c r="E31" s="4093"/>
      <c r="F31" s="4093"/>
      <c r="G31" s="4094"/>
      <c r="H31" s="906"/>
      <c r="I31" s="906"/>
      <c r="J31" s="906"/>
      <c r="K31" s="906"/>
      <c r="L31" s="906"/>
      <c r="M31" s="906"/>
    </row>
  </sheetData>
  <mergeCells count="5">
    <mergeCell ref="A3:J3"/>
    <mergeCell ref="A4:J4"/>
    <mergeCell ref="A5:J5"/>
    <mergeCell ref="A31:G31"/>
    <mergeCell ref="A2:M2"/>
  </mergeCells>
  <conditionalFormatting sqref="D9:D11">
    <cfRule type="cellIs" dxfId="95" priority="9" operator="lessThanOrEqual">
      <formula>20</formula>
    </cfRule>
  </conditionalFormatting>
  <conditionalFormatting sqref="D18:D21">
    <cfRule type="cellIs" dxfId="94" priority="10" operator="lessThanOrEqual">
      <formula>20</formula>
    </cfRule>
  </conditionalFormatting>
  <conditionalFormatting sqref="G8:G13">
    <cfRule type="containsText" dxfId="93" priority="1" operator="containsText" text="🚨">
      <formula>NOT(ISERROR(SEARCH("🚨",G8)))</formula>
    </cfRule>
    <cfRule type="containsText" dxfId="92" priority="2" operator="containsText" text="⚠️">
      <formula>NOT(ISERROR(SEARCH("⚠️",G8)))</formula>
    </cfRule>
    <cfRule type="containsText" dxfId="91" priority="3" operator="containsText" text="MOM">
      <formula>NOT(ISERROR(SEARCH("MOM",G8)))</formula>
    </cfRule>
  </conditionalFormatting>
  <conditionalFormatting sqref="G17:G22">
    <cfRule type="containsText" dxfId="90" priority="4" operator="containsText" text="🚨">
      <formula>NOT(ISERROR(SEARCH("🚨",G17)))</formula>
    </cfRule>
    <cfRule type="containsText" dxfId="89" priority="5" operator="containsText" text="MOM">
      <formula>NOT(ISERROR(SEARCH("MOM",G17)))</formula>
    </cfRule>
  </conditionalFormatting>
  <conditionalFormatting sqref="G26:G29">
    <cfRule type="containsText" dxfId="88" priority="6" operator="containsText" text="CONFIRMADO">
      <formula>NOT(ISERROR(SEARCH("CONFIRMADO",G26)))</formula>
    </cfRule>
    <cfRule type="containsText" dxfId="87" priority="7" operator="containsText" text="H1">
      <formula>NOT(ISERROR(SEARCH("H1",G26)))</formula>
    </cfRule>
    <cfRule type="containsText" dxfId="86" priority="8" operator="containsText" text="DOCUMENTADO">
      <formula>NOT(ISERROR(SEARCH("DOCUMENTADO",G26)))</formula>
    </cfRule>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DEEAF1"/>
  </sheetPr>
  <dimension ref="A1:Z55"/>
  <sheetViews>
    <sheetView showGridLines="0" zoomScale="62" zoomScaleNormal="62" workbookViewId="0">
      <pane ySplit="3" topLeftCell="A4" activePane="bottomLeft" state="frozen"/>
      <selection pane="bottomLeft" sqref="A1:Z1"/>
    </sheetView>
  </sheetViews>
  <sheetFormatPr baseColWidth="10" defaultRowHeight="14.4" x14ac:dyDescent="0.3"/>
  <cols>
    <col min="1" max="1" width="31.44140625" customWidth="1"/>
    <col min="2" max="6" width="13.88671875" customWidth="1"/>
    <col min="7" max="7" width="17.5546875" customWidth="1"/>
    <col min="8" max="8" width="14.77734375" customWidth="1"/>
    <col min="9" max="9" width="17.5546875" customWidth="1"/>
    <col min="10" max="10" width="43.44140625" bestFit="1" customWidth="1"/>
    <col min="12" max="12" width="24.109375" customWidth="1"/>
    <col min="26" max="26" width="8" bestFit="1" customWidth="1"/>
  </cols>
  <sheetData>
    <row r="1" spans="1:26" ht="28.05" customHeight="1" x14ac:dyDescent="0.3">
      <c r="A1" s="4100" t="s">
        <v>4837</v>
      </c>
      <c r="B1" s="4043"/>
      <c r="C1" s="4043"/>
      <c r="D1" s="4043"/>
      <c r="E1" s="4043"/>
      <c r="F1" s="4043"/>
      <c r="G1" s="4043"/>
      <c r="H1" s="4043"/>
      <c r="I1" s="4043"/>
      <c r="J1" s="4043"/>
      <c r="K1" s="4043"/>
      <c r="L1" s="4043"/>
      <c r="M1" s="4043"/>
      <c r="N1" s="4101"/>
      <c r="O1" s="4101"/>
      <c r="P1" s="4101"/>
      <c r="Q1" s="4101"/>
      <c r="R1" s="4101"/>
      <c r="S1" s="4101"/>
      <c r="T1" s="4101"/>
      <c r="U1" s="4101"/>
      <c r="V1" s="4101"/>
      <c r="W1" s="4101"/>
      <c r="X1" s="4101"/>
      <c r="Y1" s="4101"/>
      <c r="Z1" s="4101"/>
    </row>
    <row r="2" spans="1:26" ht="19.95" customHeight="1" x14ac:dyDescent="0.3">
      <c r="A2" s="972" t="str">
        <f>HYPERLINK("#'M-INDEX'!A1","⌂ INDICE")</f>
        <v>⌂ INDICE</v>
      </c>
      <c r="B2" s="760" t="str">
        <f>HYPERLINK("#'M1-ITME'!A1","M1")</f>
        <v>M1</v>
      </c>
      <c r="C2" s="760" t="str">
        <f>HYPERLINK("#'M2-PDOT'!A1","M2")</f>
        <v>M2</v>
      </c>
      <c r="D2" s="760" t="str">
        <f>HYPERLINK("#'M3-MAO'!A1","M3")</f>
        <v>M3</v>
      </c>
      <c r="E2" s="760" t="str">
        <f>HYPERLINK("#'M4-AUDIT'!A1","M4")</f>
        <v>M4</v>
      </c>
      <c r="F2" s="760" t="str">
        <f>HYPERLINK("#'M5-ICPI'!A1","M5")</f>
        <v>M5</v>
      </c>
      <c r="G2" s="760" t="str">
        <f>HYPERLINK("#'M6-FEDS'!A1","M6")</f>
        <v>M6</v>
      </c>
      <c r="H2" s="760" t="str">
        <f>HYPERLINK("#'M7-PROSP'!A1","M7")</f>
        <v>M7</v>
      </c>
      <c r="I2" s="760" t="str">
        <f>HYPERLINK("#'DATA-POA'!A1","DATA-POA")</f>
        <v>DATA-POA</v>
      </c>
      <c r="J2" s="760" t="str">
        <f>HYPERLINK("#'DATA-CNE'!A1","DATA-CNE")</f>
        <v>DATA-CNE</v>
      </c>
      <c r="K2" s="760" t="str">
        <f>HYPERLINK("#'DATA-ORG'!A1","DATA-ORG")</f>
        <v>DATA-ORG</v>
      </c>
      <c r="L2" s="760" t="str">
        <f>HYPERLINK("#'M-DASHBOARD'!A1","DASH")</f>
        <v>DASH</v>
      </c>
      <c r="M2" s="122" t="str">
        <f>HYPERLINK("#'DATA-SIGAD-TIMES'!A1","⏱ TIEMPOS")</f>
        <v>⏱ TIEMPOS</v>
      </c>
      <c r="N2" s="969"/>
      <c r="O2" s="969"/>
      <c r="P2" s="969"/>
      <c r="Q2" s="969"/>
      <c r="R2" s="969"/>
      <c r="S2" s="969"/>
      <c r="T2" s="969"/>
      <c r="U2" s="969"/>
      <c r="V2" s="969"/>
      <c r="W2" s="969"/>
      <c r="X2" s="969"/>
      <c r="Y2" s="969"/>
      <c r="Z2" s="969"/>
    </row>
    <row r="3" spans="1:26" ht="16.05" customHeight="1" thickBot="1" x14ac:dyDescent="0.35">
      <c r="A3" s="4096" t="s">
        <v>4253</v>
      </c>
      <c r="B3" s="4097"/>
      <c r="C3" s="4097"/>
      <c r="D3" s="4097"/>
      <c r="E3" s="4097"/>
      <c r="F3" s="4097"/>
      <c r="G3" s="4097"/>
      <c r="H3" s="4097"/>
      <c r="I3" s="4097"/>
      <c r="J3" s="4097"/>
      <c r="K3" s="4098"/>
      <c r="L3" s="4098"/>
      <c r="M3" s="4098"/>
      <c r="N3" s="4099"/>
      <c r="O3" s="4099"/>
      <c r="P3" s="4099"/>
      <c r="Q3" s="4099"/>
      <c r="R3" s="4099"/>
      <c r="S3" s="4099"/>
      <c r="T3" s="4099"/>
      <c r="U3" s="4099"/>
      <c r="V3" s="4099"/>
      <c r="W3" s="4099"/>
      <c r="X3" s="4099"/>
      <c r="Y3" s="4099"/>
      <c r="Z3" s="4099"/>
    </row>
    <row r="4" spans="1:26" ht="31.95" customHeight="1" thickTop="1" x14ac:dyDescent="0.3">
      <c r="A4" s="978" t="s">
        <v>4853</v>
      </c>
      <c r="B4" s="979" t="s">
        <v>3818</v>
      </c>
      <c r="C4" s="979" t="s">
        <v>3819</v>
      </c>
      <c r="D4" s="979" t="s">
        <v>3820</v>
      </c>
      <c r="E4" s="979" t="s">
        <v>4854</v>
      </c>
      <c r="F4" s="979" t="s">
        <v>4855</v>
      </c>
      <c r="G4" s="979" t="s">
        <v>4856</v>
      </c>
      <c r="H4" s="979" t="s">
        <v>4857</v>
      </c>
      <c r="I4" s="979" t="s">
        <v>4858</v>
      </c>
      <c r="J4" s="980" t="s">
        <v>4859</v>
      </c>
      <c r="K4" s="976"/>
      <c r="L4" s="1007" t="s">
        <v>5025</v>
      </c>
      <c r="M4" s="973"/>
      <c r="N4" s="77"/>
      <c r="O4" s="77"/>
      <c r="P4" s="77"/>
      <c r="Q4" s="77"/>
      <c r="R4" s="77"/>
      <c r="S4" s="77"/>
      <c r="T4" s="77"/>
      <c r="U4" s="77"/>
      <c r="V4" s="77"/>
      <c r="W4" s="77"/>
      <c r="X4" s="77"/>
      <c r="Y4" s="77"/>
      <c r="Z4" s="78"/>
    </row>
    <row r="5" spans="1:26" ht="24" customHeight="1" x14ac:dyDescent="0.3">
      <c r="A5" s="981" t="s">
        <v>4860</v>
      </c>
      <c r="B5" s="982">
        <v>100</v>
      </c>
      <c r="C5" s="982">
        <f>'M-TECH-PARAMS'!B9</f>
        <v>38.276612249694111</v>
      </c>
      <c r="D5" s="983">
        <f>B5-C5</f>
        <v>61.723387750305889</v>
      </c>
      <c r="E5" s="984">
        <v>5</v>
      </c>
      <c r="F5" s="984">
        <v>13</v>
      </c>
      <c r="G5" s="985">
        <v>1824689.36</v>
      </c>
      <c r="H5" s="986">
        <f>G5/'M2-PDOT'!$L$24</f>
        <v>5.5309785830233597E-2</v>
      </c>
      <c r="I5" s="985">
        <f>'M2-PDOT'!$L$24</f>
        <v>32990353.02</v>
      </c>
      <c r="J5" s="987">
        <f>B5-C5</f>
        <v>61.723387750305889</v>
      </c>
      <c r="K5" s="977"/>
      <c r="L5" s="1008" t="s">
        <v>5026</v>
      </c>
      <c r="M5" s="974"/>
      <c r="N5" s="970"/>
      <c r="O5" s="970"/>
      <c r="P5" s="970"/>
      <c r="Q5" s="970"/>
      <c r="R5" s="970"/>
      <c r="S5" s="970"/>
      <c r="T5" s="970"/>
      <c r="U5" s="970"/>
      <c r="V5" s="970"/>
      <c r="W5" s="970"/>
      <c r="X5" s="970"/>
      <c r="Y5" s="970"/>
      <c r="Z5" s="971"/>
    </row>
    <row r="6" spans="1:26" ht="24" customHeight="1" x14ac:dyDescent="0.3">
      <c r="A6" s="988" t="s">
        <v>4861</v>
      </c>
      <c r="B6" s="989">
        <v>100</v>
      </c>
      <c r="C6" s="989">
        <f>'M-TECH-PARAMS'!B9</f>
        <v>38.276612249694111</v>
      </c>
      <c r="D6" s="990">
        <f>B6-C6</f>
        <v>61.723387750305889</v>
      </c>
      <c r="E6" s="991">
        <v>9</v>
      </c>
      <c r="F6" s="991">
        <v>18</v>
      </c>
      <c r="G6" s="992">
        <v>3939101.48</v>
      </c>
      <c r="H6" s="993">
        <f>G6/'M2-PDOT'!$L$24</f>
        <v>0.11940161651534822</v>
      </c>
      <c r="I6" s="992">
        <f>'M2-PDOT'!$L$24</f>
        <v>32990353.02</v>
      </c>
      <c r="J6" s="994">
        <f>B6-C6</f>
        <v>61.723387750305889</v>
      </c>
      <c r="K6" s="906"/>
      <c r="L6" s="965" t="s">
        <v>5027</v>
      </c>
      <c r="M6" s="906"/>
      <c r="N6" s="43"/>
      <c r="O6" s="43"/>
      <c r="P6" s="43"/>
      <c r="Q6" s="43"/>
      <c r="R6" s="43"/>
      <c r="S6" s="43"/>
      <c r="T6" s="43"/>
      <c r="U6" s="43"/>
      <c r="V6" s="43"/>
      <c r="W6" s="43"/>
      <c r="X6" s="43"/>
      <c r="Y6" s="43"/>
      <c r="Z6" s="43"/>
    </row>
    <row r="7" spans="1:26" ht="28.05" customHeight="1" x14ac:dyDescent="0.3">
      <c r="A7" s="995" t="s">
        <v>4862</v>
      </c>
      <c r="B7" s="996" t="s">
        <v>4863</v>
      </c>
      <c r="C7" s="996" t="s">
        <v>4864</v>
      </c>
      <c r="D7" s="996" t="s">
        <v>3277</v>
      </c>
      <c r="E7" s="996" t="s">
        <v>4865</v>
      </c>
      <c r="F7" s="996" t="s">
        <v>4866</v>
      </c>
      <c r="G7" s="996" t="s">
        <v>4867</v>
      </c>
      <c r="H7" s="996" t="s">
        <v>4868</v>
      </c>
      <c r="I7" s="996" t="s">
        <v>4970</v>
      </c>
      <c r="J7" s="997" t="s">
        <v>4869</v>
      </c>
      <c r="K7" s="906"/>
      <c r="L7" s="1009" t="s">
        <v>5028</v>
      </c>
      <c r="M7" s="906"/>
      <c r="N7" s="43"/>
      <c r="O7" s="43"/>
      <c r="P7" s="43"/>
      <c r="Q7" s="43"/>
      <c r="R7" s="43"/>
      <c r="S7" s="43"/>
      <c r="T7" s="43"/>
      <c r="U7" s="43"/>
      <c r="V7" s="43"/>
      <c r="W7" s="43"/>
      <c r="X7" s="43"/>
      <c r="Y7" s="43"/>
      <c r="Z7" s="43"/>
    </row>
    <row r="8" spans="1:26" s="1" customFormat="1" ht="31.95" customHeight="1" thickBot="1" x14ac:dyDescent="0.35">
      <c r="A8" s="998" t="s">
        <v>4870</v>
      </c>
      <c r="B8" s="999">
        <f>AVERAGE(B5:B6)</f>
        <v>100</v>
      </c>
      <c r="C8" s="999">
        <f>'M-TECH-PARAMS'!B9</f>
        <v>38.276612249694111</v>
      </c>
      <c r="D8" s="1000">
        <f>B8-C8</f>
        <v>61.723387750305889</v>
      </c>
      <c r="E8" s="1001">
        <f>E5</f>
        <v>5</v>
      </c>
      <c r="F8" s="1001">
        <f>E6</f>
        <v>9</v>
      </c>
      <c r="G8" s="1002">
        <f>AVERAGE(G5:G6)</f>
        <v>2881895.42</v>
      </c>
      <c r="H8" s="1003">
        <f>AVERAGE(H5:H6)</f>
        <v>8.7355701172790914E-2</v>
      </c>
      <c r="I8" s="1003">
        <f>1-H8</f>
        <v>0.9126442988272091</v>
      </c>
      <c r="J8" s="1004" t="s">
        <v>4971</v>
      </c>
      <c r="K8" s="975"/>
      <c r="L8" s="964" t="s">
        <v>5029</v>
      </c>
      <c r="M8" s="975"/>
      <c r="N8" s="119"/>
      <c r="O8" s="119"/>
      <c r="P8" s="119"/>
      <c r="Q8" s="119"/>
      <c r="R8" s="119"/>
      <c r="S8" s="119"/>
      <c r="T8" s="119"/>
      <c r="U8" s="119"/>
      <c r="V8" s="119"/>
      <c r="W8" s="119"/>
      <c r="X8" s="119"/>
      <c r="Y8" s="119"/>
      <c r="Z8" s="119"/>
    </row>
    <row r="9" spans="1:26" ht="4.05" customHeight="1" x14ac:dyDescent="0.3">
      <c r="A9" s="1005"/>
      <c r="B9" s="1005"/>
      <c r="C9" s="1005"/>
      <c r="D9" s="1005"/>
      <c r="E9" s="1005"/>
      <c r="F9" s="1005"/>
      <c r="G9" s="1005"/>
      <c r="H9" s="1005"/>
      <c r="I9" s="1005"/>
      <c r="J9" s="1005"/>
      <c r="K9" s="1005"/>
      <c r="L9" s="967" t="s">
        <v>5030</v>
      </c>
      <c r="M9" s="1005"/>
    </row>
    <row r="10" spans="1:26" ht="4.05" customHeight="1" x14ac:dyDescent="0.3">
      <c r="A10" s="1005"/>
      <c r="B10" s="1005"/>
      <c r="C10" s="1005"/>
      <c r="D10" s="1005"/>
      <c r="E10" s="1005"/>
      <c r="F10" s="1005"/>
      <c r="G10" s="1005"/>
      <c r="H10" s="1005"/>
      <c r="I10" s="1005"/>
      <c r="J10" s="1005"/>
      <c r="K10" s="1005"/>
      <c r="L10" s="1005"/>
      <c r="M10" s="1005"/>
    </row>
    <row r="11" spans="1:26" ht="4.05" customHeight="1" x14ac:dyDescent="0.3">
      <c r="A11" s="1005"/>
      <c r="B11" s="1005"/>
      <c r="C11" s="1005"/>
      <c r="D11" s="1005"/>
      <c r="E11" s="1005"/>
      <c r="F11" s="1005"/>
      <c r="G11" s="1005"/>
      <c r="H11" s="1005"/>
      <c r="I11" s="1005"/>
      <c r="J11" s="1005"/>
      <c r="K11" s="1005"/>
      <c r="L11" s="1005"/>
      <c r="M11" s="1005"/>
    </row>
    <row r="12" spans="1:26" ht="4.05" customHeight="1" x14ac:dyDescent="0.3">
      <c r="A12" s="1005"/>
      <c r="B12" s="1005"/>
      <c r="C12" s="1005"/>
      <c r="D12" s="1005"/>
      <c r="E12" s="1005"/>
      <c r="F12" s="1005"/>
      <c r="G12" s="1005"/>
      <c r="H12" s="1005"/>
      <c r="I12" s="1005"/>
      <c r="J12" s="1005"/>
      <c r="K12" s="1005"/>
      <c r="L12" s="1005"/>
      <c r="M12" s="1005"/>
    </row>
    <row r="13" spans="1:26" ht="4.05" customHeight="1" x14ac:dyDescent="0.3">
      <c r="A13" s="1005"/>
      <c r="B13" s="1005"/>
      <c r="C13" s="1005"/>
      <c r="D13" s="1005"/>
      <c r="E13" s="1005"/>
      <c r="F13" s="1005"/>
      <c r="G13" s="1005"/>
      <c r="H13" s="1005"/>
      <c r="I13" s="1005"/>
      <c r="J13" s="1005"/>
      <c r="K13" s="1005"/>
      <c r="L13" s="1005"/>
      <c r="M13" s="1005"/>
    </row>
    <row r="14" spans="1:26" ht="4.05" customHeight="1" x14ac:dyDescent="0.3">
      <c r="A14" s="1005"/>
      <c r="B14" s="1005"/>
      <c r="C14" s="1005"/>
      <c r="D14" s="1005"/>
      <c r="E14" s="1005"/>
      <c r="F14" s="1005"/>
      <c r="G14" s="1005"/>
      <c r="H14" s="1005"/>
      <c r="I14" s="1005"/>
      <c r="J14" s="1005"/>
      <c r="K14" s="1005"/>
      <c r="L14" s="1005"/>
      <c r="M14" s="1005"/>
    </row>
    <row r="15" spans="1:26" ht="4.05" customHeight="1" x14ac:dyDescent="0.3">
      <c r="A15" s="1005"/>
      <c r="B15" s="1005"/>
      <c r="C15" s="1005"/>
      <c r="D15" s="1005"/>
      <c r="E15" s="1005"/>
      <c r="F15" s="1005"/>
      <c r="G15" s="1005"/>
      <c r="H15" s="1005"/>
      <c r="I15" s="1005"/>
      <c r="J15" s="1005"/>
      <c r="K15" s="1005"/>
      <c r="L15" s="1005"/>
      <c r="M15" s="1005"/>
    </row>
    <row r="16" spans="1:26" ht="4.05" customHeight="1" x14ac:dyDescent="0.3">
      <c r="A16" s="1005"/>
      <c r="B16" s="1005"/>
      <c r="C16" s="1005"/>
      <c r="D16" s="1005"/>
      <c r="E16" s="1005"/>
      <c r="F16" s="1005"/>
      <c r="G16" s="1005"/>
      <c r="H16" s="1005"/>
      <c r="I16" s="1005"/>
      <c r="J16" s="1005"/>
      <c r="K16" s="1005"/>
      <c r="L16" s="1005"/>
      <c r="M16" s="1005"/>
    </row>
    <row r="17" spans="1:13" ht="4.05" customHeight="1" x14ac:dyDescent="0.3">
      <c r="A17" s="1005"/>
      <c r="B17" s="1005"/>
      <c r="C17" s="1005"/>
      <c r="D17" s="1005"/>
      <c r="E17" s="1005"/>
      <c r="F17" s="1005"/>
      <c r="G17" s="1005"/>
      <c r="H17" s="1005"/>
      <c r="I17" s="1005"/>
      <c r="J17" s="1005"/>
      <c r="K17" s="1005"/>
      <c r="L17" s="1005"/>
      <c r="M17" s="1005"/>
    </row>
    <row r="18" spans="1:13" ht="4.05" customHeight="1" x14ac:dyDescent="0.3">
      <c r="A18" s="1005"/>
      <c r="B18" s="1005"/>
      <c r="C18" s="1005"/>
      <c r="D18" s="1005"/>
      <c r="E18" s="1005"/>
      <c r="F18" s="1005"/>
      <c r="G18" s="1005"/>
      <c r="H18" s="1005"/>
      <c r="I18" s="1005"/>
      <c r="J18" s="1005"/>
      <c r="K18" s="1005"/>
      <c r="L18" s="1005"/>
      <c r="M18" s="1005"/>
    </row>
    <row r="19" spans="1:13" ht="4.05" customHeight="1" x14ac:dyDescent="0.3">
      <c r="A19" s="1005"/>
      <c r="B19" s="1005"/>
      <c r="C19" s="1005"/>
      <c r="D19" s="1005"/>
      <c r="E19" s="1005"/>
      <c r="F19" s="1005"/>
      <c r="G19" s="1005"/>
      <c r="H19" s="1005"/>
      <c r="I19" s="1005"/>
      <c r="J19" s="1005"/>
      <c r="K19" s="1005"/>
      <c r="L19" s="1005"/>
      <c r="M19" s="1005"/>
    </row>
    <row r="20" spans="1:13" ht="4.05" customHeight="1" x14ac:dyDescent="0.3">
      <c r="A20" s="1005"/>
      <c r="B20" s="1005"/>
      <c r="C20" s="1005"/>
      <c r="D20" s="1005"/>
      <c r="E20" s="1005"/>
      <c r="F20" s="1005"/>
      <c r="G20" s="1005"/>
      <c r="H20" s="1005"/>
      <c r="I20" s="1005"/>
      <c r="J20" s="1005"/>
      <c r="K20" s="1005"/>
      <c r="L20" s="1005"/>
      <c r="M20" s="1005"/>
    </row>
    <row r="21" spans="1:13" ht="4.05" customHeight="1" x14ac:dyDescent="0.3">
      <c r="A21" s="1005"/>
      <c r="B21" s="1005"/>
      <c r="C21" s="1005"/>
      <c r="D21" s="1005"/>
      <c r="E21" s="1005"/>
      <c r="F21" s="1005"/>
      <c r="G21" s="1005"/>
      <c r="H21" s="1005"/>
      <c r="I21" s="1005"/>
      <c r="J21" s="1005"/>
      <c r="K21" s="1005"/>
      <c r="L21" s="1005"/>
      <c r="M21" s="1005"/>
    </row>
    <row r="22" spans="1:13" ht="4.05" customHeight="1" x14ac:dyDescent="0.3">
      <c r="A22" s="1005"/>
      <c r="B22" s="1005"/>
      <c r="C22" s="1005"/>
      <c r="D22" s="1005"/>
      <c r="E22" s="1005"/>
      <c r="F22" s="1005"/>
      <c r="G22" s="1005"/>
      <c r="H22" s="1005"/>
      <c r="I22" s="1005"/>
      <c r="J22" s="1005"/>
      <c r="K22" s="1005"/>
      <c r="L22" s="1005"/>
      <c r="M22" s="1005"/>
    </row>
    <row r="23" spans="1:13" ht="4.05" customHeight="1" x14ac:dyDescent="0.3">
      <c r="A23" s="1005"/>
      <c r="B23" s="1005"/>
      <c r="C23" s="1005"/>
      <c r="D23" s="1005"/>
      <c r="E23" s="1005"/>
      <c r="F23" s="1005"/>
      <c r="G23" s="1005"/>
      <c r="H23" s="1005"/>
      <c r="I23" s="1005"/>
      <c r="J23" s="1005"/>
      <c r="K23" s="1005"/>
      <c r="L23" s="1005"/>
      <c r="M23" s="1005"/>
    </row>
    <row r="24" spans="1:13" ht="4.05" customHeight="1" x14ac:dyDescent="0.3">
      <c r="A24" s="1005"/>
      <c r="B24" s="1005"/>
      <c r="C24" s="1005"/>
      <c r="D24" s="1005"/>
      <c r="E24" s="1005"/>
      <c r="F24" s="1005"/>
      <c r="G24" s="1005"/>
      <c r="H24" s="1005"/>
      <c r="I24" s="1005"/>
      <c r="J24" s="1005"/>
      <c r="K24" s="1005"/>
      <c r="L24" s="1005"/>
      <c r="M24" s="1005"/>
    </row>
    <row r="25" spans="1:13" ht="4.05" customHeight="1" x14ac:dyDescent="0.3">
      <c r="A25" s="1005"/>
      <c r="B25" s="1005"/>
      <c r="C25" s="1005"/>
      <c r="D25" s="1005"/>
      <c r="E25" s="1005"/>
      <c r="F25" s="1005"/>
      <c r="G25" s="1005"/>
      <c r="H25" s="1005"/>
      <c r="I25" s="1005"/>
      <c r="J25" s="1005"/>
      <c r="K25" s="1005"/>
      <c r="L25" s="1005"/>
      <c r="M25" s="1005"/>
    </row>
    <row r="26" spans="1:13" ht="4.05" customHeight="1" x14ac:dyDescent="0.3">
      <c r="A26" s="1005"/>
      <c r="B26" s="1005"/>
      <c r="C26" s="1005"/>
      <c r="D26" s="1005"/>
      <c r="E26" s="1005"/>
      <c r="F26" s="1005"/>
      <c r="G26" s="1005"/>
      <c r="H26" s="1005"/>
      <c r="I26" s="1005"/>
      <c r="J26" s="1005"/>
      <c r="K26" s="1005"/>
      <c r="L26" s="1005"/>
      <c r="M26" s="1005"/>
    </row>
    <row r="27" spans="1:13" ht="4.05" customHeight="1" x14ac:dyDescent="0.3">
      <c r="A27" s="1005"/>
      <c r="B27" s="1005"/>
      <c r="C27" s="1005"/>
      <c r="D27" s="1005"/>
      <c r="E27" s="1005"/>
      <c r="F27" s="1005"/>
      <c r="G27" s="1005"/>
      <c r="H27" s="1005"/>
      <c r="I27" s="1005"/>
      <c r="J27" s="1005"/>
      <c r="K27" s="1005"/>
      <c r="L27" s="1005"/>
      <c r="M27" s="1005"/>
    </row>
    <row r="28" spans="1:13" ht="4.05" customHeight="1" x14ac:dyDescent="0.3">
      <c r="A28" s="1005"/>
      <c r="B28" s="1005"/>
      <c r="C28" s="1005"/>
      <c r="D28" s="1005"/>
      <c r="E28" s="1005"/>
      <c r="F28" s="1005"/>
      <c r="G28" s="1005"/>
      <c r="H28" s="1005"/>
      <c r="I28" s="1005"/>
      <c r="J28" s="1005"/>
      <c r="K28" s="1005"/>
      <c r="L28" s="1005"/>
      <c r="M28" s="1005"/>
    </row>
    <row r="29" spans="1:13" ht="4.05" customHeight="1" x14ac:dyDescent="0.3">
      <c r="A29" s="1005"/>
      <c r="B29" s="1005"/>
      <c r="C29" s="1005"/>
      <c r="D29" s="1005"/>
      <c r="E29" s="1005"/>
      <c r="F29" s="1005"/>
      <c r="G29" s="1005"/>
      <c r="H29" s="1005"/>
      <c r="I29" s="1005"/>
      <c r="J29" s="1005"/>
      <c r="K29" s="1005"/>
      <c r="L29" s="1005"/>
      <c r="M29" s="1005"/>
    </row>
    <row r="30" spans="1:13" ht="4.05" customHeight="1" x14ac:dyDescent="0.3">
      <c r="A30" s="1005"/>
      <c r="B30" s="1005"/>
      <c r="C30" s="1005"/>
      <c r="D30" s="1005"/>
      <c r="E30" s="1005"/>
      <c r="F30" s="1005"/>
      <c r="G30" s="1005"/>
      <c r="H30" s="1005"/>
      <c r="I30" s="1005"/>
      <c r="J30" s="1005"/>
      <c r="K30" s="1005"/>
      <c r="L30" s="1005"/>
      <c r="M30" s="1005"/>
    </row>
    <row r="31" spans="1:13" ht="4.05" customHeight="1" x14ac:dyDescent="0.3">
      <c r="A31" s="1005"/>
      <c r="B31" s="1005"/>
      <c r="C31" s="1005"/>
      <c r="D31" s="1005"/>
      <c r="E31" s="1005"/>
      <c r="F31" s="1005"/>
      <c r="G31" s="1005"/>
      <c r="H31" s="1005"/>
      <c r="I31" s="1005"/>
      <c r="J31" s="1005"/>
      <c r="K31" s="1005"/>
      <c r="L31" s="1005"/>
      <c r="M31" s="1005"/>
    </row>
    <row r="32" spans="1:13" ht="4.05" customHeight="1" x14ac:dyDescent="0.3">
      <c r="A32" s="1005"/>
      <c r="B32" s="1005"/>
      <c r="C32" s="1005"/>
      <c r="D32" s="1005"/>
      <c r="E32" s="1005"/>
      <c r="F32" s="1005"/>
      <c r="G32" s="1005"/>
      <c r="H32" s="1005"/>
      <c r="I32" s="1005"/>
      <c r="J32" s="1005"/>
      <c r="K32" s="1005"/>
      <c r="L32" s="1005"/>
      <c r="M32" s="1005"/>
    </row>
    <row r="33" spans="1:13" ht="4.05" customHeight="1" x14ac:dyDescent="0.3">
      <c r="A33" s="1005"/>
      <c r="B33" s="1005"/>
      <c r="C33" s="1005"/>
      <c r="D33" s="1005"/>
      <c r="E33" s="1005"/>
      <c r="F33" s="1005"/>
      <c r="G33" s="1005"/>
      <c r="H33" s="1005"/>
      <c r="I33" s="1005"/>
      <c r="J33" s="1005"/>
      <c r="K33" s="1005"/>
      <c r="L33" s="1005"/>
      <c r="M33" s="1005"/>
    </row>
    <row r="34" spans="1:13" ht="4.05" customHeight="1" x14ac:dyDescent="0.3">
      <c r="A34" s="1005"/>
      <c r="B34" s="1005"/>
      <c r="C34" s="1005"/>
      <c r="D34" s="1005"/>
      <c r="E34" s="1005"/>
      <c r="F34" s="1005"/>
      <c r="G34" s="1005"/>
      <c r="H34" s="1005"/>
      <c r="I34" s="1005"/>
      <c r="J34" s="1005"/>
      <c r="K34" s="1005"/>
      <c r="L34" s="1005"/>
      <c r="M34" s="1005"/>
    </row>
    <row r="35" spans="1:13" ht="4.05" customHeight="1" x14ac:dyDescent="0.3">
      <c r="A35" s="1005"/>
      <c r="B35" s="1005"/>
      <c r="C35" s="1005"/>
      <c r="D35" s="1005"/>
      <c r="E35" s="1005"/>
      <c r="F35" s="1005"/>
      <c r="G35" s="1005"/>
      <c r="H35" s="1005"/>
      <c r="I35" s="1005"/>
      <c r="J35" s="1005"/>
      <c r="K35" s="1005"/>
      <c r="L35" s="1005"/>
      <c r="M35" s="1005"/>
    </row>
    <row r="36" spans="1:13" ht="4.05" customHeight="1" x14ac:dyDescent="0.3">
      <c r="A36" s="1005"/>
      <c r="B36" s="1005"/>
      <c r="C36" s="1005"/>
      <c r="D36" s="1005"/>
      <c r="E36" s="1005"/>
      <c r="F36" s="1005"/>
      <c r="G36" s="1005"/>
      <c r="H36" s="1005"/>
      <c r="I36" s="1005"/>
      <c r="J36" s="1005"/>
      <c r="K36" s="1005"/>
      <c r="L36" s="1005"/>
      <c r="M36" s="1005"/>
    </row>
    <row r="37" spans="1:13" ht="4.05" customHeight="1" x14ac:dyDescent="0.3">
      <c r="A37" s="1005"/>
      <c r="B37" s="1005"/>
      <c r="C37" s="1005"/>
      <c r="D37" s="1005"/>
      <c r="E37" s="1005"/>
      <c r="F37" s="1005"/>
      <c r="G37" s="1005"/>
      <c r="H37" s="1005"/>
      <c r="I37" s="1005"/>
      <c r="J37" s="1005"/>
      <c r="K37" s="1005"/>
      <c r="L37" s="1005"/>
      <c r="M37" s="1005"/>
    </row>
    <row r="38" spans="1:13" ht="4.05" customHeight="1" x14ac:dyDescent="0.3">
      <c r="A38" s="1005"/>
      <c r="B38" s="1005"/>
      <c r="C38" s="1005"/>
      <c r="D38" s="1005"/>
      <c r="E38" s="1005"/>
      <c r="F38" s="1005"/>
      <c r="G38" s="1005"/>
      <c r="H38" s="1005"/>
      <c r="I38" s="1005"/>
      <c r="J38" s="1005"/>
      <c r="K38" s="1005"/>
      <c r="L38" s="1005"/>
      <c r="M38" s="1005"/>
    </row>
    <row r="39" spans="1:13" ht="4.05" customHeight="1" x14ac:dyDescent="0.3">
      <c r="A39" s="1005"/>
      <c r="B39" s="1005"/>
      <c r="C39" s="1005"/>
      <c r="D39" s="1005"/>
      <c r="E39" s="1005"/>
      <c r="F39" s="1005"/>
      <c r="G39" s="1005"/>
      <c r="H39" s="1005"/>
      <c r="I39" s="1005"/>
      <c r="J39" s="1005"/>
      <c r="K39" s="1005"/>
      <c r="L39" s="1005"/>
      <c r="M39" s="1005"/>
    </row>
    <row r="40" spans="1:13" ht="4.05" customHeight="1" x14ac:dyDescent="0.3">
      <c r="A40" s="1005"/>
      <c r="B40" s="1005"/>
      <c r="C40" s="1005"/>
      <c r="D40" s="1005"/>
      <c r="E40" s="1005"/>
      <c r="F40" s="1005"/>
      <c r="G40" s="1005"/>
      <c r="H40" s="1005"/>
      <c r="I40" s="1005"/>
      <c r="J40" s="1005"/>
      <c r="K40" s="1005"/>
      <c r="L40" s="1005"/>
      <c r="M40" s="1005"/>
    </row>
    <row r="41" spans="1:13" ht="4.05" customHeight="1" x14ac:dyDescent="0.3">
      <c r="A41" s="1005"/>
      <c r="B41" s="1005"/>
      <c r="C41" s="1005"/>
      <c r="D41" s="1005"/>
      <c r="E41" s="1005"/>
      <c r="F41" s="1005"/>
      <c r="G41" s="1005"/>
      <c r="H41" s="1005"/>
      <c r="I41" s="1005"/>
      <c r="J41" s="1005"/>
      <c r="K41" s="1005"/>
      <c r="L41" s="1005"/>
      <c r="M41" s="1005"/>
    </row>
    <row r="42" spans="1:13" ht="4.05" customHeight="1" x14ac:dyDescent="0.3">
      <c r="A42" s="1005"/>
      <c r="B42" s="1005"/>
      <c r="C42" s="1005"/>
      <c r="D42" s="1005"/>
      <c r="E42" s="1005"/>
      <c r="F42" s="1005"/>
      <c r="G42" s="1005"/>
      <c r="H42" s="1005"/>
      <c r="I42" s="1005"/>
      <c r="J42" s="1005"/>
      <c r="K42" s="1005"/>
      <c r="L42" s="1005"/>
      <c r="M42" s="1005"/>
    </row>
    <row r="43" spans="1:13" ht="4.05" customHeight="1" x14ac:dyDescent="0.3">
      <c r="A43" s="1005"/>
      <c r="B43" s="1005"/>
      <c r="C43" s="1005"/>
      <c r="D43" s="1005"/>
      <c r="E43" s="1005"/>
      <c r="F43" s="1005"/>
      <c r="G43" s="1005"/>
      <c r="H43" s="1005"/>
      <c r="I43" s="1005"/>
      <c r="J43" s="1005"/>
      <c r="K43" s="1005"/>
      <c r="L43" s="1005"/>
      <c r="M43" s="1005"/>
    </row>
    <row r="44" spans="1:13" ht="4.05" customHeight="1" x14ac:dyDescent="0.3">
      <c r="A44" s="1005"/>
      <c r="B44" s="1005"/>
      <c r="C44" s="1005"/>
      <c r="D44" s="1005"/>
      <c r="E44" s="1005"/>
      <c r="F44" s="1005"/>
      <c r="G44" s="1005"/>
      <c r="H44" s="1005"/>
      <c r="I44" s="1005"/>
      <c r="J44" s="1005"/>
      <c r="K44" s="1005"/>
      <c r="L44" s="1005"/>
      <c r="M44" s="1005"/>
    </row>
    <row r="45" spans="1:13" ht="4.05" customHeight="1" x14ac:dyDescent="0.3">
      <c r="A45" s="1005"/>
      <c r="B45" s="1005"/>
      <c r="C45" s="1005"/>
      <c r="D45" s="1005"/>
      <c r="E45" s="1005"/>
      <c r="F45" s="1005"/>
      <c r="G45" s="1005"/>
      <c r="H45" s="1005"/>
      <c r="I45" s="1005"/>
      <c r="J45" s="1005"/>
      <c r="K45" s="1005"/>
      <c r="L45" s="1005"/>
      <c r="M45" s="1005"/>
    </row>
    <row r="46" spans="1:13" ht="4.05" customHeight="1" x14ac:dyDescent="0.3">
      <c r="A46" s="1005"/>
      <c r="B46" s="1005"/>
      <c r="C46" s="1005"/>
      <c r="D46" s="1005"/>
      <c r="E46" s="1005"/>
      <c r="F46" s="1005"/>
      <c r="G46" s="1005"/>
      <c r="H46" s="1005"/>
      <c r="I46" s="1005"/>
      <c r="J46" s="1005"/>
      <c r="K46" s="1005"/>
      <c r="L46" s="1005"/>
      <c r="M46" s="1005"/>
    </row>
    <row r="47" spans="1:13" ht="4.05" customHeight="1" x14ac:dyDescent="0.3">
      <c r="A47" s="1005"/>
      <c r="B47" s="1005"/>
      <c r="C47" s="1005"/>
      <c r="D47" s="1005"/>
      <c r="E47" s="1005"/>
      <c r="F47" s="1005"/>
      <c r="G47" s="1005"/>
      <c r="H47" s="1005"/>
      <c r="I47" s="1005"/>
      <c r="J47" s="1005"/>
      <c r="K47" s="1005"/>
      <c r="L47" s="1005"/>
      <c r="M47" s="1005"/>
    </row>
    <row r="48" spans="1:13" ht="4.05" customHeight="1" x14ac:dyDescent="0.3">
      <c r="A48" s="1005"/>
      <c r="B48" s="1005"/>
      <c r="C48" s="1005"/>
      <c r="D48" s="1005"/>
      <c r="E48" s="1005"/>
      <c r="F48" s="1005"/>
      <c r="G48" s="1005"/>
      <c r="H48" s="1005"/>
      <c r="I48" s="1005"/>
      <c r="J48" s="1005"/>
      <c r="K48" s="1005"/>
      <c r="L48" s="1005"/>
      <c r="M48" s="1005"/>
    </row>
    <row r="49" spans="1:13" ht="4.05" customHeight="1" x14ac:dyDescent="0.3">
      <c r="A49" s="1005"/>
      <c r="B49" s="1005"/>
      <c r="C49" s="1005"/>
      <c r="D49" s="1005"/>
      <c r="E49" s="1005"/>
      <c r="F49" s="1005"/>
      <c r="G49" s="1005"/>
      <c r="H49" s="1005"/>
      <c r="I49" s="1005"/>
      <c r="J49" s="1005"/>
      <c r="K49" s="1005"/>
      <c r="L49" s="1005"/>
      <c r="M49" s="1005"/>
    </row>
    <row r="50" spans="1:13" ht="4.05" customHeight="1" x14ac:dyDescent="0.3">
      <c r="A50" s="1005"/>
      <c r="B50" s="1005"/>
      <c r="C50" s="1005"/>
      <c r="D50" s="1005"/>
      <c r="E50" s="1005"/>
      <c r="F50" s="1005"/>
      <c r="G50" s="1005"/>
      <c r="H50" s="1005"/>
      <c r="I50" s="1005"/>
      <c r="J50" s="1005"/>
      <c r="K50" s="1005"/>
      <c r="L50" s="1005"/>
      <c r="M50" s="1005"/>
    </row>
    <row r="51" spans="1:13" ht="4.05" customHeight="1" x14ac:dyDescent="0.3">
      <c r="A51" s="1005"/>
      <c r="B51" s="1005"/>
      <c r="C51" s="1005"/>
      <c r="D51" s="1005"/>
      <c r="E51" s="1005"/>
      <c r="F51" s="1005"/>
      <c r="G51" s="1005"/>
      <c r="H51" s="1005"/>
      <c r="I51" s="1005"/>
      <c r="J51" s="1005"/>
      <c r="K51" s="1005"/>
      <c r="L51" s="1005"/>
      <c r="M51" s="1005"/>
    </row>
    <row r="52" spans="1:13" ht="4.05" customHeight="1" x14ac:dyDescent="0.3">
      <c r="A52" s="1005"/>
      <c r="B52" s="1005"/>
      <c r="C52" s="1005"/>
      <c r="D52" s="1005"/>
      <c r="E52" s="1005"/>
      <c r="F52" s="1005"/>
      <c r="G52" s="1005"/>
      <c r="H52" s="1005"/>
      <c r="I52" s="1005"/>
      <c r="J52" s="1005"/>
      <c r="K52" s="1005"/>
      <c r="L52" s="1005"/>
      <c r="M52" s="1005"/>
    </row>
    <row r="53" spans="1:13" ht="4.05" customHeight="1" x14ac:dyDescent="0.3">
      <c r="A53" s="1005"/>
      <c r="B53" s="1005"/>
      <c r="C53" s="1005"/>
      <c r="D53" s="1005"/>
      <c r="E53" s="1005"/>
      <c r="F53" s="1005"/>
      <c r="G53" s="1005"/>
      <c r="H53" s="1005"/>
      <c r="I53" s="1005"/>
      <c r="J53" s="1005"/>
      <c r="K53" s="1005"/>
      <c r="L53" s="1005"/>
      <c r="M53" s="1005"/>
    </row>
    <row r="54" spans="1:13" ht="4.05" customHeight="1" x14ac:dyDescent="0.3">
      <c r="A54" s="1005"/>
      <c r="B54" s="1005"/>
      <c r="C54" s="1005"/>
      <c r="D54" s="1005"/>
      <c r="E54" s="1005"/>
      <c r="F54" s="1005"/>
      <c r="G54" s="1005"/>
      <c r="H54" s="1005"/>
      <c r="I54" s="1005"/>
      <c r="J54" s="1005"/>
      <c r="K54" s="1005"/>
      <c r="L54" s="1005"/>
      <c r="M54" s="1005"/>
    </row>
    <row r="55" spans="1:13" ht="4.05" customHeight="1" x14ac:dyDescent="0.3">
      <c r="A55" s="1005"/>
      <c r="B55" s="1005"/>
      <c r="C55" s="1005"/>
      <c r="D55" s="1005"/>
      <c r="E55" s="1005"/>
      <c r="F55" s="1005"/>
      <c r="G55" s="1005"/>
      <c r="H55" s="1005"/>
      <c r="I55" s="1005"/>
      <c r="J55" s="1005"/>
      <c r="K55" s="1005"/>
      <c r="L55" s="1005"/>
      <c r="M55" s="1005"/>
    </row>
  </sheetData>
  <mergeCells count="2">
    <mergeCell ref="A3:Z3"/>
    <mergeCell ref="A1:Z1"/>
  </mergeCells>
  <conditionalFormatting sqref="B5:B8">
    <cfRule type="cellIs" dxfId="85" priority="1" operator="equal">
      <formula>100</formula>
    </cfRule>
  </conditionalFormatting>
  <conditionalFormatting sqref="C5:C8">
    <cfRule type="cellIs" dxfId="84" priority="2" operator="greaterThanOrEqual">
      <formula>0.9</formula>
    </cfRule>
    <cfRule type="cellIs" dxfId="83" priority="3" operator="between">
      <formula>0.7</formula>
      <formula>0.8999</formula>
    </cfRule>
    <cfRule type="cellIs" dxfId="82" priority="4" operator="between">
      <formula>0.4</formula>
      <formula>0.6999</formula>
    </cfRule>
    <cfRule type="cellIs" dxfId="81" priority="5" operator="between">
      <formula>0.2</formula>
      <formula>0.3999</formula>
    </cfRule>
    <cfRule type="cellIs" dxfId="80" priority="6" operator="lessThan">
      <formula>0.2</formula>
    </cfRule>
  </conditionalFormatting>
  <conditionalFormatting sqref="D5:D8">
    <cfRule type="cellIs" dxfId="79" priority="7" operator="greaterThan">
      <formula>50</formula>
    </cfRule>
    <cfRule type="cellIs" dxfId="78" priority="8" operator="between">
      <formula>30</formula>
      <formula>50</formula>
    </cfRule>
    <cfRule type="cellIs" dxfId="77" priority="9" operator="between">
      <formula>10</formula>
      <formula>29.99</formula>
    </cfRule>
  </conditionalFormatting>
  <conditionalFormatting sqref="H5:H8">
    <cfRule type="cellIs" dxfId="76" priority="10" operator="lessThan">
      <formula>0.12</formula>
    </cfRule>
    <cfRule type="cellIs" dxfId="75" priority="11" operator="between">
      <formula>0.12</formula>
      <formula>0.3</formula>
    </cfRule>
  </conditionalFormatting>
  <conditionalFormatting sqref="J5:J8">
    <cfRule type="containsText" dxfId="74" priority="12" operator="containsText" text="MOM">
      <formula>NOT(ISERROR(SEARCH("MOM",J5)))</formula>
    </cfRule>
    <cfRule type="containsText" dxfId="73" priority="13" operator="containsText" text="H1">
      <formula>NOT(ISERROR(SEARCH("H1",J5)))</formula>
    </cfRule>
  </conditionalFormatting>
  <pageMargins left="0.7" right="0.7" top="0.75" bottom="0.75" header="0.3" footer="0.3"/>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2A85A-C842-4436-B7CC-028A2FEE62D9}">
  <sheetPr>
    <tabColor rgb="FFB8CCE4"/>
  </sheetPr>
  <dimension ref="A1:Z59"/>
  <sheetViews>
    <sheetView showGridLines="0" topLeftCell="B3" zoomScale="95" zoomScaleNormal="95" workbookViewId="0">
      <pane xSplit="1" ySplit="2" topLeftCell="C5" activePane="bottomRight" state="frozen"/>
      <selection activeCell="B4" sqref="B4"/>
      <selection pane="topRight" activeCell="C4" sqref="C4"/>
      <selection pane="bottomLeft" activeCell="B5" sqref="B5"/>
      <selection pane="bottomRight" activeCell="A14" sqref="A14:F14"/>
    </sheetView>
  </sheetViews>
  <sheetFormatPr baseColWidth="10" defaultRowHeight="14.4" x14ac:dyDescent="0.3"/>
  <cols>
    <col min="1" max="1" width="11.109375" customWidth="1"/>
    <col min="2" max="2" width="97" bestFit="1" customWidth="1"/>
    <col min="3" max="3" width="74.21875" bestFit="1" customWidth="1"/>
    <col min="4" max="4" width="19.44140625" customWidth="1"/>
    <col min="5" max="5" width="24.109375" customWidth="1"/>
    <col min="6" max="6" width="18.5546875" customWidth="1"/>
    <col min="8" max="8" width="22.21875" customWidth="1"/>
    <col min="26" max="26" width="8" bestFit="1" customWidth="1"/>
  </cols>
  <sheetData>
    <row r="1" spans="1:26" ht="28.05" customHeight="1" x14ac:dyDescent="0.3">
      <c r="A1" s="4100" t="s">
        <v>4848</v>
      </c>
      <c r="B1" s="4043"/>
      <c r="C1" s="4043"/>
      <c r="D1" s="4043"/>
      <c r="E1" s="4043"/>
      <c r="F1" s="4043"/>
      <c r="G1" s="4043"/>
      <c r="H1" s="4043"/>
      <c r="I1" s="4043"/>
      <c r="J1" s="4043"/>
      <c r="K1" s="4043"/>
      <c r="L1" s="4043"/>
      <c r="M1" s="4101"/>
      <c r="N1" s="4101"/>
      <c r="O1" s="4101"/>
      <c r="P1" s="4101"/>
      <c r="Q1" s="4101"/>
      <c r="R1" s="4101"/>
      <c r="S1" s="4101"/>
      <c r="T1" s="4101"/>
      <c r="U1" s="4101"/>
      <c r="V1" s="4101"/>
      <c r="W1" s="4101"/>
      <c r="X1" s="4101"/>
      <c r="Y1" s="4101"/>
      <c r="Z1" s="4101"/>
    </row>
    <row r="2" spans="1:26" ht="19.95" customHeight="1" x14ac:dyDescent="0.3">
      <c r="A2" s="972" t="str">
        <f>HYPERLINK("#'M-INDEX'!A1","⌂ INDICE")</f>
        <v>⌂ INDICE</v>
      </c>
      <c r="B2" s="760" t="str">
        <f>HYPERLINK("#'M1-ITME'!A1","M1")</f>
        <v>M1</v>
      </c>
      <c r="C2" s="760" t="str">
        <f>HYPERLINK("#'M2-PDOT'!A1","M2")</f>
        <v>M2</v>
      </c>
      <c r="D2" s="760" t="str">
        <f>HYPERLINK("#'M3-MAO'!A1","M3")</f>
        <v>M3</v>
      </c>
      <c r="E2" s="760" t="str">
        <f>HYPERLINK("#'M4-AUDIT'!A1","M4")</f>
        <v>M4</v>
      </c>
      <c r="F2" s="760" t="str">
        <f>HYPERLINK("#'M5-ICPI'!A1","M5")</f>
        <v>M5</v>
      </c>
      <c r="G2" s="760" t="str">
        <f>HYPERLINK("#'M6-FEDS'!A1","M6")</f>
        <v>M6</v>
      </c>
      <c r="H2" s="760" t="str">
        <f>HYPERLINK("#'M7-PROSP'!A1","M7")</f>
        <v>M7</v>
      </c>
      <c r="I2" s="760" t="str">
        <f>HYPERLINK("#'DATA-POA'!A1","DATA-POA")</f>
        <v>DATA-POA</v>
      </c>
      <c r="J2" s="760" t="str">
        <f>HYPERLINK("#'DATA-CNE'!A1","DATA-CNE")</f>
        <v>DATA-CNE</v>
      </c>
      <c r="K2" s="760" t="str">
        <f>HYPERLINK("#'DATA-ORG'!A1","DATA-ORG")</f>
        <v>DATA-ORG</v>
      </c>
      <c r="L2" s="760" t="str">
        <f>HYPERLINK("#'M-DASHBOARD'!A1","DASH")</f>
        <v>DASH</v>
      </c>
      <c r="M2" s="969"/>
      <c r="N2" s="969"/>
      <c r="O2" s="969"/>
      <c r="P2" s="969"/>
      <c r="Q2" s="969"/>
      <c r="R2" s="969"/>
      <c r="S2" s="969"/>
      <c r="T2" s="969"/>
      <c r="U2" s="969"/>
      <c r="V2" s="969"/>
      <c r="W2" s="969"/>
      <c r="X2" s="969"/>
      <c r="Y2" s="969"/>
      <c r="Z2" s="969"/>
    </row>
    <row r="3" spans="1:26" ht="16.05" customHeight="1" thickBot="1" x14ac:dyDescent="0.35">
      <c r="A3" s="4111" t="s">
        <v>4254</v>
      </c>
      <c r="B3" s="4112"/>
      <c r="C3" s="4112"/>
      <c r="D3" s="4112"/>
      <c r="E3" s="4112"/>
      <c r="F3" s="4112"/>
      <c r="G3" s="4113"/>
      <c r="H3" s="4113"/>
      <c r="I3" s="4113"/>
      <c r="J3" s="4113"/>
      <c r="K3" s="4113"/>
      <c r="L3" s="4113"/>
      <c r="M3" s="4114"/>
      <c r="N3" s="4114"/>
      <c r="O3" s="4114"/>
      <c r="P3" s="4114"/>
      <c r="Q3" s="4114"/>
      <c r="R3" s="4114"/>
      <c r="S3" s="4114"/>
      <c r="T3" s="4114"/>
      <c r="U3" s="4114"/>
      <c r="V3" s="4114"/>
      <c r="W3" s="4114"/>
      <c r="X3" s="4114"/>
      <c r="Y3" s="4114"/>
      <c r="Z3" s="4114"/>
    </row>
    <row r="4" spans="1:26" ht="22.05" customHeight="1" thickTop="1" x14ac:dyDescent="0.3">
      <c r="A4" s="4105" t="s">
        <v>4505</v>
      </c>
      <c r="B4" s="4106"/>
      <c r="C4" s="4106"/>
      <c r="D4" s="4106"/>
      <c r="E4" s="4106"/>
      <c r="F4" s="4107"/>
      <c r="G4" s="1024"/>
      <c r="H4" s="1078" t="s">
        <v>5031</v>
      </c>
      <c r="I4" s="1006"/>
      <c r="J4" s="1006"/>
      <c r="K4" s="1006"/>
      <c r="L4" s="1006"/>
      <c r="M4" s="77"/>
      <c r="N4" s="77"/>
      <c r="O4" s="77"/>
      <c r="P4" s="77"/>
      <c r="Q4" s="77"/>
      <c r="R4" s="77"/>
      <c r="S4" s="77"/>
      <c r="T4" s="77"/>
      <c r="U4" s="77"/>
      <c r="V4" s="77"/>
      <c r="W4" s="77"/>
      <c r="X4" s="77"/>
      <c r="Y4" s="77"/>
      <c r="Z4" s="78"/>
    </row>
    <row r="5" spans="1:26" ht="19.95" customHeight="1" x14ac:dyDescent="0.3">
      <c r="A5" s="1027" t="s">
        <v>4461</v>
      </c>
      <c r="B5" s="1028" t="s">
        <v>100</v>
      </c>
      <c r="C5" s="1028" t="s">
        <v>4506</v>
      </c>
      <c r="D5" s="1028" t="s">
        <v>4507</v>
      </c>
      <c r="E5" s="1028" t="s">
        <v>4508</v>
      </c>
      <c r="F5" s="1029" t="s">
        <v>4509</v>
      </c>
      <c r="G5" s="1025"/>
      <c r="H5" s="1079" t="s">
        <v>5032</v>
      </c>
      <c r="I5" s="1020"/>
      <c r="J5" s="1020"/>
      <c r="K5" s="1020"/>
      <c r="L5" s="1020"/>
      <c r="M5" s="1010"/>
      <c r="N5" s="1010"/>
      <c r="O5" s="1010"/>
      <c r="P5" s="1010"/>
      <c r="Q5" s="1010"/>
      <c r="R5" s="1010"/>
      <c r="S5" s="1010"/>
      <c r="T5" s="1010"/>
      <c r="U5" s="1010"/>
      <c r="V5" s="1010"/>
      <c r="W5" s="1010"/>
      <c r="X5" s="1010"/>
      <c r="Y5" s="1010"/>
      <c r="Z5" s="1011"/>
    </row>
    <row r="6" spans="1:26" ht="37.950000000000003" customHeight="1" x14ac:dyDescent="0.3">
      <c r="A6" s="1030" t="s">
        <v>694</v>
      </c>
      <c r="B6" s="1031" t="s">
        <v>4510</v>
      </c>
      <c r="C6" s="1031" t="s">
        <v>4511</v>
      </c>
      <c r="D6" s="1031" t="s">
        <v>4512</v>
      </c>
      <c r="E6" s="1031" t="s">
        <v>4513</v>
      </c>
      <c r="F6" s="1032" t="s">
        <v>4514</v>
      </c>
      <c r="G6" s="1026"/>
      <c r="H6" s="1080" t="s">
        <v>5033</v>
      </c>
      <c r="I6" s="1021"/>
      <c r="J6" s="1021"/>
      <c r="K6" s="1021"/>
      <c r="L6" s="1021"/>
      <c r="M6" s="1012"/>
      <c r="N6" s="1012"/>
      <c r="O6" s="1012"/>
      <c r="P6" s="1012"/>
      <c r="Q6" s="1012"/>
      <c r="R6" s="1012"/>
      <c r="S6" s="1012"/>
      <c r="T6" s="1012"/>
      <c r="U6" s="1012"/>
      <c r="V6" s="1012"/>
      <c r="W6" s="1012"/>
      <c r="X6" s="1012"/>
      <c r="Y6" s="1012"/>
      <c r="Z6" s="1013"/>
    </row>
    <row r="7" spans="1:26" ht="37.950000000000003" customHeight="1" x14ac:dyDescent="0.3">
      <c r="A7" s="1033" t="s">
        <v>695</v>
      </c>
      <c r="B7" s="1034" t="s">
        <v>4515</v>
      </c>
      <c r="C7" s="1034" t="s">
        <v>4516</v>
      </c>
      <c r="D7" s="1034" t="s">
        <v>4517</v>
      </c>
      <c r="E7" s="1034" t="s">
        <v>4518</v>
      </c>
      <c r="F7" s="1035" t="s">
        <v>4519</v>
      </c>
      <c r="G7" s="1026"/>
      <c r="H7" s="1081" t="s">
        <v>5034</v>
      </c>
      <c r="I7" s="1021"/>
      <c r="J7" s="1021"/>
      <c r="K7" s="1021"/>
      <c r="L7" s="1021"/>
      <c r="M7" s="1012"/>
      <c r="N7" s="1012"/>
      <c r="O7" s="1012"/>
      <c r="P7" s="1012"/>
      <c r="Q7" s="1012"/>
      <c r="R7" s="1012"/>
      <c r="S7" s="1012"/>
      <c r="T7" s="1012"/>
      <c r="U7" s="1012"/>
      <c r="V7" s="1012"/>
      <c r="W7" s="1012"/>
      <c r="X7" s="1012"/>
      <c r="Y7" s="1012"/>
      <c r="Z7" s="1013"/>
    </row>
    <row r="8" spans="1:26" ht="37.950000000000003" customHeight="1" x14ac:dyDescent="0.3">
      <c r="A8" s="1036" t="s">
        <v>696</v>
      </c>
      <c r="B8" s="1037" t="s">
        <v>4520</v>
      </c>
      <c r="C8" s="1037" t="s">
        <v>4521</v>
      </c>
      <c r="D8" s="1037" t="s">
        <v>4522</v>
      </c>
      <c r="E8" s="1037" t="s">
        <v>4523</v>
      </c>
      <c r="F8" s="1038" t="s">
        <v>4524</v>
      </c>
      <c r="G8" s="1026"/>
      <c r="H8" s="1080" t="s">
        <v>5035</v>
      </c>
      <c r="I8" s="1021"/>
      <c r="J8" s="1021"/>
      <c r="K8" s="1021"/>
      <c r="L8" s="1021"/>
      <c r="M8" s="1012"/>
      <c r="N8" s="1012"/>
      <c r="O8" s="1012"/>
      <c r="P8" s="1012"/>
      <c r="Q8" s="1012"/>
      <c r="R8" s="1012"/>
      <c r="S8" s="1012"/>
      <c r="T8" s="1012"/>
      <c r="U8" s="1012"/>
      <c r="V8" s="1012"/>
      <c r="W8" s="1012"/>
      <c r="X8" s="1012"/>
      <c r="Y8" s="1012"/>
      <c r="Z8" s="1013"/>
    </row>
    <row r="9" spans="1:26" ht="37.950000000000003" customHeight="1" x14ac:dyDescent="0.3">
      <c r="A9" s="1033" t="s">
        <v>699</v>
      </c>
      <c r="B9" s="1034" t="s">
        <v>4525</v>
      </c>
      <c r="C9" s="1034" t="s">
        <v>4526</v>
      </c>
      <c r="D9" s="1034" t="s">
        <v>4527</v>
      </c>
      <c r="E9" s="1034" t="s">
        <v>4528</v>
      </c>
      <c r="F9" s="1035" t="s">
        <v>4529</v>
      </c>
      <c r="G9" s="1026"/>
      <c r="H9" s="1082" t="s">
        <v>5036</v>
      </c>
      <c r="I9" s="1021"/>
      <c r="J9" s="1021"/>
      <c r="K9" s="1021"/>
      <c r="L9" s="1021"/>
      <c r="M9" s="1012"/>
      <c r="N9" s="1012"/>
      <c r="O9" s="1012"/>
      <c r="P9" s="1012"/>
      <c r="Q9" s="1012"/>
      <c r="R9" s="1012"/>
      <c r="S9" s="1012"/>
      <c r="T9" s="1012"/>
      <c r="U9" s="1012"/>
      <c r="V9" s="1012"/>
      <c r="W9" s="1012"/>
      <c r="X9" s="1012"/>
      <c r="Y9" s="1012"/>
      <c r="Z9" s="1013"/>
    </row>
    <row r="10" spans="1:26" ht="37.950000000000003" customHeight="1" x14ac:dyDescent="0.3">
      <c r="A10" s="1039" t="s">
        <v>697</v>
      </c>
      <c r="B10" s="1040" t="s">
        <v>4530</v>
      </c>
      <c r="C10" s="1040" t="s">
        <v>4531</v>
      </c>
      <c r="D10" s="1040" t="s">
        <v>4532</v>
      </c>
      <c r="E10" s="1040" t="s">
        <v>4533</v>
      </c>
      <c r="F10" s="1041" t="s">
        <v>4534</v>
      </c>
      <c r="G10" s="1026"/>
      <c r="H10" s="1080" t="s">
        <v>5037</v>
      </c>
      <c r="I10" s="1021"/>
      <c r="J10" s="1021"/>
      <c r="K10" s="1021"/>
      <c r="L10" s="1021"/>
      <c r="M10" s="1012"/>
      <c r="N10" s="1012"/>
      <c r="O10" s="1012"/>
      <c r="P10" s="1012"/>
      <c r="Q10" s="1012"/>
      <c r="R10" s="1012"/>
      <c r="S10" s="1012"/>
      <c r="T10" s="1012"/>
      <c r="U10" s="1012"/>
      <c r="V10" s="1012"/>
      <c r="W10" s="1012"/>
      <c r="X10" s="1012"/>
      <c r="Y10" s="1012"/>
      <c r="Z10" s="1013"/>
    </row>
    <row r="11" spans="1:26" ht="37.950000000000003" customHeight="1" thickBot="1" x14ac:dyDescent="0.35">
      <c r="A11" s="1042" t="s">
        <v>698</v>
      </c>
      <c r="B11" s="1043" t="s">
        <v>4535</v>
      </c>
      <c r="C11" s="1043" t="s">
        <v>4536</v>
      </c>
      <c r="D11" s="1043" t="s">
        <v>4537</v>
      </c>
      <c r="E11" s="1043" t="s">
        <v>4538</v>
      </c>
      <c r="F11" s="1044" t="s">
        <v>4539</v>
      </c>
      <c r="G11" s="1026"/>
      <c r="H11" s="1021"/>
      <c r="I11" s="1021"/>
      <c r="J11" s="1021"/>
      <c r="K11" s="1021"/>
      <c r="L11" s="1021"/>
      <c r="M11" s="1012"/>
      <c r="N11" s="1012"/>
      <c r="O11" s="1012"/>
      <c r="P11" s="1012"/>
      <c r="Q11" s="1012"/>
      <c r="R11" s="1012"/>
      <c r="S11" s="1012"/>
      <c r="T11" s="1012"/>
      <c r="U11" s="1012"/>
      <c r="V11" s="1012"/>
      <c r="W11" s="1012"/>
      <c r="X11" s="1012"/>
      <c r="Y11" s="1012"/>
      <c r="Z11" s="1013"/>
    </row>
    <row r="12" spans="1:26" ht="6" customHeight="1" thickBot="1" x14ac:dyDescent="0.35">
      <c r="A12" s="902"/>
      <c r="B12" s="1018"/>
      <c r="C12" s="1018"/>
      <c r="D12" s="1018"/>
      <c r="E12" s="1018"/>
      <c r="F12" s="1018"/>
      <c r="G12" s="1021"/>
      <c r="H12" s="1021"/>
      <c r="I12" s="1021"/>
      <c r="J12" s="1021"/>
      <c r="K12" s="1021"/>
      <c r="L12" s="1021"/>
      <c r="M12" s="1012"/>
      <c r="N12" s="1012"/>
      <c r="O12" s="1012"/>
      <c r="P12" s="1012"/>
      <c r="Q12" s="1012"/>
      <c r="R12" s="1012"/>
      <c r="S12" s="1012"/>
      <c r="T12" s="1012"/>
      <c r="U12" s="1012"/>
      <c r="V12" s="1012"/>
      <c r="W12" s="1012"/>
      <c r="X12" s="1012"/>
      <c r="Y12" s="1012"/>
      <c r="Z12" s="1013"/>
    </row>
    <row r="13" spans="1:26" ht="22.05" customHeight="1" x14ac:dyDescent="0.3">
      <c r="A13" s="4108" t="s">
        <v>4540</v>
      </c>
      <c r="B13" s="4109"/>
      <c r="C13" s="4109"/>
      <c r="D13" s="4109"/>
      <c r="E13" s="4109"/>
      <c r="F13" s="4110"/>
      <c r="G13" s="1026"/>
      <c r="H13" s="1021"/>
      <c r="I13" s="1021"/>
      <c r="J13" s="1021"/>
      <c r="K13" s="1021"/>
      <c r="L13" s="1021"/>
      <c r="M13" s="1012"/>
      <c r="N13" s="1012"/>
      <c r="O13" s="1012"/>
      <c r="P13" s="1012"/>
      <c r="Q13" s="1012"/>
      <c r="R13" s="1012"/>
      <c r="S13" s="1012"/>
      <c r="T13" s="1012"/>
      <c r="U13" s="1012"/>
      <c r="V13" s="1012"/>
      <c r="W13" s="1012"/>
      <c r="X13" s="1012"/>
      <c r="Y13" s="1012"/>
      <c r="Z13" s="1013"/>
    </row>
    <row r="14" spans="1:26" ht="25.95" customHeight="1" x14ac:dyDescent="0.3">
      <c r="A14" s="4102" t="s">
        <v>5038</v>
      </c>
      <c r="B14" s="4103"/>
      <c r="C14" s="4103"/>
      <c r="D14" s="4103"/>
      <c r="E14" s="4103"/>
      <c r="F14" s="4104"/>
      <c r="G14" s="1026"/>
      <c r="H14" s="1021"/>
      <c r="I14" s="1021"/>
      <c r="J14" s="1021"/>
      <c r="K14" s="1021"/>
      <c r="L14" s="1021"/>
      <c r="M14" s="1012"/>
      <c r="N14" s="1012"/>
      <c r="O14" s="1012"/>
      <c r="P14" s="1012"/>
      <c r="Q14" s="1012"/>
      <c r="R14" s="1012"/>
      <c r="S14" s="1012"/>
      <c r="T14" s="1012"/>
      <c r="U14" s="1012"/>
      <c r="V14" s="1012"/>
      <c r="W14" s="1012"/>
      <c r="X14" s="1012"/>
      <c r="Y14" s="1012"/>
      <c r="Z14" s="1013"/>
    </row>
    <row r="15" spans="1:26" ht="22.05" customHeight="1" x14ac:dyDescent="0.3">
      <c r="A15" s="1045" t="s">
        <v>4466</v>
      </c>
      <c r="B15" s="1046" t="s">
        <v>4541</v>
      </c>
      <c r="C15" s="1046"/>
      <c r="D15" s="1046"/>
      <c r="E15" s="1046"/>
      <c r="F15" s="1047"/>
      <c r="G15" s="1026"/>
      <c r="H15" s="1021"/>
      <c r="I15" s="1021"/>
      <c r="J15" s="1021"/>
      <c r="K15" s="1021"/>
      <c r="L15" s="1021"/>
      <c r="M15" s="1012"/>
      <c r="N15" s="1012"/>
      <c r="O15" s="1012"/>
      <c r="P15" s="1012"/>
      <c r="Q15" s="1012"/>
      <c r="R15" s="1012"/>
      <c r="S15" s="1012"/>
      <c r="T15" s="1012"/>
      <c r="U15" s="1012"/>
      <c r="V15" s="1012"/>
      <c r="W15" s="1012"/>
      <c r="X15" s="1012"/>
      <c r="Y15" s="1012"/>
      <c r="Z15" s="1013"/>
    </row>
    <row r="16" spans="1:26" ht="22.05" customHeight="1" x14ac:dyDescent="0.3">
      <c r="A16" s="1048" t="s">
        <v>4468</v>
      </c>
      <c r="B16" s="1049" t="s">
        <v>4542</v>
      </c>
      <c r="C16" s="1049"/>
      <c r="D16" s="1049"/>
      <c r="E16" s="1049"/>
      <c r="F16" s="1050"/>
      <c r="G16" s="1026"/>
      <c r="H16" s="1021"/>
      <c r="I16" s="1021"/>
      <c r="J16" s="1021"/>
      <c r="K16" s="1021"/>
      <c r="L16" s="1021"/>
      <c r="M16" s="1012"/>
      <c r="N16" s="1012"/>
      <c r="O16" s="1012"/>
      <c r="P16" s="1012"/>
      <c r="Q16" s="1012"/>
      <c r="R16" s="1012"/>
      <c r="S16" s="1012"/>
      <c r="T16" s="1012"/>
      <c r="U16" s="1012"/>
      <c r="V16" s="1012"/>
      <c r="W16" s="1012"/>
      <c r="X16" s="1012"/>
      <c r="Y16" s="1012"/>
      <c r="Z16" s="1013"/>
    </row>
    <row r="17" spans="1:26" ht="22.05" customHeight="1" x14ac:dyDescent="0.3">
      <c r="A17" s="1051" t="s">
        <v>4543</v>
      </c>
      <c r="B17" s="1052" t="s">
        <v>4544</v>
      </c>
      <c r="C17" s="1052"/>
      <c r="D17" s="1052"/>
      <c r="E17" s="1052"/>
      <c r="F17" s="1053"/>
      <c r="G17" s="1026"/>
      <c r="H17" s="1021"/>
      <c r="I17" s="1021"/>
      <c r="J17" s="1021"/>
      <c r="K17" s="1021"/>
      <c r="L17" s="1021"/>
      <c r="M17" s="1012"/>
      <c r="N17" s="1012"/>
      <c r="O17" s="1012"/>
      <c r="P17" s="1012"/>
      <c r="Q17" s="1012"/>
      <c r="R17" s="1012"/>
      <c r="S17" s="1012"/>
      <c r="T17" s="1012"/>
      <c r="U17" s="1012"/>
      <c r="V17" s="1012"/>
      <c r="W17" s="1012"/>
      <c r="X17" s="1012"/>
      <c r="Y17" s="1012"/>
      <c r="Z17" s="1013"/>
    </row>
    <row r="18" spans="1:26" ht="22.05" customHeight="1" thickBot="1" x14ac:dyDescent="0.35">
      <c r="A18" s="1054" t="s">
        <v>4545</v>
      </c>
      <c r="B18" s="1055" t="s">
        <v>4546</v>
      </c>
      <c r="C18" s="1055"/>
      <c r="D18" s="1055"/>
      <c r="E18" s="1055"/>
      <c r="F18" s="1056"/>
      <c r="G18" s="1026"/>
      <c r="H18" s="1021"/>
      <c r="I18" s="1021"/>
      <c r="J18" s="1021"/>
      <c r="K18" s="1021"/>
      <c r="L18" s="1021"/>
      <c r="M18" s="1012"/>
      <c r="N18" s="1012"/>
      <c r="O18" s="1012"/>
      <c r="P18" s="1012"/>
      <c r="Q18" s="1012"/>
      <c r="R18" s="1012"/>
      <c r="S18" s="1012"/>
      <c r="T18" s="1012"/>
      <c r="U18" s="1012"/>
      <c r="V18" s="1012"/>
      <c r="W18" s="1012"/>
      <c r="X18" s="1012"/>
      <c r="Y18" s="1012"/>
      <c r="Z18" s="1013"/>
    </row>
    <row r="19" spans="1:26" ht="6" customHeight="1" thickBot="1" x14ac:dyDescent="0.35">
      <c r="A19" s="902"/>
      <c r="B19" s="902"/>
      <c r="C19" s="902"/>
      <c r="D19" s="902"/>
      <c r="E19" s="902"/>
      <c r="F19" s="902"/>
      <c r="G19" s="1022"/>
      <c r="H19" s="1022"/>
      <c r="I19" s="1022"/>
      <c r="J19" s="1022"/>
      <c r="K19" s="1022"/>
      <c r="L19" s="1022"/>
      <c r="M19" s="1014"/>
      <c r="N19" s="1014"/>
      <c r="O19" s="1014"/>
      <c r="P19" s="1014"/>
      <c r="Q19" s="1014"/>
      <c r="R19" s="1014"/>
      <c r="S19" s="1014"/>
      <c r="T19" s="1014"/>
      <c r="U19" s="1014"/>
      <c r="V19" s="1014"/>
      <c r="W19" s="1014"/>
      <c r="X19" s="1014"/>
      <c r="Y19" s="1014"/>
      <c r="Z19" s="1015"/>
    </row>
    <row r="20" spans="1:26" ht="22.05" customHeight="1" x14ac:dyDescent="0.3">
      <c r="A20" s="1057" t="s">
        <v>4953</v>
      </c>
      <c r="B20" s="1058"/>
      <c r="C20" s="1058"/>
      <c r="D20" s="1058"/>
      <c r="E20" s="1059"/>
      <c r="F20" s="1019"/>
      <c r="G20" s="1023"/>
      <c r="H20" s="1023"/>
      <c r="I20" s="1023"/>
      <c r="J20" s="1023"/>
      <c r="K20" s="1023"/>
      <c r="L20" s="1023"/>
      <c r="M20" s="1014"/>
      <c r="N20" s="1014"/>
      <c r="O20" s="1014"/>
      <c r="P20" s="1014"/>
      <c r="Q20" s="1014"/>
      <c r="R20" s="1014"/>
      <c r="S20" s="1014"/>
      <c r="T20" s="1014"/>
      <c r="U20" s="1014"/>
      <c r="V20" s="1014"/>
      <c r="W20" s="1014"/>
      <c r="X20" s="1014"/>
      <c r="Y20" s="1014"/>
      <c r="Z20" s="1015"/>
    </row>
    <row r="21" spans="1:26" ht="19.95" customHeight="1" x14ac:dyDescent="0.3">
      <c r="A21" s="951" t="s">
        <v>119</v>
      </c>
      <c r="B21" s="952" t="s">
        <v>5</v>
      </c>
      <c r="C21" s="952" t="s">
        <v>122</v>
      </c>
      <c r="D21" s="952" t="s">
        <v>4485</v>
      </c>
      <c r="E21" s="953" t="s">
        <v>4954</v>
      </c>
      <c r="F21" s="43"/>
      <c r="G21" s="1022"/>
      <c r="H21" s="1022"/>
      <c r="I21" s="1022"/>
      <c r="J21" s="1022"/>
      <c r="K21" s="1022"/>
      <c r="L21" s="1022"/>
      <c r="M21" s="1014"/>
      <c r="N21" s="1014"/>
      <c r="O21" s="1014"/>
      <c r="P21" s="1014"/>
      <c r="Q21" s="1014"/>
      <c r="R21" s="1014"/>
      <c r="S21" s="1014"/>
      <c r="T21" s="1014"/>
      <c r="U21" s="1014"/>
      <c r="V21" s="1014"/>
      <c r="W21" s="1014"/>
      <c r="X21" s="1014"/>
      <c r="Y21" s="1014"/>
      <c r="Z21" s="1015"/>
    </row>
    <row r="22" spans="1:26" ht="24" customHeight="1" x14ac:dyDescent="0.3">
      <c r="A22" s="1060" t="s">
        <v>4955</v>
      </c>
      <c r="B22" s="1061">
        <v>3</v>
      </c>
      <c r="C22" s="1062" t="s">
        <v>4956</v>
      </c>
      <c r="D22" s="1063" t="s">
        <v>4957</v>
      </c>
      <c r="E22" s="1064" t="s">
        <v>4958</v>
      </c>
      <c r="F22" s="43"/>
      <c r="G22" s="1022"/>
      <c r="H22" s="1022"/>
      <c r="I22" s="1022"/>
      <c r="J22" s="1022"/>
      <c r="K22" s="1022"/>
      <c r="L22" s="1022"/>
      <c r="M22" s="1014"/>
      <c r="N22" s="1014"/>
      <c r="O22" s="1014"/>
      <c r="P22" s="1014"/>
      <c r="Q22" s="1014"/>
      <c r="R22" s="1014"/>
      <c r="S22" s="1014"/>
      <c r="T22" s="1014"/>
      <c r="U22" s="1014"/>
      <c r="V22" s="1014"/>
      <c r="W22" s="1014"/>
      <c r="X22" s="1014"/>
      <c r="Y22" s="1014"/>
      <c r="Z22" s="1015"/>
    </row>
    <row r="23" spans="1:26" ht="24" customHeight="1" x14ac:dyDescent="0.3">
      <c r="A23" s="1065" t="s">
        <v>4959</v>
      </c>
      <c r="B23" s="1066">
        <v>1</v>
      </c>
      <c r="C23" s="1067" t="s">
        <v>4960</v>
      </c>
      <c r="D23" s="1068" t="s">
        <v>4961</v>
      </c>
      <c r="E23" s="1069" t="s">
        <v>4962</v>
      </c>
      <c r="F23" s="43"/>
      <c r="G23" s="1022"/>
      <c r="H23" s="1022"/>
      <c r="I23" s="1022"/>
      <c r="J23" s="1022"/>
      <c r="K23" s="1022"/>
      <c r="L23" s="1022"/>
      <c r="M23" s="1014"/>
      <c r="N23" s="1014"/>
      <c r="O23" s="1014"/>
      <c r="P23" s="1014"/>
      <c r="Q23" s="1014"/>
      <c r="R23" s="1014"/>
      <c r="S23" s="1014"/>
      <c r="T23" s="1014"/>
      <c r="U23" s="1014"/>
      <c r="V23" s="1014"/>
      <c r="W23" s="1014"/>
      <c r="X23" s="1014"/>
      <c r="Y23" s="1014"/>
      <c r="Z23" s="1015"/>
    </row>
    <row r="24" spans="1:26" ht="24" customHeight="1" x14ac:dyDescent="0.3">
      <c r="A24" s="1065" t="s">
        <v>4963</v>
      </c>
      <c r="B24" s="1066">
        <v>1</v>
      </c>
      <c r="C24" s="1067" t="s">
        <v>4964</v>
      </c>
      <c r="D24" s="1068" t="s">
        <v>4961</v>
      </c>
      <c r="E24" s="1069" t="s">
        <v>4965</v>
      </c>
      <c r="F24" s="43"/>
      <c r="G24" s="1022"/>
      <c r="H24" s="1022"/>
      <c r="I24" s="1022"/>
      <c r="J24" s="1022"/>
      <c r="K24" s="1022"/>
      <c r="L24" s="1022"/>
      <c r="M24" s="1014"/>
      <c r="N24" s="1014"/>
      <c r="O24" s="1014"/>
      <c r="P24" s="1014"/>
      <c r="Q24" s="1014"/>
      <c r="R24" s="1014"/>
      <c r="S24" s="1014"/>
      <c r="T24" s="1014"/>
      <c r="U24" s="1014"/>
      <c r="V24" s="1014"/>
      <c r="W24" s="1014"/>
      <c r="X24" s="1014"/>
      <c r="Y24" s="1014"/>
      <c r="Z24" s="1015"/>
    </row>
    <row r="25" spans="1:26" ht="24" customHeight="1" thickBot="1" x14ac:dyDescent="0.35">
      <c r="A25" s="1070" t="s">
        <v>4966</v>
      </c>
      <c r="B25" s="1071">
        <f>'M5-ICPI'!G29/100</f>
        <v>0.38276612249694109</v>
      </c>
      <c r="C25" s="1072" t="s">
        <v>4967</v>
      </c>
      <c r="D25" s="1073" t="s">
        <v>4968</v>
      </c>
      <c r="E25" s="1074" t="s">
        <v>4969</v>
      </c>
      <c r="F25" s="43"/>
      <c r="G25" s="1022"/>
      <c r="H25" s="1022"/>
      <c r="I25" s="1022"/>
      <c r="J25" s="1022"/>
      <c r="K25" s="1022"/>
      <c r="L25" s="1022"/>
      <c r="M25" s="1014"/>
      <c r="N25" s="1014"/>
      <c r="O25" s="1014"/>
      <c r="P25" s="1014"/>
      <c r="Q25" s="1014"/>
      <c r="R25" s="1014"/>
      <c r="S25" s="1014"/>
      <c r="T25" s="1014"/>
      <c r="U25" s="1014"/>
      <c r="V25" s="1014"/>
      <c r="W25" s="1014"/>
      <c r="X25" s="1014"/>
      <c r="Y25" s="1014"/>
      <c r="Z25" s="1015"/>
    </row>
    <row r="26" spans="1:26" ht="4.05" customHeight="1" x14ac:dyDescent="0.3">
      <c r="A26" s="1075"/>
      <c r="B26" s="1075"/>
      <c r="C26" s="1075"/>
      <c r="D26" s="1075"/>
      <c r="E26" s="1075"/>
      <c r="F26" s="1075"/>
      <c r="G26" s="1076"/>
      <c r="H26" s="1076"/>
      <c r="I26" s="1076"/>
      <c r="J26" s="1076"/>
      <c r="K26" s="1076"/>
      <c r="L26" s="1076"/>
      <c r="M26" s="1014"/>
      <c r="N26" s="1014"/>
      <c r="O26" s="1014"/>
      <c r="P26" s="1014"/>
      <c r="Q26" s="1014"/>
      <c r="R26" s="1014"/>
      <c r="S26" s="1014"/>
      <c r="T26" s="1014"/>
      <c r="U26" s="1014"/>
      <c r="V26" s="1014"/>
      <c r="W26" s="1014"/>
      <c r="X26" s="1014"/>
      <c r="Y26" s="1014"/>
      <c r="Z26" s="1015"/>
    </row>
    <row r="27" spans="1:26" ht="4.05" customHeight="1" x14ac:dyDescent="0.3">
      <c r="A27" s="1075"/>
      <c r="B27" s="1075"/>
      <c r="C27" s="1075"/>
      <c r="D27" s="1075"/>
      <c r="E27" s="1075"/>
      <c r="F27" s="1075"/>
      <c r="G27" s="1076"/>
      <c r="H27" s="1076"/>
      <c r="I27" s="1076"/>
      <c r="J27" s="1076"/>
      <c r="K27" s="1076"/>
      <c r="L27" s="1076"/>
      <c r="M27" s="1014"/>
      <c r="N27" s="1014"/>
      <c r="O27" s="1014"/>
      <c r="P27" s="1014"/>
      <c r="Q27" s="1014"/>
      <c r="R27" s="1014"/>
      <c r="S27" s="1014"/>
      <c r="T27" s="1014"/>
      <c r="U27" s="1014"/>
      <c r="V27" s="1014"/>
      <c r="W27" s="1014"/>
      <c r="X27" s="1014"/>
      <c r="Y27" s="1014"/>
      <c r="Z27" s="1015"/>
    </row>
    <row r="28" spans="1:26" ht="4.05" customHeight="1" x14ac:dyDescent="0.3">
      <c r="A28" s="1075"/>
      <c r="B28" s="1075"/>
      <c r="C28" s="1075"/>
      <c r="D28" s="1075"/>
      <c r="E28" s="1075"/>
      <c r="F28" s="1075"/>
      <c r="G28" s="1076"/>
      <c r="H28" s="1076"/>
      <c r="I28" s="1076"/>
      <c r="J28" s="1076"/>
      <c r="K28" s="1076"/>
      <c r="L28" s="1076"/>
      <c r="M28" s="1014"/>
      <c r="N28" s="1014"/>
      <c r="O28" s="1014"/>
      <c r="P28" s="1014"/>
      <c r="Q28" s="1014"/>
      <c r="R28" s="1014"/>
      <c r="S28" s="1014"/>
      <c r="T28" s="1014"/>
      <c r="U28" s="1014"/>
      <c r="V28" s="1014"/>
      <c r="W28" s="1014"/>
      <c r="X28" s="1014"/>
      <c r="Y28" s="1014"/>
      <c r="Z28" s="1015"/>
    </row>
    <row r="29" spans="1:26" ht="4.05" customHeight="1" x14ac:dyDescent="0.3">
      <c r="A29" s="1075"/>
      <c r="B29" s="1075"/>
      <c r="C29" s="1075"/>
      <c r="D29" s="1075"/>
      <c r="E29" s="1075"/>
      <c r="F29" s="1075"/>
      <c r="G29" s="1076"/>
      <c r="H29" s="1076"/>
      <c r="I29" s="1076"/>
      <c r="J29" s="1076"/>
      <c r="K29" s="1076"/>
      <c r="L29" s="1076"/>
      <c r="M29" s="1014"/>
      <c r="N29" s="1014"/>
      <c r="O29" s="1014"/>
      <c r="P29" s="1014"/>
      <c r="Q29" s="1014"/>
      <c r="R29" s="1014"/>
      <c r="S29" s="1014"/>
      <c r="T29" s="1014"/>
      <c r="U29" s="1014"/>
      <c r="V29" s="1014"/>
      <c r="W29" s="1014"/>
      <c r="X29" s="1014"/>
      <c r="Y29" s="1014"/>
      <c r="Z29" s="1015"/>
    </row>
    <row r="30" spans="1:26" ht="4.05" customHeight="1" x14ac:dyDescent="0.3">
      <c r="A30" s="1075"/>
      <c r="B30" s="1075"/>
      <c r="C30" s="1075"/>
      <c r="D30" s="1075"/>
      <c r="E30" s="1075"/>
      <c r="F30" s="1075"/>
      <c r="G30" s="1076"/>
      <c r="H30" s="1076"/>
      <c r="I30" s="1076"/>
      <c r="J30" s="1076"/>
      <c r="K30" s="1076"/>
      <c r="L30" s="1076"/>
      <c r="M30" s="1014"/>
      <c r="N30" s="1014"/>
      <c r="O30" s="1014"/>
      <c r="P30" s="1014"/>
      <c r="Q30" s="1014"/>
      <c r="R30" s="1014"/>
      <c r="S30" s="1014"/>
      <c r="T30" s="1014"/>
      <c r="U30" s="1014"/>
      <c r="V30" s="1014"/>
      <c r="W30" s="1014"/>
      <c r="X30" s="1014"/>
      <c r="Y30" s="1014"/>
      <c r="Z30" s="1015"/>
    </row>
    <row r="31" spans="1:26" ht="4.05" customHeight="1" x14ac:dyDescent="0.3">
      <c r="A31" s="1075"/>
      <c r="B31" s="1075"/>
      <c r="C31" s="1075"/>
      <c r="D31" s="1075"/>
      <c r="E31" s="1075"/>
      <c r="F31" s="1075"/>
      <c r="G31" s="1076"/>
      <c r="H31" s="1076"/>
      <c r="I31" s="1076"/>
      <c r="J31" s="1076"/>
      <c r="K31" s="1076"/>
      <c r="L31" s="1076"/>
      <c r="M31" s="1014"/>
      <c r="N31" s="1014"/>
      <c r="O31" s="1014"/>
      <c r="P31" s="1014"/>
      <c r="Q31" s="1014"/>
      <c r="R31" s="1014"/>
      <c r="S31" s="1014"/>
      <c r="T31" s="1014"/>
      <c r="U31" s="1014"/>
      <c r="V31" s="1014"/>
      <c r="W31" s="1014"/>
      <c r="X31" s="1014"/>
      <c r="Y31" s="1014"/>
      <c r="Z31" s="1015"/>
    </row>
    <row r="32" spans="1:26" ht="4.05" customHeight="1" x14ac:dyDescent="0.3">
      <c r="A32" s="1075"/>
      <c r="B32" s="1075"/>
      <c r="C32" s="1075"/>
      <c r="D32" s="1075"/>
      <c r="E32" s="1075"/>
      <c r="F32" s="1075"/>
      <c r="G32" s="1076"/>
      <c r="H32" s="1076"/>
      <c r="I32" s="1076"/>
      <c r="J32" s="1076"/>
      <c r="K32" s="1076"/>
      <c r="L32" s="1076"/>
      <c r="M32" s="1014"/>
      <c r="N32" s="1014"/>
      <c r="O32" s="1014"/>
      <c r="P32" s="1014"/>
      <c r="Q32" s="1014"/>
      <c r="R32" s="1014"/>
      <c r="S32" s="1014"/>
      <c r="T32" s="1014"/>
      <c r="U32" s="1014"/>
      <c r="V32" s="1014"/>
      <c r="W32" s="1014"/>
      <c r="X32" s="1014"/>
      <c r="Y32" s="1014"/>
      <c r="Z32" s="1015"/>
    </row>
    <row r="33" spans="1:26" ht="4.05" customHeight="1" x14ac:dyDescent="0.3">
      <c r="A33" s="1075"/>
      <c r="B33" s="1075"/>
      <c r="C33" s="1075"/>
      <c r="D33" s="1075"/>
      <c r="E33" s="1075"/>
      <c r="F33" s="1075"/>
      <c r="G33" s="1077"/>
      <c r="H33" s="1077"/>
      <c r="I33" s="1077"/>
      <c r="J33" s="1077"/>
      <c r="K33" s="1077"/>
      <c r="L33" s="1077"/>
      <c r="M33" s="1016"/>
      <c r="N33" s="1016"/>
      <c r="O33" s="1016"/>
      <c r="P33" s="1016"/>
      <c r="Q33" s="1016"/>
      <c r="R33" s="1016"/>
      <c r="S33" s="1016"/>
      <c r="T33" s="1016"/>
      <c r="U33" s="1016"/>
      <c r="V33" s="1016"/>
      <c r="W33" s="1016"/>
      <c r="X33" s="1016"/>
      <c r="Y33" s="1016"/>
      <c r="Z33" s="1017"/>
    </row>
    <row r="34" spans="1:26" ht="4.05" customHeight="1" x14ac:dyDescent="0.3">
      <c r="A34" s="1005"/>
      <c r="B34" s="1005"/>
      <c r="C34" s="1005"/>
      <c r="D34" s="1005"/>
      <c r="E34" s="1005"/>
      <c r="F34" s="1005"/>
      <c r="G34" s="1005"/>
      <c r="H34" s="1005"/>
      <c r="I34" s="1005"/>
      <c r="J34" s="1005"/>
      <c r="K34" s="1005"/>
      <c r="L34" s="1005"/>
    </row>
    <row r="35" spans="1:26" ht="4.05" customHeight="1" x14ac:dyDescent="0.3">
      <c r="A35" s="1005"/>
      <c r="B35" s="1005"/>
      <c r="C35" s="1005"/>
      <c r="D35" s="1005"/>
      <c r="E35" s="1005"/>
      <c r="F35" s="1005"/>
      <c r="G35" s="1005"/>
      <c r="H35" s="1005"/>
      <c r="I35" s="1005"/>
      <c r="J35" s="1005"/>
      <c r="K35" s="1005"/>
      <c r="L35" s="1005"/>
    </row>
    <row r="36" spans="1:26" ht="4.05" customHeight="1" x14ac:dyDescent="0.3">
      <c r="A36" s="1005"/>
      <c r="B36" s="1005"/>
      <c r="C36" s="1005"/>
      <c r="D36" s="1005"/>
      <c r="E36" s="1005"/>
      <c r="F36" s="1005"/>
      <c r="G36" s="1005"/>
      <c r="H36" s="1005"/>
      <c r="I36" s="1005"/>
      <c r="J36" s="1005"/>
      <c r="K36" s="1005"/>
      <c r="L36" s="1005"/>
    </row>
    <row r="37" spans="1:26" ht="4.05" customHeight="1" x14ac:dyDescent="0.3">
      <c r="A37" s="1005"/>
      <c r="B37" s="1005"/>
      <c r="C37" s="1005"/>
      <c r="D37" s="1005"/>
      <c r="E37" s="1005"/>
      <c r="F37" s="1005"/>
      <c r="G37" s="1005"/>
      <c r="H37" s="1005"/>
      <c r="I37" s="1005"/>
      <c r="J37" s="1005"/>
      <c r="K37" s="1005"/>
      <c r="L37" s="1005"/>
    </row>
    <row r="38" spans="1:26" ht="4.05" customHeight="1" x14ac:dyDescent="0.3">
      <c r="A38" s="1005"/>
      <c r="B38" s="1005"/>
      <c r="C38" s="1005"/>
      <c r="D38" s="1005"/>
      <c r="E38" s="1005"/>
      <c r="F38" s="1005"/>
      <c r="G38" s="1005"/>
      <c r="H38" s="1005"/>
      <c r="I38" s="1005"/>
      <c r="J38" s="1005"/>
      <c r="K38" s="1005"/>
      <c r="L38" s="1005"/>
    </row>
    <row r="39" spans="1:26" ht="4.05" customHeight="1" x14ac:dyDescent="0.3">
      <c r="A39" s="1005"/>
      <c r="B39" s="1005"/>
      <c r="C39" s="1005"/>
      <c r="D39" s="1005"/>
      <c r="E39" s="1005"/>
      <c r="F39" s="1005"/>
      <c r="G39" s="1005"/>
      <c r="H39" s="1005"/>
      <c r="I39" s="1005"/>
      <c r="J39" s="1005"/>
      <c r="K39" s="1005"/>
      <c r="L39" s="1005"/>
    </row>
    <row r="40" spans="1:26" ht="4.05" customHeight="1" x14ac:dyDescent="0.3">
      <c r="A40" s="1005"/>
      <c r="B40" s="1005"/>
      <c r="C40" s="1005"/>
      <c r="D40" s="1005"/>
      <c r="E40" s="1005"/>
      <c r="F40" s="1005"/>
      <c r="G40" s="1005"/>
      <c r="H40" s="1005"/>
      <c r="I40" s="1005"/>
      <c r="J40" s="1005"/>
      <c r="K40" s="1005"/>
      <c r="L40" s="1005"/>
    </row>
    <row r="41" spans="1:26" ht="4.05" customHeight="1" x14ac:dyDescent="0.3">
      <c r="A41" s="1005"/>
      <c r="B41" s="1005"/>
      <c r="C41" s="1005"/>
      <c r="D41" s="1005"/>
      <c r="E41" s="1005"/>
      <c r="F41" s="1005"/>
      <c r="G41" s="1005"/>
      <c r="H41" s="1005"/>
      <c r="I41" s="1005"/>
      <c r="J41" s="1005"/>
      <c r="K41" s="1005"/>
      <c r="L41" s="1005"/>
    </row>
    <row r="42" spans="1:26" ht="4.05" customHeight="1" x14ac:dyDescent="0.3">
      <c r="A42" s="1005"/>
      <c r="B42" s="1005"/>
      <c r="C42" s="1005"/>
      <c r="D42" s="1005"/>
      <c r="E42" s="1005"/>
      <c r="F42" s="1005"/>
      <c r="G42" s="1005"/>
      <c r="H42" s="1005"/>
      <c r="I42" s="1005"/>
      <c r="J42" s="1005"/>
      <c r="K42" s="1005"/>
      <c r="L42" s="1005"/>
    </row>
    <row r="43" spans="1:26" ht="4.05" customHeight="1" x14ac:dyDescent="0.3">
      <c r="A43" s="1005"/>
      <c r="B43" s="1005"/>
      <c r="C43" s="1005"/>
      <c r="D43" s="1005"/>
      <c r="E43" s="1005"/>
      <c r="F43" s="1005"/>
      <c r="G43" s="1005"/>
      <c r="H43" s="1005"/>
      <c r="I43" s="1005"/>
      <c r="J43" s="1005"/>
      <c r="K43" s="1005"/>
      <c r="L43" s="1005"/>
    </row>
    <row r="44" spans="1:26" ht="4.05" customHeight="1" x14ac:dyDescent="0.3">
      <c r="A44" s="1005"/>
      <c r="B44" s="1005"/>
      <c r="C44" s="1005"/>
      <c r="D44" s="1005"/>
      <c r="E44" s="1005"/>
      <c r="F44" s="1005"/>
      <c r="G44" s="1005"/>
      <c r="H44" s="1005"/>
      <c r="I44" s="1005"/>
      <c r="J44" s="1005"/>
      <c r="K44" s="1005"/>
      <c r="L44" s="1005"/>
    </row>
    <row r="45" spans="1:26" ht="4.05" customHeight="1" x14ac:dyDescent="0.3">
      <c r="A45" s="1005"/>
      <c r="B45" s="1005"/>
      <c r="C45" s="1005"/>
      <c r="D45" s="1005"/>
      <c r="E45" s="1005"/>
      <c r="F45" s="1005"/>
      <c r="G45" s="1005"/>
      <c r="H45" s="1005"/>
      <c r="I45" s="1005"/>
      <c r="J45" s="1005"/>
      <c r="K45" s="1005"/>
      <c r="L45" s="1005"/>
    </row>
    <row r="46" spans="1:26" ht="4.05" customHeight="1" x14ac:dyDescent="0.3">
      <c r="A46" s="1005"/>
      <c r="B46" s="1005"/>
      <c r="C46" s="1005"/>
      <c r="D46" s="1005"/>
      <c r="E46" s="1005"/>
      <c r="F46" s="1005"/>
      <c r="G46" s="1005"/>
      <c r="H46" s="1005"/>
      <c r="I46" s="1005"/>
      <c r="J46" s="1005"/>
      <c r="K46" s="1005"/>
      <c r="L46" s="1005"/>
    </row>
    <row r="47" spans="1:26" ht="4.05" customHeight="1" x14ac:dyDescent="0.3">
      <c r="A47" s="1005"/>
      <c r="B47" s="1005"/>
      <c r="C47" s="1005"/>
      <c r="D47" s="1005"/>
      <c r="E47" s="1005"/>
      <c r="F47" s="1005"/>
      <c r="G47" s="1005"/>
      <c r="H47" s="1005"/>
      <c r="I47" s="1005"/>
      <c r="J47" s="1005"/>
      <c r="K47" s="1005"/>
      <c r="L47" s="1005"/>
    </row>
    <row r="48" spans="1:26" ht="4.05" customHeight="1" x14ac:dyDescent="0.3">
      <c r="A48" s="1005"/>
      <c r="B48" s="1005"/>
      <c r="C48" s="1005"/>
      <c r="D48" s="1005"/>
      <c r="E48" s="1005"/>
      <c r="F48" s="1005"/>
      <c r="G48" s="1005"/>
      <c r="H48" s="1005"/>
      <c r="I48" s="1005"/>
      <c r="J48" s="1005"/>
      <c r="K48" s="1005"/>
      <c r="L48" s="1005"/>
    </row>
    <row r="49" spans="1:12" ht="4.05" customHeight="1" x14ac:dyDescent="0.3">
      <c r="A49" s="1005"/>
      <c r="B49" s="1005"/>
      <c r="C49" s="1005"/>
      <c r="D49" s="1005"/>
      <c r="E49" s="1005"/>
      <c r="F49" s="1005"/>
      <c r="G49" s="1005"/>
      <c r="H49" s="1005"/>
      <c r="I49" s="1005"/>
      <c r="J49" s="1005"/>
      <c r="K49" s="1005"/>
      <c r="L49" s="1005"/>
    </row>
    <row r="50" spans="1:12" ht="4.05" customHeight="1" x14ac:dyDescent="0.3">
      <c r="A50" s="1005"/>
      <c r="B50" s="1005"/>
      <c r="C50" s="1005"/>
      <c r="D50" s="1005"/>
      <c r="E50" s="1005"/>
      <c r="F50" s="1005"/>
      <c r="G50" s="1005"/>
      <c r="H50" s="1005"/>
      <c r="I50" s="1005"/>
      <c r="J50" s="1005"/>
      <c r="K50" s="1005"/>
      <c r="L50" s="1005"/>
    </row>
    <row r="51" spans="1:12" ht="4.05" customHeight="1" x14ac:dyDescent="0.3">
      <c r="A51" s="1005"/>
      <c r="B51" s="1005"/>
      <c r="C51" s="1005"/>
      <c r="D51" s="1005"/>
      <c r="E51" s="1005"/>
      <c r="F51" s="1005"/>
      <c r="G51" s="1005"/>
      <c r="H51" s="1005"/>
      <c r="I51" s="1005"/>
      <c r="J51" s="1005"/>
      <c r="K51" s="1005"/>
      <c r="L51" s="1005"/>
    </row>
    <row r="52" spans="1:12" ht="4.05" customHeight="1" x14ac:dyDescent="0.3">
      <c r="A52" s="1005"/>
      <c r="B52" s="1005"/>
      <c r="C52" s="1005"/>
      <c r="D52" s="1005"/>
      <c r="E52" s="1005"/>
      <c r="F52" s="1005"/>
      <c r="G52" s="1005"/>
      <c r="H52" s="1005"/>
      <c r="I52" s="1005"/>
      <c r="J52" s="1005"/>
      <c r="K52" s="1005"/>
      <c r="L52" s="1005"/>
    </row>
    <row r="53" spans="1:12" ht="4.05" customHeight="1" x14ac:dyDescent="0.3">
      <c r="A53" s="1005"/>
      <c r="B53" s="1005"/>
      <c r="C53" s="1005"/>
      <c r="D53" s="1005"/>
      <c r="E53" s="1005"/>
      <c r="F53" s="1005"/>
      <c r="G53" s="1005"/>
      <c r="H53" s="1005"/>
      <c r="I53" s="1005"/>
      <c r="J53" s="1005"/>
      <c r="K53" s="1005"/>
      <c r="L53" s="1005"/>
    </row>
    <row r="54" spans="1:12" ht="4.05" customHeight="1" x14ac:dyDescent="0.3">
      <c r="A54" s="1005"/>
      <c r="B54" s="1005"/>
      <c r="C54" s="1005"/>
      <c r="D54" s="1005"/>
      <c r="E54" s="1005"/>
      <c r="F54" s="1005"/>
      <c r="G54" s="1005"/>
      <c r="H54" s="1005"/>
      <c r="I54" s="1005"/>
      <c r="J54" s="1005"/>
      <c r="K54" s="1005"/>
      <c r="L54" s="1005"/>
    </row>
    <row r="55" spans="1:12" ht="4.05" customHeight="1" x14ac:dyDescent="0.3">
      <c r="A55" s="1005"/>
      <c r="B55" s="1005"/>
      <c r="C55" s="1005"/>
      <c r="D55" s="1005"/>
      <c r="E55" s="1005"/>
      <c r="F55" s="1005"/>
      <c r="G55" s="1005"/>
      <c r="H55" s="1005"/>
      <c r="I55" s="1005"/>
      <c r="J55" s="1005"/>
      <c r="K55" s="1005"/>
      <c r="L55" s="1005"/>
    </row>
    <row r="56" spans="1:12" ht="4.05" customHeight="1" x14ac:dyDescent="0.3">
      <c r="A56" s="1005"/>
      <c r="B56" s="1005"/>
      <c r="C56" s="1005"/>
      <c r="D56" s="1005"/>
      <c r="E56" s="1005"/>
      <c r="F56" s="1005"/>
      <c r="G56" s="1005"/>
      <c r="H56" s="1005"/>
      <c r="I56" s="1005"/>
      <c r="J56" s="1005"/>
      <c r="K56" s="1005"/>
      <c r="L56" s="1005"/>
    </row>
    <row r="57" spans="1:12" ht="4.05" customHeight="1" x14ac:dyDescent="0.3">
      <c r="A57" s="1005"/>
      <c r="B57" s="1005"/>
      <c r="C57" s="1005"/>
      <c r="D57" s="1005"/>
      <c r="E57" s="1005"/>
      <c r="F57" s="1005"/>
      <c r="G57" s="1005"/>
      <c r="H57" s="1005"/>
      <c r="I57" s="1005"/>
      <c r="J57" s="1005"/>
      <c r="K57" s="1005"/>
      <c r="L57" s="1005"/>
    </row>
    <row r="58" spans="1:12" ht="4.05" customHeight="1" x14ac:dyDescent="0.3">
      <c r="A58" s="1005"/>
      <c r="B58" s="1005"/>
      <c r="C58" s="1005"/>
      <c r="D58" s="1005"/>
      <c r="E58" s="1005"/>
      <c r="F58" s="1005"/>
      <c r="G58" s="1005"/>
      <c r="H58" s="1005"/>
      <c r="I58" s="1005"/>
      <c r="J58" s="1005"/>
      <c r="K58" s="1005"/>
      <c r="L58" s="1005"/>
    </row>
    <row r="59" spans="1:12" ht="4.05" customHeight="1" x14ac:dyDescent="0.3">
      <c r="A59" s="1005"/>
      <c r="B59" s="1005"/>
      <c r="C59" s="1005"/>
      <c r="D59" s="1005"/>
      <c r="E59" s="1005"/>
      <c r="F59" s="1005"/>
      <c r="G59" s="1005"/>
      <c r="H59" s="1005"/>
      <c r="I59" s="1005"/>
      <c r="J59" s="1005"/>
      <c r="K59" s="1005"/>
      <c r="L59" s="1005"/>
    </row>
  </sheetData>
  <mergeCells count="5">
    <mergeCell ref="A14:F14"/>
    <mergeCell ref="A4:F4"/>
    <mergeCell ref="A13:F13"/>
    <mergeCell ref="A1:Z1"/>
    <mergeCell ref="A3:Z3"/>
  </mergeCells>
  <conditionalFormatting sqref="A6:A11">
    <cfRule type="containsText" dxfId="72" priority="1" operator="containsText" text="Pi">
      <formula>NOT(ISERROR(SEARCH("Pi",A6)))</formula>
    </cfRule>
    <cfRule type="containsText" dxfId="71" priority="2" operator="containsText" text="Vi">
      <formula>NOT(ISERROR(SEARCH("Vi",A6)))</formula>
    </cfRule>
    <cfRule type="containsText" dxfId="70" priority="3" operator="containsText" text="Ti">
      <formula>NOT(ISERROR(SEARCH("Ti",A6)))</formula>
    </cfRule>
  </conditionalFormatting>
  <conditionalFormatting sqref="B25">
    <cfRule type="cellIs" dxfId="69" priority="7" operator="greaterThanOrEqual">
      <formula>0.9</formula>
    </cfRule>
    <cfRule type="cellIs" dxfId="68" priority="8" operator="between">
      <formula>0.7</formula>
      <formula>0.8999</formula>
    </cfRule>
    <cfRule type="cellIs" dxfId="67" priority="9" operator="between">
      <formula>0.4</formula>
      <formula>0.6999</formula>
    </cfRule>
    <cfRule type="cellIs" dxfId="66" priority="10" operator="between">
      <formula>0.2</formula>
      <formula>0.3999</formula>
    </cfRule>
    <cfRule type="cellIs" dxfId="65" priority="11" operator="lessThan">
      <formula>0.2</formula>
    </cfRule>
  </conditionalFormatting>
  <conditionalFormatting sqref="D6:D11">
    <cfRule type="containsText" dxfId="64" priority="4" operator="containsText" text="Binario">
      <formula>NOT(ISERROR(SEARCH("Binario",D6)))</formula>
    </cfRule>
    <cfRule type="containsText" dxfId="63" priority="5" operator="containsText" text="Continuo">
      <formula>NOT(ISERROR(SEARCH("Continuo",D6)))</formula>
    </cfRule>
    <cfRule type="containsText" dxfId="62" priority="6" operator="containsText" text="Discreto">
      <formula>NOT(ISERROR(SEARCH("Discreto",D6)))</formula>
    </cfRule>
  </conditionalFormatting>
  <pageMargins left="0.7" right="0.7" top="0.75" bottom="0.75" header="0.3" footer="0.3"/>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F118E-65DE-485D-B37B-83CB73A88BDA}">
  <sheetPr>
    <tabColor rgb="FFDEEAF1"/>
  </sheetPr>
  <dimension ref="A1:Z69"/>
  <sheetViews>
    <sheetView showGridLines="0" zoomScale="33" zoomScaleNormal="33" workbookViewId="0">
      <pane xSplit="2" ySplit="5" topLeftCell="C6" activePane="bottomRight" state="frozen"/>
      <selection pane="topRight" activeCell="C1" sqref="C1"/>
      <selection pane="bottomLeft" activeCell="A6" sqref="A6"/>
      <selection pane="bottomRight" activeCell="R64" sqref="R64"/>
    </sheetView>
  </sheetViews>
  <sheetFormatPr baseColWidth="10" defaultRowHeight="14.4" x14ac:dyDescent="0.3"/>
  <cols>
    <col min="1" max="1" width="5.21875" customWidth="1"/>
    <col min="2" max="2" width="22.21875" customWidth="1"/>
    <col min="3" max="3" width="31.44140625" customWidth="1"/>
    <col min="4" max="4" width="16.6640625" customWidth="1"/>
    <col min="5" max="5" width="20.33203125" customWidth="1"/>
    <col min="6" max="6" width="17.5546875" customWidth="1"/>
    <col min="7" max="7" width="22.21875" customWidth="1"/>
    <col min="8" max="8" width="12" customWidth="1"/>
    <col min="9" max="9" width="9.21875" customWidth="1"/>
    <col min="10" max="10" width="14.77734375" customWidth="1"/>
    <col min="11" max="11" width="24.109375" customWidth="1"/>
    <col min="12" max="12" width="16.6640625" customWidth="1"/>
    <col min="13" max="13" width="25" customWidth="1"/>
    <col min="14" max="14" width="21.44140625" bestFit="1" customWidth="1"/>
    <col min="15" max="15" width="27.6640625" bestFit="1" customWidth="1"/>
    <col min="16" max="16" width="54.6640625" bestFit="1" customWidth="1"/>
    <col min="17" max="17" width="45.5546875" bestFit="1" customWidth="1"/>
    <col min="18" max="18" width="35" bestFit="1" customWidth="1"/>
    <col min="26" max="26" width="10" bestFit="1" customWidth="1"/>
  </cols>
  <sheetData>
    <row r="1" spans="1:26" ht="28.05" customHeight="1" x14ac:dyDescent="0.3">
      <c r="A1" s="4040" t="s">
        <v>4838</v>
      </c>
      <c r="B1" s="4041"/>
      <c r="C1" s="4041"/>
      <c r="D1" s="4041"/>
      <c r="E1" s="4041"/>
      <c r="F1" s="4041"/>
      <c r="G1" s="4041"/>
      <c r="H1" s="4041"/>
      <c r="I1" s="4041"/>
      <c r="J1" s="4041"/>
      <c r="K1" s="4041"/>
      <c r="L1" s="4041"/>
      <c r="M1" s="4120"/>
      <c r="N1" s="4120"/>
      <c r="O1" s="4120"/>
      <c r="P1" s="4120"/>
      <c r="Q1" s="4120"/>
      <c r="R1" s="4120"/>
      <c r="S1" s="4120"/>
      <c r="T1" s="4120"/>
      <c r="U1" s="4120"/>
      <c r="V1" s="4120"/>
      <c r="W1" s="4120"/>
      <c r="X1" s="4120"/>
      <c r="Y1" s="4120"/>
      <c r="Z1" s="4120"/>
    </row>
    <row r="2" spans="1:26" ht="19.95" customHeight="1" x14ac:dyDescent="0.3">
      <c r="A2" s="1114" t="str">
        <f>HYPERLINK("#'M-INDEX'!A1","⌂ INDICE")</f>
        <v>⌂ INDICE</v>
      </c>
      <c r="B2" s="1115" t="str">
        <f>HYPERLINK("#'M1-ITME'!A1","M1")</f>
        <v>M1</v>
      </c>
      <c r="C2" s="1115" t="str">
        <f>HYPERLINK("#'M2-PDOT'!A1","M2")</f>
        <v>M2</v>
      </c>
      <c r="D2" s="1115" t="str">
        <f>HYPERLINK("#'M3-MAO'!A1","M3")</f>
        <v>M3</v>
      </c>
      <c r="E2" s="1115" t="str">
        <f>HYPERLINK("#'M4-AUDIT'!A1","M4")</f>
        <v>M4</v>
      </c>
      <c r="F2" s="1115" t="str">
        <f>HYPERLINK("#'M5-ICPI'!A1","M5")</f>
        <v>M5</v>
      </c>
      <c r="G2" s="1115" t="str">
        <f>HYPERLINK("#'M6-FEDS'!A1","M6")</f>
        <v>M6</v>
      </c>
      <c r="H2" s="1115" t="str">
        <f>HYPERLINK("#'M7-PROSP'!A1","M7")</f>
        <v>M7</v>
      </c>
      <c r="I2" s="1115" t="str">
        <f>HYPERLINK("#'DATA-POA'!A1","DATA-POA")</f>
        <v>DATA-POA</v>
      </c>
      <c r="J2" s="1115" t="str">
        <f>HYPERLINK("#'DATA-CNE'!A1","DATA-CNE")</f>
        <v>DATA-CNE</v>
      </c>
      <c r="K2" s="1115" t="str">
        <f>HYPERLINK("#'DATA-ORG'!A1","DATA-ORG")</f>
        <v>DATA-ORG</v>
      </c>
      <c r="L2" s="1115" t="str">
        <f>HYPERLINK("#'M-DASHBOARD'!A1","DASH")</f>
        <v>DASH</v>
      </c>
      <c r="M2" s="1084"/>
      <c r="N2" s="1084"/>
      <c r="O2" s="1084"/>
      <c r="P2" s="1084"/>
      <c r="Q2" s="1084"/>
      <c r="R2" s="1084"/>
      <c r="S2" s="1084"/>
      <c r="T2" s="1084"/>
      <c r="U2" s="1084"/>
      <c r="V2" s="1084"/>
      <c r="W2" s="1084"/>
      <c r="X2" s="1084"/>
      <c r="Y2" s="1084"/>
      <c r="Z2" s="1084"/>
    </row>
    <row r="3" spans="1:26" ht="16.05" customHeight="1" thickBot="1" x14ac:dyDescent="0.35">
      <c r="A3" s="4121" t="s">
        <v>4255</v>
      </c>
      <c r="B3" s="4122"/>
      <c r="C3" s="4122"/>
      <c r="D3" s="4122"/>
      <c r="E3" s="4122"/>
      <c r="F3" s="4122"/>
      <c r="G3" s="4122"/>
      <c r="H3" s="4122"/>
      <c r="I3" s="4122"/>
      <c r="J3" s="4122"/>
      <c r="K3" s="4122"/>
      <c r="L3" s="4122"/>
      <c r="M3" s="3961"/>
      <c r="N3" s="3961"/>
      <c r="O3" s="3961"/>
      <c r="P3" s="3961"/>
      <c r="Q3" s="3961"/>
      <c r="R3" s="3961"/>
      <c r="S3" s="3961"/>
      <c r="T3" s="3961"/>
      <c r="U3" s="3961"/>
      <c r="V3" s="3961"/>
      <c r="W3" s="3961"/>
      <c r="X3" s="3961"/>
      <c r="Y3" s="3961"/>
      <c r="Z3" s="3961"/>
    </row>
    <row r="4" spans="1:26" ht="18" customHeight="1" thickTop="1" thickBot="1" x14ac:dyDescent="0.35">
      <c r="A4" s="4141" t="s">
        <v>4029</v>
      </c>
      <c r="B4" s="4142"/>
      <c r="C4" s="4142"/>
      <c r="D4" s="4142"/>
      <c r="E4" s="4142"/>
      <c r="F4" s="4142"/>
      <c r="G4" s="4142"/>
      <c r="H4" s="4142"/>
      <c r="I4" s="4142"/>
      <c r="J4" s="4142"/>
      <c r="K4" s="4142"/>
      <c r="L4" s="4142"/>
      <c r="M4" s="4143"/>
      <c r="N4" s="4143"/>
      <c r="O4" s="4143"/>
      <c r="P4" s="4143"/>
      <c r="Q4" s="4143"/>
      <c r="R4" s="4143"/>
      <c r="S4" s="4143"/>
      <c r="T4" s="4143"/>
      <c r="U4" s="4143"/>
      <c r="V4" s="4143"/>
      <c r="W4" s="4143"/>
      <c r="X4" s="4143"/>
      <c r="Y4" s="4143"/>
      <c r="Z4" s="4144"/>
    </row>
    <row r="5" spans="1:26" ht="28.05" customHeight="1" x14ac:dyDescent="0.3">
      <c r="A5" s="1120" t="s">
        <v>423</v>
      </c>
      <c r="B5" s="1121" t="s">
        <v>691</v>
      </c>
      <c r="C5" s="1121" t="s">
        <v>693</v>
      </c>
      <c r="D5" s="1121" t="s">
        <v>692</v>
      </c>
      <c r="E5" s="1121" t="s">
        <v>4030</v>
      </c>
      <c r="F5" s="1121" t="s">
        <v>4031</v>
      </c>
      <c r="G5" s="1121" t="s">
        <v>4106</v>
      </c>
      <c r="H5" s="1121" t="s">
        <v>4032</v>
      </c>
      <c r="I5" s="1121" t="s">
        <v>895</v>
      </c>
      <c r="J5" s="1121" t="s">
        <v>434</v>
      </c>
      <c r="K5" s="1121" t="s">
        <v>2327</v>
      </c>
      <c r="L5" s="1122" t="s">
        <v>4036</v>
      </c>
      <c r="M5" s="1237" t="s">
        <v>5039</v>
      </c>
      <c r="N5" s="1085" t="s">
        <v>4037</v>
      </c>
      <c r="O5" s="1085" t="s">
        <v>4038</v>
      </c>
      <c r="P5" s="1085" t="s">
        <v>4039</v>
      </c>
      <c r="Q5" s="1085" t="s">
        <v>4077</v>
      </c>
      <c r="R5" s="1086" t="s">
        <v>4448</v>
      </c>
      <c r="S5" s="1085"/>
      <c r="T5" s="1085"/>
      <c r="U5" s="1085"/>
      <c r="V5" s="1085"/>
      <c r="W5" s="1085"/>
      <c r="X5" s="1085"/>
      <c r="Y5" s="1085"/>
      <c r="Z5" s="1087"/>
    </row>
    <row r="6" spans="1:26" ht="22.05" customHeight="1" x14ac:dyDescent="0.3">
      <c r="A6" s="1123">
        <v>1</v>
      </c>
      <c r="B6" s="1124" t="str">
        <f>'M2-PDOT'!B4</f>
        <v>PDOT.AS.VL.M1.01</v>
      </c>
      <c r="C6" s="1124" t="str">
        <f>'M2-PDOT'!D4</f>
        <v>Mantenimiento de vías urbanas para el acceso de los barrios del cantón</v>
      </c>
      <c r="D6" s="1124" t="str">
        <f>'M2-PDOT'!C4</f>
        <v>Asentamientos Humanos</v>
      </c>
      <c r="E6" s="1124" t="str">
        <f>'M2-PDOT'!K4</f>
        <v>Dir. Obras Públicas</v>
      </c>
      <c r="F6" s="1125">
        <f>'M2-PDOT'!L4</f>
        <v>10892760.76</v>
      </c>
      <c r="G6" s="1126" t="str">
        <f>'M-TECH-VARS'!$C$24</f>
        <v>ICM oficial 2024 en decimal. Fuente: Reporte ICM SIGAD 2024 (verificado). Carga masiva 42 seg. 30/05/2025.</v>
      </c>
      <c r="H6" s="1127">
        <f>'M2-PDOT'!E4</f>
        <v>0.33018018186699599</v>
      </c>
      <c r="I6" s="1128">
        <f>'M2-PDOT'!I4</f>
        <v>1</v>
      </c>
      <c r="J6" s="1126" t="str">
        <f>'M2-PDOT'!N4</f>
        <v>✅ ALINEADA</v>
      </c>
      <c r="K6" s="1124"/>
      <c r="L6" s="1129">
        <v>0</v>
      </c>
      <c r="M6" s="1238" t="s">
        <v>5040</v>
      </c>
      <c r="N6" s="1089">
        <f t="shared" ref="N6:N25" si="0">IFERROR(F6/12,0)</f>
        <v>907730.06333333335</v>
      </c>
      <c r="O6" s="1090" t="e">
        <f>IF(AND(M6=0,'M-TECH-VARS'!$C$10&gt;3),"ALERTA",IF('M-TECH-VARS'!$C$11=0,"N/D",M6/(G6*'M-TECH-VARS'!$C$11)))</f>
        <v>#VALUE!</v>
      </c>
      <c r="P6" s="1091" t="str">
        <f>IF(AND(M6=0,'M-TECH-VARS'!$C$10&gt;3),"🚨 NEGLIGENCIA OPERATIVA",IF(AND(L6=0,M6=0),"⬜ SIN DATOS",IF(AND(M6&gt;='M-TECH-VARS'!$C$11,L6&lt;=N6,L6&gt;0),"🔵 GESTIÓN EFICIENTE",IF(ISNUMBER(O6),IF(O6&gt;=0.85,"🔵 EXCELENTE (≥85%)",IF(O6&gt;=0.7,"🟢 SATISFACTORIO (70-84%)",IF(O6&gt;=0.4,"🟡 TRANSICIÓN CRÍTICA (40-69%)","🔴 RUPTURA (&lt;40%)"))),"⬜ SIN DATOS"))))</f>
        <v>⬜ SIN DATOS</v>
      </c>
      <c r="Q6" s="1092">
        <f>IF('M2-PDOT'!G4=1,1,0)</f>
        <v>1</v>
      </c>
      <c r="R6" s="1093" t="e">
        <f t="shared" ref="R6:R25" si="1">IF(ISNUMBER(O6),O6*I6,IF(O6="ALERTA",0,"N/D"))</f>
        <v>#VALUE!</v>
      </c>
      <c r="S6" s="1088"/>
      <c r="T6" s="1088"/>
      <c r="U6" s="1088"/>
      <c r="V6" s="1088"/>
      <c r="W6" s="1088"/>
      <c r="X6" s="1088"/>
      <c r="Y6" s="1088"/>
      <c r="Z6" s="1094"/>
    </row>
    <row r="7" spans="1:26" ht="22.05" customHeight="1" x14ac:dyDescent="0.3">
      <c r="A7" s="1130">
        <v>2</v>
      </c>
      <c r="B7" s="1131" t="str">
        <f>'M2-PDOT'!B5</f>
        <v>PDOT.SC.OE2.M1.01</v>
      </c>
      <c r="C7" s="1131" t="str">
        <f>'M2-PDOT'!D5</f>
        <v>Desarrollo del Bienestar Integral para Montecristi</v>
      </c>
      <c r="D7" s="1131" t="str">
        <f>'M2-PDOT'!C5</f>
        <v>Socio Cultural</v>
      </c>
      <c r="E7" s="1131" t="str">
        <f>'M2-PDOT'!K5</f>
        <v>Patronato Municipal</v>
      </c>
      <c r="F7" s="1132">
        <f>'M2-PDOT'!L5</f>
        <v>5827477</v>
      </c>
      <c r="G7" s="1133" t="str">
        <f>'M-TECH-VARS'!$C$24</f>
        <v>ICM oficial 2024 en decimal. Fuente: Reporte ICM SIGAD 2024 (verificado). Carga masiva 42 seg. 30/05/2025.</v>
      </c>
      <c r="H7" s="1134">
        <f>'M2-PDOT'!E5</f>
        <v>0.17664185031506524</v>
      </c>
      <c r="I7" s="1135">
        <f>'M2-PDOT'!I5</f>
        <v>0.9</v>
      </c>
      <c r="J7" s="1136" t="str">
        <f>'M2-PDOT'!N5</f>
        <v>✅ ALINEADA</v>
      </c>
      <c r="K7" s="1131"/>
      <c r="L7" s="1137">
        <v>0</v>
      </c>
      <c r="M7" s="1239" t="s">
        <v>5041</v>
      </c>
      <c r="N7" s="1097">
        <f t="shared" si="0"/>
        <v>485623.08333333331</v>
      </c>
      <c r="O7" s="1098" t="e">
        <f>IF(AND(M7=0,'M-TECH-VARS'!$C$10&gt;3),"ALERTA",IF('M-TECH-VARS'!$C$11=0,"N/D",M7/(G7*'M-TECH-VARS'!$C$11)))</f>
        <v>#VALUE!</v>
      </c>
      <c r="P7" s="1091" t="str">
        <f>IF(AND(M7=0,'M-TECH-VARS'!$C$10&gt;3),"🚨 NEGLIGENCIA OPERATIVA",IF(AND(L7=0,M7=0),"⬜ SIN DATOS",IF(AND(M7&gt;='M-TECH-VARS'!$C$11,L7&lt;=N7,L7&gt;0),"🔵 GESTIÓN EFICIENTE",IF(ISNUMBER(O7),IF(O7&gt;=0.85,"🔵 EXCELENTE (≥85%)",IF(O7&gt;=0.7,"🟢 SATISFACTORIO (70-84%)",IF(O7&gt;=0.4,"🟡 TRANSICIÓN CRÍTICA (40-69%)","🔴 RUPTURA (&lt;40%)"))),"⬜ SIN DATOS"))))</f>
        <v>⬜ SIN DATOS</v>
      </c>
      <c r="Q7" s="1099">
        <f>IF('M2-PDOT'!G5=1,1,0)</f>
        <v>1</v>
      </c>
      <c r="R7" s="1100" t="e">
        <f t="shared" si="1"/>
        <v>#VALUE!</v>
      </c>
      <c r="S7" s="1096"/>
      <c r="T7" s="1096"/>
      <c r="U7" s="1096"/>
      <c r="V7" s="1096"/>
      <c r="W7" s="1096"/>
      <c r="X7" s="1096"/>
      <c r="Y7" s="1096"/>
      <c r="Z7" s="1101"/>
    </row>
    <row r="8" spans="1:26" ht="22.05" customHeight="1" x14ac:dyDescent="0.3">
      <c r="A8" s="1123">
        <v>3</v>
      </c>
      <c r="B8" s="1124" t="str">
        <f>'M2-PDOT'!B6</f>
        <v>PDOT.AM.OE3.M2.01</v>
      </c>
      <c r="C8" s="1124" t="str">
        <f>'M2-PDOT'!D6</f>
        <v>Gestión Integral de Desechos Sólidos</v>
      </c>
      <c r="D8" s="1124" t="str">
        <f>'M2-PDOT'!C6</f>
        <v>Ambiental</v>
      </c>
      <c r="E8" s="1124" t="str">
        <f>'M2-PDOT'!K6</f>
        <v>Dir. Gestión Ambiental</v>
      </c>
      <c r="F8" s="1125">
        <f>'M2-PDOT'!L6</f>
        <v>5001962.76</v>
      </c>
      <c r="G8" s="1126" t="str">
        <f>'M-TECH-VARS'!$C$24</f>
        <v>ICM oficial 2024 en decimal. Fuente: Reporte ICM SIGAD 2024 (verificado). Carga masiva 42 seg. 30/05/2025.</v>
      </c>
      <c r="H8" s="1127">
        <f>'M2-PDOT'!E6</f>
        <v>0.1516189522727332</v>
      </c>
      <c r="I8" s="1128">
        <f>'M2-PDOT'!I6</f>
        <v>1</v>
      </c>
      <c r="J8" s="1138" t="str">
        <f>'M2-PDOT'!N6</f>
        <v>✅ ALINEADA</v>
      </c>
      <c r="K8" s="1124"/>
      <c r="L8" s="1129">
        <v>0</v>
      </c>
      <c r="M8" s="1240" t="s">
        <v>5042</v>
      </c>
      <c r="N8" s="1089">
        <f t="shared" si="0"/>
        <v>416830.23</v>
      </c>
      <c r="O8" s="1090" t="e">
        <f>IF(AND(M8=0,'M-TECH-VARS'!$C$10&gt;3),"ALERTA",IF('M-TECH-VARS'!$C$11=0,"N/D",M8/(G8*'M-TECH-VARS'!$C$11)))</f>
        <v>#VALUE!</v>
      </c>
      <c r="P8" s="1091" t="str">
        <f>IF(AND(M8=0,'M-TECH-VARS'!$C$10&gt;3),"🚨 NEGLIGENCIA OPERATIVA",IF(AND(L8=0,M8=0),"⬜ SIN DATOS",IF(AND(M8&gt;='M-TECH-VARS'!$C$11,L8&lt;=N8,L8&gt;0),"🔵 GESTIÓN EFICIENTE",IF(ISNUMBER(O8),IF(O8&gt;=0.85,"🔵 EXCELENTE (≥85%)",IF(O8&gt;=0.7,"🟢 SATISFACTORIO (70-84%)",IF(O8&gt;=0.4,"🟡 TRANSICIÓN CRÍTICA (40-69%)","🔴 RUPTURA (&lt;40%)"))),"⬜ SIN DATOS"))))</f>
        <v>⬜ SIN DATOS</v>
      </c>
      <c r="Q8" s="1092">
        <f>IF('M2-PDOT'!G6=1,1,0)</f>
        <v>1</v>
      </c>
      <c r="R8" s="1093" t="e">
        <f t="shared" si="1"/>
        <v>#VALUE!</v>
      </c>
      <c r="S8" s="1088"/>
      <c r="T8" s="1088"/>
      <c r="U8" s="1088"/>
      <c r="V8" s="1088"/>
      <c r="W8" s="1088"/>
      <c r="X8" s="1088"/>
      <c r="Y8" s="1088"/>
      <c r="Z8" s="1094"/>
    </row>
    <row r="9" spans="1:26" ht="22.05" customHeight="1" x14ac:dyDescent="0.3">
      <c r="A9" s="1130">
        <v>4</v>
      </c>
      <c r="B9" s="1131" t="str">
        <f>'M2-PDOT'!B7</f>
        <v>PDOT.AS.OE1.M2.01</v>
      </c>
      <c r="C9" s="1131" t="str">
        <f>'M2-PDOT'!D7</f>
        <v>Fortalecimiento estratégico de equipamiento público comercial y administrativo</v>
      </c>
      <c r="D9" s="1131" t="str">
        <f>'M2-PDOT'!C7</f>
        <v>Asentamientos Humanos</v>
      </c>
      <c r="E9" s="1131" t="str">
        <f>'M2-PDOT'!K7</f>
        <v>Dir. Planificación</v>
      </c>
      <c r="F9" s="1132">
        <f>'M2-PDOT'!L7</f>
        <v>1693800</v>
      </c>
      <c r="G9" s="1133" t="str">
        <f>'M-TECH-VARS'!$C$24</f>
        <v>ICM oficial 2024 en decimal. Fuente: Reporte ICM SIGAD 2024 (verificado). Carga masiva 42 seg. 30/05/2025.</v>
      </c>
      <c r="H9" s="1134">
        <f>'M2-PDOT'!E7</f>
        <v>5.1342281756523014E-2</v>
      </c>
      <c r="I9" s="1135">
        <f>'M2-PDOT'!I7</f>
        <v>1</v>
      </c>
      <c r="J9" s="1136" t="str">
        <f>'M2-PDOT'!N7</f>
        <v>⚠️ PARCIAL</v>
      </c>
      <c r="K9" s="1131"/>
      <c r="L9" s="1137">
        <v>0</v>
      </c>
      <c r="M9" s="1241" t="s">
        <v>5043</v>
      </c>
      <c r="N9" s="1097">
        <f t="shared" si="0"/>
        <v>141150</v>
      </c>
      <c r="O9" s="1098" t="e">
        <f>IF(AND(M9=0,'M-TECH-VARS'!$C$10&gt;3),"ALERTA",IF('M-TECH-VARS'!$C$11=0,"N/D",M9/(G9*'M-TECH-VARS'!$C$11)))</f>
        <v>#VALUE!</v>
      </c>
      <c r="P9" s="1091" t="str">
        <f>IF(AND(M9=0,'M-TECH-VARS'!$C$10&gt;3),"🚨 NEGLIGENCIA OPERATIVA",IF(AND(L9=0,M9=0),"⬜ SIN DATOS",IF(AND(M9&gt;='M-TECH-VARS'!$C$11,L9&lt;=N9,L9&gt;0),"🔵 GESTIÓN EFICIENTE",IF(ISNUMBER(O9),IF(O9&gt;=0.85,"🔵 EXCELENTE (≥85%)",IF(O9&gt;=0.7,"🟢 SATISFACTORIO (70-84%)",IF(O9&gt;=0.4,"🟡 TRANSICIÓN CRÍTICA (40-69%)","🔴 RUPTURA (&lt;40%)"))),"⬜ SIN DATOS"))))</f>
        <v>⬜ SIN DATOS</v>
      </c>
      <c r="Q9" s="1099">
        <f>IF('M2-PDOT'!G7=1,1,0)</f>
        <v>0</v>
      </c>
      <c r="R9" s="1100" t="e">
        <f t="shared" si="1"/>
        <v>#VALUE!</v>
      </c>
      <c r="S9" s="1096"/>
      <c r="T9" s="1096"/>
      <c r="U9" s="1096"/>
      <c r="V9" s="1096"/>
      <c r="W9" s="1096"/>
      <c r="X9" s="1096"/>
      <c r="Y9" s="1096"/>
      <c r="Z9" s="1101"/>
    </row>
    <row r="10" spans="1:26" ht="22.05" customHeight="1" x14ac:dyDescent="0.3">
      <c r="A10" s="1123">
        <v>5</v>
      </c>
      <c r="B10" s="1124" t="str">
        <f>'M2-PDOT'!B8</f>
        <v>PDOT.SC.OE2.M4.01</v>
      </c>
      <c r="C10" s="1124" t="str">
        <f>'M2-PDOT'!D8</f>
        <v>Proyecto Integral de Desarrollo y Apoyo Comunitario</v>
      </c>
      <c r="D10" s="1124" t="str">
        <f>'M2-PDOT'!C8</f>
        <v>Socio Cultural</v>
      </c>
      <c r="E10" s="1124" t="str">
        <f>'M2-PDOT'!K8</f>
        <v>Dir. Planificación</v>
      </c>
      <c r="F10" s="1125">
        <f>'M2-PDOT'!L8</f>
        <v>1611066</v>
      </c>
      <c r="G10" s="1126" t="str">
        <f>'M-TECH-VARS'!$C$24</f>
        <v>ICM oficial 2024 en decimal. Fuente: Reporte ICM SIGAD 2024 (verificado). Carga masiva 42 seg. 30/05/2025.</v>
      </c>
      <c r="H10" s="1127">
        <f>'M2-PDOT'!E8</f>
        <v>4.8834457728394447E-2</v>
      </c>
      <c r="I10" s="1128">
        <f>'M2-PDOT'!I8</f>
        <v>1</v>
      </c>
      <c r="J10" s="1138" t="str">
        <f>'M2-PDOT'!N8</f>
        <v>⚠️ PARCIAL</v>
      </c>
      <c r="K10" s="1124"/>
      <c r="L10" s="1129">
        <v>0</v>
      </c>
      <c r="M10" s="1242" t="s">
        <v>5044</v>
      </c>
      <c r="N10" s="1089">
        <f t="shared" si="0"/>
        <v>134255.5</v>
      </c>
      <c r="O10" s="1090" t="e">
        <f>IF(AND(M10=0,'M-TECH-VARS'!$C$10&gt;3),"ALERTA",IF('M-TECH-VARS'!$C$11=0,"N/D",M10/(G10*'M-TECH-VARS'!$C$11)))</f>
        <v>#VALUE!</v>
      </c>
      <c r="P10" s="1091" t="str">
        <f>IF(AND(M10=0,'M-TECH-VARS'!$C$10&gt;3),"🚨 NEGLIGENCIA OPERATIVA",IF(AND(L10=0,M10=0),"⬜ SIN DATOS",IF(AND(M10&gt;='M-TECH-VARS'!$C$11,L10&lt;=N10,L10&gt;0),"🔵 GESTIÓN EFICIENTE",IF(ISNUMBER(O10),IF(O10&gt;=0.85,"🔵 EXCELENTE (≥85%)",IF(O10&gt;=0.7,"🟢 SATISFACTORIO (70-84%)",IF(O10&gt;=0.4,"🟡 TRANSICIÓN CRÍTICA (40-69%)","🔴 RUPTURA (&lt;40%)"))),"⬜ SIN DATOS"))))</f>
        <v>⬜ SIN DATOS</v>
      </c>
      <c r="Q10" s="1092">
        <f>IF('M2-PDOT'!G8=1,1,0)</f>
        <v>1</v>
      </c>
      <c r="R10" s="1093" t="e">
        <f t="shared" si="1"/>
        <v>#VALUE!</v>
      </c>
      <c r="S10" s="1088"/>
      <c r="T10" s="1088"/>
      <c r="U10" s="1088"/>
      <c r="V10" s="1088"/>
      <c r="W10" s="1088"/>
      <c r="X10" s="1088"/>
      <c r="Y10" s="1088"/>
      <c r="Z10" s="1094"/>
    </row>
    <row r="11" spans="1:26" ht="22.05" customHeight="1" x14ac:dyDescent="0.3">
      <c r="A11" s="1130">
        <v>6</v>
      </c>
      <c r="B11" s="1131" t="str">
        <f>'M2-PDOT'!B9</f>
        <v>PDOT.AS.OE1.M1.02</v>
      </c>
      <c r="C11" s="1131" t="str">
        <f>'M2-PDOT'!D9</f>
        <v>Gestión para la construcción de nueva infraestructura de tratamiento de aguas residuales</v>
      </c>
      <c r="D11" s="1131" t="str">
        <f>'M2-PDOT'!C9</f>
        <v>Asentamientos Humanos</v>
      </c>
      <c r="E11" s="1131" t="str">
        <f>'M2-PDOT'!K9</f>
        <v>Dir. Agua Potable y Alcantarillado</v>
      </c>
      <c r="F11" s="1132">
        <f>'M2-PDOT'!L9</f>
        <v>1269859.46</v>
      </c>
      <c r="G11" s="1133" t="str">
        <f>'M-TECH-VARS'!$C$24</f>
        <v>ICM oficial 2024 en decimal. Fuente: Reporte ICM SIGAD 2024 (verificado). Carga masiva 42 seg. 30/05/2025.</v>
      </c>
      <c r="H11" s="1134">
        <f>'M2-PDOT'!E9</f>
        <v>3.8491842122155021E-2</v>
      </c>
      <c r="I11" s="1135">
        <f>'M2-PDOT'!I9</f>
        <v>1</v>
      </c>
      <c r="J11" s="1139" t="str">
        <f>'M2-PDOT'!N9</f>
        <v>🔴 BAJA</v>
      </c>
      <c r="K11" s="1131"/>
      <c r="L11" s="1137">
        <v>0</v>
      </c>
      <c r="M11" s="1243" t="s">
        <v>5045</v>
      </c>
      <c r="N11" s="1097">
        <f t="shared" si="0"/>
        <v>105821.62166666666</v>
      </c>
      <c r="O11" s="1098" t="e">
        <f>IF(AND(M11=0,'M-TECH-VARS'!$C$10&gt;3),"ALERTA",IF('M-TECH-VARS'!$C$11=0,"N/D",M11/(G11*'M-TECH-VARS'!$C$11)))</f>
        <v>#VALUE!</v>
      </c>
      <c r="P11" s="1091" t="str">
        <f>IF(AND(M11=0,'M-TECH-VARS'!$C$10&gt;3),"🚨 NEGLIGENCIA OPERATIVA",IF(AND(L11=0,M11=0),"⬜ SIN DATOS",IF(AND(M11&gt;='M-TECH-VARS'!$C$11,L11&lt;=N11,L11&gt;0),"🔵 GESTIÓN EFICIENTE",IF(ISNUMBER(O11),IF(O11&gt;=0.85,"🔵 EXCELENTE (≥85%)",IF(O11&gt;=0.7,"🟢 SATISFACTORIO (70-84%)",IF(O11&gt;=0.4,"🟡 TRANSICIÓN CRÍTICA (40-69%)","🔴 RUPTURA (&lt;40%)"))),"⬜ SIN DATOS"))))</f>
        <v>⬜ SIN DATOS</v>
      </c>
      <c r="Q11" s="1099">
        <f>IF('M2-PDOT'!G9=1,1,0)</f>
        <v>0</v>
      </c>
      <c r="R11" s="1100" t="e">
        <f t="shared" si="1"/>
        <v>#VALUE!</v>
      </c>
      <c r="S11" s="1096"/>
      <c r="T11" s="1096"/>
      <c r="U11" s="1096"/>
      <c r="V11" s="1096"/>
      <c r="W11" s="1096"/>
      <c r="X11" s="1096"/>
      <c r="Y11" s="1096"/>
      <c r="Z11" s="1101"/>
    </row>
    <row r="12" spans="1:26" ht="22.05" customHeight="1" x14ac:dyDescent="0.3">
      <c r="A12" s="1123">
        <v>7</v>
      </c>
      <c r="B12" s="1124" t="str">
        <f>'M2-PDOT'!B10</f>
        <v>PDOT.PI.OE4.M1.01</v>
      </c>
      <c r="C12" s="1124" t="str">
        <f>'M2-PDOT'!D10</f>
        <v>Implementación de la Transformación digital de los procedimientos institucionales</v>
      </c>
      <c r="D12" s="1124" t="str">
        <f>'M2-PDOT'!C10</f>
        <v>Político Institucional</v>
      </c>
      <c r="E12" s="1124" t="str">
        <f>'M2-PDOT'!K10</f>
        <v>Dir. TICs</v>
      </c>
      <c r="F12" s="1125">
        <f>'M2-PDOT'!L10</f>
        <v>1219611.33</v>
      </c>
      <c r="G12" s="1126" t="str">
        <f>'M-TECH-VARS'!$C$24</f>
        <v>ICM oficial 2024 en decimal. Fuente: Reporte ICM SIGAD 2024 (verificado). Carga masiva 42 seg. 30/05/2025.</v>
      </c>
      <c r="H12" s="1127">
        <f>'M2-PDOT'!E10</f>
        <v>3.6968726259480326E-2</v>
      </c>
      <c r="I12" s="1128">
        <f>'M2-PDOT'!I10</f>
        <v>1</v>
      </c>
      <c r="J12" s="1138" t="str">
        <f>'M2-PDOT'!N10</f>
        <v>✅ ALINEADA</v>
      </c>
      <c r="K12" s="1124"/>
      <c r="L12" s="1129">
        <v>0</v>
      </c>
      <c r="M12" s="1239" t="s">
        <v>5046</v>
      </c>
      <c r="N12" s="1089">
        <f t="shared" si="0"/>
        <v>101634.27750000001</v>
      </c>
      <c r="O12" s="1090" t="e">
        <f>IF(AND(M12=0,'M-TECH-VARS'!$C$10&gt;3),"ALERTA",IF('M-TECH-VARS'!$C$11=0,"N/D",M12/(G12*'M-TECH-VARS'!$C$11)))</f>
        <v>#VALUE!</v>
      </c>
      <c r="P12" s="1091" t="str">
        <f>IF(AND(M12=0,'M-TECH-VARS'!$C$10&gt;3),"🚨 NEGLIGENCIA OPERATIVA",IF(AND(L12=0,M12=0),"⬜ SIN DATOS",IF(AND(M12&gt;='M-TECH-VARS'!$C$11,L12&lt;=N12,L12&gt;0),"🔵 GESTIÓN EFICIENTE",IF(ISNUMBER(O12),IF(O12&gt;=0.85,"🔵 EXCELENTE (≥85%)",IF(O12&gt;=0.7,"🟢 SATISFACTORIO (70-84%)",IF(O12&gt;=0.4,"🟡 TRANSICIÓN CRÍTICA (40-69%)","🔴 RUPTURA (&lt;40%)"))),"⬜ SIN DATOS"))))</f>
        <v>⬜ SIN DATOS</v>
      </c>
      <c r="Q12" s="1092">
        <f>IF('M2-PDOT'!G10=1,1,0)</f>
        <v>1</v>
      </c>
      <c r="R12" s="1093" t="e">
        <f t="shared" si="1"/>
        <v>#VALUE!</v>
      </c>
      <c r="S12" s="1088"/>
      <c r="T12" s="1088"/>
      <c r="U12" s="1088"/>
      <c r="V12" s="1088"/>
      <c r="W12" s="1088"/>
      <c r="X12" s="1088"/>
      <c r="Y12" s="1088"/>
      <c r="Z12" s="1094"/>
    </row>
    <row r="13" spans="1:26" ht="22.05" customHeight="1" x14ac:dyDescent="0.3">
      <c r="A13" s="1130">
        <v>8</v>
      </c>
      <c r="B13" s="1131" t="str">
        <f>'M2-PDOT'!B11</f>
        <v>PDOT.AV.OE1.M1.01</v>
      </c>
      <c r="C13" s="1131" t="str">
        <f>'M2-PDOT'!D11</f>
        <v>Recuperación integral de los espacios públicos</v>
      </c>
      <c r="D13" s="1131" t="str">
        <f>'M2-PDOT'!C11</f>
        <v>Asentamientos Humanos</v>
      </c>
      <c r="E13" s="1131" t="str">
        <f>'M2-PDOT'!K11</f>
        <v>Dir. Planificación</v>
      </c>
      <c r="F13" s="1132">
        <f>'M2-PDOT'!L11</f>
        <v>894755.8</v>
      </c>
      <c r="G13" s="1133" t="str">
        <f>'M-TECH-VARS'!$C$24</f>
        <v>ICM oficial 2024 en decimal. Fuente: Reporte ICM SIGAD 2024 (verificado). Carga masiva 42 seg. 30/05/2025.</v>
      </c>
      <c r="H13" s="1134">
        <f>'M2-PDOT'!E11</f>
        <v>2.7121740693637479E-2</v>
      </c>
      <c r="I13" s="1135">
        <f>'M2-PDOT'!I11</f>
        <v>1</v>
      </c>
      <c r="J13" s="1136" t="str">
        <f>'M2-PDOT'!N11</f>
        <v>✅ ALINEADA</v>
      </c>
      <c r="K13" s="1131"/>
      <c r="L13" s="1137">
        <v>0</v>
      </c>
      <c r="M13" s="1118">
        <v>0</v>
      </c>
      <c r="N13" s="1097">
        <f t="shared" si="0"/>
        <v>74562.983333333337</v>
      </c>
      <c r="O13" s="1098" t="str">
        <f>IF(AND(M13=0,'M-TECH-VARS'!$C$10&gt;3),"ALERTA",IF('M-TECH-VARS'!$C$11=0,"N/D",M13/(G13*'M-TECH-VARS'!$C$11)))</f>
        <v>ALERTA</v>
      </c>
      <c r="P13" s="1091" t="str">
        <f>IF(AND(M13=0,'M-TECH-VARS'!$C$10&gt;3),"🚨 NEGLIGENCIA OPERATIVA",IF(AND(L13=0,M13=0),"⬜ SIN DATOS",IF(AND(M13&gt;='M-TECH-VARS'!$C$11,L13&lt;=N13,L13&gt;0),"🔵 GESTIÓN EFICIENTE",IF(ISNUMBER(O13),IF(O13&gt;=0.85,"🔵 EXCELENTE (≥85%)",IF(O13&gt;=0.7,"🟢 SATISFACTORIO (70-84%)",IF(O13&gt;=0.4,"🟡 TRANSICIÓN CRÍTICA (40-69%)","🔴 RUPTURA (&lt;40%)"))),"⬜ SIN DATOS"))))</f>
        <v>🚨 NEGLIGENCIA OPERATIVA</v>
      </c>
      <c r="Q13" s="1099">
        <f>IF('M2-PDOT'!G11=1,1,0)</f>
        <v>1</v>
      </c>
      <c r="R13" s="1100">
        <f t="shared" si="1"/>
        <v>0</v>
      </c>
      <c r="S13" s="1096"/>
      <c r="T13" s="1096"/>
      <c r="U13" s="1096"/>
      <c r="V13" s="1096"/>
      <c r="W13" s="1096"/>
      <c r="X13" s="1096"/>
      <c r="Y13" s="1096"/>
      <c r="Z13" s="1101"/>
    </row>
    <row r="14" spans="1:26" ht="22.05" customHeight="1" x14ac:dyDescent="0.3">
      <c r="A14" s="1123">
        <v>9</v>
      </c>
      <c r="B14" s="1124" t="str">
        <f>'M2-PDOT'!B12</f>
        <v>PDOT.AM.OE3.M1.01</v>
      </c>
      <c r="C14" s="1124" t="str">
        <f>'M2-PDOT'!D12</f>
        <v>Implementación de Infraestructura civil para la mitigación y reducción de impactos ante la susceptib</v>
      </c>
      <c r="D14" s="1124" t="str">
        <f>'M2-PDOT'!C12</f>
        <v>Ambiental</v>
      </c>
      <c r="E14" s="1124" t="str">
        <f>'M2-PDOT'!K12</f>
        <v>Dir. Planificación</v>
      </c>
      <c r="F14" s="1125">
        <f>'M2-PDOT'!L12</f>
        <v>840000</v>
      </c>
      <c r="G14" s="1126" t="str">
        <f>'M-TECH-VARS'!$C$24</f>
        <v>ICM oficial 2024 en decimal. Fuente: Reporte ICM SIGAD 2024 (verificado). Carga masiva 42 seg. 30/05/2025.</v>
      </c>
      <c r="H14" s="1127">
        <f>'M2-PDOT'!E12</f>
        <v>2.5461988827181092E-2</v>
      </c>
      <c r="I14" s="1128">
        <f>'M2-PDOT'!I12</f>
        <v>1</v>
      </c>
      <c r="J14" s="1140" t="str">
        <f>'M2-PDOT'!N12</f>
        <v>🔴 BAJA</v>
      </c>
      <c r="K14" s="1124"/>
      <c r="L14" s="1129">
        <v>0</v>
      </c>
      <c r="M14" s="1117">
        <v>0</v>
      </c>
      <c r="N14" s="1089">
        <f t="shared" si="0"/>
        <v>70000</v>
      </c>
      <c r="O14" s="1090" t="str">
        <f>IF(AND(M14=0,'M-TECH-VARS'!$C$10&gt;3),"ALERTA",IF('M-TECH-VARS'!$C$11=0,"N/D",M14/(G14*'M-TECH-VARS'!$C$11)))</f>
        <v>ALERTA</v>
      </c>
      <c r="P14" s="1091" t="str">
        <f>IF(AND(M14=0,'M-TECH-VARS'!$C$10&gt;3),"🚨 NEGLIGENCIA OPERATIVA",IF(AND(L14=0,M14=0),"⬜ SIN DATOS",IF(AND(M14&gt;='M-TECH-VARS'!$C$11,L14&lt;=N14,L14&gt;0),"🔵 GESTIÓN EFICIENTE",IF(ISNUMBER(O14),IF(O14&gt;=0.85,"🔵 EXCELENTE (≥85%)",IF(O14&gt;=0.7,"🟢 SATISFACTORIO (70-84%)",IF(O14&gt;=0.4,"🟡 TRANSICIÓN CRÍTICA (40-69%)","🔴 RUPTURA (&lt;40%)"))),"⬜ SIN DATOS"))))</f>
        <v>🚨 NEGLIGENCIA OPERATIVA</v>
      </c>
      <c r="Q14" s="1092">
        <f>IF('M2-PDOT'!G12=1,1,0)</f>
        <v>0</v>
      </c>
      <c r="R14" s="1093">
        <f t="shared" si="1"/>
        <v>0</v>
      </c>
      <c r="S14" s="1088"/>
      <c r="T14" s="1088"/>
      <c r="U14" s="1088"/>
      <c r="V14" s="1088"/>
      <c r="W14" s="1088"/>
      <c r="X14" s="1088"/>
      <c r="Y14" s="1088"/>
      <c r="Z14" s="1094"/>
    </row>
    <row r="15" spans="1:26" ht="22.05" customHeight="1" x14ac:dyDescent="0.3">
      <c r="A15" s="1130">
        <v>10</v>
      </c>
      <c r="B15" s="1131" t="str">
        <f>'M2-PDOT'!B13</f>
        <v>PDOT.FA.OE4.AH.02</v>
      </c>
      <c r="C15" s="1131" t="str">
        <f>'M2-PDOT'!D13</f>
        <v>Mejorando la capacidad de
disposición final de desechos sólidos</v>
      </c>
      <c r="D15" s="1131" t="str">
        <f>'M2-PDOT'!C13</f>
        <v>Físico Ambiental</v>
      </c>
      <c r="E15" s="1131" t="str">
        <f>'M2-PDOT'!K13</f>
        <v>Dir. Gestión Ambiental</v>
      </c>
      <c r="F15" s="1132">
        <f>'M2-PDOT'!L13</f>
        <v>748782.57</v>
      </c>
      <c r="G15" s="1133" t="str">
        <f>'M-TECH-VARS'!$C$24</f>
        <v>ICM oficial 2024 en decimal. Fuente: Reporte ICM SIGAD 2024 (verificado). Carga masiva 42 seg. 30/05/2025.</v>
      </c>
      <c r="H15" s="1134">
        <f>'M2-PDOT'!E13</f>
        <v>2.2697015989676123E-2</v>
      </c>
      <c r="I15" s="1135">
        <f>'M2-PDOT'!I13</f>
        <v>1</v>
      </c>
      <c r="J15" s="1136" t="str">
        <f>'M2-PDOT'!N13</f>
        <v>⚠️ PARCIAL</v>
      </c>
      <c r="K15" s="1131"/>
      <c r="L15" s="1137">
        <v>0</v>
      </c>
      <c r="M15" s="1118">
        <v>0</v>
      </c>
      <c r="N15" s="1097">
        <f t="shared" si="0"/>
        <v>62398.547499999993</v>
      </c>
      <c r="O15" s="1098" t="str">
        <f>IF(AND(M15=0,'M-TECH-VARS'!$C$10&gt;3),"ALERTA",IF('M-TECH-VARS'!$C$11=0,"N/D",M15/(G15*'M-TECH-VARS'!$C$11)))</f>
        <v>ALERTA</v>
      </c>
      <c r="P15" s="1091" t="str">
        <f>IF(AND(M15=0,'M-TECH-VARS'!$C$10&gt;3),"🚨 NEGLIGENCIA OPERATIVA",IF(AND(L15=0,M15=0),"⬜ SIN DATOS",IF(AND(M15&gt;='M-TECH-VARS'!$C$11,L15&lt;=N15,L15&gt;0),"🔵 GESTIÓN EFICIENTE",IF(ISNUMBER(O15),IF(O15&gt;=0.85,"🔵 EXCELENTE (≥85%)",IF(O15&gt;=0.7,"🟢 SATISFACTORIO (70-84%)",IF(O15&gt;=0.4,"🟡 TRANSICIÓN CRÍTICA (40-69%)","🔴 RUPTURA (&lt;40%)"))),"⬜ SIN DATOS"))))</f>
        <v>🚨 NEGLIGENCIA OPERATIVA</v>
      </c>
      <c r="Q15" s="1099">
        <f>IF('M2-PDOT'!G13=1,1,0)</f>
        <v>1</v>
      </c>
      <c r="R15" s="1100">
        <f t="shared" si="1"/>
        <v>0</v>
      </c>
      <c r="S15" s="1096"/>
      <c r="T15" s="1096"/>
      <c r="U15" s="1096"/>
      <c r="V15" s="1096"/>
      <c r="W15" s="1096"/>
      <c r="X15" s="1096"/>
      <c r="Y15" s="1096"/>
      <c r="Z15" s="1101"/>
    </row>
    <row r="16" spans="1:26" ht="22.05" customHeight="1" x14ac:dyDescent="0.3">
      <c r="A16" s="1123">
        <v>11</v>
      </c>
      <c r="B16" s="1124" t="str">
        <f>'M2-PDOT'!B14</f>
        <v>PDOT.FA.OE1.PV.01</v>
      </c>
      <c r="C16" s="1124" t="str">
        <f>'M2-PDOT'!D14</f>
        <v>Desarrollo de la red Verde y recuperación del espacio público</v>
      </c>
      <c r="D16" s="1124" t="str">
        <f>'M2-PDOT'!C14</f>
        <v>Físico Ambiental</v>
      </c>
      <c r="E16" s="1124" t="str">
        <f>'M2-PDOT'!K14</f>
        <v>Dir. Gestión Ambiental</v>
      </c>
      <c r="F16" s="1125">
        <f>'M2-PDOT'!L14</f>
        <v>609999.54</v>
      </c>
      <c r="G16" s="1126" t="str">
        <f>'M-TECH-VARS'!$C$24</f>
        <v>ICM oficial 2024 en decimal. Fuente: Reporte ICM SIGAD 2024 (verificado). Carga masiva 42 seg. 30/05/2025.</v>
      </c>
      <c r="H16" s="1127">
        <f>'M2-PDOT'!E14</f>
        <v>1.8490239847697151E-2</v>
      </c>
      <c r="I16" s="1128">
        <f>'M2-PDOT'!I14</f>
        <v>1</v>
      </c>
      <c r="J16" s="1138" t="str">
        <f>'M2-PDOT'!N14</f>
        <v>⚠️ PARCIAL</v>
      </c>
      <c r="K16" s="1124"/>
      <c r="L16" s="1129">
        <v>0</v>
      </c>
      <c r="M16" s="1117">
        <v>0</v>
      </c>
      <c r="N16" s="1089">
        <f t="shared" si="0"/>
        <v>50833.295000000006</v>
      </c>
      <c r="O16" s="1090" t="str">
        <f>IF(AND(M16=0,'M-TECH-VARS'!$C$10&gt;3),"ALERTA",IF('M-TECH-VARS'!$C$11=0,"N/D",M16/(G16*'M-TECH-VARS'!$C$11)))</f>
        <v>ALERTA</v>
      </c>
      <c r="P16" s="1091" t="str">
        <f>IF(AND(M16=0,'M-TECH-VARS'!$C$10&gt;3),"🚨 NEGLIGENCIA OPERATIVA",IF(AND(L16=0,M16=0),"⬜ SIN DATOS",IF(AND(M16&gt;='M-TECH-VARS'!$C$11,L16&lt;=N16,L16&gt;0),"🔵 GESTIÓN EFICIENTE",IF(ISNUMBER(O16),IF(O16&gt;=0.85,"🔵 EXCELENTE (≥85%)",IF(O16&gt;=0.7,"🟢 SATISFACTORIO (70-84%)",IF(O16&gt;=0.4,"🟡 TRANSICIÓN CRÍTICA (40-69%)","🔴 RUPTURA (&lt;40%)"))),"⬜ SIN DATOS"))))</f>
        <v>🚨 NEGLIGENCIA OPERATIVA</v>
      </c>
      <c r="Q16" s="1092">
        <f>IF('M2-PDOT'!G14=1,1,0)</f>
        <v>1</v>
      </c>
      <c r="R16" s="1093">
        <f t="shared" si="1"/>
        <v>0</v>
      </c>
      <c r="S16" s="1088"/>
      <c r="T16" s="1088"/>
      <c r="U16" s="1088"/>
      <c r="V16" s="1088"/>
      <c r="W16" s="1088"/>
      <c r="X16" s="1088"/>
      <c r="Y16" s="1088"/>
      <c r="Z16" s="1094"/>
    </row>
    <row r="17" spans="1:26" ht="22.05" customHeight="1" x14ac:dyDescent="0.3">
      <c r="A17" s="1130">
        <v>12</v>
      </c>
      <c r="B17" s="1131" t="str">
        <f>'M2-PDOT'!B15</f>
        <v>PDOT.PI.OE4.M2.01</v>
      </c>
      <c r="C17" s="1131" t="str">
        <f>'M2-PDOT'!D15</f>
        <v>Fortalecimiento del Sistema de Información Territorial Municipal</v>
      </c>
      <c r="D17" s="1131" t="str">
        <f>'M2-PDOT'!C15</f>
        <v>Político Institucional</v>
      </c>
      <c r="E17" s="1131" t="str">
        <f>'M2-PDOT'!K15</f>
        <v>Dir. TICs</v>
      </c>
      <c r="F17" s="1132">
        <f>'M2-PDOT'!L15</f>
        <v>600955.82999999996</v>
      </c>
      <c r="G17" s="1133" t="str">
        <f>'M-TECH-VARS'!$C$24</f>
        <v>ICM oficial 2024 en decimal. Fuente: Reporte ICM SIGAD 2024 (verificado). Carga masiva 42 seg. 30/05/2025.</v>
      </c>
      <c r="H17" s="1134">
        <f>'M2-PDOT'!E15</f>
        <v>1.8216107891773022E-2</v>
      </c>
      <c r="I17" s="1135">
        <f>'M2-PDOT'!I15</f>
        <v>1</v>
      </c>
      <c r="J17" s="1139" t="str">
        <f>'M2-PDOT'!N15</f>
        <v>🔴 BAJA</v>
      </c>
      <c r="K17" s="1131"/>
      <c r="L17" s="1137">
        <v>0</v>
      </c>
      <c r="M17" s="1118">
        <v>0</v>
      </c>
      <c r="N17" s="1097">
        <f t="shared" si="0"/>
        <v>50079.652499999997</v>
      </c>
      <c r="O17" s="1098" t="str">
        <f>IF(AND(M17=0,'M-TECH-VARS'!$C$10&gt;3),"ALERTA",IF('M-TECH-VARS'!$C$11=0,"N/D",M17/(G17*'M-TECH-VARS'!$C$11)))</f>
        <v>ALERTA</v>
      </c>
      <c r="P17" s="1091" t="str">
        <f>IF(AND(M17=0,'M-TECH-VARS'!$C$10&gt;3),"🚨 NEGLIGENCIA OPERATIVA",IF(AND(L17=0,M17=0),"⬜ SIN DATOS",IF(AND(M17&gt;='M-TECH-VARS'!$C$11,L17&lt;=N17,L17&gt;0),"🔵 GESTIÓN EFICIENTE",IF(ISNUMBER(O17),IF(O17&gt;=0.85,"🔵 EXCELENTE (≥85%)",IF(O17&gt;=0.7,"🟢 SATISFACTORIO (70-84%)",IF(O17&gt;=0.4,"🟡 TRANSICIÓN CRÍTICA (40-69%)","🔴 RUPTURA (&lt;40%)"))),"⬜ SIN DATOS"))))</f>
        <v>🚨 NEGLIGENCIA OPERATIVA</v>
      </c>
      <c r="Q17" s="1099">
        <f>IF('M2-PDOT'!G15=1,1,0)</f>
        <v>0</v>
      </c>
      <c r="R17" s="1100">
        <f t="shared" si="1"/>
        <v>0</v>
      </c>
      <c r="S17" s="1096"/>
      <c r="T17" s="1096"/>
      <c r="U17" s="1096"/>
      <c r="V17" s="1096"/>
      <c r="W17" s="1096"/>
      <c r="X17" s="1096"/>
      <c r="Y17" s="1096"/>
      <c r="Z17" s="1101"/>
    </row>
    <row r="18" spans="1:26" ht="22.05" customHeight="1" x14ac:dyDescent="0.3">
      <c r="A18" s="1123">
        <v>13</v>
      </c>
      <c r="B18" s="1124" t="str">
        <f>'M2-PDOT'!B16</f>
        <v>PDOT.PI.OE4.FI.01</v>
      </c>
      <c r="C18" s="1124" t="str">
        <f>'M2-PDOT'!D16</f>
        <v>Desarrollo e implementación de Planes Estratégicos Institucionales</v>
      </c>
      <c r="D18" s="1124" t="str">
        <f>'M2-PDOT'!C16</f>
        <v>Político Institucional</v>
      </c>
      <c r="E18" s="1124" t="str">
        <f>'M2-PDOT'!K16</f>
        <v>Dir. Planificación</v>
      </c>
      <c r="F18" s="1125">
        <f>'M2-PDOT'!L16</f>
        <v>412973</v>
      </c>
      <c r="G18" s="1126" t="str">
        <f>'M-TECH-VARS'!$C$24</f>
        <v>ICM oficial 2024 en decimal. Fuente: Reporte ICM SIGAD 2024 (verificado). Carga masiva 42 seg. 30/05/2025.</v>
      </c>
      <c r="H18" s="1127">
        <f>'M2-PDOT'!E16</f>
        <v>1.2517992752294592E-2</v>
      </c>
      <c r="I18" s="1128">
        <f>'M2-PDOT'!I16</f>
        <v>1</v>
      </c>
      <c r="J18" s="1138" t="str">
        <f>'M2-PDOT'!N16</f>
        <v>⚠️ PARCIAL</v>
      </c>
      <c r="K18" s="1124"/>
      <c r="L18" s="1129">
        <v>0</v>
      </c>
      <c r="M18" s="1117">
        <v>0</v>
      </c>
      <c r="N18" s="1089">
        <f t="shared" si="0"/>
        <v>34414.416666666664</v>
      </c>
      <c r="O18" s="1090" t="str">
        <f>IF(AND(M18=0,'M-TECH-VARS'!$C$10&gt;3),"ALERTA",IF('M-TECH-VARS'!$C$11=0,"N/D",M18/(G18*'M-TECH-VARS'!$C$11)))</f>
        <v>ALERTA</v>
      </c>
      <c r="P18" s="1091" t="str">
        <f>IF(AND(M18=0,'M-TECH-VARS'!$C$10&gt;3),"🚨 NEGLIGENCIA OPERATIVA",IF(AND(L18=0,M18=0),"⬜ SIN DATOS",IF(AND(M18&gt;='M-TECH-VARS'!$C$11,L18&lt;=N18,L18&gt;0),"🔵 GESTIÓN EFICIENTE",IF(ISNUMBER(O18),IF(O18&gt;=0.85,"🔵 EXCELENTE (≥85%)",IF(O18&gt;=0.7,"🟢 SATISFACTORIO (70-84%)",IF(O18&gt;=0.4,"🟡 TRANSICIÓN CRÍTICA (40-69%)","🔴 RUPTURA (&lt;40%)"))),"⬜ SIN DATOS"))))</f>
        <v>🚨 NEGLIGENCIA OPERATIVA</v>
      </c>
      <c r="Q18" s="1092">
        <f>IF('M2-PDOT'!G16=1,1,0)</f>
        <v>1</v>
      </c>
      <c r="R18" s="1093">
        <f t="shared" si="1"/>
        <v>0</v>
      </c>
      <c r="S18" s="1088"/>
      <c r="T18" s="1088"/>
      <c r="U18" s="1088"/>
      <c r="V18" s="1088"/>
      <c r="W18" s="1088"/>
      <c r="X18" s="1088"/>
      <c r="Y18" s="1088"/>
      <c r="Z18" s="1094"/>
    </row>
    <row r="19" spans="1:26" ht="22.05" customHeight="1" x14ac:dyDescent="0.3">
      <c r="A19" s="1130">
        <v>14</v>
      </c>
      <c r="B19" s="1131" t="str">
        <f>'M2-PDOT'!B17</f>
        <v>PDOT.AS.VV.HB.01</v>
      </c>
      <c r="C19" s="1131" t="str">
        <f>'M2-PDOT'!D17</f>
        <v>Repoteciación de viviendas en
condiciones precarias</v>
      </c>
      <c r="D19" s="1131" t="str">
        <f>'M2-PDOT'!C17</f>
        <v>Asentamientos Humanos</v>
      </c>
      <c r="E19" s="1131" t="str">
        <f>'M2-PDOT'!K17</f>
        <v>Dir. Planificación Territorial</v>
      </c>
      <c r="F19" s="1132">
        <f>'M2-PDOT'!L17</f>
        <v>324000</v>
      </c>
      <c r="G19" s="1133" t="str">
        <f>'M-TECH-VARS'!$C$24</f>
        <v>ICM oficial 2024 en decimal. Fuente: Reporte ICM SIGAD 2024 (verificado). Carga masiva 42 seg. 30/05/2025.</v>
      </c>
      <c r="H19" s="1134">
        <f>'M2-PDOT'!E17</f>
        <v>9.8210528333412782E-3</v>
      </c>
      <c r="I19" s="1135">
        <f>'M2-PDOT'!I17</f>
        <v>1</v>
      </c>
      <c r="J19" s="1136" t="str">
        <f>'M2-PDOT'!N17</f>
        <v>✅ ALINEADA</v>
      </c>
      <c r="K19" s="1131"/>
      <c r="L19" s="1137">
        <v>0</v>
      </c>
      <c r="M19" s="1118">
        <v>0</v>
      </c>
      <c r="N19" s="1097">
        <f t="shared" si="0"/>
        <v>27000</v>
      </c>
      <c r="O19" s="1098" t="str">
        <f>IF(AND(M19=0,'M-TECH-VARS'!$C$10&gt;3),"ALERTA",IF('M-TECH-VARS'!$C$11=0,"N/D",M19/(G19*'M-TECH-VARS'!$C$11)))</f>
        <v>ALERTA</v>
      </c>
      <c r="P19" s="1091" t="str">
        <f>IF(AND(M19=0,'M-TECH-VARS'!$C$10&gt;3),"🚨 NEGLIGENCIA OPERATIVA",IF(AND(L19=0,M19=0),"⬜ SIN DATOS",IF(AND(M19&gt;='M-TECH-VARS'!$C$11,L19&lt;=N19,L19&gt;0),"🔵 GESTIÓN EFICIENTE",IF(ISNUMBER(O19),IF(O19&gt;=0.85,"🔵 EXCELENTE (≥85%)",IF(O19&gt;=0.7,"🟢 SATISFACTORIO (70-84%)",IF(O19&gt;=0.4,"🟡 TRANSICIÓN CRÍTICA (40-69%)","🔴 RUPTURA (&lt;40%)"))),"⬜ SIN DATOS"))))</f>
        <v>🚨 NEGLIGENCIA OPERATIVA</v>
      </c>
      <c r="Q19" s="1099">
        <f>IF('M2-PDOT'!G17=1,1,0)</f>
        <v>1</v>
      </c>
      <c r="R19" s="1100">
        <f t="shared" si="1"/>
        <v>0</v>
      </c>
      <c r="S19" s="1096"/>
      <c r="T19" s="1096"/>
      <c r="U19" s="1096"/>
      <c r="V19" s="1096"/>
      <c r="W19" s="1096"/>
      <c r="X19" s="1096"/>
      <c r="Y19" s="1096"/>
      <c r="Z19" s="1101"/>
    </row>
    <row r="20" spans="1:26" ht="22.05" customHeight="1" x14ac:dyDescent="0.3">
      <c r="A20" s="1123">
        <v>15</v>
      </c>
      <c r="B20" s="1124" t="str">
        <f>'M2-PDOT'!B18</f>
        <v>PDOT.SC.PA.CP.01</v>
      </c>
      <c r="C20" s="1124" t="str">
        <f>'M2-PDOT'!D18</f>
        <v>Generación del Catastro
y clasificación de artistas y gestores culturales en el RUAC (Registro Único</v>
      </c>
      <c r="D20" s="1124" t="str">
        <f>'M2-PDOT'!C18</f>
        <v>Socio Cultural</v>
      </c>
      <c r="E20" s="1124" t="str">
        <f>'M2-PDOT'!K18</f>
        <v>Dir. Cultura</v>
      </c>
      <c r="F20" s="1125">
        <f>'M2-PDOT'!L18</f>
        <v>284047.5</v>
      </c>
      <c r="G20" s="1126" t="str">
        <f>'M-TECH-VARS'!$C$24</f>
        <v>ICM oficial 2024 en decimal. Fuente: Reporte ICM SIGAD 2024 (verificado). Carga masiva 42 seg. 30/05/2025.</v>
      </c>
      <c r="H20" s="1127">
        <f>'M2-PDOT'!E18</f>
        <v>8.6100169897484775E-3</v>
      </c>
      <c r="I20" s="1128">
        <f>'M2-PDOT'!I18</f>
        <v>1</v>
      </c>
      <c r="J20" s="1140" t="str">
        <f>'M2-PDOT'!N18</f>
        <v>🔴 BAJA</v>
      </c>
      <c r="K20" s="1124"/>
      <c r="L20" s="1129">
        <v>0</v>
      </c>
      <c r="M20" s="1117">
        <v>0</v>
      </c>
      <c r="N20" s="1089">
        <f t="shared" si="0"/>
        <v>23670.625</v>
      </c>
      <c r="O20" s="1090" t="str">
        <f>IF(AND(M20=0,'M-TECH-VARS'!$C$10&gt;3),"ALERTA",IF('M-TECH-VARS'!$C$11=0,"N/D",M20/(G20*'M-TECH-VARS'!$C$11)))</f>
        <v>ALERTA</v>
      </c>
      <c r="P20" s="1091" t="str">
        <f>IF(AND(M20=0,'M-TECH-VARS'!$C$10&gt;3),"🚨 NEGLIGENCIA OPERATIVA",IF(AND(L20=0,M20=0),"⬜ SIN DATOS",IF(AND(M20&gt;='M-TECH-VARS'!$C$11,L20&lt;=N20,L20&gt;0),"🔵 GESTIÓN EFICIENTE",IF(ISNUMBER(O20),IF(O20&gt;=0.85,"🔵 EXCELENTE (≥85%)",IF(O20&gt;=0.7,"🟢 SATISFACTORIO (70-84%)",IF(O20&gt;=0.4,"🟡 TRANSICIÓN CRÍTICA (40-69%)","🔴 RUPTURA (&lt;40%)"))),"⬜ SIN DATOS"))))</f>
        <v>🚨 NEGLIGENCIA OPERATIVA</v>
      </c>
      <c r="Q20" s="1092">
        <f>IF('M2-PDOT'!G18=1,1,0)</f>
        <v>0</v>
      </c>
      <c r="R20" s="1093">
        <f t="shared" si="1"/>
        <v>0</v>
      </c>
      <c r="S20" s="1088"/>
      <c r="T20" s="1088"/>
      <c r="U20" s="1088"/>
      <c r="V20" s="1088"/>
      <c r="W20" s="1088"/>
      <c r="X20" s="1088"/>
      <c r="Y20" s="1088"/>
      <c r="Z20" s="1094"/>
    </row>
    <row r="21" spans="1:26" ht="22.05" customHeight="1" x14ac:dyDescent="0.3">
      <c r="A21" s="1130">
        <v>16</v>
      </c>
      <c r="B21" s="1131" t="str">
        <f>'M2-PDOT'!B19</f>
        <v>PDOT.EP.OE5.PD.01</v>
      </c>
      <c r="C21" s="1131" t="str">
        <f>'M2-PDOT'!D19</f>
        <v>Implementación de Ferias Productivas
y Feria de Negocios para Emprendedores del Cantón Montecristi</v>
      </c>
      <c r="D21" s="1131" t="str">
        <f>'M2-PDOT'!C19</f>
        <v>Económico Productivo</v>
      </c>
      <c r="E21" s="1131" t="str">
        <f>'M2-PDOT'!K19</f>
        <v>Dir. Desarrollo Económico</v>
      </c>
      <c r="F21" s="1132">
        <f>'M2-PDOT'!L19</f>
        <v>109763.4</v>
      </c>
      <c r="G21" s="1133" t="str">
        <f>'M-TECH-VARS'!$C$24</f>
        <v>ICM oficial 2024 en decimal. Fuente: Reporte ICM SIGAD 2024 (verificado). Carga masiva 42 seg. 30/05/2025.</v>
      </c>
      <c r="H21" s="1134">
        <f>'M2-PDOT'!E19</f>
        <v>3.3271362671826298E-3</v>
      </c>
      <c r="I21" s="1135">
        <f>'M2-PDOT'!I19</f>
        <v>1</v>
      </c>
      <c r="J21" s="1136" t="str">
        <f>'M2-PDOT'!N19</f>
        <v>✅ ALINEADA</v>
      </c>
      <c r="K21" s="1131"/>
      <c r="L21" s="1137">
        <v>0</v>
      </c>
      <c r="M21" s="1118">
        <v>0</v>
      </c>
      <c r="N21" s="1097">
        <f t="shared" si="0"/>
        <v>9146.9499999999989</v>
      </c>
      <c r="O21" s="1098" t="str">
        <f>IF(AND(M21=0,'M-TECH-VARS'!$C$10&gt;3),"ALERTA",IF('M-TECH-VARS'!$C$11=0,"N/D",M21/(G21*'M-TECH-VARS'!$C$11)))</f>
        <v>ALERTA</v>
      </c>
      <c r="P21" s="1091" t="str">
        <f>IF(AND(M21=0,'M-TECH-VARS'!$C$10&gt;3),"🚨 NEGLIGENCIA OPERATIVA",IF(AND(L21=0,M21=0),"⬜ SIN DATOS",IF(AND(M21&gt;='M-TECH-VARS'!$C$11,L21&lt;=N21,L21&gt;0),"🔵 GESTIÓN EFICIENTE",IF(ISNUMBER(O21),IF(O21&gt;=0.85,"🔵 EXCELENTE (≥85%)",IF(O21&gt;=0.7,"🟢 SATISFACTORIO (70-84%)",IF(O21&gt;=0.4,"🟡 TRANSICIÓN CRÍTICA (40-69%)","🔴 RUPTURA (&lt;40%)"))),"⬜ SIN DATOS"))))</f>
        <v>🚨 NEGLIGENCIA OPERATIVA</v>
      </c>
      <c r="Q21" s="1099">
        <f>IF('M2-PDOT'!G19=1,1,0)</f>
        <v>1</v>
      </c>
      <c r="R21" s="1100">
        <f t="shared" si="1"/>
        <v>0</v>
      </c>
      <c r="S21" s="1096"/>
      <c r="T21" s="1096"/>
      <c r="U21" s="1096"/>
      <c r="V21" s="1096"/>
      <c r="W21" s="1096"/>
      <c r="X21" s="1096"/>
      <c r="Y21" s="1096"/>
      <c r="Z21" s="1101"/>
    </row>
    <row r="22" spans="1:26" ht="22.05" customHeight="1" x14ac:dyDescent="0.3">
      <c r="A22" s="1123">
        <v>17</v>
      </c>
      <c r="B22" s="1124" t="str">
        <f>'M2-PDOT'!B20</f>
        <v>PDOT.SC.PA.CP.02</v>
      </c>
      <c r="C22" s="1124" t="str">
        <f>'M2-PDOT'!D20</f>
        <v>Creación del Inventario del Patrimonio Cultural de Montecristi</v>
      </c>
      <c r="D22" s="1124" t="str">
        <f>'M2-PDOT'!C20</f>
        <v>Socio Cultural</v>
      </c>
      <c r="E22" s="1124" t="str">
        <f>'M2-PDOT'!K20</f>
        <v>Dir. Cultura</v>
      </c>
      <c r="F22" s="1125">
        <f>'M2-PDOT'!L20</f>
        <v>214401.43</v>
      </c>
      <c r="G22" s="1126" t="str">
        <f>'M-TECH-VARS'!$C$24</f>
        <v>ICM oficial 2024 en decimal. Fuente: Reporte ICM SIGAD 2024 (verificado). Carga masiva 42 seg. 30/05/2025.</v>
      </c>
      <c r="H22" s="1127">
        <f>'M2-PDOT'!E20</f>
        <v>6.4989128752281538E-3</v>
      </c>
      <c r="I22" s="1128">
        <f>'M2-PDOT'!I20</f>
        <v>1</v>
      </c>
      <c r="J22" s="1138" t="str">
        <f>'M2-PDOT'!N20</f>
        <v>✅ ALINEADA</v>
      </c>
      <c r="K22" s="1124"/>
      <c r="L22" s="1129">
        <v>0</v>
      </c>
      <c r="M22" s="1117">
        <v>0</v>
      </c>
      <c r="N22" s="1089">
        <f t="shared" si="0"/>
        <v>17866.785833333332</v>
      </c>
      <c r="O22" s="1090" t="str">
        <f>IF(AND(M22=0,'M-TECH-VARS'!$C$10&gt;3),"ALERTA",IF('M-TECH-VARS'!$C$11=0,"N/D",M22/(G22*'M-TECH-VARS'!$C$11)))</f>
        <v>ALERTA</v>
      </c>
      <c r="P22" s="1091" t="str">
        <f>IF(AND(M22=0,'M-TECH-VARS'!$C$10&gt;3),"🚨 NEGLIGENCIA OPERATIVA",IF(AND(L22=0,M22=0),"⬜ SIN DATOS",IF(AND(M22&gt;='M-TECH-VARS'!$C$11,L22&lt;=N22,L22&gt;0),"🔵 GESTIÓN EFICIENTE",IF(ISNUMBER(O22),IF(O22&gt;=0.85,"🔵 EXCELENTE (≥85%)",IF(O22&gt;=0.7,"🟢 SATISFACTORIO (70-84%)",IF(O22&gt;=0.4,"🟡 TRANSICIÓN CRÍTICA (40-69%)","🔴 RUPTURA (&lt;40%)"))),"⬜ SIN DATOS"))))</f>
        <v>🚨 NEGLIGENCIA OPERATIVA</v>
      </c>
      <c r="Q22" s="1092">
        <f>IF('M2-PDOT'!G20=1,1,0)</f>
        <v>1</v>
      </c>
      <c r="R22" s="1093">
        <f t="shared" si="1"/>
        <v>0</v>
      </c>
      <c r="S22" s="1088"/>
      <c r="T22" s="1088"/>
      <c r="U22" s="1088"/>
      <c r="V22" s="1088"/>
      <c r="W22" s="1088"/>
      <c r="X22" s="1088"/>
      <c r="Y22" s="1088"/>
      <c r="Z22" s="1094"/>
    </row>
    <row r="23" spans="1:26" ht="22.05" customHeight="1" x14ac:dyDescent="0.3">
      <c r="A23" s="1130">
        <v>18</v>
      </c>
      <c r="B23" s="1131" t="str">
        <f>'M2-PDOT'!B21</f>
        <v>PDOT.AS.VL.SV.01</v>
      </c>
      <c r="C23" s="1131" t="str">
        <f>'M2-PDOT'!D21</f>
        <v>Mejora del servicio deTransporte Público</v>
      </c>
      <c r="D23" s="1131" t="str">
        <f>'M2-PDOT'!C21</f>
        <v>Asentamientos Humanos</v>
      </c>
      <c r="E23" s="1131" t="str">
        <f>'M2-PDOT'!K21</f>
        <v>Dir. Tránsito y Transporte</v>
      </c>
      <c r="F23" s="1132">
        <f>'M2-PDOT'!L21</f>
        <v>153000</v>
      </c>
      <c r="G23" s="1133" t="str">
        <f>'M-TECH-VARS'!$C$24</f>
        <v>ICM oficial 2024 en decimal. Fuente: Reporte ICM SIGAD 2024 (verificado). Carga masiva 42 seg. 30/05/2025.</v>
      </c>
      <c r="H23" s="1134">
        <f>'M2-PDOT'!E21</f>
        <v>4.6377193935222705E-3</v>
      </c>
      <c r="I23" s="1135">
        <f>'M2-PDOT'!I21</f>
        <v>1</v>
      </c>
      <c r="J23" s="1136" t="str">
        <f>'M2-PDOT'!N21</f>
        <v>⚠️ PARCIAL</v>
      </c>
      <c r="K23" s="1131"/>
      <c r="L23" s="1137">
        <v>0</v>
      </c>
      <c r="M23" s="1118">
        <v>0</v>
      </c>
      <c r="N23" s="1097">
        <f t="shared" si="0"/>
        <v>12750</v>
      </c>
      <c r="O23" s="1098" t="str">
        <f>IF(AND(M23=0,'M-TECH-VARS'!$C$10&gt;3),"ALERTA",IF('M-TECH-VARS'!$C$11=0,"N/D",M23/(G23*'M-TECH-VARS'!$C$11)))</f>
        <v>ALERTA</v>
      </c>
      <c r="P23" s="1091" t="str">
        <f>IF(AND(M23=0,'M-TECH-VARS'!$C$10&gt;3),"🚨 NEGLIGENCIA OPERATIVA",IF(AND(L23=0,M23=0),"⬜ SIN DATOS",IF(AND(M23&gt;='M-TECH-VARS'!$C$11,L23&lt;=N23,L23&gt;0),"🔵 GESTIÓN EFICIENTE",IF(ISNUMBER(O23),IF(O23&gt;=0.85,"🔵 EXCELENTE (≥85%)",IF(O23&gt;=0.7,"🟢 SATISFACTORIO (70-84%)",IF(O23&gt;=0.4,"🟡 TRANSICIÓN CRÍTICA (40-69%)","🔴 RUPTURA (&lt;40%)"))),"⬜ SIN DATOS"))))</f>
        <v>🚨 NEGLIGENCIA OPERATIVA</v>
      </c>
      <c r="Q23" s="1099">
        <f>IF('M2-PDOT'!G21=1,1,0)</f>
        <v>1</v>
      </c>
      <c r="R23" s="1100">
        <f t="shared" si="1"/>
        <v>0</v>
      </c>
      <c r="S23" s="1096"/>
      <c r="T23" s="1096"/>
      <c r="U23" s="1096"/>
      <c r="V23" s="1096"/>
      <c r="W23" s="1096"/>
      <c r="X23" s="1096"/>
      <c r="Y23" s="1096"/>
      <c r="Z23" s="1101"/>
    </row>
    <row r="24" spans="1:26" ht="22.05" customHeight="1" x14ac:dyDescent="0.3">
      <c r="A24" s="1123">
        <v>19</v>
      </c>
      <c r="B24" s="1124" t="str">
        <f>'M2-PDOT'!B22</f>
        <v>PDOT.SC.OE2.M2.01</v>
      </c>
      <c r="C24" s="1124" t="str">
        <f>'M2-PDOT'!D22</f>
        <v>Fortalecimiento para la reducción de indicadores territoriales del cantón Montecristi relacionados a</v>
      </c>
      <c r="D24" s="1124" t="str">
        <f>'M2-PDOT'!C22</f>
        <v>Socio Cultural</v>
      </c>
      <c r="E24" s="1124" t="str">
        <f>'M2-PDOT'!K22</f>
        <v>Dir. Planificación</v>
      </c>
      <c r="F24" s="1125">
        <f>'M2-PDOT'!L22</f>
        <v>144000</v>
      </c>
      <c r="G24" s="1126" t="str">
        <f>'M-TECH-VARS'!$C$24</f>
        <v>ICM oficial 2024 en decimal. Fuente: Reporte ICM SIGAD 2024 (verificado). Carga masiva 42 seg. 30/05/2025.</v>
      </c>
      <c r="H24" s="1127">
        <f>'M2-PDOT'!E22</f>
        <v>4.364912370373902E-3</v>
      </c>
      <c r="I24" s="1128">
        <f>'M2-PDOT'!I22</f>
        <v>1</v>
      </c>
      <c r="J24" s="1138" t="str">
        <f>'M2-PDOT'!N22</f>
        <v>⚠️ PARCIAL</v>
      </c>
      <c r="K24" s="1124"/>
      <c r="L24" s="1129">
        <v>0</v>
      </c>
      <c r="M24" s="1117">
        <v>0</v>
      </c>
      <c r="N24" s="1089">
        <f t="shared" si="0"/>
        <v>12000</v>
      </c>
      <c r="O24" s="1090" t="str">
        <f>IF(AND(M24=0,'M-TECH-VARS'!$C$10&gt;3),"ALERTA",IF('M-TECH-VARS'!$C$11=0,"N/D",M24/(G24*'M-TECH-VARS'!$C$11)))</f>
        <v>ALERTA</v>
      </c>
      <c r="P24" s="1091" t="str">
        <f>IF(AND(M24=0,'M-TECH-VARS'!$C$10&gt;3),"🚨 NEGLIGENCIA OPERATIVA",IF(AND(L24=0,M24=0),"⬜ SIN DATOS",IF(AND(M24&gt;='M-TECH-VARS'!$C$11,L24&lt;=N24,L24&gt;0),"🔵 GESTIÓN EFICIENTE",IF(ISNUMBER(O24),IF(O24&gt;=0.85,"🔵 EXCELENTE (≥85%)",IF(O24&gt;=0.7,"🟢 SATISFACTORIO (70-84%)",IF(O24&gt;=0.4,"🟡 TRANSICIÓN CRÍTICA (40-69%)","🔴 RUPTURA (&lt;40%)"))),"⬜ SIN DATOS"))))</f>
        <v>🚨 NEGLIGENCIA OPERATIVA</v>
      </c>
      <c r="Q24" s="1092">
        <f>IF('M2-PDOT'!G22=1,1,0)</f>
        <v>1</v>
      </c>
      <c r="R24" s="1093">
        <f t="shared" si="1"/>
        <v>0</v>
      </c>
      <c r="S24" s="1088"/>
      <c r="T24" s="1088"/>
      <c r="U24" s="1088"/>
      <c r="V24" s="1088"/>
      <c r="W24" s="1088"/>
      <c r="X24" s="1088"/>
      <c r="Y24" s="1088"/>
      <c r="Z24" s="1094"/>
    </row>
    <row r="25" spans="1:26" ht="22.05" customHeight="1" x14ac:dyDescent="0.3">
      <c r="A25" s="1130">
        <v>20</v>
      </c>
      <c r="B25" s="1131" t="str">
        <f>'M2-PDOT'!B23</f>
        <v>PDOT.FA.OE2.MA.01</v>
      </c>
      <c r="C25" s="1131" t="str">
        <f>'M2-PDOT'!D23</f>
        <v>Campaña de sensibilización a las unidades
educativas para fomentar la cultura del reciclaje.</v>
      </c>
      <c r="D25" s="1131" t="str">
        <f>'M2-PDOT'!C23</f>
        <v>Físico Ambiental</v>
      </c>
      <c r="E25" s="1131" t="str">
        <f>'M2-PDOT'!K23</f>
        <v>Dir. Cultura</v>
      </c>
      <c r="F25" s="1132">
        <f>'M2-PDOT'!L23</f>
        <v>137136.64000000001</v>
      </c>
      <c r="G25" s="1133" t="str">
        <f>'M-TECH-VARS'!$C$24</f>
        <v>ICM oficial 2024 en decimal. Fuente: Reporte ICM SIGAD 2024 (verificado). Carga masiva 42 seg. 30/05/2025.</v>
      </c>
      <c r="H25" s="1134">
        <f>'M2-PDOT'!E23</f>
        <v>4.1568709469966139E-3</v>
      </c>
      <c r="I25" s="1135">
        <f>'M2-PDOT'!I23</f>
        <v>1</v>
      </c>
      <c r="J25" s="1136" t="str">
        <f>'M2-PDOT'!N23</f>
        <v>✅ ALINEADA</v>
      </c>
      <c r="K25" s="1131"/>
      <c r="L25" s="1137">
        <v>0</v>
      </c>
      <c r="M25" s="1118">
        <v>0</v>
      </c>
      <c r="N25" s="1097">
        <f t="shared" si="0"/>
        <v>11428.053333333335</v>
      </c>
      <c r="O25" s="1098" t="str">
        <f>IF(AND(M25=0,'M-TECH-VARS'!$C$10&gt;3),"ALERTA",IF('M-TECH-VARS'!$C$11=0,"N/D",M25/(G25*'M-TECH-VARS'!$C$11)))</f>
        <v>ALERTA</v>
      </c>
      <c r="P25" s="1091" t="str">
        <f>IF(AND(M25=0,'M-TECH-VARS'!$C$10&gt;3),"🚨 NEGLIGENCIA OPERATIVA",IF(AND(L25=0,M25=0),"⬜ SIN DATOS",IF(AND(M25&gt;='M-TECH-VARS'!$C$11,L25&lt;=N25,L25&gt;0),"🔵 GESTIÓN EFICIENTE",IF(ISNUMBER(O25),IF(O25&gt;=0.85,"🔵 EXCELENTE (≥85%)",IF(O25&gt;=0.7,"🟢 SATISFACTORIO (70-84%)",IF(O25&gt;=0.4,"🟡 TRANSICIÓN CRÍTICA (40-69%)","🔴 RUPTURA (&lt;40%)"))),"⬜ SIN DATOS"))))</f>
        <v>🚨 NEGLIGENCIA OPERATIVA</v>
      </c>
      <c r="Q25" s="1099">
        <f>IF('M2-PDOT'!G23=1,1,0)</f>
        <v>1</v>
      </c>
      <c r="R25" s="1100">
        <f t="shared" si="1"/>
        <v>0</v>
      </c>
      <c r="S25" s="1096"/>
      <c r="T25" s="1096"/>
      <c r="U25" s="1096"/>
      <c r="V25" s="1096"/>
      <c r="W25" s="1096"/>
      <c r="X25" s="1096"/>
      <c r="Y25" s="1096"/>
      <c r="Z25" s="1101"/>
    </row>
    <row r="26" spans="1:26" ht="19.95" customHeight="1" thickBot="1" x14ac:dyDescent="0.35">
      <c r="A26" s="1141" t="s">
        <v>683</v>
      </c>
      <c r="B26" s="4140" t="s">
        <v>4033</v>
      </c>
      <c r="C26" s="4140"/>
      <c r="D26" s="1142" t="s">
        <v>4034</v>
      </c>
      <c r="E26" s="1142"/>
      <c r="F26" s="1143">
        <f>SUM(F6:F25)</f>
        <v>32990353.02</v>
      </c>
      <c r="G26" s="1142"/>
      <c r="H26" s="1144">
        <f>SUM(H6:H25)</f>
        <v>1.0000000000000002</v>
      </c>
      <c r="I26" s="1142"/>
      <c r="J26" s="1142"/>
      <c r="K26" s="1142" t="s">
        <v>4035</v>
      </c>
      <c r="L26" s="1145">
        <f>SUM(L6:L25)</f>
        <v>0</v>
      </c>
      <c r="M26" s="1119">
        <f>AVERAGE(M6:M25)</f>
        <v>0</v>
      </c>
      <c r="N26" s="1103">
        <f>SUM(N6:N25)</f>
        <v>2749196.0849999995</v>
      </c>
      <c r="O26" s="1104">
        <f>IFERROR(AVERAGEIF(O6:O25,"&gt;0"),0)</f>
        <v>0</v>
      </c>
      <c r="P26" s="1102" t="str">
        <f>IF(COUNTIF(P6:P25,"🚨 NEGLIGENCIA OPERATIVA")&gt;0,"🚨 "&amp;COUNTIF(P6:P25,"🚨 NEGLIGENCIA OPERATIVA")&amp;" NEGLIGENCIA(S) — SUMARIO INMEDIATO",IF(COUNTIF(P6:P25,"🔴 RUPTURA (&lt;40%)")&gt;0,"🔴 "&amp;COUNTIF(P6:P25,"🔴 RUPTURA (&lt;40%)")&amp;" META(S) EN RUPTURA — PLAN MEJORA",IF(COUNTIF(P6:P25,"⬜ SIN DATOS")=20,"⬜ DATOS PENDIENTES — INGRESAR EJECUCIÓN REAL","✅ "&amp;COUNTIF(P6:P25,"🔵 GESTIÓN EFICIENTE")&amp;" EFICIENTE | "&amp;COUNTIF(P6:P25,"🔵 EXCELENTE (≥85%)")&amp;" EXCELENTE | "&amp;COUNTIF(P6:P25,"🟢 SATISFACTORIO (70-84%)")&amp;" SATISF.")))</f>
        <v>🚨 13 NEGLIGENCIA(S) — SUMARIO INMEDIATO</v>
      </c>
      <c r="Q26" s="1105">
        <f>COUNTIF(Q6:Q25,1)</f>
        <v>15</v>
      </c>
      <c r="R26" s="1104">
        <f>IFERROR(AVERAGEIF(R6:R25,"&gt;0"),0)</f>
        <v>0</v>
      </c>
      <c r="S26" s="1088"/>
      <c r="T26" s="1088"/>
      <c r="U26" s="1088"/>
      <c r="V26" s="1088"/>
      <c r="W26" s="1088"/>
      <c r="X26" s="1088"/>
      <c r="Y26" s="1088"/>
      <c r="Z26" s="1094"/>
    </row>
    <row r="27" spans="1:26" ht="30" customHeight="1" thickBot="1" x14ac:dyDescent="0.35">
      <c r="A27" s="4123" t="s">
        <v>4209</v>
      </c>
      <c r="B27" s="4124"/>
      <c r="C27" s="4124"/>
      <c r="D27" s="4124"/>
      <c r="E27" s="4124"/>
      <c r="F27" s="4124"/>
      <c r="G27" s="4124"/>
      <c r="H27" s="4124"/>
      <c r="I27" s="4124"/>
      <c r="J27" s="4124"/>
      <c r="K27" s="4124"/>
      <c r="L27" s="4124"/>
      <c r="M27" s="4125"/>
      <c r="N27" s="4125"/>
      <c r="O27" s="4125"/>
      <c r="P27" s="4125"/>
      <c r="Q27" s="4125"/>
      <c r="R27" s="4125"/>
      <c r="S27" s="4125"/>
      <c r="T27" s="4125"/>
      <c r="U27" s="4125"/>
      <c r="V27" s="4125"/>
      <c r="W27" s="4125"/>
      <c r="X27" s="4125"/>
      <c r="Y27" s="4125"/>
      <c r="Z27" s="4126"/>
    </row>
    <row r="28" spans="1:26" ht="19.95" customHeight="1" x14ac:dyDescent="0.3">
      <c r="A28" s="4145" t="s">
        <v>4040</v>
      </c>
      <c r="B28" s="4146"/>
      <c r="C28" s="4146"/>
      <c r="D28" s="4146"/>
      <c r="E28" s="4146"/>
      <c r="F28" s="4146"/>
      <c r="G28" s="4146"/>
      <c r="H28" s="4146"/>
      <c r="I28" s="4146"/>
      <c r="J28" s="4146"/>
      <c r="K28" s="4146"/>
      <c r="L28" s="4147"/>
      <c r="M28" s="3507"/>
      <c r="N28" s="3507"/>
      <c r="O28" s="3507"/>
      <c r="P28" s="3507"/>
      <c r="Q28" s="3507"/>
      <c r="R28" s="3507"/>
      <c r="S28" s="3507"/>
      <c r="T28" s="3507"/>
      <c r="U28" s="3507"/>
      <c r="V28" s="3507"/>
      <c r="W28" s="3507"/>
      <c r="X28" s="3507"/>
      <c r="Y28" s="3507"/>
      <c r="Z28" s="3508"/>
    </row>
    <row r="29" spans="1:26" ht="18" customHeight="1" x14ac:dyDescent="0.3">
      <c r="A29" s="4135" t="s">
        <v>4041</v>
      </c>
      <c r="B29" s="4136"/>
      <c r="C29" s="4136" t="s">
        <v>4042</v>
      </c>
      <c r="D29" s="4136"/>
      <c r="E29" s="4136" t="s">
        <v>4043</v>
      </c>
      <c r="F29" s="4136"/>
      <c r="G29" s="4136"/>
      <c r="H29" s="4136" t="s">
        <v>4044</v>
      </c>
      <c r="I29" s="4136"/>
      <c r="J29" s="4136"/>
      <c r="K29" s="4136" t="s">
        <v>4045</v>
      </c>
      <c r="L29" s="4137"/>
      <c r="M29" s="4138"/>
      <c r="N29" s="4139"/>
      <c r="O29" s="4139"/>
      <c r="P29" s="4139"/>
      <c r="Q29" s="1096"/>
      <c r="R29" s="1096"/>
      <c r="S29" s="1096"/>
      <c r="T29" s="1096"/>
      <c r="U29" s="1096"/>
      <c r="V29" s="1096"/>
      <c r="W29" s="1096"/>
      <c r="X29" s="1096"/>
      <c r="Y29" s="1096"/>
      <c r="Z29" s="1101"/>
    </row>
    <row r="30" spans="1:26" ht="18" customHeight="1" x14ac:dyDescent="0.3">
      <c r="A30" s="1149" t="s">
        <v>4046</v>
      </c>
      <c r="B30" s="1150"/>
      <c r="C30" s="1151" t="s">
        <v>4047</v>
      </c>
      <c r="D30" s="1151"/>
      <c r="E30" s="1151" t="s">
        <v>4208</v>
      </c>
      <c r="F30" s="1151"/>
      <c r="G30" s="1151"/>
      <c r="H30" s="1151" t="s">
        <v>4048</v>
      </c>
      <c r="I30" s="1151"/>
      <c r="J30" s="1151"/>
      <c r="K30" s="1150" t="s">
        <v>4049</v>
      </c>
      <c r="L30" s="1152"/>
      <c r="M30" s="1146"/>
      <c r="N30" s="1088"/>
      <c r="O30" s="1088"/>
      <c r="P30" s="1088"/>
      <c r="Q30" s="1088"/>
      <c r="R30" s="1088"/>
      <c r="S30" s="1088"/>
      <c r="T30" s="1088"/>
      <c r="U30" s="1088"/>
      <c r="V30" s="1088"/>
      <c r="W30" s="1088"/>
      <c r="X30" s="1088"/>
      <c r="Y30" s="1088"/>
      <c r="Z30" s="1094"/>
    </row>
    <row r="31" spans="1:26" ht="18" customHeight="1" x14ac:dyDescent="0.3">
      <c r="A31" s="1149" t="s">
        <v>4050</v>
      </c>
      <c r="B31" s="1150"/>
      <c r="C31" s="1151" t="s">
        <v>4051</v>
      </c>
      <c r="D31" s="1151"/>
      <c r="E31" s="1151" t="s">
        <v>4052</v>
      </c>
      <c r="F31" s="1151"/>
      <c r="G31" s="1151"/>
      <c r="H31" s="1151" t="s">
        <v>4053</v>
      </c>
      <c r="I31" s="1151"/>
      <c r="J31" s="1151"/>
      <c r="K31" s="1151" t="s">
        <v>4054</v>
      </c>
      <c r="L31" s="1152"/>
      <c r="M31" s="1147"/>
      <c r="N31" s="1096"/>
      <c r="O31" s="1096"/>
      <c r="P31" s="1096"/>
      <c r="Q31" s="1096"/>
      <c r="R31" s="1096"/>
      <c r="S31" s="1096"/>
      <c r="T31" s="1096"/>
      <c r="U31" s="1096"/>
      <c r="V31" s="1096"/>
      <c r="W31" s="1096"/>
      <c r="X31" s="1096"/>
      <c r="Y31" s="1096"/>
      <c r="Z31" s="1101"/>
    </row>
    <row r="32" spans="1:26" ht="18" customHeight="1" x14ac:dyDescent="0.3">
      <c r="A32" s="1153" t="s">
        <v>4055</v>
      </c>
      <c r="B32" s="1154"/>
      <c r="C32" s="1155" t="s">
        <v>4056</v>
      </c>
      <c r="D32" s="1155"/>
      <c r="E32" s="1155" t="s">
        <v>4057</v>
      </c>
      <c r="F32" s="1155"/>
      <c r="G32" s="1155"/>
      <c r="H32" s="1155" t="s">
        <v>4058</v>
      </c>
      <c r="I32" s="1155"/>
      <c r="J32" s="1155"/>
      <c r="K32" s="1154" t="s">
        <v>414</v>
      </c>
      <c r="L32" s="1156"/>
      <c r="M32" s="1146"/>
      <c r="N32" s="1088"/>
      <c r="O32" s="1088"/>
      <c r="P32" s="1088"/>
      <c r="Q32" s="1088"/>
      <c r="R32" s="1088"/>
      <c r="S32" s="1088"/>
      <c r="T32" s="1088"/>
      <c r="U32" s="1088"/>
      <c r="V32" s="1088"/>
      <c r="W32" s="1088"/>
      <c r="X32" s="1088"/>
      <c r="Y32" s="1088"/>
      <c r="Z32" s="1094"/>
    </row>
    <row r="33" spans="1:26" ht="18" customHeight="1" x14ac:dyDescent="0.3">
      <c r="A33" s="1157" t="s">
        <v>4059</v>
      </c>
      <c r="B33" s="1158"/>
      <c r="C33" s="1159" t="s">
        <v>4060</v>
      </c>
      <c r="D33" s="1159"/>
      <c r="E33" s="1159" t="s">
        <v>4061</v>
      </c>
      <c r="F33" s="1159"/>
      <c r="G33" s="1159"/>
      <c r="H33" s="1159" t="s">
        <v>4062</v>
      </c>
      <c r="I33" s="1159"/>
      <c r="J33" s="1159"/>
      <c r="K33" s="1159" t="s">
        <v>4063</v>
      </c>
      <c r="L33" s="1160"/>
      <c r="M33" s="1147"/>
      <c r="N33" s="1096"/>
      <c r="O33" s="1096"/>
      <c r="P33" s="1096"/>
      <c r="Q33" s="1096"/>
      <c r="R33" s="1096"/>
      <c r="S33" s="1096"/>
      <c r="T33" s="1096"/>
      <c r="U33" s="1096"/>
      <c r="V33" s="1096"/>
      <c r="W33" s="1096"/>
      <c r="X33" s="1096"/>
      <c r="Y33" s="1096"/>
      <c r="Z33" s="1101"/>
    </row>
    <row r="34" spans="1:26" ht="18" customHeight="1" x14ac:dyDescent="0.3">
      <c r="A34" s="1161" t="s">
        <v>4064</v>
      </c>
      <c r="B34" s="1162"/>
      <c r="C34" s="1163" t="s">
        <v>4065</v>
      </c>
      <c r="D34" s="1163"/>
      <c r="E34" s="1163" t="s">
        <v>4066</v>
      </c>
      <c r="F34" s="1163"/>
      <c r="G34" s="1163"/>
      <c r="H34" s="1163" t="s">
        <v>4067</v>
      </c>
      <c r="I34" s="1163"/>
      <c r="J34" s="1163"/>
      <c r="K34" s="1163" t="s">
        <v>421</v>
      </c>
      <c r="L34" s="1164"/>
      <c r="M34" s="1146"/>
      <c r="N34" s="1088"/>
      <c r="O34" s="1088"/>
      <c r="P34" s="1088"/>
      <c r="Q34" s="1088"/>
      <c r="R34" s="1088"/>
      <c r="S34" s="1088"/>
      <c r="T34" s="1088"/>
      <c r="U34" s="1088"/>
      <c r="V34" s="1088"/>
      <c r="W34" s="1088"/>
      <c r="X34" s="1088"/>
      <c r="Y34" s="1088"/>
      <c r="Z34" s="1094"/>
    </row>
    <row r="35" spans="1:26" ht="18" customHeight="1" x14ac:dyDescent="0.3">
      <c r="A35" s="1161" t="s">
        <v>4068</v>
      </c>
      <c r="B35" s="1162"/>
      <c r="C35" s="1163" t="s">
        <v>4069</v>
      </c>
      <c r="D35" s="1163"/>
      <c r="E35" s="1163" t="s">
        <v>4070</v>
      </c>
      <c r="F35" s="1163"/>
      <c r="G35" s="1163"/>
      <c r="H35" s="1163" t="s">
        <v>4071</v>
      </c>
      <c r="I35" s="1163"/>
      <c r="J35" s="1163"/>
      <c r="K35" s="1162" t="s">
        <v>4072</v>
      </c>
      <c r="L35" s="1164"/>
      <c r="M35" s="1147"/>
      <c r="N35" s="1096"/>
      <c r="O35" s="1096"/>
      <c r="P35" s="1096"/>
      <c r="Q35" s="1096"/>
      <c r="R35" s="1096"/>
      <c r="S35" s="1096"/>
      <c r="T35" s="1096"/>
      <c r="U35" s="1096"/>
      <c r="V35" s="1096"/>
      <c r="W35" s="1096"/>
      <c r="X35" s="1096"/>
      <c r="Y35" s="1096"/>
      <c r="Z35" s="1101"/>
    </row>
    <row r="36" spans="1:26" ht="18" customHeight="1" thickBot="1" x14ac:dyDescent="0.35">
      <c r="A36" s="1165" t="s">
        <v>4073</v>
      </c>
      <c r="B36" s="1166"/>
      <c r="C36" s="1167" t="s">
        <v>4074</v>
      </c>
      <c r="D36" s="1167"/>
      <c r="E36" s="1167" t="s">
        <v>1690</v>
      </c>
      <c r="F36" s="1167"/>
      <c r="G36" s="1167"/>
      <c r="H36" s="1167" t="s">
        <v>4075</v>
      </c>
      <c r="I36" s="1167"/>
      <c r="J36" s="1167"/>
      <c r="K36" s="1167" t="s">
        <v>4076</v>
      </c>
      <c r="L36" s="1168"/>
      <c r="M36" s="1146"/>
      <c r="N36" s="1088"/>
      <c r="O36" s="1088"/>
      <c r="P36" s="1088"/>
      <c r="Q36" s="1088"/>
      <c r="R36" s="1088"/>
      <c r="S36" s="1088"/>
      <c r="T36" s="1088"/>
      <c r="U36" s="1088"/>
      <c r="V36" s="1088"/>
      <c r="W36" s="1088"/>
      <c r="X36" s="1088"/>
      <c r="Y36" s="1088"/>
      <c r="Z36" s="1094"/>
    </row>
    <row r="37" spans="1:26" ht="36" customHeight="1" x14ac:dyDescent="0.3">
      <c r="A37" s="4115" t="s">
        <v>4210</v>
      </c>
      <c r="B37" s="4116"/>
      <c r="C37" s="4116"/>
      <c r="D37" s="4116"/>
      <c r="E37" s="4116"/>
      <c r="F37" s="4116"/>
      <c r="G37" s="4116"/>
      <c r="H37" s="4116"/>
      <c r="I37" s="4116"/>
      <c r="J37" s="4116"/>
      <c r="K37" s="4116"/>
      <c r="L37" s="4116"/>
      <c r="M37" s="3591"/>
      <c r="N37" s="3591"/>
      <c r="O37" s="3591"/>
      <c r="P37" s="3591"/>
      <c r="Q37" s="3591"/>
      <c r="R37" s="3591"/>
      <c r="S37" s="3591"/>
      <c r="T37" s="3591"/>
      <c r="U37" s="3591"/>
      <c r="V37" s="3591"/>
      <c r="W37" s="3591"/>
      <c r="X37" s="3591"/>
      <c r="Y37" s="3591"/>
      <c r="Z37" s="3592"/>
    </row>
    <row r="38" spans="1:26" ht="6" customHeight="1" thickBot="1" x14ac:dyDescent="0.35">
      <c r="A38" s="1171"/>
      <c r="B38" s="1172"/>
      <c r="C38" s="1172"/>
      <c r="D38" s="1172"/>
      <c r="E38" s="1172"/>
      <c r="F38" s="1172"/>
      <c r="G38" s="1172"/>
      <c r="H38" s="1172"/>
      <c r="I38" s="1172"/>
      <c r="J38" s="1172"/>
      <c r="K38" s="1172"/>
      <c r="L38" s="1172"/>
      <c r="M38" s="1088"/>
      <c r="N38" s="1088"/>
      <c r="O38" s="1088"/>
      <c r="P38" s="1088"/>
      <c r="Q38" s="1088"/>
      <c r="R38" s="1088"/>
      <c r="S38" s="1088"/>
      <c r="T38" s="1088"/>
      <c r="U38" s="1088"/>
      <c r="V38" s="1088"/>
      <c r="W38" s="1088"/>
      <c r="X38" s="1088"/>
      <c r="Y38" s="1088"/>
      <c r="Z38" s="1094"/>
    </row>
    <row r="39" spans="1:26" ht="19.95" customHeight="1" x14ac:dyDescent="0.3">
      <c r="A39" s="1174" t="s">
        <v>4078</v>
      </c>
      <c r="B39" s="4127"/>
      <c r="C39" s="4127"/>
      <c r="D39" s="4127"/>
      <c r="E39" s="4127"/>
      <c r="F39" s="4127"/>
      <c r="G39" s="4127"/>
      <c r="H39" s="4127"/>
      <c r="I39" s="4127"/>
      <c r="J39" s="4127"/>
      <c r="K39" s="4127"/>
      <c r="L39" s="4128"/>
      <c r="M39" s="4129"/>
      <c r="N39" s="4129"/>
      <c r="O39" s="4129"/>
      <c r="P39" s="4129"/>
      <c r="Q39" s="4129"/>
      <c r="R39" s="4129"/>
      <c r="S39" s="4129"/>
      <c r="T39" s="4129"/>
      <c r="U39" s="4129"/>
      <c r="V39" s="4129"/>
      <c r="W39" s="4129"/>
      <c r="X39" s="4129"/>
      <c r="Y39" s="4129"/>
      <c r="Z39" s="4130"/>
    </row>
    <row r="40" spans="1:26" ht="18" customHeight="1" x14ac:dyDescent="0.3">
      <c r="A40" s="1175" t="str">
        <f>"Sincronizado con ICPI Global: "&amp;TEXT('M5-ICPI'!G29,"0.00")&amp;"% · COOTAD Art.306 (autonomía Patronato) · LOTAIP Art.7 (transparencia activa) · LOSEP Art.78 (méritos) · Mes Evaluación: "&amp;CHOOSE('M-TECH-VARS'!B22,"Enero","Febrero","Marzo","Abril","Mayo","Junio","Julio","Agosto","Septiembre","Octubre","Noviembre","Diciembre")&amp;" 2025 (Mes "&amp;'M-TECH-VARS'!B22&amp;")"</f>
        <v>Sincronizado con ICPI Global: 038% · COOTAD Art.306 (autonomía Patronato) · LOTAIP Art.7 (transparencia activa) · LOSEP Art.78 (méritos) · Mes Evaluación: Marzo 2025 (Mes 3)</v>
      </c>
      <c r="B40" s="1176"/>
      <c r="C40" s="1176"/>
      <c r="D40" s="1176"/>
      <c r="E40" s="1176"/>
      <c r="F40" s="1176"/>
      <c r="G40" s="1176"/>
      <c r="H40" s="1176"/>
      <c r="I40" s="1176"/>
      <c r="J40" s="1176"/>
      <c r="K40" s="1176"/>
      <c r="L40" s="1177"/>
      <c r="M40" s="1146"/>
      <c r="N40" s="1088"/>
      <c r="O40" s="1088"/>
      <c r="P40" s="1088"/>
      <c r="Q40" s="1088"/>
      <c r="R40" s="1088"/>
      <c r="S40" s="1088"/>
      <c r="T40" s="1088"/>
      <c r="U40" s="1088"/>
      <c r="V40" s="1088"/>
      <c r="W40" s="1088"/>
      <c r="X40" s="1088"/>
      <c r="Y40" s="1088"/>
      <c r="Z40" s="1094"/>
    </row>
    <row r="41" spans="1:26" ht="18" customHeight="1" x14ac:dyDescent="0.3">
      <c r="A41" s="1178" t="s">
        <v>4079</v>
      </c>
      <c r="B41" s="1179" t="s">
        <v>4080</v>
      </c>
      <c r="C41" s="1180"/>
      <c r="D41" s="1180"/>
      <c r="E41" s="1180"/>
      <c r="F41" s="1181" t="s">
        <v>4081</v>
      </c>
      <c r="G41" s="1179" t="s">
        <v>4082</v>
      </c>
      <c r="H41" s="1180"/>
      <c r="I41" s="1180"/>
      <c r="J41" s="1180"/>
      <c r="K41" s="1181" t="s">
        <v>4083</v>
      </c>
      <c r="L41" s="1182" t="s">
        <v>4084</v>
      </c>
      <c r="M41" s="1147"/>
      <c r="N41" s="1096"/>
      <c r="O41" s="1096"/>
      <c r="P41" s="1106" t="s">
        <v>4085</v>
      </c>
      <c r="Q41" s="1108" t="s">
        <v>4086</v>
      </c>
      <c r="R41" s="1096"/>
      <c r="S41" s="1096"/>
      <c r="T41" s="1096"/>
      <c r="U41" s="1096"/>
      <c r="V41" s="1096"/>
      <c r="W41" s="1096"/>
      <c r="X41" s="1096"/>
      <c r="Y41" s="1096"/>
      <c r="Z41" s="1101"/>
    </row>
    <row r="42" spans="1:26" ht="18" customHeight="1" x14ac:dyDescent="0.3">
      <c r="A42" s="1183" t="s">
        <v>4087</v>
      </c>
      <c r="B42" s="1148" t="s">
        <v>691</v>
      </c>
      <c r="C42" s="1148" t="s">
        <v>4088</v>
      </c>
      <c r="D42" s="1148" t="s">
        <v>4089</v>
      </c>
      <c r="E42" s="1184"/>
      <c r="F42" s="1148" t="s">
        <v>4090</v>
      </c>
      <c r="G42" s="1148" t="s">
        <v>687</v>
      </c>
      <c r="H42" s="1148" t="s">
        <v>4091</v>
      </c>
      <c r="I42" s="1148" t="s">
        <v>698</v>
      </c>
      <c r="J42" s="1148" t="s">
        <v>4092</v>
      </c>
      <c r="K42" s="1148" t="s">
        <v>4093</v>
      </c>
      <c r="L42" s="1185" t="s">
        <v>4094</v>
      </c>
      <c r="M42" s="1169" t="s">
        <v>4095</v>
      </c>
      <c r="N42" s="1109" t="s">
        <v>4096</v>
      </c>
      <c r="O42" s="1088"/>
      <c r="P42" s="1109" t="s">
        <v>9</v>
      </c>
      <c r="Q42" s="1109" t="s">
        <v>30</v>
      </c>
      <c r="R42" s="1109" t="s">
        <v>4097</v>
      </c>
      <c r="S42" s="1088"/>
      <c r="T42" s="1088"/>
      <c r="U42" s="1088"/>
      <c r="V42" s="1088"/>
      <c r="W42" s="1088"/>
      <c r="X42" s="1088"/>
      <c r="Y42" s="1088"/>
      <c r="Z42" s="1094"/>
    </row>
    <row r="43" spans="1:26" ht="22.05" customHeight="1" thickBot="1" x14ac:dyDescent="0.35">
      <c r="A43" s="1186" t="str">
        <f>IFERROR(MATCH(MAX(R6:R25),R6:R25,0),"N/D")</f>
        <v>N/D</v>
      </c>
      <c r="B43" s="1187" t="str">
        <f>IFERROR(INDEX(B6:B25,MATCH(MAX(R6:R25),R6:R25,0)),"Sin datos - ingrese ejecución real")</f>
        <v>Sin datos - ingrese ejecución real</v>
      </c>
      <c r="C43" s="1188" t="str">
        <f>IFERROR(INDEX(C6:C25,MATCH(MAX(R6:R25),R6:R25,0)),"Sin datos - ingrese ejecución real")</f>
        <v>Sin datos - ingrese ejecución real</v>
      </c>
      <c r="D43" s="1189" t="str">
        <f>IFERROR(IF(MAX(R6:R25)=0,"Sin datos",MAX(R6:R25)),"N/D")</f>
        <v>N/D</v>
      </c>
      <c r="E43" s="1190"/>
      <c r="F43" s="1191" t="str">
        <f>IFERROR(INDEX(E6:E25,MATCH(MAX(R6:R25),R6:R25,0)),"Sin datos")</f>
        <v>Sin datos</v>
      </c>
      <c r="G43" s="1191" t="str">
        <f>IFERROR(INDEX(D6:D25,MATCH(MAX(R6:R25),R6:R25,0)),"N/D")</f>
        <v>N/D</v>
      </c>
      <c r="H43" s="1192" t="str">
        <f>IFERROR(INDEX(O6:O25,MATCH(MAX(R6:R25),R6:R25,0)),"N/D")</f>
        <v>N/D</v>
      </c>
      <c r="I43" s="1193" t="str">
        <f>IFERROR(INDEX(I6:I25,MATCH(MAX(R6:R25),R6:R25,0)),"N/D")</f>
        <v>N/D</v>
      </c>
      <c r="J43" s="1189" t="str">
        <f>IFERROR(IF(MAX(R6:R25)=0,"Sin datos",MAX(R6:R25)),"N/D")</f>
        <v>N/D</v>
      </c>
      <c r="K43" s="1194" t="str">
        <f>IFERROR(INDEX(Q6:Q25,MATCH(MAX(R6:R25),R6:R25,0)),"N/D")</f>
        <v>N/D</v>
      </c>
      <c r="L43" s="1195">
        <f>COUNTIF(Q6:Q25,1)</f>
        <v>15</v>
      </c>
      <c r="M43" s="1170">
        <f>COUNTIF(Q6:Q25,0)</f>
        <v>5</v>
      </c>
      <c r="N43" s="1110">
        <f>IFERROR(COUNTIF(Q6:Q25,1)/COUNT(Q6:Q25),0)</f>
        <v>0.75</v>
      </c>
      <c r="O43" s="1096"/>
      <c r="P43" s="1111">
        <f>'M-TECH-VARS'!C28</f>
        <v>0</v>
      </c>
      <c r="Q43" s="1102">
        <f>'M-TECH-VARS'!C29</f>
        <v>0</v>
      </c>
      <c r="R43" s="1095" t="s">
        <v>4098</v>
      </c>
      <c r="S43" s="1096"/>
      <c r="T43" s="1096"/>
      <c r="U43" s="1096"/>
      <c r="V43" s="1096"/>
      <c r="W43" s="1096"/>
      <c r="X43" s="1096"/>
      <c r="Y43" s="1096"/>
      <c r="Z43" s="1101"/>
    </row>
    <row r="44" spans="1:26" ht="28.05" customHeight="1" x14ac:dyDescent="0.3">
      <c r="A44" s="1173" t="s">
        <v>4099</v>
      </c>
      <c r="B44" s="4131"/>
      <c r="C44" s="4132"/>
      <c r="D44" s="4132"/>
      <c r="E44" s="4132"/>
      <c r="F44" s="4132"/>
      <c r="G44" s="4132"/>
      <c r="H44" s="4132"/>
      <c r="I44" s="4132"/>
      <c r="J44" s="4132"/>
      <c r="K44" s="4132"/>
      <c r="L44" s="4132"/>
      <c r="M44" s="4129"/>
      <c r="N44" s="4129"/>
      <c r="O44" s="4129"/>
      <c r="P44" s="4129"/>
      <c r="Q44" s="4129"/>
      <c r="R44" s="4129"/>
      <c r="S44" s="4129"/>
      <c r="T44" s="4129"/>
      <c r="U44" s="4129"/>
      <c r="V44" s="4129"/>
      <c r="W44" s="4129"/>
      <c r="X44" s="4129"/>
      <c r="Y44" s="4129"/>
      <c r="Z44" s="4130"/>
    </row>
    <row r="45" spans="1:26" ht="19.95" customHeight="1" thickBot="1" x14ac:dyDescent="0.35">
      <c r="A45" s="1197" t="s">
        <v>4100</v>
      </c>
      <c r="B45" s="4133"/>
      <c r="C45" s="4134"/>
      <c r="D45" s="4134"/>
      <c r="E45" s="4134"/>
      <c r="F45" s="4134"/>
      <c r="G45" s="4134"/>
      <c r="H45" s="4134"/>
      <c r="I45" s="4134"/>
      <c r="J45" s="4134"/>
      <c r="K45" s="4134"/>
      <c r="L45" s="4134"/>
      <c r="M45" s="4129"/>
      <c r="N45" s="4129"/>
      <c r="O45" s="4129"/>
      <c r="P45" s="4129"/>
      <c r="Q45" s="4129"/>
      <c r="R45" s="4129"/>
      <c r="S45" s="4129"/>
      <c r="T45" s="4129"/>
      <c r="U45" s="4129"/>
      <c r="V45" s="4129"/>
      <c r="W45" s="4129"/>
      <c r="X45" s="4129"/>
      <c r="Y45" s="4129"/>
      <c r="Z45" s="4130"/>
    </row>
    <row r="46" spans="1:26" ht="19.95" customHeight="1" x14ac:dyDescent="0.3">
      <c r="A46" s="4117" t="s">
        <v>4101</v>
      </c>
      <c r="B46" s="4118"/>
      <c r="C46" s="4118"/>
      <c r="D46" s="4118"/>
      <c r="E46" s="4118"/>
      <c r="F46" s="4118"/>
      <c r="G46" s="4118"/>
      <c r="H46" s="4118"/>
      <c r="I46" s="4118"/>
      <c r="J46" s="4118"/>
      <c r="K46" s="4118"/>
      <c r="L46" s="4119"/>
      <c r="M46" s="3591"/>
      <c r="N46" s="3591"/>
      <c r="O46" s="3591"/>
      <c r="P46" s="3591"/>
      <c r="Q46" s="3591"/>
      <c r="R46" s="3591"/>
      <c r="S46" s="3591"/>
      <c r="T46" s="3591"/>
      <c r="U46" s="3591"/>
      <c r="V46" s="3591"/>
      <c r="W46" s="3591"/>
      <c r="X46" s="3591"/>
      <c r="Y46" s="3591"/>
      <c r="Z46" s="3592"/>
    </row>
    <row r="47" spans="1:26" ht="18" customHeight="1" x14ac:dyDescent="0.3">
      <c r="A47" s="1198" t="s">
        <v>4102</v>
      </c>
      <c r="B47" s="1148" t="s">
        <v>691</v>
      </c>
      <c r="C47" s="1148" t="s">
        <v>693</v>
      </c>
      <c r="D47" s="1148" t="s">
        <v>700</v>
      </c>
      <c r="E47" s="1148" t="s">
        <v>692</v>
      </c>
      <c r="F47" s="1148" t="s">
        <v>4091</v>
      </c>
      <c r="G47" s="1148" t="s">
        <v>698</v>
      </c>
      <c r="H47" s="1148" t="s">
        <v>4103</v>
      </c>
      <c r="I47" s="1148" t="s">
        <v>4093</v>
      </c>
      <c r="J47" s="1148" t="s">
        <v>30</v>
      </c>
      <c r="K47" s="1148"/>
      <c r="L47" s="1199"/>
      <c r="M47" s="1147"/>
      <c r="N47" s="1096"/>
      <c r="O47" s="1096"/>
      <c r="P47" s="1096"/>
      <c r="Q47" s="1096"/>
      <c r="R47" s="1096"/>
      <c r="S47" s="1096"/>
      <c r="T47" s="1096"/>
      <c r="U47" s="1096"/>
      <c r="V47" s="1096"/>
      <c r="W47" s="1096"/>
      <c r="X47" s="1096"/>
      <c r="Y47" s="1096"/>
      <c r="Z47" s="1101"/>
    </row>
    <row r="48" spans="1:26" ht="19.95" customHeight="1" x14ac:dyDescent="0.3">
      <c r="A48" s="1200" t="s">
        <v>86</v>
      </c>
      <c r="B48" s="1201" t="str">
        <f>IFERROR(INDEX(B$6:B$25,MATCH(LARGE(R$6:R$25,1),R$6:R$25,0)),"N/D")</f>
        <v>N/D</v>
      </c>
      <c r="C48" s="1202" t="str">
        <f>IFERROR(INDEX(C$6:C$25,MATCH(LARGE(R$6:R$25,1),R$6:R$25,0)),"Sin datos - ingrese ejecución")</f>
        <v>Sin datos - ingrese ejecución</v>
      </c>
      <c r="D48" s="1201" t="str">
        <f>IFERROR(INDEX(E$6:E$25,MATCH(LARGE(R$6:R$25,1),R$6:R$25,0)),"N/D")</f>
        <v>N/D</v>
      </c>
      <c r="E48" s="1201" t="str">
        <f>IFERROR(INDEX(D$6:D$25,MATCH(LARGE(R$6:R$25,1),R$6:R$25,0)),"N/D")</f>
        <v>N/D</v>
      </c>
      <c r="F48" s="1203">
        <f>IFERROR(INDEX(O$6:O$25,MATCH(LARGE(R$6:R$25,1),R$6:R$25,0)),0)</f>
        <v>0</v>
      </c>
      <c r="G48" s="1204">
        <f>IFERROR(INDEX(I$6:I$25,MATCH(LARGE(R$6:R$25,1),R$6:R$25,0)),0)</f>
        <v>0</v>
      </c>
      <c r="H48" s="1205">
        <f>IFERROR(LARGE(R$6:R$25,1),0)</f>
        <v>0</v>
      </c>
      <c r="I48" s="1206">
        <f>IFERROR(INDEX(Q$6:Q$25,MATCH(LARGE(R$6:R$25,1),R$6:R$25,0)),0)</f>
        <v>0</v>
      </c>
      <c r="J48" s="1207" t="str">
        <f>IFERROR(INDEX(P$6:P$25,MATCH(LARGE(R$6:R$25,1),R$6:R$25,0)),"N/D")</f>
        <v>N/D</v>
      </c>
      <c r="K48" s="1202"/>
      <c r="L48" s="1208"/>
      <c r="M48" s="1146"/>
      <c r="N48" s="1088"/>
      <c r="O48" s="1088"/>
      <c r="P48" s="1088"/>
      <c r="Q48" s="1088"/>
      <c r="R48" s="1088"/>
      <c r="S48" s="1088"/>
      <c r="T48" s="1088"/>
      <c r="U48" s="1088"/>
      <c r="V48" s="1088"/>
      <c r="W48" s="1088"/>
      <c r="X48" s="1088"/>
      <c r="Y48" s="1088"/>
      <c r="Z48" s="1094"/>
    </row>
    <row r="49" spans="1:26" ht="19.95" customHeight="1" x14ac:dyDescent="0.3">
      <c r="A49" s="1209" t="s">
        <v>88</v>
      </c>
      <c r="B49" s="1210" t="str">
        <f>IFERROR(INDEX(B$6:B$25,MATCH(LARGE(R$6:R$25,2),R$6:R$25,0)),"N/D")</f>
        <v>N/D</v>
      </c>
      <c r="C49" s="1211" t="str">
        <f>IFERROR(INDEX(C$6:C$25,MATCH(LARGE(R$6:R$25,2),R$6:R$25,0)),"Sin datos")</f>
        <v>Sin datos</v>
      </c>
      <c r="D49" s="1210" t="str">
        <f>IFERROR(INDEX(E$6:E$25,MATCH(LARGE(R$6:R$25,2),R$6:R$25,0)),"N/D")</f>
        <v>N/D</v>
      </c>
      <c r="E49" s="1210" t="str">
        <f>IFERROR(INDEX(D$6:D$25,MATCH(LARGE(R$6:R$25,2),R$6:R$25,0)),"N/D")</f>
        <v>N/D</v>
      </c>
      <c r="F49" s="1212">
        <f>IFERROR(INDEX(O$6:O$25,MATCH(LARGE(R$6:R$25,2),R$6:R$25,0)),0)</f>
        <v>0</v>
      </c>
      <c r="G49" s="1213">
        <f>IFERROR(INDEX(I$6:I$25,MATCH(LARGE(R$6:R$25,2),R$6:R$25,0)),0)</f>
        <v>0</v>
      </c>
      <c r="H49" s="1214">
        <f>IFERROR(LARGE(R$6:R$25,2),0)</f>
        <v>0</v>
      </c>
      <c r="I49" s="1215">
        <f>IFERROR(INDEX(Q$6:Q$25,MATCH(LARGE(R$6:R$25,2),R$6:R$25,0)),0)</f>
        <v>0</v>
      </c>
      <c r="J49" s="1216" t="str">
        <f>IFERROR(INDEX(P$6:P$25,MATCH(LARGE(R$6:R$25,2),R$6:R$25,0)),"N/D")</f>
        <v>N/D</v>
      </c>
      <c r="K49" s="1211"/>
      <c r="L49" s="1217"/>
      <c r="M49" s="1147"/>
      <c r="N49" s="1096"/>
      <c r="O49" s="1096"/>
      <c r="P49" s="1096"/>
      <c r="Q49" s="1096"/>
      <c r="R49" s="1096"/>
      <c r="S49" s="1096"/>
      <c r="T49" s="1096"/>
      <c r="U49" s="1096"/>
      <c r="V49" s="1096"/>
      <c r="W49" s="1096"/>
      <c r="X49" s="1096"/>
      <c r="Y49" s="1096"/>
      <c r="Z49" s="1101"/>
    </row>
    <row r="50" spans="1:26" ht="19.95" customHeight="1" x14ac:dyDescent="0.3">
      <c r="A50" s="1218" t="s">
        <v>90</v>
      </c>
      <c r="B50" s="1219" t="str">
        <f>IFERROR(INDEX(B$6:B$25,MATCH(LARGE(R$6:R$25,3),R$6:R$25,0)),"N/D")</f>
        <v>N/D</v>
      </c>
      <c r="C50" s="1220" t="str">
        <f>IFERROR(INDEX(C$6:C$25,MATCH(LARGE(R$6:R$25,3),R$6:R$25,0)),"Sin datos")</f>
        <v>Sin datos</v>
      </c>
      <c r="D50" s="1219" t="str">
        <f>IFERROR(INDEX(E$6:E$25,MATCH(LARGE(R$6:R$25,3),R$6:R$25,0)),"N/D")</f>
        <v>N/D</v>
      </c>
      <c r="E50" s="1219" t="str">
        <f>IFERROR(INDEX(D$6:D$25,MATCH(LARGE(R$6:R$25,3),R$6:R$25,0)),"N/D")</f>
        <v>N/D</v>
      </c>
      <c r="F50" s="1221">
        <f>IFERROR(INDEX(O$6:O$25,MATCH(LARGE(R$6:R$25,3),R$6:R$25,0)),0)</f>
        <v>0</v>
      </c>
      <c r="G50" s="1222">
        <f>IFERROR(INDEX(I$6:I$25,MATCH(LARGE(R$6:R$25,3),R$6:R$25,0)),0)</f>
        <v>0</v>
      </c>
      <c r="H50" s="1223">
        <f>IFERROR(LARGE(R$6:R$25,3),0)</f>
        <v>0</v>
      </c>
      <c r="I50" s="1224">
        <f>IFERROR(INDEX(Q$6:Q$25,MATCH(LARGE(R$6:R$25,3),R$6:R$25,0)),0)</f>
        <v>0</v>
      </c>
      <c r="J50" s="1225" t="str">
        <f>IFERROR(INDEX(P$6:P$25,MATCH(LARGE(R$6:R$25,3),R$6:R$25,0)),"N/D")</f>
        <v>N/D</v>
      </c>
      <c r="K50" s="1220"/>
      <c r="L50" s="1226"/>
      <c r="M50" s="1146"/>
      <c r="N50" s="1088"/>
      <c r="O50" s="1088"/>
      <c r="P50" s="1088"/>
      <c r="Q50" s="1088"/>
      <c r="R50" s="1088"/>
      <c r="S50" s="1088"/>
      <c r="T50" s="1088"/>
      <c r="U50" s="1088"/>
      <c r="V50" s="1088"/>
      <c r="W50" s="1088"/>
      <c r="X50" s="1088"/>
      <c r="Y50" s="1088"/>
      <c r="Z50" s="1094"/>
    </row>
    <row r="51" spans="1:26" ht="19.95" customHeight="1" x14ac:dyDescent="0.3">
      <c r="A51" s="1209" t="s">
        <v>4104</v>
      </c>
      <c r="B51" s="1210" t="str">
        <f>IFERROR(INDEX(B$6:B$25,MATCH(LARGE(R$6:R$25,4),R$6:R$25,0)),"N/D")</f>
        <v>N/D</v>
      </c>
      <c r="C51" s="1211" t="str">
        <f>IFERROR(INDEX(C$6:C$25,MATCH(LARGE(R$6:R$25,4),R$6:R$25,0)),"Sin datos")</f>
        <v>Sin datos</v>
      </c>
      <c r="D51" s="1210" t="str">
        <f>IFERROR(INDEX(E$6:E$25,MATCH(LARGE(R$6:R$25,4),R$6:R$25,0)),"N/D")</f>
        <v>N/D</v>
      </c>
      <c r="E51" s="1210" t="str">
        <f>IFERROR(INDEX(D$6:D$25,MATCH(LARGE(R$6:R$25,4),R$6:R$25,0)),"N/D")</f>
        <v>N/D</v>
      </c>
      <c r="F51" s="1212">
        <f>IFERROR(INDEX(O$6:O$25,MATCH(LARGE(R$6:R$25,4),R$6:R$25,0)),0)</f>
        <v>0</v>
      </c>
      <c r="G51" s="1213">
        <f>IFERROR(INDEX(I$6:I$25,MATCH(LARGE(R$6:R$25,4),R$6:R$25,0)),0)</f>
        <v>0</v>
      </c>
      <c r="H51" s="1214">
        <f>IFERROR(LARGE(R$6:R$25,4),0)</f>
        <v>0</v>
      </c>
      <c r="I51" s="1227">
        <f>IFERROR(INDEX(Q$6:Q$25,MATCH(LARGE(R$6:R$25,4),R$6:R$25,0)),0)</f>
        <v>0</v>
      </c>
      <c r="J51" s="1216" t="str">
        <f>IFERROR(INDEX(P$6:P$25,MATCH(LARGE(R$6:R$25,4),R$6:R$25,0)),"N/D")</f>
        <v>N/D</v>
      </c>
      <c r="K51" s="1211"/>
      <c r="L51" s="1217"/>
      <c r="M51" s="1147"/>
      <c r="N51" s="1096"/>
      <c r="O51" s="1096"/>
      <c r="P51" s="1096"/>
      <c r="Q51" s="1096"/>
      <c r="R51" s="1096"/>
      <c r="S51" s="1096"/>
      <c r="T51" s="1096"/>
      <c r="U51" s="1096"/>
      <c r="V51" s="1096"/>
      <c r="W51" s="1096"/>
      <c r="X51" s="1096"/>
      <c r="Y51" s="1096"/>
      <c r="Z51" s="1101"/>
    </row>
    <row r="52" spans="1:26" ht="19.95" customHeight="1" thickBot="1" x14ac:dyDescent="0.35">
      <c r="A52" s="1228" t="s">
        <v>4105</v>
      </c>
      <c r="B52" s="1229" t="str">
        <f>IFERROR(INDEX(B$6:B$25,MATCH(LARGE(R$6:R$25,5),R$6:R$25,0)),"N/D")</f>
        <v>N/D</v>
      </c>
      <c r="C52" s="1230" t="str">
        <f>IFERROR(INDEX(C$6:C$25,MATCH(LARGE(R$6:R$25,5),R$6:R$25,0)),"Sin datos")</f>
        <v>Sin datos</v>
      </c>
      <c r="D52" s="1229" t="str">
        <f>IFERROR(INDEX(E$6:E$25,MATCH(LARGE(R$6:R$25,5),R$6:R$25,0)),"N/D")</f>
        <v>N/D</v>
      </c>
      <c r="E52" s="1229" t="str">
        <f>IFERROR(INDEX(D$6:D$25,MATCH(LARGE(R$6:R$25,5),R$6:R$25,0)),"N/D")</f>
        <v>N/D</v>
      </c>
      <c r="F52" s="1231">
        <f>IFERROR(INDEX(O$6:O$25,MATCH(LARGE(R$6:R$25,5),R$6:R$25,0)),0)</f>
        <v>0</v>
      </c>
      <c r="G52" s="1232">
        <f>IFERROR(INDEX(I$6:I$25,MATCH(LARGE(R$6:R$25,5),R$6:R$25,0)),0)</f>
        <v>0</v>
      </c>
      <c r="H52" s="1233">
        <f>IFERROR(LARGE(R$6:R$25,5),0)</f>
        <v>0</v>
      </c>
      <c r="I52" s="1234">
        <f>IFERROR(INDEX(Q$6:Q$25,MATCH(LARGE(R$6:R$25,5),R$6:R$25,0)),0)</f>
        <v>0</v>
      </c>
      <c r="J52" s="1235" t="str">
        <f>IFERROR(INDEX(P$6:P$25,MATCH(LARGE(R$6:R$25,5),R$6:R$25,0)),"N/D")</f>
        <v>N/D</v>
      </c>
      <c r="K52" s="1230"/>
      <c r="L52" s="1236"/>
      <c r="M52" s="1196"/>
      <c r="N52" s="1112"/>
      <c r="O52" s="1112"/>
      <c r="P52" s="1112"/>
      <c r="Q52" s="1112"/>
      <c r="R52" s="1112"/>
      <c r="S52" s="1112"/>
      <c r="T52" s="1112"/>
      <c r="U52" s="1112"/>
      <c r="V52" s="1112"/>
      <c r="W52" s="1112"/>
      <c r="X52" s="1112"/>
      <c r="Y52" s="1112"/>
      <c r="Z52" s="1113"/>
    </row>
    <row r="53" spans="1:26" ht="4.05" customHeight="1" x14ac:dyDescent="0.3">
      <c r="A53" s="1005"/>
      <c r="B53" s="1005"/>
      <c r="C53" s="1005"/>
      <c r="D53" s="1005"/>
      <c r="E53" s="1005"/>
      <c r="F53" s="1005"/>
      <c r="G53" s="1005"/>
      <c r="H53" s="1005"/>
      <c r="I53" s="1005"/>
      <c r="J53" s="1005"/>
      <c r="K53" s="1005"/>
      <c r="L53" s="1005"/>
    </row>
    <row r="54" spans="1:26" ht="4.05" customHeight="1" x14ac:dyDescent="0.3">
      <c r="A54" s="1005"/>
      <c r="B54" s="1005"/>
      <c r="C54" s="1005"/>
      <c r="D54" s="1005"/>
      <c r="E54" s="1005"/>
      <c r="F54" s="1005"/>
      <c r="G54" s="1005"/>
      <c r="H54" s="1005"/>
      <c r="I54" s="1005"/>
      <c r="J54" s="1005"/>
      <c r="K54" s="1005"/>
      <c r="L54" s="1005"/>
    </row>
    <row r="55" spans="1:26" ht="4.05" customHeight="1" x14ac:dyDescent="0.3">
      <c r="A55" s="1005"/>
      <c r="B55" s="1005"/>
      <c r="C55" s="1005"/>
      <c r="D55" s="1005"/>
      <c r="E55" s="1005"/>
      <c r="F55" s="1005"/>
      <c r="G55" s="1005"/>
      <c r="H55" s="1005"/>
      <c r="I55" s="1005"/>
      <c r="J55" s="1005"/>
      <c r="K55" s="1005"/>
      <c r="L55" s="1005"/>
    </row>
    <row r="56" spans="1:26" ht="4.05" customHeight="1" x14ac:dyDescent="0.3">
      <c r="A56" s="1005"/>
      <c r="B56" s="1005"/>
      <c r="C56" s="1005"/>
      <c r="D56" s="1005"/>
      <c r="E56" s="1005"/>
      <c r="F56" s="1005"/>
      <c r="G56" s="1005"/>
      <c r="H56" s="1005"/>
      <c r="I56" s="1005"/>
      <c r="J56" s="1005"/>
      <c r="K56" s="1005"/>
      <c r="L56" s="1005"/>
    </row>
    <row r="57" spans="1:26" ht="4.05" customHeight="1" x14ac:dyDescent="0.3">
      <c r="A57" s="1005"/>
      <c r="B57" s="1005"/>
      <c r="C57" s="1005"/>
      <c r="D57" s="1005"/>
      <c r="E57" s="1005"/>
      <c r="F57" s="1005"/>
      <c r="G57" s="1005"/>
      <c r="H57" s="1005"/>
      <c r="I57" s="1005"/>
      <c r="J57" s="1005"/>
      <c r="K57" s="1005"/>
      <c r="L57" s="1005"/>
    </row>
    <row r="58" spans="1:26" ht="4.05" customHeight="1" x14ac:dyDescent="0.3">
      <c r="A58" s="1005"/>
      <c r="B58" s="1005"/>
      <c r="C58" s="1005"/>
      <c r="D58" s="1005"/>
      <c r="E58" s="1005"/>
      <c r="F58" s="1005"/>
      <c r="G58" s="1005"/>
      <c r="H58" s="1005"/>
      <c r="I58" s="1005"/>
      <c r="J58" s="1005"/>
      <c r="K58" s="1005"/>
      <c r="L58" s="1005"/>
    </row>
    <row r="59" spans="1:26" ht="4.05" customHeight="1" x14ac:dyDescent="0.3">
      <c r="A59" s="1005"/>
      <c r="B59" s="1005"/>
      <c r="C59" s="1005"/>
      <c r="D59" s="1005"/>
      <c r="E59" s="1005"/>
      <c r="F59" s="1005"/>
      <c r="G59" s="1005"/>
      <c r="H59" s="1005"/>
      <c r="I59" s="1005"/>
      <c r="J59" s="1005"/>
      <c r="K59" s="1005"/>
      <c r="L59" s="1005"/>
    </row>
    <row r="60" spans="1:26" ht="4.05" customHeight="1" x14ac:dyDescent="0.3">
      <c r="A60" s="1005"/>
      <c r="B60" s="1005"/>
      <c r="C60" s="1005"/>
      <c r="D60" s="1005"/>
      <c r="E60" s="1005"/>
      <c r="F60" s="1005"/>
      <c r="G60" s="1005"/>
      <c r="H60" s="1005"/>
      <c r="I60" s="1005"/>
      <c r="J60" s="1005"/>
      <c r="K60" s="1005"/>
      <c r="L60" s="1005"/>
    </row>
    <row r="61" spans="1:26" ht="4.05" customHeight="1" x14ac:dyDescent="0.3">
      <c r="A61" s="1005"/>
      <c r="B61" s="1005"/>
      <c r="C61" s="1005"/>
      <c r="D61" s="1005"/>
      <c r="E61" s="1005"/>
      <c r="F61" s="1005"/>
      <c r="G61" s="1005"/>
      <c r="H61" s="1005"/>
      <c r="I61" s="1005"/>
      <c r="J61" s="1005"/>
      <c r="K61" s="1005"/>
      <c r="L61" s="1005"/>
    </row>
    <row r="62" spans="1:26" ht="4.05" customHeight="1" x14ac:dyDescent="0.3">
      <c r="A62" s="1005"/>
      <c r="B62" s="1005"/>
      <c r="C62" s="1005"/>
      <c r="D62" s="1005"/>
      <c r="E62" s="1005"/>
      <c r="F62" s="1005"/>
      <c r="G62" s="1005"/>
      <c r="H62" s="1005"/>
      <c r="I62" s="1005"/>
      <c r="J62" s="1005"/>
      <c r="K62" s="1005"/>
      <c r="L62" s="1005"/>
    </row>
    <row r="63" spans="1:26" ht="4.05" customHeight="1" x14ac:dyDescent="0.3">
      <c r="A63" s="1005"/>
      <c r="B63" s="1005"/>
      <c r="C63" s="1005"/>
      <c r="D63" s="1005"/>
      <c r="E63" s="1005"/>
      <c r="F63" s="1005"/>
      <c r="G63" s="1005"/>
      <c r="H63" s="1005"/>
      <c r="I63" s="1005"/>
      <c r="J63" s="1005"/>
      <c r="K63" s="1005"/>
      <c r="L63" s="1005"/>
    </row>
    <row r="64" spans="1:26" ht="4.05" customHeight="1" x14ac:dyDescent="0.3">
      <c r="A64" s="1005"/>
      <c r="B64" s="1005"/>
      <c r="C64" s="1005"/>
      <c r="D64" s="1005"/>
      <c r="E64" s="1005"/>
      <c r="F64" s="1005"/>
      <c r="G64" s="1005"/>
      <c r="H64" s="1005"/>
      <c r="I64" s="1005"/>
      <c r="J64" s="1005"/>
      <c r="K64" s="1005"/>
      <c r="L64" s="1005"/>
    </row>
    <row r="65" spans="1:12" ht="4.05" customHeight="1" x14ac:dyDescent="0.3">
      <c r="A65" s="1005"/>
      <c r="B65" s="1005"/>
      <c r="C65" s="1005"/>
      <c r="D65" s="1005"/>
      <c r="E65" s="1005"/>
      <c r="F65" s="1005"/>
      <c r="G65" s="1005"/>
      <c r="H65" s="1005"/>
      <c r="I65" s="1005"/>
      <c r="J65" s="1005"/>
      <c r="K65" s="1005"/>
      <c r="L65" s="1005"/>
    </row>
    <row r="66" spans="1:12" ht="4.05" customHeight="1" x14ac:dyDescent="0.3">
      <c r="A66" s="1005"/>
      <c r="B66" s="1005"/>
      <c r="C66" s="1005"/>
      <c r="D66" s="1005"/>
      <c r="E66" s="1005"/>
      <c r="F66" s="1005"/>
      <c r="G66" s="1005"/>
      <c r="H66" s="1005"/>
      <c r="I66" s="1005"/>
      <c r="J66" s="1005"/>
      <c r="K66" s="1005"/>
      <c r="L66" s="1005"/>
    </row>
    <row r="67" spans="1:12" ht="4.05" customHeight="1" x14ac:dyDescent="0.3">
      <c r="A67" s="1005"/>
      <c r="B67" s="1005"/>
      <c r="C67" s="1005"/>
      <c r="D67" s="1005"/>
      <c r="E67" s="1005"/>
      <c r="F67" s="1005"/>
      <c r="G67" s="1005"/>
      <c r="H67" s="1005"/>
      <c r="I67" s="1005"/>
      <c r="J67" s="1005"/>
      <c r="K67" s="1005"/>
      <c r="L67" s="1005"/>
    </row>
    <row r="68" spans="1:12" ht="4.05" customHeight="1" x14ac:dyDescent="0.3">
      <c r="A68" s="1005"/>
      <c r="B68" s="1005"/>
      <c r="C68" s="1005"/>
      <c r="D68" s="1005"/>
      <c r="E68" s="1005"/>
      <c r="F68" s="1005"/>
      <c r="G68" s="1005"/>
      <c r="H68" s="1005"/>
      <c r="I68" s="1005"/>
      <c r="J68" s="1005"/>
      <c r="K68" s="1005"/>
      <c r="L68" s="1005"/>
    </row>
    <row r="69" spans="1:12" ht="4.05" customHeight="1" x14ac:dyDescent="0.3">
      <c r="A69" s="1005"/>
      <c r="B69" s="1005"/>
      <c r="C69" s="1005"/>
      <c r="D69" s="1005"/>
      <c r="E69" s="1005"/>
      <c r="F69" s="1005"/>
      <c r="G69" s="1005"/>
      <c r="H69" s="1005"/>
      <c r="I69" s="1005"/>
      <c r="J69" s="1005"/>
      <c r="K69" s="1005"/>
      <c r="L69" s="1005"/>
    </row>
  </sheetData>
  <mergeCells count="16">
    <mergeCell ref="A37:Z37"/>
    <mergeCell ref="A46:Z46"/>
    <mergeCell ref="A1:Z1"/>
    <mergeCell ref="A3:Z3"/>
    <mergeCell ref="A27:Z27"/>
    <mergeCell ref="B39:Z39"/>
    <mergeCell ref="B44:Z44"/>
    <mergeCell ref="B45:Z45"/>
    <mergeCell ref="A29:B29"/>
    <mergeCell ref="C29:D29"/>
    <mergeCell ref="E29:G29"/>
    <mergeCell ref="H29:J29"/>
    <mergeCell ref="K29:P29"/>
    <mergeCell ref="B26:C26"/>
    <mergeCell ref="A4:Z4"/>
    <mergeCell ref="A28:Z28"/>
  </mergeCells>
  <conditionalFormatting sqref="H6:H26">
    <cfRule type="cellIs" dxfId="61" priority="9" operator="greaterThan">
      <formula>0.15</formula>
    </cfRule>
    <cfRule type="cellIs" dxfId="60" priority="10" operator="between">
      <formula>0.05</formula>
      <formula>0.15</formula>
    </cfRule>
    <cfRule type="cellIs" dxfId="59" priority="11" operator="lessThan">
      <formula>0.05</formula>
    </cfRule>
  </conditionalFormatting>
  <conditionalFormatting sqref="I6:I25">
    <cfRule type="cellIs" dxfId="58" priority="6" operator="equal">
      <formula>1</formula>
    </cfRule>
    <cfRule type="cellIs" dxfId="57" priority="7" operator="equal">
      <formula>0.9</formula>
    </cfRule>
    <cfRule type="cellIs" dxfId="56" priority="8" operator="equal">
      <formula>0.5</formula>
    </cfRule>
  </conditionalFormatting>
  <conditionalFormatting sqref="J6:J25">
    <cfRule type="containsText" dxfId="55" priority="1" operator="containsText" text="ALINEADA">
      <formula>NOT(ISERROR(SEARCH("ALINEADA",J6)))</formula>
    </cfRule>
    <cfRule type="containsText" dxfId="54" priority="2" operator="containsText" text="PARCIAL">
      <formula>NOT(ISERROR(SEARCH("PARCIAL",J6)))</formula>
    </cfRule>
    <cfRule type="containsText" dxfId="53" priority="3" operator="containsText" text="BAJA">
      <formula>NOT(ISERROR(SEARCH("BAJA",J6)))</formula>
    </cfRule>
  </conditionalFormatting>
  <conditionalFormatting sqref="L6:L25">
    <cfRule type="cellIs" dxfId="52" priority="4" operator="equal">
      <formula>0</formula>
    </cfRule>
    <cfRule type="cellIs" dxfId="51" priority="5" operator="greaterThan">
      <formula>0</formula>
    </cfRule>
  </conditionalFormatting>
  <hyperlinks>
    <hyperlink ref="R5" location="'M-INDEX'!A1" tooltip="Volver al Índice Principal" display="⌂ ÍNDICE" xr:uid="{AB9F6E34-D30D-42E7-B59B-2C62203F93D5}"/>
  </hyperlinks>
  <pageMargins left="0.7" right="0.7" top="0.75" bottom="0.75" header="0.3" footer="0.3"/>
  <legacy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38C25-C164-4543-98D5-7CA59EA78FE5}">
  <sheetPr>
    <tabColor rgb="FFFFF2CC"/>
  </sheetPr>
  <dimension ref="A1:Z66"/>
  <sheetViews>
    <sheetView showGridLines="0" zoomScale="42" zoomScaleNormal="42" workbookViewId="0">
      <selection sqref="A1:Z1"/>
    </sheetView>
  </sheetViews>
  <sheetFormatPr baseColWidth="10" defaultRowHeight="14.4" x14ac:dyDescent="0.3"/>
  <cols>
    <col min="1" max="1" width="38.88671875" customWidth="1"/>
    <col min="2" max="2" width="55.5546875" customWidth="1"/>
    <col min="3" max="3" width="22.21875" customWidth="1"/>
    <col min="4" max="4" width="63" customWidth="1"/>
    <col min="5" max="6" width="16.6640625" customWidth="1"/>
    <col min="7" max="26" width="5.5546875" customWidth="1"/>
  </cols>
  <sheetData>
    <row r="1" spans="1:26" ht="28.05" customHeight="1" x14ac:dyDescent="0.3">
      <c r="A1" s="4041" t="s">
        <v>4832</v>
      </c>
      <c r="B1" s="4041"/>
      <c r="C1" s="4041"/>
      <c r="D1" s="4041"/>
      <c r="E1" s="4041"/>
      <c r="F1" s="4041"/>
      <c r="G1" s="4041"/>
      <c r="H1" s="4041"/>
      <c r="I1" s="4041"/>
      <c r="J1" s="4041"/>
      <c r="K1" s="4041"/>
      <c r="L1" s="4041"/>
      <c r="M1" s="4041"/>
      <c r="N1" s="4041"/>
      <c r="O1" s="4041"/>
      <c r="P1" s="4041"/>
      <c r="Q1" s="4041"/>
      <c r="R1" s="4041"/>
      <c r="S1" s="4041"/>
      <c r="T1" s="4041"/>
      <c r="U1" s="4041"/>
      <c r="V1" s="4041"/>
      <c r="W1" s="4041"/>
      <c r="X1" s="4041"/>
      <c r="Y1" s="4041"/>
      <c r="Z1" s="4041"/>
    </row>
    <row r="2" spans="1:26" ht="18" customHeight="1" x14ac:dyDescent="0.3">
      <c r="A2" s="1249" t="str">
        <f>HYPERLINK("#'M-INDEX'!A1","⌂ INDICE")</f>
        <v>⌂ INDICE</v>
      </c>
      <c r="B2" s="1250" t="str">
        <f>HYPERLINK("#'M1-ITME'!A1","M1")</f>
        <v>M1</v>
      </c>
      <c r="C2" s="1250" t="str">
        <f>HYPERLINK("#'M2-PDOT'!A1","M2")</f>
        <v>M2</v>
      </c>
      <c r="D2" s="1250" t="str">
        <f>HYPERLINK("#'M3-MAO'!A1","M3")</f>
        <v>M3</v>
      </c>
      <c r="E2" s="1250" t="str">
        <f>HYPERLINK("#'M4-AUDIT'!A1","M4")</f>
        <v>M4</v>
      </c>
      <c r="F2" s="1250" t="str">
        <f>HYPERLINK("#'M5-ICPI'!A1","M5")</f>
        <v>M5</v>
      </c>
      <c r="G2" s="1246" t="str">
        <f>HYPERLINK("#'M6-FEDS'!A1","M6")</f>
        <v>M6</v>
      </c>
      <c r="H2" s="1246" t="str">
        <f>HYPERLINK("#'M7-PROSP'!A1","M7")</f>
        <v>M7</v>
      </c>
      <c r="I2" s="1246" t="str">
        <f>HYPERLINK("#'DATA-POA'!A1","DATA-POA")</f>
        <v>DATA-POA</v>
      </c>
      <c r="J2" s="1246" t="str">
        <f>HYPERLINK("#'DATA-CNE'!A1","DATA-CNE")</f>
        <v>DATA-CNE</v>
      </c>
      <c r="K2" s="1246" t="str">
        <f>HYPERLINK("#'DATA-ORG'!A1","DATA-ORG")</f>
        <v>DATA-ORG</v>
      </c>
      <c r="L2" s="1246" t="str">
        <f>HYPERLINK("#'M-DASHBOARD'!A1","DASH")</f>
        <v>DASH</v>
      </c>
      <c r="M2" s="1247"/>
      <c r="N2" s="1247"/>
      <c r="O2" s="1247"/>
      <c r="P2" s="1247"/>
      <c r="Q2" s="1247"/>
      <c r="R2" s="1247"/>
      <c r="S2" s="1247"/>
      <c r="T2" s="1247"/>
      <c r="U2" s="1247"/>
      <c r="V2" s="1247"/>
      <c r="W2" s="1247"/>
      <c r="X2" s="1247"/>
      <c r="Y2" s="1247"/>
      <c r="Z2" s="1247"/>
    </row>
    <row r="3" spans="1:26" ht="16.05" customHeight="1" x14ac:dyDescent="0.3">
      <c r="A3" s="4151" t="s">
        <v>4245</v>
      </c>
      <c r="B3" s="4152"/>
      <c r="C3" s="4152"/>
      <c r="D3" s="4152"/>
      <c r="E3" s="4152"/>
      <c r="F3" s="4152"/>
      <c r="G3" s="4153"/>
      <c r="H3" s="4153"/>
      <c r="I3" s="4153"/>
      <c r="J3" s="4153"/>
      <c r="K3" s="4153"/>
      <c r="L3" s="4153"/>
      <c r="M3" s="4153"/>
      <c r="N3" s="4153"/>
      <c r="O3" s="4153"/>
      <c r="P3" s="4153"/>
      <c r="Q3" s="4153"/>
      <c r="R3" s="4153"/>
      <c r="S3" s="4153"/>
      <c r="T3" s="4153"/>
      <c r="U3" s="4153"/>
      <c r="V3" s="4153"/>
      <c r="W3" s="4153"/>
      <c r="X3" s="4153"/>
      <c r="Y3" s="4153"/>
      <c r="Z3" s="4153"/>
    </row>
    <row r="4" spans="1:26" ht="22.05" customHeight="1" x14ac:dyDescent="0.3">
      <c r="A4" s="4148" t="str">
        <f>"🔷 RESUMEN EJECUTIVO · ICPI = "&amp;TEXT('M5-ICPI'!G29,"0,00")&amp;"% · Gestión por Ocurrencia · n=20 metas · Brecha PDOT: "&amp;TEXT(100-'M5-ICPI'!G29,"0,00")&amp;"pp · SIAP-ICPI · GAD Montecristi"</f>
        <v>🔷 RESUMEN EJECUTIVO · ICPI = 38,28% · Gestión por Ocurrencia · n=20 metas · Brecha PDOT: 61,72pp · SIAP-ICPI · GAD Montecristi</v>
      </c>
      <c r="B4" s="4148"/>
      <c r="C4" s="4148"/>
      <c r="D4" s="4148"/>
      <c r="E4" s="4148"/>
      <c r="F4" s="4148"/>
      <c r="G4" s="3644"/>
      <c r="H4" s="3644"/>
      <c r="I4" s="3644"/>
      <c r="J4" s="3644"/>
      <c r="K4" s="3644"/>
      <c r="L4" s="3644"/>
      <c r="M4" s="3644"/>
      <c r="N4" s="3644"/>
      <c r="O4" s="3644"/>
      <c r="P4" s="3644"/>
      <c r="Q4" s="3644"/>
      <c r="R4" s="3644"/>
      <c r="S4" s="3644"/>
      <c r="T4" s="3644"/>
      <c r="U4" s="3644"/>
      <c r="V4" s="3644"/>
      <c r="W4" s="3644"/>
      <c r="X4" s="3644"/>
      <c r="Y4" s="3644"/>
      <c r="Z4" s="3644"/>
    </row>
    <row r="5" spans="1:26" ht="31.95" customHeight="1" x14ac:dyDescent="0.3">
      <c r="A5" s="1260" t="s">
        <v>1517</v>
      </c>
      <c r="B5" s="1321" t="s">
        <v>1518</v>
      </c>
      <c r="C5" s="1316" t="s">
        <v>1930</v>
      </c>
      <c r="D5" s="1262" t="s">
        <v>2681</v>
      </c>
      <c r="E5" s="520"/>
      <c r="F5" s="520"/>
      <c r="G5" s="534"/>
      <c r="H5" s="534"/>
      <c r="I5" s="534"/>
      <c r="J5" s="534"/>
      <c r="K5" s="534"/>
      <c r="L5" s="534"/>
      <c r="M5" s="534"/>
      <c r="N5" s="534"/>
      <c r="O5" s="534"/>
      <c r="P5" s="534"/>
      <c r="Q5" s="534"/>
      <c r="R5" s="534"/>
      <c r="S5" s="534"/>
      <c r="T5" s="534"/>
      <c r="U5" s="534"/>
      <c r="V5" s="534"/>
      <c r="W5" s="534"/>
      <c r="X5" s="534"/>
      <c r="Y5" s="534"/>
      <c r="Z5" s="534"/>
    </row>
    <row r="6" spans="1:26" ht="30" customHeight="1" x14ac:dyDescent="0.3">
      <c r="A6" s="1282" t="s">
        <v>2428</v>
      </c>
      <c r="B6" s="4179">
        <f>'DATA-RESULTADOS'!C6*100</f>
        <v>40.003606491564099</v>
      </c>
      <c r="C6" s="1317">
        <v>0.40003606491564098</v>
      </c>
      <c r="D6" s="1283" t="s">
        <v>2682</v>
      </c>
      <c r="E6" s="520"/>
      <c r="F6" s="520"/>
      <c r="G6" s="534"/>
      <c r="H6" s="534"/>
      <c r="I6" s="534"/>
      <c r="J6" s="534"/>
      <c r="K6" s="534"/>
      <c r="L6" s="534"/>
      <c r="M6" s="534"/>
      <c r="N6" s="534"/>
      <c r="O6" s="534"/>
      <c r="P6" s="534"/>
      <c r="Q6" s="534"/>
      <c r="R6" s="534"/>
      <c r="S6" s="534"/>
      <c r="T6" s="534"/>
      <c r="U6" s="534"/>
      <c r="V6" s="534"/>
      <c r="W6" s="534"/>
      <c r="X6" s="534"/>
      <c r="Y6" s="534"/>
      <c r="Z6" s="534"/>
    </row>
    <row r="7" spans="1:26" ht="30" customHeight="1" x14ac:dyDescent="0.3">
      <c r="A7" s="1286" t="s">
        <v>2683</v>
      </c>
      <c r="B7" s="1323" t="str">
        <f>TEXT('M5-ICPI'!G29-'M-TECH-PARAMS'!B7*100,"0,00")&amp;" pp"</f>
        <v>-61,72 pp</v>
      </c>
      <c r="C7" s="1318" t="s">
        <v>2684</v>
      </c>
      <c r="D7" s="1287" t="s">
        <v>2685</v>
      </c>
      <c r="E7" s="520"/>
      <c r="F7" s="520"/>
      <c r="G7" s="534"/>
      <c r="H7" s="534"/>
      <c r="I7" s="534"/>
      <c r="J7" s="534"/>
      <c r="K7" s="534"/>
      <c r="L7" s="534"/>
      <c r="M7" s="534"/>
      <c r="N7" s="534"/>
      <c r="O7" s="534"/>
      <c r="P7" s="534"/>
      <c r="Q7" s="534"/>
      <c r="R7" s="534"/>
      <c r="S7" s="534"/>
      <c r="T7" s="534"/>
      <c r="U7" s="534"/>
      <c r="V7" s="534"/>
      <c r="W7" s="534"/>
      <c r="X7" s="534"/>
      <c r="Y7" s="534"/>
      <c r="Z7" s="534"/>
    </row>
    <row r="8" spans="1:26" ht="30" customHeight="1" x14ac:dyDescent="0.3">
      <c r="A8" s="1282" t="s">
        <v>2686</v>
      </c>
      <c r="B8" s="4180" t="s">
        <v>2687</v>
      </c>
      <c r="C8" s="1317" t="s">
        <v>2688</v>
      </c>
      <c r="D8" s="1283" t="s">
        <v>2689</v>
      </c>
      <c r="E8" s="520"/>
      <c r="F8" s="520"/>
      <c r="G8" s="534"/>
      <c r="H8" s="534"/>
      <c r="I8" s="534"/>
      <c r="J8" s="534"/>
      <c r="K8" s="534"/>
      <c r="L8" s="534"/>
      <c r="M8" s="534"/>
      <c r="N8" s="534"/>
      <c r="O8" s="534"/>
      <c r="P8" s="534"/>
      <c r="Q8" s="534"/>
      <c r="R8" s="534"/>
      <c r="S8" s="534"/>
      <c r="T8" s="534"/>
      <c r="U8" s="534"/>
      <c r="V8" s="534"/>
      <c r="W8" s="534"/>
      <c r="X8" s="534"/>
      <c r="Y8" s="534"/>
      <c r="Z8" s="534"/>
    </row>
    <row r="9" spans="1:26" ht="30" customHeight="1" x14ac:dyDescent="0.3">
      <c r="A9" s="1286" t="s">
        <v>2690</v>
      </c>
      <c r="B9" s="1323" t="str">
        <f>TEXT('M-TECH-PARAMS'!B7*100,"0,00")&amp;" %"</f>
        <v>100,00 %</v>
      </c>
      <c r="C9" s="1318" t="s">
        <v>2691</v>
      </c>
      <c r="D9" s="1287" t="str">
        <f>"Diferencial forense: ICM("&amp;TEXT('M-TECH-PARAMS'!B7*100,"0,00")&amp;"%) − ICPI("&amp;TEXT('M5-ICPI'!G29,"0,00")&amp;"%) = +"&amp;TEXT('M-TECH-PARAMS'!B7*100-'M5-ICPI'!G29,"0,00")&amp;" pp · Evidencia H₁ confirmada §3.1"</f>
        <v>Diferencial forense: ICM(100,00%) − ICPI(38,28%) = +61,72 pp · Evidencia H₁ confirmada §3.1</v>
      </c>
      <c r="E9" s="520"/>
      <c r="F9" s="520"/>
      <c r="G9" s="534"/>
      <c r="H9" s="534"/>
      <c r="I9" s="534"/>
      <c r="J9" s="534"/>
      <c r="K9" s="534"/>
      <c r="L9" s="534"/>
      <c r="M9" s="534"/>
      <c r="N9" s="534"/>
      <c r="O9" s="534"/>
      <c r="P9" s="534"/>
      <c r="Q9" s="534"/>
      <c r="R9" s="534"/>
      <c r="S9" s="534"/>
      <c r="T9" s="534"/>
      <c r="U9" s="534"/>
      <c r="V9" s="534"/>
      <c r="W9" s="534"/>
      <c r="X9" s="534"/>
      <c r="Y9" s="534"/>
      <c r="Z9" s="534"/>
    </row>
    <row r="10" spans="1:26" ht="30" customHeight="1" x14ac:dyDescent="0.3">
      <c r="A10" s="1282" t="s">
        <v>2692</v>
      </c>
      <c r="B10" s="1322" t="str">
        <f>COUNTIF('M4-AUDIT'!F5:F24,1)&amp;" / 20  ("&amp;TEXT(COUNTIF('M4-AUDIT'!F5:F24,1)/20,"0%")&amp;")"</f>
        <v>15 / 20  (75%)</v>
      </c>
      <c r="C10" s="1317" t="s">
        <v>2693</v>
      </c>
      <c r="D10" s="1283" t="s">
        <v>4549</v>
      </c>
      <c r="E10" s="520"/>
      <c r="F10" s="520"/>
      <c r="G10" s="534"/>
      <c r="H10" s="534"/>
      <c r="I10" s="534"/>
      <c r="J10" s="534"/>
      <c r="K10" s="534"/>
      <c r="L10" s="534"/>
      <c r="M10" s="534"/>
      <c r="N10" s="534"/>
      <c r="O10" s="534"/>
      <c r="P10" s="534"/>
      <c r="Q10" s="534"/>
      <c r="R10" s="534"/>
      <c r="S10" s="534"/>
      <c r="T10" s="534"/>
      <c r="U10" s="534"/>
      <c r="V10" s="534"/>
      <c r="W10" s="534"/>
      <c r="X10" s="534"/>
      <c r="Y10" s="534"/>
      <c r="Z10" s="534"/>
    </row>
    <row r="11" spans="1:26" ht="30" customHeight="1" x14ac:dyDescent="0.3">
      <c r="A11" s="1284" t="s">
        <v>324</v>
      </c>
      <c r="B11" s="1324" t="str">
        <f>COUNTIF('M4-AUDIT'!F5:F24,0)&amp;" / 20  ("&amp;TEXT(COUNTIF('M4-AUDIT'!F5:F24,0)/20,"0%")&amp;")"</f>
        <v>5 / 20  (25%)</v>
      </c>
      <c r="C11" s="1319" t="s">
        <v>2693</v>
      </c>
      <c r="D11" s="1285" t="s">
        <v>4551</v>
      </c>
      <c r="E11" s="520"/>
      <c r="F11" s="520"/>
      <c r="G11" s="534"/>
      <c r="H11" s="534"/>
      <c r="I11" s="534"/>
      <c r="J11" s="534"/>
      <c r="K11" s="534"/>
      <c r="L11" s="534"/>
      <c r="M11" s="534"/>
      <c r="N11" s="534"/>
      <c r="O11" s="534"/>
      <c r="P11" s="534"/>
      <c r="Q11" s="534"/>
      <c r="R11" s="534"/>
      <c r="S11" s="534"/>
      <c r="T11" s="534"/>
      <c r="U11" s="534"/>
      <c r="V11" s="534"/>
      <c r="W11" s="534"/>
      <c r="X11" s="534"/>
      <c r="Y11" s="534"/>
      <c r="Z11" s="534"/>
    </row>
    <row r="12" spans="1:26" ht="30" customHeight="1" x14ac:dyDescent="0.3">
      <c r="A12" s="1261" t="s">
        <v>2694</v>
      </c>
      <c r="B12" s="1325" t="s">
        <v>2695</v>
      </c>
      <c r="C12" s="1320" t="s">
        <v>373</v>
      </c>
      <c r="D12" s="1263" t="s">
        <v>2696</v>
      </c>
      <c r="E12" s="520"/>
      <c r="F12" s="520"/>
      <c r="G12" s="534"/>
      <c r="H12" s="534"/>
      <c r="I12" s="534"/>
      <c r="J12" s="534"/>
      <c r="K12" s="534"/>
      <c r="L12" s="534"/>
      <c r="M12" s="534"/>
      <c r="N12" s="534"/>
      <c r="O12" s="534"/>
      <c r="P12" s="534"/>
      <c r="Q12" s="534"/>
      <c r="R12" s="534"/>
      <c r="S12" s="534"/>
      <c r="T12" s="534"/>
      <c r="U12" s="534"/>
      <c r="V12" s="534"/>
      <c r="W12" s="534"/>
      <c r="X12" s="534"/>
      <c r="Y12" s="534"/>
      <c r="Z12" s="534"/>
    </row>
    <row r="13" spans="1:26" ht="6" customHeight="1" x14ac:dyDescent="0.3">
      <c r="A13" s="1244" t="s">
        <v>385</v>
      </c>
      <c r="B13" s="4181" t="s">
        <v>2697</v>
      </c>
      <c r="C13" s="1244" t="s">
        <v>383</v>
      </c>
      <c r="D13" s="1244" t="s">
        <v>2698</v>
      </c>
      <c r="E13" s="520"/>
      <c r="F13" s="520"/>
      <c r="G13" s="534"/>
      <c r="H13" s="534"/>
      <c r="I13" s="534"/>
      <c r="J13" s="534"/>
      <c r="K13" s="534"/>
      <c r="L13" s="534"/>
      <c r="M13" s="534"/>
      <c r="N13" s="534"/>
      <c r="O13" s="534"/>
      <c r="P13" s="534"/>
      <c r="Q13" s="534"/>
      <c r="R13" s="534"/>
      <c r="S13" s="534"/>
      <c r="T13" s="534"/>
      <c r="U13" s="534"/>
      <c r="V13" s="534"/>
      <c r="W13" s="534"/>
      <c r="X13" s="534"/>
      <c r="Y13" s="534"/>
      <c r="Z13" s="534"/>
    </row>
    <row r="14" spans="1:26" x14ac:dyDescent="0.3">
      <c r="A14" s="1244"/>
      <c r="B14" s="1244"/>
      <c r="C14" s="1244"/>
      <c r="D14" s="1244"/>
      <c r="E14" s="520"/>
      <c r="F14" s="520"/>
      <c r="G14" s="534"/>
      <c r="H14" s="534"/>
      <c r="I14" s="534"/>
      <c r="J14" s="534"/>
      <c r="K14" s="534"/>
      <c r="L14" s="534"/>
      <c r="M14" s="534"/>
      <c r="N14" s="534"/>
      <c r="O14" s="534"/>
      <c r="P14" s="534"/>
      <c r="Q14" s="534"/>
      <c r="R14" s="534"/>
      <c r="S14" s="534"/>
      <c r="T14" s="534"/>
      <c r="U14" s="534"/>
      <c r="V14" s="534"/>
      <c r="W14" s="534"/>
      <c r="X14" s="534"/>
      <c r="Y14" s="534"/>
      <c r="Z14" s="534"/>
    </row>
    <row r="15" spans="1:26" ht="22.05" customHeight="1" x14ac:dyDescent="0.3">
      <c r="A15" s="4148" t="s">
        <v>2699</v>
      </c>
      <c r="B15" s="4148"/>
      <c r="C15" s="4148"/>
      <c r="D15" s="4148"/>
      <c r="E15" s="4148"/>
      <c r="F15" s="4148"/>
      <c r="G15" s="3644"/>
      <c r="H15" s="3644"/>
      <c r="I15" s="3644"/>
      <c r="J15" s="3644"/>
      <c r="K15" s="3644"/>
      <c r="L15" s="3644"/>
      <c r="M15" s="3644"/>
      <c r="N15" s="3644"/>
      <c r="O15" s="3644"/>
      <c r="P15" s="3644"/>
      <c r="Q15" s="3644"/>
      <c r="R15" s="3644"/>
      <c r="S15" s="3644"/>
      <c r="T15" s="3644"/>
      <c r="U15" s="3644"/>
      <c r="V15" s="3644"/>
      <c r="W15" s="3644"/>
      <c r="X15" s="3644"/>
      <c r="Y15" s="3644"/>
      <c r="Z15" s="3644"/>
    </row>
    <row r="16" spans="1:26" ht="31.95" customHeight="1" x14ac:dyDescent="0.3">
      <c r="A16" s="1260" t="s">
        <v>2700</v>
      </c>
      <c r="B16" s="1321" t="s">
        <v>2701</v>
      </c>
      <c r="C16" s="1316" t="s">
        <v>2702</v>
      </c>
      <c r="D16" s="1262" t="s">
        <v>2703</v>
      </c>
      <c r="E16" s="520"/>
      <c r="F16" s="520"/>
      <c r="G16" s="534"/>
      <c r="H16" s="534"/>
      <c r="I16" s="534"/>
      <c r="J16" s="534"/>
      <c r="K16" s="534"/>
      <c r="L16" s="534"/>
      <c r="M16" s="534"/>
      <c r="N16" s="534"/>
      <c r="O16" s="534"/>
      <c r="P16" s="534"/>
      <c r="Q16" s="534"/>
      <c r="R16" s="534"/>
      <c r="S16" s="534"/>
      <c r="T16" s="534"/>
      <c r="U16" s="534"/>
      <c r="V16" s="534"/>
      <c r="W16" s="534"/>
      <c r="X16" s="534"/>
      <c r="Y16" s="534"/>
      <c r="Z16" s="534"/>
    </row>
    <row r="17" spans="1:26" ht="34.049999999999997" customHeight="1" x14ac:dyDescent="0.3">
      <c r="A17" s="1288" t="s">
        <v>2704</v>
      </c>
      <c r="B17" s="1323" t="s">
        <v>2705</v>
      </c>
      <c r="C17" s="1318" t="s">
        <v>2706</v>
      </c>
      <c r="D17" s="1287" t="s">
        <v>2707</v>
      </c>
      <c r="E17" s="520"/>
      <c r="F17" s="520"/>
      <c r="G17" s="534"/>
      <c r="H17" s="534"/>
      <c r="I17" s="534"/>
      <c r="J17" s="534"/>
      <c r="K17" s="534"/>
      <c r="L17" s="534"/>
      <c r="M17" s="534"/>
      <c r="N17" s="534"/>
      <c r="O17" s="534"/>
      <c r="P17" s="534"/>
      <c r="Q17" s="534"/>
      <c r="R17" s="534"/>
      <c r="S17" s="534"/>
      <c r="T17" s="534"/>
      <c r="U17" s="534"/>
      <c r="V17" s="534"/>
      <c r="W17" s="534"/>
      <c r="X17" s="534"/>
      <c r="Y17" s="534"/>
      <c r="Z17" s="534"/>
    </row>
    <row r="18" spans="1:26" ht="34.049999999999997" customHeight="1" x14ac:dyDescent="0.3">
      <c r="A18" s="1289" t="s">
        <v>2708</v>
      </c>
      <c r="B18" s="1322" t="s">
        <v>2709</v>
      </c>
      <c r="C18" s="1317" t="s">
        <v>2710</v>
      </c>
      <c r="D18" s="1283" t="s">
        <v>2711</v>
      </c>
      <c r="E18" s="520"/>
      <c r="F18" s="520"/>
      <c r="G18" s="534"/>
      <c r="H18" s="534"/>
      <c r="I18" s="534"/>
      <c r="J18" s="534"/>
      <c r="K18" s="534"/>
      <c r="L18" s="534"/>
      <c r="M18" s="534"/>
      <c r="N18" s="534"/>
      <c r="O18" s="534"/>
      <c r="P18" s="534"/>
      <c r="Q18" s="534"/>
      <c r="R18" s="534"/>
      <c r="S18" s="534"/>
      <c r="T18" s="534"/>
      <c r="U18" s="534"/>
      <c r="V18" s="534"/>
      <c r="W18" s="534"/>
      <c r="X18" s="534"/>
      <c r="Y18" s="534"/>
      <c r="Z18" s="534"/>
    </row>
    <row r="19" spans="1:26" ht="34.049999999999997" customHeight="1" x14ac:dyDescent="0.3">
      <c r="A19" s="1290" t="s">
        <v>2712</v>
      </c>
      <c r="B19" s="1323" t="s">
        <v>2713</v>
      </c>
      <c r="C19" s="1318" t="s">
        <v>2714</v>
      </c>
      <c r="D19" s="1287" t="s">
        <v>2715</v>
      </c>
      <c r="E19" s="520"/>
      <c r="F19" s="520"/>
      <c r="G19" s="534"/>
      <c r="H19" s="534"/>
      <c r="I19" s="534"/>
      <c r="J19" s="534"/>
      <c r="K19" s="534"/>
      <c r="L19" s="534"/>
      <c r="M19" s="534"/>
      <c r="N19" s="534"/>
      <c r="O19" s="534"/>
      <c r="P19" s="534"/>
      <c r="Q19" s="534"/>
      <c r="R19" s="534"/>
      <c r="S19" s="534"/>
      <c r="T19" s="534"/>
      <c r="U19" s="534"/>
      <c r="V19" s="534"/>
      <c r="W19" s="534"/>
      <c r="X19" s="534"/>
      <c r="Y19" s="534"/>
      <c r="Z19" s="534"/>
    </row>
    <row r="20" spans="1:26" ht="34.049999999999997" customHeight="1" x14ac:dyDescent="0.3">
      <c r="A20" s="1291" t="s">
        <v>2716</v>
      </c>
      <c r="B20" s="1322" t="s">
        <v>2717</v>
      </c>
      <c r="C20" s="1317" t="s">
        <v>2718</v>
      </c>
      <c r="D20" s="1283" t="s">
        <v>2719</v>
      </c>
      <c r="E20" s="520"/>
      <c r="F20" s="520"/>
      <c r="G20" s="534"/>
      <c r="H20" s="534"/>
      <c r="I20" s="534"/>
      <c r="J20" s="534"/>
      <c r="K20" s="534"/>
      <c r="L20" s="534"/>
      <c r="M20" s="534"/>
      <c r="N20" s="534"/>
      <c r="O20" s="534"/>
      <c r="P20" s="534"/>
      <c r="Q20" s="534"/>
      <c r="R20" s="534"/>
      <c r="S20" s="534"/>
      <c r="T20" s="534"/>
      <c r="U20" s="534"/>
      <c r="V20" s="534"/>
      <c r="W20" s="534"/>
      <c r="X20" s="534"/>
      <c r="Y20" s="534"/>
      <c r="Z20" s="534"/>
    </row>
    <row r="21" spans="1:26" ht="34.049999999999997" customHeight="1" x14ac:dyDescent="0.3">
      <c r="A21" s="1292" t="s">
        <v>2720</v>
      </c>
      <c r="B21" s="1324" t="s">
        <v>2721</v>
      </c>
      <c r="C21" s="1319" t="s">
        <v>2722</v>
      </c>
      <c r="D21" s="1285" t="s">
        <v>2723</v>
      </c>
      <c r="E21" s="520"/>
      <c r="F21" s="520"/>
      <c r="G21" s="534"/>
      <c r="H21" s="534"/>
      <c r="I21" s="534"/>
      <c r="J21" s="534"/>
      <c r="K21" s="534"/>
      <c r="L21" s="534"/>
      <c r="M21" s="534"/>
      <c r="N21" s="534"/>
      <c r="O21" s="534"/>
      <c r="P21" s="534"/>
      <c r="Q21" s="534"/>
      <c r="R21" s="534"/>
      <c r="S21" s="534"/>
      <c r="T21" s="534"/>
      <c r="U21" s="534"/>
      <c r="V21" s="534"/>
      <c r="W21" s="534"/>
      <c r="X21" s="534"/>
      <c r="Y21" s="534"/>
      <c r="Z21" s="534"/>
    </row>
    <row r="22" spans="1:26" ht="6" customHeight="1" x14ac:dyDescent="0.3">
      <c r="A22" s="1264" t="s">
        <v>2724</v>
      </c>
      <c r="B22" s="1327" t="s">
        <v>4552</v>
      </c>
      <c r="C22" s="1326" t="s">
        <v>4547</v>
      </c>
      <c r="D22" s="1265" t="s">
        <v>4553</v>
      </c>
      <c r="E22" s="520"/>
      <c r="F22" s="520"/>
      <c r="G22" s="534"/>
      <c r="H22" s="534"/>
      <c r="I22" s="534"/>
      <c r="J22" s="534"/>
      <c r="K22" s="534"/>
      <c r="L22" s="534"/>
      <c r="M22" s="534"/>
      <c r="N22" s="534"/>
      <c r="O22" s="534"/>
      <c r="P22" s="534"/>
      <c r="Q22" s="534"/>
      <c r="R22" s="534"/>
      <c r="S22" s="534"/>
      <c r="T22" s="534"/>
      <c r="U22" s="534"/>
      <c r="V22" s="534"/>
      <c r="W22" s="534"/>
      <c r="X22" s="534"/>
      <c r="Y22" s="534"/>
      <c r="Z22" s="534"/>
    </row>
    <row r="23" spans="1:26" x14ac:dyDescent="0.3">
      <c r="A23" s="1244"/>
      <c r="B23" s="1244"/>
      <c r="C23" s="1244"/>
      <c r="D23" s="1244"/>
      <c r="E23" s="520"/>
      <c r="F23" s="520"/>
      <c r="G23" s="534"/>
      <c r="H23" s="534"/>
      <c r="I23" s="534"/>
      <c r="J23" s="534"/>
      <c r="K23" s="534"/>
      <c r="L23" s="534"/>
      <c r="M23" s="534"/>
      <c r="N23" s="534"/>
      <c r="O23" s="534"/>
      <c r="P23" s="534"/>
      <c r="Q23" s="534"/>
      <c r="R23" s="534"/>
      <c r="S23" s="534"/>
      <c r="T23" s="534"/>
      <c r="U23" s="534"/>
      <c r="V23" s="534"/>
      <c r="W23" s="534"/>
      <c r="X23" s="534"/>
      <c r="Y23" s="534"/>
      <c r="Z23" s="534"/>
    </row>
    <row r="24" spans="1:26" ht="22.05" customHeight="1" x14ac:dyDescent="0.3">
      <c r="A24" s="4148" t="s">
        <v>2725</v>
      </c>
      <c r="B24" s="4148"/>
      <c r="C24" s="4148"/>
      <c r="D24" s="4148"/>
      <c r="E24" s="4148"/>
      <c r="F24" s="4148"/>
      <c r="G24" s="3644"/>
      <c r="H24" s="3644"/>
      <c r="I24" s="3644"/>
      <c r="J24" s="3644"/>
      <c r="K24" s="3644"/>
      <c r="L24" s="3644"/>
      <c r="M24" s="3644"/>
      <c r="N24" s="3644"/>
      <c r="O24" s="3644"/>
      <c r="P24" s="3644"/>
      <c r="Q24" s="3644"/>
      <c r="R24" s="3644"/>
      <c r="S24" s="3644"/>
      <c r="T24" s="3644"/>
      <c r="U24" s="3644"/>
      <c r="V24" s="3644"/>
      <c r="W24" s="3644"/>
      <c r="X24" s="3644"/>
      <c r="Y24" s="3644"/>
      <c r="Z24" s="3644"/>
    </row>
    <row r="25" spans="1:26" ht="31.95" customHeight="1" x14ac:dyDescent="0.3">
      <c r="A25" s="1260" t="s">
        <v>2726</v>
      </c>
      <c r="B25" s="1321" t="s">
        <v>2727</v>
      </c>
      <c r="C25" s="1316" t="s">
        <v>2728</v>
      </c>
      <c r="D25" s="1262" t="s">
        <v>2729</v>
      </c>
      <c r="E25" s="520"/>
      <c r="F25" s="520"/>
      <c r="G25" s="534"/>
      <c r="H25" s="534"/>
      <c r="I25" s="534"/>
      <c r="J25" s="534"/>
      <c r="K25" s="534"/>
      <c r="L25" s="534"/>
      <c r="M25" s="534"/>
      <c r="N25" s="534"/>
      <c r="O25" s="534"/>
      <c r="P25" s="534"/>
      <c r="Q25" s="534"/>
      <c r="R25" s="534"/>
      <c r="S25" s="534"/>
      <c r="T25" s="534"/>
      <c r="U25" s="534"/>
      <c r="V25" s="534"/>
      <c r="W25" s="534"/>
      <c r="X25" s="534"/>
      <c r="Y25" s="534"/>
      <c r="Z25" s="534"/>
    </row>
    <row r="26" spans="1:26" ht="34.049999999999997" customHeight="1" x14ac:dyDescent="0.3">
      <c r="A26" s="1294" t="s">
        <v>2730</v>
      </c>
      <c r="B26" s="1322" t="s">
        <v>2731</v>
      </c>
      <c r="C26" s="1317" t="s">
        <v>2732</v>
      </c>
      <c r="D26" s="1283" t="s">
        <v>2733</v>
      </c>
      <c r="E26" s="520"/>
      <c r="F26" s="520"/>
      <c r="G26" s="534"/>
      <c r="H26" s="534"/>
      <c r="I26" s="534"/>
      <c r="J26" s="534"/>
      <c r="K26" s="534"/>
      <c r="L26" s="534"/>
      <c r="M26" s="534"/>
      <c r="N26" s="534"/>
      <c r="O26" s="534"/>
      <c r="P26" s="534"/>
      <c r="Q26" s="534"/>
      <c r="R26" s="534"/>
      <c r="S26" s="534"/>
      <c r="T26" s="534"/>
      <c r="U26" s="534"/>
      <c r="V26" s="534"/>
      <c r="W26" s="534"/>
      <c r="X26" s="534"/>
      <c r="Y26" s="534"/>
      <c r="Z26" s="534"/>
    </row>
    <row r="27" spans="1:26" ht="34.049999999999997" customHeight="1" x14ac:dyDescent="0.3">
      <c r="A27" s="1296" t="s">
        <v>2734</v>
      </c>
      <c r="B27" s="1323" t="s">
        <v>2735</v>
      </c>
      <c r="C27" s="1318" t="s">
        <v>2736</v>
      </c>
      <c r="D27" s="1287" t="s">
        <v>2737</v>
      </c>
      <c r="E27" s="520"/>
      <c r="F27" s="520"/>
      <c r="G27" s="534"/>
      <c r="H27" s="534"/>
      <c r="I27" s="534"/>
      <c r="J27" s="534"/>
      <c r="K27" s="534"/>
      <c r="L27" s="534"/>
      <c r="M27" s="534"/>
      <c r="N27" s="534"/>
      <c r="O27" s="534"/>
      <c r="P27" s="534"/>
      <c r="Q27" s="534"/>
      <c r="R27" s="534"/>
      <c r="S27" s="534"/>
      <c r="T27" s="534"/>
      <c r="U27" s="534"/>
      <c r="V27" s="534"/>
      <c r="W27" s="534"/>
      <c r="X27" s="534"/>
      <c r="Y27" s="534"/>
      <c r="Z27" s="534"/>
    </row>
    <row r="28" spans="1:26" ht="34.049999999999997" customHeight="1" x14ac:dyDescent="0.3">
      <c r="A28" s="1294" t="s">
        <v>2738</v>
      </c>
      <c r="B28" s="1322" t="s">
        <v>2739</v>
      </c>
      <c r="C28" s="1317" t="s">
        <v>2740</v>
      </c>
      <c r="D28" s="1283" t="s">
        <v>2741</v>
      </c>
      <c r="E28" s="520"/>
      <c r="F28" s="520"/>
      <c r="G28" s="534"/>
      <c r="H28" s="534"/>
      <c r="I28" s="534"/>
      <c r="J28" s="534"/>
      <c r="K28" s="534"/>
      <c r="L28" s="534"/>
      <c r="M28" s="534"/>
      <c r="N28" s="534"/>
      <c r="O28" s="534"/>
      <c r="P28" s="534"/>
      <c r="Q28" s="534"/>
      <c r="R28" s="534"/>
      <c r="S28" s="534"/>
      <c r="T28" s="534"/>
      <c r="U28" s="534"/>
      <c r="V28" s="534"/>
      <c r="W28" s="534"/>
      <c r="X28" s="534"/>
      <c r="Y28" s="534"/>
      <c r="Z28" s="534"/>
    </row>
    <row r="29" spans="1:26" ht="34.049999999999997" customHeight="1" x14ac:dyDescent="0.3">
      <c r="A29" s="1295" t="s">
        <v>2742</v>
      </c>
      <c r="B29" s="1324" t="s">
        <v>2743</v>
      </c>
      <c r="C29" s="1319" t="s">
        <v>2736</v>
      </c>
      <c r="D29" s="1285" t="s">
        <v>2744</v>
      </c>
      <c r="E29" s="520"/>
      <c r="F29" s="520"/>
      <c r="G29" s="534"/>
      <c r="H29" s="534"/>
      <c r="I29" s="534"/>
      <c r="J29" s="534"/>
      <c r="K29" s="534"/>
      <c r="L29" s="534"/>
      <c r="M29" s="534"/>
      <c r="N29" s="534"/>
      <c r="O29" s="534"/>
      <c r="P29" s="534"/>
      <c r="Q29" s="534"/>
      <c r="R29" s="534"/>
      <c r="S29" s="534"/>
      <c r="T29" s="534"/>
      <c r="U29" s="534"/>
      <c r="V29" s="534"/>
      <c r="W29" s="534"/>
      <c r="X29" s="534"/>
      <c r="Y29" s="534"/>
      <c r="Z29" s="534"/>
    </row>
    <row r="30" spans="1:26" ht="34.049999999999997" customHeight="1" x14ac:dyDescent="0.3">
      <c r="A30" s="1266" t="s">
        <v>2745</v>
      </c>
      <c r="B30" s="1325" t="s">
        <v>2746</v>
      </c>
      <c r="C30" s="1320" t="s">
        <v>2747</v>
      </c>
      <c r="D30" s="1263" t="s">
        <v>2748</v>
      </c>
      <c r="E30" s="520"/>
      <c r="F30" s="520"/>
      <c r="G30" s="534"/>
      <c r="H30" s="534"/>
      <c r="I30" s="534"/>
      <c r="J30" s="534"/>
      <c r="K30" s="534"/>
      <c r="L30" s="534"/>
      <c r="M30" s="534"/>
      <c r="N30" s="534"/>
      <c r="O30" s="534"/>
      <c r="P30" s="534"/>
      <c r="Q30" s="534"/>
      <c r="R30" s="534"/>
      <c r="S30" s="534"/>
      <c r="T30" s="534"/>
      <c r="U30" s="534"/>
      <c r="V30" s="534"/>
      <c r="W30" s="534"/>
      <c r="X30" s="534"/>
      <c r="Y30" s="534"/>
      <c r="Z30" s="534"/>
    </row>
    <row r="31" spans="1:26" ht="6" customHeight="1" x14ac:dyDescent="0.3">
      <c r="A31" s="1244"/>
      <c r="B31" s="1244"/>
      <c r="C31" s="1244"/>
      <c r="D31" s="1244"/>
      <c r="E31" s="520"/>
      <c r="F31" s="520"/>
      <c r="G31" s="534"/>
      <c r="H31" s="534"/>
      <c r="I31" s="534"/>
      <c r="J31" s="534"/>
      <c r="K31" s="534"/>
      <c r="L31" s="534"/>
      <c r="M31" s="534"/>
      <c r="N31" s="534"/>
      <c r="O31" s="534"/>
      <c r="P31" s="534"/>
      <c r="Q31" s="534"/>
      <c r="R31" s="534"/>
      <c r="S31" s="534"/>
      <c r="T31" s="534"/>
      <c r="U31" s="534"/>
      <c r="V31" s="534"/>
      <c r="W31" s="534"/>
      <c r="X31" s="534"/>
      <c r="Y31" s="534"/>
      <c r="Z31" s="534"/>
    </row>
    <row r="32" spans="1:26" ht="22.05" customHeight="1" x14ac:dyDescent="0.3">
      <c r="A32" s="4148" t="s">
        <v>2749</v>
      </c>
      <c r="B32" s="4148"/>
      <c r="C32" s="4148"/>
      <c r="D32" s="4148"/>
      <c r="E32" s="4148"/>
      <c r="F32" s="4148"/>
      <c r="G32" s="3644"/>
      <c r="H32" s="3644"/>
      <c r="I32" s="3644"/>
      <c r="J32" s="3644"/>
      <c r="K32" s="3644"/>
      <c r="L32" s="3644"/>
      <c r="M32" s="3644"/>
      <c r="N32" s="3644"/>
      <c r="O32" s="3644"/>
      <c r="P32" s="3644"/>
      <c r="Q32" s="3644"/>
      <c r="R32" s="3644"/>
      <c r="S32" s="3644"/>
      <c r="T32" s="3644"/>
      <c r="U32" s="3644"/>
      <c r="V32" s="3644"/>
      <c r="W32" s="3644"/>
      <c r="X32" s="3644"/>
      <c r="Y32" s="3644"/>
      <c r="Z32" s="3644"/>
    </row>
    <row r="33" spans="1:26" ht="31.95" customHeight="1" x14ac:dyDescent="0.3">
      <c r="A33" s="1260" t="s">
        <v>2750</v>
      </c>
      <c r="B33" s="1321" t="s">
        <v>2751</v>
      </c>
      <c r="C33" s="1316" t="s">
        <v>2752</v>
      </c>
      <c r="D33" s="1262" t="s">
        <v>122</v>
      </c>
      <c r="E33" s="520"/>
      <c r="F33" s="520"/>
      <c r="G33" s="534"/>
      <c r="H33" s="534"/>
      <c r="I33" s="534"/>
      <c r="J33" s="534"/>
      <c r="K33" s="534"/>
      <c r="L33" s="534"/>
      <c r="M33" s="534"/>
      <c r="N33" s="534"/>
      <c r="O33" s="534"/>
      <c r="P33" s="534"/>
      <c r="Q33" s="534"/>
      <c r="R33" s="534"/>
      <c r="S33" s="534"/>
      <c r="T33" s="534"/>
      <c r="U33" s="534"/>
      <c r="V33" s="534"/>
      <c r="W33" s="534"/>
      <c r="X33" s="534"/>
      <c r="Y33" s="534"/>
      <c r="Z33" s="534"/>
    </row>
    <row r="34" spans="1:26" ht="28.05" customHeight="1" x14ac:dyDescent="0.3">
      <c r="A34" s="1294" t="s">
        <v>2753</v>
      </c>
      <c r="B34" s="1322" t="s">
        <v>2754</v>
      </c>
      <c r="C34" s="1317" t="s">
        <v>2755</v>
      </c>
      <c r="D34" s="1283" t="s">
        <v>2756</v>
      </c>
      <c r="E34" s="520"/>
      <c r="F34" s="520"/>
      <c r="G34" s="534"/>
      <c r="H34" s="534"/>
      <c r="I34" s="534"/>
      <c r="J34" s="534"/>
      <c r="K34" s="534"/>
      <c r="L34" s="534"/>
      <c r="M34" s="534"/>
      <c r="N34" s="534"/>
      <c r="O34" s="534"/>
      <c r="P34" s="534"/>
      <c r="Q34" s="534"/>
      <c r="R34" s="534"/>
      <c r="S34" s="534"/>
      <c r="T34" s="534"/>
      <c r="U34" s="534"/>
      <c r="V34" s="534"/>
      <c r="W34" s="534"/>
      <c r="X34" s="534"/>
      <c r="Y34" s="534"/>
      <c r="Z34" s="534"/>
    </row>
    <row r="35" spans="1:26" ht="28.05" customHeight="1" x14ac:dyDescent="0.3">
      <c r="A35" s="1296" t="s">
        <v>2757</v>
      </c>
      <c r="B35" s="1323" t="s">
        <v>2758</v>
      </c>
      <c r="C35" s="1318" t="s">
        <v>2759</v>
      </c>
      <c r="D35" s="1287" t="s">
        <v>2760</v>
      </c>
      <c r="E35" s="520"/>
      <c r="F35" s="520"/>
      <c r="G35" s="534"/>
      <c r="H35" s="534"/>
      <c r="I35" s="534"/>
      <c r="J35" s="534"/>
      <c r="K35" s="534"/>
      <c r="L35" s="534"/>
      <c r="M35" s="534"/>
      <c r="N35" s="534"/>
      <c r="O35" s="534"/>
      <c r="P35" s="534"/>
      <c r="Q35" s="534"/>
      <c r="R35" s="534"/>
      <c r="S35" s="534"/>
      <c r="T35" s="534"/>
      <c r="U35" s="534"/>
      <c r="V35" s="534"/>
      <c r="W35" s="534"/>
      <c r="X35" s="534"/>
      <c r="Y35" s="534"/>
      <c r="Z35" s="534"/>
    </row>
    <row r="36" spans="1:26" ht="28.05" customHeight="1" x14ac:dyDescent="0.3">
      <c r="A36" s="1293" t="s">
        <v>2761</v>
      </c>
      <c r="B36" s="1330" t="s">
        <v>2762</v>
      </c>
      <c r="C36" s="1328" t="s">
        <v>2763</v>
      </c>
      <c r="D36" s="1281" t="s">
        <v>2764</v>
      </c>
      <c r="E36" s="520"/>
      <c r="F36" s="520"/>
      <c r="G36" s="534"/>
      <c r="H36" s="534"/>
      <c r="I36" s="534"/>
      <c r="J36" s="534"/>
      <c r="K36" s="534"/>
      <c r="L36" s="534"/>
      <c r="M36" s="534"/>
      <c r="N36" s="534"/>
      <c r="O36" s="534"/>
      <c r="P36" s="534"/>
      <c r="Q36" s="534"/>
      <c r="R36" s="534"/>
      <c r="S36" s="534"/>
      <c r="T36" s="534"/>
      <c r="U36" s="534"/>
      <c r="V36" s="534"/>
      <c r="W36" s="534"/>
      <c r="X36" s="534"/>
      <c r="Y36" s="534"/>
      <c r="Z36" s="534"/>
    </row>
    <row r="37" spans="1:26" ht="28.05" customHeight="1" x14ac:dyDescent="0.3">
      <c r="A37" s="1267"/>
      <c r="B37" s="1331"/>
      <c r="C37" s="1329"/>
      <c r="D37" s="1268"/>
      <c r="E37" s="520"/>
      <c r="F37" s="520"/>
      <c r="G37" s="534"/>
      <c r="H37" s="534"/>
      <c r="I37" s="534"/>
      <c r="J37" s="534"/>
      <c r="K37" s="534"/>
      <c r="L37" s="534"/>
      <c r="M37" s="534"/>
      <c r="N37" s="534"/>
      <c r="O37" s="534"/>
      <c r="P37" s="534"/>
      <c r="Q37" s="534"/>
      <c r="R37" s="534"/>
      <c r="S37" s="534"/>
      <c r="T37" s="534"/>
      <c r="U37" s="534"/>
      <c r="V37" s="534"/>
      <c r="W37" s="534"/>
      <c r="X37" s="534"/>
      <c r="Y37" s="534"/>
      <c r="Z37" s="534"/>
    </row>
    <row r="38" spans="1:26" ht="22.05" customHeight="1" x14ac:dyDescent="0.3">
      <c r="A38" s="1251" t="s">
        <v>4559</v>
      </c>
      <c r="B38" s="4149"/>
      <c r="C38" s="4149"/>
      <c r="D38" s="4149"/>
      <c r="E38" s="4149"/>
      <c r="F38" s="4149"/>
      <c r="G38" s="4150"/>
      <c r="H38" s="4150"/>
      <c r="I38" s="4150"/>
      <c r="J38" s="4150"/>
      <c r="K38" s="4150"/>
      <c r="L38" s="4150"/>
      <c r="M38" s="4150"/>
      <c r="N38" s="4150"/>
      <c r="O38" s="4150"/>
      <c r="P38" s="4150"/>
      <c r="Q38" s="4150"/>
      <c r="R38" s="4150"/>
      <c r="S38" s="4150"/>
      <c r="T38" s="4150"/>
      <c r="U38" s="4150"/>
      <c r="V38" s="4150"/>
      <c r="W38" s="4150"/>
      <c r="X38" s="4150"/>
      <c r="Y38" s="4150"/>
      <c r="Z38" s="4150"/>
    </row>
    <row r="39" spans="1:26" ht="22.05" customHeight="1" x14ac:dyDescent="0.3">
      <c r="A39" s="1253" t="s">
        <v>4449</v>
      </c>
      <c r="B39" s="1253" t="s">
        <v>4554</v>
      </c>
      <c r="C39" s="1253" t="s">
        <v>1500</v>
      </c>
      <c r="D39" s="1253"/>
      <c r="E39" s="1254" t="s">
        <v>4555</v>
      </c>
      <c r="F39" s="1254" t="s">
        <v>4556</v>
      </c>
      <c r="G39" s="534"/>
      <c r="H39" s="534"/>
      <c r="I39" s="534"/>
      <c r="J39" s="534"/>
      <c r="K39" s="534"/>
      <c r="L39" s="534"/>
      <c r="M39" s="534"/>
      <c r="N39" s="534"/>
      <c r="O39" s="534"/>
      <c r="P39" s="534"/>
      <c r="Q39" s="534"/>
      <c r="R39" s="534"/>
      <c r="S39" s="534"/>
      <c r="T39" s="534"/>
      <c r="U39" s="534"/>
      <c r="V39" s="534"/>
      <c r="W39" s="534"/>
      <c r="X39" s="534"/>
      <c r="Y39" s="534"/>
      <c r="Z39" s="534" t="s">
        <v>4448</v>
      </c>
    </row>
    <row r="40" spans="1:26" ht="22.05" customHeight="1" x14ac:dyDescent="0.3">
      <c r="A40" s="1255" t="s">
        <v>4450</v>
      </c>
      <c r="B40" s="1255"/>
      <c r="C40" s="1255"/>
      <c r="D40" s="1255"/>
      <c r="E40" s="1256"/>
      <c r="F40" s="1256"/>
      <c r="G40" s="534"/>
      <c r="H40" s="534"/>
      <c r="I40" s="534"/>
      <c r="J40" s="534"/>
      <c r="K40" s="534"/>
      <c r="L40" s="534"/>
      <c r="M40" s="534"/>
      <c r="N40" s="534"/>
      <c r="O40" s="534"/>
      <c r="P40" s="534"/>
      <c r="Q40" s="534"/>
      <c r="R40" s="534"/>
      <c r="S40" s="534"/>
      <c r="T40" s="534"/>
      <c r="U40" s="534"/>
      <c r="V40" s="534"/>
      <c r="W40" s="534"/>
      <c r="X40" s="534"/>
      <c r="Y40" s="534"/>
      <c r="Z40" s="534"/>
    </row>
    <row r="41" spans="1:26" ht="31.95" customHeight="1" x14ac:dyDescent="0.3">
      <c r="A41" s="1260" t="s">
        <v>4461</v>
      </c>
      <c r="B41" s="1316"/>
      <c r="C41" s="1269"/>
      <c r="D41" s="1244"/>
      <c r="E41" s="520"/>
      <c r="F41" s="520"/>
      <c r="G41" s="534"/>
      <c r="H41" s="534"/>
      <c r="I41" s="534"/>
      <c r="J41" s="534"/>
      <c r="K41" s="534"/>
      <c r="L41" s="534"/>
      <c r="M41" s="534"/>
      <c r="N41" s="534"/>
      <c r="O41" s="534"/>
      <c r="P41" s="534"/>
      <c r="Q41" s="534"/>
      <c r="R41" s="534"/>
      <c r="S41" s="534"/>
      <c r="T41" s="534"/>
      <c r="U41" s="534"/>
      <c r="V41" s="534"/>
      <c r="W41" s="534"/>
      <c r="X41" s="534"/>
      <c r="Y41" s="534"/>
      <c r="Z41" s="534"/>
    </row>
    <row r="42" spans="1:26" ht="28.05" customHeight="1" x14ac:dyDescent="0.3">
      <c r="A42" s="1294" t="s">
        <v>1501</v>
      </c>
      <c r="B42" s="1317">
        <v>1.065904838717</v>
      </c>
      <c r="C42" s="1283"/>
      <c r="D42" s="1244"/>
      <c r="E42" s="520"/>
      <c r="F42" s="520"/>
      <c r="G42" s="534"/>
      <c r="H42" s="534"/>
      <c r="I42" s="534"/>
      <c r="J42" s="534"/>
      <c r="K42" s="534"/>
      <c r="L42" s="534"/>
      <c r="M42" s="534"/>
      <c r="N42" s="534"/>
      <c r="O42" s="534"/>
      <c r="P42" s="534"/>
      <c r="Q42" s="534"/>
      <c r="R42" s="534"/>
      <c r="S42" s="534"/>
      <c r="T42" s="534"/>
      <c r="U42" s="534"/>
      <c r="V42" s="534"/>
      <c r="W42" s="534"/>
      <c r="X42" s="534"/>
      <c r="Y42" s="534"/>
      <c r="Z42" s="534"/>
    </row>
    <row r="43" spans="1:26" ht="28.05" customHeight="1" x14ac:dyDescent="0.3">
      <c r="A43" s="1297" t="s">
        <v>1502</v>
      </c>
      <c r="B43" s="1332">
        <v>0.40003606491564098</v>
      </c>
      <c r="C43" s="1298"/>
      <c r="D43" s="1244"/>
      <c r="E43" s="520"/>
      <c r="F43" s="520"/>
      <c r="G43" s="534"/>
      <c r="H43" s="534"/>
      <c r="I43" s="534"/>
      <c r="J43" s="534"/>
      <c r="K43" s="534"/>
      <c r="L43" s="534"/>
      <c r="M43" s="534"/>
      <c r="N43" s="534"/>
      <c r="O43" s="534"/>
      <c r="P43" s="534"/>
      <c r="Q43" s="534"/>
      <c r="R43" s="534"/>
      <c r="S43" s="534"/>
      <c r="T43" s="534"/>
      <c r="U43" s="534"/>
      <c r="V43" s="534"/>
      <c r="W43" s="534"/>
      <c r="X43" s="534"/>
      <c r="Y43" s="534"/>
      <c r="Z43" s="534"/>
    </row>
    <row r="44" spans="1:26" ht="28.05" customHeight="1" x14ac:dyDescent="0.3">
      <c r="A44" s="1299" t="s">
        <v>4462</v>
      </c>
      <c r="B44" s="1333" t="s">
        <v>4557</v>
      </c>
      <c r="C44" s="1283"/>
      <c r="D44" s="1244"/>
      <c r="E44" s="520"/>
      <c r="F44" s="520"/>
      <c r="G44" s="534"/>
      <c r="H44" s="534"/>
      <c r="I44" s="534"/>
      <c r="J44" s="534"/>
      <c r="K44" s="534"/>
      <c r="L44" s="534"/>
      <c r="M44" s="534"/>
      <c r="N44" s="534"/>
      <c r="O44" s="534"/>
      <c r="P44" s="534"/>
      <c r="Q44" s="534"/>
      <c r="R44" s="534"/>
      <c r="S44" s="534"/>
      <c r="T44" s="534"/>
      <c r="U44" s="534"/>
      <c r="V44" s="534"/>
      <c r="W44" s="534"/>
      <c r="X44" s="534"/>
      <c r="Y44" s="534"/>
      <c r="Z44" s="534"/>
    </row>
    <row r="45" spans="1:26" ht="28.05" customHeight="1" x14ac:dyDescent="0.3">
      <c r="A45" s="1296" t="s">
        <v>1503</v>
      </c>
      <c r="B45" s="1318" t="s">
        <v>1523</v>
      </c>
      <c r="C45" s="1287"/>
      <c r="D45" s="1244"/>
      <c r="E45" s="520"/>
      <c r="F45" s="520"/>
      <c r="G45" s="534"/>
      <c r="H45" s="534"/>
      <c r="I45" s="534"/>
      <c r="J45" s="534"/>
      <c r="K45" s="534"/>
      <c r="L45" s="534"/>
      <c r="M45" s="534"/>
      <c r="N45" s="534"/>
      <c r="O45" s="534"/>
      <c r="P45" s="534"/>
      <c r="Q45" s="534"/>
      <c r="R45" s="534"/>
      <c r="S45" s="534"/>
      <c r="T45" s="534"/>
      <c r="U45" s="534"/>
      <c r="V45" s="534"/>
      <c r="W45" s="534"/>
      <c r="X45" s="534"/>
      <c r="Y45" s="534"/>
      <c r="Z45" s="534"/>
    </row>
    <row r="46" spans="1:26" ht="28.05" customHeight="1" x14ac:dyDescent="0.3">
      <c r="A46" s="1293" t="s">
        <v>1504</v>
      </c>
      <c r="B46" s="1328" t="s">
        <v>4558</v>
      </c>
      <c r="C46" s="1281"/>
      <c r="D46" s="1244"/>
      <c r="E46" s="520"/>
      <c r="F46" s="520"/>
      <c r="G46" s="534"/>
      <c r="H46" s="534"/>
      <c r="I46" s="534"/>
      <c r="J46" s="534"/>
      <c r="K46" s="534"/>
      <c r="L46" s="534"/>
      <c r="M46" s="534"/>
      <c r="N46" s="534"/>
      <c r="O46" s="534"/>
      <c r="P46" s="534"/>
      <c r="Q46" s="534"/>
      <c r="R46" s="534"/>
      <c r="S46" s="534"/>
      <c r="T46" s="534"/>
      <c r="U46" s="534"/>
      <c r="V46" s="534"/>
      <c r="W46" s="534"/>
      <c r="X46" s="534"/>
      <c r="Y46" s="534"/>
      <c r="Z46" s="534"/>
    </row>
    <row r="47" spans="1:26" ht="28.05" customHeight="1" x14ac:dyDescent="0.3">
      <c r="A47" s="1267" t="s">
        <v>1505</v>
      </c>
      <c r="B47" s="1329">
        <v>-0.59996393508435897</v>
      </c>
      <c r="C47" s="1268" t="str">
        <f>"Brecha ICPI vs Meta PDOT 2027 = "&amp;TEXT('M5-ICPI'!G29,"0,00")&amp;"% − 100% = −"&amp;TEXT(100-'M5-ICPI'!G29,"0,00")&amp;" pp · ⚠️ DÉFICIT PROGRAMÁTICO CONFIRMADO (umbral ≥30 pp) · Brecha supera en "&amp;TEXT(100-'M5-ICPI'!G29-30,"0,00")&amp;" pp el Umbral de Alerta Programática §3.6"</f>
        <v>Brecha ICPI vs Meta PDOT 2027 = 38,28% − 100% = −61,72 pp · ⚠️ DÉFICIT PROGRAMÁTICO CONFIRMADO (umbral ≥30 pp) · Brecha supera en 31,72 pp el Umbral de Alerta Programática §3.6</v>
      </c>
      <c r="D47" s="1244"/>
      <c r="E47" s="520"/>
      <c r="F47" s="520"/>
      <c r="G47" s="534"/>
      <c r="H47" s="534"/>
      <c r="I47" s="534"/>
      <c r="J47" s="534"/>
      <c r="K47" s="534"/>
      <c r="L47" s="534"/>
      <c r="M47" s="534"/>
      <c r="N47" s="534"/>
      <c r="O47" s="534"/>
      <c r="P47" s="534"/>
      <c r="Q47" s="534"/>
      <c r="R47" s="534"/>
      <c r="S47" s="534"/>
      <c r="T47" s="534"/>
      <c r="U47" s="534"/>
      <c r="V47" s="534"/>
      <c r="W47" s="534"/>
      <c r="X47" s="534"/>
      <c r="Y47" s="534"/>
      <c r="Z47" s="534"/>
    </row>
    <row r="48" spans="1:26" ht="6" customHeight="1" x14ac:dyDescent="0.3">
      <c r="A48" s="1244"/>
      <c r="B48" s="1244"/>
      <c r="C48" s="1244"/>
      <c r="D48" s="1244"/>
      <c r="E48" s="520"/>
      <c r="F48" s="520"/>
      <c r="G48" s="534"/>
      <c r="H48" s="534"/>
      <c r="I48" s="534"/>
      <c r="J48" s="534"/>
      <c r="K48" s="534"/>
      <c r="L48" s="534"/>
      <c r="M48" s="534"/>
      <c r="N48" s="534"/>
      <c r="O48" s="534"/>
      <c r="P48" s="534"/>
      <c r="Q48" s="534"/>
      <c r="R48" s="534"/>
      <c r="S48" s="534"/>
      <c r="T48" s="534"/>
      <c r="U48" s="534"/>
      <c r="V48" s="534"/>
      <c r="W48" s="534"/>
      <c r="X48" s="534"/>
      <c r="Y48" s="534"/>
      <c r="Z48" s="534"/>
    </row>
    <row r="49" spans="1:26" ht="24.6" x14ac:dyDescent="0.3">
      <c r="A49" s="1272" t="s">
        <v>4463</v>
      </c>
      <c r="B49" s="1270"/>
      <c r="C49" s="1274"/>
      <c r="D49" s="1245"/>
      <c r="E49" s="1259"/>
      <c r="F49" s="1259"/>
      <c r="G49" s="534"/>
      <c r="H49" s="534"/>
      <c r="I49" s="534"/>
      <c r="J49" s="534"/>
      <c r="K49" s="534"/>
      <c r="L49" s="534"/>
      <c r="M49" s="534"/>
      <c r="N49" s="534"/>
      <c r="O49" s="534"/>
      <c r="P49" s="534"/>
      <c r="Q49" s="534"/>
      <c r="R49" s="534"/>
      <c r="S49" s="534"/>
      <c r="T49" s="534"/>
      <c r="U49" s="534"/>
      <c r="V49" s="534"/>
      <c r="W49" s="534"/>
      <c r="X49" s="534"/>
      <c r="Y49" s="534"/>
      <c r="Z49" s="534"/>
    </row>
    <row r="50" spans="1:26" ht="22.05" customHeight="1" x14ac:dyDescent="0.3">
      <c r="A50" s="1300" t="s">
        <v>4464</v>
      </c>
      <c r="B50" s="1301" t="s">
        <v>4465</v>
      </c>
      <c r="C50" s="1302"/>
      <c r="D50" s="1244"/>
      <c r="E50" s="520"/>
      <c r="F50" s="520"/>
      <c r="G50" s="534"/>
      <c r="H50" s="534"/>
      <c r="I50" s="534"/>
      <c r="J50" s="534"/>
      <c r="K50" s="534"/>
      <c r="L50" s="534"/>
      <c r="M50" s="534"/>
      <c r="N50" s="534"/>
      <c r="O50" s="534"/>
      <c r="P50" s="534"/>
      <c r="Q50" s="534"/>
      <c r="R50" s="534"/>
      <c r="S50" s="534"/>
      <c r="T50" s="534"/>
      <c r="U50" s="534"/>
      <c r="V50" s="534"/>
      <c r="W50" s="534"/>
      <c r="X50" s="534"/>
      <c r="Y50" s="534"/>
      <c r="Z50" s="534"/>
    </row>
    <row r="51" spans="1:26" ht="22.05" customHeight="1" x14ac:dyDescent="0.3">
      <c r="A51" s="1306" t="s">
        <v>4466</v>
      </c>
      <c r="B51" s="1307" t="s">
        <v>4467</v>
      </c>
      <c r="C51" s="1308"/>
      <c r="D51" s="1244"/>
      <c r="E51" s="520"/>
      <c r="F51" s="520"/>
      <c r="G51" s="534"/>
      <c r="H51" s="534"/>
      <c r="I51" s="534"/>
      <c r="J51" s="534"/>
      <c r="K51" s="534"/>
      <c r="L51" s="534"/>
      <c r="M51" s="534"/>
      <c r="N51" s="534"/>
      <c r="O51" s="534"/>
      <c r="P51" s="534"/>
      <c r="Q51" s="534"/>
      <c r="R51" s="534"/>
      <c r="S51" s="534"/>
      <c r="T51" s="534"/>
      <c r="U51" s="534"/>
      <c r="V51" s="534"/>
      <c r="W51" s="534"/>
      <c r="X51" s="534"/>
      <c r="Y51" s="534"/>
      <c r="Z51" s="534"/>
    </row>
    <row r="52" spans="1:26" ht="22.05" customHeight="1" x14ac:dyDescent="0.3">
      <c r="A52" s="1300" t="s">
        <v>4468</v>
      </c>
      <c r="B52" s="1309" t="s">
        <v>4469</v>
      </c>
      <c r="C52" s="1302"/>
      <c r="D52" s="1244"/>
      <c r="E52" s="520"/>
      <c r="F52" s="520"/>
      <c r="G52" s="534"/>
      <c r="H52" s="534"/>
      <c r="I52" s="534"/>
      <c r="J52" s="534"/>
      <c r="K52" s="534"/>
      <c r="L52" s="534"/>
      <c r="M52" s="534"/>
      <c r="N52" s="534"/>
      <c r="O52" s="534"/>
      <c r="P52" s="534"/>
      <c r="Q52" s="534"/>
      <c r="R52" s="534"/>
      <c r="S52" s="534"/>
      <c r="T52" s="534"/>
      <c r="U52" s="534"/>
      <c r="V52" s="534"/>
      <c r="W52" s="534"/>
      <c r="X52" s="534"/>
      <c r="Y52" s="534"/>
      <c r="Z52" s="534"/>
    </row>
    <row r="53" spans="1:26" ht="22.05" customHeight="1" x14ac:dyDescent="0.3">
      <c r="A53" s="1306" t="s">
        <v>4470</v>
      </c>
      <c r="B53" s="1307" t="s">
        <v>4471</v>
      </c>
      <c r="C53" s="1308"/>
      <c r="D53" s="1244"/>
      <c r="E53" s="520"/>
      <c r="F53" s="520"/>
      <c r="G53" s="534"/>
      <c r="H53" s="534"/>
      <c r="I53" s="534"/>
      <c r="J53" s="534"/>
      <c r="K53" s="534"/>
      <c r="L53" s="534"/>
      <c r="M53" s="534"/>
      <c r="N53" s="534"/>
      <c r="O53" s="534"/>
      <c r="P53" s="534"/>
      <c r="Q53" s="534"/>
      <c r="R53" s="534"/>
      <c r="S53" s="534"/>
      <c r="T53" s="534"/>
      <c r="U53" s="534"/>
      <c r="V53" s="534"/>
      <c r="W53" s="534"/>
      <c r="X53" s="534"/>
      <c r="Y53" s="534"/>
      <c r="Z53" s="534"/>
    </row>
    <row r="54" spans="1:26" ht="22.05" customHeight="1" x14ac:dyDescent="0.3">
      <c r="A54" s="1300" t="s">
        <v>4472</v>
      </c>
      <c r="B54" s="1309" t="s">
        <v>4473</v>
      </c>
      <c r="C54" s="1302"/>
      <c r="D54" s="1244"/>
      <c r="E54" s="520"/>
      <c r="F54" s="520"/>
      <c r="G54" s="534"/>
      <c r="H54" s="534"/>
      <c r="I54" s="534"/>
      <c r="J54" s="534"/>
      <c r="K54" s="534"/>
      <c r="L54" s="534"/>
      <c r="M54" s="534"/>
      <c r="N54" s="534"/>
      <c r="O54" s="534"/>
      <c r="P54" s="534"/>
      <c r="Q54" s="534"/>
      <c r="R54" s="534"/>
      <c r="S54" s="534"/>
      <c r="T54" s="534"/>
      <c r="U54" s="534"/>
      <c r="V54" s="534"/>
      <c r="W54" s="534"/>
      <c r="X54" s="534"/>
      <c r="Y54" s="534"/>
      <c r="Z54" s="534"/>
    </row>
    <row r="55" spans="1:26" ht="22.05" customHeight="1" x14ac:dyDescent="0.3">
      <c r="A55" s="1306" t="s">
        <v>4474</v>
      </c>
      <c r="B55" s="1307" t="s">
        <v>4475</v>
      </c>
      <c r="C55" s="1308"/>
      <c r="D55" s="1244"/>
      <c r="E55" s="520"/>
      <c r="F55" s="520"/>
      <c r="G55" s="534"/>
      <c r="H55" s="534"/>
      <c r="I55" s="534"/>
      <c r="J55" s="534"/>
      <c r="K55" s="534"/>
      <c r="L55" s="534"/>
      <c r="M55" s="534"/>
      <c r="N55" s="534"/>
      <c r="O55" s="534"/>
      <c r="P55" s="534"/>
      <c r="Q55" s="534"/>
      <c r="R55" s="534"/>
      <c r="S55" s="534"/>
      <c r="T55" s="534"/>
      <c r="U55" s="534"/>
      <c r="V55" s="534"/>
      <c r="W55" s="534"/>
      <c r="X55" s="534"/>
      <c r="Y55" s="534"/>
      <c r="Z55" s="534"/>
    </row>
    <row r="56" spans="1:26" ht="22.05" customHeight="1" x14ac:dyDescent="0.3">
      <c r="A56" s="1300" t="s">
        <v>4476</v>
      </c>
      <c r="B56" s="1309" t="s">
        <v>4477</v>
      </c>
      <c r="C56" s="1302"/>
      <c r="D56" s="1244"/>
      <c r="E56" s="520"/>
      <c r="F56" s="520"/>
      <c r="G56" s="534"/>
      <c r="H56" s="534"/>
      <c r="I56" s="534"/>
      <c r="J56" s="534"/>
      <c r="K56" s="534"/>
      <c r="L56" s="534"/>
      <c r="M56" s="534"/>
      <c r="N56" s="534"/>
      <c r="O56" s="534"/>
      <c r="P56" s="534"/>
      <c r="Q56" s="534"/>
      <c r="R56" s="534"/>
      <c r="S56" s="534"/>
      <c r="T56" s="534"/>
      <c r="U56" s="534"/>
      <c r="V56" s="534"/>
      <c r="W56" s="534"/>
      <c r="X56" s="534"/>
      <c r="Y56" s="534"/>
      <c r="Z56" s="534"/>
    </row>
    <row r="57" spans="1:26" ht="22.05" customHeight="1" x14ac:dyDescent="0.3">
      <c r="A57" s="1306" t="s">
        <v>4478</v>
      </c>
      <c r="B57" s="1307" t="s">
        <v>4479</v>
      </c>
      <c r="C57" s="1308"/>
      <c r="D57" s="1244"/>
      <c r="E57" s="520"/>
      <c r="F57" s="520"/>
      <c r="G57" s="534"/>
      <c r="H57" s="534"/>
      <c r="I57" s="534"/>
      <c r="J57" s="534"/>
      <c r="K57" s="534"/>
      <c r="L57" s="534"/>
      <c r="M57" s="534"/>
      <c r="N57" s="534"/>
      <c r="O57" s="534"/>
      <c r="P57" s="534"/>
      <c r="Q57" s="534"/>
      <c r="R57" s="534"/>
      <c r="S57" s="534"/>
      <c r="T57" s="534"/>
      <c r="U57" s="534"/>
      <c r="V57" s="534"/>
      <c r="W57" s="534"/>
      <c r="X57" s="534"/>
      <c r="Y57" s="534"/>
      <c r="Z57" s="534"/>
    </row>
    <row r="58" spans="1:26" ht="6" customHeight="1" x14ac:dyDescent="0.3">
      <c r="A58" s="1300" t="s">
        <v>4480</v>
      </c>
      <c r="B58" s="1309" t="s">
        <v>4481</v>
      </c>
      <c r="C58" s="1302"/>
      <c r="D58" s="1244"/>
      <c r="E58" s="520"/>
      <c r="F58" s="520"/>
      <c r="G58" s="534"/>
      <c r="H58" s="534"/>
      <c r="I58" s="534"/>
      <c r="J58" s="534"/>
      <c r="K58" s="534"/>
      <c r="L58" s="534"/>
      <c r="M58" s="534"/>
      <c r="N58" s="534"/>
      <c r="O58" s="534"/>
      <c r="P58" s="534"/>
      <c r="Q58" s="534"/>
      <c r="R58" s="534"/>
      <c r="S58" s="534"/>
      <c r="T58" s="534"/>
      <c r="U58" s="534"/>
      <c r="V58" s="534"/>
      <c r="W58" s="534"/>
      <c r="X58" s="534"/>
      <c r="Y58" s="534"/>
      <c r="Z58" s="534"/>
    </row>
    <row r="59" spans="1:26" ht="22.05" customHeight="1" x14ac:dyDescent="0.3">
      <c r="A59" s="1303" t="s">
        <v>4482</v>
      </c>
      <c r="B59" s="1304" t="s">
        <v>4483</v>
      </c>
      <c r="C59" s="1305"/>
      <c r="D59" s="1244"/>
      <c r="E59" s="520"/>
      <c r="F59" s="520"/>
      <c r="G59" s="534"/>
      <c r="H59" s="534"/>
      <c r="I59" s="534"/>
      <c r="J59" s="534"/>
      <c r="K59" s="534"/>
      <c r="L59" s="534"/>
      <c r="M59" s="534"/>
      <c r="N59" s="534"/>
      <c r="O59" s="534"/>
      <c r="P59" s="534"/>
      <c r="Q59" s="534"/>
      <c r="R59" s="534"/>
      <c r="S59" s="534"/>
      <c r="T59" s="534"/>
      <c r="U59" s="534"/>
      <c r="V59" s="534"/>
      <c r="W59" s="534"/>
      <c r="X59" s="534"/>
      <c r="Y59" s="534"/>
      <c r="Z59" s="534"/>
    </row>
    <row r="60" spans="1:26" ht="22.05" customHeight="1" x14ac:dyDescent="0.3">
      <c r="A60" s="1273"/>
      <c r="B60" s="1271"/>
      <c r="C60" s="1275"/>
      <c r="D60" s="1244"/>
      <c r="E60" s="520"/>
      <c r="F60" s="520"/>
      <c r="G60" s="534"/>
      <c r="H60" s="534"/>
      <c r="I60" s="534"/>
      <c r="J60" s="534"/>
      <c r="K60" s="534"/>
      <c r="L60" s="534"/>
      <c r="M60" s="534"/>
      <c r="N60" s="534"/>
      <c r="O60" s="534"/>
      <c r="P60" s="534"/>
      <c r="Q60" s="534"/>
      <c r="R60" s="534"/>
      <c r="S60" s="534"/>
      <c r="T60" s="534"/>
      <c r="U60" s="534"/>
      <c r="V60" s="534"/>
      <c r="W60" s="534"/>
      <c r="X60" s="534"/>
      <c r="Y60" s="534"/>
      <c r="Z60" s="534"/>
    </row>
    <row r="61" spans="1:26" ht="22.05" customHeight="1" x14ac:dyDescent="0.3">
      <c r="A61" s="4148" t="s">
        <v>4484</v>
      </c>
      <c r="B61" s="4148"/>
      <c r="C61" s="4148"/>
      <c r="D61" s="4148"/>
      <c r="E61" s="4148"/>
      <c r="F61" s="4148"/>
      <c r="G61" s="3644"/>
      <c r="H61" s="3644"/>
      <c r="I61" s="3644"/>
      <c r="J61" s="3644"/>
      <c r="K61" s="3644"/>
      <c r="L61" s="3644"/>
      <c r="M61" s="3644"/>
      <c r="N61" s="3644"/>
      <c r="O61" s="3644"/>
      <c r="P61" s="3644"/>
      <c r="Q61" s="3644"/>
      <c r="R61" s="3644"/>
      <c r="S61" s="3644"/>
      <c r="T61" s="3644"/>
      <c r="U61" s="3644"/>
      <c r="V61" s="3644"/>
      <c r="W61" s="3644"/>
      <c r="X61" s="3644"/>
      <c r="Y61" s="3644"/>
      <c r="Z61" s="3644"/>
    </row>
    <row r="62" spans="1:26" ht="31.95" customHeight="1" x14ac:dyDescent="0.3">
      <c r="A62" s="1260" t="s">
        <v>85</v>
      </c>
      <c r="B62" s="1321" t="s">
        <v>4485</v>
      </c>
      <c r="C62" s="1321" t="s">
        <v>4486</v>
      </c>
      <c r="D62" s="1316" t="s">
        <v>4487</v>
      </c>
      <c r="E62" s="1279" t="s">
        <v>3558</v>
      </c>
      <c r="F62" s="520"/>
      <c r="G62" s="534"/>
      <c r="H62" s="534"/>
      <c r="I62" s="534"/>
      <c r="J62" s="534"/>
      <c r="K62" s="534"/>
      <c r="L62" s="534"/>
      <c r="M62" s="534"/>
      <c r="N62" s="534"/>
      <c r="O62" s="534"/>
      <c r="P62" s="534"/>
      <c r="Q62" s="534"/>
      <c r="R62" s="534"/>
      <c r="S62" s="534"/>
      <c r="T62" s="534"/>
      <c r="U62" s="534"/>
      <c r="V62" s="534"/>
      <c r="W62" s="534"/>
      <c r="X62" s="534"/>
      <c r="Y62" s="534"/>
      <c r="Z62" s="534"/>
    </row>
    <row r="63" spans="1:26" ht="28.05" customHeight="1" x14ac:dyDescent="0.3">
      <c r="A63" s="1310" t="s">
        <v>4488</v>
      </c>
      <c r="B63" s="1338" t="s">
        <v>4489</v>
      </c>
      <c r="C63" s="1338" t="s">
        <v>4490</v>
      </c>
      <c r="D63" s="1334" t="s">
        <v>1507</v>
      </c>
      <c r="E63" s="1311" t="s">
        <v>4491</v>
      </c>
      <c r="F63" s="520"/>
      <c r="G63" s="534"/>
      <c r="H63" s="534"/>
      <c r="I63" s="534"/>
      <c r="J63" s="534"/>
      <c r="K63" s="534"/>
      <c r="L63" s="534"/>
      <c r="M63" s="534"/>
      <c r="N63" s="534"/>
      <c r="O63" s="534"/>
      <c r="P63" s="534"/>
      <c r="Q63" s="534"/>
      <c r="R63" s="534"/>
      <c r="S63" s="534"/>
      <c r="T63" s="534"/>
      <c r="U63" s="534"/>
      <c r="V63" s="534"/>
      <c r="W63" s="534"/>
      <c r="X63" s="534"/>
      <c r="Y63" s="534"/>
      <c r="Z63" s="534"/>
    </row>
    <row r="64" spans="1:26" ht="28.05" customHeight="1" x14ac:dyDescent="0.3">
      <c r="A64" s="1312" t="s">
        <v>4492</v>
      </c>
      <c r="B64" s="1339" t="s">
        <v>4493</v>
      </c>
      <c r="C64" s="1339" t="s">
        <v>1722</v>
      </c>
      <c r="D64" s="1335" t="s">
        <v>1509</v>
      </c>
      <c r="E64" s="1313" t="s">
        <v>4494</v>
      </c>
      <c r="F64" s="520" t="s">
        <v>4498</v>
      </c>
      <c r="G64" s="534"/>
      <c r="H64" s="534"/>
      <c r="I64" s="534"/>
      <c r="J64" s="534"/>
      <c r="K64" s="534"/>
      <c r="L64" s="534"/>
      <c r="M64" s="534"/>
      <c r="N64" s="534"/>
      <c r="O64" s="534"/>
      <c r="P64" s="534"/>
      <c r="Q64" s="534"/>
      <c r="R64" s="534"/>
      <c r="S64" s="534"/>
      <c r="T64" s="534"/>
      <c r="U64" s="534"/>
      <c r="V64" s="534"/>
      <c r="W64" s="534"/>
      <c r="X64" s="534"/>
      <c r="Y64" s="534"/>
      <c r="Z64" s="534"/>
    </row>
    <row r="65" spans="1:26" ht="28.05" customHeight="1" x14ac:dyDescent="0.3">
      <c r="A65" s="1314" t="s">
        <v>4495</v>
      </c>
      <c r="B65" s="1340" t="s">
        <v>3295</v>
      </c>
      <c r="C65" s="1340" t="s">
        <v>1728</v>
      </c>
      <c r="D65" s="1336" t="s">
        <v>1523</v>
      </c>
      <c r="E65" s="1315" t="s">
        <v>4496</v>
      </c>
      <c r="F65" s="520"/>
      <c r="G65" s="534"/>
      <c r="H65" s="534"/>
      <c r="I65" s="534"/>
      <c r="J65" s="534"/>
      <c r="K65" s="534"/>
      <c r="L65" s="534"/>
      <c r="M65" s="534"/>
      <c r="N65" s="534"/>
      <c r="O65" s="534"/>
      <c r="P65" s="534"/>
      <c r="Q65" s="534"/>
      <c r="R65" s="534"/>
      <c r="S65" s="534"/>
      <c r="T65" s="534"/>
      <c r="U65" s="534"/>
      <c r="V65" s="534"/>
      <c r="W65" s="534"/>
      <c r="X65" s="534"/>
      <c r="Y65" s="534"/>
      <c r="Z65" s="534"/>
    </row>
    <row r="66" spans="1:26" ht="28.05" customHeight="1" x14ac:dyDescent="0.3">
      <c r="A66" s="1278" t="s">
        <v>1534</v>
      </c>
      <c r="B66" s="1341" t="s">
        <v>3298</v>
      </c>
      <c r="C66" s="1341" t="s">
        <v>1732</v>
      </c>
      <c r="D66" s="1337" t="s">
        <v>1513</v>
      </c>
      <c r="E66" s="1280" t="s">
        <v>4497</v>
      </c>
      <c r="F66" s="520"/>
      <c r="G66" s="534"/>
      <c r="H66" s="534"/>
      <c r="I66" s="534"/>
      <c r="J66" s="534"/>
      <c r="K66" s="534"/>
      <c r="L66" s="534"/>
      <c r="M66" s="534"/>
      <c r="N66" s="534"/>
      <c r="O66" s="534"/>
      <c r="P66" s="534"/>
      <c r="Q66" s="534"/>
      <c r="R66" s="534"/>
      <c r="S66" s="534"/>
      <c r="T66" s="534"/>
      <c r="U66" s="534"/>
      <c r="V66" s="534"/>
      <c r="W66" s="534"/>
      <c r="X66" s="534"/>
      <c r="Y66" s="534"/>
      <c r="Z66" s="534"/>
    </row>
  </sheetData>
  <mergeCells count="8">
    <mergeCell ref="A32:Z32"/>
    <mergeCell ref="A61:Z61"/>
    <mergeCell ref="A1:Z1"/>
    <mergeCell ref="B38:Z38"/>
    <mergeCell ref="A3:Z3"/>
    <mergeCell ref="A4:Z4"/>
    <mergeCell ref="A15:Z15"/>
    <mergeCell ref="A24:Z24"/>
  </mergeCells>
  <conditionalFormatting sqref="A26:A30">
    <cfRule type="containsText" dxfId="50" priority="19" operator="containsText" text="🔴">
      <formula>NOT(ISERROR(SEARCH("🔴",A26)))</formula>
    </cfRule>
    <cfRule type="containsText" dxfId="49" priority="20" operator="containsText" text="🟠">
      <formula>NOT(ISERROR(SEARCH("🟠",A26)))</formula>
    </cfRule>
    <cfRule type="containsText" dxfId="48" priority="21" operator="containsText" text="🟡">
      <formula>NOT(ISERROR(SEARCH("🟡",A26)))</formula>
    </cfRule>
  </conditionalFormatting>
  <conditionalFormatting sqref="B6">
    <cfRule type="cellIs" dxfId="47" priority="1" operator="greaterThanOrEqual">
      <formula>0.9</formula>
    </cfRule>
    <cfRule type="cellIs" dxfId="46" priority="2" operator="greaterThanOrEqual">
      <formula>0.7</formula>
    </cfRule>
    <cfRule type="cellIs" dxfId="45" priority="3" operator="greaterThanOrEqual">
      <formula>0.4</formula>
    </cfRule>
    <cfRule type="cellIs" dxfId="44" priority="4" operator="greaterThanOrEqual">
      <formula>0.2</formula>
    </cfRule>
    <cfRule type="cellIs" dxfId="43" priority="5" operator="greaterThanOrEqual">
      <formula>0</formula>
    </cfRule>
  </conditionalFormatting>
  <conditionalFormatting sqref="B8">
    <cfRule type="containsText" dxfId="42" priority="27" operator="containsText" text="Excelencia">
      <formula>NOT(ISERROR(SEARCH("Excelencia",B8)))</formula>
    </cfRule>
    <cfRule type="containsText" dxfId="41" priority="28" operator="containsText" text="Mandato">
      <formula>NOT(ISERROR(SEARCH("Mandato",B8)))</formula>
    </cfRule>
    <cfRule type="containsText" dxfId="40" priority="29" operator="containsText" text="Crítica">
      <formula>NOT(ISERROR(SEARCH("Crítica",B8)))</formula>
    </cfRule>
    <cfRule type="containsText" dxfId="39" priority="30" operator="containsText" text="Ocurrencia">
      <formula>NOT(ISERROR(SEARCH("Ocurrencia",B8)))</formula>
    </cfRule>
    <cfRule type="containsText" dxfId="38" priority="31" operator="containsText" text="Ruptura">
      <formula>NOT(ISERROR(SEARCH("Ruptura",B8)))</formula>
    </cfRule>
  </conditionalFormatting>
  <conditionalFormatting sqref="B43">
    <cfRule type="cellIs" dxfId="37" priority="6" operator="greaterThanOrEqual">
      <formula>0.9</formula>
    </cfRule>
    <cfRule type="cellIs" dxfId="36" priority="7" operator="greaterThanOrEqual">
      <formula>0.7</formula>
    </cfRule>
    <cfRule type="cellIs" dxfId="35" priority="8" operator="greaterThanOrEqual">
      <formula>0.4</formula>
    </cfRule>
    <cfRule type="cellIs" dxfId="34" priority="9" operator="greaterThanOrEqual">
      <formula>0.2</formula>
    </cfRule>
    <cfRule type="cellIs" dxfId="33" priority="10" operator="greaterThanOrEqual">
      <formula>0</formula>
    </cfRule>
  </conditionalFormatting>
  <conditionalFormatting sqref="B44:B45">
    <cfRule type="containsText" dxfId="32" priority="22" operator="containsText" text="EXCELENCIA">
      <formula>NOT(ISERROR(SEARCH("EXCELENCIA",B44)))</formula>
    </cfRule>
    <cfRule type="containsText" dxfId="31" priority="23" operator="containsText" text="MANDATO">
      <formula>NOT(ISERROR(SEARCH("MANDATO",B44)))</formula>
    </cfRule>
    <cfRule type="containsText" dxfId="30" priority="24" operator="containsText" text="TRANSICIÓN">
      <formula>NOT(ISERROR(SEARCH("TRANSICIÓN",B44)))</formula>
    </cfRule>
    <cfRule type="containsText" dxfId="29" priority="25" operator="containsText" text="OCURRENCIA">
      <formula>NOT(ISERROR(SEARCH("OCURRENCIA",B44)))</formula>
    </cfRule>
    <cfRule type="containsText" dxfId="28" priority="26" operator="containsText" text="RUPTURA">
      <formula>NOT(ISERROR(SEARCH("RUPTURA",B44)))</formula>
    </cfRule>
  </conditionalFormatting>
  <conditionalFormatting sqref="B47">
    <cfRule type="cellIs" dxfId="27" priority="16" operator="lessThan">
      <formula>-0.3</formula>
    </cfRule>
    <cfRule type="cellIs" dxfId="26" priority="17" operator="lessThan">
      <formula>0</formula>
    </cfRule>
    <cfRule type="cellIs" dxfId="25" priority="18" operator="greaterThanOrEqual">
      <formula>0</formula>
    </cfRule>
  </conditionalFormatting>
  <conditionalFormatting sqref="C17:C21">
    <cfRule type="cellIs" dxfId="24" priority="11" operator="greaterThanOrEqual">
      <formula>0.9</formula>
    </cfRule>
    <cfRule type="cellIs" dxfId="23" priority="12" operator="greaterThanOrEqual">
      <formula>0.7</formula>
    </cfRule>
    <cfRule type="cellIs" dxfId="22" priority="13" operator="greaterThanOrEqual">
      <formula>0.4</formula>
    </cfRule>
    <cfRule type="cellIs" dxfId="21" priority="14" operator="greaterThanOrEqual">
      <formula>0.2</formula>
    </cfRule>
    <cfRule type="cellIs" dxfId="20" priority="15" operator="greaterThanOrEqual">
      <formula>0</formula>
    </cfRule>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3CDEB-76FF-40B6-A816-BB61FE45C8D9}">
  <sheetPr>
    <tabColor rgb="FFB8CCE4"/>
  </sheetPr>
  <dimension ref="A1:Z317"/>
  <sheetViews>
    <sheetView showGridLines="0" zoomScale="20" zoomScaleNormal="20" workbookViewId="0">
      <selection activeCell="C37" sqref="C37"/>
    </sheetView>
  </sheetViews>
  <sheetFormatPr baseColWidth="10" defaultRowHeight="14.4" x14ac:dyDescent="0.3"/>
  <cols>
    <col min="1" max="1" width="33.33203125" customWidth="1"/>
    <col min="2" max="3" width="48.109375" customWidth="1"/>
    <col min="4" max="4" width="51.88671875" customWidth="1"/>
    <col min="5" max="5" width="18.5546875" customWidth="1"/>
    <col min="6" max="6" width="14.77734375" customWidth="1"/>
    <col min="7" max="26" width="5.21875" customWidth="1"/>
  </cols>
  <sheetData>
    <row r="1" spans="1:26" ht="22.05" customHeight="1" x14ac:dyDescent="0.3">
      <c r="A1" s="4041" t="s">
        <v>4851</v>
      </c>
      <c r="B1" s="4041"/>
      <c r="C1" s="4041"/>
      <c r="D1" s="4041"/>
      <c r="E1" s="4041"/>
      <c r="F1" s="4041"/>
      <c r="G1" s="4170"/>
      <c r="H1" s="4170"/>
      <c r="I1" s="4170"/>
      <c r="J1" s="4170"/>
      <c r="K1" s="4170"/>
      <c r="L1" s="4170"/>
      <c r="M1" s="4170"/>
      <c r="N1" s="4170"/>
      <c r="O1" s="4170"/>
      <c r="P1" s="4170"/>
      <c r="Q1" s="4170"/>
      <c r="R1" s="4170"/>
      <c r="S1" s="4170"/>
      <c r="T1" s="4170"/>
      <c r="U1" s="4170"/>
      <c r="V1" s="4170"/>
      <c r="W1" s="4170"/>
      <c r="X1" s="4170"/>
      <c r="Y1" s="4170"/>
      <c r="Z1" s="4170"/>
    </row>
    <row r="2" spans="1:26" ht="22.05" customHeight="1" x14ac:dyDescent="0.3">
      <c r="A2" s="1342" t="s">
        <v>4852</v>
      </c>
      <c r="B2" s="1342"/>
      <c r="C2" s="1342"/>
      <c r="D2" s="1342"/>
      <c r="E2" s="1342"/>
      <c r="F2" s="1342"/>
      <c r="G2" s="1346"/>
      <c r="H2" s="1346"/>
      <c r="I2" s="1346"/>
      <c r="J2" s="1346"/>
      <c r="K2" s="1346"/>
      <c r="L2" s="1346"/>
      <c r="M2" s="1346"/>
      <c r="N2" s="1346"/>
      <c r="O2" s="1346"/>
      <c r="P2" s="1346"/>
      <c r="Q2" s="1346"/>
      <c r="R2" s="1346"/>
      <c r="S2" s="1346"/>
      <c r="T2" s="1346"/>
      <c r="U2" s="1346"/>
      <c r="V2" s="1346"/>
      <c r="W2" s="1346"/>
      <c r="X2" s="1346"/>
      <c r="Y2" s="1346"/>
      <c r="Z2" s="1346"/>
    </row>
    <row r="3" spans="1:26" ht="18" customHeight="1" x14ac:dyDescent="0.3">
      <c r="A3" s="1249" t="str">
        <f>HYPERLINK("#'M-INDEX'!A1","⌂ INDICE")</f>
        <v>⌂ INDICE</v>
      </c>
      <c r="B3" s="1250" t="str">
        <f>HYPERLINK("#'M1-ITME'!A1","M1")</f>
        <v>M1</v>
      </c>
      <c r="C3" s="1250" t="str">
        <f>HYPERLINK("#'M2-PDOT'!A1","M2")</f>
        <v>M2</v>
      </c>
      <c r="D3" s="1250" t="str">
        <f>HYPERLINK("#'M3-MAO'!A1","M3")</f>
        <v>M3</v>
      </c>
      <c r="E3" s="1250" t="str">
        <f>HYPERLINK("#'M4-AUDIT'!A1","M4")</f>
        <v>M4</v>
      </c>
      <c r="F3" s="1250" t="str">
        <f>HYPERLINK("#'M5-ICPI'!A1","M5")</f>
        <v>M5</v>
      </c>
      <c r="G3" s="1347" t="str">
        <f>HYPERLINK("#'M6-FEDS'!A1","M6")</f>
        <v>M6</v>
      </c>
      <c r="H3" s="1347" t="str">
        <f>HYPERLINK("#'M7-PROSP'!A1","M7")</f>
        <v>M7</v>
      </c>
      <c r="I3" s="1347" t="str">
        <f>HYPERLINK("#'DATA-POA'!A1","DATA-POA")</f>
        <v>DATA-POA</v>
      </c>
      <c r="J3" s="1347" t="str">
        <f>HYPERLINK("#'DATA-CNE'!A1","DATA-CNE")</f>
        <v>DATA-CNE</v>
      </c>
      <c r="K3" s="1347" t="str">
        <f>HYPERLINK("#'DATA-ORG'!A1","DATA-ORG")</f>
        <v>DATA-ORG</v>
      </c>
      <c r="L3" s="1347" t="str">
        <f>HYPERLINK("#'M-DASHBOARD'!A1","DASH")</f>
        <v>DASH</v>
      </c>
      <c r="M3" s="1348"/>
      <c r="N3" s="1348"/>
      <c r="O3" s="1348"/>
      <c r="P3" s="1348"/>
      <c r="Q3" s="1348"/>
      <c r="R3" s="1348"/>
      <c r="S3" s="1348"/>
      <c r="T3" s="1348"/>
      <c r="U3" s="1348"/>
      <c r="V3" s="1348"/>
      <c r="W3" s="1348"/>
      <c r="X3" s="1348"/>
      <c r="Y3" s="1348"/>
      <c r="Z3" s="1348"/>
    </row>
    <row r="4" spans="1:26" ht="13.95" customHeight="1" x14ac:dyDescent="0.3">
      <c r="A4" s="4155" t="s">
        <v>4455</v>
      </c>
      <c r="B4" s="4156"/>
      <c r="C4" s="4156"/>
      <c r="D4" s="4156"/>
      <c r="E4" s="4156"/>
      <c r="F4" s="4156"/>
      <c r="G4" s="4157"/>
      <c r="H4" s="4157"/>
      <c r="I4" s="4157"/>
      <c r="J4" s="4157"/>
      <c r="K4" s="4157"/>
      <c r="L4" s="4157"/>
      <c r="M4" s="4157"/>
      <c r="N4" s="4157"/>
      <c r="O4" s="4157"/>
      <c r="P4" s="4157"/>
      <c r="Q4" s="4157"/>
      <c r="R4" s="4157"/>
      <c r="S4" s="4157"/>
      <c r="T4" s="4157"/>
      <c r="U4" s="4157"/>
      <c r="V4" s="4157"/>
      <c r="W4" s="4157"/>
      <c r="X4" s="4157"/>
      <c r="Y4" s="4157"/>
      <c r="Z4" s="4157"/>
    </row>
    <row r="5" spans="1:26" ht="13.95" customHeight="1" x14ac:dyDescent="0.3">
      <c r="A5" s="1256" t="s">
        <v>4456</v>
      </c>
      <c r="B5" s="1256"/>
      <c r="C5" s="1256"/>
      <c r="D5" s="1256"/>
      <c r="E5" s="1256"/>
      <c r="F5" s="1256"/>
      <c r="G5" s="1349"/>
      <c r="H5" s="1349"/>
      <c r="I5" s="1349"/>
      <c r="J5" s="1349"/>
      <c r="K5" s="1349"/>
      <c r="L5" s="1349"/>
      <c r="M5" s="1349"/>
      <c r="N5" s="1349"/>
      <c r="O5" s="1349"/>
      <c r="P5" s="1349"/>
      <c r="Q5" s="1349"/>
      <c r="R5" s="1349"/>
      <c r="S5" s="1349"/>
      <c r="T5" s="1349"/>
      <c r="U5" s="1349"/>
      <c r="V5" s="1349"/>
      <c r="W5" s="1349"/>
      <c r="X5" s="1349"/>
      <c r="Y5" s="1349"/>
      <c r="Z5" s="1349"/>
    </row>
    <row r="6" spans="1:26" ht="13.95" customHeight="1" x14ac:dyDescent="0.3">
      <c r="A6" s="1256" t="s">
        <v>4249</v>
      </c>
      <c r="B6" s="4166"/>
      <c r="C6" s="4166"/>
      <c r="D6" s="4166"/>
      <c r="E6" s="4166"/>
      <c r="F6" s="4166"/>
      <c r="G6" s="4167"/>
      <c r="H6" s="4167"/>
      <c r="I6" s="4167"/>
      <c r="J6" s="4167"/>
      <c r="K6" s="4167"/>
      <c r="L6" s="4167"/>
      <c r="M6" s="4167"/>
      <c r="N6" s="4167"/>
      <c r="O6" s="4167"/>
      <c r="P6" s="4167"/>
      <c r="Q6" s="4167"/>
      <c r="R6" s="4167"/>
      <c r="S6" s="4167"/>
      <c r="T6" s="4167"/>
      <c r="U6" s="4167"/>
      <c r="V6" s="4167"/>
      <c r="W6" s="4167"/>
      <c r="X6" s="4167"/>
      <c r="Y6" s="4167"/>
      <c r="Z6" s="4167"/>
    </row>
    <row r="7" spans="1:26" ht="22.05" customHeight="1" x14ac:dyDescent="0.3">
      <c r="A7" s="1350" t="s">
        <v>3322</v>
      </c>
      <c r="B7" s="4149"/>
      <c r="C7" s="4149"/>
      <c r="D7" s="4149"/>
      <c r="E7" s="4149"/>
      <c r="F7" s="4149"/>
      <c r="G7" s="4167"/>
      <c r="H7" s="4167"/>
      <c r="I7" s="4167"/>
      <c r="J7" s="4167"/>
      <c r="K7" s="4167"/>
      <c r="L7" s="4167"/>
      <c r="M7" s="4167"/>
      <c r="N7" s="4167"/>
      <c r="O7" s="4167"/>
      <c r="P7" s="4167"/>
      <c r="Q7" s="4167"/>
      <c r="R7" s="4167"/>
      <c r="S7" s="4167"/>
      <c r="T7" s="4167"/>
      <c r="U7" s="4167"/>
      <c r="V7" s="4167"/>
      <c r="W7" s="4167"/>
      <c r="X7" s="4167"/>
      <c r="Y7" s="4167"/>
      <c r="Z7" s="4167"/>
    </row>
    <row r="8" spans="1:26" ht="28.05" customHeight="1" x14ac:dyDescent="0.3">
      <c r="A8" s="1379" t="s">
        <v>3323</v>
      </c>
      <c r="B8" s="1276" t="s">
        <v>3324</v>
      </c>
      <c r="C8" s="1276" t="s">
        <v>3325</v>
      </c>
      <c r="D8" s="1276" t="s">
        <v>3326</v>
      </c>
      <c r="E8" s="1279" t="s">
        <v>3327</v>
      </c>
      <c r="F8" s="520"/>
      <c r="G8" s="1349"/>
      <c r="H8" s="1349"/>
      <c r="I8" s="1349"/>
      <c r="J8" s="1349"/>
      <c r="K8" s="1349"/>
      <c r="L8" s="1349"/>
      <c r="M8" s="1349"/>
      <c r="N8" s="1349"/>
      <c r="O8" s="1349"/>
      <c r="P8" s="1349"/>
      <c r="Q8" s="1349"/>
      <c r="R8" s="1349"/>
      <c r="S8" s="1349"/>
      <c r="T8" s="1349"/>
      <c r="U8" s="1349"/>
      <c r="V8" s="1349"/>
      <c r="W8" s="1349"/>
      <c r="X8" s="1349"/>
      <c r="Y8" s="1349"/>
      <c r="Z8" s="1349"/>
    </row>
    <row r="9" spans="1:26" ht="25.95" customHeight="1" x14ac:dyDescent="0.3">
      <c r="A9" s="1453">
        <v>1</v>
      </c>
      <c r="B9" s="1454" t="s">
        <v>3328</v>
      </c>
      <c r="C9" s="1454" t="s">
        <v>3329</v>
      </c>
      <c r="D9" s="1454" t="s">
        <v>2565</v>
      </c>
      <c r="E9" s="1455" t="s">
        <v>3330</v>
      </c>
      <c r="F9" s="520"/>
      <c r="G9" s="1349"/>
      <c r="H9" s="1349"/>
      <c r="I9" s="1349"/>
      <c r="J9" s="1349"/>
      <c r="K9" s="1349"/>
      <c r="L9" s="1349"/>
      <c r="M9" s="1349"/>
      <c r="N9" s="1349"/>
      <c r="O9" s="1349"/>
      <c r="P9" s="1349"/>
      <c r="Q9" s="1349"/>
      <c r="R9" s="1349"/>
      <c r="S9" s="1349"/>
      <c r="T9" s="1349"/>
      <c r="U9" s="1349"/>
      <c r="V9" s="1349"/>
      <c r="W9" s="1349"/>
      <c r="X9" s="1349"/>
      <c r="Y9" s="1349"/>
      <c r="Z9" s="1349"/>
    </row>
    <row r="10" spans="1:26" ht="25.95" customHeight="1" x14ac:dyDescent="0.3">
      <c r="A10" s="1458">
        <v>2</v>
      </c>
      <c r="B10" s="1459" t="s">
        <v>4217</v>
      </c>
      <c r="C10" s="1459" t="s">
        <v>3331</v>
      </c>
      <c r="D10" s="1459" t="s">
        <v>3332</v>
      </c>
      <c r="E10" s="1460" t="s">
        <v>3333</v>
      </c>
      <c r="F10" s="520"/>
      <c r="G10" s="1349"/>
      <c r="H10" s="1349"/>
      <c r="I10" s="1349"/>
      <c r="J10" s="1349"/>
      <c r="K10" s="1349"/>
      <c r="L10" s="1349"/>
      <c r="M10" s="1349"/>
      <c r="N10" s="1349"/>
      <c r="O10" s="1349"/>
      <c r="P10" s="1349"/>
      <c r="Q10" s="1349"/>
      <c r="R10" s="1349"/>
      <c r="S10" s="1349"/>
      <c r="T10" s="1349"/>
      <c r="U10" s="1349"/>
      <c r="V10" s="1349"/>
      <c r="W10" s="1349"/>
      <c r="X10" s="1349"/>
      <c r="Y10" s="1349"/>
      <c r="Z10" s="1349"/>
    </row>
    <row r="11" spans="1:26" ht="25.95" customHeight="1" x14ac:dyDescent="0.3">
      <c r="A11" s="1453">
        <v>3</v>
      </c>
      <c r="B11" s="1454" t="s">
        <v>3334</v>
      </c>
      <c r="C11" s="1454" t="s">
        <v>3335</v>
      </c>
      <c r="D11" s="1454" t="s">
        <v>3336</v>
      </c>
      <c r="E11" s="1455" t="s">
        <v>3337</v>
      </c>
      <c r="F11" s="520"/>
      <c r="G11" s="1349"/>
      <c r="H11" s="1349"/>
      <c r="I11" s="1349"/>
      <c r="J11" s="1349"/>
      <c r="K11" s="1349"/>
      <c r="L11" s="1349"/>
      <c r="M11" s="1349"/>
      <c r="N11" s="1349"/>
      <c r="O11" s="1349"/>
      <c r="P11" s="1349"/>
      <c r="Q11" s="1349"/>
      <c r="R11" s="1349"/>
      <c r="S11" s="1349"/>
      <c r="T11" s="1349"/>
      <c r="U11" s="1349"/>
      <c r="V11" s="1349"/>
      <c r="W11" s="1349"/>
      <c r="X11" s="1349"/>
      <c r="Y11" s="1349"/>
      <c r="Z11" s="1349"/>
    </row>
    <row r="12" spans="1:26" ht="25.95" customHeight="1" x14ac:dyDescent="0.3">
      <c r="A12" s="1458">
        <v>4</v>
      </c>
      <c r="B12" s="1459" t="s">
        <v>3338</v>
      </c>
      <c r="C12" s="1459" t="s">
        <v>3339</v>
      </c>
      <c r="D12" s="1459" t="s">
        <v>3340</v>
      </c>
      <c r="E12" s="1460" t="s">
        <v>3341</v>
      </c>
      <c r="F12" s="520"/>
      <c r="G12" s="1349"/>
      <c r="H12" s="1349"/>
      <c r="I12" s="1349"/>
      <c r="J12" s="1349"/>
      <c r="K12" s="1349"/>
      <c r="L12" s="1349"/>
      <c r="M12" s="1349"/>
      <c r="N12" s="1349"/>
      <c r="O12" s="1349"/>
      <c r="P12" s="1349"/>
      <c r="Q12" s="1349"/>
      <c r="R12" s="1349"/>
      <c r="S12" s="1349"/>
      <c r="T12" s="1349"/>
      <c r="U12" s="1349"/>
      <c r="V12" s="1349"/>
      <c r="W12" s="1349"/>
      <c r="X12" s="1349"/>
      <c r="Y12" s="1349"/>
      <c r="Z12" s="1349"/>
    </row>
    <row r="13" spans="1:26" ht="25.95" customHeight="1" x14ac:dyDescent="0.3">
      <c r="A13" s="1450">
        <v>5</v>
      </c>
      <c r="B13" s="1451" t="s">
        <v>3342</v>
      </c>
      <c r="C13" s="1451" t="s">
        <v>3343</v>
      </c>
      <c r="D13" s="1451" t="s">
        <v>3344</v>
      </c>
      <c r="E13" s="1452" t="s">
        <v>3345</v>
      </c>
      <c r="F13" s="520"/>
      <c r="G13" s="1349"/>
      <c r="H13" s="1349"/>
      <c r="I13" s="1349"/>
      <c r="J13" s="1349"/>
      <c r="K13" s="1349"/>
      <c r="L13" s="1349"/>
      <c r="M13" s="1349"/>
      <c r="N13" s="1349"/>
      <c r="O13" s="1349"/>
      <c r="P13" s="1349"/>
      <c r="Q13" s="1349"/>
      <c r="R13" s="1349"/>
      <c r="S13" s="1349"/>
      <c r="T13" s="1349"/>
      <c r="U13" s="1349"/>
      <c r="V13" s="1349"/>
      <c r="W13" s="1349"/>
      <c r="X13" s="1349"/>
      <c r="Y13" s="1349"/>
      <c r="Z13" s="1349"/>
    </row>
    <row r="14" spans="1:26" ht="25.95" customHeight="1" x14ac:dyDescent="0.3">
      <c r="A14" s="1380">
        <v>6</v>
      </c>
      <c r="B14" s="1378" t="s">
        <v>3346</v>
      </c>
      <c r="C14" s="1378" t="s">
        <v>3347</v>
      </c>
      <c r="D14" s="1378" t="s">
        <v>3344</v>
      </c>
      <c r="E14" s="1383" t="s">
        <v>3345</v>
      </c>
      <c r="F14" s="520"/>
      <c r="G14" s="1349"/>
      <c r="H14" s="1349"/>
      <c r="I14" s="1349"/>
      <c r="J14" s="1349"/>
      <c r="K14" s="1349"/>
      <c r="L14" s="1349"/>
      <c r="M14" s="1349"/>
      <c r="N14" s="1349"/>
      <c r="O14" s="1349"/>
      <c r="P14" s="1349"/>
      <c r="Q14" s="1349"/>
      <c r="R14" s="1349"/>
      <c r="S14" s="1349"/>
      <c r="T14" s="1349"/>
      <c r="U14" s="1349"/>
      <c r="V14" s="1349"/>
      <c r="W14" s="1349"/>
      <c r="X14" s="1349"/>
      <c r="Y14" s="1349"/>
      <c r="Z14" s="1349"/>
    </row>
    <row r="15" spans="1:26" ht="22.05" customHeight="1" x14ac:dyDescent="0.3">
      <c r="A15" s="3949" t="s">
        <v>3348</v>
      </c>
      <c r="B15" s="3949"/>
      <c r="C15" s="3949"/>
      <c r="D15" s="3949"/>
      <c r="E15" s="3949"/>
      <c r="F15" s="3949"/>
      <c r="G15" s="4154"/>
      <c r="H15" s="4154"/>
      <c r="I15" s="4154"/>
      <c r="J15" s="4154"/>
      <c r="K15" s="4154"/>
      <c r="L15" s="4154"/>
      <c r="M15" s="4154"/>
      <c r="N15" s="4154"/>
      <c r="O15" s="4154"/>
      <c r="P15" s="4154"/>
      <c r="Q15" s="4154"/>
      <c r="R15" s="4154"/>
      <c r="S15" s="4154"/>
      <c r="T15" s="4154"/>
      <c r="U15" s="4154"/>
      <c r="V15" s="4154"/>
      <c r="W15" s="4154"/>
      <c r="X15" s="4154"/>
      <c r="Y15" s="4154"/>
      <c r="Z15" s="4154"/>
    </row>
    <row r="16" spans="1:26" ht="28.05" customHeight="1" x14ac:dyDescent="0.3">
      <c r="A16" s="1386" t="s">
        <v>3349</v>
      </c>
      <c r="B16" s="1384" t="s">
        <v>2968</v>
      </c>
      <c r="C16" s="1384" t="s">
        <v>3350</v>
      </c>
      <c r="D16" s="1384" t="s">
        <v>3351</v>
      </c>
      <c r="E16" s="1388" t="s">
        <v>3352</v>
      </c>
      <c r="F16" s="520"/>
      <c r="G16" s="1349"/>
      <c r="H16" s="1349"/>
      <c r="I16" s="1349"/>
      <c r="J16" s="1349"/>
      <c r="K16" s="1349"/>
      <c r="L16" s="1349"/>
      <c r="M16" s="1349"/>
      <c r="N16" s="1349"/>
      <c r="O16" s="1349"/>
      <c r="P16" s="1349"/>
      <c r="Q16" s="1349"/>
      <c r="R16" s="1349"/>
      <c r="S16" s="1349"/>
      <c r="T16" s="1349"/>
      <c r="U16" s="1349"/>
      <c r="V16" s="1349"/>
      <c r="W16" s="1349"/>
      <c r="X16" s="1349"/>
      <c r="Y16" s="1349"/>
      <c r="Z16" s="1349"/>
    </row>
    <row r="17" spans="1:26" ht="37.950000000000003" customHeight="1" x14ac:dyDescent="0.3">
      <c r="A17" s="1461" t="s">
        <v>3353</v>
      </c>
      <c r="B17" s="1454" t="s">
        <v>3354</v>
      </c>
      <c r="C17" s="1454" t="s">
        <v>109</v>
      </c>
      <c r="D17" s="1454" t="s">
        <v>3355</v>
      </c>
      <c r="E17" s="1462" t="s">
        <v>3356</v>
      </c>
      <c r="F17" s="520"/>
      <c r="G17" s="1349"/>
      <c r="H17" s="1349"/>
      <c r="I17" s="1349"/>
      <c r="J17" s="1349"/>
      <c r="K17" s="1349"/>
      <c r="L17" s="1349"/>
      <c r="M17" s="1349"/>
      <c r="N17" s="1349"/>
      <c r="O17" s="1349"/>
      <c r="P17" s="1349"/>
      <c r="Q17" s="1349"/>
      <c r="R17" s="1349"/>
      <c r="S17" s="1349"/>
      <c r="T17" s="1349"/>
      <c r="U17" s="1349"/>
      <c r="V17" s="1349"/>
      <c r="W17" s="1349"/>
      <c r="X17" s="1349"/>
      <c r="Y17" s="1349"/>
      <c r="Z17" s="1349"/>
    </row>
    <row r="18" spans="1:26" ht="37.950000000000003" customHeight="1" x14ac:dyDescent="0.3">
      <c r="A18" s="1465" t="s">
        <v>3357</v>
      </c>
      <c r="B18" s="1459" t="s">
        <v>3358</v>
      </c>
      <c r="C18" s="1459" t="s">
        <v>3359</v>
      </c>
      <c r="D18" s="1459" t="s">
        <v>3360</v>
      </c>
      <c r="E18" s="1466" t="s">
        <v>3361</v>
      </c>
      <c r="F18" s="520"/>
      <c r="G18" s="1349"/>
      <c r="H18" s="1349"/>
      <c r="I18" s="1349"/>
      <c r="J18" s="1349"/>
      <c r="K18" s="1349"/>
      <c r="L18" s="1349"/>
      <c r="M18" s="1349"/>
      <c r="N18" s="1349"/>
      <c r="O18" s="1349"/>
      <c r="P18" s="1349"/>
      <c r="Q18" s="1349"/>
      <c r="R18" s="1349"/>
      <c r="S18" s="1349"/>
      <c r="T18" s="1349"/>
      <c r="U18" s="1349"/>
      <c r="V18" s="1349"/>
      <c r="W18" s="1349"/>
      <c r="X18" s="1349"/>
      <c r="Y18" s="1349"/>
      <c r="Z18" s="1349"/>
    </row>
    <row r="19" spans="1:26" ht="37.950000000000003" customHeight="1" x14ac:dyDescent="0.3">
      <c r="A19" s="1461" t="s">
        <v>3362</v>
      </c>
      <c r="B19" s="1454" t="s">
        <v>3363</v>
      </c>
      <c r="C19" s="1454" t="s">
        <v>3364</v>
      </c>
      <c r="D19" s="1454" t="s">
        <v>3365</v>
      </c>
      <c r="E19" s="1462" t="s">
        <v>3366</v>
      </c>
      <c r="F19" s="520"/>
      <c r="G19" s="1349"/>
      <c r="H19" s="1349"/>
      <c r="I19" s="1349"/>
      <c r="J19" s="1349"/>
      <c r="K19" s="1349"/>
      <c r="L19" s="1349"/>
      <c r="M19" s="1349"/>
      <c r="N19" s="1349"/>
      <c r="O19" s="1349"/>
      <c r="P19" s="1349"/>
      <c r="Q19" s="1349"/>
      <c r="R19" s="1349"/>
      <c r="S19" s="1349"/>
      <c r="T19" s="1349"/>
      <c r="U19" s="1349"/>
      <c r="V19" s="1349"/>
      <c r="W19" s="1349"/>
      <c r="X19" s="1349"/>
      <c r="Y19" s="1349"/>
      <c r="Z19" s="1349"/>
    </row>
    <row r="20" spans="1:26" ht="37.950000000000003" customHeight="1" x14ac:dyDescent="0.3">
      <c r="A20" s="1465" t="s">
        <v>3367</v>
      </c>
      <c r="B20" s="1459" t="s">
        <v>4218</v>
      </c>
      <c r="C20" s="1459" t="s">
        <v>3368</v>
      </c>
      <c r="D20" s="1459" t="s">
        <v>3369</v>
      </c>
      <c r="E20" s="1466" t="s">
        <v>3370</v>
      </c>
      <c r="F20" s="520"/>
      <c r="G20" s="1349"/>
      <c r="H20" s="1349"/>
      <c r="I20" s="1349"/>
      <c r="J20" s="1349"/>
      <c r="K20" s="1349"/>
      <c r="L20" s="1349"/>
      <c r="M20" s="1349"/>
      <c r="N20" s="1349"/>
      <c r="O20" s="1349"/>
      <c r="P20" s="1349"/>
      <c r="Q20" s="1349"/>
      <c r="R20" s="1349"/>
      <c r="S20" s="1349"/>
      <c r="T20" s="1349"/>
      <c r="U20" s="1349"/>
      <c r="V20" s="1349"/>
      <c r="W20" s="1349"/>
      <c r="X20" s="1349"/>
      <c r="Y20" s="1349"/>
      <c r="Z20" s="1349"/>
    </row>
    <row r="21" spans="1:26" ht="37.950000000000003" customHeight="1" x14ac:dyDescent="0.3">
      <c r="A21" s="1461" t="s">
        <v>3371</v>
      </c>
      <c r="B21" s="1454" t="s">
        <v>3372</v>
      </c>
      <c r="C21" s="1454" t="s">
        <v>3373</v>
      </c>
      <c r="D21" s="1454" t="s">
        <v>3374</v>
      </c>
      <c r="E21" s="1462" t="s">
        <v>3375</v>
      </c>
      <c r="F21" s="520"/>
      <c r="G21" s="1349"/>
      <c r="H21" s="1349"/>
      <c r="I21" s="1349"/>
      <c r="J21" s="1349"/>
      <c r="K21" s="1349"/>
      <c r="L21" s="1349"/>
      <c r="M21" s="1349"/>
      <c r="N21" s="1349"/>
      <c r="O21" s="1349"/>
      <c r="P21" s="1349"/>
      <c r="Q21" s="1349"/>
      <c r="R21" s="1349"/>
      <c r="S21" s="1349"/>
      <c r="T21" s="1349"/>
      <c r="U21" s="1349"/>
      <c r="V21" s="1349"/>
      <c r="W21" s="1349"/>
      <c r="X21" s="1349"/>
      <c r="Y21" s="1349"/>
      <c r="Z21" s="1349"/>
    </row>
    <row r="22" spans="1:26" ht="37.950000000000003" customHeight="1" x14ac:dyDescent="0.3">
      <c r="A22" s="1463" t="s">
        <v>3376</v>
      </c>
      <c r="B22" s="1456" t="s">
        <v>3377</v>
      </c>
      <c r="C22" s="1456" t="s">
        <v>3378</v>
      </c>
      <c r="D22" s="1456" t="s">
        <v>3379</v>
      </c>
      <c r="E22" s="1464" t="s">
        <v>3380</v>
      </c>
      <c r="F22" s="520"/>
      <c r="G22" s="1349"/>
      <c r="H22" s="1349"/>
      <c r="I22" s="1349"/>
      <c r="J22" s="1349"/>
      <c r="K22" s="1349"/>
      <c r="L22" s="1349"/>
      <c r="M22" s="1349"/>
      <c r="N22" s="1349"/>
      <c r="O22" s="1349"/>
      <c r="P22" s="1349"/>
      <c r="Q22" s="1349"/>
      <c r="R22" s="1349"/>
      <c r="S22" s="1349"/>
      <c r="T22" s="1349"/>
      <c r="U22" s="1349"/>
      <c r="V22" s="1349"/>
      <c r="W22" s="1349"/>
      <c r="X22" s="1349"/>
      <c r="Y22" s="1349"/>
      <c r="Z22" s="1349"/>
    </row>
    <row r="23" spans="1:26" ht="37.950000000000003" customHeight="1" x14ac:dyDescent="0.3">
      <c r="A23" s="1387" t="s">
        <v>3381</v>
      </c>
      <c r="B23" s="1385" t="s">
        <v>3382</v>
      </c>
      <c r="C23" s="1385" t="s">
        <v>383</v>
      </c>
      <c r="D23" s="1385" t="s">
        <v>3383</v>
      </c>
      <c r="E23" s="1389" t="s">
        <v>3384</v>
      </c>
      <c r="F23" s="520"/>
      <c r="G23" s="1349"/>
      <c r="H23" s="1349"/>
      <c r="I23" s="1349"/>
      <c r="J23" s="1349"/>
      <c r="K23" s="1349"/>
      <c r="L23" s="1349"/>
      <c r="M23" s="1349"/>
      <c r="N23" s="1349"/>
      <c r="O23" s="1349"/>
      <c r="P23" s="1349"/>
      <c r="Q23" s="1349"/>
      <c r="R23" s="1349"/>
      <c r="S23" s="1349"/>
      <c r="T23" s="1349"/>
      <c r="U23" s="1349"/>
      <c r="V23" s="1349"/>
      <c r="W23" s="1349"/>
      <c r="X23" s="1349"/>
      <c r="Y23" s="1349"/>
      <c r="Z23" s="1349"/>
    </row>
    <row r="24" spans="1:26" ht="22.05" customHeight="1" x14ac:dyDescent="0.3">
      <c r="A24" s="3949" t="s">
        <v>4216</v>
      </c>
      <c r="B24" s="3949"/>
      <c r="C24" s="3949"/>
      <c r="D24" s="3949"/>
      <c r="E24" s="3949"/>
      <c r="F24" s="3949"/>
      <c r="G24" s="4154"/>
      <c r="H24" s="4154"/>
      <c r="I24" s="4154"/>
      <c r="J24" s="4154"/>
      <c r="K24" s="4154"/>
      <c r="L24" s="4154"/>
      <c r="M24" s="4154"/>
      <c r="N24" s="4154"/>
      <c r="O24" s="4154"/>
      <c r="P24" s="4154"/>
      <c r="Q24" s="4154"/>
      <c r="R24" s="4154"/>
      <c r="S24" s="4154"/>
      <c r="T24" s="4154"/>
      <c r="U24" s="4154"/>
      <c r="V24" s="4154"/>
      <c r="W24" s="4154"/>
      <c r="X24" s="4154"/>
      <c r="Y24" s="4154"/>
      <c r="Z24" s="4154"/>
    </row>
    <row r="25" spans="1:26" ht="28.05" customHeight="1" x14ac:dyDescent="0.3">
      <c r="A25" s="1379" t="s">
        <v>2627</v>
      </c>
      <c r="B25" s="1276" t="s">
        <v>3385</v>
      </c>
      <c r="C25" s="1276" t="s">
        <v>3386</v>
      </c>
      <c r="D25" s="1276" t="s">
        <v>1929</v>
      </c>
      <c r="E25" s="1279" t="s">
        <v>3387</v>
      </c>
      <c r="F25" s="520"/>
      <c r="G25" s="1349"/>
      <c r="H25" s="1349"/>
      <c r="I25" s="1349"/>
      <c r="J25" s="1349"/>
      <c r="K25" s="1349"/>
      <c r="L25" s="1349"/>
      <c r="M25" s="1349"/>
      <c r="N25" s="1349"/>
      <c r="O25" s="1349"/>
      <c r="P25" s="1349"/>
      <c r="Q25" s="1349"/>
      <c r="R25" s="1349"/>
      <c r="S25" s="1349"/>
      <c r="T25" s="1349"/>
      <c r="U25" s="1349"/>
      <c r="V25" s="1349"/>
      <c r="W25" s="1349"/>
      <c r="X25" s="1349"/>
      <c r="Y25" s="1349"/>
      <c r="Z25" s="1349"/>
    </row>
    <row r="26" spans="1:26" ht="37.950000000000003" customHeight="1" x14ac:dyDescent="0.3">
      <c r="A26" s="1395" t="s">
        <v>3388</v>
      </c>
      <c r="B26" s="1390" t="s">
        <v>3389</v>
      </c>
      <c r="C26" s="1390" t="s">
        <v>3390</v>
      </c>
      <c r="D26" s="1390" t="s">
        <v>3391</v>
      </c>
      <c r="E26" s="1400" t="s">
        <v>3392</v>
      </c>
      <c r="F26" s="520"/>
      <c r="G26" s="1349"/>
      <c r="H26" s="1349"/>
      <c r="I26" s="1349"/>
      <c r="J26" s="1349"/>
      <c r="K26" s="1349"/>
      <c r="L26" s="1349"/>
      <c r="M26" s="1349"/>
      <c r="N26" s="1349"/>
      <c r="O26" s="1349"/>
      <c r="P26" s="1349"/>
      <c r="Q26" s="1349"/>
      <c r="R26" s="1349"/>
      <c r="S26" s="1349"/>
      <c r="T26" s="1349"/>
      <c r="U26" s="1349"/>
      <c r="V26" s="1349"/>
      <c r="W26" s="1349"/>
      <c r="X26" s="1349"/>
      <c r="Y26" s="1349"/>
      <c r="Z26" s="1349"/>
    </row>
    <row r="27" spans="1:26" ht="37.950000000000003" customHeight="1" x14ac:dyDescent="0.3">
      <c r="A27" s="1396" t="s">
        <v>3393</v>
      </c>
      <c r="B27" s="1391" t="s">
        <v>3394</v>
      </c>
      <c r="C27" s="1391" t="s">
        <v>3395</v>
      </c>
      <c r="D27" s="1391" t="s">
        <v>3396</v>
      </c>
      <c r="E27" s="1401" t="s">
        <v>2579</v>
      </c>
      <c r="F27" s="520"/>
      <c r="G27" s="1349"/>
      <c r="H27" s="1349"/>
      <c r="I27" s="1349"/>
      <c r="J27" s="1349"/>
      <c r="K27" s="1349"/>
      <c r="L27" s="1349"/>
      <c r="M27" s="1349"/>
      <c r="N27" s="1349"/>
      <c r="O27" s="1349"/>
      <c r="P27" s="1349"/>
      <c r="Q27" s="1349"/>
      <c r="R27" s="1349"/>
      <c r="S27" s="1349"/>
      <c r="T27" s="1349"/>
      <c r="U27" s="1349"/>
      <c r="V27" s="1349"/>
      <c r="W27" s="1349"/>
      <c r="X27" s="1349"/>
      <c r="Y27" s="1349"/>
      <c r="Z27" s="1349"/>
    </row>
    <row r="28" spans="1:26" ht="37.950000000000003" customHeight="1" x14ac:dyDescent="0.3">
      <c r="A28" s="1397" t="s">
        <v>3397</v>
      </c>
      <c r="B28" s="1392" t="s">
        <v>3398</v>
      </c>
      <c r="C28" s="1392" t="s">
        <v>3399</v>
      </c>
      <c r="D28" s="1392" t="s">
        <v>3400</v>
      </c>
      <c r="E28" s="1402" t="s">
        <v>2565</v>
      </c>
      <c r="F28" s="520"/>
      <c r="G28" s="1349"/>
      <c r="H28" s="1349"/>
      <c r="I28" s="1349"/>
      <c r="J28" s="1349"/>
      <c r="K28" s="1349"/>
      <c r="L28" s="1349"/>
      <c r="M28" s="1349"/>
      <c r="N28" s="1349"/>
      <c r="O28" s="1349"/>
      <c r="P28" s="1349"/>
      <c r="Q28" s="1349"/>
      <c r="R28" s="1349"/>
      <c r="S28" s="1349"/>
      <c r="T28" s="1349"/>
      <c r="U28" s="1349"/>
      <c r="V28" s="1349"/>
      <c r="W28" s="1349"/>
      <c r="X28" s="1349"/>
      <c r="Y28" s="1349"/>
      <c r="Z28" s="1349"/>
    </row>
    <row r="29" spans="1:26" ht="37.950000000000003" customHeight="1" x14ac:dyDescent="0.3">
      <c r="A29" s="1398" t="s">
        <v>3401</v>
      </c>
      <c r="B29" s="1393" t="s">
        <v>3402</v>
      </c>
      <c r="C29" s="1393" t="s">
        <v>3403</v>
      </c>
      <c r="D29" s="1393" t="s">
        <v>2136</v>
      </c>
      <c r="E29" s="1403" t="s">
        <v>2565</v>
      </c>
      <c r="F29" s="520"/>
      <c r="G29" s="1349"/>
      <c r="H29" s="1349"/>
      <c r="I29" s="1349"/>
      <c r="J29" s="1349"/>
      <c r="K29" s="1349"/>
      <c r="L29" s="1349"/>
      <c r="M29" s="1349"/>
      <c r="N29" s="1349"/>
      <c r="O29" s="1349"/>
      <c r="P29" s="1349"/>
      <c r="Q29" s="1349"/>
      <c r="R29" s="1349"/>
      <c r="S29" s="1349"/>
      <c r="T29" s="1349"/>
      <c r="U29" s="1349"/>
      <c r="V29" s="1349"/>
      <c r="W29" s="1349"/>
      <c r="X29" s="1349"/>
      <c r="Y29" s="1349"/>
      <c r="Z29" s="1349"/>
    </row>
    <row r="30" spans="1:26" ht="37.950000000000003" customHeight="1" x14ac:dyDescent="0.3">
      <c r="A30" s="1399" t="s">
        <v>3404</v>
      </c>
      <c r="B30" s="1394" t="s">
        <v>3405</v>
      </c>
      <c r="C30" s="1394" t="s">
        <v>3406</v>
      </c>
      <c r="D30" s="1394" t="s">
        <v>103</v>
      </c>
      <c r="E30" s="1404" t="s">
        <v>3392</v>
      </c>
      <c r="F30" s="520"/>
      <c r="G30" s="1349"/>
      <c r="H30" s="1349"/>
      <c r="I30" s="1349"/>
      <c r="J30" s="1349"/>
      <c r="K30" s="1349"/>
      <c r="L30" s="1349"/>
      <c r="M30" s="1349"/>
      <c r="N30" s="1349"/>
      <c r="O30" s="1349"/>
      <c r="P30" s="1349"/>
      <c r="Q30" s="1349"/>
      <c r="R30" s="1349"/>
      <c r="S30" s="1349"/>
      <c r="T30" s="1349"/>
      <c r="U30" s="1349"/>
      <c r="V30" s="1349"/>
      <c r="W30" s="1349"/>
      <c r="X30" s="1349"/>
      <c r="Y30" s="1349"/>
      <c r="Z30" s="1349"/>
    </row>
    <row r="31" spans="1:26" ht="22.05" customHeight="1" x14ac:dyDescent="0.3">
      <c r="A31" s="3949" t="s">
        <v>3407</v>
      </c>
      <c r="B31" s="3949"/>
      <c r="C31" s="3949"/>
      <c r="D31" s="3949"/>
      <c r="E31" s="3949"/>
      <c r="F31" s="3949"/>
      <c r="G31" s="4154"/>
      <c r="H31" s="4154"/>
      <c r="I31" s="4154"/>
      <c r="J31" s="4154"/>
      <c r="K31" s="4154"/>
      <c r="L31" s="4154"/>
      <c r="M31" s="4154"/>
      <c r="N31" s="4154"/>
      <c r="O31" s="4154"/>
      <c r="P31" s="4154"/>
      <c r="Q31" s="4154"/>
      <c r="R31" s="4154"/>
      <c r="S31" s="4154"/>
      <c r="T31" s="4154"/>
      <c r="U31" s="4154"/>
      <c r="V31" s="4154"/>
      <c r="W31" s="4154"/>
      <c r="X31" s="4154"/>
      <c r="Y31" s="4154"/>
      <c r="Z31" s="4154"/>
    </row>
    <row r="32" spans="1:26" ht="28.05" customHeight="1" x14ac:dyDescent="0.3">
      <c r="A32" s="1357" t="s">
        <v>3408</v>
      </c>
      <c r="B32" s="1357"/>
      <c r="C32" s="1357"/>
      <c r="D32" s="1357"/>
      <c r="E32" s="1357"/>
      <c r="F32" s="520"/>
      <c r="G32" s="1349"/>
      <c r="H32" s="1349"/>
      <c r="I32" s="1349"/>
      <c r="J32" s="1349"/>
      <c r="K32" s="1349"/>
      <c r="L32" s="1349"/>
      <c r="M32" s="1349"/>
      <c r="N32" s="1349"/>
      <c r="O32" s="1349"/>
      <c r="P32" s="1349"/>
      <c r="Q32" s="1349"/>
      <c r="R32" s="1349"/>
      <c r="S32" s="1349"/>
      <c r="T32" s="1349"/>
      <c r="U32" s="1349"/>
      <c r="V32" s="1349"/>
      <c r="W32" s="1349"/>
      <c r="X32" s="1349"/>
      <c r="Y32" s="1349"/>
      <c r="Z32" s="1349"/>
    </row>
    <row r="33" spans="1:26" ht="34.049999999999997" customHeight="1" x14ac:dyDescent="0.3">
      <c r="A33" s="1408" t="s">
        <v>3409</v>
      </c>
      <c r="B33" s="1405" t="s">
        <v>3410</v>
      </c>
      <c r="C33" s="1405"/>
      <c r="D33" s="1405"/>
      <c r="E33" s="1411"/>
      <c r="F33" s="520"/>
      <c r="G33" s="1349"/>
      <c r="H33" s="1349"/>
      <c r="I33" s="1349"/>
      <c r="J33" s="1349"/>
      <c r="K33" s="1349"/>
      <c r="L33" s="1349"/>
      <c r="M33" s="1349"/>
      <c r="N33" s="1349"/>
      <c r="O33" s="1349"/>
      <c r="P33" s="1349"/>
      <c r="Q33" s="1349"/>
      <c r="R33" s="1349"/>
      <c r="S33" s="1349"/>
      <c r="T33" s="1349"/>
      <c r="U33" s="1349"/>
      <c r="V33" s="1349"/>
      <c r="W33" s="1349"/>
      <c r="X33" s="1349"/>
      <c r="Y33" s="1349"/>
      <c r="Z33" s="1349"/>
    </row>
    <row r="34" spans="1:26" ht="34.049999999999997" customHeight="1" x14ac:dyDescent="0.3">
      <c r="A34" s="1409" t="s">
        <v>3411</v>
      </c>
      <c r="B34" s="1406" t="s">
        <v>3412</v>
      </c>
      <c r="C34" s="1406"/>
      <c r="D34" s="1406"/>
      <c r="E34" s="1412"/>
      <c r="F34" s="520"/>
      <c r="G34" s="1349"/>
      <c r="H34" s="1349"/>
      <c r="I34" s="1349"/>
      <c r="J34" s="1349"/>
      <c r="K34" s="1349"/>
      <c r="L34" s="1349"/>
      <c r="M34" s="1349"/>
      <c r="N34" s="1349"/>
      <c r="O34" s="1349"/>
      <c r="P34" s="1349"/>
      <c r="Q34" s="1349"/>
      <c r="R34" s="1349"/>
      <c r="S34" s="1349"/>
      <c r="T34" s="1349"/>
      <c r="U34" s="1349"/>
      <c r="V34" s="1349"/>
      <c r="W34" s="1349"/>
      <c r="X34" s="1349"/>
      <c r="Y34" s="1349"/>
      <c r="Z34" s="1349"/>
    </row>
    <row r="35" spans="1:26" ht="34.049999999999997" customHeight="1" x14ac:dyDescent="0.3">
      <c r="A35" s="1409" t="s">
        <v>3413</v>
      </c>
      <c r="B35" s="1406" t="s">
        <v>3414</v>
      </c>
      <c r="C35" s="1406"/>
      <c r="D35" s="1406"/>
      <c r="E35" s="1412"/>
      <c r="F35" s="520"/>
      <c r="G35" s="1349"/>
      <c r="H35" s="1349"/>
      <c r="I35" s="1349"/>
      <c r="J35" s="1349"/>
      <c r="K35" s="1349"/>
      <c r="L35" s="1349"/>
      <c r="M35" s="1349"/>
      <c r="N35" s="1349"/>
      <c r="O35" s="1349"/>
      <c r="P35" s="1349"/>
      <c r="Q35" s="1349"/>
      <c r="R35" s="1349"/>
      <c r="S35" s="1349"/>
      <c r="T35" s="1349"/>
      <c r="U35" s="1349"/>
      <c r="V35" s="1349"/>
      <c r="W35" s="1349"/>
      <c r="X35" s="1349"/>
      <c r="Y35" s="1349"/>
      <c r="Z35" s="1349"/>
    </row>
    <row r="36" spans="1:26" ht="34.049999999999997" customHeight="1" x14ac:dyDescent="0.3">
      <c r="A36" s="1409" t="s">
        <v>3415</v>
      </c>
      <c r="B36" s="1406" t="s">
        <v>3416</v>
      </c>
      <c r="C36" s="1406"/>
      <c r="D36" s="1406"/>
      <c r="E36" s="1412"/>
      <c r="F36" s="520"/>
      <c r="G36" s="1349"/>
      <c r="H36" s="1349"/>
      <c r="I36" s="1349"/>
      <c r="J36" s="1349"/>
      <c r="K36" s="1349"/>
      <c r="L36" s="1349"/>
      <c r="M36" s="1349"/>
      <c r="N36" s="1349"/>
      <c r="O36" s="1349"/>
      <c r="P36" s="1349"/>
      <c r="Q36" s="1349"/>
      <c r="R36" s="1349"/>
      <c r="S36" s="1349"/>
      <c r="T36" s="1349"/>
      <c r="U36" s="1349"/>
      <c r="V36" s="1349"/>
      <c r="W36" s="1349"/>
      <c r="X36" s="1349"/>
      <c r="Y36" s="1349"/>
      <c r="Z36" s="1349"/>
    </row>
    <row r="37" spans="1:26" ht="34.049999999999997" customHeight="1" x14ac:dyDescent="0.3">
      <c r="A37" s="1410" t="s">
        <v>3417</v>
      </c>
      <c r="B37" s="1407" t="s">
        <v>3418</v>
      </c>
      <c r="C37" s="1407"/>
      <c r="D37" s="1407"/>
      <c r="E37" s="1413"/>
      <c r="F37" s="520"/>
      <c r="G37" s="1349"/>
      <c r="H37" s="1349"/>
      <c r="I37" s="1349"/>
      <c r="J37" s="1349"/>
      <c r="K37" s="1349"/>
      <c r="L37" s="1349"/>
      <c r="M37" s="1349"/>
      <c r="N37" s="1349"/>
      <c r="O37" s="1349"/>
      <c r="P37" s="1349"/>
      <c r="Q37" s="1349"/>
      <c r="R37" s="1349"/>
      <c r="S37" s="1349"/>
      <c r="T37" s="1349"/>
      <c r="U37" s="1349"/>
      <c r="V37" s="1349"/>
      <c r="W37" s="1349"/>
      <c r="X37" s="1349"/>
      <c r="Y37" s="1349"/>
      <c r="Z37" s="1349"/>
    </row>
    <row r="38" spans="1:26" ht="34.049999999999997" customHeight="1" x14ac:dyDescent="0.3">
      <c r="A38" s="520"/>
      <c r="B38" s="520"/>
      <c r="C38" s="520"/>
      <c r="D38" s="520"/>
      <c r="E38" s="520"/>
      <c r="F38" s="520"/>
      <c r="G38" s="1349"/>
      <c r="H38" s="1349"/>
      <c r="I38" s="1349"/>
      <c r="J38" s="1349"/>
      <c r="K38" s="1349"/>
      <c r="L38" s="1349"/>
      <c r="M38" s="1349"/>
      <c r="N38" s="1349"/>
      <c r="O38" s="1349"/>
      <c r="P38" s="1349"/>
      <c r="Q38" s="1349"/>
      <c r="R38" s="1349"/>
      <c r="S38" s="1349"/>
      <c r="T38" s="1349"/>
      <c r="U38" s="1349"/>
      <c r="V38" s="1349"/>
      <c r="W38" s="1349"/>
      <c r="X38" s="1349"/>
      <c r="Y38" s="1349"/>
      <c r="Z38" s="1349"/>
    </row>
    <row r="39" spans="1:26" ht="34.049999999999997" customHeight="1" x14ac:dyDescent="0.3">
      <c r="A39" s="1358" t="s">
        <v>3419</v>
      </c>
      <c r="B39" s="1358"/>
      <c r="C39" s="1358"/>
      <c r="D39" s="1358"/>
      <c r="E39" s="1358"/>
      <c r="F39" s="520"/>
      <c r="G39" s="1349"/>
      <c r="H39" s="1349"/>
      <c r="I39" s="1349"/>
      <c r="J39" s="1349"/>
      <c r="K39" s="1349"/>
      <c r="L39" s="1349"/>
      <c r="M39" s="1349"/>
      <c r="N39" s="1349"/>
      <c r="O39" s="1349"/>
      <c r="P39" s="1349"/>
      <c r="Q39" s="1349"/>
      <c r="R39" s="1349"/>
      <c r="S39" s="1349"/>
      <c r="T39" s="1349"/>
      <c r="U39" s="1349"/>
      <c r="V39" s="1349"/>
      <c r="W39" s="1349"/>
      <c r="X39" s="1349"/>
      <c r="Y39" s="1349"/>
      <c r="Z39" s="1349"/>
    </row>
    <row r="40" spans="1:26" ht="34.049999999999997" customHeight="1" x14ac:dyDescent="0.3">
      <c r="A40" s="1417" t="s">
        <v>2342</v>
      </c>
      <c r="B40" s="1414" t="s">
        <v>3420</v>
      </c>
      <c r="C40" s="1414"/>
      <c r="D40" s="1414"/>
      <c r="E40" s="1421"/>
      <c r="F40" s="520"/>
      <c r="G40" s="1349"/>
      <c r="H40" s="1349"/>
      <c r="I40" s="1349"/>
      <c r="J40" s="1349"/>
      <c r="K40" s="1349"/>
      <c r="L40" s="1349"/>
      <c r="M40" s="1349"/>
      <c r="N40" s="1349"/>
      <c r="O40" s="1349"/>
      <c r="P40" s="1349"/>
      <c r="Q40" s="1349"/>
      <c r="R40" s="1349"/>
      <c r="S40" s="1349"/>
      <c r="T40" s="1349"/>
      <c r="U40" s="1349"/>
      <c r="V40" s="1349"/>
      <c r="W40" s="1349"/>
      <c r="X40" s="1349"/>
      <c r="Y40" s="1349"/>
      <c r="Z40" s="1349"/>
    </row>
    <row r="41" spans="1:26" ht="25.95" customHeight="1" x14ac:dyDescent="0.3">
      <c r="A41" s="1418" t="s">
        <v>2343</v>
      </c>
      <c r="B41" s="1359" t="s">
        <v>3421</v>
      </c>
      <c r="C41" s="1359"/>
      <c r="D41" s="1359"/>
      <c r="E41" s="1422"/>
      <c r="F41" s="520"/>
      <c r="G41" s="1349"/>
      <c r="H41" s="1349"/>
      <c r="I41" s="1349"/>
      <c r="J41" s="1349"/>
      <c r="K41" s="1349"/>
      <c r="L41" s="1349"/>
      <c r="M41" s="1349"/>
      <c r="N41" s="1349"/>
      <c r="O41" s="1349"/>
      <c r="P41" s="1349"/>
      <c r="Q41" s="1349"/>
      <c r="R41" s="1349"/>
      <c r="S41" s="1349"/>
      <c r="T41" s="1349"/>
      <c r="U41" s="1349"/>
      <c r="V41" s="1349"/>
      <c r="W41" s="1349"/>
      <c r="X41" s="1349"/>
      <c r="Y41" s="1349"/>
      <c r="Z41" s="1349"/>
    </row>
    <row r="42" spans="1:26" ht="25.95" customHeight="1" x14ac:dyDescent="0.3">
      <c r="A42" s="1419" t="s">
        <v>2344</v>
      </c>
      <c r="B42" s="1415" t="s">
        <v>3422</v>
      </c>
      <c r="C42" s="1415"/>
      <c r="D42" s="1415"/>
      <c r="E42" s="1423"/>
      <c r="F42" s="520"/>
      <c r="G42" s="1349"/>
      <c r="H42" s="1349"/>
      <c r="I42" s="1349"/>
      <c r="J42" s="1349"/>
      <c r="K42" s="1349"/>
      <c r="L42" s="1349"/>
      <c r="M42" s="1349"/>
      <c r="N42" s="1349"/>
      <c r="O42" s="1349"/>
      <c r="P42" s="1349"/>
      <c r="Q42" s="1349"/>
      <c r="R42" s="1349"/>
      <c r="S42" s="1349"/>
      <c r="T42" s="1349"/>
      <c r="U42" s="1349"/>
      <c r="V42" s="1349"/>
      <c r="W42" s="1349"/>
      <c r="X42" s="1349"/>
      <c r="Y42" s="1349"/>
      <c r="Z42" s="1349"/>
    </row>
    <row r="43" spans="1:26" ht="25.95" customHeight="1" x14ac:dyDescent="0.3">
      <c r="A43" s="1418" t="s">
        <v>2345</v>
      </c>
      <c r="B43" s="1359" t="s">
        <v>3423</v>
      </c>
      <c r="C43" s="1359"/>
      <c r="D43" s="1359"/>
      <c r="E43" s="1422"/>
      <c r="F43" s="520"/>
      <c r="G43" s="1349"/>
      <c r="H43" s="1349"/>
      <c r="I43" s="1349"/>
      <c r="J43" s="1349"/>
      <c r="K43" s="1349"/>
      <c r="L43" s="1349"/>
      <c r="M43" s="1349"/>
      <c r="N43" s="1349"/>
      <c r="O43" s="1349"/>
      <c r="P43" s="1349"/>
      <c r="Q43" s="1349"/>
      <c r="R43" s="1349"/>
      <c r="S43" s="1349"/>
      <c r="T43" s="1349"/>
      <c r="U43" s="1349"/>
      <c r="V43" s="1349"/>
      <c r="W43" s="1349"/>
      <c r="X43" s="1349"/>
      <c r="Y43" s="1349"/>
      <c r="Z43" s="1349"/>
    </row>
    <row r="44" spans="1:26" ht="25.95" customHeight="1" x14ac:dyDescent="0.3">
      <c r="A44" s="1419" t="s">
        <v>2346</v>
      </c>
      <c r="B44" s="1415" t="s">
        <v>3424</v>
      </c>
      <c r="C44" s="1415"/>
      <c r="D44" s="1415"/>
      <c r="E44" s="1423"/>
      <c r="F44" s="520"/>
      <c r="G44" s="1349"/>
      <c r="H44" s="1349"/>
      <c r="I44" s="1349"/>
      <c r="J44" s="1349"/>
      <c r="K44" s="1349"/>
      <c r="L44" s="1349"/>
      <c r="M44" s="1349"/>
      <c r="N44" s="1349"/>
      <c r="O44" s="1349"/>
      <c r="P44" s="1349"/>
      <c r="Q44" s="1349"/>
      <c r="R44" s="1349"/>
      <c r="S44" s="1349"/>
      <c r="T44" s="1349"/>
      <c r="U44" s="1349"/>
      <c r="V44" s="1349"/>
      <c r="W44" s="1349"/>
      <c r="X44" s="1349"/>
      <c r="Y44" s="1349"/>
      <c r="Z44" s="1349"/>
    </row>
    <row r="45" spans="1:26" ht="25.95" customHeight="1" x14ac:dyDescent="0.3">
      <c r="A45" s="1418" t="s">
        <v>3425</v>
      </c>
      <c r="B45" s="1359" t="s">
        <v>3426</v>
      </c>
      <c r="C45" s="1359"/>
      <c r="D45" s="1359"/>
      <c r="E45" s="1422"/>
      <c r="F45" s="520"/>
      <c r="G45" s="1349"/>
      <c r="H45" s="1349"/>
      <c r="I45" s="1349"/>
      <c r="J45" s="1349"/>
      <c r="K45" s="1349"/>
      <c r="L45" s="1349"/>
      <c r="M45" s="1349"/>
      <c r="N45" s="1349"/>
      <c r="O45" s="1349"/>
      <c r="P45" s="1349"/>
      <c r="Q45" s="1349"/>
      <c r="R45" s="1349"/>
      <c r="S45" s="1349"/>
      <c r="T45" s="1349"/>
      <c r="U45" s="1349"/>
      <c r="V45" s="1349"/>
      <c r="W45" s="1349"/>
      <c r="X45" s="1349"/>
      <c r="Y45" s="1349"/>
      <c r="Z45" s="1349"/>
    </row>
    <row r="46" spans="1:26" ht="25.95" customHeight="1" x14ac:dyDescent="0.3">
      <c r="A46" s="1420" t="s">
        <v>3427</v>
      </c>
      <c r="B46" s="1416" t="s">
        <v>3428</v>
      </c>
      <c r="C46" s="1416"/>
      <c r="D46" s="1416"/>
      <c r="E46" s="1424"/>
      <c r="F46" s="520"/>
      <c r="G46" s="1349"/>
      <c r="H46" s="1349"/>
      <c r="I46" s="1349"/>
      <c r="J46" s="1349"/>
      <c r="K46" s="1349"/>
      <c r="L46" s="1349"/>
      <c r="M46" s="1349"/>
      <c r="N46" s="1349"/>
      <c r="O46" s="1349"/>
      <c r="P46" s="1349"/>
      <c r="Q46" s="1349"/>
      <c r="R46" s="1349"/>
      <c r="S46" s="1349"/>
      <c r="T46" s="1349"/>
      <c r="U46" s="1349"/>
      <c r="V46" s="1349"/>
      <c r="W46" s="1349"/>
      <c r="X46" s="1349"/>
      <c r="Y46" s="1349"/>
      <c r="Z46" s="1349"/>
    </row>
    <row r="47" spans="1:26" ht="25.95" customHeight="1" x14ac:dyDescent="0.3">
      <c r="A47" s="520"/>
      <c r="B47" s="520"/>
      <c r="C47" s="520"/>
      <c r="D47" s="520"/>
      <c r="E47" s="520"/>
      <c r="F47" s="520"/>
      <c r="G47" s="1349"/>
      <c r="H47" s="1349"/>
      <c r="I47" s="1349"/>
      <c r="J47" s="1349"/>
      <c r="K47" s="1349"/>
      <c r="L47" s="1349"/>
      <c r="M47" s="1349"/>
      <c r="N47" s="1349"/>
      <c r="O47" s="1349"/>
      <c r="P47" s="1349"/>
      <c r="Q47" s="1349"/>
      <c r="R47" s="1349"/>
      <c r="S47" s="1349"/>
      <c r="T47" s="1349"/>
      <c r="U47" s="1349"/>
      <c r="V47" s="1349"/>
      <c r="W47" s="1349"/>
      <c r="X47" s="1349"/>
      <c r="Y47" s="1349"/>
      <c r="Z47" s="1349"/>
    </row>
    <row r="48" spans="1:26" ht="25.95" customHeight="1" x14ac:dyDescent="0.3">
      <c r="A48" s="520"/>
      <c r="B48" s="520"/>
      <c r="C48" s="520"/>
      <c r="D48" s="520"/>
      <c r="E48" s="520"/>
      <c r="F48" s="520"/>
      <c r="G48" s="1349"/>
      <c r="H48" s="1349"/>
      <c r="I48" s="1349"/>
      <c r="J48" s="1349"/>
      <c r="K48" s="1349"/>
      <c r="L48" s="1349"/>
      <c r="M48" s="1349"/>
      <c r="N48" s="1349"/>
      <c r="O48" s="1349"/>
      <c r="P48" s="1349"/>
      <c r="Q48" s="1349"/>
      <c r="R48" s="1349"/>
      <c r="S48" s="1349"/>
      <c r="T48" s="1349"/>
      <c r="U48" s="1349"/>
      <c r="V48" s="1349"/>
      <c r="W48" s="1349"/>
      <c r="X48" s="1349"/>
      <c r="Y48" s="1349"/>
      <c r="Z48" s="1349"/>
    </row>
    <row r="49" spans="1:26" x14ac:dyDescent="0.3">
      <c r="A49" s="3949" t="s">
        <v>3429</v>
      </c>
      <c r="B49" s="3949"/>
      <c r="C49" s="3949"/>
      <c r="D49" s="3949"/>
      <c r="E49" s="3949"/>
      <c r="F49" s="3949"/>
      <c r="G49" s="4154"/>
      <c r="H49" s="4154"/>
      <c r="I49" s="4154"/>
      <c r="J49" s="4154"/>
      <c r="K49" s="4154"/>
      <c r="L49" s="4154"/>
      <c r="M49" s="4154"/>
      <c r="N49" s="4154"/>
      <c r="O49" s="4154"/>
      <c r="P49" s="4154"/>
      <c r="Q49" s="4154"/>
      <c r="R49" s="4154"/>
      <c r="S49" s="4154"/>
      <c r="T49" s="4154"/>
      <c r="U49" s="4154"/>
      <c r="V49" s="4154"/>
      <c r="W49" s="4154"/>
      <c r="X49" s="4154"/>
      <c r="Y49" s="4154"/>
      <c r="Z49" s="4154"/>
    </row>
    <row r="50" spans="1:26" ht="27.6" x14ac:dyDescent="0.3">
      <c r="A50" s="520" t="s">
        <v>3430</v>
      </c>
      <c r="B50" s="520" t="s">
        <v>83</v>
      </c>
      <c r="C50" s="520" t="s">
        <v>3431</v>
      </c>
      <c r="D50" s="520" t="s">
        <v>3432</v>
      </c>
      <c r="E50" s="520" t="s">
        <v>3433</v>
      </c>
      <c r="F50" s="520"/>
      <c r="G50" s="1349"/>
      <c r="H50" s="1349"/>
      <c r="I50" s="1349"/>
      <c r="J50" s="1349"/>
      <c r="K50" s="1349"/>
      <c r="L50" s="1349"/>
      <c r="M50" s="1349"/>
      <c r="N50" s="1349"/>
      <c r="O50" s="1349"/>
      <c r="P50" s="1349"/>
      <c r="Q50" s="1349"/>
      <c r="R50" s="1349"/>
      <c r="S50" s="1349"/>
      <c r="T50" s="1349"/>
      <c r="U50" s="1349"/>
      <c r="V50" s="1349"/>
      <c r="W50" s="1349"/>
      <c r="X50" s="1349"/>
      <c r="Y50" s="1349"/>
      <c r="Z50" s="1349"/>
    </row>
    <row r="51" spans="1:26" ht="41.4" x14ac:dyDescent="0.3">
      <c r="A51" s="1343" t="s">
        <v>3434</v>
      </c>
      <c r="B51" s="1343" t="s">
        <v>819</v>
      </c>
      <c r="C51" s="1343" t="s">
        <v>820</v>
      </c>
      <c r="D51" s="1343" t="s">
        <v>821</v>
      </c>
      <c r="E51" s="1343" t="s">
        <v>3435</v>
      </c>
      <c r="F51" s="520"/>
      <c r="G51" s="1349"/>
      <c r="H51" s="1349"/>
      <c r="I51" s="1349"/>
      <c r="J51" s="1349"/>
      <c r="K51" s="1349"/>
      <c r="L51" s="1349"/>
      <c r="M51" s="1349"/>
      <c r="N51" s="1349"/>
      <c r="O51" s="1349"/>
      <c r="P51" s="1349"/>
      <c r="Q51" s="1349"/>
      <c r="R51" s="1349"/>
      <c r="S51" s="1349"/>
      <c r="T51" s="1349"/>
      <c r="U51" s="1349"/>
      <c r="V51" s="1349"/>
      <c r="W51" s="1349"/>
      <c r="X51" s="1349"/>
      <c r="Y51" s="1349"/>
      <c r="Z51" s="1349"/>
    </row>
    <row r="52" spans="1:26" ht="25.95" customHeight="1" x14ac:dyDescent="0.3">
      <c r="A52" s="1379" t="s">
        <v>3436</v>
      </c>
      <c r="B52" s="1276" t="s">
        <v>99</v>
      </c>
      <c r="C52" s="1276" t="s">
        <v>837</v>
      </c>
      <c r="D52" s="1276" t="s">
        <v>838</v>
      </c>
      <c r="E52" s="1279" t="s">
        <v>3437</v>
      </c>
      <c r="F52" s="520"/>
      <c r="G52" s="1349"/>
      <c r="H52" s="1349"/>
      <c r="I52" s="1349"/>
      <c r="J52" s="1349"/>
      <c r="K52" s="1349"/>
      <c r="L52" s="1349"/>
      <c r="M52" s="1349"/>
      <c r="N52" s="1349"/>
      <c r="O52" s="1349"/>
      <c r="P52" s="1349"/>
      <c r="Q52" s="1349"/>
      <c r="R52" s="1349"/>
      <c r="S52" s="1349"/>
      <c r="T52" s="1349"/>
      <c r="U52" s="1349"/>
      <c r="V52" s="1349"/>
      <c r="W52" s="1349"/>
      <c r="X52" s="1349"/>
      <c r="Y52" s="1349"/>
      <c r="Z52" s="1349"/>
    </row>
    <row r="53" spans="1:26" ht="25.95" customHeight="1" x14ac:dyDescent="0.3">
      <c r="A53" s="1429" t="s">
        <v>2153</v>
      </c>
      <c r="B53" s="1351" t="s">
        <v>2153</v>
      </c>
      <c r="C53" s="1351" t="s">
        <v>849</v>
      </c>
      <c r="D53" s="1351" t="s">
        <v>850</v>
      </c>
      <c r="E53" s="1381" t="s">
        <v>3438</v>
      </c>
      <c r="F53" s="520"/>
      <c r="G53" s="1349"/>
      <c r="H53" s="1349"/>
      <c r="I53" s="1349"/>
      <c r="J53" s="1349"/>
      <c r="K53" s="1349"/>
      <c r="L53" s="1349"/>
      <c r="M53" s="1349"/>
      <c r="N53" s="1349"/>
      <c r="O53" s="1349"/>
      <c r="P53" s="1349"/>
      <c r="Q53" s="1349"/>
      <c r="R53" s="1349"/>
      <c r="S53" s="1349"/>
      <c r="T53" s="1349"/>
      <c r="U53" s="1349"/>
      <c r="V53" s="1349"/>
      <c r="W53" s="1349"/>
      <c r="X53" s="1349"/>
      <c r="Y53" s="1349"/>
      <c r="Z53" s="1349"/>
    </row>
    <row r="54" spans="1:26" ht="25.95" customHeight="1" x14ac:dyDescent="0.3">
      <c r="A54" s="1430" t="s">
        <v>704</v>
      </c>
      <c r="B54" s="1353" t="s">
        <v>89</v>
      </c>
      <c r="C54" s="1353" t="s">
        <v>811</v>
      </c>
      <c r="D54" s="1353" t="s">
        <v>812</v>
      </c>
      <c r="E54" s="1382" t="s">
        <v>3439</v>
      </c>
      <c r="F54" s="520"/>
      <c r="G54" s="1349"/>
      <c r="H54" s="1349"/>
      <c r="I54" s="1349"/>
      <c r="J54" s="1349"/>
      <c r="K54" s="1349"/>
      <c r="L54" s="1349"/>
      <c r="M54" s="1349"/>
      <c r="N54" s="1349"/>
      <c r="O54" s="1349"/>
      <c r="P54" s="1349"/>
      <c r="Q54" s="1349"/>
      <c r="R54" s="1349"/>
      <c r="S54" s="1349"/>
      <c r="T54" s="1349"/>
      <c r="U54" s="1349"/>
      <c r="V54" s="1349"/>
      <c r="W54" s="1349"/>
      <c r="X54" s="1349"/>
      <c r="Y54" s="1349"/>
      <c r="Z54" s="1349"/>
    </row>
    <row r="55" spans="1:26" ht="25.95" customHeight="1" x14ac:dyDescent="0.3">
      <c r="A55" s="1429" t="s">
        <v>3440</v>
      </c>
      <c r="B55" s="1351" t="s">
        <v>87</v>
      </c>
      <c r="C55" s="1351" t="s">
        <v>824</v>
      </c>
      <c r="D55" s="1351" t="s">
        <v>825</v>
      </c>
      <c r="E55" s="1381" t="s">
        <v>3441</v>
      </c>
      <c r="F55" s="520"/>
      <c r="G55" s="1349"/>
      <c r="H55" s="1349"/>
      <c r="I55" s="1349"/>
      <c r="J55" s="1349"/>
      <c r="K55" s="1349"/>
      <c r="L55" s="1349"/>
      <c r="M55" s="1349"/>
      <c r="N55" s="1349"/>
      <c r="O55" s="1349"/>
      <c r="P55" s="1349"/>
      <c r="Q55" s="1349"/>
      <c r="R55" s="1349"/>
      <c r="S55" s="1349"/>
      <c r="T55" s="1349"/>
      <c r="U55" s="1349"/>
      <c r="V55" s="1349"/>
      <c r="W55" s="1349"/>
      <c r="X55" s="1349"/>
      <c r="Y55" s="1349"/>
      <c r="Z55" s="1349"/>
    </row>
    <row r="56" spans="1:26" ht="25.95" customHeight="1" x14ac:dyDescent="0.3">
      <c r="A56" s="1430" t="s">
        <v>134</v>
      </c>
      <c r="B56" s="1353" t="s">
        <v>819</v>
      </c>
      <c r="C56" s="1353" t="s">
        <v>820</v>
      </c>
      <c r="D56" s="1353" t="s">
        <v>821</v>
      </c>
      <c r="E56" s="1382" t="s">
        <v>3442</v>
      </c>
      <c r="F56" s="520"/>
      <c r="G56" s="1349"/>
      <c r="H56" s="1349"/>
      <c r="I56" s="1349"/>
      <c r="J56" s="1349"/>
      <c r="K56" s="1349"/>
      <c r="L56" s="1349"/>
      <c r="M56" s="1349"/>
      <c r="N56" s="1349"/>
      <c r="O56" s="1349"/>
      <c r="P56" s="1349"/>
      <c r="Q56" s="1349"/>
      <c r="R56" s="1349"/>
      <c r="S56" s="1349"/>
      <c r="T56" s="1349"/>
      <c r="U56" s="1349"/>
      <c r="V56" s="1349"/>
      <c r="W56" s="1349"/>
      <c r="X56" s="1349"/>
      <c r="Y56" s="1349"/>
      <c r="Z56" s="1349"/>
    </row>
    <row r="57" spans="1:26" ht="25.95" customHeight="1" x14ac:dyDescent="0.3">
      <c r="A57" s="1429" t="s">
        <v>3443</v>
      </c>
      <c r="B57" s="1351" t="s">
        <v>99</v>
      </c>
      <c r="C57" s="1351" t="s">
        <v>837</v>
      </c>
      <c r="D57" s="1351" t="s">
        <v>838</v>
      </c>
      <c r="E57" s="1381" t="s">
        <v>3444</v>
      </c>
      <c r="F57" s="520"/>
      <c r="G57" s="1349"/>
      <c r="H57" s="1349"/>
      <c r="I57" s="1349"/>
      <c r="J57" s="1349"/>
      <c r="K57" s="1349"/>
      <c r="L57" s="1349"/>
      <c r="M57" s="1349"/>
      <c r="N57" s="1349"/>
      <c r="O57" s="1349"/>
      <c r="P57" s="1349"/>
      <c r="Q57" s="1349"/>
      <c r="R57" s="1349"/>
      <c r="S57" s="1349"/>
      <c r="T57" s="1349"/>
      <c r="U57" s="1349"/>
      <c r="V57" s="1349"/>
      <c r="W57" s="1349"/>
      <c r="X57" s="1349"/>
      <c r="Y57" s="1349"/>
      <c r="Z57" s="1349"/>
    </row>
    <row r="58" spans="1:26" ht="25.95" customHeight="1" x14ac:dyDescent="0.3">
      <c r="A58" s="1430" t="s">
        <v>2335</v>
      </c>
      <c r="B58" s="1353" t="s">
        <v>839</v>
      </c>
      <c r="C58" s="1353" t="s">
        <v>841</v>
      </c>
      <c r="D58" s="1353" t="s">
        <v>842</v>
      </c>
      <c r="E58" s="1382" t="s">
        <v>3445</v>
      </c>
      <c r="F58" s="520"/>
      <c r="G58" s="1349"/>
      <c r="H58" s="1349"/>
      <c r="I58" s="1349"/>
      <c r="J58" s="1349"/>
      <c r="K58" s="1349"/>
      <c r="L58" s="1349"/>
      <c r="M58" s="1349"/>
      <c r="N58" s="1349"/>
      <c r="O58" s="1349"/>
      <c r="P58" s="1349"/>
      <c r="Q58" s="1349"/>
      <c r="R58" s="1349"/>
      <c r="S58" s="1349"/>
      <c r="T58" s="1349"/>
      <c r="U58" s="1349"/>
      <c r="V58" s="1349"/>
      <c r="W58" s="1349"/>
      <c r="X58" s="1349"/>
      <c r="Y58" s="1349"/>
      <c r="Z58" s="1349"/>
    </row>
    <row r="59" spans="1:26" ht="25.95" customHeight="1" x14ac:dyDescent="0.3">
      <c r="A59" s="1431" t="s">
        <v>707</v>
      </c>
      <c r="B59" s="1425" t="s">
        <v>94</v>
      </c>
      <c r="C59" s="1425" t="s">
        <v>816</v>
      </c>
      <c r="D59" s="1425" t="s">
        <v>817</v>
      </c>
      <c r="E59" s="1435" t="s">
        <v>3446</v>
      </c>
      <c r="F59" s="520"/>
      <c r="G59" s="1349"/>
      <c r="H59" s="1349"/>
      <c r="I59" s="1349"/>
      <c r="J59" s="1349"/>
      <c r="K59" s="1349"/>
      <c r="L59" s="1349"/>
      <c r="M59" s="1349"/>
      <c r="N59" s="1349"/>
      <c r="O59" s="1349"/>
      <c r="P59" s="1349"/>
      <c r="Q59" s="1349"/>
      <c r="R59" s="1349"/>
      <c r="S59" s="1349"/>
      <c r="T59" s="1349"/>
      <c r="U59" s="1349"/>
      <c r="V59" s="1349"/>
      <c r="W59" s="1349"/>
      <c r="X59" s="1349"/>
      <c r="Y59" s="1349"/>
      <c r="Z59" s="1349"/>
    </row>
    <row r="60" spans="1:26" ht="25.95" customHeight="1" x14ac:dyDescent="0.3">
      <c r="A60" s="1432" t="s">
        <v>3447</v>
      </c>
      <c r="B60" s="1426" t="s">
        <v>832</v>
      </c>
      <c r="C60" s="1426" t="s">
        <v>835</v>
      </c>
      <c r="D60" s="1426" t="s">
        <v>836</v>
      </c>
      <c r="E60" s="1436" t="s">
        <v>3448</v>
      </c>
      <c r="F60" s="520"/>
      <c r="G60" s="1349"/>
      <c r="H60" s="1349"/>
      <c r="I60" s="1349"/>
      <c r="J60" s="1349"/>
      <c r="K60" s="1349"/>
      <c r="L60" s="1349"/>
      <c r="M60" s="1349"/>
      <c r="N60" s="1349"/>
      <c r="O60" s="1349"/>
      <c r="P60" s="1349"/>
      <c r="Q60" s="1349"/>
      <c r="R60" s="1349"/>
      <c r="S60" s="1349"/>
      <c r="T60" s="1349"/>
      <c r="U60" s="1349"/>
      <c r="V60" s="1349"/>
      <c r="W60" s="1349"/>
      <c r="X60" s="1349"/>
      <c r="Y60" s="1349"/>
      <c r="Z60" s="1349"/>
    </row>
    <row r="61" spans="1:26" ht="25.95" customHeight="1" x14ac:dyDescent="0.3">
      <c r="A61" s="1429" t="s">
        <v>3449</v>
      </c>
      <c r="B61" s="1351" t="s">
        <v>827</v>
      </c>
      <c r="C61" s="1351" t="s">
        <v>830</v>
      </c>
      <c r="D61" s="1351" t="s">
        <v>831</v>
      </c>
      <c r="E61" s="1381" t="s">
        <v>3450</v>
      </c>
      <c r="F61" s="520"/>
      <c r="G61" s="1349"/>
      <c r="H61" s="1349"/>
      <c r="I61" s="1349"/>
      <c r="J61" s="1349"/>
      <c r="K61" s="1349"/>
      <c r="L61" s="1349"/>
      <c r="M61" s="1349"/>
      <c r="N61" s="1349"/>
      <c r="O61" s="1349"/>
      <c r="P61" s="1349"/>
      <c r="Q61" s="1349"/>
      <c r="R61" s="1349"/>
      <c r="S61" s="1349"/>
      <c r="T61" s="1349"/>
      <c r="U61" s="1349"/>
      <c r="V61" s="1349"/>
      <c r="W61" s="1349"/>
      <c r="X61" s="1349"/>
      <c r="Y61" s="1349"/>
      <c r="Z61" s="1349"/>
    </row>
    <row r="62" spans="1:26" ht="25.95" customHeight="1" x14ac:dyDescent="0.3">
      <c r="A62" s="1430" t="s">
        <v>3451</v>
      </c>
      <c r="B62" s="1353" t="s">
        <v>846</v>
      </c>
      <c r="C62" s="1353" t="s">
        <v>847</v>
      </c>
      <c r="D62" s="1353" t="s">
        <v>848</v>
      </c>
      <c r="E62" s="1382" t="s">
        <v>3452</v>
      </c>
      <c r="F62" s="520"/>
      <c r="G62" s="1349"/>
      <c r="H62" s="1349"/>
      <c r="I62" s="1349"/>
      <c r="J62" s="1349"/>
      <c r="K62" s="1349"/>
      <c r="L62" s="1349"/>
      <c r="M62" s="1349"/>
      <c r="N62" s="1349"/>
      <c r="O62" s="1349"/>
      <c r="P62" s="1349"/>
      <c r="Q62" s="1349"/>
      <c r="R62" s="1349"/>
      <c r="S62" s="1349"/>
      <c r="T62" s="1349"/>
      <c r="U62" s="1349"/>
      <c r="V62" s="1349"/>
      <c r="W62" s="1349"/>
      <c r="X62" s="1349"/>
      <c r="Y62" s="1349"/>
      <c r="Z62" s="1349"/>
    </row>
    <row r="63" spans="1:26" ht="25.95" customHeight="1" x14ac:dyDescent="0.3">
      <c r="A63" s="1429" t="s">
        <v>3453</v>
      </c>
      <c r="B63" s="1351" t="s">
        <v>97</v>
      </c>
      <c r="C63" s="1351" t="s">
        <v>844</v>
      </c>
      <c r="D63" s="1351" t="s">
        <v>845</v>
      </c>
      <c r="E63" s="1381" t="s">
        <v>3454</v>
      </c>
      <c r="F63" s="520"/>
      <c r="G63" s="1349"/>
      <c r="H63" s="1349"/>
      <c r="I63" s="1349"/>
      <c r="J63" s="1349"/>
      <c r="K63" s="1349"/>
      <c r="L63" s="1349"/>
      <c r="M63" s="1349"/>
      <c r="N63" s="1349"/>
      <c r="O63" s="1349"/>
      <c r="P63" s="1349"/>
      <c r="Q63" s="1349"/>
      <c r="R63" s="1349"/>
      <c r="S63" s="1349"/>
      <c r="T63" s="1349"/>
      <c r="U63" s="1349"/>
      <c r="V63" s="1349"/>
      <c r="W63" s="1349"/>
      <c r="X63" s="1349"/>
      <c r="Y63" s="1349"/>
      <c r="Z63" s="1349"/>
    </row>
    <row r="64" spans="1:26" ht="25.95" customHeight="1" x14ac:dyDescent="0.3">
      <c r="A64" s="1433" t="s">
        <v>3455</v>
      </c>
      <c r="B64" s="1427" t="s">
        <v>3456</v>
      </c>
      <c r="C64" s="1427" t="s">
        <v>3457</v>
      </c>
      <c r="D64" s="1427" t="s">
        <v>3458</v>
      </c>
      <c r="E64" s="1437" t="s">
        <v>3459</v>
      </c>
      <c r="F64" s="520"/>
      <c r="G64" s="1349"/>
      <c r="H64" s="1349"/>
      <c r="I64" s="1349"/>
      <c r="J64" s="1349"/>
      <c r="K64" s="1349"/>
      <c r="L64" s="1349"/>
      <c r="M64" s="1349"/>
      <c r="N64" s="1349"/>
      <c r="O64" s="1349"/>
      <c r="P64" s="1349"/>
      <c r="Q64" s="1349"/>
      <c r="R64" s="1349"/>
      <c r="S64" s="1349"/>
      <c r="T64" s="1349"/>
      <c r="U64" s="1349"/>
      <c r="V64" s="1349"/>
      <c r="W64" s="1349"/>
      <c r="X64" s="1349"/>
      <c r="Y64" s="1349"/>
      <c r="Z64" s="1349"/>
    </row>
    <row r="65" spans="1:26" ht="25.95" customHeight="1" x14ac:dyDescent="0.3">
      <c r="A65" s="1434"/>
      <c r="B65" s="1428"/>
      <c r="C65" s="1428"/>
      <c r="D65" s="1428"/>
      <c r="E65" s="1438"/>
      <c r="F65" s="520"/>
      <c r="G65" s="1349"/>
      <c r="H65" s="1349"/>
      <c r="I65" s="1349"/>
      <c r="J65" s="1349"/>
      <c r="K65" s="1349"/>
      <c r="L65" s="1349"/>
      <c r="M65" s="1349"/>
      <c r="N65" s="1349"/>
      <c r="O65" s="1349"/>
      <c r="P65" s="1349"/>
      <c r="Q65" s="1349"/>
      <c r="R65" s="1349"/>
      <c r="S65" s="1349"/>
      <c r="T65" s="1349"/>
      <c r="U65" s="1349"/>
      <c r="V65" s="1349"/>
      <c r="W65" s="1349"/>
      <c r="X65" s="1349"/>
      <c r="Y65" s="1349"/>
      <c r="Z65" s="1349"/>
    </row>
    <row r="66" spans="1:26" x14ac:dyDescent="0.3">
      <c r="A66" s="520"/>
      <c r="B66" s="520"/>
      <c r="C66" s="520"/>
      <c r="D66" s="520"/>
      <c r="E66" s="520"/>
      <c r="F66" s="520"/>
      <c r="G66" s="1349"/>
      <c r="H66" s="1349"/>
      <c r="I66" s="1349"/>
      <c r="J66" s="1349"/>
      <c r="K66" s="1349"/>
      <c r="L66" s="1349"/>
      <c r="M66" s="1349"/>
      <c r="N66" s="1349"/>
      <c r="O66" s="1349"/>
      <c r="P66" s="1349"/>
      <c r="Q66" s="1349"/>
      <c r="R66" s="1349"/>
      <c r="S66" s="1349"/>
      <c r="T66" s="1349"/>
      <c r="U66" s="1349"/>
      <c r="V66" s="1349"/>
      <c r="W66" s="1349"/>
      <c r="X66" s="1349"/>
      <c r="Y66" s="1349"/>
      <c r="Z66" s="1349"/>
    </row>
    <row r="67" spans="1:26" ht="22.05" customHeight="1" x14ac:dyDescent="0.3">
      <c r="A67" s="3949" t="s">
        <v>3460</v>
      </c>
      <c r="B67" s="3949"/>
      <c r="C67" s="3949"/>
      <c r="D67" s="3949"/>
      <c r="E67" s="3949"/>
      <c r="F67" s="3949"/>
      <c r="G67" s="4154"/>
      <c r="H67" s="4154"/>
      <c r="I67" s="4154"/>
      <c r="J67" s="4154"/>
      <c r="K67" s="4154"/>
      <c r="L67" s="4154"/>
      <c r="M67" s="4154"/>
      <c r="N67" s="4154"/>
      <c r="O67" s="4154"/>
      <c r="P67" s="4154"/>
      <c r="Q67" s="4154"/>
      <c r="R67" s="4154"/>
      <c r="S67" s="4154"/>
      <c r="T67" s="4154"/>
      <c r="U67" s="4154"/>
      <c r="V67" s="4154"/>
      <c r="W67" s="4154"/>
      <c r="X67" s="4154"/>
      <c r="Y67" s="4154"/>
      <c r="Z67" s="4154"/>
    </row>
    <row r="68" spans="1:26" ht="28.05" customHeight="1" x14ac:dyDescent="0.3">
      <c r="A68" s="1379" t="s">
        <v>3461</v>
      </c>
      <c r="B68" s="1279" t="s">
        <v>3462</v>
      </c>
      <c r="C68" s="1258"/>
      <c r="D68" s="1258"/>
      <c r="E68" s="1258"/>
      <c r="F68" s="520"/>
      <c r="G68" s="1349"/>
      <c r="H68" s="1349"/>
      <c r="I68" s="1349"/>
      <c r="J68" s="1349"/>
      <c r="K68" s="1349"/>
      <c r="L68" s="1349"/>
      <c r="M68" s="1349"/>
      <c r="N68" s="1349"/>
      <c r="O68" s="1349"/>
      <c r="P68" s="1349"/>
      <c r="Q68" s="1349"/>
      <c r="R68" s="1349"/>
      <c r="S68" s="1349"/>
      <c r="T68" s="1349"/>
      <c r="U68" s="1349"/>
      <c r="V68" s="1349"/>
      <c r="W68" s="1349"/>
      <c r="X68" s="1349"/>
      <c r="Y68" s="1349"/>
      <c r="Z68" s="1349"/>
    </row>
    <row r="69" spans="1:26" ht="34.049999999999997" customHeight="1" x14ac:dyDescent="0.3">
      <c r="A69" s="1439" t="s">
        <v>3463</v>
      </c>
      <c r="B69" s="1381" t="s">
        <v>3464</v>
      </c>
      <c r="C69" s="520"/>
      <c r="D69" s="520"/>
      <c r="E69" s="520"/>
      <c r="F69" s="520"/>
      <c r="G69" s="1349"/>
      <c r="H69" s="1349"/>
      <c r="I69" s="1349"/>
      <c r="J69" s="1349"/>
      <c r="K69" s="1349"/>
      <c r="L69" s="1349"/>
      <c r="M69" s="1349"/>
      <c r="N69" s="1349"/>
      <c r="O69" s="1349"/>
      <c r="P69" s="1349"/>
      <c r="Q69" s="1349"/>
      <c r="R69" s="1349"/>
      <c r="S69" s="1349"/>
      <c r="T69" s="1349"/>
      <c r="U69" s="1349"/>
      <c r="V69" s="1349"/>
      <c r="W69" s="1349"/>
      <c r="X69" s="1349"/>
      <c r="Y69" s="1349"/>
      <c r="Z69" s="1349"/>
    </row>
    <row r="70" spans="1:26" ht="34.049999999999997" customHeight="1" x14ac:dyDescent="0.3">
      <c r="A70" s="1440" t="s">
        <v>3465</v>
      </c>
      <c r="B70" s="1382" t="s">
        <v>3466</v>
      </c>
      <c r="C70" s="520"/>
      <c r="D70" s="520"/>
      <c r="E70" s="520"/>
      <c r="F70" s="520"/>
      <c r="G70" s="1349"/>
      <c r="H70" s="1349"/>
      <c r="I70" s="1349"/>
      <c r="J70" s="1349"/>
      <c r="K70" s="1349"/>
      <c r="L70" s="1349"/>
      <c r="M70" s="1349"/>
      <c r="N70" s="1349"/>
      <c r="O70" s="1349"/>
      <c r="P70" s="1349"/>
      <c r="Q70" s="1349"/>
      <c r="R70" s="1349"/>
      <c r="S70" s="1349"/>
      <c r="T70" s="1349"/>
      <c r="U70" s="1349"/>
      <c r="V70" s="1349"/>
      <c r="W70" s="1349"/>
      <c r="X70" s="1349"/>
      <c r="Y70" s="1349"/>
      <c r="Z70" s="1349"/>
    </row>
    <row r="71" spans="1:26" ht="34.049999999999997" customHeight="1" x14ac:dyDescent="0.3">
      <c r="A71" s="1439" t="s">
        <v>3467</v>
      </c>
      <c r="B71" s="1381" t="s">
        <v>3468</v>
      </c>
      <c r="C71" s="520"/>
      <c r="D71" s="520"/>
      <c r="E71" s="520"/>
      <c r="F71" s="520"/>
      <c r="G71" s="1349"/>
      <c r="H71" s="1349"/>
      <c r="I71" s="1349"/>
      <c r="J71" s="1349"/>
      <c r="K71" s="1349"/>
      <c r="L71" s="1349"/>
      <c r="M71" s="1349"/>
      <c r="N71" s="1349"/>
      <c r="O71" s="1349"/>
      <c r="P71" s="1349"/>
      <c r="Q71" s="1349"/>
      <c r="R71" s="1349"/>
      <c r="S71" s="1349"/>
      <c r="T71" s="1349"/>
      <c r="U71" s="1349"/>
      <c r="V71" s="1349"/>
      <c r="W71" s="1349"/>
      <c r="X71" s="1349"/>
      <c r="Y71" s="1349"/>
      <c r="Z71" s="1349"/>
    </row>
    <row r="72" spans="1:26" ht="34.049999999999997" customHeight="1" x14ac:dyDescent="0.3">
      <c r="A72" s="1440" t="s">
        <v>3469</v>
      </c>
      <c r="B72" s="1382" t="s">
        <v>3470</v>
      </c>
      <c r="C72" s="520"/>
      <c r="D72" s="520"/>
      <c r="E72" s="520"/>
      <c r="F72" s="520"/>
      <c r="G72" s="1349"/>
      <c r="H72" s="1349"/>
      <c r="I72" s="1349"/>
      <c r="J72" s="1349"/>
      <c r="K72" s="1349"/>
      <c r="L72" s="1349"/>
      <c r="M72" s="1349"/>
      <c r="N72" s="1349"/>
      <c r="O72" s="1349"/>
      <c r="P72" s="1349"/>
      <c r="Q72" s="1349"/>
      <c r="R72" s="1349"/>
      <c r="S72" s="1349"/>
      <c r="T72" s="1349"/>
      <c r="U72" s="1349"/>
      <c r="V72" s="1349"/>
      <c r="W72" s="1349"/>
      <c r="X72" s="1349"/>
      <c r="Y72" s="1349"/>
      <c r="Z72" s="1349"/>
    </row>
    <row r="73" spans="1:26" ht="34.049999999999997" customHeight="1" x14ac:dyDescent="0.3">
      <c r="A73" s="1439" t="s">
        <v>3471</v>
      </c>
      <c r="B73" s="1381" t="s">
        <v>3472</v>
      </c>
      <c r="C73" s="520"/>
      <c r="D73" s="520"/>
      <c r="E73" s="520"/>
      <c r="F73" s="520"/>
      <c r="G73" s="1349"/>
      <c r="H73" s="1349"/>
      <c r="I73" s="1349"/>
      <c r="J73" s="1349"/>
      <c r="K73" s="1349"/>
      <c r="L73" s="1349"/>
      <c r="M73" s="1349"/>
      <c r="N73" s="1349"/>
      <c r="O73" s="1349"/>
      <c r="P73" s="1349"/>
      <c r="Q73" s="1349"/>
      <c r="R73" s="1349"/>
      <c r="S73" s="1349"/>
      <c r="T73" s="1349"/>
      <c r="U73" s="1349"/>
      <c r="V73" s="1349"/>
      <c r="W73" s="1349"/>
      <c r="X73" s="1349"/>
      <c r="Y73" s="1349"/>
      <c r="Z73" s="1349"/>
    </row>
    <row r="74" spans="1:26" ht="34.049999999999997" customHeight="1" x14ac:dyDescent="0.3">
      <c r="A74" s="1440" t="s">
        <v>3473</v>
      </c>
      <c r="B74" s="1382" t="s">
        <v>3474</v>
      </c>
      <c r="C74" s="520"/>
      <c r="D74" s="520"/>
      <c r="E74" s="520"/>
      <c r="F74" s="520"/>
      <c r="G74" s="1349"/>
      <c r="H74" s="1349"/>
      <c r="I74" s="1349"/>
      <c r="J74" s="1349"/>
      <c r="K74" s="1349"/>
      <c r="L74" s="1349"/>
      <c r="M74" s="1349"/>
      <c r="N74" s="1349"/>
      <c r="O74" s="1349"/>
      <c r="P74" s="1349"/>
      <c r="Q74" s="1349"/>
      <c r="R74" s="1349"/>
      <c r="S74" s="1349"/>
      <c r="T74" s="1349"/>
      <c r="U74" s="1349"/>
      <c r="V74" s="1349"/>
      <c r="W74" s="1349"/>
      <c r="X74" s="1349"/>
      <c r="Y74" s="1349"/>
      <c r="Z74" s="1349"/>
    </row>
    <row r="75" spans="1:26" ht="34.049999999999997" customHeight="1" x14ac:dyDescent="0.3">
      <c r="A75" s="1439" t="s">
        <v>3475</v>
      </c>
      <c r="B75" s="1381" t="s">
        <v>3476</v>
      </c>
      <c r="C75" s="520"/>
      <c r="D75" s="520"/>
      <c r="E75" s="520"/>
      <c r="F75" s="520"/>
      <c r="G75" s="1349"/>
      <c r="H75" s="1349"/>
      <c r="I75" s="1349"/>
      <c r="J75" s="1349"/>
      <c r="K75" s="1349"/>
      <c r="L75" s="1349"/>
      <c r="M75" s="1349"/>
      <c r="N75" s="1349"/>
      <c r="O75" s="1349"/>
      <c r="P75" s="1349"/>
      <c r="Q75" s="1349"/>
      <c r="R75" s="1349"/>
      <c r="S75" s="1349"/>
      <c r="T75" s="1349"/>
      <c r="U75" s="1349"/>
      <c r="V75" s="1349"/>
      <c r="W75" s="1349"/>
      <c r="X75" s="1349"/>
      <c r="Y75" s="1349"/>
      <c r="Z75" s="1349"/>
    </row>
    <row r="76" spans="1:26" ht="34.049999999999997" customHeight="1" x14ac:dyDescent="0.3">
      <c r="A76" s="1441"/>
      <c r="B76" s="1383"/>
      <c r="C76" s="520"/>
      <c r="D76" s="520"/>
      <c r="E76" s="520"/>
      <c r="F76" s="520"/>
      <c r="G76" s="1349"/>
      <c r="H76" s="1349"/>
      <c r="I76" s="1349"/>
      <c r="J76" s="1349"/>
      <c r="K76" s="1349"/>
      <c r="L76" s="1349"/>
      <c r="M76" s="1349"/>
      <c r="N76" s="1349"/>
      <c r="O76" s="1349"/>
      <c r="P76" s="1349"/>
      <c r="Q76" s="1349"/>
      <c r="R76" s="1349"/>
      <c r="S76" s="1349"/>
      <c r="T76" s="1349"/>
      <c r="U76" s="1349"/>
      <c r="V76" s="1349"/>
      <c r="W76" s="1349"/>
      <c r="X76" s="1349"/>
      <c r="Y76" s="1349"/>
      <c r="Z76" s="1349"/>
    </row>
    <row r="77" spans="1:26" ht="22.05" customHeight="1" x14ac:dyDescent="0.3">
      <c r="A77" s="1360" t="s">
        <v>4560</v>
      </c>
      <c r="B77" s="4171"/>
      <c r="C77" s="4171"/>
      <c r="D77" s="4171"/>
      <c r="E77" s="4171"/>
      <c r="F77" s="4171"/>
      <c r="G77" s="4167"/>
      <c r="H77" s="4167"/>
      <c r="I77" s="4167"/>
      <c r="J77" s="4167"/>
      <c r="K77" s="4167"/>
      <c r="L77" s="4167"/>
      <c r="M77" s="4167"/>
      <c r="N77" s="4167"/>
      <c r="O77" s="4167"/>
      <c r="P77" s="4167"/>
      <c r="Q77" s="4167"/>
      <c r="R77" s="4167"/>
      <c r="S77" s="4167"/>
      <c r="T77" s="4167"/>
      <c r="U77" s="4167"/>
      <c r="V77" s="4167"/>
      <c r="W77" s="4167"/>
      <c r="X77" s="4167"/>
      <c r="Y77" s="4167"/>
      <c r="Z77" s="4167"/>
    </row>
    <row r="78" spans="1:26" ht="13.95" customHeight="1" x14ac:dyDescent="0.3">
      <c r="A78" s="1254" t="s">
        <v>4453</v>
      </c>
      <c r="B78" s="1254" t="s">
        <v>4561</v>
      </c>
      <c r="C78" s="1254" t="s">
        <v>3169</v>
      </c>
      <c r="D78" s="1254"/>
      <c r="E78" s="1254"/>
      <c r="F78" s="1254"/>
      <c r="G78" s="1349"/>
      <c r="H78" s="1349"/>
      <c r="I78" s="1349"/>
      <c r="J78" s="1349"/>
      <c r="K78" s="1349"/>
      <c r="L78" s="1349"/>
      <c r="M78" s="1349"/>
      <c r="N78" s="1349"/>
      <c r="O78" s="1349"/>
      <c r="P78" s="1349"/>
      <c r="Q78" s="1349"/>
      <c r="R78" s="1349"/>
      <c r="S78" s="1349"/>
      <c r="T78" s="1349"/>
      <c r="U78" s="1349"/>
      <c r="V78" s="1349"/>
      <c r="W78" s="1349"/>
      <c r="X78" s="1349"/>
      <c r="Y78" s="1349"/>
      <c r="Z78" s="1349" t="s">
        <v>4448</v>
      </c>
    </row>
    <row r="79" spans="1:26" ht="13.95" customHeight="1" x14ac:dyDescent="0.3">
      <c r="A79" s="1256" t="s">
        <v>4454</v>
      </c>
      <c r="B79" s="1256"/>
      <c r="C79" s="1256"/>
      <c r="D79" s="1256"/>
      <c r="E79" s="1256"/>
      <c r="F79" s="1256"/>
      <c r="G79" s="1349"/>
      <c r="H79" s="1349"/>
      <c r="I79" s="1349"/>
      <c r="J79" s="1349"/>
      <c r="K79" s="1349"/>
      <c r="L79" s="1349"/>
      <c r="M79" s="1349"/>
      <c r="N79" s="1349"/>
      <c r="O79" s="1349"/>
      <c r="P79" s="1349"/>
      <c r="Q79" s="1349"/>
      <c r="R79" s="1349"/>
      <c r="S79" s="1349"/>
      <c r="T79" s="1349"/>
      <c r="U79" s="1349"/>
      <c r="V79" s="1349"/>
      <c r="W79" s="1349"/>
      <c r="X79" s="1349"/>
      <c r="Y79" s="1349"/>
      <c r="Z79" s="1349"/>
    </row>
    <row r="80" spans="1:26" ht="13.95" customHeight="1" x14ac:dyDescent="0.3">
      <c r="A80" s="1256" t="s">
        <v>4248</v>
      </c>
      <c r="B80" s="4166"/>
      <c r="C80" s="4166"/>
      <c r="D80" s="4166"/>
      <c r="E80" s="4166"/>
      <c r="F80" s="4166"/>
      <c r="G80" s="4167"/>
      <c r="H80" s="4167"/>
      <c r="I80" s="4167"/>
      <c r="J80" s="4167"/>
      <c r="K80" s="4167"/>
      <c r="L80" s="4167"/>
      <c r="M80" s="4167"/>
      <c r="N80" s="4167"/>
      <c r="O80" s="4167"/>
      <c r="P80" s="4167"/>
      <c r="Q80" s="4167"/>
      <c r="R80" s="4167"/>
      <c r="S80" s="4167"/>
      <c r="T80" s="4167"/>
      <c r="U80" s="4167"/>
      <c r="V80" s="4167"/>
      <c r="W80" s="4167"/>
      <c r="X80" s="4167"/>
      <c r="Y80" s="4167"/>
      <c r="Z80" s="4167"/>
    </row>
    <row r="81" spans="1:26" ht="22.05" customHeight="1" x14ac:dyDescent="0.3">
      <c r="A81" s="1343" t="s">
        <v>3170</v>
      </c>
      <c r="B81" s="4172"/>
      <c r="C81" s="4172"/>
      <c r="D81" s="4172"/>
      <c r="E81" s="4172"/>
      <c r="F81" s="4172"/>
      <c r="G81" s="4167"/>
      <c r="H81" s="4167"/>
      <c r="I81" s="4167"/>
      <c r="J81" s="4167"/>
      <c r="K81" s="4167"/>
      <c r="L81" s="4167"/>
      <c r="M81" s="4167"/>
      <c r="N81" s="4167"/>
      <c r="O81" s="4167"/>
      <c r="P81" s="4167"/>
      <c r="Q81" s="4167"/>
      <c r="R81" s="4167"/>
      <c r="S81" s="4167"/>
      <c r="T81" s="4167"/>
      <c r="U81" s="4167"/>
      <c r="V81" s="4167"/>
      <c r="W81" s="4167"/>
      <c r="X81" s="4167"/>
      <c r="Y81" s="4167"/>
      <c r="Z81" s="4167"/>
    </row>
    <row r="82" spans="1:26" ht="22.05" customHeight="1" x14ac:dyDescent="0.3">
      <c r="A82" s="1361">
        <v>1</v>
      </c>
      <c r="B82" s="1361" t="s">
        <v>3171</v>
      </c>
      <c r="C82" s="1361" t="s">
        <v>3172</v>
      </c>
      <c r="D82" s="1361" t="s">
        <v>3173</v>
      </c>
      <c r="E82" s="1361" t="s">
        <v>1939</v>
      </c>
      <c r="F82" s="520"/>
      <c r="G82" s="1349"/>
      <c r="H82" s="1349"/>
      <c r="I82" s="1349"/>
      <c r="J82" s="1349"/>
      <c r="K82" s="1349"/>
      <c r="L82" s="1349"/>
      <c r="M82" s="1349"/>
      <c r="N82" s="1349"/>
      <c r="O82" s="1349"/>
      <c r="P82" s="1349"/>
      <c r="Q82" s="1349"/>
      <c r="R82" s="1349"/>
      <c r="S82" s="1349"/>
      <c r="T82" s="1349"/>
      <c r="U82" s="1349"/>
      <c r="V82" s="1349"/>
      <c r="W82" s="1349"/>
      <c r="X82" s="1349"/>
      <c r="Y82" s="1349"/>
      <c r="Z82" s="1349"/>
    </row>
    <row r="83" spans="1:26" ht="28.05" customHeight="1" x14ac:dyDescent="0.3">
      <c r="A83" s="1379">
        <v>2</v>
      </c>
      <c r="B83" s="1276" t="s">
        <v>3174</v>
      </c>
      <c r="C83" s="1276" t="s">
        <v>3175</v>
      </c>
      <c r="D83" s="1276" t="s">
        <v>3176</v>
      </c>
      <c r="E83" s="1279" t="s">
        <v>1939</v>
      </c>
      <c r="F83" s="520"/>
      <c r="G83" s="1349"/>
      <c r="H83" s="1349"/>
      <c r="I83" s="1349"/>
      <c r="J83" s="1349"/>
      <c r="K83" s="1349"/>
      <c r="L83" s="1349"/>
      <c r="M83" s="1349"/>
      <c r="N83" s="1349"/>
      <c r="O83" s="1349"/>
      <c r="P83" s="1349"/>
      <c r="Q83" s="1349"/>
      <c r="R83" s="1349"/>
      <c r="S83" s="1349"/>
      <c r="T83" s="1349"/>
      <c r="U83" s="1349"/>
      <c r="V83" s="1349"/>
      <c r="W83" s="1349"/>
      <c r="X83" s="1349"/>
      <c r="Y83" s="1349"/>
      <c r="Z83" s="1349"/>
    </row>
    <row r="84" spans="1:26" ht="37.950000000000003" customHeight="1" x14ac:dyDescent="0.3">
      <c r="A84" s="1468">
        <v>3</v>
      </c>
      <c r="B84" s="1469" t="s">
        <v>3177</v>
      </c>
      <c r="C84" s="1459" t="s">
        <v>3178</v>
      </c>
      <c r="D84" s="1459" t="s">
        <v>3179</v>
      </c>
      <c r="E84" s="1460" t="s">
        <v>1939</v>
      </c>
      <c r="F84" s="520"/>
      <c r="G84" s="1349"/>
      <c r="H84" s="1349"/>
      <c r="I84" s="1349"/>
      <c r="J84" s="1349"/>
      <c r="K84" s="1349"/>
      <c r="L84" s="1349"/>
      <c r="M84" s="1349"/>
      <c r="N84" s="1349"/>
      <c r="O84" s="1349"/>
      <c r="P84" s="1349"/>
      <c r="Q84" s="1349"/>
      <c r="R84" s="1349"/>
      <c r="S84" s="1349"/>
      <c r="T84" s="1349"/>
      <c r="U84" s="1349"/>
      <c r="V84" s="1349"/>
      <c r="W84" s="1349"/>
      <c r="X84" s="1349"/>
      <c r="Y84" s="1349"/>
      <c r="Z84" s="1349"/>
    </row>
    <row r="85" spans="1:26" ht="37.950000000000003" customHeight="1" x14ac:dyDescent="0.3">
      <c r="A85" s="1470">
        <v>4</v>
      </c>
      <c r="B85" s="1471" t="s">
        <v>3180</v>
      </c>
      <c r="C85" s="1454" t="s">
        <v>3181</v>
      </c>
      <c r="D85" s="1454" t="s">
        <v>3182</v>
      </c>
      <c r="E85" s="1455" t="s">
        <v>1900</v>
      </c>
      <c r="F85" s="520"/>
      <c r="G85" s="1349"/>
      <c r="H85" s="1349"/>
      <c r="I85" s="1349"/>
      <c r="J85" s="1349"/>
      <c r="K85" s="1349"/>
      <c r="L85" s="1349"/>
      <c r="M85" s="1349"/>
      <c r="N85" s="1349"/>
      <c r="O85" s="1349"/>
      <c r="P85" s="1349"/>
      <c r="Q85" s="1349"/>
      <c r="R85" s="1349"/>
      <c r="S85" s="1349"/>
      <c r="T85" s="1349"/>
      <c r="U85" s="1349"/>
      <c r="V85" s="1349"/>
      <c r="W85" s="1349"/>
      <c r="X85" s="1349"/>
      <c r="Y85" s="1349"/>
      <c r="Z85" s="1349"/>
    </row>
    <row r="86" spans="1:26" ht="37.950000000000003" customHeight="1" x14ac:dyDescent="0.3">
      <c r="A86" s="1468">
        <v>5</v>
      </c>
      <c r="B86" s="1469" t="s">
        <v>3183</v>
      </c>
      <c r="C86" s="1459" t="s">
        <v>3184</v>
      </c>
      <c r="D86" s="1459" t="s">
        <v>3185</v>
      </c>
      <c r="E86" s="1460" t="s">
        <v>3186</v>
      </c>
      <c r="F86" s="520"/>
      <c r="G86" s="1349"/>
      <c r="H86" s="1349"/>
      <c r="I86" s="1349"/>
      <c r="J86" s="1349"/>
      <c r="K86" s="1349"/>
      <c r="L86" s="1349"/>
      <c r="M86" s="1349"/>
      <c r="N86" s="1349"/>
      <c r="O86" s="1349"/>
      <c r="P86" s="1349"/>
      <c r="Q86" s="1349"/>
      <c r="R86" s="1349"/>
      <c r="S86" s="1349"/>
      <c r="T86" s="1349"/>
      <c r="U86" s="1349"/>
      <c r="V86" s="1349"/>
      <c r="W86" s="1349"/>
      <c r="X86" s="1349"/>
      <c r="Y86" s="1349"/>
      <c r="Z86" s="1349"/>
    </row>
    <row r="87" spans="1:26" ht="37.950000000000003" customHeight="1" x14ac:dyDescent="0.3">
      <c r="A87" s="1470">
        <v>6</v>
      </c>
      <c r="B87" s="1471" t="s">
        <v>3187</v>
      </c>
      <c r="C87" s="1454" t="s">
        <v>3188</v>
      </c>
      <c r="D87" s="1454" t="s">
        <v>3189</v>
      </c>
      <c r="E87" s="1455" t="s">
        <v>3186</v>
      </c>
      <c r="F87" s="520"/>
      <c r="G87" s="1349"/>
      <c r="H87" s="1349"/>
      <c r="I87" s="1349"/>
      <c r="J87" s="1349"/>
      <c r="K87" s="1349"/>
      <c r="L87" s="1349"/>
      <c r="M87" s="1349"/>
      <c r="N87" s="1349"/>
      <c r="O87" s="1349"/>
      <c r="P87" s="1349"/>
      <c r="Q87" s="1349"/>
      <c r="R87" s="1349"/>
      <c r="S87" s="1349"/>
      <c r="T87" s="1349"/>
      <c r="U87" s="1349"/>
      <c r="V87" s="1349"/>
      <c r="W87" s="1349"/>
      <c r="X87" s="1349"/>
      <c r="Y87" s="1349"/>
      <c r="Z87" s="1349"/>
    </row>
    <row r="88" spans="1:26" ht="37.950000000000003" customHeight="1" x14ac:dyDescent="0.3">
      <c r="A88" s="1468">
        <v>7</v>
      </c>
      <c r="B88" s="1469" t="s">
        <v>3190</v>
      </c>
      <c r="C88" s="1459" t="s">
        <v>3191</v>
      </c>
      <c r="D88" s="1459" t="s">
        <v>3192</v>
      </c>
      <c r="E88" s="1460" t="s">
        <v>1900</v>
      </c>
      <c r="F88" s="520"/>
      <c r="G88" s="1349"/>
      <c r="H88" s="1349"/>
      <c r="I88" s="1349"/>
      <c r="J88" s="1349"/>
      <c r="K88" s="1349"/>
      <c r="L88" s="1349"/>
      <c r="M88" s="1349"/>
      <c r="N88" s="1349"/>
      <c r="O88" s="1349"/>
      <c r="P88" s="1349"/>
      <c r="Q88" s="1349"/>
      <c r="R88" s="1349"/>
      <c r="S88" s="1349"/>
      <c r="T88" s="1349"/>
      <c r="U88" s="1349"/>
      <c r="V88" s="1349"/>
      <c r="W88" s="1349"/>
      <c r="X88" s="1349"/>
      <c r="Y88" s="1349"/>
      <c r="Z88" s="1349"/>
    </row>
    <row r="89" spans="1:26" ht="37.950000000000003" customHeight="1" x14ac:dyDescent="0.3">
      <c r="A89" s="1470">
        <v>8</v>
      </c>
      <c r="B89" s="1471" t="s">
        <v>3193</v>
      </c>
      <c r="C89" s="1454" t="s">
        <v>3194</v>
      </c>
      <c r="D89" s="1454" t="s">
        <v>3195</v>
      </c>
      <c r="E89" s="1455" t="s">
        <v>1900</v>
      </c>
      <c r="F89" s="520"/>
      <c r="G89" s="1349"/>
      <c r="H89" s="1349"/>
      <c r="I89" s="1349"/>
      <c r="J89" s="1349"/>
      <c r="K89" s="1349"/>
      <c r="L89" s="1349"/>
      <c r="M89" s="1349"/>
      <c r="N89" s="1349"/>
      <c r="O89" s="1349"/>
      <c r="P89" s="1349"/>
      <c r="Q89" s="1349"/>
      <c r="R89" s="1349"/>
      <c r="S89" s="1349"/>
      <c r="T89" s="1349"/>
      <c r="U89" s="1349"/>
      <c r="V89" s="1349"/>
      <c r="W89" s="1349"/>
      <c r="X89" s="1349"/>
      <c r="Y89" s="1349"/>
      <c r="Z89" s="1349"/>
    </row>
    <row r="90" spans="1:26" ht="37.950000000000003" customHeight="1" x14ac:dyDescent="0.3">
      <c r="A90" s="1468">
        <v>9</v>
      </c>
      <c r="B90" s="1469" t="s">
        <v>3196</v>
      </c>
      <c r="C90" s="1459" t="s">
        <v>3197</v>
      </c>
      <c r="D90" s="1459" t="s">
        <v>3198</v>
      </c>
      <c r="E90" s="1460" t="s">
        <v>1900</v>
      </c>
      <c r="F90" s="520"/>
      <c r="G90" s="1349"/>
      <c r="H90" s="1349"/>
      <c r="I90" s="1349"/>
      <c r="J90" s="1349"/>
      <c r="K90" s="1349"/>
      <c r="L90" s="1349"/>
      <c r="M90" s="1349"/>
      <c r="N90" s="1349"/>
      <c r="O90" s="1349"/>
      <c r="P90" s="1349"/>
      <c r="Q90" s="1349"/>
      <c r="R90" s="1349"/>
      <c r="S90" s="1349"/>
      <c r="T90" s="1349"/>
      <c r="U90" s="1349"/>
      <c r="V90" s="1349"/>
      <c r="W90" s="1349"/>
      <c r="X90" s="1349"/>
      <c r="Y90" s="1349"/>
      <c r="Z90" s="1349"/>
    </row>
    <row r="91" spans="1:26" ht="37.950000000000003" customHeight="1" x14ac:dyDescent="0.3">
      <c r="A91" s="1470"/>
      <c r="B91" s="1471" t="s">
        <v>3199</v>
      </c>
      <c r="C91" s="1454"/>
      <c r="D91" s="1454"/>
      <c r="E91" s="1455" t="s">
        <v>3200</v>
      </c>
      <c r="F91" s="520"/>
      <c r="G91" s="1349"/>
      <c r="H91" s="1349"/>
      <c r="I91" s="1349"/>
      <c r="J91" s="1349"/>
      <c r="K91" s="1349"/>
      <c r="L91" s="1349"/>
      <c r="M91" s="1349"/>
      <c r="N91" s="1349"/>
      <c r="O91" s="1349"/>
      <c r="P91" s="1349"/>
      <c r="Q91" s="1349"/>
      <c r="R91" s="1349"/>
      <c r="S91" s="1349"/>
      <c r="T91" s="1349"/>
      <c r="U91" s="1349"/>
      <c r="V91" s="1349"/>
      <c r="W91" s="1349"/>
      <c r="X91" s="1349"/>
      <c r="Y91" s="1349"/>
      <c r="Z91" s="1349"/>
    </row>
    <row r="92" spans="1:26" ht="37.950000000000003" customHeight="1" x14ac:dyDescent="0.3">
      <c r="A92" s="1468">
        <v>10</v>
      </c>
      <c r="B92" s="1469" t="s">
        <v>3201</v>
      </c>
      <c r="C92" s="1459" t="s">
        <v>3202</v>
      </c>
      <c r="D92" s="1459" t="s">
        <v>3203</v>
      </c>
      <c r="E92" s="1460" t="s">
        <v>3204</v>
      </c>
      <c r="F92" s="520"/>
      <c r="G92" s="1349"/>
      <c r="H92" s="1349"/>
      <c r="I92" s="1349"/>
      <c r="J92" s="1349"/>
      <c r="K92" s="1349"/>
      <c r="L92" s="1349"/>
      <c r="M92" s="1349"/>
      <c r="N92" s="1349"/>
      <c r="O92" s="1349"/>
      <c r="P92" s="1349"/>
      <c r="Q92" s="1349"/>
      <c r="R92" s="1349"/>
      <c r="S92" s="1349"/>
      <c r="T92" s="1349"/>
      <c r="U92" s="1349"/>
      <c r="V92" s="1349"/>
      <c r="W92" s="1349"/>
      <c r="X92" s="1349"/>
      <c r="Y92" s="1349"/>
      <c r="Z92" s="1349"/>
    </row>
    <row r="93" spans="1:26" ht="37.950000000000003" customHeight="1" x14ac:dyDescent="0.3">
      <c r="A93" s="1472">
        <v>11</v>
      </c>
      <c r="B93" s="1473" t="s">
        <v>3205</v>
      </c>
      <c r="C93" s="1473" t="s">
        <v>3206</v>
      </c>
      <c r="D93" s="1473" t="s">
        <v>3207</v>
      </c>
      <c r="E93" s="1474" t="s">
        <v>1939</v>
      </c>
      <c r="F93" s="520"/>
      <c r="G93" s="1349"/>
      <c r="H93" s="1349"/>
      <c r="I93" s="1349"/>
      <c r="J93" s="1349"/>
      <c r="K93" s="1349"/>
      <c r="L93" s="1349"/>
      <c r="M93" s="1349"/>
      <c r="N93" s="1349"/>
      <c r="O93" s="1349"/>
      <c r="P93" s="1349"/>
      <c r="Q93" s="1349"/>
      <c r="R93" s="1349"/>
      <c r="S93" s="1349"/>
      <c r="T93" s="1349"/>
      <c r="U93" s="1349"/>
      <c r="V93" s="1349"/>
      <c r="W93" s="1349"/>
      <c r="X93" s="1349"/>
      <c r="Y93" s="1349"/>
      <c r="Z93" s="1349"/>
    </row>
    <row r="94" spans="1:26" ht="37.950000000000003" customHeight="1" x14ac:dyDescent="0.3">
      <c r="A94" s="1475">
        <v>12</v>
      </c>
      <c r="B94" s="1469" t="s">
        <v>3208</v>
      </c>
      <c r="C94" s="1459" t="s">
        <v>3209</v>
      </c>
      <c r="D94" s="1459" t="s">
        <v>3210</v>
      </c>
      <c r="E94" s="1460" t="s">
        <v>1939</v>
      </c>
      <c r="F94" s="520"/>
      <c r="G94" s="1349"/>
      <c r="H94" s="1349"/>
      <c r="I94" s="1349"/>
      <c r="J94" s="1349"/>
      <c r="K94" s="1349"/>
      <c r="L94" s="1349"/>
      <c r="M94" s="1349"/>
      <c r="N94" s="1349"/>
      <c r="O94" s="1349"/>
      <c r="P94" s="1349"/>
      <c r="Q94" s="1349"/>
      <c r="R94" s="1349"/>
      <c r="S94" s="1349"/>
      <c r="T94" s="1349"/>
      <c r="U94" s="1349"/>
      <c r="V94" s="1349"/>
      <c r="W94" s="1349"/>
      <c r="X94" s="1349"/>
      <c r="Y94" s="1349"/>
      <c r="Z94" s="1349"/>
    </row>
    <row r="95" spans="1:26" ht="37.950000000000003" customHeight="1" x14ac:dyDescent="0.3">
      <c r="A95" s="1476">
        <v>13</v>
      </c>
      <c r="B95" s="1471" t="s">
        <v>3211</v>
      </c>
      <c r="C95" s="1454" t="s">
        <v>3212</v>
      </c>
      <c r="D95" s="1454" t="s">
        <v>3213</v>
      </c>
      <c r="E95" s="1455" t="s">
        <v>3214</v>
      </c>
      <c r="F95" s="520"/>
      <c r="G95" s="1349"/>
      <c r="H95" s="1349"/>
      <c r="I95" s="1349"/>
      <c r="J95" s="1349"/>
      <c r="K95" s="1349"/>
      <c r="L95" s="1349"/>
      <c r="M95" s="1349"/>
      <c r="N95" s="1349"/>
      <c r="O95" s="1349"/>
      <c r="P95" s="1349"/>
      <c r="Q95" s="1349"/>
      <c r="R95" s="1349"/>
      <c r="S95" s="1349"/>
      <c r="T95" s="1349"/>
      <c r="U95" s="1349"/>
      <c r="V95" s="1349"/>
      <c r="W95" s="1349"/>
      <c r="X95" s="1349"/>
      <c r="Y95" s="1349"/>
      <c r="Z95" s="1349"/>
    </row>
    <row r="96" spans="1:26" ht="37.950000000000003" customHeight="1" x14ac:dyDescent="0.3">
      <c r="A96" s="1475">
        <v>14</v>
      </c>
      <c r="B96" s="1469" t="s">
        <v>3215</v>
      </c>
      <c r="C96" s="1459" t="s">
        <v>3216</v>
      </c>
      <c r="D96" s="1459" t="s">
        <v>3217</v>
      </c>
      <c r="E96" s="1460" t="s">
        <v>3214</v>
      </c>
      <c r="F96" s="520"/>
      <c r="G96" s="1349"/>
      <c r="H96" s="1349"/>
      <c r="I96" s="1349"/>
      <c r="J96" s="1349"/>
      <c r="K96" s="1349"/>
      <c r="L96" s="1349"/>
      <c r="M96" s="1349"/>
      <c r="N96" s="1349"/>
      <c r="O96" s="1349"/>
      <c r="P96" s="1349"/>
      <c r="Q96" s="1349"/>
      <c r="R96" s="1349"/>
      <c r="S96" s="1349"/>
      <c r="T96" s="1349"/>
      <c r="U96" s="1349"/>
      <c r="V96" s="1349"/>
      <c r="W96" s="1349"/>
      <c r="X96" s="1349"/>
      <c r="Y96" s="1349"/>
      <c r="Z96" s="1349"/>
    </row>
    <row r="97" spans="1:26" ht="37.950000000000003" customHeight="1" x14ac:dyDescent="0.3">
      <c r="A97" s="1476">
        <v>15</v>
      </c>
      <c r="B97" s="1471" t="s">
        <v>3218</v>
      </c>
      <c r="C97" s="1454" t="s">
        <v>3219</v>
      </c>
      <c r="D97" s="1454" t="s">
        <v>3220</v>
      </c>
      <c r="E97" s="1455" t="s">
        <v>3221</v>
      </c>
      <c r="F97" s="520"/>
      <c r="G97" s="1349"/>
      <c r="H97" s="1349"/>
      <c r="I97" s="1349"/>
      <c r="J97" s="1349"/>
      <c r="K97" s="1349"/>
      <c r="L97" s="1349"/>
      <c r="M97" s="1349"/>
      <c r="N97" s="1349"/>
      <c r="O97" s="1349"/>
      <c r="P97" s="1349"/>
      <c r="Q97" s="1349"/>
      <c r="R97" s="1349"/>
      <c r="S97" s="1349"/>
      <c r="T97" s="1349"/>
      <c r="U97" s="1349"/>
      <c r="V97" s="1349"/>
      <c r="W97" s="1349"/>
      <c r="X97" s="1349"/>
      <c r="Y97" s="1349"/>
      <c r="Z97" s="1349"/>
    </row>
    <row r="98" spans="1:26" ht="37.950000000000003" customHeight="1" x14ac:dyDescent="0.3">
      <c r="A98" s="1475"/>
      <c r="B98" s="1469" t="s">
        <v>3222</v>
      </c>
      <c r="C98" s="1459"/>
      <c r="D98" s="1459"/>
      <c r="E98" s="1460" t="s">
        <v>3223</v>
      </c>
      <c r="F98" s="520"/>
      <c r="G98" s="1349"/>
      <c r="H98" s="1349"/>
      <c r="I98" s="1349"/>
      <c r="J98" s="1349"/>
      <c r="K98" s="1349"/>
      <c r="L98" s="1349"/>
      <c r="M98" s="1349"/>
      <c r="N98" s="1349"/>
      <c r="O98" s="1349"/>
      <c r="P98" s="1349"/>
      <c r="Q98" s="1349"/>
      <c r="R98" s="1349"/>
      <c r="S98" s="1349"/>
      <c r="T98" s="1349"/>
      <c r="U98" s="1349"/>
      <c r="V98" s="1349"/>
      <c r="W98" s="1349"/>
      <c r="X98" s="1349"/>
      <c r="Y98" s="1349"/>
      <c r="Z98" s="1349"/>
    </row>
    <row r="99" spans="1:26" ht="37.950000000000003" customHeight="1" x14ac:dyDescent="0.3">
      <c r="A99" s="1476">
        <v>16</v>
      </c>
      <c r="B99" s="1471" t="s">
        <v>3224</v>
      </c>
      <c r="C99" s="1454" t="s">
        <v>3225</v>
      </c>
      <c r="D99" s="1454" t="s">
        <v>3226</v>
      </c>
      <c r="E99" s="1455" t="s">
        <v>1939</v>
      </c>
      <c r="F99" s="520"/>
      <c r="G99" s="1349"/>
      <c r="H99" s="1349"/>
      <c r="I99" s="1349"/>
      <c r="J99" s="1349"/>
      <c r="K99" s="1349"/>
      <c r="L99" s="1349"/>
      <c r="M99" s="1349"/>
      <c r="N99" s="1349"/>
      <c r="O99" s="1349"/>
      <c r="P99" s="1349"/>
      <c r="Q99" s="1349"/>
      <c r="R99" s="1349"/>
      <c r="S99" s="1349"/>
      <c r="T99" s="1349"/>
      <c r="U99" s="1349"/>
      <c r="V99" s="1349"/>
      <c r="W99" s="1349"/>
      <c r="X99" s="1349"/>
      <c r="Y99" s="1349"/>
      <c r="Z99" s="1349"/>
    </row>
    <row r="100" spans="1:26" ht="37.950000000000003" customHeight="1" x14ac:dyDescent="0.3">
      <c r="A100" s="1475">
        <v>17</v>
      </c>
      <c r="B100" s="1469" t="s">
        <v>3227</v>
      </c>
      <c r="C100" s="1459" t="s">
        <v>3228</v>
      </c>
      <c r="D100" s="1459" t="s">
        <v>3229</v>
      </c>
      <c r="E100" s="1460" t="s">
        <v>1904</v>
      </c>
      <c r="F100" s="520"/>
      <c r="G100" s="1349"/>
      <c r="H100" s="1349"/>
      <c r="I100" s="1349"/>
      <c r="J100" s="1349"/>
      <c r="K100" s="1349"/>
      <c r="L100" s="1349"/>
      <c r="M100" s="1349"/>
      <c r="N100" s="1349"/>
      <c r="O100" s="1349"/>
      <c r="P100" s="1349"/>
      <c r="Q100" s="1349"/>
      <c r="R100" s="1349"/>
      <c r="S100" s="1349"/>
      <c r="T100" s="1349"/>
      <c r="U100" s="1349"/>
      <c r="V100" s="1349"/>
      <c r="W100" s="1349"/>
      <c r="X100" s="1349"/>
      <c r="Y100" s="1349"/>
      <c r="Z100" s="1349"/>
    </row>
    <row r="101" spans="1:26" ht="37.950000000000003" customHeight="1" x14ac:dyDescent="0.3">
      <c r="A101" s="1476">
        <v>18</v>
      </c>
      <c r="B101" s="1471" t="s">
        <v>3230</v>
      </c>
      <c r="C101" s="1454" t="s">
        <v>3231</v>
      </c>
      <c r="D101" s="1454" t="s">
        <v>3232</v>
      </c>
      <c r="E101" s="1455" t="s">
        <v>3233</v>
      </c>
      <c r="F101" s="520"/>
      <c r="G101" s="1349"/>
      <c r="H101" s="1349"/>
      <c r="I101" s="1349"/>
      <c r="J101" s="1349"/>
      <c r="K101" s="1349"/>
      <c r="L101" s="1349"/>
      <c r="M101" s="1349"/>
      <c r="N101" s="1349"/>
      <c r="O101" s="1349"/>
      <c r="P101" s="1349"/>
      <c r="Q101" s="1349"/>
      <c r="R101" s="1349"/>
      <c r="S101" s="1349"/>
      <c r="T101" s="1349"/>
      <c r="U101" s="1349"/>
      <c r="V101" s="1349"/>
      <c r="W101" s="1349"/>
      <c r="X101" s="1349"/>
      <c r="Y101" s="1349"/>
      <c r="Z101" s="1349"/>
    </row>
    <row r="102" spans="1:26" ht="37.950000000000003" customHeight="1" x14ac:dyDescent="0.3">
      <c r="A102" s="1475">
        <v>19</v>
      </c>
      <c r="B102" s="1469" t="s">
        <v>3234</v>
      </c>
      <c r="C102" s="1459" t="s">
        <v>3235</v>
      </c>
      <c r="D102" s="1459" t="s">
        <v>3236</v>
      </c>
      <c r="E102" s="1460" t="s">
        <v>3237</v>
      </c>
      <c r="F102" s="520"/>
      <c r="G102" s="1349"/>
      <c r="H102" s="1349"/>
      <c r="I102" s="1349"/>
      <c r="J102" s="1349"/>
      <c r="K102" s="1349"/>
      <c r="L102" s="1349"/>
      <c r="M102" s="1349"/>
      <c r="N102" s="1349"/>
      <c r="O102" s="1349"/>
      <c r="P102" s="1349"/>
      <c r="Q102" s="1349"/>
      <c r="R102" s="1349"/>
      <c r="S102" s="1349"/>
      <c r="T102" s="1349"/>
      <c r="U102" s="1349"/>
      <c r="V102" s="1349"/>
      <c r="W102" s="1349"/>
      <c r="X102" s="1349"/>
      <c r="Y102" s="1349"/>
      <c r="Z102" s="1349"/>
    </row>
    <row r="103" spans="1:26" ht="37.950000000000003" customHeight="1" x14ac:dyDescent="0.3">
      <c r="A103" s="1477">
        <v>20</v>
      </c>
      <c r="B103" s="1478" t="s">
        <v>3238</v>
      </c>
      <c r="C103" s="1478" t="s">
        <v>3239</v>
      </c>
      <c r="D103" s="1478" t="str">
        <f>"Escenario deseable. Montecristi 2023-2024 NO alcanza este rango: ICPI = "&amp;TEXT('M5-ICPI'!G29,"0,00")&amp;"%, situado en la zona de Gestión por Ocurrencia."</f>
        <v>Escenario deseable. Montecristi 2023-2024 NO alcanza este rango: ICPI = 38,28%, situado en la zona de Gestión por Ocurrencia.</v>
      </c>
      <c r="E103" s="1479" t="s">
        <v>3237</v>
      </c>
      <c r="F103" s="520"/>
      <c r="G103" s="1349"/>
      <c r="H103" s="1349"/>
      <c r="I103" s="1349"/>
      <c r="J103" s="1349"/>
      <c r="K103" s="1349"/>
      <c r="L103" s="1349"/>
      <c r="M103" s="1349"/>
      <c r="N103" s="1349"/>
      <c r="O103" s="1349"/>
      <c r="P103" s="1349"/>
      <c r="Q103" s="1349"/>
      <c r="R103" s="1349"/>
      <c r="S103" s="1349"/>
      <c r="T103" s="1349"/>
      <c r="U103" s="1349"/>
      <c r="V103" s="1349"/>
      <c r="W103" s="1349"/>
      <c r="X103" s="1349"/>
      <c r="Y103" s="1349"/>
      <c r="Z103" s="1349"/>
    </row>
    <row r="104" spans="1:26" ht="37.950000000000003" customHeight="1" x14ac:dyDescent="0.3">
      <c r="A104" s="1481">
        <v>21</v>
      </c>
      <c r="B104" s="1469" t="s">
        <v>3240</v>
      </c>
      <c r="C104" s="1459" t="s">
        <v>3241</v>
      </c>
      <c r="D104" s="1459" t="s">
        <v>3242</v>
      </c>
      <c r="E104" s="1460" t="s">
        <v>3237</v>
      </c>
      <c r="F104" s="520"/>
      <c r="G104" s="1349"/>
      <c r="H104" s="1349"/>
      <c r="I104" s="1349"/>
      <c r="J104" s="1349"/>
      <c r="K104" s="1349"/>
      <c r="L104" s="1349"/>
      <c r="M104" s="1349"/>
      <c r="N104" s="1349"/>
      <c r="O104" s="1349"/>
      <c r="P104" s="1349"/>
      <c r="Q104" s="1349"/>
      <c r="R104" s="1349"/>
      <c r="S104" s="1349"/>
      <c r="T104" s="1349"/>
      <c r="U104" s="1349"/>
      <c r="V104" s="1349"/>
      <c r="W104" s="1349"/>
      <c r="X104" s="1349"/>
      <c r="Y104" s="1349"/>
      <c r="Z104" s="1349"/>
    </row>
    <row r="105" spans="1:26" ht="37.950000000000003" customHeight="1" x14ac:dyDescent="0.3">
      <c r="A105" s="1482">
        <v>22</v>
      </c>
      <c r="B105" s="1471" t="s">
        <v>3243</v>
      </c>
      <c r="C105" s="1454" t="s">
        <v>3244</v>
      </c>
      <c r="D105" s="1454" t="s">
        <v>3245</v>
      </c>
      <c r="E105" s="1455" t="s">
        <v>3237</v>
      </c>
      <c r="F105" s="520"/>
      <c r="G105" s="1349"/>
      <c r="H105" s="1349"/>
      <c r="I105" s="1349"/>
      <c r="J105" s="1349"/>
      <c r="K105" s="1349"/>
      <c r="L105" s="1349"/>
      <c r="M105" s="1349"/>
      <c r="N105" s="1349"/>
      <c r="O105" s="1349"/>
      <c r="P105" s="1349"/>
      <c r="Q105" s="1349"/>
      <c r="R105" s="1349"/>
      <c r="S105" s="1349"/>
      <c r="T105" s="1349"/>
      <c r="U105" s="1349"/>
      <c r="V105" s="1349"/>
      <c r="W105" s="1349"/>
      <c r="X105" s="1349"/>
      <c r="Y105" s="1349"/>
      <c r="Z105" s="1349"/>
    </row>
    <row r="106" spans="1:26" ht="37.950000000000003" customHeight="1" x14ac:dyDescent="0.3">
      <c r="A106" s="1481">
        <v>23</v>
      </c>
      <c r="B106" s="1469" t="s">
        <v>3246</v>
      </c>
      <c r="C106" s="1459" t="s">
        <v>3247</v>
      </c>
      <c r="D106" s="1459" t="s">
        <v>3248</v>
      </c>
      <c r="E106" s="1460" t="s">
        <v>3237</v>
      </c>
      <c r="F106" s="520"/>
      <c r="G106" s="1349"/>
      <c r="H106" s="1349"/>
      <c r="I106" s="1349"/>
      <c r="J106" s="1349"/>
      <c r="K106" s="1349"/>
      <c r="L106" s="1349"/>
      <c r="M106" s="1349"/>
      <c r="N106" s="1349"/>
      <c r="O106" s="1349"/>
      <c r="P106" s="1349"/>
      <c r="Q106" s="1349"/>
      <c r="R106" s="1349"/>
      <c r="S106" s="1349"/>
      <c r="T106" s="1349"/>
      <c r="U106" s="1349"/>
      <c r="V106" s="1349"/>
      <c r="W106" s="1349"/>
      <c r="X106" s="1349"/>
      <c r="Y106" s="1349"/>
      <c r="Z106" s="1349"/>
    </row>
    <row r="107" spans="1:26" ht="37.950000000000003" customHeight="1" x14ac:dyDescent="0.3">
      <c r="A107" s="1482">
        <v>24</v>
      </c>
      <c r="B107" s="1471" t="s">
        <v>3249</v>
      </c>
      <c r="C107" s="1454" t="s">
        <v>3250</v>
      </c>
      <c r="D107" s="1454" t="s">
        <v>3251</v>
      </c>
      <c r="E107" s="1455" t="s">
        <v>3237</v>
      </c>
      <c r="F107" s="520"/>
      <c r="G107" s="1349"/>
      <c r="H107" s="1349"/>
      <c r="I107" s="1349"/>
      <c r="J107" s="1349"/>
      <c r="K107" s="1349"/>
      <c r="L107" s="1349"/>
      <c r="M107" s="1349"/>
      <c r="N107" s="1349"/>
      <c r="O107" s="1349"/>
      <c r="P107" s="1349"/>
      <c r="Q107" s="1349"/>
      <c r="R107" s="1349"/>
      <c r="S107" s="1349"/>
      <c r="T107" s="1349"/>
      <c r="U107" s="1349"/>
      <c r="V107" s="1349"/>
      <c r="W107" s="1349"/>
      <c r="X107" s="1349"/>
      <c r="Y107" s="1349"/>
      <c r="Z107" s="1349"/>
    </row>
    <row r="108" spans="1:26" ht="37.950000000000003" customHeight="1" x14ac:dyDescent="0.3">
      <c r="A108" s="1481">
        <v>25</v>
      </c>
      <c r="B108" s="1469" t="s">
        <v>3252</v>
      </c>
      <c r="C108" s="1459" t="s">
        <v>3253</v>
      </c>
      <c r="D108" s="1459" t="s">
        <v>3254</v>
      </c>
      <c r="E108" s="1460" t="s">
        <v>3255</v>
      </c>
      <c r="F108" s="520"/>
      <c r="G108" s="1349"/>
      <c r="H108" s="1349"/>
      <c r="I108" s="1349"/>
      <c r="J108" s="1349"/>
      <c r="K108" s="1349"/>
      <c r="L108" s="1349"/>
      <c r="M108" s="1349"/>
      <c r="N108" s="1349"/>
      <c r="O108" s="1349"/>
      <c r="P108" s="1349"/>
      <c r="Q108" s="1349"/>
      <c r="R108" s="1349"/>
      <c r="S108" s="1349"/>
      <c r="T108" s="1349"/>
      <c r="U108" s="1349"/>
      <c r="V108" s="1349"/>
      <c r="W108" s="1349"/>
      <c r="X108" s="1349"/>
      <c r="Y108" s="1349"/>
      <c r="Z108" s="1349"/>
    </row>
    <row r="109" spans="1:26" ht="37.950000000000003" customHeight="1" x14ac:dyDescent="0.3">
      <c r="A109" s="1482">
        <v>26</v>
      </c>
      <c r="B109" s="1471" t="s">
        <v>3256</v>
      </c>
      <c r="C109" s="1454" t="s">
        <v>3257</v>
      </c>
      <c r="D109" s="1454" t="s">
        <v>3258</v>
      </c>
      <c r="E109" s="1455" t="s">
        <v>1904</v>
      </c>
      <c r="F109" s="520"/>
      <c r="G109" s="1349"/>
      <c r="H109" s="1349"/>
      <c r="I109" s="1349"/>
      <c r="J109" s="1349"/>
      <c r="K109" s="1349"/>
      <c r="L109" s="1349"/>
      <c r="M109" s="1349"/>
      <c r="N109" s="1349"/>
      <c r="O109" s="1349"/>
      <c r="P109" s="1349"/>
      <c r="Q109" s="1349"/>
      <c r="R109" s="1349"/>
      <c r="S109" s="1349"/>
      <c r="T109" s="1349"/>
      <c r="U109" s="1349"/>
      <c r="V109" s="1349"/>
      <c r="W109" s="1349"/>
      <c r="X109" s="1349"/>
      <c r="Y109" s="1349"/>
      <c r="Z109" s="1349"/>
    </row>
    <row r="110" spans="1:26" ht="37.950000000000003" customHeight="1" x14ac:dyDescent="0.3">
      <c r="A110" s="1481">
        <v>27</v>
      </c>
      <c r="B110" s="1469" t="s">
        <v>3259</v>
      </c>
      <c r="C110" s="1459" t="s">
        <v>3260</v>
      </c>
      <c r="D110" s="1459" t="s">
        <v>3261</v>
      </c>
      <c r="E110" s="1460" t="s">
        <v>3262</v>
      </c>
      <c r="F110" s="520"/>
      <c r="G110" s="1349"/>
      <c r="H110" s="1349"/>
      <c r="I110" s="1349"/>
      <c r="J110" s="1349"/>
      <c r="K110" s="1349"/>
      <c r="L110" s="1349"/>
      <c r="M110" s="1349"/>
      <c r="N110" s="1349"/>
      <c r="O110" s="1349"/>
      <c r="P110" s="1349"/>
      <c r="Q110" s="1349"/>
      <c r="R110" s="1349"/>
      <c r="S110" s="1349"/>
      <c r="T110" s="1349"/>
      <c r="U110" s="1349"/>
      <c r="V110" s="1349"/>
      <c r="W110" s="1349"/>
      <c r="X110" s="1349"/>
      <c r="Y110" s="1349"/>
      <c r="Z110" s="1349"/>
    </row>
    <row r="111" spans="1:26" ht="37.950000000000003" customHeight="1" x14ac:dyDescent="0.3">
      <c r="A111" s="1482"/>
      <c r="B111" s="1471" t="s">
        <v>3263</v>
      </c>
      <c r="C111" s="1454"/>
      <c r="D111" s="1454"/>
      <c r="E111" s="1455" t="s">
        <v>3264</v>
      </c>
      <c r="F111" s="520"/>
      <c r="G111" s="1349"/>
      <c r="H111" s="1349"/>
      <c r="I111" s="1349"/>
      <c r="J111" s="1349"/>
      <c r="K111" s="1349"/>
      <c r="L111" s="1349"/>
      <c r="M111" s="1349"/>
      <c r="N111" s="1349"/>
      <c r="O111" s="1349"/>
      <c r="P111" s="1349"/>
      <c r="Q111" s="1349"/>
      <c r="R111" s="1349"/>
      <c r="S111" s="1349"/>
      <c r="T111" s="1349"/>
      <c r="U111" s="1349"/>
      <c r="V111" s="1349"/>
      <c r="W111" s="1349"/>
      <c r="X111" s="1349"/>
      <c r="Y111" s="1349"/>
      <c r="Z111" s="1349"/>
    </row>
    <row r="112" spans="1:26" ht="37.950000000000003" customHeight="1" x14ac:dyDescent="0.3">
      <c r="A112" s="1481">
        <v>28</v>
      </c>
      <c r="B112" s="1469" t="s">
        <v>3265</v>
      </c>
      <c r="C112" s="1459" t="s">
        <v>3266</v>
      </c>
      <c r="D112" s="1459" t="s">
        <v>3267</v>
      </c>
      <c r="E112" s="1460" t="s">
        <v>3268</v>
      </c>
      <c r="F112" s="520"/>
      <c r="G112" s="1349"/>
      <c r="H112" s="1349"/>
      <c r="I112" s="1349"/>
      <c r="J112" s="1349"/>
      <c r="K112" s="1349"/>
      <c r="L112" s="1349"/>
      <c r="M112" s="1349"/>
      <c r="N112" s="1349"/>
      <c r="O112" s="1349"/>
      <c r="P112" s="1349"/>
      <c r="Q112" s="1349"/>
      <c r="R112" s="1349"/>
      <c r="S112" s="1349"/>
      <c r="T112" s="1349"/>
      <c r="U112" s="1349"/>
      <c r="V112" s="1349"/>
      <c r="W112" s="1349"/>
      <c r="X112" s="1349"/>
      <c r="Y112" s="1349"/>
      <c r="Z112" s="1349"/>
    </row>
    <row r="113" spans="1:26" ht="37.950000000000003" customHeight="1" x14ac:dyDescent="0.3">
      <c r="A113" s="1482">
        <v>29</v>
      </c>
      <c r="B113" s="1471" t="s">
        <v>3269</v>
      </c>
      <c r="C113" s="1454" t="s">
        <v>3270</v>
      </c>
      <c r="D113" s="1454" t="s">
        <v>3271</v>
      </c>
      <c r="E113" s="1455" t="s">
        <v>3272</v>
      </c>
      <c r="F113" s="520"/>
      <c r="G113" s="1349"/>
      <c r="H113" s="1349"/>
      <c r="I113" s="1349"/>
      <c r="J113" s="1349"/>
      <c r="K113" s="1349"/>
      <c r="L113" s="1349"/>
      <c r="M113" s="1349"/>
      <c r="N113" s="1349"/>
      <c r="O113" s="1349"/>
      <c r="P113" s="1349"/>
      <c r="Q113" s="1349"/>
      <c r="R113" s="1349"/>
      <c r="S113" s="1349"/>
      <c r="T113" s="1349"/>
      <c r="U113" s="1349"/>
      <c r="V113" s="1349"/>
      <c r="W113" s="1349"/>
      <c r="X113" s="1349"/>
      <c r="Y113" s="1349"/>
      <c r="Z113" s="1349"/>
    </row>
    <row r="114" spans="1:26" ht="37.950000000000003" customHeight="1" x14ac:dyDescent="0.3">
      <c r="A114" s="1481">
        <v>30</v>
      </c>
      <c r="B114" s="1469" t="s">
        <v>3273</v>
      </c>
      <c r="C114" s="1459" t="s">
        <v>3274</v>
      </c>
      <c r="D114" s="1459" t="str">
        <f>"Justifica por qué el ICM puede mostrar "&amp;TEXT('M-TECH-PARAMS'!B7*100,"0,00")&amp;"% de cumplimiento mientras el ICPI revela solo "&amp;TEXT('M5-ICPI'!G29,"0,00")&amp;"% : el SIGAD mide gasto, el ICPI mide fidelidad programática."</f>
        <v>Justifica por qué el ICM puede mostrar 100,00% de cumplimiento mientras el ICPI revela solo 38,28% : el SIGAD mide gasto, el ICPI mide fidelidad programática.</v>
      </c>
      <c r="E114" s="1460" t="s">
        <v>1913</v>
      </c>
      <c r="F114" s="520"/>
      <c r="G114" s="1349"/>
      <c r="H114" s="1349"/>
      <c r="I114" s="1349"/>
      <c r="J114" s="1349"/>
      <c r="K114" s="1349"/>
      <c r="L114" s="1349"/>
      <c r="M114" s="1349"/>
      <c r="N114" s="1349"/>
      <c r="O114" s="1349"/>
      <c r="P114" s="1349"/>
      <c r="Q114" s="1349"/>
      <c r="R114" s="1349"/>
      <c r="S114" s="1349"/>
      <c r="T114" s="1349"/>
      <c r="U114" s="1349"/>
      <c r="V114" s="1349"/>
      <c r="W114" s="1349"/>
      <c r="X114" s="1349"/>
      <c r="Y114" s="1349"/>
      <c r="Z114" s="1349"/>
    </row>
    <row r="115" spans="1:26" ht="37.950000000000003" customHeight="1" x14ac:dyDescent="0.3">
      <c r="A115" s="1482">
        <v>31</v>
      </c>
      <c r="B115" s="1471" t="s">
        <v>3275</v>
      </c>
      <c r="C115" s="1454" t="str">
        <f>"Índice de Cumplimiento de Metas. Indicador oficial SIGAD-SNP. Montecristi 2023-2024: ICM = "&amp;TEXT('M-TECH-PARAMS'!B7*100,"0,00")&amp;"% (confirmado por reportes oficiales SIGAD). Contrasta con ICPI = "&amp;TEXT('M5-ICPI'!G29,"0,00")&amp;"%."</f>
        <v>Índice de Cumplimiento de Metas. Indicador oficial SIGAD-SNP. Montecristi 2023-2024: ICM = 100,00% (confirmado por reportes oficiales SIGAD). Contrasta con ICPI = 38,28%.</v>
      </c>
      <c r="D115" s="1454" t="str">
        <f>"Contrastado en hoja BRECHA. La diferencia ICM ("&amp;TEXT('M-TECH-PARAMS'!B7*100,"0,00")&amp;"% SIGAD oficial §4.2) vs. ICPI ("&amp;TEXT('M5-ICPI'!G29,"0,00")&amp;"%) genera la Brecha de Integridad de "&amp;TEXT('M-TECH-PARAMS'!B7*100-'M5-ICPI'!G29,"0,00")&amp;" pp. Evidencia de déficit programático en la gestión."</f>
        <v>Contrastado en hoja BRECHA. La diferencia ICM (100,00% SIGAD oficial §4.2) vs. ICPI (38,28%) genera la Brecha de Integridad de 61,72 pp. Evidencia de déficit programático en la gestión.</v>
      </c>
      <c r="E115" s="1455" t="s">
        <v>3276</v>
      </c>
      <c r="F115" s="520"/>
      <c r="G115" s="1349"/>
      <c r="H115" s="1349"/>
      <c r="I115" s="1349"/>
      <c r="J115" s="1349"/>
      <c r="K115" s="1349"/>
      <c r="L115" s="1349"/>
      <c r="M115" s="1349"/>
      <c r="N115" s="1349"/>
      <c r="O115" s="1349"/>
      <c r="P115" s="1349"/>
      <c r="Q115" s="1349"/>
      <c r="R115" s="1349"/>
      <c r="S115" s="1349"/>
      <c r="T115" s="1349"/>
      <c r="U115" s="1349"/>
      <c r="V115" s="1349"/>
      <c r="W115" s="1349"/>
      <c r="X115" s="1349"/>
      <c r="Y115" s="1349"/>
      <c r="Z115" s="1349"/>
    </row>
    <row r="116" spans="1:26" ht="37.950000000000003" customHeight="1" x14ac:dyDescent="0.3">
      <c r="A116" s="1480">
        <v>31</v>
      </c>
      <c r="B116" s="1467" t="s">
        <v>3277</v>
      </c>
      <c r="C116" s="1456" t="str">
        <f>"Métrica de contraste final que revela la disparidad cuantitativa entre el cumplimiento oficial (ICM) y el auditado (ICPI). Montecristi 2023-2024: "&amp;TEXT('M-TECH-PARAMS'!B7*100-'M5-ICPI'!G29,"0,00")&amp;" pp ("&amp;TEXT('M-TECH-PARAMS'!B7*100,"0,00")&amp;"% - "&amp;TEXT('M5-ICPI'!G29,"0,00")&amp;"%). Evidencia la simulación de eficacia. (SIAP-ICPI §3.7)"</f>
        <v>Métrica de contraste final que revela la disparidad cuantitativa entre el cumplimiento oficial (ICM) y el auditado (ICPI). Montecristi 2023-2024: 61,72 pp (100,00% - 38,28%). Evidencia la simulación de eficacia. (SIAP-ICPI §3.7)</v>
      </c>
      <c r="D116" s="1456" t="s">
        <v>3278</v>
      </c>
      <c r="E116" s="1457" t="s">
        <v>1939</v>
      </c>
      <c r="F116" s="520"/>
      <c r="G116" s="1349"/>
      <c r="H116" s="1349"/>
      <c r="I116" s="1349"/>
      <c r="J116" s="1349"/>
      <c r="K116" s="1349"/>
      <c r="L116" s="1349"/>
      <c r="M116" s="1349"/>
      <c r="N116" s="1349"/>
      <c r="O116" s="1349"/>
      <c r="P116" s="1349"/>
      <c r="Q116" s="1349"/>
      <c r="R116" s="1349"/>
      <c r="S116" s="1349"/>
      <c r="T116" s="1349"/>
      <c r="U116" s="1349"/>
      <c r="V116" s="1349"/>
      <c r="W116" s="1349"/>
      <c r="X116" s="1349"/>
      <c r="Y116" s="1349"/>
      <c r="Z116" s="1349"/>
    </row>
    <row r="117" spans="1:26" ht="37.950000000000003" customHeight="1" x14ac:dyDescent="0.3">
      <c r="A117" s="1443">
        <v>32</v>
      </c>
      <c r="B117" s="1442" t="s">
        <v>3279</v>
      </c>
      <c r="C117" s="1428" t="s">
        <v>3280</v>
      </c>
      <c r="D117" s="1428" t="s">
        <v>3281</v>
      </c>
      <c r="E117" s="1438" t="s">
        <v>3282</v>
      </c>
      <c r="F117" s="520"/>
      <c r="G117" s="1349"/>
      <c r="H117" s="1349"/>
      <c r="I117" s="1349"/>
      <c r="J117" s="1349"/>
      <c r="K117" s="1349"/>
      <c r="L117" s="1349"/>
      <c r="M117" s="1349"/>
      <c r="N117" s="1349"/>
      <c r="O117" s="1349"/>
      <c r="P117" s="1349"/>
      <c r="Q117" s="1349"/>
      <c r="R117" s="1349"/>
      <c r="S117" s="1349"/>
      <c r="T117" s="1349"/>
      <c r="U117" s="1349"/>
      <c r="V117" s="1349"/>
      <c r="W117" s="1349"/>
      <c r="X117" s="1349"/>
      <c r="Y117" s="1349"/>
      <c r="Z117" s="1349"/>
    </row>
    <row r="118" spans="1:26" ht="28.05" customHeight="1" x14ac:dyDescent="0.3">
      <c r="A118" s="1362">
        <v>33</v>
      </c>
      <c r="B118" s="1362" t="s">
        <v>3283</v>
      </c>
      <c r="C118" s="1362" t="s">
        <v>3284</v>
      </c>
      <c r="D118" s="1362" t="s">
        <v>3285</v>
      </c>
      <c r="E118" s="1362" t="s">
        <v>3282</v>
      </c>
      <c r="F118" s="520"/>
      <c r="G118" s="1349"/>
      <c r="H118" s="1349"/>
      <c r="I118" s="1349"/>
      <c r="J118" s="1349"/>
      <c r="K118" s="1349"/>
      <c r="L118" s="1349"/>
      <c r="M118" s="1349"/>
      <c r="N118" s="1349"/>
      <c r="O118" s="1349"/>
      <c r="P118" s="1349"/>
      <c r="Q118" s="1349"/>
      <c r="R118" s="1349"/>
      <c r="S118" s="1349"/>
      <c r="T118" s="1349"/>
      <c r="U118" s="1349"/>
      <c r="V118" s="1349"/>
      <c r="W118" s="1349"/>
      <c r="X118" s="1349"/>
      <c r="Y118" s="1349"/>
      <c r="Z118" s="1349"/>
    </row>
    <row r="119" spans="1:26" ht="28.05" customHeight="1" x14ac:dyDescent="0.3">
      <c r="A119" s="1363">
        <v>34</v>
      </c>
      <c r="B119" s="1352" t="s">
        <v>4213</v>
      </c>
      <c r="C119" s="1351" t="s">
        <v>4214</v>
      </c>
      <c r="D119" s="1351" t="s">
        <v>4850</v>
      </c>
      <c r="E119" s="1351" t="s">
        <v>4215</v>
      </c>
      <c r="F119" s="520"/>
      <c r="G119" s="1349"/>
      <c r="H119" s="1349"/>
      <c r="I119" s="1349"/>
      <c r="J119" s="1349"/>
      <c r="K119" s="1349"/>
      <c r="L119" s="1349"/>
      <c r="M119" s="1349"/>
      <c r="N119" s="1349"/>
      <c r="O119" s="1349"/>
      <c r="P119" s="1349"/>
      <c r="Q119" s="1349"/>
      <c r="R119" s="1349"/>
      <c r="S119" s="1349"/>
      <c r="T119" s="1349"/>
      <c r="U119" s="1349"/>
      <c r="V119" s="1349"/>
      <c r="W119" s="1349"/>
      <c r="X119" s="1349"/>
      <c r="Y119" s="1349"/>
      <c r="Z119" s="1349"/>
    </row>
    <row r="120" spans="1:26" ht="28.05" customHeight="1" x14ac:dyDescent="0.3">
      <c r="A120" s="1364"/>
      <c r="B120" s="1354"/>
      <c r="C120" s="1353"/>
      <c r="D120" s="1353"/>
      <c r="E120" s="1353"/>
      <c r="F120" s="520"/>
      <c r="G120" s="1349"/>
      <c r="H120" s="1349"/>
      <c r="I120" s="1349"/>
      <c r="J120" s="1349"/>
      <c r="K120" s="1349"/>
      <c r="L120" s="1349"/>
      <c r="M120" s="1349"/>
      <c r="N120" s="1349"/>
      <c r="O120" s="1349"/>
      <c r="P120" s="1349"/>
      <c r="Q120" s="1349"/>
      <c r="R120" s="1349"/>
      <c r="S120" s="1349"/>
      <c r="T120" s="1349"/>
      <c r="U120" s="1349"/>
      <c r="V120" s="1349"/>
      <c r="W120" s="1349"/>
      <c r="X120" s="1349"/>
      <c r="Y120" s="1349"/>
      <c r="Z120" s="1349"/>
    </row>
    <row r="121" spans="1:26" ht="28.05" customHeight="1" x14ac:dyDescent="0.3">
      <c r="A121" s="1363" t="s">
        <v>4211</v>
      </c>
      <c r="B121" s="1352"/>
      <c r="C121" s="1351"/>
      <c r="D121" s="1351"/>
      <c r="E121" s="1351" t="s">
        <v>1939</v>
      </c>
      <c r="F121" s="520"/>
      <c r="G121" s="1349"/>
      <c r="H121" s="1349"/>
      <c r="I121" s="1349"/>
      <c r="J121" s="1349"/>
      <c r="K121" s="1349"/>
      <c r="L121" s="1349"/>
      <c r="M121" s="1349"/>
      <c r="N121" s="1349"/>
      <c r="O121" s="1349"/>
      <c r="P121" s="1349"/>
      <c r="Q121" s="1349"/>
      <c r="R121" s="1349"/>
      <c r="S121" s="1349"/>
      <c r="T121" s="1349"/>
      <c r="U121" s="1349"/>
      <c r="V121" s="1349"/>
      <c r="W121" s="1349"/>
      <c r="X121" s="1349"/>
      <c r="Y121" s="1349"/>
      <c r="Z121" s="1349"/>
    </row>
    <row r="122" spans="1:26" ht="28.05" customHeight="1" x14ac:dyDescent="0.3">
      <c r="A122" s="1364" t="s">
        <v>423</v>
      </c>
      <c r="B122" s="1354" t="s">
        <v>4212</v>
      </c>
      <c r="C122" s="1353" t="s">
        <v>3286</v>
      </c>
      <c r="D122" s="1353" t="s">
        <v>3287</v>
      </c>
      <c r="E122" s="1353" t="s">
        <v>32</v>
      </c>
      <c r="F122" s="520"/>
      <c r="G122" s="1349"/>
      <c r="H122" s="1349"/>
      <c r="I122" s="1349"/>
      <c r="J122" s="1349"/>
      <c r="K122" s="1349"/>
      <c r="L122" s="1349"/>
      <c r="M122" s="1349"/>
      <c r="N122" s="1349"/>
      <c r="O122" s="1349"/>
      <c r="P122" s="1349"/>
      <c r="Q122" s="1349"/>
      <c r="R122" s="1349"/>
      <c r="S122" s="1349"/>
      <c r="T122" s="1349"/>
      <c r="U122" s="1349"/>
      <c r="V122" s="1349"/>
      <c r="W122" s="1349"/>
      <c r="X122" s="1349"/>
      <c r="Y122" s="1349"/>
      <c r="Z122" s="1349"/>
    </row>
    <row r="123" spans="1:26" ht="28.05" customHeight="1" x14ac:dyDescent="0.3">
      <c r="A123" s="1363">
        <v>1</v>
      </c>
      <c r="B123" s="1352" t="s">
        <v>3288</v>
      </c>
      <c r="C123" s="1351" t="s">
        <v>1507</v>
      </c>
      <c r="D123" s="1351" t="s">
        <v>3289</v>
      </c>
      <c r="E123" s="1351" t="s">
        <v>3290</v>
      </c>
      <c r="F123" s="520"/>
      <c r="G123" s="1349"/>
      <c r="H123" s="1349"/>
      <c r="I123" s="1349"/>
      <c r="J123" s="1349"/>
      <c r="K123" s="1349"/>
      <c r="L123" s="1349"/>
      <c r="M123" s="1349"/>
      <c r="N123" s="1349"/>
      <c r="O123" s="1349"/>
      <c r="P123" s="1349"/>
      <c r="Q123" s="1349"/>
      <c r="R123" s="1349"/>
      <c r="S123" s="1349"/>
      <c r="T123" s="1349"/>
      <c r="U123" s="1349"/>
      <c r="V123" s="1349"/>
      <c r="W123" s="1349"/>
      <c r="X123" s="1349"/>
      <c r="Y123" s="1349"/>
      <c r="Z123" s="1349"/>
    </row>
    <row r="124" spans="1:26" ht="28.05" customHeight="1" x14ac:dyDescent="0.3">
      <c r="A124" s="1364">
        <v>2</v>
      </c>
      <c r="B124" s="1354" t="s">
        <v>3291</v>
      </c>
      <c r="C124" s="1353" t="s">
        <v>3292</v>
      </c>
      <c r="D124" s="1353" t="s">
        <v>3293</v>
      </c>
      <c r="E124" s="1353" t="s">
        <v>3294</v>
      </c>
      <c r="F124" s="520"/>
      <c r="G124" s="1349"/>
      <c r="H124" s="1349"/>
      <c r="I124" s="1349"/>
      <c r="J124" s="1349"/>
      <c r="K124" s="1349"/>
      <c r="L124" s="1349"/>
      <c r="M124" s="1349"/>
      <c r="N124" s="1349"/>
      <c r="O124" s="1349"/>
      <c r="P124" s="1349"/>
      <c r="Q124" s="1349"/>
      <c r="R124" s="1349"/>
      <c r="S124" s="1349"/>
      <c r="T124" s="1349"/>
      <c r="U124" s="1349"/>
      <c r="V124" s="1349"/>
      <c r="W124" s="1349"/>
      <c r="X124" s="1349"/>
      <c r="Y124" s="1349"/>
      <c r="Z124" s="1349"/>
    </row>
    <row r="125" spans="1:26" ht="28.05" customHeight="1" x14ac:dyDescent="0.3">
      <c r="A125" s="1363">
        <v>3</v>
      </c>
      <c r="B125" s="1352" t="s">
        <v>3295</v>
      </c>
      <c r="C125" s="1351" t="s">
        <v>3296</v>
      </c>
      <c r="D125" s="1351" t="str">
        <f>"Cumplimiento parcial con signos de erosión del compromiso. Montecristi 2023-2024: ICPI = "&amp;TEXT('M5-ICPI'!G29,"0,00")&amp;"% (en este rango)."</f>
        <v>Cumplimiento parcial con signos de erosión del compromiso. Montecristi 2023-2024: ICPI = 38,28% (en este rango).</v>
      </c>
      <c r="E125" s="1351" t="s">
        <v>3297</v>
      </c>
      <c r="F125" s="520"/>
      <c r="G125" s="1349"/>
      <c r="H125" s="1349"/>
      <c r="I125" s="1349"/>
      <c r="J125" s="1349"/>
      <c r="K125" s="1349"/>
      <c r="L125" s="1349"/>
      <c r="M125" s="1349"/>
      <c r="N125" s="1349"/>
      <c r="O125" s="1349"/>
      <c r="P125" s="1349"/>
      <c r="Q125" s="1349"/>
      <c r="R125" s="1349"/>
      <c r="S125" s="1349"/>
      <c r="T125" s="1349"/>
      <c r="U125" s="1349"/>
      <c r="V125" s="1349"/>
      <c r="W125" s="1349"/>
      <c r="X125" s="1349"/>
      <c r="Y125" s="1349"/>
      <c r="Z125" s="1349"/>
    </row>
    <row r="126" spans="1:26" ht="28.05" customHeight="1" x14ac:dyDescent="0.3">
      <c r="A126" s="1364">
        <v>4</v>
      </c>
      <c r="B126" s="1354" t="s">
        <v>3298</v>
      </c>
      <c r="C126" s="1353" t="s">
        <v>3299</v>
      </c>
      <c r="D126" s="1353" t="s">
        <v>3300</v>
      </c>
      <c r="E126" s="1353" t="s">
        <v>3301</v>
      </c>
      <c r="F126" s="520"/>
      <c r="G126" s="1349"/>
      <c r="H126" s="1349"/>
      <c r="I126" s="1349"/>
      <c r="J126" s="1349"/>
      <c r="K126" s="1349"/>
      <c r="L126" s="1349"/>
      <c r="M126" s="1349"/>
      <c r="N126" s="1349"/>
      <c r="O126" s="1349"/>
      <c r="P126" s="1349"/>
      <c r="Q126" s="1349"/>
      <c r="R126" s="1349"/>
      <c r="S126" s="1349"/>
      <c r="T126" s="1349"/>
      <c r="U126" s="1349"/>
      <c r="V126" s="1349"/>
      <c r="W126" s="1349"/>
      <c r="X126" s="1349"/>
      <c r="Y126" s="1349"/>
      <c r="Z126" s="1349"/>
    </row>
    <row r="127" spans="1:26" ht="28.05" customHeight="1" x14ac:dyDescent="0.3">
      <c r="A127" s="1363">
        <v>5</v>
      </c>
      <c r="B127" s="1352" t="s">
        <v>3302</v>
      </c>
      <c r="C127" s="1351" t="s">
        <v>1515</v>
      </c>
      <c r="D127" s="1351" t="s">
        <v>3303</v>
      </c>
      <c r="E127" s="1351" t="s">
        <v>3304</v>
      </c>
      <c r="F127" s="520"/>
      <c r="G127" s="1349"/>
      <c r="H127" s="1349"/>
      <c r="I127" s="1349"/>
      <c r="J127" s="1349"/>
      <c r="K127" s="1349"/>
      <c r="L127" s="1349"/>
      <c r="M127" s="1349"/>
      <c r="N127" s="1349"/>
      <c r="O127" s="1349"/>
      <c r="P127" s="1349"/>
      <c r="Q127" s="1349"/>
      <c r="R127" s="1349"/>
      <c r="S127" s="1349"/>
      <c r="T127" s="1349"/>
      <c r="U127" s="1349"/>
      <c r="V127" s="1349"/>
      <c r="W127" s="1349"/>
      <c r="X127" s="1349"/>
      <c r="Y127" s="1349"/>
      <c r="Z127" s="1349"/>
    </row>
    <row r="128" spans="1:26" ht="6" customHeight="1" x14ac:dyDescent="0.3">
      <c r="A128" s="3949" t="s">
        <v>1496</v>
      </c>
      <c r="B128" s="3949"/>
      <c r="C128" s="3949"/>
      <c r="D128" s="3949"/>
      <c r="E128" s="3949"/>
      <c r="F128" s="3949"/>
      <c r="G128" s="4154"/>
      <c r="H128" s="4154"/>
      <c r="I128" s="4154"/>
      <c r="J128" s="4154"/>
      <c r="K128" s="4154"/>
      <c r="L128" s="4154"/>
      <c r="M128" s="4154"/>
      <c r="N128" s="4154"/>
      <c r="O128" s="4154"/>
      <c r="P128" s="4154"/>
      <c r="Q128" s="4154"/>
      <c r="R128" s="4154"/>
      <c r="S128" s="4154"/>
      <c r="T128" s="4154"/>
      <c r="U128" s="4154"/>
      <c r="V128" s="4154"/>
      <c r="W128" s="4154"/>
      <c r="X128" s="4154"/>
      <c r="Y128" s="4154"/>
      <c r="Z128" s="4154"/>
    </row>
    <row r="129" spans="1:26" ht="124.2" x14ac:dyDescent="0.3">
      <c r="A129" s="520" t="s">
        <v>3305</v>
      </c>
      <c r="B129" s="4169"/>
      <c r="C129" s="4169"/>
      <c r="D129" s="4169"/>
      <c r="E129" s="4169"/>
      <c r="F129" s="4169"/>
      <c r="G129" s="4167"/>
      <c r="H129" s="4167"/>
      <c r="I129" s="4167"/>
      <c r="J129" s="4167"/>
      <c r="K129" s="4167"/>
      <c r="L129" s="4167"/>
      <c r="M129" s="4167"/>
      <c r="N129" s="4167"/>
      <c r="O129" s="4167"/>
      <c r="P129" s="4167"/>
      <c r="Q129" s="4167"/>
      <c r="R129" s="4167"/>
      <c r="S129" s="4167"/>
      <c r="T129" s="4167"/>
      <c r="U129" s="4167"/>
      <c r="V129" s="4167"/>
      <c r="W129" s="4167"/>
      <c r="X129" s="4167"/>
      <c r="Y129" s="4167"/>
      <c r="Z129" s="4167"/>
    </row>
    <row r="130" spans="1:26" ht="69" x14ac:dyDescent="0.3">
      <c r="A130" s="1343" t="s">
        <v>3306</v>
      </c>
      <c r="B130" s="4172"/>
      <c r="C130" s="4172"/>
      <c r="D130" s="4172"/>
      <c r="E130" s="4172"/>
      <c r="F130" s="4169"/>
      <c r="G130" s="4167"/>
      <c r="H130" s="4167"/>
      <c r="I130" s="4167"/>
      <c r="J130" s="4167"/>
      <c r="K130" s="4167"/>
      <c r="L130" s="4167"/>
      <c r="M130" s="4167"/>
      <c r="N130" s="4167"/>
      <c r="O130" s="4167"/>
      <c r="P130" s="4167"/>
      <c r="Q130" s="4167"/>
      <c r="R130" s="4167"/>
      <c r="S130" s="4167"/>
      <c r="T130" s="4167"/>
      <c r="U130" s="4167"/>
      <c r="V130" s="4167"/>
      <c r="W130" s="4167"/>
      <c r="X130" s="4167"/>
      <c r="Y130" s="4167"/>
      <c r="Z130" s="4167"/>
    </row>
    <row r="131" spans="1:26" x14ac:dyDescent="0.3">
      <c r="A131" s="1379"/>
      <c r="B131" s="1276"/>
      <c r="C131" s="1276"/>
      <c r="D131" s="1276"/>
      <c r="E131" s="1279"/>
      <c r="F131" s="520"/>
      <c r="G131" s="1349"/>
      <c r="H131" s="1349"/>
      <c r="I131" s="1349"/>
      <c r="J131" s="1349"/>
      <c r="K131" s="1349"/>
      <c r="L131" s="1349"/>
      <c r="M131" s="1349"/>
      <c r="N131" s="1349"/>
      <c r="O131" s="1349"/>
      <c r="P131" s="1349"/>
      <c r="Q131" s="1349"/>
      <c r="R131" s="1349"/>
      <c r="S131" s="1349"/>
      <c r="T131" s="1349"/>
      <c r="U131" s="1349"/>
      <c r="V131" s="1349"/>
      <c r="W131" s="1349"/>
      <c r="X131" s="1349"/>
      <c r="Y131" s="1349"/>
      <c r="Z131" s="1349"/>
    </row>
    <row r="132" spans="1:26" x14ac:dyDescent="0.3">
      <c r="A132" s="4160" t="s">
        <v>3307</v>
      </c>
      <c r="B132" s="4161"/>
      <c r="C132" s="4161"/>
      <c r="D132" s="4161"/>
      <c r="E132" s="4162"/>
      <c r="F132" s="3949"/>
      <c r="G132" s="4154"/>
      <c r="H132" s="4154"/>
      <c r="I132" s="4154"/>
      <c r="J132" s="4154"/>
      <c r="K132" s="4154"/>
      <c r="L132" s="4154"/>
      <c r="M132" s="4154"/>
      <c r="N132" s="4154"/>
      <c r="O132" s="4154"/>
      <c r="P132" s="4154"/>
      <c r="Q132" s="4154"/>
      <c r="R132" s="4154"/>
      <c r="S132" s="4154"/>
      <c r="T132" s="4154"/>
      <c r="U132" s="4154"/>
      <c r="V132" s="4154"/>
      <c r="W132" s="4154"/>
      <c r="X132" s="4154"/>
      <c r="Y132" s="4154"/>
      <c r="Z132" s="4154"/>
    </row>
    <row r="133" spans="1:26" ht="48.6" x14ac:dyDescent="0.3">
      <c r="A133" s="1483" t="s">
        <v>3308</v>
      </c>
      <c r="B133" s="1484" t="s">
        <v>3309</v>
      </c>
      <c r="C133" s="1484" t="s">
        <v>3310</v>
      </c>
      <c r="D133" s="1484"/>
      <c r="E133" s="1485"/>
      <c r="F133" s="520"/>
      <c r="G133" s="1349"/>
      <c r="H133" s="1349"/>
      <c r="I133" s="1349"/>
      <c r="J133" s="1349"/>
      <c r="K133" s="1349"/>
      <c r="L133" s="1349"/>
      <c r="M133" s="1349"/>
      <c r="N133" s="1349"/>
      <c r="O133" s="1349"/>
      <c r="P133" s="1349"/>
      <c r="Q133" s="1349"/>
      <c r="R133" s="1349"/>
      <c r="S133" s="1349"/>
      <c r="T133" s="1349"/>
      <c r="U133" s="1349"/>
      <c r="V133" s="1349"/>
      <c r="W133" s="1349"/>
      <c r="X133" s="1349"/>
      <c r="Y133" s="1349"/>
      <c r="Z133" s="1349"/>
    </row>
    <row r="134" spans="1:26" ht="36.6" x14ac:dyDescent="0.3">
      <c r="A134" s="1486" t="s">
        <v>3311</v>
      </c>
      <c r="B134" s="1487" t="s">
        <v>3312</v>
      </c>
      <c r="C134" s="1487" t="s">
        <v>3313</v>
      </c>
      <c r="D134" s="1487"/>
      <c r="E134" s="1488"/>
      <c r="F134" s="520"/>
      <c r="G134" s="1349"/>
      <c r="H134" s="1349"/>
      <c r="I134" s="1349"/>
      <c r="J134" s="1349"/>
      <c r="K134" s="1349"/>
      <c r="L134" s="1349"/>
      <c r="M134" s="1349"/>
      <c r="N134" s="1349"/>
      <c r="O134" s="1349"/>
      <c r="P134" s="1349"/>
      <c r="Q134" s="1349"/>
      <c r="R134" s="1349"/>
      <c r="S134" s="1349"/>
      <c r="T134" s="1349"/>
      <c r="U134" s="1349"/>
      <c r="V134" s="1349"/>
      <c r="W134" s="1349"/>
      <c r="X134" s="1349"/>
      <c r="Y134" s="1349"/>
      <c r="Z134" s="1349"/>
    </row>
    <row r="135" spans="1:26" ht="48.6" x14ac:dyDescent="0.3">
      <c r="A135" s="1489" t="s">
        <v>3314</v>
      </c>
      <c r="B135" s="1490" t="s">
        <v>3315</v>
      </c>
      <c r="C135" s="1490" t="s">
        <v>3316</v>
      </c>
      <c r="D135" s="1490"/>
      <c r="E135" s="1491"/>
      <c r="F135" s="520"/>
      <c r="G135" s="1349"/>
      <c r="H135" s="1349"/>
      <c r="I135" s="1349"/>
      <c r="J135" s="1349"/>
      <c r="K135" s="1349"/>
      <c r="L135" s="1349"/>
      <c r="M135" s="1349"/>
      <c r="N135" s="1349"/>
      <c r="O135" s="1349"/>
      <c r="P135" s="1349"/>
      <c r="Q135" s="1349"/>
      <c r="R135" s="1349"/>
      <c r="S135" s="1349"/>
      <c r="T135" s="1349"/>
      <c r="U135" s="1349"/>
      <c r="V135" s="1349"/>
      <c r="W135" s="1349"/>
      <c r="X135" s="1349"/>
      <c r="Y135" s="1349"/>
      <c r="Z135" s="1349"/>
    </row>
    <row r="136" spans="1:26" ht="48.6" x14ac:dyDescent="0.3">
      <c r="A136" s="1444" t="s">
        <v>3317</v>
      </c>
      <c r="B136" s="1277" t="s">
        <v>3318</v>
      </c>
      <c r="C136" s="1277" t="s">
        <v>3319</v>
      </c>
      <c r="D136" s="1277"/>
      <c r="E136" s="1280"/>
      <c r="F136" s="520"/>
      <c r="G136" s="1349"/>
      <c r="H136" s="1349"/>
      <c r="I136" s="1349"/>
      <c r="J136" s="1349"/>
      <c r="K136" s="1349"/>
      <c r="L136" s="1349"/>
      <c r="M136" s="1349"/>
      <c r="N136" s="1349"/>
      <c r="O136" s="1349"/>
      <c r="P136" s="1349"/>
      <c r="Q136" s="1349"/>
      <c r="R136" s="1349"/>
      <c r="S136" s="1349"/>
      <c r="T136" s="1349"/>
      <c r="U136" s="1349"/>
      <c r="V136" s="1349"/>
      <c r="W136" s="1349"/>
      <c r="X136" s="1349"/>
      <c r="Y136" s="1349"/>
      <c r="Z136" s="1349"/>
    </row>
    <row r="137" spans="1:26" ht="69" x14ac:dyDescent="0.3">
      <c r="A137" s="520" t="s">
        <v>698</v>
      </c>
      <c r="B137" s="520" t="s">
        <v>3320</v>
      </c>
      <c r="C137" s="520" t="s">
        <v>3321</v>
      </c>
      <c r="D137" s="520"/>
      <c r="E137" s="520"/>
      <c r="F137" s="520"/>
      <c r="G137" s="1349"/>
      <c r="H137" s="1349"/>
      <c r="I137" s="1349"/>
      <c r="J137" s="1349"/>
      <c r="K137" s="1349"/>
      <c r="L137" s="1349"/>
      <c r="M137" s="1349"/>
      <c r="N137" s="1349"/>
      <c r="O137" s="1349"/>
      <c r="P137" s="1349"/>
      <c r="Q137" s="1349"/>
      <c r="R137" s="1349"/>
      <c r="S137" s="1349"/>
      <c r="T137" s="1349"/>
      <c r="U137" s="1349"/>
      <c r="V137" s="1349"/>
      <c r="W137" s="1349"/>
      <c r="X137" s="1349"/>
      <c r="Y137" s="1349"/>
      <c r="Z137" s="1349"/>
    </row>
    <row r="138" spans="1:26" ht="30" customHeight="1" x14ac:dyDescent="0.3">
      <c r="A138" s="1259"/>
      <c r="B138" s="1259"/>
      <c r="C138" s="1259"/>
      <c r="D138" s="1259"/>
      <c r="E138" s="1259"/>
      <c r="F138" s="1259"/>
      <c r="G138" s="1349"/>
      <c r="H138" s="1349"/>
      <c r="I138" s="1349"/>
      <c r="J138" s="1349"/>
      <c r="K138" s="1349"/>
      <c r="L138" s="1349"/>
      <c r="M138" s="1349"/>
      <c r="N138" s="1349"/>
      <c r="O138" s="1349"/>
      <c r="P138" s="1349"/>
      <c r="Q138" s="1349"/>
      <c r="R138" s="1349"/>
      <c r="S138" s="1349"/>
      <c r="T138" s="1349"/>
      <c r="U138" s="1349"/>
      <c r="V138" s="1349"/>
      <c r="W138" s="1349"/>
      <c r="X138" s="1349"/>
      <c r="Y138" s="1349"/>
      <c r="Z138" s="1349"/>
    </row>
    <row r="139" spans="1:26" ht="19.95" customHeight="1" x14ac:dyDescent="0.3">
      <c r="A139" s="1365" t="s">
        <v>4562</v>
      </c>
      <c r="B139" s="4166"/>
      <c r="C139" s="4166"/>
      <c r="D139" s="4166"/>
      <c r="E139" s="4166"/>
      <c r="F139" s="4166"/>
      <c r="G139" s="4167"/>
      <c r="H139" s="4167"/>
      <c r="I139" s="4167"/>
      <c r="J139" s="4167"/>
      <c r="K139" s="4167"/>
      <c r="L139" s="4167"/>
      <c r="M139" s="4167"/>
      <c r="N139" s="4167"/>
      <c r="O139" s="4167"/>
      <c r="P139" s="4167"/>
      <c r="Q139" s="4167"/>
      <c r="R139" s="4167"/>
      <c r="S139" s="4167"/>
      <c r="T139" s="4167"/>
      <c r="U139" s="4167"/>
      <c r="V139" s="4167"/>
      <c r="W139" s="4167"/>
      <c r="X139" s="4167"/>
      <c r="Y139" s="4167"/>
      <c r="Z139" s="4167"/>
    </row>
    <row r="140" spans="1:26" ht="41.4" x14ac:dyDescent="0.3">
      <c r="A140" s="520" t="s">
        <v>4451</v>
      </c>
      <c r="B140" s="520" t="s">
        <v>3104</v>
      </c>
      <c r="C140" s="520"/>
      <c r="D140" s="520"/>
      <c r="E140" s="520"/>
      <c r="F140" s="520"/>
      <c r="G140" s="1349"/>
      <c r="H140" s="1349"/>
      <c r="I140" s="1349"/>
      <c r="J140" s="1349"/>
      <c r="K140" s="1349"/>
      <c r="L140" s="1349"/>
      <c r="M140" s="1349"/>
      <c r="N140" s="1349"/>
      <c r="O140" s="1349"/>
      <c r="P140" s="1349"/>
      <c r="Q140" s="1349"/>
      <c r="R140" s="1349"/>
      <c r="S140" s="1349"/>
      <c r="T140" s="1349"/>
      <c r="U140" s="1349"/>
      <c r="V140" s="1349"/>
      <c r="W140" s="1349"/>
      <c r="X140" s="1349"/>
      <c r="Y140" s="1349"/>
      <c r="Z140" s="1349" t="s">
        <v>4448</v>
      </c>
    </row>
    <row r="141" spans="1:26" ht="27.6" x14ac:dyDescent="0.3">
      <c r="A141" s="520" t="s">
        <v>4452</v>
      </c>
      <c r="B141" s="520"/>
      <c r="C141" s="520"/>
      <c r="D141" s="520"/>
      <c r="E141" s="520"/>
      <c r="F141" s="520"/>
      <c r="G141" s="1349"/>
      <c r="H141" s="1349"/>
      <c r="I141" s="1349"/>
      <c r="J141" s="1349"/>
      <c r="K141" s="1349"/>
      <c r="L141" s="1349"/>
      <c r="M141" s="1349"/>
      <c r="N141" s="1349"/>
      <c r="O141" s="1349"/>
      <c r="P141" s="1349"/>
      <c r="Q141" s="1349"/>
      <c r="R141" s="1349"/>
      <c r="S141" s="1349"/>
      <c r="T141" s="1349"/>
      <c r="U141" s="1349"/>
      <c r="V141" s="1349"/>
      <c r="W141" s="1349"/>
      <c r="X141" s="1349"/>
      <c r="Y141" s="1349"/>
      <c r="Z141" s="1349"/>
    </row>
    <row r="142" spans="1:26" x14ac:dyDescent="0.3">
      <c r="A142" s="1366" t="s">
        <v>4247</v>
      </c>
      <c r="B142" s="4173"/>
      <c r="C142" s="4173"/>
      <c r="D142" s="4173"/>
      <c r="E142" s="4173"/>
      <c r="F142" s="4169"/>
      <c r="G142" s="4167"/>
      <c r="H142" s="4167"/>
      <c r="I142" s="4167"/>
      <c r="J142" s="4167"/>
      <c r="K142" s="4167"/>
      <c r="L142" s="4167"/>
      <c r="M142" s="4167"/>
      <c r="N142" s="4167"/>
      <c r="O142" s="4167"/>
      <c r="P142" s="4167"/>
      <c r="Q142" s="4167"/>
      <c r="R142" s="4167"/>
      <c r="S142" s="4167"/>
      <c r="T142" s="4167"/>
      <c r="U142" s="4167"/>
      <c r="V142" s="4167"/>
      <c r="W142" s="4167"/>
      <c r="X142" s="4167"/>
      <c r="Y142" s="4167"/>
      <c r="Z142" s="4167"/>
    </row>
    <row r="143" spans="1:26" ht="36.6" x14ac:dyDescent="0.3">
      <c r="A143" s="1367" t="s">
        <v>3105</v>
      </c>
      <c r="B143" s="4174"/>
      <c r="C143" s="4174"/>
      <c r="D143" s="4174"/>
      <c r="E143" s="4169"/>
      <c r="F143" s="4169"/>
      <c r="G143" s="4167"/>
      <c r="H143" s="4167"/>
      <c r="I143" s="4167"/>
      <c r="J143" s="4167"/>
      <c r="K143" s="4167"/>
      <c r="L143" s="4167"/>
      <c r="M143" s="4167"/>
      <c r="N143" s="4167"/>
      <c r="O143" s="4167"/>
      <c r="P143" s="4167"/>
      <c r="Q143" s="4167"/>
      <c r="R143" s="4167"/>
      <c r="S143" s="4167"/>
      <c r="T143" s="4167"/>
      <c r="U143" s="4167"/>
      <c r="V143" s="4167"/>
      <c r="W143" s="4167"/>
      <c r="X143" s="4167"/>
      <c r="Y143" s="4167"/>
      <c r="Z143" s="4167"/>
    </row>
    <row r="144" spans="1:26" ht="138" x14ac:dyDescent="0.3">
      <c r="A144" s="1369" t="s">
        <v>3106</v>
      </c>
      <c r="B144" s="1368" t="s">
        <v>3107</v>
      </c>
      <c r="C144" s="1368" t="s">
        <v>3108</v>
      </c>
      <c r="D144" s="1368" t="str">
        <f>"Sistemáticamente a la baja: la opacidad reduce el ICPI real. El resultado auditado ("&amp;TEXT('M5-ICPI'!G29,"0,00")&amp;"%) debe interpretarse como PISO MÍNIMO — el cumplimiento verdadero podría ser superior si existiera acceso total."</f>
        <v>Sistemáticamente a la baja: la opacidad reduce el ICPI real. El resultado auditado (38,28%) debe interpretarse como PISO MÍNIMO — el cumplimiento verdadero podría ser superior si existiera acceso total.</v>
      </c>
      <c r="E144" s="520" t="s">
        <v>3109</v>
      </c>
      <c r="F144" s="520"/>
      <c r="G144" s="1349"/>
      <c r="H144" s="1349"/>
      <c r="I144" s="1349"/>
      <c r="J144" s="1349"/>
      <c r="K144" s="1349"/>
      <c r="L144" s="1349"/>
      <c r="M144" s="1349"/>
      <c r="N144" s="1349"/>
      <c r="O144" s="1349"/>
      <c r="P144" s="1349"/>
      <c r="Q144" s="1349"/>
      <c r="R144" s="1349"/>
      <c r="S144" s="1349"/>
      <c r="T144" s="1349"/>
      <c r="U144" s="1349"/>
      <c r="V144" s="1349"/>
      <c r="W144" s="1349"/>
      <c r="X144" s="1349"/>
      <c r="Y144" s="1349"/>
      <c r="Z144" s="1349"/>
    </row>
    <row r="145" spans="1:26" ht="124.2" x14ac:dyDescent="0.3">
      <c r="A145" s="1367" t="s">
        <v>3110</v>
      </c>
      <c r="B145" s="1359" t="s">
        <v>3111</v>
      </c>
      <c r="C145" s="1359" t="s">
        <v>3112</v>
      </c>
      <c r="D145" s="1359" t="s">
        <v>3113</v>
      </c>
      <c r="E145" s="520" t="s">
        <v>3114</v>
      </c>
      <c r="F145" s="520"/>
      <c r="G145" s="1349"/>
      <c r="H145" s="1349"/>
      <c r="I145" s="1349"/>
      <c r="J145" s="1349"/>
      <c r="K145" s="1349"/>
      <c r="L145" s="1349"/>
      <c r="M145" s="1349"/>
      <c r="N145" s="1349"/>
      <c r="O145" s="1349"/>
      <c r="P145" s="1349"/>
      <c r="Q145" s="1349"/>
      <c r="R145" s="1349"/>
      <c r="S145" s="1349"/>
      <c r="T145" s="1349"/>
      <c r="U145" s="1349"/>
      <c r="V145" s="1349"/>
      <c r="W145" s="1349"/>
      <c r="X145" s="1349"/>
      <c r="Y145" s="1349"/>
      <c r="Z145" s="1349"/>
    </row>
    <row r="146" spans="1:26" ht="138" x14ac:dyDescent="0.3">
      <c r="A146" s="1369" t="s">
        <v>3115</v>
      </c>
      <c r="B146" s="1368" t="s">
        <v>3116</v>
      </c>
      <c r="C146" s="1368" t="s">
        <v>3117</v>
      </c>
      <c r="D146" s="1368" t="s">
        <v>3118</v>
      </c>
      <c r="E146" s="520" t="s">
        <v>3119</v>
      </c>
      <c r="F146" s="520"/>
      <c r="G146" s="1349"/>
      <c r="H146" s="1349"/>
      <c r="I146" s="1349"/>
      <c r="J146" s="1349"/>
      <c r="K146" s="1349"/>
      <c r="L146" s="1349"/>
      <c r="M146" s="1349"/>
      <c r="N146" s="1349"/>
      <c r="O146" s="1349"/>
      <c r="P146" s="1349"/>
      <c r="Q146" s="1349"/>
      <c r="R146" s="1349"/>
      <c r="S146" s="1349"/>
      <c r="T146" s="1349"/>
      <c r="U146" s="1349"/>
      <c r="V146" s="1349"/>
      <c r="W146" s="1349"/>
      <c r="X146" s="1349"/>
      <c r="Y146" s="1349"/>
      <c r="Z146" s="1349"/>
    </row>
    <row r="147" spans="1:26" ht="138" x14ac:dyDescent="0.3">
      <c r="A147" s="1367" t="s">
        <v>3120</v>
      </c>
      <c r="B147" s="1359" t="s">
        <v>3121</v>
      </c>
      <c r="C147" s="1359" t="s">
        <v>3122</v>
      </c>
      <c r="D147" s="1359" t="str">
        <f>"Si el índice auto-reportado (SIGAD) está inflado (como sugiere la Brecha de "&amp;TEXT(100-'M5-ICPI'!G29,"0,00")&amp;" pp), el ICPI auditado podría ser aún más bajo que el "&amp;TEXT('M5-ICPI'!G29,"0,00")&amp;"% obtenido. La limitación refuerza el hallazgo del déficit programático confirmado."</f>
        <v>Si el índice auto-reportado (SIGAD) está inflado (como sugiere la Brecha de 61,72 pp), el ICPI auditado podría ser aún más bajo que el 38,28% obtenido. La limitación refuerza el hallazgo del déficit programático confirmado.</v>
      </c>
      <c r="E147" s="520" t="s">
        <v>3123</v>
      </c>
      <c r="F147" s="520"/>
      <c r="G147" s="1349"/>
      <c r="H147" s="1349"/>
      <c r="I147" s="1349"/>
      <c r="J147" s="1349"/>
      <c r="K147" s="1349"/>
      <c r="L147" s="1349"/>
      <c r="M147" s="1349"/>
      <c r="N147" s="1349"/>
      <c r="O147" s="1349"/>
      <c r="P147" s="1349"/>
      <c r="Q147" s="1349"/>
      <c r="R147" s="1349"/>
      <c r="S147" s="1349"/>
      <c r="T147" s="1349"/>
      <c r="U147" s="1349"/>
      <c r="V147" s="1349"/>
      <c r="W147" s="1349"/>
      <c r="X147" s="1349"/>
      <c r="Y147" s="1349"/>
      <c r="Z147" s="1349"/>
    </row>
    <row r="148" spans="1:26" ht="24.6" x14ac:dyDescent="0.3">
      <c r="A148" s="1369"/>
      <c r="B148" s="1368" t="s">
        <v>3124</v>
      </c>
      <c r="C148" s="1368"/>
      <c r="D148" s="1368"/>
      <c r="E148" s="520"/>
      <c r="F148" s="520"/>
      <c r="G148" s="1349"/>
      <c r="H148" s="1349"/>
      <c r="I148" s="1349"/>
      <c r="J148" s="1349"/>
      <c r="K148" s="1349"/>
      <c r="L148" s="1349"/>
      <c r="M148" s="1349"/>
      <c r="N148" s="1349"/>
      <c r="O148" s="1349"/>
      <c r="P148" s="1349"/>
      <c r="Q148" s="1349"/>
      <c r="R148" s="1349"/>
      <c r="S148" s="1349"/>
      <c r="T148" s="1349"/>
      <c r="U148" s="1349"/>
      <c r="V148" s="1349"/>
      <c r="W148" s="1349"/>
      <c r="X148" s="1349"/>
      <c r="Y148" s="1349"/>
      <c r="Z148" s="1349"/>
    </row>
    <row r="149" spans="1:26" ht="124.2" x14ac:dyDescent="0.3">
      <c r="A149" s="520" t="s">
        <v>3125</v>
      </c>
      <c r="B149" s="520" t="s">
        <v>3126</v>
      </c>
      <c r="C149" s="520" t="s">
        <v>3127</v>
      </c>
      <c r="D149" s="520" t="s">
        <v>3128</v>
      </c>
      <c r="E149" s="520" t="s">
        <v>3129</v>
      </c>
      <c r="F149" s="520"/>
      <c r="G149" s="1349"/>
      <c r="H149" s="1349"/>
      <c r="I149" s="1349"/>
      <c r="J149" s="1349"/>
      <c r="K149" s="1349"/>
      <c r="L149" s="1349"/>
      <c r="M149" s="1349"/>
      <c r="N149" s="1349"/>
      <c r="O149" s="1349"/>
      <c r="P149" s="1349"/>
      <c r="Q149" s="1349"/>
      <c r="R149" s="1349"/>
      <c r="S149" s="1349"/>
      <c r="T149" s="1349"/>
      <c r="U149" s="1349"/>
      <c r="V149" s="1349"/>
      <c r="W149" s="1349"/>
      <c r="X149" s="1349"/>
      <c r="Y149" s="1349"/>
      <c r="Z149" s="1349"/>
    </row>
    <row r="150" spans="1:26" ht="124.2" x14ac:dyDescent="0.3">
      <c r="A150" s="1343" t="s">
        <v>3130</v>
      </c>
      <c r="B150" s="1343" t="s">
        <v>3131</v>
      </c>
      <c r="C150" s="1343" t="s">
        <v>3127</v>
      </c>
      <c r="D150" s="1343" t="s">
        <v>3132</v>
      </c>
      <c r="E150" s="1343" t="s">
        <v>3133</v>
      </c>
      <c r="F150" s="1343"/>
      <c r="G150" s="1349"/>
      <c r="H150" s="1349"/>
      <c r="I150" s="1349"/>
      <c r="J150" s="1349"/>
      <c r="K150" s="1349"/>
      <c r="L150" s="1349"/>
      <c r="M150" s="1349"/>
      <c r="N150" s="1349"/>
      <c r="O150" s="1349"/>
      <c r="P150" s="1349"/>
      <c r="Q150" s="1349"/>
      <c r="R150" s="1349"/>
      <c r="S150" s="1349"/>
      <c r="T150" s="1349"/>
      <c r="U150" s="1349"/>
      <c r="V150" s="1349"/>
      <c r="W150" s="1349"/>
      <c r="X150" s="1349"/>
      <c r="Y150" s="1349"/>
      <c r="Z150" s="1349"/>
    </row>
    <row r="151" spans="1:26" ht="108.6" x14ac:dyDescent="0.3">
      <c r="A151" s="1254" t="s">
        <v>3134</v>
      </c>
      <c r="B151" s="1254" t="s">
        <v>3135</v>
      </c>
      <c r="C151" s="1254" t="s">
        <v>3136</v>
      </c>
      <c r="D151" s="1254" t="s">
        <v>3137</v>
      </c>
      <c r="E151" s="1254" t="s">
        <v>3138</v>
      </c>
      <c r="F151" s="1254"/>
      <c r="G151" s="1349"/>
      <c r="H151" s="1349"/>
      <c r="I151" s="1349"/>
      <c r="J151" s="1349"/>
      <c r="K151" s="1349"/>
      <c r="L151" s="1349"/>
      <c r="M151" s="1349"/>
      <c r="N151" s="1349"/>
      <c r="O151" s="1349"/>
      <c r="P151" s="1349"/>
      <c r="Q151" s="1349"/>
      <c r="R151" s="1349"/>
      <c r="S151" s="1349"/>
      <c r="T151" s="1349"/>
      <c r="U151" s="1349"/>
      <c r="V151" s="1349"/>
      <c r="W151" s="1349"/>
      <c r="X151" s="1349"/>
      <c r="Y151" s="1349"/>
      <c r="Z151" s="1349"/>
    </row>
    <row r="152" spans="1:26" ht="22.2" x14ac:dyDescent="0.3">
      <c r="A152" s="1256"/>
      <c r="B152" s="1256" t="s">
        <v>3139</v>
      </c>
      <c r="C152" s="1256"/>
      <c r="D152" s="1256"/>
      <c r="E152" s="1256"/>
      <c r="F152" s="1256"/>
      <c r="G152" s="1349"/>
      <c r="H152" s="1349"/>
      <c r="I152" s="1349"/>
      <c r="J152" s="1349"/>
      <c r="K152" s="1349"/>
      <c r="L152" s="1349"/>
      <c r="M152" s="1349"/>
      <c r="N152" s="1349"/>
      <c r="O152" s="1349"/>
      <c r="P152" s="1349"/>
      <c r="Q152" s="1349"/>
      <c r="R152" s="1349"/>
      <c r="S152" s="1349"/>
      <c r="T152" s="1349"/>
      <c r="U152" s="1349"/>
      <c r="V152" s="1349"/>
      <c r="W152" s="1349"/>
      <c r="X152" s="1349"/>
      <c r="Y152" s="1349"/>
      <c r="Z152" s="1349"/>
    </row>
    <row r="153" spans="1:26" ht="87" x14ac:dyDescent="0.3">
      <c r="A153" s="1256" t="s">
        <v>3140</v>
      </c>
      <c r="B153" s="1256" t="s">
        <v>3141</v>
      </c>
      <c r="C153" s="1256" t="s">
        <v>3142</v>
      </c>
      <c r="D153" s="1256" t="s">
        <v>3143</v>
      </c>
      <c r="E153" s="1256" t="s">
        <v>3144</v>
      </c>
      <c r="F153" s="1256"/>
      <c r="G153" s="1349"/>
      <c r="H153" s="1349"/>
      <c r="I153" s="1349"/>
      <c r="J153" s="1349"/>
      <c r="K153" s="1349"/>
      <c r="L153" s="1349"/>
      <c r="M153" s="1349"/>
      <c r="N153" s="1349"/>
      <c r="O153" s="1349"/>
      <c r="P153" s="1349"/>
      <c r="Q153" s="1349"/>
      <c r="R153" s="1349"/>
      <c r="S153" s="1349"/>
      <c r="T153" s="1349"/>
      <c r="U153" s="1349"/>
      <c r="V153" s="1349"/>
      <c r="W153" s="1349"/>
      <c r="X153" s="1349"/>
      <c r="Y153" s="1349"/>
      <c r="Z153" s="1349"/>
    </row>
    <row r="154" spans="1:26" ht="124.2" x14ac:dyDescent="0.3">
      <c r="A154" s="1343" t="s">
        <v>3145</v>
      </c>
      <c r="B154" s="1343" t="s">
        <v>3146</v>
      </c>
      <c r="C154" s="1343" t="s">
        <v>3147</v>
      </c>
      <c r="D154" s="1343" t="s">
        <v>3148</v>
      </c>
      <c r="E154" s="1343" t="s">
        <v>3149</v>
      </c>
      <c r="F154" s="1343"/>
      <c r="G154" s="1349"/>
      <c r="H154" s="1349"/>
      <c r="I154" s="1349"/>
      <c r="J154" s="1349"/>
      <c r="K154" s="1349"/>
      <c r="L154" s="1349"/>
      <c r="M154" s="1349"/>
      <c r="N154" s="1349"/>
      <c r="O154" s="1349"/>
      <c r="P154" s="1349"/>
      <c r="Q154" s="1349"/>
      <c r="R154" s="1349"/>
      <c r="S154" s="1349"/>
      <c r="T154" s="1349"/>
      <c r="U154" s="1349"/>
      <c r="V154" s="1349"/>
      <c r="W154" s="1349"/>
      <c r="X154" s="1349"/>
      <c r="Y154" s="1349"/>
      <c r="Z154" s="1349"/>
    </row>
    <row r="155" spans="1:26" ht="108.6" x14ac:dyDescent="0.3">
      <c r="A155" s="1370" t="s">
        <v>3150</v>
      </c>
      <c r="B155" s="1351" t="s">
        <v>3151</v>
      </c>
      <c r="C155" s="1351" t="s">
        <v>3152</v>
      </c>
      <c r="D155" s="1351" t="s">
        <v>3153</v>
      </c>
      <c r="E155" s="1351" t="s">
        <v>3154</v>
      </c>
      <c r="F155" s="520"/>
      <c r="G155" s="1349"/>
      <c r="H155" s="1349"/>
      <c r="I155" s="1349"/>
      <c r="J155" s="1349"/>
      <c r="K155" s="1349"/>
      <c r="L155" s="1349"/>
      <c r="M155" s="1349"/>
      <c r="N155" s="1349"/>
      <c r="O155" s="1349"/>
      <c r="P155" s="1349"/>
      <c r="Q155" s="1349"/>
      <c r="R155" s="1349"/>
      <c r="S155" s="1349"/>
      <c r="T155" s="1349"/>
      <c r="U155" s="1349"/>
      <c r="V155" s="1349"/>
      <c r="W155" s="1349"/>
      <c r="X155" s="1349"/>
      <c r="Y155" s="1349"/>
      <c r="Z155" s="1349"/>
    </row>
    <row r="156" spans="1:26" ht="24.6" x14ac:dyDescent="0.3">
      <c r="A156" s="1371"/>
      <c r="B156" s="1353" t="s">
        <v>3155</v>
      </c>
      <c r="C156" s="1353"/>
      <c r="D156" s="1353"/>
      <c r="E156" s="1353"/>
      <c r="F156" s="520"/>
      <c r="G156" s="1349"/>
      <c r="H156" s="1349"/>
      <c r="I156" s="1349"/>
      <c r="J156" s="1349"/>
      <c r="K156" s="1349"/>
      <c r="L156" s="1349"/>
      <c r="M156" s="1349"/>
      <c r="N156" s="1349"/>
      <c r="O156" s="1349"/>
      <c r="P156" s="1349"/>
      <c r="Q156" s="1349"/>
      <c r="R156" s="1349"/>
      <c r="S156" s="1349"/>
      <c r="T156" s="1349"/>
      <c r="U156" s="1349"/>
      <c r="V156" s="1349"/>
      <c r="W156" s="1349"/>
      <c r="X156" s="1349"/>
      <c r="Y156" s="1349"/>
      <c r="Z156" s="1349"/>
    </row>
    <row r="157" spans="1:26" ht="36.6" x14ac:dyDescent="0.3">
      <c r="A157" s="1370" t="s">
        <v>3156</v>
      </c>
      <c r="B157" s="1351" t="s">
        <v>3157</v>
      </c>
      <c r="C157" s="1351" t="s">
        <v>3158</v>
      </c>
      <c r="D157" s="1351" t="s">
        <v>3159</v>
      </c>
      <c r="E157" s="1351" t="s">
        <v>3160</v>
      </c>
      <c r="F157" s="520"/>
      <c r="G157" s="1349"/>
      <c r="H157" s="1349"/>
      <c r="I157" s="1349"/>
      <c r="J157" s="1349"/>
      <c r="K157" s="1349"/>
      <c r="L157" s="1349"/>
      <c r="M157" s="1349"/>
      <c r="N157" s="1349"/>
      <c r="O157" s="1349"/>
      <c r="P157" s="1349"/>
      <c r="Q157" s="1349"/>
      <c r="R157" s="1349"/>
      <c r="S157" s="1349"/>
      <c r="T157" s="1349"/>
      <c r="U157" s="1349"/>
      <c r="V157" s="1349"/>
      <c r="W157" s="1349"/>
      <c r="X157" s="1349"/>
      <c r="Y157" s="1349"/>
      <c r="Z157" s="1349"/>
    </row>
    <row r="158" spans="1:26" ht="96.6" x14ac:dyDescent="0.3">
      <c r="A158" s="1371" t="s">
        <v>3161</v>
      </c>
      <c r="B158" s="1353" t="str">
        <f>"Todas las limitaciones generan sesgo CONSERVADOR (a la baja). El ICPI auditado de "&amp;TEXT('M5-ICPI'!G29,"0,00")&amp;"% es un PISO, no un techo. El cumplimiento real podría ser inferior ante opacidad total."</f>
        <v>Todas las limitaciones generan sesgo CONSERVADOR (a la baja). El ICPI auditado de 38,28% es un PISO, no un techo. El cumplimiento real podría ser inferior ante opacidad total.</v>
      </c>
      <c r="C158" s="1353" t="s">
        <v>3162</v>
      </c>
      <c r="D158" s="1353" t="str">
        <f>"ICPI "&amp;TEXT('M5-ICPI'!G29,"0,00")&amp;"% = Piso mínimo garantizado"</f>
        <v>ICPI 38,28% = Piso mínimo garantizado</v>
      </c>
      <c r="E158" s="1353" t="s">
        <v>3163</v>
      </c>
      <c r="F158" s="520"/>
      <c r="G158" s="1349"/>
      <c r="H158" s="1349"/>
      <c r="I158" s="1349"/>
      <c r="J158" s="1349"/>
      <c r="K158" s="1349"/>
      <c r="L158" s="1349"/>
      <c r="M158" s="1349"/>
      <c r="N158" s="1349"/>
      <c r="O158" s="1349"/>
      <c r="P158" s="1349"/>
      <c r="Q158" s="1349"/>
      <c r="R158" s="1349"/>
      <c r="S158" s="1349"/>
      <c r="T158" s="1349"/>
      <c r="U158" s="1349"/>
      <c r="V158" s="1349"/>
      <c r="W158" s="1349"/>
      <c r="X158" s="1349"/>
      <c r="Y158" s="1349"/>
      <c r="Z158" s="1349"/>
    </row>
    <row r="159" spans="1:26" ht="82.8" x14ac:dyDescent="0.3">
      <c r="A159" s="520" t="s">
        <v>3164</v>
      </c>
      <c r="B159" s="520" t="s">
        <v>3165</v>
      </c>
      <c r="C159" s="520" t="s">
        <v>3166</v>
      </c>
      <c r="D159" s="520" t="s">
        <v>3167</v>
      </c>
      <c r="E159" s="520" t="s">
        <v>3168</v>
      </c>
      <c r="F159" s="520"/>
      <c r="G159" s="1349"/>
      <c r="H159" s="1349"/>
      <c r="I159" s="1349"/>
      <c r="J159" s="1349"/>
      <c r="K159" s="1349"/>
      <c r="L159" s="1349"/>
      <c r="M159" s="1349"/>
      <c r="N159" s="1349"/>
      <c r="O159" s="1349"/>
      <c r="P159" s="1349"/>
      <c r="Q159" s="1349"/>
      <c r="R159" s="1349"/>
      <c r="S159" s="1349"/>
      <c r="T159" s="1349"/>
      <c r="U159" s="1349"/>
      <c r="V159" s="1349"/>
      <c r="W159" s="1349"/>
      <c r="X159" s="1349"/>
      <c r="Y159" s="1349"/>
      <c r="Z159" s="1349"/>
    </row>
    <row r="160" spans="1:26" x14ac:dyDescent="0.3">
      <c r="A160" s="1358"/>
      <c r="B160" s="1358"/>
      <c r="C160" s="1358"/>
      <c r="D160" s="1358"/>
      <c r="E160" s="1358"/>
      <c r="F160" s="520"/>
      <c r="G160" s="1349"/>
      <c r="H160" s="1349"/>
      <c r="I160" s="1349"/>
      <c r="J160" s="1349"/>
      <c r="K160" s="1349"/>
      <c r="L160" s="1349"/>
      <c r="M160" s="1349"/>
      <c r="N160" s="1349"/>
      <c r="O160" s="1349"/>
      <c r="P160" s="1349"/>
      <c r="Q160" s="1349"/>
      <c r="R160" s="1349"/>
      <c r="S160" s="1349"/>
      <c r="T160" s="1349"/>
      <c r="U160" s="1349"/>
      <c r="V160" s="1349"/>
      <c r="W160" s="1349"/>
      <c r="X160" s="1349"/>
      <c r="Y160" s="1349"/>
      <c r="Z160" s="1349"/>
    </row>
    <row r="161" spans="1:26" ht="60.6" x14ac:dyDescent="0.3">
      <c r="A161" s="1355" t="s">
        <v>4563</v>
      </c>
      <c r="B161" s="4175"/>
      <c r="C161" s="4175"/>
      <c r="D161" s="4175"/>
      <c r="E161" s="4175"/>
      <c r="F161" s="4169"/>
      <c r="G161" s="4167"/>
      <c r="H161" s="4167"/>
      <c r="I161" s="4167"/>
      <c r="J161" s="4167"/>
      <c r="K161" s="4167"/>
      <c r="L161" s="4167"/>
      <c r="M161" s="4167"/>
      <c r="N161" s="4167"/>
      <c r="O161" s="4167"/>
      <c r="P161" s="4167"/>
      <c r="Q161" s="4167"/>
      <c r="R161" s="4167"/>
      <c r="S161" s="4167"/>
      <c r="T161" s="4167"/>
      <c r="U161" s="4167"/>
      <c r="V161" s="4167"/>
      <c r="W161" s="4167"/>
      <c r="X161" s="4167"/>
      <c r="Y161" s="4167"/>
      <c r="Z161" s="4167"/>
    </row>
    <row r="162" spans="1:26" ht="41.4" x14ac:dyDescent="0.3">
      <c r="A162" s="1356" t="s">
        <v>4457</v>
      </c>
      <c r="B162" s="1353"/>
      <c r="C162" s="1353"/>
      <c r="D162" s="1353"/>
      <c r="E162" s="1353"/>
      <c r="F162" s="520"/>
      <c r="G162" s="1349"/>
      <c r="H162" s="1349"/>
      <c r="I162" s="1349"/>
      <c r="J162" s="1349"/>
      <c r="K162" s="1349"/>
      <c r="L162" s="1349"/>
      <c r="M162" s="1349"/>
      <c r="N162" s="1349"/>
      <c r="O162" s="1349"/>
      <c r="P162" s="1349"/>
      <c r="Q162" s="1349"/>
      <c r="R162" s="1349"/>
      <c r="S162" s="1349"/>
      <c r="T162" s="1349"/>
      <c r="U162" s="1349"/>
      <c r="V162" s="1349"/>
      <c r="W162" s="1349"/>
      <c r="X162" s="1349"/>
      <c r="Y162" s="1349"/>
      <c r="Z162" s="1349" t="s">
        <v>4448</v>
      </c>
    </row>
    <row r="163" spans="1:26" ht="24.6" x14ac:dyDescent="0.3">
      <c r="A163" s="1355" t="s">
        <v>4458</v>
      </c>
      <c r="B163" s="1351"/>
      <c r="C163" s="1351"/>
      <c r="D163" s="1351"/>
      <c r="E163" s="1351"/>
      <c r="F163" s="520"/>
      <c r="G163" s="1349"/>
      <c r="H163" s="1349"/>
      <c r="I163" s="1349"/>
      <c r="J163" s="1349"/>
      <c r="K163" s="1349"/>
      <c r="L163" s="1349"/>
      <c r="M163" s="1349"/>
      <c r="N163" s="1349"/>
      <c r="O163" s="1349"/>
      <c r="P163" s="1349"/>
      <c r="Q163" s="1349"/>
      <c r="R163" s="1349"/>
      <c r="S163" s="1349"/>
      <c r="T163" s="1349"/>
      <c r="U163" s="1349"/>
      <c r="V163" s="1349"/>
      <c r="W163" s="1349"/>
      <c r="X163" s="1349"/>
      <c r="Y163" s="1349"/>
      <c r="Z163" s="1349"/>
    </row>
    <row r="164" spans="1:26" ht="27.6" x14ac:dyDescent="0.3">
      <c r="A164" s="520" t="s">
        <v>4250</v>
      </c>
      <c r="B164" s="520"/>
      <c r="C164" s="520"/>
      <c r="D164" s="520"/>
      <c r="E164" s="520"/>
      <c r="F164" s="520"/>
      <c r="G164" s="1349"/>
      <c r="H164" s="1349"/>
      <c r="I164" s="1349"/>
      <c r="J164" s="1349"/>
      <c r="K164" s="1349"/>
      <c r="L164" s="1349"/>
      <c r="M164" s="1349"/>
      <c r="N164" s="1349"/>
      <c r="O164" s="1349"/>
      <c r="P164" s="1349"/>
      <c r="Q164" s="1349"/>
      <c r="R164" s="1349"/>
      <c r="S164" s="1349"/>
      <c r="T164" s="1349"/>
      <c r="U164" s="1349"/>
      <c r="V164" s="1349"/>
      <c r="W164" s="1349"/>
      <c r="X164" s="1349"/>
      <c r="Y164" s="1349"/>
      <c r="Z164" s="1349"/>
    </row>
    <row r="165" spans="1:26" x14ac:dyDescent="0.3">
      <c r="A165" s="1259" t="s">
        <v>3477</v>
      </c>
      <c r="B165" s="1259" t="s">
        <v>3478</v>
      </c>
      <c r="C165" s="1259" t="s">
        <v>3479</v>
      </c>
      <c r="D165" s="1259" t="s">
        <v>3480</v>
      </c>
      <c r="E165" s="1259"/>
      <c r="F165" s="520"/>
      <c r="G165" s="1349"/>
      <c r="H165" s="1349"/>
      <c r="I165" s="1349"/>
      <c r="J165" s="1349"/>
      <c r="K165" s="1349"/>
      <c r="L165" s="1349"/>
      <c r="M165" s="1349"/>
      <c r="N165" s="1349"/>
      <c r="O165" s="1349"/>
      <c r="P165" s="1349"/>
      <c r="Q165" s="1349"/>
      <c r="R165" s="1349"/>
      <c r="S165" s="1349"/>
      <c r="T165" s="1349"/>
      <c r="U165" s="1349"/>
      <c r="V165" s="1349"/>
      <c r="W165" s="1349"/>
      <c r="X165" s="1349"/>
      <c r="Y165" s="1349"/>
      <c r="Z165" s="1349"/>
    </row>
    <row r="166" spans="1:26" x14ac:dyDescent="0.3">
      <c r="A166" s="1372" t="s">
        <v>3481</v>
      </c>
      <c r="B166" s="1353"/>
      <c r="C166" s="1353"/>
      <c r="D166" s="1353"/>
      <c r="E166" s="1353"/>
      <c r="F166" s="520"/>
      <c r="G166" s="1349"/>
      <c r="H166" s="1349"/>
      <c r="I166" s="1349"/>
      <c r="J166" s="1349"/>
      <c r="K166" s="1349"/>
      <c r="L166" s="1349"/>
      <c r="M166" s="1349"/>
      <c r="N166" s="1349"/>
      <c r="O166" s="1349"/>
      <c r="P166" s="1349"/>
      <c r="Q166" s="1349"/>
      <c r="R166" s="1349"/>
      <c r="S166" s="1349"/>
      <c r="T166" s="1349"/>
      <c r="U166" s="1349"/>
      <c r="V166" s="1349"/>
      <c r="W166" s="1349"/>
      <c r="X166" s="1349"/>
      <c r="Y166" s="1349"/>
      <c r="Z166" s="1349"/>
    </row>
    <row r="167" spans="1:26" x14ac:dyDescent="0.3">
      <c r="A167" s="1373"/>
      <c r="B167" s="1351"/>
      <c r="C167" s="1351"/>
      <c r="D167" s="1351"/>
      <c r="E167" s="1351"/>
      <c r="F167" s="520"/>
      <c r="G167" s="1349"/>
      <c r="H167" s="1349"/>
      <c r="I167" s="1349"/>
      <c r="J167" s="1349"/>
      <c r="K167" s="1349"/>
      <c r="L167" s="1349"/>
      <c r="M167" s="1349"/>
      <c r="N167" s="1349"/>
      <c r="O167" s="1349"/>
      <c r="P167" s="1349"/>
      <c r="Q167" s="1349"/>
      <c r="R167" s="1349"/>
      <c r="S167" s="1349"/>
      <c r="T167" s="1349"/>
      <c r="U167" s="1349"/>
      <c r="V167" s="1349"/>
      <c r="W167" s="1349"/>
      <c r="X167" s="1349"/>
      <c r="Y167" s="1349"/>
      <c r="Z167" s="1349"/>
    </row>
    <row r="168" spans="1:26" ht="60.6" x14ac:dyDescent="0.3">
      <c r="A168" s="1372" t="s">
        <v>4564</v>
      </c>
      <c r="B168" s="4168"/>
      <c r="C168" s="4168"/>
      <c r="D168" s="4168"/>
      <c r="E168" s="4168"/>
      <c r="F168" s="4169"/>
      <c r="G168" s="4167"/>
      <c r="H168" s="4167"/>
      <c r="I168" s="4167"/>
      <c r="J168" s="4167"/>
      <c r="K168" s="4167"/>
      <c r="L168" s="4167"/>
      <c r="M168" s="4167"/>
      <c r="N168" s="4167"/>
      <c r="O168" s="4167"/>
      <c r="P168" s="4167"/>
      <c r="Q168" s="4167"/>
      <c r="R168" s="4167"/>
      <c r="S168" s="4167"/>
      <c r="T168" s="4167"/>
      <c r="U168" s="4167"/>
      <c r="V168" s="4167"/>
      <c r="W168" s="4167"/>
      <c r="X168" s="4167"/>
      <c r="Y168" s="4167"/>
      <c r="Z168" s="4167"/>
    </row>
    <row r="169" spans="1:26" ht="55.2" x14ac:dyDescent="0.3">
      <c r="A169" s="520" t="s">
        <v>4459</v>
      </c>
      <c r="B169" s="520" t="s">
        <v>4565</v>
      </c>
      <c r="C169" s="520" t="s">
        <v>3482</v>
      </c>
      <c r="D169" s="520"/>
      <c r="E169" s="520"/>
      <c r="F169" s="520"/>
      <c r="G169" s="1349"/>
      <c r="H169" s="1349"/>
      <c r="I169" s="1349"/>
      <c r="J169" s="1349"/>
      <c r="K169" s="1349"/>
      <c r="L169" s="1349" t="s">
        <v>4566</v>
      </c>
      <c r="M169" s="1349" t="s">
        <v>4556</v>
      </c>
      <c r="N169" s="1349"/>
      <c r="O169" s="1349"/>
      <c r="P169" s="1349"/>
      <c r="Q169" s="1349"/>
      <c r="R169" s="1349"/>
      <c r="S169" s="1349"/>
      <c r="T169" s="1349"/>
      <c r="U169" s="1349"/>
      <c r="V169" s="1349"/>
      <c r="W169" s="1349"/>
      <c r="X169" s="1349"/>
      <c r="Y169" s="1349"/>
      <c r="Z169" s="1349" t="s">
        <v>4448</v>
      </c>
    </row>
    <row r="170" spans="1:26" ht="24.6" x14ac:dyDescent="0.3">
      <c r="A170" s="1358" t="s">
        <v>4460</v>
      </c>
      <c r="B170" s="1358"/>
      <c r="C170" s="1358"/>
      <c r="D170" s="1358"/>
      <c r="E170" s="1358"/>
      <c r="F170" s="520"/>
      <c r="G170" s="1349"/>
      <c r="H170" s="1349"/>
      <c r="I170" s="1349"/>
      <c r="J170" s="1349"/>
      <c r="K170" s="1349"/>
      <c r="L170" s="1349"/>
      <c r="M170" s="1349"/>
      <c r="N170" s="1349"/>
      <c r="O170" s="1349"/>
      <c r="P170" s="1349"/>
      <c r="Q170" s="1349"/>
      <c r="R170" s="1349"/>
      <c r="S170" s="1349"/>
      <c r="T170" s="1349"/>
      <c r="U170" s="1349"/>
      <c r="V170" s="1349"/>
      <c r="W170" s="1349"/>
      <c r="X170" s="1349"/>
      <c r="Y170" s="1349"/>
      <c r="Z170" s="1349"/>
    </row>
    <row r="171" spans="1:26" ht="24.6" x14ac:dyDescent="0.3">
      <c r="A171" s="1352" t="s">
        <v>4251</v>
      </c>
      <c r="B171" s="1351"/>
      <c r="C171" s="1351"/>
      <c r="D171" s="1351"/>
      <c r="E171" s="1351"/>
      <c r="F171" s="520"/>
      <c r="G171" s="1349"/>
      <c r="H171" s="1349"/>
      <c r="I171" s="1349"/>
      <c r="J171" s="1349"/>
      <c r="K171" s="1349"/>
      <c r="L171" s="1349"/>
      <c r="M171" s="1349"/>
      <c r="N171" s="1349"/>
      <c r="O171" s="1349"/>
      <c r="P171" s="1349"/>
      <c r="Q171" s="1349"/>
      <c r="R171" s="1349"/>
      <c r="S171" s="1349"/>
      <c r="T171" s="1349"/>
      <c r="U171" s="1349"/>
      <c r="V171" s="1349"/>
      <c r="W171" s="1349"/>
      <c r="X171" s="1349"/>
      <c r="Y171" s="1349"/>
      <c r="Z171" s="1349"/>
    </row>
    <row r="172" spans="1:26" ht="36.6" x14ac:dyDescent="0.3">
      <c r="A172" s="1354" t="s">
        <v>3483</v>
      </c>
      <c r="B172" s="4168"/>
      <c r="C172" s="4168"/>
      <c r="D172" s="4168"/>
      <c r="E172" s="4168"/>
      <c r="F172" s="4169"/>
      <c r="G172" s="4167"/>
      <c r="H172" s="4167"/>
      <c r="I172" s="4167"/>
      <c r="J172" s="4167"/>
      <c r="K172" s="4167"/>
      <c r="L172" s="4167"/>
      <c r="M172" s="4167"/>
      <c r="N172" s="4167"/>
      <c r="O172" s="4167"/>
      <c r="P172" s="4167"/>
      <c r="Q172" s="4167"/>
      <c r="R172" s="4167"/>
      <c r="S172" s="4167"/>
      <c r="T172" s="4167"/>
      <c r="U172" s="4167"/>
      <c r="V172" s="4167"/>
      <c r="W172" s="4167"/>
      <c r="X172" s="4167"/>
      <c r="Y172" s="4167"/>
      <c r="Z172" s="4167"/>
    </row>
    <row r="173" spans="1:26" ht="193.2" x14ac:dyDescent="0.3">
      <c r="A173" s="1352" t="s">
        <v>3484</v>
      </c>
      <c r="B173" s="1351" t="s">
        <v>3485</v>
      </c>
      <c r="C173" s="1351" t="s">
        <v>3486</v>
      </c>
      <c r="D173" s="1351" t="s">
        <v>3487</v>
      </c>
      <c r="E173" s="1351" t="s">
        <v>3488</v>
      </c>
      <c r="F173" s="520" t="s">
        <v>106</v>
      </c>
      <c r="G173" s="1349" t="s">
        <v>3489</v>
      </c>
      <c r="H173" s="1349" t="s">
        <v>3490</v>
      </c>
      <c r="I173" s="1349" t="s">
        <v>3491</v>
      </c>
      <c r="J173" s="1349" t="s">
        <v>3492</v>
      </c>
      <c r="K173" s="1349" t="s">
        <v>3493</v>
      </c>
      <c r="L173" s="1349" t="s">
        <v>3494</v>
      </c>
      <c r="M173" s="1349" t="s">
        <v>3495</v>
      </c>
      <c r="N173" s="1349"/>
      <c r="O173" s="1349"/>
      <c r="P173" s="1349"/>
      <c r="Q173" s="1349"/>
      <c r="R173" s="1349"/>
      <c r="S173" s="1349"/>
      <c r="T173" s="1349"/>
      <c r="U173" s="1349"/>
      <c r="V173" s="1349"/>
      <c r="W173" s="1349"/>
      <c r="X173" s="1349"/>
      <c r="Y173" s="1349"/>
      <c r="Z173" s="1349"/>
    </row>
    <row r="174" spans="1:26" ht="179.4" x14ac:dyDescent="0.3">
      <c r="A174" s="520" t="s">
        <v>3496</v>
      </c>
      <c r="B174" s="520" t="s">
        <v>3497</v>
      </c>
      <c r="C174" s="520" t="s">
        <v>3498</v>
      </c>
      <c r="D174" s="520" t="s">
        <v>3499</v>
      </c>
      <c r="E174" s="520" t="s">
        <v>3500</v>
      </c>
      <c r="F174" s="520" t="s">
        <v>3501</v>
      </c>
      <c r="G174" s="1349" t="s">
        <v>3489</v>
      </c>
      <c r="H174" s="1349" t="s">
        <v>3502</v>
      </c>
      <c r="I174" s="1349" t="s">
        <v>3503</v>
      </c>
      <c r="J174" s="1349" t="s">
        <v>3504</v>
      </c>
      <c r="K174" s="1349" t="s">
        <v>3505</v>
      </c>
      <c r="L174" s="1349" t="s">
        <v>3506</v>
      </c>
      <c r="M174" s="1349" t="s">
        <v>3507</v>
      </c>
      <c r="N174" s="1349"/>
      <c r="O174" s="1349"/>
      <c r="P174" s="1349"/>
      <c r="Q174" s="1349"/>
      <c r="R174" s="1349"/>
      <c r="S174" s="1349"/>
      <c r="T174" s="1349"/>
      <c r="U174" s="1349"/>
      <c r="V174" s="1349"/>
      <c r="W174" s="1349"/>
      <c r="X174" s="1349"/>
      <c r="Y174" s="1349"/>
      <c r="Z174" s="1349"/>
    </row>
    <row r="175" spans="1:26" ht="207" x14ac:dyDescent="0.3">
      <c r="A175" s="520" t="s">
        <v>3508</v>
      </c>
      <c r="B175" s="520" t="s">
        <v>3509</v>
      </c>
      <c r="C175" s="520" t="s">
        <v>3510</v>
      </c>
      <c r="D175" s="520" t="s">
        <v>3511</v>
      </c>
      <c r="E175" s="520" t="s">
        <v>3512</v>
      </c>
      <c r="F175" s="520" t="s">
        <v>3513</v>
      </c>
      <c r="G175" s="1349" t="s">
        <v>3489</v>
      </c>
      <c r="H175" s="1349" t="s">
        <v>3514</v>
      </c>
      <c r="I175" s="1349" t="s">
        <v>3515</v>
      </c>
      <c r="J175" s="1349" t="s">
        <v>3516</v>
      </c>
      <c r="K175" s="1349" t="s">
        <v>3517</v>
      </c>
      <c r="L175" s="1349" t="s">
        <v>3518</v>
      </c>
      <c r="M175" s="1349" t="s">
        <v>3519</v>
      </c>
      <c r="N175" s="1349"/>
      <c r="O175" s="1349"/>
      <c r="P175" s="1349"/>
      <c r="Q175" s="1349"/>
      <c r="R175" s="1349"/>
      <c r="S175" s="1349"/>
      <c r="T175" s="1349"/>
      <c r="U175" s="1349"/>
      <c r="V175" s="1349"/>
      <c r="W175" s="1349"/>
      <c r="X175" s="1349"/>
      <c r="Y175" s="1349"/>
      <c r="Z175" s="1349"/>
    </row>
    <row r="176" spans="1:26" ht="165.6" x14ac:dyDescent="0.3">
      <c r="A176" s="520" t="s">
        <v>3520</v>
      </c>
      <c r="B176" s="520" t="s">
        <v>3521</v>
      </c>
      <c r="C176" s="520" t="s">
        <v>3522</v>
      </c>
      <c r="D176" s="520" t="s">
        <v>3523</v>
      </c>
      <c r="E176" s="520" t="s">
        <v>3524</v>
      </c>
      <c r="F176" s="520" t="s">
        <v>3525</v>
      </c>
      <c r="G176" s="1349" t="s">
        <v>3489</v>
      </c>
      <c r="H176" s="1349" t="s">
        <v>3526</v>
      </c>
      <c r="I176" s="1349" t="s">
        <v>3527</v>
      </c>
      <c r="J176" s="1349" t="s">
        <v>3528</v>
      </c>
      <c r="K176" s="1349" t="s">
        <v>3529</v>
      </c>
      <c r="L176" s="1349" t="s">
        <v>3530</v>
      </c>
      <c r="M176" s="1349" t="s">
        <v>3531</v>
      </c>
      <c r="N176" s="1349"/>
      <c r="O176" s="1349"/>
      <c r="P176" s="1349"/>
      <c r="Q176" s="1349"/>
      <c r="R176" s="1349"/>
      <c r="S176" s="1349"/>
      <c r="T176" s="1349"/>
      <c r="U176" s="1349"/>
      <c r="V176" s="1349"/>
      <c r="W176" s="1349"/>
      <c r="X176" s="1349"/>
      <c r="Y176" s="1349"/>
      <c r="Z176" s="1349"/>
    </row>
    <row r="177" spans="1:26" ht="207" x14ac:dyDescent="0.3">
      <c r="A177" s="1360" t="s">
        <v>3532</v>
      </c>
      <c r="B177" s="1360" t="s">
        <v>3533</v>
      </c>
      <c r="C177" s="1360" t="s">
        <v>3534</v>
      </c>
      <c r="D177" s="1360" t="s">
        <v>3535</v>
      </c>
      <c r="E177" s="1360" t="str">
        <f>"ICM SIGAD · SENPLADES/SNP línea 05 Montecristi · ICM 2023-2024="&amp;TEXT('M-TECH-PARAMS'!B7*100,"0,00")&amp;"%"</f>
        <v>ICM SIGAD · SENPLADES/SNP línea 05 Montecristi · ICM 2023-2024=100,00%</v>
      </c>
      <c r="F177" s="1360" t="s">
        <v>3536</v>
      </c>
      <c r="G177" s="1349" t="s">
        <v>3489</v>
      </c>
      <c r="H177" s="1349" t="s">
        <v>3537</v>
      </c>
      <c r="I177" s="1349" t="s">
        <v>3538</v>
      </c>
      <c r="J177" s="1349" t="s">
        <v>3539</v>
      </c>
      <c r="K177" s="1349" t="s">
        <v>3540</v>
      </c>
      <c r="L177" s="1349" t="s">
        <v>3541</v>
      </c>
      <c r="M177" s="1349" t="s">
        <v>3542</v>
      </c>
      <c r="N177" s="1349"/>
      <c r="O177" s="1349"/>
      <c r="P177" s="1349"/>
      <c r="Q177" s="1349"/>
      <c r="R177" s="1349"/>
      <c r="S177" s="1349"/>
      <c r="T177" s="1349"/>
      <c r="U177" s="1349"/>
      <c r="V177" s="1349"/>
      <c r="W177" s="1349"/>
      <c r="X177" s="1349"/>
      <c r="Y177" s="1349"/>
      <c r="Z177" s="1349"/>
    </row>
    <row r="178" spans="1:26" ht="193.2" x14ac:dyDescent="0.3">
      <c r="A178" s="1254" t="s">
        <v>3543</v>
      </c>
      <c r="B178" s="1254" t="s">
        <v>3544</v>
      </c>
      <c r="C178" s="1254" t="s">
        <v>3545</v>
      </c>
      <c r="D178" s="1254" t="s">
        <v>3546</v>
      </c>
      <c r="E178" s="1254" t="s">
        <v>3547</v>
      </c>
      <c r="F178" s="1254" t="s">
        <v>383</v>
      </c>
      <c r="G178" s="1349" t="s">
        <v>3489</v>
      </c>
      <c r="H178" s="1349" t="s">
        <v>3548</v>
      </c>
      <c r="I178" s="1349" t="s">
        <v>3549</v>
      </c>
      <c r="J178" s="1349" t="s">
        <v>3550</v>
      </c>
      <c r="K178" s="1349" t="s">
        <v>3551</v>
      </c>
      <c r="L178" s="1349" t="s">
        <v>3552</v>
      </c>
      <c r="M178" s="1349" t="s">
        <v>3553</v>
      </c>
      <c r="N178" s="1349"/>
      <c r="O178" s="1349"/>
      <c r="P178" s="1349"/>
      <c r="Q178" s="1349"/>
      <c r="R178" s="1349"/>
      <c r="S178" s="1349"/>
      <c r="T178" s="1349"/>
      <c r="U178" s="1349"/>
      <c r="V178" s="1349"/>
      <c r="W178" s="1349"/>
      <c r="X178" s="1349"/>
      <c r="Y178" s="1349"/>
      <c r="Z178" s="1349"/>
    </row>
    <row r="179" spans="1:26" ht="65.400000000000006" x14ac:dyDescent="0.3">
      <c r="A179" s="1256" t="s">
        <v>3554</v>
      </c>
      <c r="B179" s="4166"/>
      <c r="C179" s="4166"/>
      <c r="D179" s="4166"/>
      <c r="E179" s="4166"/>
      <c r="F179" s="4166"/>
      <c r="G179" s="4167"/>
      <c r="H179" s="4167"/>
      <c r="I179" s="4167"/>
      <c r="J179" s="4167"/>
      <c r="K179" s="4167"/>
      <c r="L179" s="4167"/>
      <c r="M179" s="4167"/>
      <c r="N179" s="4167"/>
      <c r="O179" s="4167"/>
      <c r="P179" s="4167"/>
      <c r="Q179" s="4167"/>
      <c r="R179" s="4167"/>
      <c r="S179" s="4167"/>
      <c r="T179" s="4167"/>
      <c r="U179" s="4167"/>
      <c r="V179" s="4167"/>
      <c r="W179" s="4167"/>
      <c r="X179" s="4167"/>
      <c r="Y179" s="4167"/>
      <c r="Z179" s="4167"/>
    </row>
    <row r="180" spans="1:26" x14ac:dyDescent="0.3">
      <c r="A180" s="4163" t="s">
        <v>3555</v>
      </c>
      <c r="B180" s="4163"/>
      <c r="C180" s="4163"/>
      <c r="D180" s="4163"/>
      <c r="E180" s="4163"/>
      <c r="F180" s="4163"/>
      <c r="G180" s="4154"/>
      <c r="H180" s="4154"/>
      <c r="I180" s="4154"/>
      <c r="J180" s="4154"/>
      <c r="K180" s="4154"/>
      <c r="L180" s="4154"/>
      <c r="M180" s="4154"/>
      <c r="N180" s="4154"/>
      <c r="O180" s="4154"/>
      <c r="P180" s="4154"/>
      <c r="Q180" s="4154"/>
      <c r="R180" s="4154"/>
      <c r="S180" s="4154"/>
      <c r="T180" s="4154"/>
      <c r="U180" s="4154"/>
      <c r="V180" s="4154"/>
      <c r="W180" s="4154"/>
      <c r="X180" s="4154"/>
      <c r="Y180" s="4154"/>
      <c r="Z180" s="4154"/>
    </row>
    <row r="181" spans="1:26" x14ac:dyDescent="0.3">
      <c r="A181" s="1343" t="s">
        <v>3556</v>
      </c>
      <c r="B181" s="1343" t="s">
        <v>1518</v>
      </c>
      <c r="C181" s="1343" t="s">
        <v>3557</v>
      </c>
      <c r="D181" s="1343" t="s">
        <v>3558</v>
      </c>
      <c r="E181" s="1343" t="s">
        <v>3559</v>
      </c>
      <c r="F181" s="1343"/>
      <c r="G181" s="1349"/>
      <c r="H181" s="1349"/>
      <c r="I181" s="1349"/>
      <c r="J181" s="1349"/>
      <c r="K181" s="1349"/>
      <c r="L181" s="1349"/>
      <c r="M181" s="1349"/>
      <c r="N181" s="1349"/>
      <c r="O181" s="1349"/>
      <c r="P181" s="1349"/>
      <c r="Q181" s="1349"/>
      <c r="R181" s="1349"/>
      <c r="S181" s="1349"/>
      <c r="T181" s="1349"/>
      <c r="U181" s="1349"/>
      <c r="V181" s="1349"/>
      <c r="W181" s="1349"/>
      <c r="X181" s="1349"/>
      <c r="Y181" s="1349"/>
      <c r="Z181" s="1349"/>
    </row>
    <row r="182" spans="1:26" ht="27.6" x14ac:dyDescent="0.3">
      <c r="A182" s="520" t="s">
        <v>3560</v>
      </c>
      <c r="B182" s="520" t="s">
        <v>4547</v>
      </c>
      <c r="C182" s="520" t="s">
        <v>4567</v>
      </c>
      <c r="D182" s="520" t="s">
        <v>3561</v>
      </c>
      <c r="E182" s="520"/>
      <c r="F182" s="520"/>
      <c r="G182" s="1349"/>
      <c r="H182" s="1349"/>
      <c r="I182" s="1349"/>
      <c r="J182" s="1349"/>
      <c r="K182" s="1349"/>
      <c r="L182" s="1349"/>
      <c r="M182" s="1349"/>
      <c r="N182" s="1349"/>
      <c r="O182" s="1349"/>
      <c r="P182" s="1349"/>
      <c r="Q182" s="1349"/>
      <c r="R182" s="1349"/>
      <c r="S182" s="1349"/>
      <c r="T182" s="1349"/>
      <c r="U182" s="1349"/>
      <c r="V182" s="1349"/>
      <c r="W182" s="1349"/>
      <c r="X182" s="1349"/>
      <c r="Y182" s="1349"/>
      <c r="Z182" s="1349"/>
    </row>
    <row r="183" spans="1:26" ht="24.6" x14ac:dyDescent="0.3">
      <c r="A183" s="1258" t="s">
        <v>3562</v>
      </c>
      <c r="B183" s="1258" t="s">
        <v>4568</v>
      </c>
      <c r="C183" s="1258" t="s">
        <v>4569</v>
      </c>
      <c r="D183" s="1258" t="s">
        <v>3563</v>
      </c>
      <c r="E183" s="1258" t="s">
        <v>3564</v>
      </c>
      <c r="F183" s="520"/>
      <c r="G183" s="1349"/>
      <c r="H183" s="1349"/>
      <c r="I183" s="1349"/>
      <c r="J183" s="1349"/>
      <c r="K183" s="1349"/>
      <c r="L183" s="1349"/>
      <c r="M183" s="1349"/>
      <c r="N183" s="1349"/>
      <c r="O183" s="1349"/>
      <c r="P183" s="1349"/>
      <c r="Q183" s="1349"/>
      <c r="R183" s="1349"/>
      <c r="S183" s="1349"/>
      <c r="T183" s="1349"/>
      <c r="U183" s="1349"/>
      <c r="V183" s="1349"/>
      <c r="W183" s="1349"/>
      <c r="X183" s="1349"/>
      <c r="Y183" s="1349"/>
      <c r="Z183" s="1349"/>
    </row>
    <row r="184" spans="1:26" ht="22.05" customHeight="1" x14ac:dyDescent="0.3">
      <c r="A184" s="1374" t="s">
        <v>3565</v>
      </c>
      <c r="B184" s="1375" t="s">
        <v>4570</v>
      </c>
      <c r="C184" s="1375" t="s">
        <v>4571</v>
      </c>
      <c r="D184" s="1375" t="s">
        <v>3566</v>
      </c>
      <c r="E184" s="1375" t="s">
        <v>3567</v>
      </c>
      <c r="F184" s="520"/>
      <c r="G184" s="1349"/>
      <c r="H184" s="1349"/>
      <c r="I184" s="1349"/>
      <c r="J184" s="1349"/>
      <c r="K184" s="1349"/>
      <c r="L184" s="1349"/>
      <c r="M184" s="1349"/>
      <c r="N184" s="1349"/>
      <c r="O184" s="1349"/>
      <c r="P184" s="1349"/>
      <c r="Q184" s="1349"/>
      <c r="R184" s="1349"/>
      <c r="S184" s="1349"/>
      <c r="T184" s="1349"/>
      <c r="U184" s="1349"/>
      <c r="V184" s="1349"/>
      <c r="W184" s="1349"/>
      <c r="X184" s="1349"/>
      <c r="Y184" s="1349"/>
      <c r="Z184" s="1349"/>
    </row>
    <row r="185" spans="1:26" x14ac:dyDescent="0.3">
      <c r="A185" s="520" t="s">
        <v>3568</v>
      </c>
      <c r="B185" s="520" t="s">
        <v>4548</v>
      </c>
      <c r="C185" s="520" t="s">
        <v>4572</v>
      </c>
      <c r="D185" s="520" t="s">
        <v>4573</v>
      </c>
      <c r="E185" s="520"/>
      <c r="F185" s="520"/>
      <c r="G185" s="1349"/>
      <c r="H185" s="1349"/>
      <c r="I185" s="1349"/>
      <c r="J185" s="1349"/>
      <c r="K185" s="1349"/>
      <c r="L185" s="1349"/>
      <c r="M185" s="1349"/>
      <c r="N185" s="1349"/>
      <c r="O185" s="1349"/>
      <c r="P185" s="1349"/>
      <c r="Q185" s="1349"/>
      <c r="R185" s="1349"/>
      <c r="S185" s="1349"/>
      <c r="T185" s="1349"/>
      <c r="U185" s="1349"/>
      <c r="V185" s="1349"/>
      <c r="W185" s="1349"/>
      <c r="X185" s="1349"/>
      <c r="Y185" s="1349"/>
      <c r="Z185" s="1349"/>
    </row>
    <row r="186" spans="1:26" ht="27.6" x14ac:dyDescent="0.3">
      <c r="A186" s="520" t="s">
        <v>3569</v>
      </c>
      <c r="B186" s="520" t="s">
        <v>4550</v>
      </c>
      <c r="C186" s="520" t="s">
        <v>4574</v>
      </c>
      <c r="D186" s="520" t="s">
        <v>4575</v>
      </c>
      <c r="E186" s="520"/>
      <c r="F186" s="520"/>
      <c r="G186" s="1349"/>
      <c r="H186" s="1349"/>
      <c r="I186" s="1349"/>
      <c r="J186" s="1349"/>
      <c r="K186" s="1349"/>
      <c r="L186" s="1349"/>
      <c r="M186" s="1349"/>
      <c r="N186" s="1349"/>
      <c r="O186" s="1349"/>
      <c r="P186" s="1349"/>
      <c r="Q186" s="1349"/>
      <c r="R186" s="1349"/>
      <c r="S186" s="1349"/>
      <c r="T186" s="1349"/>
      <c r="U186" s="1349"/>
      <c r="V186" s="1349"/>
      <c r="W186" s="1349"/>
      <c r="X186" s="1349"/>
      <c r="Y186" s="1349"/>
      <c r="Z186" s="1349"/>
    </row>
    <row r="187" spans="1:26" ht="27.6" x14ac:dyDescent="0.3">
      <c r="A187" s="520" t="s">
        <v>3570</v>
      </c>
      <c r="B187" s="1344">
        <v>46042</v>
      </c>
      <c r="C187" s="520" t="s">
        <v>4576</v>
      </c>
      <c r="D187" s="520" t="s">
        <v>4577</v>
      </c>
      <c r="E187" s="520" t="s">
        <v>3571</v>
      </c>
      <c r="F187" s="520"/>
      <c r="G187" s="1349"/>
      <c r="H187" s="1349"/>
      <c r="I187" s="1349"/>
      <c r="J187" s="1349"/>
      <c r="K187" s="1349"/>
      <c r="L187" s="1349"/>
      <c r="M187" s="1349"/>
      <c r="N187" s="1349"/>
      <c r="O187" s="1349"/>
      <c r="P187" s="1349"/>
      <c r="Q187" s="1349"/>
      <c r="R187" s="1349"/>
      <c r="S187" s="1349"/>
      <c r="T187" s="1349"/>
      <c r="U187" s="1349"/>
      <c r="V187" s="1349"/>
      <c r="W187" s="1349"/>
      <c r="X187" s="1349"/>
      <c r="Y187" s="1349"/>
      <c r="Z187" s="1349"/>
    </row>
    <row r="188" spans="1:26" ht="27.6" x14ac:dyDescent="0.3">
      <c r="A188" s="1360" t="s">
        <v>3572</v>
      </c>
      <c r="B188" s="1376">
        <v>46162</v>
      </c>
      <c r="C188" s="1360" t="s">
        <v>4578</v>
      </c>
      <c r="D188" s="1360" t="s">
        <v>4579</v>
      </c>
      <c r="E188" s="1360"/>
      <c r="F188" s="1360"/>
      <c r="G188" s="1349"/>
      <c r="H188" s="1349"/>
      <c r="I188" s="1349"/>
      <c r="J188" s="1349"/>
      <c r="K188" s="1349"/>
      <c r="L188" s="1349"/>
      <c r="M188" s="1349"/>
      <c r="N188" s="1349"/>
      <c r="O188" s="1349"/>
      <c r="P188" s="1349"/>
      <c r="Q188" s="1349"/>
      <c r="R188" s="1349"/>
      <c r="S188" s="1349"/>
      <c r="T188" s="1349"/>
      <c r="U188" s="1349"/>
      <c r="V188" s="1349"/>
      <c r="W188" s="1349"/>
      <c r="X188" s="1349"/>
      <c r="Y188" s="1349"/>
      <c r="Z188" s="1349"/>
    </row>
    <row r="189" spans="1:26" ht="24.6" x14ac:dyDescent="0.3">
      <c r="A189" s="1254" t="s">
        <v>3573</v>
      </c>
      <c r="B189" s="1254" t="s">
        <v>4580</v>
      </c>
      <c r="C189" s="1254" t="s">
        <v>4581</v>
      </c>
      <c r="D189" s="1254" t="s">
        <v>4582</v>
      </c>
      <c r="E189" s="1254"/>
      <c r="F189" s="1254"/>
      <c r="G189" s="1349"/>
      <c r="H189" s="1349"/>
      <c r="I189" s="1349"/>
      <c r="J189" s="1349"/>
      <c r="K189" s="1349"/>
      <c r="L189" s="1349"/>
      <c r="M189" s="1349"/>
      <c r="N189" s="1349"/>
      <c r="O189" s="1349"/>
      <c r="P189" s="1349"/>
      <c r="Q189" s="1349"/>
      <c r="R189" s="1349"/>
      <c r="S189" s="1349"/>
      <c r="T189" s="1349"/>
      <c r="U189" s="1349"/>
      <c r="V189" s="1349"/>
      <c r="W189" s="1349"/>
      <c r="X189" s="1349"/>
      <c r="Y189" s="1349"/>
      <c r="Z189" s="1349"/>
    </row>
    <row r="190" spans="1:26" ht="22.2" x14ac:dyDescent="0.3">
      <c r="A190" s="1256" t="s">
        <v>3574</v>
      </c>
      <c r="B190" s="1256" t="s">
        <v>3575</v>
      </c>
      <c r="C190" s="1256" t="str">
        <f>TEXT('M-TECH-PARAMS'!B7*100,"0,00")&amp;"% · Fuente: Reportes Oficiales ICM SIGAD 2023-2024 · Confirmado auditoría forense"</f>
        <v>100,00% · Fuente: Reportes Oficiales ICM SIGAD 2023-2024 · Confirmado auditoría forense</v>
      </c>
      <c r="D190" s="1256" t="s">
        <v>3576</v>
      </c>
      <c r="E190" s="1256" t="s">
        <v>3577</v>
      </c>
      <c r="F190" s="1256"/>
      <c r="G190" s="1349"/>
      <c r="H190" s="1349"/>
      <c r="I190" s="1349"/>
      <c r="J190" s="1349"/>
      <c r="K190" s="1349"/>
      <c r="L190" s="1349"/>
      <c r="M190" s="1349"/>
      <c r="N190" s="1349"/>
      <c r="O190" s="1349"/>
      <c r="P190" s="1349"/>
      <c r="Q190" s="1349"/>
      <c r="R190" s="1349"/>
      <c r="S190" s="1349"/>
      <c r="T190" s="1349"/>
      <c r="U190" s="1349"/>
      <c r="V190" s="1349"/>
      <c r="W190" s="1349"/>
      <c r="X190" s="1349"/>
      <c r="Y190" s="1349"/>
      <c r="Z190" s="1349"/>
    </row>
    <row r="191" spans="1:26" ht="22.2" x14ac:dyDescent="0.3">
      <c r="A191" s="1256" t="s">
        <v>3578</v>
      </c>
      <c r="B191" s="1256" t="s">
        <v>4583</v>
      </c>
      <c r="C191" s="1256" t="s">
        <v>4584</v>
      </c>
      <c r="D191" s="1256" t="s">
        <v>3579</v>
      </c>
      <c r="E191" s="1256"/>
      <c r="F191" s="1256"/>
      <c r="G191" s="1349"/>
      <c r="H191" s="1349"/>
      <c r="I191" s="1349"/>
      <c r="J191" s="1349"/>
      <c r="K191" s="1349"/>
      <c r="L191" s="1349"/>
      <c r="M191" s="1349"/>
      <c r="N191" s="1349"/>
      <c r="O191" s="1349"/>
      <c r="P191" s="1349"/>
      <c r="Q191" s="1349"/>
      <c r="R191" s="1349"/>
      <c r="S191" s="1349"/>
      <c r="T191" s="1349"/>
      <c r="U191" s="1349"/>
      <c r="V191" s="1349"/>
      <c r="W191" s="1349"/>
      <c r="X191" s="1349"/>
      <c r="Y191" s="1349"/>
      <c r="Z191" s="1349"/>
    </row>
    <row r="192" spans="1:26" ht="27.6" x14ac:dyDescent="0.3">
      <c r="A192" s="1343" t="s">
        <v>3580</v>
      </c>
      <c r="B192" s="1343" t="s">
        <v>4585</v>
      </c>
      <c r="C192" s="1343" t="s">
        <v>4586</v>
      </c>
      <c r="D192" s="1343" t="s">
        <v>4587</v>
      </c>
      <c r="E192" s="1343" t="s">
        <v>3581</v>
      </c>
      <c r="F192" s="1343"/>
      <c r="G192" s="1349"/>
      <c r="H192" s="1349"/>
      <c r="I192" s="1349"/>
      <c r="J192" s="1349"/>
      <c r="K192" s="1349"/>
      <c r="L192" s="1349"/>
      <c r="M192" s="1349"/>
      <c r="N192" s="1349"/>
      <c r="O192" s="1349"/>
      <c r="P192" s="1349"/>
      <c r="Q192" s="1349"/>
      <c r="R192" s="1349"/>
      <c r="S192" s="1349"/>
      <c r="T192" s="1349"/>
      <c r="U192" s="1349"/>
      <c r="V192" s="1349"/>
      <c r="W192" s="1349"/>
      <c r="X192" s="1349"/>
      <c r="Y192" s="1349"/>
      <c r="Z192" s="1349"/>
    </row>
    <row r="193" spans="1:26" ht="36.6" x14ac:dyDescent="0.3">
      <c r="A193" s="1358" t="s">
        <v>3582</v>
      </c>
      <c r="B193" s="1358" t="s">
        <v>4588</v>
      </c>
      <c r="C193" s="1358" t="s">
        <v>4589</v>
      </c>
      <c r="D193" s="1358" t="s">
        <v>4590</v>
      </c>
      <c r="E193" s="1358" t="s">
        <v>3583</v>
      </c>
      <c r="F193" s="520"/>
      <c r="G193" s="1349"/>
      <c r="H193" s="1349"/>
      <c r="I193" s="1349"/>
      <c r="J193" s="1349"/>
      <c r="K193" s="1349"/>
      <c r="L193" s="1349"/>
      <c r="M193" s="1349"/>
      <c r="N193" s="1349"/>
      <c r="O193" s="1349"/>
      <c r="P193" s="1349"/>
      <c r="Q193" s="1349"/>
      <c r="R193" s="1349"/>
      <c r="S193" s="1349"/>
      <c r="T193" s="1349"/>
      <c r="U193" s="1349"/>
      <c r="V193" s="1349"/>
      <c r="W193" s="1349"/>
      <c r="X193" s="1349"/>
      <c r="Y193" s="1349"/>
      <c r="Z193" s="1349"/>
    </row>
    <row r="194" spans="1:26" x14ac:dyDescent="0.3">
      <c r="A194" s="4164" t="s">
        <v>3584</v>
      </c>
      <c r="B194" s="4165"/>
      <c r="C194" s="4165"/>
      <c r="D194" s="4165"/>
      <c r="E194" s="4165"/>
      <c r="F194" s="4165"/>
      <c r="G194" s="4154"/>
      <c r="H194" s="4154"/>
      <c r="I194" s="4154"/>
      <c r="J194" s="4154"/>
      <c r="K194" s="4154"/>
      <c r="L194" s="4154"/>
      <c r="M194" s="4154"/>
      <c r="N194" s="4154"/>
      <c r="O194" s="4154"/>
      <c r="P194" s="4154"/>
      <c r="Q194" s="4154"/>
      <c r="R194" s="4154"/>
      <c r="S194" s="4154"/>
      <c r="T194" s="4154"/>
      <c r="U194" s="4154"/>
      <c r="V194" s="4154"/>
      <c r="W194" s="4154"/>
      <c r="X194" s="4154"/>
      <c r="Y194" s="4154"/>
      <c r="Z194" s="4154"/>
    </row>
    <row r="195" spans="1:26" ht="69" x14ac:dyDescent="0.3">
      <c r="A195" s="1355" t="s">
        <v>917</v>
      </c>
      <c r="B195" s="1351" t="s">
        <v>3585</v>
      </c>
      <c r="C195" s="1351" t="s">
        <v>3586</v>
      </c>
      <c r="D195" s="1351" t="s">
        <v>3587</v>
      </c>
      <c r="E195" s="1351" t="s">
        <v>3588</v>
      </c>
      <c r="F195" s="1351" t="s">
        <v>700</v>
      </c>
      <c r="G195" s="1349" t="s">
        <v>30</v>
      </c>
      <c r="H195" s="1349" t="s">
        <v>2972</v>
      </c>
      <c r="I195" s="1349"/>
      <c r="J195" s="1349"/>
      <c r="K195" s="1349"/>
      <c r="L195" s="1349"/>
      <c r="M195" s="1349"/>
      <c r="N195" s="1349"/>
      <c r="O195" s="1349"/>
      <c r="P195" s="1349"/>
      <c r="Q195" s="1349"/>
      <c r="R195" s="1349"/>
      <c r="S195" s="1349"/>
      <c r="T195" s="1349"/>
      <c r="U195" s="1349"/>
      <c r="V195" s="1349"/>
      <c r="W195" s="1349"/>
      <c r="X195" s="1349"/>
      <c r="Y195" s="1349"/>
      <c r="Z195" s="1349"/>
    </row>
    <row r="196" spans="1:26" ht="151.80000000000001" x14ac:dyDescent="0.3">
      <c r="A196" s="1356" t="s">
        <v>3589</v>
      </c>
      <c r="B196" s="1353">
        <v>46089</v>
      </c>
      <c r="C196" s="1353" t="s">
        <v>3590</v>
      </c>
      <c r="D196" s="1353" t="s">
        <v>3591</v>
      </c>
      <c r="E196" s="1353" t="s">
        <v>3592</v>
      </c>
      <c r="F196" s="1353" t="s">
        <v>3593</v>
      </c>
      <c r="G196" s="1349" t="s">
        <v>3594</v>
      </c>
      <c r="H196" s="1349" t="s">
        <v>3595</v>
      </c>
      <c r="I196" s="1349"/>
      <c r="J196" s="1349"/>
      <c r="K196" s="1349"/>
      <c r="L196" s="1349"/>
      <c r="M196" s="1349"/>
      <c r="N196" s="1349"/>
      <c r="O196" s="1349"/>
      <c r="P196" s="1349"/>
      <c r="Q196" s="1349"/>
      <c r="R196" s="1349"/>
      <c r="S196" s="1349"/>
      <c r="T196" s="1349"/>
      <c r="U196" s="1349"/>
      <c r="V196" s="1349"/>
      <c r="W196" s="1349"/>
      <c r="X196" s="1349"/>
      <c r="Y196" s="1349"/>
      <c r="Z196" s="1349"/>
    </row>
    <row r="197" spans="1:26" ht="151.80000000000001" x14ac:dyDescent="0.3">
      <c r="A197" s="1355" t="s">
        <v>3589</v>
      </c>
      <c r="B197" s="1377">
        <v>46237</v>
      </c>
      <c r="C197" s="1351" t="s">
        <v>3596</v>
      </c>
      <c r="D197" s="1351" t="s">
        <v>3597</v>
      </c>
      <c r="E197" s="1351" t="s">
        <v>3592</v>
      </c>
      <c r="F197" s="1351" t="s">
        <v>3593</v>
      </c>
      <c r="G197" s="1349" t="s">
        <v>3594</v>
      </c>
      <c r="H197" s="1349" t="s">
        <v>3595</v>
      </c>
      <c r="I197" s="1349"/>
      <c r="J197" s="1349"/>
      <c r="K197" s="1349"/>
      <c r="L197" s="1349"/>
      <c r="M197" s="1349"/>
      <c r="N197" s="1349"/>
      <c r="O197" s="1349"/>
      <c r="P197" s="1349"/>
      <c r="Q197" s="1349"/>
      <c r="R197" s="1349"/>
      <c r="S197" s="1349"/>
      <c r="T197" s="1349"/>
      <c r="U197" s="1349"/>
      <c r="V197" s="1349"/>
      <c r="W197" s="1349"/>
      <c r="X197" s="1349"/>
      <c r="Y197" s="1349"/>
      <c r="Z197" s="1349"/>
    </row>
    <row r="198" spans="1:26" ht="24.6" x14ac:dyDescent="0.3">
      <c r="A198" s="1356"/>
      <c r="B198" s="1353" t="s">
        <v>3598</v>
      </c>
      <c r="C198" s="1353"/>
      <c r="D198" s="1353"/>
      <c r="E198" s="1353"/>
      <c r="F198" s="1353"/>
      <c r="G198" s="1349"/>
      <c r="H198" s="1349"/>
      <c r="I198" s="1349"/>
      <c r="J198" s="1349"/>
      <c r="K198" s="1349"/>
      <c r="L198" s="1349"/>
      <c r="M198" s="1349"/>
      <c r="N198" s="1349"/>
      <c r="O198" s="1349"/>
      <c r="P198" s="1349"/>
      <c r="Q198" s="1349"/>
      <c r="R198" s="1349"/>
      <c r="S198" s="1349"/>
      <c r="T198" s="1349"/>
      <c r="U198" s="1349"/>
      <c r="V198" s="1349"/>
      <c r="W198" s="1349"/>
      <c r="X198" s="1349"/>
      <c r="Y198" s="1349"/>
      <c r="Z198" s="1349"/>
    </row>
    <row r="199" spans="1:26" x14ac:dyDescent="0.3">
      <c r="A199" s="1355"/>
      <c r="B199" s="1351"/>
      <c r="C199" s="1351"/>
      <c r="D199" s="1351"/>
      <c r="E199" s="1351"/>
      <c r="F199" s="1351"/>
      <c r="G199" s="1349"/>
      <c r="H199" s="1349"/>
      <c r="I199" s="1349"/>
      <c r="J199" s="1349"/>
      <c r="K199" s="1349"/>
      <c r="L199" s="1349"/>
      <c r="M199" s="1349"/>
      <c r="N199" s="1349"/>
      <c r="O199" s="1349"/>
      <c r="P199" s="1349"/>
      <c r="Q199" s="1349"/>
      <c r="R199" s="1349"/>
      <c r="S199" s="1349"/>
      <c r="T199" s="1349"/>
      <c r="U199" s="1349"/>
      <c r="V199" s="1349"/>
      <c r="W199" s="1349"/>
      <c r="X199" s="1349"/>
      <c r="Y199" s="1349"/>
      <c r="Z199" s="1349"/>
    </row>
    <row r="200" spans="1:26" ht="25.95" customHeight="1" x14ac:dyDescent="0.3">
      <c r="A200" s="1256"/>
      <c r="B200" s="1256"/>
      <c r="C200" s="1256"/>
      <c r="D200" s="1256"/>
      <c r="E200" s="1256"/>
      <c r="F200" s="1256"/>
      <c r="G200" s="1349"/>
      <c r="H200" s="1349"/>
      <c r="I200" s="1349"/>
      <c r="J200" s="1349"/>
      <c r="K200" s="1349"/>
      <c r="L200" s="1349"/>
      <c r="M200" s="1349"/>
      <c r="N200" s="1349"/>
      <c r="O200" s="1349"/>
      <c r="P200" s="1349"/>
      <c r="Q200" s="1349"/>
      <c r="R200" s="1349"/>
      <c r="S200" s="1349"/>
      <c r="T200" s="1349"/>
      <c r="U200" s="1349"/>
      <c r="V200" s="1349"/>
      <c r="W200" s="1349"/>
      <c r="X200" s="1349"/>
      <c r="Y200" s="1349"/>
      <c r="Z200" s="1349"/>
    </row>
    <row r="201" spans="1:26" x14ac:dyDescent="0.3">
      <c r="A201" s="1343"/>
      <c r="B201" s="1343"/>
      <c r="C201" s="1343"/>
      <c r="D201" s="1343"/>
      <c r="E201" s="1343"/>
      <c r="F201" s="520"/>
      <c r="G201" s="1349"/>
      <c r="H201" s="1349"/>
      <c r="I201" s="1349"/>
      <c r="J201" s="1349"/>
      <c r="K201" s="1349"/>
      <c r="L201" s="1349"/>
      <c r="M201" s="1349"/>
      <c r="N201" s="1349"/>
      <c r="O201" s="1349"/>
      <c r="P201" s="1349"/>
      <c r="Q201" s="1349"/>
      <c r="R201" s="1349"/>
      <c r="S201" s="1349"/>
      <c r="T201" s="1349"/>
      <c r="U201" s="1349"/>
      <c r="V201" s="1349"/>
      <c r="W201" s="1349"/>
      <c r="X201" s="1349"/>
      <c r="Y201" s="1349"/>
      <c r="Z201" s="1349"/>
    </row>
    <row r="202" spans="1:26" x14ac:dyDescent="0.3">
      <c r="A202" s="1379"/>
      <c r="B202" s="1276"/>
      <c r="C202" s="1276"/>
      <c r="D202" s="1276"/>
      <c r="E202" s="1279"/>
      <c r="F202" s="520"/>
      <c r="G202" s="1349"/>
      <c r="H202" s="1349"/>
      <c r="I202" s="1349"/>
      <c r="J202" s="1349"/>
      <c r="K202" s="1349"/>
      <c r="L202" s="1349"/>
      <c r="M202" s="1349"/>
      <c r="N202" s="1349"/>
      <c r="O202" s="1349"/>
      <c r="P202" s="1349"/>
      <c r="Q202" s="1349"/>
      <c r="R202" s="1349"/>
      <c r="S202" s="1349"/>
      <c r="T202" s="1349"/>
      <c r="U202" s="1349"/>
      <c r="V202" s="1349"/>
      <c r="W202" s="1349"/>
      <c r="X202" s="1349"/>
      <c r="Y202" s="1349"/>
      <c r="Z202" s="1349"/>
    </row>
    <row r="203" spans="1:26" x14ac:dyDescent="0.3">
      <c r="A203" s="1446"/>
      <c r="B203" s="1445"/>
      <c r="C203" s="1445"/>
      <c r="D203" s="1445"/>
      <c r="E203" s="1449"/>
      <c r="F203" s="520"/>
      <c r="G203" s="1349"/>
      <c r="H203" s="1349"/>
      <c r="I203" s="1349"/>
      <c r="J203" s="1349"/>
      <c r="K203" s="1349"/>
      <c r="L203" s="1349"/>
      <c r="M203" s="1349"/>
      <c r="N203" s="1349"/>
      <c r="O203" s="1349"/>
      <c r="P203" s="1349"/>
      <c r="Q203" s="1349"/>
      <c r="R203" s="1349"/>
      <c r="S203" s="1349"/>
      <c r="T203" s="1349"/>
      <c r="U203" s="1349"/>
      <c r="V203" s="1349"/>
      <c r="W203" s="1349"/>
      <c r="X203" s="1349"/>
      <c r="Y203" s="1349"/>
      <c r="Z203" s="1349"/>
    </row>
    <row r="204" spans="1:26" x14ac:dyDescent="0.3">
      <c r="A204" s="1430"/>
      <c r="B204" s="1353"/>
      <c r="C204" s="1353"/>
      <c r="D204" s="1353"/>
      <c r="E204" s="1382"/>
      <c r="F204" s="520"/>
      <c r="G204" s="1349"/>
      <c r="H204" s="1349"/>
      <c r="I204" s="1349"/>
      <c r="J204" s="1349"/>
      <c r="K204" s="1349"/>
      <c r="L204" s="1349"/>
      <c r="M204" s="1349"/>
      <c r="N204" s="1349"/>
      <c r="O204" s="1349"/>
      <c r="P204" s="1349"/>
      <c r="Q204" s="1349"/>
      <c r="R204" s="1349"/>
      <c r="S204" s="1349"/>
      <c r="T204" s="1349"/>
      <c r="U204" s="1349"/>
      <c r="V204" s="1349"/>
      <c r="W204" s="1349"/>
      <c r="X204" s="1349"/>
      <c r="Y204" s="1349"/>
      <c r="Z204" s="1349"/>
    </row>
    <row r="205" spans="1:26" x14ac:dyDescent="0.3">
      <c r="A205" s="1429"/>
      <c r="B205" s="1351"/>
      <c r="C205" s="1351"/>
      <c r="D205" s="1351"/>
      <c r="E205" s="1381"/>
      <c r="F205" s="520"/>
      <c r="G205" s="1349"/>
      <c r="H205" s="1349"/>
      <c r="I205" s="1349"/>
      <c r="J205" s="1349"/>
      <c r="K205" s="1349"/>
      <c r="L205" s="1349"/>
      <c r="M205" s="1349"/>
      <c r="N205" s="1349"/>
      <c r="O205" s="1349"/>
      <c r="P205" s="1349"/>
      <c r="Q205" s="1349"/>
      <c r="R205" s="1349"/>
      <c r="S205" s="1349"/>
      <c r="T205" s="1349"/>
      <c r="U205" s="1349"/>
      <c r="V205" s="1349"/>
      <c r="W205" s="1349"/>
      <c r="X205" s="1349"/>
      <c r="Y205" s="1349"/>
      <c r="Z205" s="1349"/>
    </row>
    <row r="206" spans="1:26" x14ac:dyDescent="0.3">
      <c r="A206" s="1430"/>
      <c r="B206" s="1353"/>
      <c r="C206" s="1353"/>
      <c r="D206" s="1353"/>
      <c r="E206" s="1382"/>
      <c r="F206" s="520"/>
      <c r="G206" s="1349"/>
      <c r="H206" s="1349"/>
      <c r="I206" s="1349"/>
      <c r="J206" s="1349"/>
      <c r="K206" s="1349"/>
      <c r="L206" s="1349"/>
      <c r="M206" s="1349"/>
      <c r="N206" s="1349"/>
      <c r="O206" s="1349"/>
      <c r="P206" s="1349"/>
      <c r="Q206" s="1349"/>
      <c r="R206" s="1349"/>
      <c r="S206" s="1349"/>
      <c r="T206" s="1349"/>
      <c r="U206" s="1349"/>
      <c r="V206" s="1349"/>
      <c r="W206" s="1349"/>
      <c r="X206" s="1349"/>
      <c r="Y206" s="1349"/>
      <c r="Z206" s="1349"/>
    </row>
    <row r="207" spans="1:26" x14ac:dyDescent="0.3">
      <c r="A207" s="1429"/>
      <c r="B207" s="1351"/>
      <c r="C207" s="1351"/>
      <c r="D207" s="1351"/>
      <c r="E207" s="1381"/>
      <c r="F207" s="520"/>
      <c r="G207" s="1349"/>
      <c r="H207" s="1349"/>
      <c r="I207" s="1349"/>
      <c r="J207" s="1349"/>
      <c r="K207" s="1349"/>
      <c r="L207" s="1349"/>
      <c r="M207" s="1349"/>
      <c r="N207" s="1349"/>
      <c r="O207" s="1349"/>
      <c r="P207" s="1349"/>
      <c r="Q207" s="1349"/>
      <c r="R207" s="1349"/>
      <c r="S207" s="1349"/>
      <c r="T207" s="1349"/>
      <c r="U207" s="1349"/>
      <c r="V207" s="1349"/>
      <c r="W207" s="1349"/>
      <c r="X207" s="1349"/>
      <c r="Y207" s="1349"/>
      <c r="Z207" s="1349"/>
    </row>
    <row r="208" spans="1:26" x14ac:dyDescent="0.3">
      <c r="A208" s="1430"/>
      <c r="B208" s="1353"/>
      <c r="C208" s="1353"/>
      <c r="D208" s="1353"/>
      <c r="E208" s="1382"/>
      <c r="F208" s="520"/>
      <c r="G208" s="1349"/>
      <c r="H208" s="1349"/>
      <c r="I208" s="1349"/>
      <c r="J208" s="1349"/>
      <c r="K208" s="1349"/>
      <c r="L208" s="1349"/>
      <c r="M208" s="1349"/>
      <c r="N208" s="1349"/>
      <c r="O208" s="1349"/>
      <c r="P208" s="1349"/>
      <c r="Q208" s="1349"/>
      <c r="R208" s="1349"/>
      <c r="S208" s="1349"/>
      <c r="T208" s="1349"/>
      <c r="U208" s="1349"/>
      <c r="V208" s="1349"/>
      <c r="W208" s="1349"/>
      <c r="X208" s="1349"/>
      <c r="Y208" s="1349"/>
      <c r="Z208" s="1349"/>
    </row>
    <row r="209" spans="1:26" x14ac:dyDescent="0.3">
      <c r="A209" s="1429"/>
      <c r="B209" s="1351"/>
      <c r="C209" s="1351"/>
      <c r="D209" s="1351"/>
      <c r="E209" s="1381"/>
      <c r="F209" s="520"/>
      <c r="G209" s="1349"/>
      <c r="H209" s="1349"/>
      <c r="I209" s="1349"/>
      <c r="J209" s="1349"/>
      <c r="K209" s="1349"/>
      <c r="L209" s="1349"/>
      <c r="M209" s="1349"/>
      <c r="N209" s="1349"/>
      <c r="O209" s="1349"/>
      <c r="P209" s="1349"/>
      <c r="Q209" s="1349"/>
      <c r="R209" s="1349"/>
      <c r="S209" s="1349"/>
      <c r="T209" s="1349"/>
      <c r="U209" s="1349"/>
      <c r="V209" s="1349"/>
      <c r="W209" s="1349"/>
      <c r="X209" s="1349"/>
      <c r="Y209" s="1349"/>
      <c r="Z209" s="1349"/>
    </row>
    <row r="210" spans="1:26" x14ac:dyDescent="0.3">
      <c r="A210" s="1430"/>
      <c r="B210" s="1353"/>
      <c r="C210" s="1353"/>
      <c r="D210" s="1353"/>
      <c r="E210" s="1382"/>
      <c r="F210" s="520"/>
      <c r="G210" s="1349"/>
      <c r="H210" s="1349"/>
      <c r="I210" s="1349"/>
      <c r="J210" s="1349"/>
      <c r="K210" s="1349"/>
      <c r="L210" s="1349"/>
      <c r="M210" s="1349"/>
      <c r="N210" s="1349"/>
      <c r="O210" s="1349"/>
      <c r="P210" s="1349"/>
      <c r="Q210" s="1349"/>
      <c r="R210" s="1349"/>
      <c r="S210" s="1349"/>
      <c r="T210" s="1349"/>
      <c r="U210" s="1349"/>
      <c r="V210" s="1349"/>
      <c r="W210" s="1349"/>
      <c r="X210" s="1349"/>
      <c r="Y210" s="1349"/>
      <c r="Z210" s="1349"/>
    </row>
    <row r="211" spans="1:26" x14ac:dyDescent="0.3">
      <c r="A211" s="4176" t="s">
        <v>3599</v>
      </c>
      <c r="B211" s="4177"/>
      <c r="C211" s="4177"/>
      <c r="D211" s="4177"/>
      <c r="E211" s="4178"/>
      <c r="F211" s="3949"/>
      <c r="G211" s="4154"/>
      <c r="H211" s="4154"/>
      <c r="I211" s="4154"/>
      <c r="J211" s="4154"/>
      <c r="K211" s="4154"/>
      <c r="L211" s="4154"/>
      <c r="M211" s="4154"/>
      <c r="N211" s="4154"/>
      <c r="O211" s="4154"/>
      <c r="P211" s="4154"/>
      <c r="Q211" s="4154"/>
      <c r="R211" s="4154"/>
      <c r="S211" s="4154"/>
      <c r="T211" s="4154"/>
      <c r="U211" s="4154"/>
      <c r="V211" s="4154"/>
      <c r="W211" s="4154"/>
      <c r="X211" s="4154"/>
      <c r="Y211" s="4154"/>
      <c r="Z211" s="4154"/>
    </row>
    <row r="212" spans="1:26" ht="27.6" x14ac:dyDescent="0.3">
      <c r="A212" s="1430" t="s">
        <v>3600</v>
      </c>
      <c r="B212" s="1353" t="s">
        <v>3601</v>
      </c>
      <c r="C212" s="1353" t="s">
        <v>852</v>
      </c>
      <c r="D212" s="1353" t="s">
        <v>3602</v>
      </c>
      <c r="E212" s="1382" t="s">
        <v>101</v>
      </c>
      <c r="F212" s="520" t="s">
        <v>102</v>
      </c>
      <c r="G212" s="1349" t="s">
        <v>30</v>
      </c>
      <c r="H212" s="1349"/>
      <c r="I212" s="1349"/>
      <c r="J212" s="1349"/>
      <c r="K212" s="1349"/>
      <c r="L212" s="1349"/>
      <c r="M212" s="1349"/>
      <c r="N212" s="1349"/>
      <c r="O212" s="1349"/>
      <c r="P212" s="1349"/>
      <c r="Q212" s="1349"/>
      <c r="R212" s="1349"/>
      <c r="S212" s="1349"/>
      <c r="T212" s="1349"/>
      <c r="U212" s="1349"/>
      <c r="V212" s="1349"/>
      <c r="W212" s="1349"/>
      <c r="X212" s="1349"/>
      <c r="Y212" s="1349"/>
      <c r="Z212" s="1349"/>
    </row>
    <row r="213" spans="1:26" ht="55.2" x14ac:dyDescent="0.3">
      <c r="A213" s="1447">
        <v>46087</v>
      </c>
      <c r="B213" s="1351" t="s">
        <v>3603</v>
      </c>
      <c r="C213" s="1351" t="s">
        <v>3604</v>
      </c>
      <c r="D213" s="1351" t="s">
        <v>3605</v>
      </c>
      <c r="E213" s="1381" t="s">
        <v>103</v>
      </c>
      <c r="F213" s="520" t="s">
        <v>105</v>
      </c>
      <c r="G213" s="1349" t="s">
        <v>3489</v>
      </c>
      <c r="H213" s="1349"/>
      <c r="I213" s="1349"/>
      <c r="J213" s="1349"/>
      <c r="K213" s="1349"/>
      <c r="L213" s="1349"/>
      <c r="M213" s="1349"/>
      <c r="N213" s="1349"/>
      <c r="O213" s="1349"/>
      <c r="P213" s="1349"/>
      <c r="Q213" s="1349"/>
      <c r="R213" s="1349"/>
      <c r="S213" s="1349"/>
      <c r="T213" s="1349"/>
      <c r="U213" s="1349"/>
      <c r="V213" s="1349"/>
      <c r="W213" s="1349"/>
      <c r="X213" s="1349"/>
      <c r="Y213" s="1349"/>
      <c r="Z213" s="1349"/>
    </row>
    <row r="214" spans="1:26" ht="24.6" x14ac:dyDescent="0.3">
      <c r="A214" s="1448">
        <v>1</v>
      </c>
      <c r="B214" s="1378" t="s">
        <v>112</v>
      </c>
      <c r="C214" s="1378" t="s">
        <v>3606</v>
      </c>
      <c r="D214" s="1378" t="s">
        <v>3607</v>
      </c>
      <c r="E214" s="1383" t="s">
        <v>3608</v>
      </c>
      <c r="F214" s="520" t="s">
        <v>103</v>
      </c>
      <c r="G214" s="1349" t="s">
        <v>3609</v>
      </c>
      <c r="H214" s="1349"/>
      <c r="I214" s="1349"/>
      <c r="J214" s="1349"/>
      <c r="K214" s="1349"/>
      <c r="L214" s="1349"/>
      <c r="M214" s="1349"/>
      <c r="N214" s="1349"/>
      <c r="O214" s="1349"/>
      <c r="P214" s="1349"/>
      <c r="Q214" s="1349"/>
      <c r="R214" s="1349"/>
      <c r="S214" s="1349"/>
      <c r="T214" s="1349"/>
      <c r="U214" s="1349"/>
      <c r="V214" s="1349"/>
      <c r="W214" s="1349"/>
      <c r="X214" s="1349"/>
      <c r="Y214" s="1349"/>
      <c r="Z214" s="1349"/>
    </row>
    <row r="215" spans="1:26" ht="27.6" x14ac:dyDescent="0.3">
      <c r="A215" s="520">
        <v>2</v>
      </c>
      <c r="B215" s="520" t="s">
        <v>266</v>
      </c>
      <c r="C215" s="520" t="s">
        <v>3606</v>
      </c>
      <c r="D215" s="520" t="s">
        <v>3610</v>
      </c>
      <c r="E215" s="520" t="s">
        <v>103</v>
      </c>
      <c r="F215" s="520" t="s">
        <v>3611</v>
      </c>
      <c r="G215" s="1349" t="s">
        <v>3609</v>
      </c>
      <c r="H215" s="1349"/>
      <c r="I215" s="1349"/>
      <c r="J215" s="1349"/>
      <c r="K215" s="1349"/>
      <c r="L215" s="1349"/>
      <c r="M215" s="1349"/>
      <c r="N215" s="1349"/>
      <c r="O215" s="1349"/>
      <c r="P215" s="1349"/>
      <c r="Q215" s="1349"/>
      <c r="R215" s="1349"/>
      <c r="S215" s="1349"/>
      <c r="T215" s="1349"/>
      <c r="U215" s="1349"/>
      <c r="V215" s="1349"/>
      <c r="W215" s="1349"/>
      <c r="X215" s="1349"/>
      <c r="Y215" s="1349"/>
      <c r="Z215" s="1349"/>
    </row>
    <row r="216" spans="1:26" ht="27.6" x14ac:dyDescent="0.3">
      <c r="A216" s="1343">
        <v>3</v>
      </c>
      <c r="B216" s="1343" t="s">
        <v>104</v>
      </c>
      <c r="C216" s="1343" t="s">
        <v>3606</v>
      </c>
      <c r="D216" s="1343" t="s">
        <v>3612</v>
      </c>
      <c r="E216" s="1343" t="s">
        <v>3613</v>
      </c>
      <c r="F216" s="1343" t="s">
        <v>105</v>
      </c>
      <c r="G216" s="1349" t="s">
        <v>3609</v>
      </c>
      <c r="H216" s="1349"/>
      <c r="I216" s="1349"/>
      <c r="J216" s="1349"/>
      <c r="K216" s="1349"/>
      <c r="L216" s="1349"/>
      <c r="M216" s="1349"/>
      <c r="N216" s="1349"/>
      <c r="O216" s="1349"/>
      <c r="P216" s="1349"/>
      <c r="Q216" s="1349"/>
      <c r="R216" s="1349"/>
      <c r="S216" s="1349"/>
      <c r="T216" s="1349"/>
      <c r="U216" s="1349"/>
      <c r="V216" s="1349"/>
      <c r="W216" s="1349"/>
      <c r="X216" s="1349"/>
      <c r="Y216" s="1349"/>
      <c r="Z216" s="1349"/>
    </row>
    <row r="217" spans="1:26" ht="69" x14ac:dyDescent="0.3">
      <c r="A217" s="1258">
        <v>4</v>
      </c>
      <c r="B217" s="1258" t="s">
        <v>106</v>
      </c>
      <c r="C217" s="1258" t="s">
        <v>3614</v>
      </c>
      <c r="D217" s="1258" t="s">
        <v>3615</v>
      </c>
      <c r="E217" s="1258" t="s">
        <v>3616</v>
      </c>
      <c r="F217" s="1258" t="s">
        <v>3617</v>
      </c>
      <c r="G217" s="1349" t="s">
        <v>3618</v>
      </c>
      <c r="H217" s="1349"/>
      <c r="I217" s="1349"/>
      <c r="J217" s="1349"/>
      <c r="K217" s="1349"/>
      <c r="L217" s="1349"/>
      <c r="M217" s="1349"/>
      <c r="N217" s="1349"/>
      <c r="O217" s="1349"/>
      <c r="P217" s="1349"/>
      <c r="Q217" s="1349"/>
      <c r="R217" s="1349"/>
      <c r="S217" s="1349"/>
      <c r="T217" s="1349"/>
      <c r="U217" s="1349"/>
      <c r="V217" s="1349"/>
      <c r="W217" s="1349"/>
      <c r="X217" s="1349"/>
      <c r="Y217" s="1349"/>
      <c r="Z217" s="1349"/>
    </row>
    <row r="218" spans="1:26" ht="55.2" x14ac:dyDescent="0.3">
      <c r="A218" s="1353">
        <v>4.5</v>
      </c>
      <c r="B218" s="1353" t="s">
        <v>3619</v>
      </c>
      <c r="C218" s="1353" t="s">
        <v>3614</v>
      </c>
      <c r="D218" s="1353" t="s">
        <v>3620</v>
      </c>
      <c r="E218" s="1353" t="s">
        <v>3621</v>
      </c>
      <c r="F218" s="1353" t="s">
        <v>3622</v>
      </c>
      <c r="G218" s="1349" t="s">
        <v>3623</v>
      </c>
      <c r="H218" s="1349"/>
      <c r="I218" s="1349"/>
      <c r="J218" s="1349"/>
      <c r="K218" s="1349"/>
      <c r="L218" s="1349"/>
      <c r="M218" s="1349"/>
      <c r="N218" s="1349"/>
      <c r="O218" s="1349"/>
      <c r="P218" s="1349"/>
      <c r="Q218" s="1349"/>
      <c r="R218" s="1349"/>
      <c r="S218" s="1349"/>
      <c r="T218" s="1349"/>
      <c r="U218" s="1349"/>
      <c r="V218" s="1349"/>
      <c r="W218" s="1349"/>
      <c r="X218" s="1349"/>
      <c r="Y218" s="1349"/>
      <c r="Z218" s="1349"/>
    </row>
    <row r="219" spans="1:26" ht="55.2" x14ac:dyDescent="0.3">
      <c r="A219" s="1351">
        <v>5</v>
      </c>
      <c r="B219" s="1351" t="s">
        <v>3624</v>
      </c>
      <c r="C219" s="1351" t="s">
        <v>3614</v>
      </c>
      <c r="D219" s="1351" t="s">
        <v>3625</v>
      </c>
      <c r="E219" s="1351" t="s">
        <v>3626</v>
      </c>
      <c r="F219" s="1351" t="s">
        <v>3224</v>
      </c>
      <c r="G219" s="1349" t="s">
        <v>3627</v>
      </c>
      <c r="H219" s="1349"/>
      <c r="I219" s="1349"/>
      <c r="J219" s="1349"/>
      <c r="K219" s="1349"/>
      <c r="L219" s="1349"/>
      <c r="M219" s="1349"/>
      <c r="N219" s="1349"/>
      <c r="O219" s="1349"/>
      <c r="P219" s="1349"/>
      <c r="Q219" s="1349"/>
      <c r="R219" s="1349"/>
      <c r="S219" s="1349"/>
      <c r="T219" s="1349"/>
      <c r="U219" s="1349"/>
      <c r="V219" s="1349"/>
      <c r="W219" s="1349"/>
      <c r="X219" s="1349"/>
      <c r="Y219" s="1349"/>
      <c r="Z219" s="1349"/>
    </row>
    <row r="220" spans="1:26" ht="41.4" x14ac:dyDescent="0.3">
      <c r="A220" s="1353">
        <v>6</v>
      </c>
      <c r="B220" s="1353" t="s">
        <v>3628</v>
      </c>
      <c r="C220" s="1353" t="s">
        <v>3614</v>
      </c>
      <c r="D220" s="1353" t="s">
        <v>3629</v>
      </c>
      <c r="E220" s="1353" t="s">
        <v>108</v>
      </c>
      <c r="F220" s="1353" t="s">
        <v>3630</v>
      </c>
      <c r="G220" s="1349" t="s">
        <v>3631</v>
      </c>
      <c r="H220" s="1349"/>
      <c r="I220" s="1349"/>
      <c r="J220" s="1349"/>
      <c r="K220" s="1349"/>
      <c r="L220" s="1349"/>
      <c r="M220" s="1349"/>
      <c r="N220" s="1349"/>
      <c r="O220" s="1349"/>
      <c r="P220" s="1349"/>
      <c r="Q220" s="1349"/>
      <c r="R220" s="1349"/>
      <c r="S220" s="1349"/>
      <c r="T220" s="1349"/>
      <c r="U220" s="1349"/>
      <c r="V220" s="1349"/>
      <c r="W220" s="1349"/>
      <c r="X220" s="1349"/>
      <c r="Y220" s="1349"/>
      <c r="Z220" s="1349"/>
    </row>
    <row r="221" spans="1:26" ht="55.2" x14ac:dyDescent="0.3">
      <c r="A221" s="1351">
        <v>7</v>
      </c>
      <c r="B221" s="1351" t="s">
        <v>3632</v>
      </c>
      <c r="C221" s="1351" t="s">
        <v>3614</v>
      </c>
      <c r="D221" s="1351" t="s">
        <v>3633</v>
      </c>
      <c r="E221" s="1351" t="s">
        <v>3634</v>
      </c>
      <c r="F221" s="1351" t="s">
        <v>3635</v>
      </c>
      <c r="G221" s="1349" t="s">
        <v>3636</v>
      </c>
      <c r="H221" s="1349"/>
      <c r="I221" s="1349"/>
      <c r="J221" s="1349"/>
      <c r="K221" s="1349"/>
      <c r="L221" s="1349"/>
      <c r="M221" s="1349"/>
      <c r="N221" s="1349"/>
      <c r="O221" s="1349"/>
      <c r="P221" s="1349"/>
      <c r="Q221" s="1349"/>
      <c r="R221" s="1349"/>
      <c r="S221" s="1349"/>
      <c r="T221" s="1349"/>
      <c r="U221" s="1349"/>
      <c r="V221" s="1349"/>
      <c r="W221" s="1349"/>
      <c r="X221" s="1349"/>
      <c r="Y221" s="1349"/>
      <c r="Z221" s="1349"/>
    </row>
    <row r="222" spans="1:26" ht="24.6" x14ac:dyDescent="0.3">
      <c r="A222" s="1353">
        <v>8</v>
      </c>
      <c r="B222" s="1353" t="s">
        <v>3637</v>
      </c>
      <c r="C222" s="1353" t="s">
        <v>3638</v>
      </c>
      <c r="D222" s="1353" t="s">
        <v>3639</v>
      </c>
      <c r="E222" s="1353" t="s">
        <v>3640</v>
      </c>
      <c r="F222" s="1353" t="s">
        <v>3641</v>
      </c>
      <c r="G222" s="1349" t="s">
        <v>3609</v>
      </c>
      <c r="H222" s="1349"/>
      <c r="I222" s="1349"/>
      <c r="J222" s="1349"/>
      <c r="K222" s="1349"/>
      <c r="L222" s="1349"/>
      <c r="M222" s="1349"/>
      <c r="N222" s="1349"/>
      <c r="O222" s="1349"/>
      <c r="P222" s="1349"/>
      <c r="Q222" s="1349"/>
      <c r="R222" s="1349"/>
      <c r="S222" s="1349"/>
      <c r="T222" s="1349"/>
      <c r="U222" s="1349"/>
      <c r="V222" s="1349"/>
      <c r="W222" s="1349"/>
      <c r="X222" s="1349"/>
      <c r="Y222" s="1349"/>
      <c r="Z222" s="1349"/>
    </row>
    <row r="223" spans="1:26" ht="41.4" x14ac:dyDescent="0.3">
      <c r="A223" s="520">
        <v>9</v>
      </c>
      <c r="B223" s="520" t="s">
        <v>3642</v>
      </c>
      <c r="C223" s="520" t="s">
        <v>3638</v>
      </c>
      <c r="D223" s="520" t="s">
        <v>3643</v>
      </c>
      <c r="E223" s="520" t="s">
        <v>3644</v>
      </c>
      <c r="F223" s="520" t="s">
        <v>3645</v>
      </c>
      <c r="G223" s="1349" t="s">
        <v>111</v>
      </c>
      <c r="H223" s="1349"/>
      <c r="I223" s="1349"/>
      <c r="J223" s="1349"/>
      <c r="K223" s="1349"/>
      <c r="L223" s="1349"/>
      <c r="M223" s="1349"/>
      <c r="N223" s="1349"/>
      <c r="O223" s="1349"/>
      <c r="P223" s="1349"/>
      <c r="Q223" s="1349"/>
      <c r="R223" s="1349"/>
      <c r="S223" s="1349"/>
      <c r="T223" s="1349"/>
      <c r="U223" s="1349"/>
      <c r="V223" s="1349"/>
      <c r="W223" s="1349"/>
      <c r="X223" s="1349"/>
      <c r="Y223" s="1349"/>
      <c r="Z223" s="1349"/>
    </row>
    <row r="224" spans="1:26" ht="41.4" x14ac:dyDescent="0.3">
      <c r="A224" s="520">
        <v>10</v>
      </c>
      <c r="B224" s="520" t="s">
        <v>3646</v>
      </c>
      <c r="C224" s="520" t="s">
        <v>3638</v>
      </c>
      <c r="D224" s="520" t="s">
        <v>3647</v>
      </c>
      <c r="E224" s="520" t="s">
        <v>3648</v>
      </c>
      <c r="F224" s="520" t="s">
        <v>3649</v>
      </c>
      <c r="G224" s="1349" t="s">
        <v>3650</v>
      </c>
      <c r="H224" s="1349"/>
      <c r="I224" s="1349"/>
      <c r="J224" s="1349"/>
      <c r="K224" s="1349"/>
      <c r="L224" s="1349"/>
      <c r="M224" s="1349"/>
      <c r="N224" s="1349"/>
      <c r="O224" s="1349"/>
      <c r="P224" s="1349"/>
      <c r="Q224" s="1349"/>
      <c r="R224" s="1349"/>
      <c r="S224" s="1349"/>
      <c r="T224" s="1349"/>
      <c r="U224" s="1349"/>
      <c r="V224" s="1349"/>
      <c r="W224" s="1349"/>
      <c r="X224" s="1349"/>
      <c r="Y224" s="1349"/>
      <c r="Z224" s="1349"/>
    </row>
    <row r="225" spans="1:26" ht="41.4" x14ac:dyDescent="0.3">
      <c r="A225" s="520">
        <v>11</v>
      </c>
      <c r="B225" s="520" t="s">
        <v>3651</v>
      </c>
      <c r="C225" s="520" t="s">
        <v>3638</v>
      </c>
      <c r="D225" s="520" t="s">
        <v>3652</v>
      </c>
      <c r="E225" s="520" t="s">
        <v>3653</v>
      </c>
      <c r="F225" s="520" t="s">
        <v>109</v>
      </c>
      <c r="G225" s="1349" t="s">
        <v>3654</v>
      </c>
      <c r="H225" s="1349"/>
      <c r="I225" s="1349"/>
      <c r="J225" s="1349"/>
      <c r="K225" s="1349"/>
      <c r="L225" s="1349"/>
      <c r="M225" s="1349"/>
      <c r="N225" s="1349"/>
      <c r="O225" s="1349"/>
      <c r="P225" s="1349"/>
      <c r="Q225" s="1349"/>
      <c r="R225" s="1349"/>
      <c r="S225" s="1349"/>
      <c r="T225" s="1349"/>
      <c r="U225" s="1349"/>
      <c r="V225" s="1349"/>
      <c r="W225" s="1349"/>
      <c r="X225" s="1349"/>
      <c r="Y225" s="1349"/>
      <c r="Z225" s="1349"/>
    </row>
    <row r="226" spans="1:26" ht="69" x14ac:dyDescent="0.3">
      <c r="A226" s="520">
        <v>12</v>
      </c>
      <c r="B226" s="520" t="s">
        <v>3655</v>
      </c>
      <c r="C226" s="520" t="s">
        <v>3656</v>
      </c>
      <c r="D226" s="520" t="s">
        <v>3657</v>
      </c>
      <c r="E226" s="520" t="s">
        <v>3658</v>
      </c>
      <c r="F226" s="520" t="s">
        <v>3659</v>
      </c>
      <c r="G226" s="1349" t="s">
        <v>3660</v>
      </c>
      <c r="H226" s="1349"/>
      <c r="I226" s="1349"/>
      <c r="J226" s="1349"/>
      <c r="K226" s="1349"/>
      <c r="L226" s="1349"/>
      <c r="M226" s="1349"/>
      <c r="N226" s="1349"/>
      <c r="O226" s="1349"/>
      <c r="P226" s="1349"/>
      <c r="Q226" s="1349"/>
      <c r="R226" s="1349"/>
      <c r="S226" s="1349"/>
      <c r="T226" s="1349"/>
      <c r="U226" s="1349"/>
      <c r="V226" s="1349"/>
      <c r="W226" s="1349"/>
      <c r="X226" s="1349"/>
      <c r="Y226" s="1349"/>
      <c r="Z226" s="1349"/>
    </row>
    <row r="227" spans="1:26" ht="55.2" x14ac:dyDescent="0.3">
      <c r="A227" s="520">
        <v>13</v>
      </c>
      <c r="B227" s="520" t="s">
        <v>3661</v>
      </c>
      <c r="C227" s="520" t="s">
        <v>3662</v>
      </c>
      <c r="D227" s="520" t="str">
        <f>"MOTOR ALGORÍTMICO: ICPI=Σ(Pi×Ri×Vi×Ti×Ci)÷Σ(Pi×Ri)="&amp;TEXT('M5-ICPI'!G29,"0,00")&amp;"%"</f>
        <v>MOTOR ALGORÍTMICO: ICPI=Σ(Pi×Ri×Vi×Ti×Ci)÷Σ(Pi×Ri)=38,28%</v>
      </c>
      <c r="E227" s="520" t="s">
        <v>3663</v>
      </c>
      <c r="F227" s="520" t="s">
        <v>3664</v>
      </c>
      <c r="G227" s="1349" t="s">
        <v>3665</v>
      </c>
      <c r="H227" s="1349"/>
      <c r="I227" s="1349"/>
      <c r="J227" s="1349"/>
      <c r="K227" s="1349"/>
      <c r="L227" s="1349"/>
      <c r="M227" s="1349"/>
      <c r="N227" s="1349"/>
      <c r="O227" s="1349"/>
      <c r="P227" s="1349"/>
      <c r="Q227" s="1349"/>
      <c r="R227" s="1349"/>
      <c r="S227" s="1349"/>
      <c r="T227" s="1349"/>
      <c r="U227" s="1349"/>
      <c r="V227" s="1349"/>
      <c r="W227" s="1349"/>
      <c r="X227" s="1349"/>
      <c r="Y227" s="1349"/>
      <c r="Z227" s="1349"/>
    </row>
    <row r="228" spans="1:26" ht="41.4" x14ac:dyDescent="0.3">
      <c r="A228" s="520">
        <v>14</v>
      </c>
      <c r="B228" s="520" t="s">
        <v>3666</v>
      </c>
      <c r="C228" s="520" t="s">
        <v>3662</v>
      </c>
      <c r="D228" s="520" t="str">
        <f>"Resultado consolidado: "&amp;TEXT('M5-ICPI'!G29,"0,00")&amp;"% · Gestión por Ocurrencia · Brecha -"&amp;TEXT(100-'M5-ICPI'!G29,"0,00")&amp;"pp vs Meta PDOT 2027"</f>
        <v>Resultado consolidado: 38,28% · Gestión por Ocurrencia · Brecha -61,72pp vs Meta PDOT 2027</v>
      </c>
      <c r="E228" s="520" t="s">
        <v>107</v>
      </c>
      <c r="F228" s="520" t="s">
        <v>3667</v>
      </c>
      <c r="G228" s="1349" t="s">
        <v>3609</v>
      </c>
      <c r="H228" s="1349"/>
      <c r="I228" s="1349"/>
      <c r="J228" s="1349"/>
      <c r="K228" s="1349"/>
      <c r="L228" s="1349"/>
      <c r="M228" s="1349"/>
      <c r="N228" s="1349"/>
      <c r="O228" s="1349"/>
      <c r="P228" s="1349"/>
      <c r="Q228" s="1349"/>
      <c r="R228" s="1349"/>
      <c r="S228" s="1349"/>
      <c r="T228" s="1349"/>
      <c r="U228" s="1349"/>
      <c r="V228" s="1349"/>
      <c r="W228" s="1349"/>
      <c r="X228" s="1349"/>
      <c r="Y228" s="1349"/>
      <c r="Z228" s="1349"/>
    </row>
    <row r="229" spans="1:26" ht="41.4" x14ac:dyDescent="0.3">
      <c r="A229" s="520">
        <v>15</v>
      </c>
      <c r="B229" s="520" t="s">
        <v>3668</v>
      </c>
      <c r="C229" s="520" t="s">
        <v>3662</v>
      </c>
      <c r="D229" s="520" t="s">
        <v>3669</v>
      </c>
      <c r="E229" s="520" t="s">
        <v>3670</v>
      </c>
      <c r="F229" s="520" t="s">
        <v>3671</v>
      </c>
      <c r="G229" s="1349" t="s">
        <v>3672</v>
      </c>
      <c r="H229" s="1349"/>
      <c r="I229" s="1349"/>
      <c r="J229" s="1349"/>
      <c r="K229" s="1349"/>
      <c r="L229" s="1349"/>
      <c r="M229" s="1349"/>
      <c r="N229" s="1349"/>
      <c r="O229" s="1349"/>
      <c r="P229" s="1349"/>
      <c r="Q229" s="1349"/>
      <c r="R229" s="1349"/>
      <c r="S229" s="1349"/>
      <c r="T229" s="1349"/>
      <c r="U229" s="1349"/>
      <c r="V229" s="1349"/>
      <c r="W229" s="1349"/>
      <c r="X229" s="1349"/>
      <c r="Y229" s="1349"/>
      <c r="Z229" s="1349"/>
    </row>
    <row r="230" spans="1:26" ht="27.6" x14ac:dyDescent="0.3">
      <c r="A230" s="520">
        <v>16</v>
      </c>
      <c r="B230" s="520" t="s">
        <v>3673</v>
      </c>
      <c r="C230" s="520" t="s">
        <v>3662</v>
      </c>
      <c r="D230" s="520" t="s">
        <v>3674</v>
      </c>
      <c r="E230" s="520" t="s">
        <v>2981</v>
      </c>
      <c r="F230" s="520" t="s">
        <v>3675</v>
      </c>
      <c r="G230" s="1349" t="s">
        <v>3609</v>
      </c>
      <c r="H230" s="1349"/>
      <c r="I230" s="1349"/>
      <c r="J230" s="1349"/>
      <c r="K230" s="1349"/>
      <c r="L230" s="1349"/>
      <c r="M230" s="1349"/>
      <c r="N230" s="1349"/>
      <c r="O230" s="1349"/>
      <c r="P230" s="1349"/>
      <c r="Q230" s="1349"/>
      <c r="R230" s="1349"/>
      <c r="S230" s="1349"/>
      <c r="T230" s="1349"/>
      <c r="U230" s="1349"/>
      <c r="V230" s="1349"/>
      <c r="W230" s="1349"/>
      <c r="X230" s="1349"/>
      <c r="Y230" s="1349"/>
      <c r="Z230" s="1349"/>
    </row>
    <row r="231" spans="1:26" ht="55.2" x14ac:dyDescent="0.3">
      <c r="A231" s="520">
        <v>17</v>
      </c>
      <c r="B231" s="520" t="s">
        <v>3676</v>
      </c>
      <c r="C231" s="520" t="s">
        <v>3677</v>
      </c>
      <c r="D231" s="520" t="s">
        <v>3678</v>
      </c>
      <c r="E231" s="520" t="s">
        <v>3679</v>
      </c>
      <c r="F231" s="520" t="s">
        <v>3680</v>
      </c>
      <c r="G231" s="1349" t="s">
        <v>3636</v>
      </c>
      <c r="H231" s="1349"/>
      <c r="I231" s="1349"/>
      <c r="J231" s="1349"/>
      <c r="K231" s="1349"/>
      <c r="L231" s="1349"/>
      <c r="M231" s="1349"/>
      <c r="N231" s="1349"/>
      <c r="O231" s="1349"/>
      <c r="P231" s="1349"/>
      <c r="Q231" s="1349"/>
      <c r="R231" s="1349"/>
      <c r="S231" s="1349"/>
      <c r="T231" s="1349"/>
      <c r="U231" s="1349"/>
      <c r="V231" s="1349"/>
      <c r="W231" s="1349"/>
      <c r="X231" s="1349"/>
      <c r="Y231" s="1349"/>
      <c r="Z231" s="1349"/>
    </row>
    <row r="232" spans="1:26" ht="82.8" x14ac:dyDescent="0.3">
      <c r="A232" s="520">
        <v>18</v>
      </c>
      <c r="B232" s="520" t="s">
        <v>3681</v>
      </c>
      <c r="C232" s="520" t="s">
        <v>3677</v>
      </c>
      <c r="D232" s="520" t="s">
        <v>3682</v>
      </c>
      <c r="E232" s="520" t="s">
        <v>115</v>
      </c>
      <c r="F232" s="520" t="s">
        <v>116</v>
      </c>
      <c r="G232" s="1349" t="s">
        <v>3683</v>
      </c>
      <c r="H232" s="1349"/>
      <c r="I232" s="1349"/>
      <c r="J232" s="1349"/>
      <c r="K232" s="1349"/>
      <c r="L232" s="1349"/>
      <c r="M232" s="1349"/>
      <c r="N232" s="1349"/>
      <c r="O232" s="1349"/>
      <c r="P232" s="1349"/>
      <c r="Q232" s="1349"/>
      <c r="R232" s="1349"/>
      <c r="S232" s="1349"/>
      <c r="T232" s="1349"/>
      <c r="U232" s="1349"/>
      <c r="V232" s="1349"/>
      <c r="W232" s="1349"/>
      <c r="X232" s="1349"/>
      <c r="Y232" s="1349"/>
      <c r="Z232" s="1349"/>
    </row>
    <row r="233" spans="1:26" ht="69" x14ac:dyDescent="0.3">
      <c r="A233" s="520">
        <v>19</v>
      </c>
      <c r="B233" s="520" t="s">
        <v>3684</v>
      </c>
      <c r="C233" s="520" t="s">
        <v>3677</v>
      </c>
      <c r="D233" s="520" t="s">
        <v>3685</v>
      </c>
      <c r="E233" s="520" t="s">
        <v>3686</v>
      </c>
      <c r="F233" s="520" t="s">
        <v>3687</v>
      </c>
      <c r="G233" s="1349" t="s">
        <v>3688</v>
      </c>
      <c r="H233" s="1349"/>
      <c r="I233" s="1349"/>
      <c r="J233" s="1349"/>
      <c r="K233" s="1349"/>
      <c r="L233" s="1349"/>
      <c r="M233" s="1349"/>
      <c r="N233" s="1349"/>
      <c r="O233" s="1349"/>
      <c r="P233" s="1349"/>
      <c r="Q233" s="1349"/>
      <c r="R233" s="1349"/>
      <c r="S233" s="1349"/>
      <c r="T233" s="1349"/>
      <c r="U233" s="1349"/>
      <c r="V233" s="1349"/>
      <c r="W233" s="1349"/>
      <c r="X233" s="1349"/>
      <c r="Y233" s="1349"/>
      <c r="Z233" s="1349"/>
    </row>
    <row r="234" spans="1:26" ht="69" x14ac:dyDescent="0.3">
      <c r="A234" s="520">
        <v>20</v>
      </c>
      <c r="B234" s="520" t="s">
        <v>3689</v>
      </c>
      <c r="C234" s="520" t="s">
        <v>3677</v>
      </c>
      <c r="D234" s="520" t="s">
        <v>3690</v>
      </c>
      <c r="E234" s="520" t="s">
        <v>107</v>
      </c>
      <c r="F234" s="520" t="s">
        <v>3675</v>
      </c>
      <c r="G234" s="1349" t="s">
        <v>3691</v>
      </c>
      <c r="H234" s="1349"/>
      <c r="I234" s="1349"/>
      <c r="J234" s="1349"/>
      <c r="K234" s="1349"/>
      <c r="L234" s="1349"/>
      <c r="M234" s="1349"/>
      <c r="N234" s="1349"/>
      <c r="O234" s="1349"/>
      <c r="P234" s="1349"/>
      <c r="Q234" s="1349"/>
      <c r="R234" s="1349"/>
      <c r="S234" s="1349"/>
      <c r="T234" s="1349"/>
      <c r="U234" s="1349"/>
      <c r="V234" s="1349"/>
      <c r="W234" s="1349"/>
      <c r="X234" s="1349"/>
      <c r="Y234" s="1349"/>
      <c r="Z234" s="1349"/>
    </row>
    <row r="235" spans="1:26" ht="27.6" x14ac:dyDescent="0.3">
      <c r="A235" s="520">
        <v>21</v>
      </c>
      <c r="B235" s="520" t="s">
        <v>3692</v>
      </c>
      <c r="C235" s="520" t="s">
        <v>3677</v>
      </c>
      <c r="D235" s="520" t="s">
        <v>3693</v>
      </c>
      <c r="E235" s="520" t="s">
        <v>113</v>
      </c>
      <c r="F235" s="520" t="s">
        <v>3694</v>
      </c>
      <c r="G235" s="1349" t="s">
        <v>3609</v>
      </c>
      <c r="H235" s="1349"/>
      <c r="I235" s="1349"/>
      <c r="J235" s="1349"/>
      <c r="K235" s="1349"/>
      <c r="L235" s="1349"/>
      <c r="M235" s="1349"/>
      <c r="N235" s="1349"/>
      <c r="O235" s="1349"/>
      <c r="P235" s="1349"/>
      <c r="Q235" s="1349"/>
      <c r="R235" s="1349"/>
      <c r="S235" s="1349"/>
      <c r="T235" s="1349"/>
      <c r="U235" s="1349"/>
      <c r="V235" s="1349"/>
      <c r="W235" s="1349"/>
      <c r="X235" s="1349"/>
      <c r="Y235" s="1349"/>
      <c r="Z235" s="1349"/>
    </row>
    <row r="236" spans="1:26" ht="55.2" x14ac:dyDescent="0.3">
      <c r="A236" s="520">
        <v>22</v>
      </c>
      <c r="B236" s="520" t="s">
        <v>3695</v>
      </c>
      <c r="C236" s="520" t="s">
        <v>3677</v>
      </c>
      <c r="D236" s="520" t="s">
        <v>3696</v>
      </c>
      <c r="E236" s="520" t="s">
        <v>3697</v>
      </c>
      <c r="F236" s="520" t="s">
        <v>3675</v>
      </c>
      <c r="G236" s="1349" t="s">
        <v>3698</v>
      </c>
      <c r="H236" s="1349"/>
      <c r="I236" s="1349"/>
      <c r="J236" s="1349"/>
      <c r="K236" s="1349"/>
      <c r="L236" s="1349"/>
      <c r="M236" s="1349"/>
      <c r="N236" s="1349"/>
      <c r="O236" s="1349"/>
      <c r="P236" s="1349"/>
      <c r="Q236" s="1349"/>
      <c r="R236" s="1349"/>
      <c r="S236" s="1349"/>
      <c r="T236" s="1349"/>
      <c r="U236" s="1349"/>
      <c r="V236" s="1349"/>
      <c r="W236" s="1349"/>
      <c r="X236" s="1349"/>
      <c r="Y236" s="1349"/>
      <c r="Z236" s="1349"/>
    </row>
    <row r="237" spans="1:26" ht="55.2" x14ac:dyDescent="0.3">
      <c r="A237" s="520">
        <v>23</v>
      </c>
      <c r="B237" s="520" t="s">
        <v>3699</v>
      </c>
      <c r="C237" s="520" t="s">
        <v>3700</v>
      </c>
      <c r="D237" s="520" t="s">
        <v>3701</v>
      </c>
      <c r="E237" s="520" t="s">
        <v>114</v>
      </c>
      <c r="F237" s="520" t="s">
        <v>3702</v>
      </c>
      <c r="G237" s="1349" t="s">
        <v>3703</v>
      </c>
      <c r="H237" s="1349"/>
      <c r="I237" s="1349"/>
      <c r="J237" s="1349"/>
      <c r="K237" s="1349"/>
      <c r="L237" s="1349"/>
      <c r="M237" s="1349"/>
      <c r="N237" s="1349"/>
      <c r="O237" s="1349"/>
      <c r="P237" s="1349"/>
      <c r="Q237" s="1349"/>
      <c r="R237" s="1349"/>
      <c r="S237" s="1349"/>
      <c r="T237" s="1349"/>
      <c r="U237" s="1349"/>
      <c r="V237" s="1349"/>
      <c r="W237" s="1349"/>
      <c r="X237" s="1349"/>
      <c r="Y237" s="1349"/>
      <c r="Z237" s="1349"/>
    </row>
    <row r="238" spans="1:26" ht="41.4" x14ac:dyDescent="0.3">
      <c r="A238" s="520">
        <v>24</v>
      </c>
      <c r="B238" s="520" t="s">
        <v>3704</v>
      </c>
      <c r="C238" s="520" t="s">
        <v>3700</v>
      </c>
      <c r="D238" s="520" t="s">
        <v>3705</v>
      </c>
      <c r="E238" s="520" t="s">
        <v>3706</v>
      </c>
      <c r="F238" s="520" t="s">
        <v>3707</v>
      </c>
      <c r="G238" s="1349" t="s">
        <v>3708</v>
      </c>
      <c r="H238" s="1349"/>
      <c r="I238" s="1349"/>
      <c r="J238" s="1349"/>
      <c r="K238" s="1349"/>
      <c r="L238" s="1349"/>
      <c r="M238" s="1349"/>
      <c r="N238" s="1349"/>
      <c r="O238" s="1349"/>
      <c r="P238" s="1349"/>
      <c r="Q238" s="1349"/>
      <c r="R238" s="1349"/>
      <c r="S238" s="1349"/>
      <c r="T238" s="1349"/>
      <c r="U238" s="1349"/>
      <c r="V238" s="1349"/>
      <c r="W238" s="1349"/>
      <c r="X238" s="1349"/>
      <c r="Y238" s="1349"/>
      <c r="Z238" s="1349"/>
    </row>
    <row r="239" spans="1:26" ht="41.4" x14ac:dyDescent="0.3">
      <c r="A239" s="520">
        <v>25</v>
      </c>
      <c r="B239" s="520" t="s">
        <v>3709</v>
      </c>
      <c r="C239" s="520" t="s">
        <v>3700</v>
      </c>
      <c r="D239" s="520" t="s">
        <v>3710</v>
      </c>
      <c r="E239" s="520" t="s">
        <v>3711</v>
      </c>
      <c r="F239" s="520" t="s">
        <v>3712</v>
      </c>
      <c r="G239" s="1349" t="s">
        <v>3713</v>
      </c>
      <c r="H239" s="1349"/>
      <c r="I239" s="1349"/>
      <c r="J239" s="1349"/>
      <c r="K239" s="1349"/>
      <c r="L239" s="1349"/>
      <c r="M239" s="1349"/>
      <c r="N239" s="1349"/>
      <c r="O239" s="1349"/>
      <c r="P239" s="1349"/>
      <c r="Q239" s="1349"/>
      <c r="R239" s="1349"/>
      <c r="S239" s="1349"/>
      <c r="T239" s="1349"/>
      <c r="U239" s="1349"/>
      <c r="V239" s="1349"/>
      <c r="W239" s="1349"/>
      <c r="X239" s="1349"/>
      <c r="Y239" s="1349"/>
      <c r="Z239" s="1349"/>
    </row>
    <row r="240" spans="1:26" ht="55.2" x14ac:dyDescent="0.3">
      <c r="A240" s="520">
        <v>26</v>
      </c>
      <c r="B240" s="520" t="s">
        <v>3714</v>
      </c>
      <c r="C240" s="520" t="s">
        <v>3700</v>
      </c>
      <c r="D240" s="520" t="s">
        <v>3715</v>
      </c>
      <c r="E240" s="520" t="s">
        <v>117</v>
      </c>
      <c r="F240" s="520" t="s">
        <v>3716</v>
      </c>
      <c r="G240" s="1349" t="s">
        <v>3717</v>
      </c>
      <c r="H240" s="1349"/>
      <c r="I240" s="1349"/>
      <c r="J240" s="1349"/>
      <c r="K240" s="1349"/>
      <c r="L240" s="1349"/>
      <c r="M240" s="1349"/>
      <c r="N240" s="1349"/>
      <c r="O240" s="1349"/>
      <c r="P240" s="1349"/>
      <c r="Q240" s="1349"/>
      <c r="R240" s="1349"/>
      <c r="S240" s="1349"/>
      <c r="T240" s="1349"/>
      <c r="U240" s="1349"/>
      <c r="V240" s="1349"/>
      <c r="W240" s="1349"/>
      <c r="X240" s="1349"/>
      <c r="Y240" s="1349"/>
      <c r="Z240" s="1349"/>
    </row>
    <row r="241" spans="1:26" ht="27.6" x14ac:dyDescent="0.3">
      <c r="A241" s="520">
        <v>27</v>
      </c>
      <c r="B241" s="520" t="s">
        <v>3718</v>
      </c>
      <c r="C241" s="520" t="s">
        <v>3719</v>
      </c>
      <c r="D241" s="520" t="s">
        <v>3720</v>
      </c>
      <c r="E241" s="520" t="s">
        <v>3721</v>
      </c>
      <c r="F241" s="520" t="s">
        <v>112</v>
      </c>
      <c r="G241" s="1349" t="s">
        <v>3609</v>
      </c>
      <c r="H241" s="1349"/>
      <c r="I241" s="1349"/>
      <c r="J241" s="1349"/>
      <c r="K241" s="1349"/>
      <c r="L241" s="1349"/>
      <c r="M241" s="1349"/>
      <c r="N241" s="1349"/>
      <c r="O241" s="1349"/>
      <c r="P241" s="1349"/>
      <c r="Q241" s="1349"/>
      <c r="R241" s="1349"/>
      <c r="S241" s="1349"/>
      <c r="T241" s="1349"/>
      <c r="U241" s="1349"/>
      <c r="V241" s="1349"/>
      <c r="W241" s="1349"/>
      <c r="X241" s="1349"/>
      <c r="Y241" s="1349"/>
      <c r="Z241" s="1349"/>
    </row>
    <row r="242" spans="1:26" ht="27.6" x14ac:dyDescent="0.3">
      <c r="A242" s="520">
        <v>28</v>
      </c>
      <c r="B242" s="520" t="s">
        <v>3722</v>
      </c>
      <c r="C242" s="520" t="s">
        <v>3719</v>
      </c>
      <c r="D242" s="520" t="s">
        <v>3723</v>
      </c>
      <c r="E242" s="520" t="s">
        <v>3724</v>
      </c>
      <c r="F242" s="520" t="s">
        <v>3725</v>
      </c>
      <c r="G242" s="1349" t="s">
        <v>3609</v>
      </c>
      <c r="H242" s="1349"/>
      <c r="I242" s="1349"/>
      <c r="J242" s="1349"/>
      <c r="K242" s="1349"/>
      <c r="L242" s="1349"/>
      <c r="M242" s="1349"/>
      <c r="N242" s="1349"/>
      <c r="O242" s="1349"/>
      <c r="P242" s="1349"/>
      <c r="Q242" s="1349"/>
      <c r="R242" s="1349"/>
      <c r="S242" s="1349"/>
      <c r="T242" s="1349"/>
      <c r="U242" s="1349"/>
      <c r="V242" s="1349"/>
      <c r="W242" s="1349"/>
      <c r="X242" s="1349"/>
      <c r="Y242" s="1349"/>
      <c r="Z242" s="1349"/>
    </row>
    <row r="243" spans="1:26" ht="27.6" x14ac:dyDescent="0.3">
      <c r="A243" s="520">
        <v>29</v>
      </c>
      <c r="B243" s="520" t="s">
        <v>3726</v>
      </c>
      <c r="C243" s="520" t="s">
        <v>3719</v>
      </c>
      <c r="D243" s="520" t="s">
        <v>3727</v>
      </c>
      <c r="E243" s="520" t="s">
        <v>3728</v>
      </c>
      <c r="F243" s="520" t="s">
        <v>3671</v>
      </c>
      <c r="G243" s="1349" t="s">
        <v>3609</v>
      </c>
      <c r="H243" s="1349"/>
      <c r="I243" s="1349"/>
      <c r="J243" s="1349"/>
      <c r="K243" s="1349"/>
      <c r="L243" s="1349"/>
      <c r="M243" s="1349"/>
      <c r="N243" s="1349"/>
      <c r="O243" s="1349"/>
      <c r="P243" s="1349"/>
      <c r="Q243" s="1349"/>
      <c r="R243" s="1349"/>
      <c r="S243" s="1349"/>
      <c r="T243" s="1349"/>
      <c r="U243" s="1349"/>
      <c r="V243" s="1349"/>
      <c r="W243" s="1349"/>
      <c r="X243" s="1349"/>
      <c r="Y243" s="1349"/>
      <c r="Z243" s="1349"/>
    </row>
    <row r="244" spans="1:26" ht="27.6" x14ac:dyDescent="0.3">
      <c r="A244" s="520">
        <v>30</v>
      </c>
      <c r="B244" s="520" t="s">
        <v>3729</v>
      </c>
      <c r="C244" s="520" t="s">
        <v>3719</v>
      </c>
      <c r="D244" s="520" t="s">
        <v>3730</v>
      </c>
      <c r="E244" s="520" t="s">
        <v>3731</v>
      </c>
      <c r="F244" s="520" t="s">
        <v>3732</v>
      </c>
      <c r="G244" s="1349" t="s">
        <v>3609</v>
      </c>
      <c r="H244" s="1349"/>
      <c r="I244" s="1349"/>
      <c r="J244" s="1349"/>
      <c r="K244" s="1349"/>
      <c r="L244" s="1349"/>
      <c r="M244" s="1349"/>
      <c r="N244" s="1349"/>
      <c r="O244" s="1349"/>
      <c r="P244" s="1349"/>
      <c r="Q244" s="1349"/>
      <c r="R244" s="1349"/>
      <c r="S244" s="1349"/>
      <c r="T244" s="1349"/>
      <c r="U244" s="1349"/>
      <c r="V244" s="1349"/>
      <c r="W244" s="1349"/>
      <c r="X244" s="1349"/>
      <c r="Y244" s="1349"/>
      <c r="Z244" s="1349"/>
    </row>
    <row r="245" spans="1:26" ht="27.6" x14ac:dyDescent="0.3">
      <c r="A245" s="520">
        <v>31</v>
      </c>
      <c r="B245" s="520" t="s">
        <v>3733</v>
      </c>
      <c r="C245" s="520" t="s">
        <v>3734</v>
      </c>
      <c r="D245" s="520" t="s">
        <v>3735</v>
      </c>
      <c r="E245" s="520" t="s">
        <v>3736</v>
      </c>
      <c r="F245" s="520" t="s">
        <v>103</v>
      </c>
      <c r="G245" s="1349" t="s">
        <v>3609</v>
      </c>
      <c r="H245" s="1349"/>
      <c r="I245" s="1349"/>
      <c r="J245" s="1349"/>
      <c r="K245" s="1349"/>
      <c r="L245" s="1349"/>
      <c r="M245" s="1349"/>
      <c r="N245" s="1349"/>
      <c r="O245" s="1349"/>
      <c r="P245" s="1349"/>
      <c r="Q245" s="1349"/>
      <c r="R245" s="1349"/>
      <c r="S245" s="1349"/>
      <c r="T245" s="1349"/>
      <c r="U245" s="1349"/>
      <c r="V245" s="1349"/>
      <c r="W245" s="1349"/>
      <c r="X245" s="1349"/>
      <c r="Y245" s="1349"/>
      <c r="Z245" s="1349"/>
    </row>
    <row r="246" spans="1:26" ht="55.2" x14ac:dyDescent="0.3">
      <c r="A246" s="520">
        <v>32</v>
      </c>
      <c r="B246" s="520" t="s">
        <v>3737</v>
      </c>
      <c r="C246" s="520" t="s">
        <v>3734</v>
      </c>
      <c r="D246" s="520" t="s">
        <v>3738</v>
      </c>
      <c r="E246" s="520" t="s">
        <v>3736</v>
      </c>
      <c r="F246" s="520" t="s">
        <v>105</v>
      </c>
      <c r="G246" s="1349" t="s">
        <v>3739</v>
      </c>
      <c r="H246" s="1349"/>
      <c r="I246" s="1349"/>
      <c r="J246" s="1349"/>
      <c r="K246" s="1349"/>
      <c r="L246" s="1349"/>
      <c r="M246" s="1349"/>
      <c r="N246" s="1349"/>
      <c r="O246" s="1349"/>
      <c r="P246" s="1349"/>
      <c r="Q246" s="1349"/>
      <c r="R246" s="1349"/>
      <c r="S246" s="1349"/>
      <c r="T246" s="1349"/>
      <c r="U246" s="1349"/>
      <c r="V246" s="1349"/>
      <c r="W246" s="1349"/>
      <c r="X246" s="1349"/>
      <c r="Y246" s="1349"/>
      <c r="Z246" s="1349"/>
    </row>
    <row r="247" spans="1:26" ht="27.6" x14ac:dyDescent="0.3">
      <c r="A247" s="520">
        <v>33</v>
      </c>
      <c r="B247" s="520" t="s">
        <v>3740</v>
      </c>
      <c r="C247" s="520" t="s">
        <v>3734</v>
      </c>
      <c r="D247" s="520" t="s">
        <v>3741</v>
      </c>
      <c r="E247" s="520" t="s">
        <v>103</v>
      </c>
      <c r="F247" s="520" t="s">
        <v>3742</v>
      </c>
      <c r="G247" s="1349" t="s">
        <v>3609</v>
      </c>
      <c r="H247" s="1349"/>
      <c r="I247" s="1349"/>
      <c r="J247" s="1349"/>
      <c r="K247" s="1349"/>
      <c r="L247" s="1349"/>
      <c r="M247" s="1349"/>
      <c r="N247" s="1349"/>
      <c r="O247" s="1349"/>
      <c r="P247" s="1349"/>
      <c r="Q247" s="1349"/>
      <c r="R247" s="1349"/>
      <c r="S247" s="1349"/>
      <c r="T247" s="1349"/>
      <c r="U247" s="1349"/>
      <c r="V247" s="1349"/>
      <c r="W247" s="1349"/>
      <c r="X247" s="1349"/>
      <c r="Y247" s="1349"/>
      <c r="Z247" s="1349"/>
    </row>
    <row r="248" spans="1:26" ht="55.2" x14ac:dyDescent="0.3">
      <c r="A248" s="520">
        <v>34</v>
      </c>
      <c r="B248" s="520" t="s">
        <v>3743</v>
      </c>
      <c r="C248" s="520" t="s">
        <v>3734</v>
      </c>
      <c r="D248" s="520" t="s">
        <v>3744</v>
      </c>
      <c r="E248" s="520" t="s">
        <v>105</v>
      </c>
      <c r="F248" s="520" t="s">
        <v>3745</v>
      </c>
      <c r="G248" s="1349" t="s">
        <v>3489</v>
      </c>
      <c r="H248" s="1349"/>
      <c r="I248" s="1349"/>
      <c r="J248" s="1349"/>
      <c r="K248" s="1349"/>
      <c r="L248" s="1349"/>
      <c r="M248" s="1349"/>
      <c r="N248" s="1349"/>
      <c r="O248" s="1349"/>
      <c r="P248" s="1349"/>
      <c r="Q248" s="1349"/>
      <c r="R248" s="1349"/>
      <c r="S248" s="1349"/>
      <c r="T248" s="1349"/>
      <c r="U248" s="1349"/>
      <c r="V248" s="1349"/>
      <c r="W248" s="1349"/>
      <c r="X248" s="1349"/>
      <c r="Y248" s="1349"/>
      <c r="Z248" s="1349"/>
    </row>
    <row r="249" spans="1:26" x14ac:dyDescent="0.3">
      <c r="A249" s="1345">
        <v>46087</v>
      </c>
      <c r="B249" s="520" t="s">
        <v>3746</v>
      </c>
      <c r="C249" s="520" t="s">
        <v>3747</v>
      </c>
      <c r="D249" s="520" t="s">
        <v>3748</v>
      </c>
      <c r="E249" s="520"/>
      <c r="F249" s="520"/>
      <c r="G249" s="1349"/>
      <c r="H249" s="1349"/>
      <c r="I249" s="1349"/>
      <c r="J249" s="1349"/>
      <c r="K249" s="1349"/>
      <c r="L249" s="1349"/>
      <c r="M249" s="1349"/>
      <c r="N249" s="1349"/>
      <c r="O249" s="1349"/>
      <c r="P249" s="1349"/>
      <c r="Q249" s="1349"/>
      <c r="R249" s="1349"/>
      <c r="S249" s="1349"/>
      <c r="T249" s="1349"/>
      <c r="U249" s="1349"/>
      <c r="V249" s="1349"/>
      <c r="W249" s="1349"/>
      <c r="X249" s="1349"/>
      <c r="Y249" s="1349"/>
      <c r="Z249" s="1349"/>
    </row>
    <row r="250" spans="1:26" x14ac:dyDescent="0.3">
      <c r="A250" s="3949" t="s">
        <v>3749</v>
      </c>
      <c r="B250" s="3949"/>
      <c r="C250" s="3949"/>
      <c r="D250" s="3949"/>
      <c r="E250" s="3949"/>
      <c r="F250" s="3949"/>
      <c r="G250" s="4154"/>
      <c r="H250" s="4154"/>
      <c r="I250" s="4154"/>
      <c r="J250" s="4154"/>
      <c r="K250" s="4154"/>
      <c r="L250" s="4154"/>
      <c r="M250" s="4154"/>
      <c r="N250" s="4154"/>
      <c r="O250" s="4154"/>
      <c r="P250" s="4154"/>
      <c r="Q250" s="4154"/>
      <c r="R250" s="4154"/>
      <c r="S250" s="4154"/>
      <c r="T250" s="4154"/>
      <c r="U250" s="4154"/>
      <c r="V250" s="4154"/>
      <c r="W250" s="4154"/>
      <c r="X250" s="4154"/>
      <c r="Y250" s="4154"/>
      <c r="Z250" s="4154"/>
    </row>
    <row r="251" spans="1:26" ht="96.6" x14ac:dyDescent="0.3">
      <c r="A251" s="520" t="s">
        <v>1738</v>
      </c>
      <c r="B251" s="520"/>
      <c r="C251" s="520" t="s">
        <v>3750</v>
      </c>
      <c r="D251" s="520" t="s">
        <v>42</v>
      </c>
      <c r="E251" s="520" t="s">
        <v>700</v>
      </c>
      <c r="F251" s="520" t="s">
        <v>1929</v>
      </c>
      <c r="G251" s="1349" t="s">
        <v>3751</v>
      </c>
      <c r="H251" s="1349"/>
      <c r="I251" s="1349"/>
      <c r="J251" s="1349"/>
      <c r="K251" s="1349"/>
      <c r="L251" s="1349"/>
      <c r="M251" s="1349"/>
      <c r="N251" s="1349"/>
      <c r="O251" s="1349"/>
      <c r="P251" s="1349"/>
      <c r="Q251" s="1349"/>
      <c r="R251" s="1349"/>
      <c r="S251" s="1349"/>
      <c r="T251" s="1349"/>
      <c r="U251" s="1349"/>
      <c r="V251" s="1349"/>
      <c r="W251" s="1349"/>
      <c r="X251" s="1349"/>
      <c r="Y251" s="1349"/>
      <c r="Z251" s="1349"/>
    </row>
    <row r="252" spans="1:26" ht="262.2" x14ac:dyDescent="0.3">
      <c r="A252" s="520" t="s">
        <v>1645</v>
      </c>
      <c r="B252" s="520" t="s">
        <v>3752</v>
      </c>
      <c r="C252" s="520" t="s">
        <v>3753</v>
      </c>
      <c r="D252" s="520" t="s">
        <v>3754</v>
      </c>
      <c r="E252" s="520" t="s">
        <v>3755</v>
      </c>
      <c r="F252" s="520" t="s">
        <v>3756</v>
      </c>
      <c r="G252" s="1349" t="s">
        <v>3757</v>
      </c>
      <c r="H252" s="1349"/>
      <c r="I252" s="1349"/>
      <c r="J252" s="1349"/>
      <c r="K252" s="1349"/>
      <c r="L252" s="1349"/>
      <c r="M252" s="1349"/>
      <c r="N252" s="1349"/>
      <c r="O252" s="1349"/>
      <c r="P252" s="1349"/>
      <c r="Q252" s="1349"/>
      <c r="R252" s="1349"/>
      <c r="S252" s="1349"/>
      <c r="T252" s="1349"/>
      <c r="U252" s="1349"/>
      <c r="V252" s="1349"/>
      <c r="W252" s="1349"/>
      <c r="X252" s="1349"/>
      <c r="Y252" s="1349"/>
      <c r="Z252" s="1349"/>
    </row>
    <row r="253" spans="1:26" ht="262.2" x14ac:dyDescent="0.3">
      <c r="A253" s="520" t="s">
        <v>1645</v>
      </c>
      <c r="B253" s="520" t="s">
        <v>3758</v>
      </c>
      <c r="C253" s="520" t="s">
        <v>3759</v>
      </c>
      <c r="D253" s="520" t="s">
        <v>3760</v>
      </c>
      <c r="E253" s="520" t="s">
        <v>3761</v>
      </c>
      <c r="F253" s="520" t="s">
        <v>3762</v>
      </c>
      <c r="G253" s="1349" t="s">
        <v>3763</v>
      </c>
      <c r="H253" s="1349"/>
      <c r="I253" s="1349"/>
      <c r="J253" s="1349"/>
      <c r="K253" s="1349"/>
      <c r="L253" s="1349"/>
      <c r="M253" s="1349"/>
      <c r="N253" s="1349"/>
      <c r="O253" s="1349"/>
      <c r="P253" s="1349"/>
      <c r="Q253" s="1349"/>
      <c r="R253" s="1349"/>
      <c r="S253" s="1349"/>
      <c r="T253" s="1349"/>
      <c r="U253" s="1349"/>
      <c r="V253" s="1349"/>
      <c r="W253" s="1349"/>
      <c r="X253" s="1349"/>
      <c r="Y253" s="1349"/>
      <c r="Z253" s="1349"/>
    </row>
    <row r="254" spans="1:26" ht="276" x14ac:dyDescent="0.3">
      <c r="A254" s="520" t="s">
        <v>1645</v>
      </c>
      <c r="B254" s="520" t="s">
        <v>3764</v>
      </c>
      <c r="C254" s="520" t="s">
        <v>3765</v>
      </c>
      <c r="D254" s="520" t="s">
        <v>3766</v>
      </c>
      <c r="E254" s="520" t="s">
        <v>3767</v>
      </c>
      <c r="F254" s="520" t="s">
        <v>3768</v>
      </c>
      <c r="G254" s="1349" t="s">
        <v>3769</v>
      </c>
      <c r="H254" s="1349"/>
      <c r="I254" s="1349"/>
      <c r="J254" s="1349"/>
      <c r="K254" s="1349"/>
      <c r="L254" s="1349"/>
      <c r="M254" s="1349"/>
      <c r="N254" s="1349"/>
      <c r="O254" s="1349"/>
      <c r="P254" s="1349"/>
      <c r="Q254" s="1349"/>
      <c r="R254" s="1349"/>
      <c r="S254" s="1349"/>
      <c r="T254" s="1349"/>
      <c r="U254" s="1349"/>
      <c r="V254" s="1349"/>
      <c r="W254" s="1349"/>
      <c r="X254" s="1349"/>
      <c r="Y254" s="1349"/>
      <c r="Z254" s="1349"/>
    </row>
    <row r="255" spans="1:26" ht="220.8" x14ac:dyDescent="0.3">
      <c r="A255" s="520" t="s">
        <v>98</v>
      </c>
      <c r="B255" s="520" t="s">
        <v>3770</v>
      </c>
      <c r="C255" s="520" t="s">
        <v>3771</v>
      </c>
      <c r="D255" s="520" t="s">
        <v>3772</v>
      </c>
      <c r="E255" s="520" t="s">
        <v>3773</v>
      </c>
      <c r="F255" s="520" t="s">
        <v>3774</v>
      </c>
      <c r="G255" s="1349" t="s">
        <v>3775</v>
      </c>
      <c r="H255" s="1349"/>
      <c r="I255" s="1349"/>
      <c r="J255" s="1349"/>
      <c r="K255" s="1349"/>
      <c r="L255" s="1349"/>
      <c r="M255" s="1349"/>
      <c r="N255" s="1349"/>
      <c r="O255" s="1349"/>
      <c r="P255" s="1349"/>
      <c r="Q255" s="1349"/>
      <c r="R255" s="1349"/>
      <c r="S255" s="1349"/>
      <c r="T255" s="1349"/>
      <c r="U255" s="1349"/>
      <c r="V255" s="1349"/>
      <c r="W255" s="1349"/>
      <c r="X255" s="1349"/>
      <c r="Y255" s="1349"/>
      <c r="Z255" s="1349"/>
    </row>
    <row r="256" spans="1:26" ht="220.8" x14ac:dyDescent="0.3">
      <c r="A256" s="520" t="s">
        <v>98</v>
      </c>
      <c r="B256" s="520" t="s">
        <v>3776</v>
      </c>
      <c r="C256" s="520" t="s">
        <v>3777</v>
      </c>
      <c r="D256" s="520" t="s">
        <v>3778</v>
      </c>
      <c r="E256" s="520" t="s">
        <v>3779</v>
      </c>
      <c r="F256" s="520" t="s">
        <v>2136</v>
      </c>
      <c r="G256" s="1349" t="s">
        <v>3780</v>
      </c>
      <c r="H256" s="1349"/>
      <c r="I256" s="1349"/>
      <c r="J256" s="1349"/>
      <c r="K256" s="1349"/>
      <c r="L256" s="1349"/>
      <c r="M256" s="1349"/>
      <c r="N256" s="1349"/>
      <c r="O256" s="1349"/>
      <c r="P256" s="1349"/>
      <c r="Q256" s="1349"/>
      <c r="R256" s="1349"/>
      <c r="S256" s="1349"/>
      <c r="T256" s="1349"/>
      <c r="U256" s="1349"/>
      <c r="V256" s="1349"/>
      <c r="W256" s="1349"/>
      <c r="X256" s="1349"/>
      <c r="Y256" s="1349"/>
      <c r="Z256" s="1349"/>
    </row>
    <row r="257" spans="1:26" ht="248.4" x14ac:dyDescent="0.3">
      <c r="A257" s="520" t="s">
        <v>98</v>
      </c>
      <c r="B257" s="520" t="s">
        <v>3781</v>
      </c>
      <c r="C257" s="520" t="s">
        <v>3782</v>
      </c>
      <c r="D257" s="520" t="s">
        <v>3783</v>
      </c>
      <c r="E257" s="520" t="s">
        <v>3784</v>
      </c>
      <c r="F257" s="520" t="s">
        <v>3768</v>
      </c>
      <c r="G257" s="1349" t="s">
        <v>3785</v>
      </c>
      <c r="H257" s="1349"/>
      <c r="I257" s="1349"/>
      <c r="J257" s="1349"/>
      <c r="K257" s="1349"/>
      <c r="L257" s="1349"/>
      <c r="M257" s="1349"/>
      <c r="N257" s="1349"/>
      <c r="O257" s="1349"/>
      <c r="P257" s="1349"/>
      <c r="Q257" s="1349"/>
      <c r="R257" s="1349"/>
      <c r="S257" s="1349"/>
      <c r="T257" s="1349"/>
      <c r="U257" s="1349"/>
      <c r="V257" s="1349"/>
      <c r="W257" s="1349"/>
      <c r="X257" s="1349"/>
      <c r="Y257" s="1349"/>
      <c r="Z257" s="1349"/>
    </row>
    <row r="258" spans="1:26" ht="248.4" x14ac:dyDescent="0.3">
      <c r="A258" s="520" t="s">
        <v>1174</v>
      </c>
      <c r="B258" s="520" t="s">
        <v>3786</v>
      </c>
      <c r="C258" s="520" t="s">
        <v>3787</v>
      </c>
      <c r="D258" s="520" t="s">
        <v>3788</v>
      </c>
      <c r="E258" s="520" t="s">
        <v>3789</v>
      </c>
      <c r="F258" s="520" t="s">
        <v>3756</v>
      </c>
      <c r="G258" s="1349" t="s">
        <v>3790</v>
      </c>
      <c r="H258" s="1349"/>
      <c r="I258" s="1349"/>
      <c r="J258" s="1349"/>
      <c r="K258" s="1349"/>
      <c r="L258" s="1349"/>
      <c r="M258" s="1349"/>
      <c r="N258" s="1349"/>
      <c r="O258" s="1349"/>
      <c r="P258" s="1349"/>
      <c r="Q258" s="1349"/>
      <c r="R258" s="1349"/>
      <c r="S258" s="1349"/>
      <c r="T258" s="1349"/>
      <c r="U258" s="1349"/>
      <c r="V258" s="1349"/>
      <c r="W258" s="1349"/>
      <c r="X258" s="1349"/>
      <c r="Y258" s="1349"/>
      <c r="Z258" s="1349"/>
    </row>
    <row r="259" spans="1:26" ht="262.2" x14ac:dyDescent="0.3">
      <c r="A259" s="520" t="s">
        <v>1174</v>
      </c>
      <c r="B259" s="520" t="s">
        <v>3791</v>
      </c>
      <c r="C259" s="520" t="s">
        <v>3792</v>
      </c>
      <c r="D259" s="520" t="s">
        <v>3793</v>
      </c>
      <c r="E259" s="520" t="s">
        <v>2565</v>
      </c>
      <c r="F259" s="520" t="s">
        <v>3768</v>
      </c>
      <c r="G259" s="1349" t="s">
        <v>3794</v>
      </c>
      <c r="H259" s="1349"/>
      <c r="I259" s="1349"/>
      <c r="J259" s="1349"/>
      <c r="K259" s="1349"/>
      <c r="L259" s="1349"/>
      <c r="M259" s="1349"/>
      <c r="N259" s="1349"/>
      <c r="O259" s="1349"/>
      <c r="P259" s="1349"/>
      <c r="Q259" s="1349"/>
      <c r="R259" s="1349"/>
      <c r="S259" s="1349"/>
      <c r="T259" s="1349"/>
      <c r="U259" s="1349"/>
      <c r="V259" s="1349"/>
      <c r="W259" s="1349"/>
      <c r="X259" s="1349"/>
      <c r="Y259" s="1349"/>
      <c r="Z259" s="1349"/>
    </row>
    <row r="260" spans="1:26" ht="220.8" x14ac:dyDescent="0.3">
      <c r="A260" s="520" t="s">
        <v>1174</v>
      </c>
      <c r="B260" s="520" t="s">
        <v>3795</v>
      </c>
      <c r="C260" s="520" t="s">
        <v>3796</v>
      </c>
      <c r="D260" s="520" t="s">
        <v>3797</v>
      </c>
      <c r="E260" s="520" t="s">
        <v>3798</v>
      </c>
      <c r="F260" s="520" t="s">
        <v>3799</v>
      </c>
      <c r="G260" s="1349" t="s">
        <v>3800</v>
      </c>
      <c r="H260" s="1349"/>
      <c r="I260" s="1349"/>
      <c r="J260" s="1349"/>
      <c r="K260" s="1349"/>
      <c r="L260" s="1349"/>
      <c r="M260" s="1349"/>
      <c r="N260" s="1349"/>
      <c r="O260" s="1349"/>
      <c r="P260" s="1349"/>
      <c r="Q260" s="1349"/>
      <c r="R260" s="1349"/>
      <c r="S260" s="1349"/>
      <c r="T260" s="1349"/>
      <c r="U260" s="1349"/>
      <c r="V260" s="1349"/>
      <c r="W260" s="1349"/>
      <c r="X260" s="1349"/>
      <c r="Y260" s="1349"/>
      <c r="Z260" s="1349"/>
    </row>
    <row r="261" spans="1:26" ht="248.4" x14ac:dyDescent="0.3">
      <c r="A261" s="520" t="s">
        <v>2615</v>
      </c>
      <c r="B261" s="520" t="s">
        <v>3801</v>
      </c>
      <c r="C261" s="520" t="s">
        <v>3802</v>
      </c>
      <c r="D261" s="520" t="s">
        <v>3803</v>
      </c>
      <c r="E261" s="520" t="s">
        <v>2565</v>
      </c>
      <c r="F261" s="520" t="s">
        <v>3768</v>
      </c>
      <c r="G261" s="1349" t="s">
        <v>3804</v>
      </c>
      <c r="H261" s="1349"/>
      <c r="I261" s="1349"/>
      <c r="J261" s="1349"/>
      <c r="K261" s="1349"/>
      <c r="L261" s="1349"/>
      <c r="M261" s="1349"/>
      <c r="N261" s="1349"/>
      <c r="O261" s="1349"/>
      <c r="P261" s="1349"/>
      <c r="Q261" s="1349"/>
      <c r="R261" s="1349"/>
      <c r="S261" s="1349"/>
      <c r="T261" s="1349"/>
      <c r="U261" s="1349"/>
      <c r="V261" s="1349"/>
      <c r="W261" s="1349"/>
      <c r="X261" s="1349"/>
      <c r="Y261" s="1349"/>
      <c r="Z261" s="1349"/>
    </row>
    <row r="262" spans="1:26" x14ac:dyDescent="0.3">
      <c r="A262" s="520"/>
      <c r="B262" s="520"/>
      <c r="C262" s="520"/>
      <c r="D262" s="520"/>
      <c r="E262" s="520"/>
      <c r="F262" s="520"/>
      <c r="G262" s="1349"/>
      <c r="H262" s="1349"/>
      <c r="I262" s="1349"/>
      <c r="J262" s="1349"/>
      <c r="K262" s="1349"/>
      <c r="L262" s="1349"/>
      <c r="M262" s="1349"/>
      <c r="N262" s="1349"/>
      <c r="O262" s="1349"/>
      <c r="P262" s="1349"/>
      <c r="Q262" s="1349"/>
      <c r="R262" s="1349"/>
      <c r="S262" s="1349"/>
      <c r="T262" s="1349"/>
      <c r="U262" s="1349"/>
      <c r="V262" s="1349"/>
      <c r="W262" s="1349"/>
      <c r="X262" s="1349"/>
      <c r="Y262" s="1349"/>
      <c r="Z262" s="1349"/>
    </row>
    <row r="263" spans="1:26" x14ac:dyDescent="0.3">
      <c r="A263" s="3949" t="s">
        <v>1496</v>
      </c>
      <c r="B263" s="3949"/>
      <c r="C263" s="3949"/>
      <c r="D263" s="3949"/>
      <c r="E263" s="3949"/>
      <c r="F263" s="3949"/>
      <c r="G263" s="4154"/>
      <c r="H263" s="4154"/>
      <c r="I263" s="4154"/>
      <c r="J263" s="4154"/>
      <c r="K263" s="4154"/>
      <c r="L263" s="4154"/>
      <c r="M263" s="4154"/>
      <c r="N263" s="4154"/>
      <c r="O263" s="4154"/>
      <c r="P263" s="4154"/>
      <c r="Q263" s="4154"/>
      <c r="R263" s="4154"/>
      <c r="S263" s="4154"/>
      <c r="T263" s="4154"/>
      <c r="U263" s="4154"/>
      <c r="V263" s="4154"/>
      <c r="W263" s="4154"/>
      <c r="X263" s="4154"/>
      <c r="Y263" s="4154"/>
      <c r="Z263" s="4154"/>
    </row>
    <row r="264" spans="1:26" x14ac:dyDescent="0.3">
      <c r="A264" s="3949" t="s">
        <v>3805</v>
      </c>
      <c r="B264" s="3949"/>
      <c r="C264" s="3949"/>
      <c r="D264" s="3949"/>
      <c r="E264" s="3949"/>
      <c r="F264" s="3949"/>
      <c r="G264" s="4154"/>
      <c r="H264" s="4154"/>
      <c r="I264" s="4154"/>
      <c r="J264" s="4154"/>
      <c r="K264" s="4154"/>
      <c r="L264" s="4154"/>
      <c r="M264" s="4154"/>
      <c r="N264" s="4154"/>
      <c r="O264" s="4154"/>
      <c r="P264" s="4154"/>
      <c r="Q264" s="4154"/>
      <c r="R264" s="4154"/>
      <c r="S264" s="4154"/>
      <c r="T264" s="4154"/>
      <c r="U264" s="4154"/>
      <c r="V264" s="4154"/>
      <c r="W264" s="4154"/>
      <c r="X264" s="4154"/>
      <c r="Y264" s="4154"/>
      <c r="Z264" s="4154"/>
    </row>
    <row r="265" spans="1:26" x14ac:dyDescent="0.3">
      <c r="A265" s="3949" t="s">
        <v>3806</v>
      </c>
      <c r="B265" s="3949"/>
      <c r="C265" s="3949"/>
      <c r="D265" s="3949"/>
      <c r="E265" s="3949"/>
      <c r="F265" s="3949"/>
      <c r="G265" s="4154"/>
      <c r="H265" s="4154"/>
      <c r="I265" s="4154"/>
      <c r="J265" s="4154"/>
      <c r="K265" s="4154"/>
      <c r="L265" s="4154"/>
      <c r="M265" s="4154"/>
      <c r="N265" s="4154"/>
      <c r="O265" s="4154"/>
      <c r="P265" s="4154"/>
      <c r="Q265" s="4154"/>
      <c r="R265" s="4154"/>
      <c r="S265" s="4154"/>
      <c r="T265" s="4154"/>
      <c r="U265" s="4154"/>
      <c r="V265" s="4154"/>
      <c r="W265" s="4154"/>
      <c r="X265" s="4154"/>
      <c r="Y265" s="4154"/>
      <c r="Z265" s="4154"/>
    </row>
    <row r="266" spans="1:26" ht="55.2" x14ac:dyDescent="0.3">
      <c r="A266" s="520" t="str">
        <f>"◈ TRAZABILIDAD · SIAP-ICPI GAD Montecristi · ICPI="&amp;TEXT('M5-ICPI'!G29,"0,00")&amp;"% · Vi_cad=18/20 · v1.2 · 45 hojas activas · Cadena CININ 6 silos · Nomenclatura PDOT unificada"</f>
        <v>◈ TRAZABILIDAD · SIAP-ICPI GAD Montecristi · ICPI=38,28% · Vi_cad=18/20 · v1.2 · 45 hojas activas · Cadena CININ 6 silos · Nomenclatura PDOT unificada</v>
      </c>
      <c r="B266" s="4169"/>
      <c r="C266" s="4169"/>
      <c r="D266" s="4169"/>
      <c r="E266" s="4169"/>
      <c r="F266" s="4169"/>
      <c r="G266" s="4167"/>
      <c r="H266" s="4167"/>
      <c r="I266" s="4167"/>
      <c r="J266" s="4167"/>
      <c r="K266" s="4167"/>
      <c r="L266" s="4167"/>
      <c r="M266" s="4167"/>
      <c r="N266" s="4167"/>
      <c r="O266" s="4167"/>
      <c r="P266" s="4167"/>
      <c r="Q266" s="4167"/>
      <c r="R266" s="4167"/>
      <c r="S266" s="4167"/>
      <c r="T266" s="4167"/>
      <c r="U266" s="4167"/>
      <c r="V266" s="4167"/>
      <c r="W266" s="4167"/>
      <c r="X266" s="4167"/>
      <c r="Y266" s="4167"/>
      <c r="Z266" s="4167"/>
    </row>
    <row r="267" spans="1:26" ht="303.60000000000002" x14ac:dyDescent="0.3">
      <c r="A267" s="520">
        <v>95</v>
      </c>
      <c r="B267" s="520">
        <v>46025</v>
      </c>
      <c r="C267" s="520" t="s">
        <v>3807</v>
      </c>
      <c r="D267" s="520" t="s">
        <v>3808</v>
      </c>
      <c r="E267" s="520" t="s">
        <v>3809</v>
      </c>
      <c r="F267" s="520" t="s">
        <v>3810</v>
      </c>
      <c r="G267" s="1349" t="s">
        <v>3811</v>
      </c>
      <c r="H267" s="1349" t="s">
        <v>3812</v>
      </c>
      <c r="I267" s="1349" t="s">
        <v>224</v>
      </c>
      <c r="J267" s="1349" t="s">
        <v>3813</v>
      </c>
      <c r="K267" s="1349" t="s">
        <v>3609</v>
      </c>
      <c r="L267" s="1349">
        <v>46025</v>
      </c>
      <c r="M267" s="1349" t="s">
        <v>3814</v>
      </c>
      <c r="N267" s="1349"/>
      <c r="O267" s="1349"/>
      <c r="P267" s="1349"/>
      <c r="Q267" s="1349"/>
      <c r="R267" s="1349"/>
      <c r="S267" s="1349"/>
      <c r="T267" s="1349"/>
      <c r="U267" s="1349"/>
      <c r="V267" s="1349"/>
      <c r="W267" s="1349"/>
      <c r="X267" s="1349"/>
      <c r="Y267" s="1349"/>
      <c r="Z267" s="1349"/>
    </row>
    <row r="268" spans="1:26" ht="69" x14ac:dyDescent="0.3">
      <c r="A268" s="520">
        <v>46176</v>
      </c>
      <c r="B268" s="520" t="s">
        <v>3815</v>
      </c>
      <c r="C268" s="520" t="s">
        <v>3816</v>
      </c>
      <c r="D268" s="520" t="s">
        <v>3817</v>
      </c>
      <c r="E268" s="520"/>
      <c r="F268" s="520"/>
      <c r="G268" s="1349"/>
      <c r="H268" s="1349"/>
      <c r="I268" s="1349"/>
      <c r="J268" s="1349"/>
      <c r="K268" s="1349"/>
      <c r="L268" s="1349"/>
      <c r="M268" s="1349"/>
      <c r="N268" s="1349"/>
      <c r="O268" s="1349"/>
      <c r="P268" s="1349"/>
      <c r="Q268" s="1349"/>
      <c r="R268" s="1349"/>
      <c r="S268" s="1349"/>
      <c r="T268" s="1349"/>
      <c r="U268" s="1349"/>
      <c r="V268" s="1349"/>
      <c r="W268" s="1349"/>
      <c r="X268" s="1349"/>
      <c r="Y268" s="1349"/>
      <c r="Z268" s="1349"/>
    </row>
    <row r="269" spans="1:26" x14ac:dyDescent="0.3">
      <c r="A269" s="520"/>
      <c r="B269" s="520"/>
      <c r="C269" s="520"/>
      <c r="D269" s="520"/>
      <c r="E269" s="520"/>
      <c r="F269" s="520"/>
      <c r="G269" s="1349"/>
      <c r="H269" s="1349"/>
      <c r="I269" s="1349"/>
      <c r="J269" s="1349"/>
      <c r="K269" s="1349"/>
      <c r="L269" s="1349"/>
      <c r="M269" s="1349"/>
      <c r="N269" s="1349"/>
      <c r="O269" s="1349"/>
      <c r="P269" s="1349"/>
      <c r="Q269" s="1349"/>
      <c r="R269" s="1349"/>
      <c r="S269" s="1349"/>
      <c r="T269" s="1349"/>
      <c r="U269" s="1349"/>
      <c r="V269" s="1349"/>
      <c r="W269" s="1349"/>
      <c r="X269" s="1349"/>
      <c r="Y269" s="1349"/>
      <c r="Z269" s="1349"/>
    </row>
    <row r="270" spans="1:26" x14ac:dyDescent="0.3">
      <c r="A270" s="4158" t="s">
        <v>4309</v>
      </c>
      <c r="B270" s="4158"/>
      <c r="C270" s="4158"/>
      <c r="D270" s="4158"/>
      <c r="E270" s="4158"/>
      <c r="F270" s="4158"/>
      <c r="G270" s="4159"/>
      <c r="H270" s="4159"/>
      <c r="I270" s="4159"/>
      <c r="J270" s="4159"/>
      <c r="K270" s="4159"/>
      <c r="L270" s="4159"/>
      <c r="M270" s="4159"/>
      <c r="N270" s="4159"/>
      <c r="O270" s="4159"/>
      <c r="P270" s="4159"/>
      <c r="Q270" s="4159"/>
      <c r="R270" s="4159"/>
      <c r="S270" s="4159"/>
      <c r="T270" s="4159"/>
      <c r="U270" s="4159"/>
      <c r="V270" s="4159"/>
      <c r="W270" s="4159"/>
      <c r="X270" s="4159"/>
      <c r="Y270" s="4159"/>
      <c r="Z270" s="4159"/>
    </row>
    <row r="271" spans="1:26" ht="55.2" x14ac:dyDescent="0.3">
      <c r="A271" s="520" t="s">
        <v>4310</v>
      </c>
      <c r="B271" s="4169"/>
      <c r="C271" s="4169"/>
      <c r="D271" s="4169"/>
      <c r="E271" s="4169"/>
      <c r="F271" s="4169"/>
      <c r="G271" s="4167"/>
      <c r="H271" s="4167"/>
      <c r="I271" s="4167"/>
      <c r="J271" s="4167"/>
      <c r="K271" s="4167"/>
      <c r="L271" s="4167"/>
      <c r="M271" s="4167"/>
      <c r="N271" s="4167"/>
      <c r="O271" s="4167"/>
      <c r="P271" s="4167"/>
      <c r="Q271" s="4167"/>
      <c r="R271" s="4167"/>
      <c r="S271" s="4167"/>
      <c r="T271" s="4167"/>
      <c r="U271" s="4167"/>
      <c r="V271" s="4167"/>
      <c r="W271" s="4167"/>
      <c r="X271" s="4167"/>
      <c r="Y271" s="4167"/>
      <c r="Z271" s="4167"/>
    </row>
    <row r="272" spans="1:26" x14ac:dyDescent="0.3">
      <c r="A272" s="520" t="s">
        <v>4311</v>
      </c>
      <c r="B272" s="520"/>
      <c r="C272" s="520"/>
      <c r="D272" s="520"/>
      <c r="E272" s="520"/>
      <c r="F272" s="520"/>
      <c r="G272" s="1349"/>
      <c r="H272" s="1349"/>
      <c r="I272" s="1349"/>
      <c r="J272" s="1349"/>
      <c r="K272" s="1349"/>
      <c r="L272" s="1349"/>
      <c r="M272" s="1349"/>
      <c r="N272" s="1349"/>
      <c r="O272" s="1349"/>
      <c r="P272" s="1349"/>
      <c r="Q272" s="1349"/>
      <c r="R272" s="1349"/>
      <c r="S272" s="1349"/>
      <c r="T272" s="1349"/>
      <c r="U272" s="1349"/>
      <c r="V272" s="1349"/>
      <c r="W272" s="1349"/>
      <c r="X272" s="1349"/>
      <c r="Y272" s="1349"/>
      <c r="Z272" s="1349"/>
    </row>
    <row r="273" spans="1:26" x14ac:dyDescent="0.3">
      <c r="A273" s="520" t="s">
        <v>4312</v>
      </c>
      <c r="B273" s="520" t="s">
        <v>4313</v>
      </c>
      <c r="C273" s="520"/>
      <c r="D273" s="520"/>
      <c r="E273" s="520"/>
      <c r="F273" s="520"/>
      <c r="G273" s="1349"/>
      <c r="H273" s="1349"/>
      <c r="I273" s="1349"/>
      <c r="J273" s="1349"/>
      <c r="K273" s="1349"/>
      <c r="L273" s="1349"/>
      <c r="M273" s="1349"/>
      <c r="N273" s="1349"/>
      <c r="O273" s="1349"/>
      <c r="P273" s="1349"/>
      <c r="Q273" s="1349"/>
      <c r="R273" s="1349"/>
      <c r="S273" s="1349"/>
      <c r="T273" s="1349"/>
      <c r="U273" s="1349"/>
      <c r="V273" s="1349"/>
      <c r="W273" s="1349"/>
      <c r="X273" s="1349"/>
      <c r="Y273" s="1349"/>
      <c r="Z273" s="1349"/>
    </row>
    <row r="274" spans="1:26" x14ac:dyDescent="0.3">
      <c r="A274" s="520" t="s">
        <v>4314</v>
      </c>
      <c r="B274" s="520" t="s">
        <v>4315</v>
      </c>
      <c r="C274" s="520"/>
      <c r="D274" s="520"/>
      <c r="E274" s="520"/>
      <c r="F274" s="520"/>
      <c r="G274" s="1349"/>
      <c r="H274" s="1349"/>
      <c r="I274" s="1349"/>
      <c r="J274" s="1349"/>
      <c r="K274" s="1349"/>
      <c r="L274" s="1349"/>
      <c r="M274" s="1349"/>
      <c r="N274" s="1349"/>
      <c r="O274" s="1349"/>
      <c r="P274" s="1349"/>
      <c r="Q274" s="1349"/>
      <c r="R274" s="1349"/>
      <c r="S274" s="1349"/>
      <c r="T274" s="1349"/>
      <c r="U274" s="1349"/>
      <c r="V274" s="1349"/>
      <c r="W274" s="1349"/>
      <c r="X274" s="1349"/>
      <c r="Y274" s="1349"/>
      <c r="Z274" s="1349"/>
    </row>
    <row r="275" spans="1:26" ht="27.6" x14ac:dyDescent="0.3">
      <c r="A275" s="520" t="s">
        <v>4316</v>
      </c>
      <c r="B275" s="520" t="s">
        <v>4317</v>
      </c>
      <c r="C275" s="520"/>
      <c r="D275" s="520"/>
      <c r="E275" s="520"/>
      <c r="F275" s="520"/>
      <c r="G275" s="1349"/>
      <c r="H275" s="1349"/>
      <c r="I275" s="1349"/>
      <c r="J275" s="1349"/>
      <c r="K275" s="1349"/>
      <c r="L275" s="1349"/>
      <c r="M275" s="1349"/>
      <c r="N275" s="1349"/>
      <c r="O275" s="1349"/>
      <c r="P275" s="1349"/>
      <c r="Q275" s="1349"/>
      <c r="R275" s="1349"/>
      <c r="S275" s="1349"/>
      <c r="T275" s="1349"/>
      <c r="U275" s="1349"/>
      <c r="V275" s="1349"/>
      <c r="W275" s="1349"/>
      <c r="X275" s="1349"/>
      <c r="Y275" s="1349"/>
      <c r="Z275" s="1349"/>
    </row>
    <row r="276" spans="1:26" x14ac:dyDescent="0.3">
      <c r="A276" s="520" t="s">
        <v>4318</v>
      </c>
      <c r="B276" s="1345">
        <v>46237</v>
      </c>
      <c r="C276" s="520"/>
      <c r="D276" s="520"/>
      <c r="E276" s="520"/>
      <c r="F276" s="520"/>
      <c r="G276" s="1349"/>
      <c r="H276" s="1349"/>
      <c r="I276" s="1349"/>
      <c r="J276" s="1349"/>
      <c r="K276" s="1349"/>
      <c r="L276" s="1349"/>
      <c r="M276" s="1349"/>
      <c r="N276" s="1349"/>
      <c r="O276" s="1349"/>
      <c r="P276" s="1349"/>
      <c r="Q276" s="1349"/>
      <c r="R276" s="1349"/>
      <c r="S276" s="1349"/>
      <c r="T276" s="1349"/>
      <c r="U276" s="1349"/>
      <c r="V276" s="1349"/>
      <c r="W276" s="1349"/>
      <c r="X276" s="1349"/>
      <c r="Y276" s="1349"/>
      <c r="Z276" s="1349"/>
    </row>
    <row r="277" spans="1:26" ht="27.6" x14ac:dyDescent="0.3">
      <c r="A277" s="520" t="s">
        <v>4319</v>
      </c>
      <c r="B277" s="520" t="s">
        <v>4320</v>
      </c>
      <c r="C277" s="520"/>
      <c r="D277" s="520"/>
      <c r="E277" s="520"/>
      <c r="F277" s="520"/>
      <c r="G277" s="1349"/>
      <c r="H277" s="1349"/>
      <c r="I277" s="1349"/>
      <c r="J277" s="1349"/>
      <c r="K277" s="1349"/>
      <c r="L277" s="1349"/>
      <c r="M277" s="1349"/>
      <c r="N277" s="1349"/>
      <c r="O277" s="1349"/>
      <c r="P277" s="1349"/>
      <c r="Q277" s="1349"/>
      <c r="R277" s="1349"/>
      <c r="S277" s="1349"/>
      <c r="T277" s="1349"/>
      <c r="U277" s="1349"/>
      <c r="V277" s="1349"/>
      <c r="W277" s="1349"/>
      <c r="X277" s="1349"/>
      <c r="Y277" s="1349"/>
      <c r="Z277" s="1349"/>
    </row>
    <row r="278" spans="1:26" x14ac:dyDescent="0.3">
      <c r="A278" s="3949" t="s">
        <v>4321</v>
      </c>
      <c r="B278" s="3949"/>
      <c r="C278" s="3949"/>
      <c r="D278" s="3949"/>
      <c r="E278" s="3949"/>
      <c r="F278" s="3949"/>
      <c r="G278" s="4154"/>
      <c r="H278" s="4154"/>
      <c r="I278" s="4154"/>
      <c r="J278" s="4154"/>
      <c r="K278" s="4154"/>
      <c r="L278" s="4154"/>
      <c r="M278" s="4154"/>
      <c r="N278" s="4154"/>
      <c r="O278" s="4154"/>
      <c r="P278" s="4154"/>
      <c r="Q278" s="4154"/>
      <c r="R278" s="4154"/>
      <c r="S278" s="4154"/>
      <c r="T278" s="4154"/>
      <c r="U278" s="4154"/>
      <c r="V278" s="4154"/>
      <c r="W278" s="4154"/>
      <c r="X278" s="4154"/>
      <c r="Y278" s="4154"/>
      <c r="Z278" s="4154"/>
    </row>
    <row r="279" spans="1:26" x14ac:dyDescent="0.3">
      <c r="A279" s="520" t="s">
        <v>4322</v>
      </c>
      <c r="B279" s="520" t="s">
        <v>4323</v>
      </c>
      <c r="C279" s="520"/>
      <c r="D279" s="520"/>
      <c r="E279" s="520"/>
      <c r="F279" s="520"/>
      <c r="G279" s="1349"/>
      <c r="H279" s="1349"/>
      <c r="I279" s="1349"/>
      <c r="J279" s="1349"/>
      <c r="K279" s="1349"/>
      <c r="L279" s="1349"/>
      <c r="M279" s="1349"/>
      <c r="N279" s="1349"/>
      <c r="O279" s="1349"/>
      <c r="P279" s="1349"/>
      <c r="Q279" s="1349"/>
      <c r="R279" s="1349"/>
      <c r="S279" s="1349"/>
      <c r="T279" s="1349"/>
      <c r="U279" s="1349"/>
      <c r="V279" s="1349"/>
      <c r="W279" s="1349"/>
      <c r="X279" s="1349"/>
      <c r="Y279" s="1349"/>
      <c r="Z279" s="1349"/>
    </row>
    <row r="280" spans="1:26" ht="27.6" x14ac:dyDescent="0.3">
      <c r="A280" s="520" t="s">
        <v>4324</v>
      </c>
      <c r="B280" s="520" t="s">
        <v>4325</v>
      </c>
      <c r="C280" s="520"/>
      <c r="D280" s="520"/>
      <c r="E280" s="520"/>
      <c r="F280" s="520"/>
      <c r="G280" s="1349"/>
      <c r="H280" s="1349"/>
      <c r="I280" s="1349"/>
      <c r="J280" s="1349"/>
      <c r="K280" s="1349"/>
      <c r="L280" s="1349"/>
      <c r="M280" s="1349"/>
      <c r="N280" s="1349"/>
      <c r="O280" s="1349"/>
      <c r="P280" s="1349"/>
      <c r="Q280" s="1349"/>
      <c r="R280" s="1349"/>
      <c r="S280" s="1349"/>
      <c r="T280" s="1349"/>
      <c r="U280" s="1349"/>
      <c r="V280" s="1349"/>
      <c r="W280" s="1349"/>
      <c r="X280" s="1349"/>
      <c r="Y280" s="1349"/>
      <c r="Z280" s="1349"/>
    </row>
    <row r="281" spans="1:26" ht="41.4" x14ac:dyDescent="0.3">
      <c r="A281" s="520" t="s">
        <v>4326</v>
      </c>
      <c r="B281" s="520" t="s">
        <v>4327</v>
      </c>
      <c r="C281" s="520"/>
      <c r="D281" s="520"/>
      <c r="E281" s="520"/>
      <c r="F281" s="520"/>
      <c r="G281" s="1349"/>
      <c r="H281" s="1349"/>
      <c r="I281" s="1349"/>
      <c r="J281" s="1349"/>
      <c r="K281" s="1349"/>
      <c r="L281" s="1349"/>
      <c r="M281" s="1349"/>
      <c r="N281" s="1349"/>
      <c r="O281" s="1349"/>
      <c r="P281" s="1349"/>
      <c r="Q281" s="1349"/>
      <c r="R281" s="1349"/>
      <c r="S281" s="1349"/>
      <c r="T281" s="1349"/>
      <c r="U281" s="1349"/>
      <c r="V281" s="1349"/>
      <c r="W281" s="1349"/>
      <c r="X281" s="1349"/>
      <c r="Y281" s="1349"/>
      <c r="Z281" s="1349"/>
    </row>
    <row r="282" spans="1:26" ht="27.6" x14ac:dyDescent="0.3">
      <c r="A282" s="520" t="s">
        <v>4328</v>
      </c>
      <c r="B282" s="520" t="s">
        <v>4591</v>
      </c>
      <c r="C282" s="520"/>
      <c r="D282" s="520"/>
      <c r="E282" s="520"/>
      <c r="F282" s="520"/>
      <c r="G282" s="1349"/>
      <c r="H282" s="1349"/>
      <c r="I282" s="1349"/>
      <c r="J282" s="1349"/>
      <c r="K282" s="1349"/>
      <c r="L282" s="1349"/>
      <c r="M282" s="1349"/>
      <c r="N282" s="1349"/>
      <c r="O282" s="1349"/>
      <c r="P282" s="1349"/>
      <c r="Q282" s="1349"/>
      <c r="R282" s="1349"/>
      <c r="S282" s="1349"/>
      <c r="T282" s="1349"/>
      <c r="U282" s="1349"/>
      <c r="V282" s="1349"/>
      <c r="W282" s="1349"/>
      <c r="X282" s="1349"/>
      <c r="Y282" s="1349"/>
      <c r="Z282" s="1349"/>
    </row>
    <row r="283" spans="1:26" x14ac:dyDescent="0.3">
      <c r="A283" s="520" t="s">
        <v>4329</v>
      </c>
      <c r="B283" s="520" t="s">
        <v>4330</v>
      </c>
      <c r="C283" s="520" t="s">
        <v>4331</v>
      </c>
      <c r="D283" s="520" t="s">
        <v>4332</v>
      </c>
      <c r="E283" s="520"/>
      <c r="F283" s="520"/>
      <c r="G283" s="1349"/>
      <c r="H283" s="1349"/>
      <c r="I283" s="1349"/>
      <c r="J283" s="1349"/>
      <c r="K283" s="1349"/>
      <c r="L283" s="1349"/>
      <c r="M283" s="1349"/>
      <c r="N283" s="1349"/>
      <c r="O283" s="1349"/>
      <c r="P283" s="1349"/>
      <c r="Q283" s="1349"/>
      <c r="R283" s="1349"/>
      <c r="S283" s="1349"/>
      <c r="T283" s="1349"/>
      <c r="U283" s="1349"/>
      <c r="V283" s="1349"/>
      <c r="W283" s="1349"/>
      <c r="X283" s="1349"/>
      <c r="Y283" s="1349"/>
      <c r="Z283" s="1349"/>
    </row>
    <row r="284" spans="1:26" x14ac:dyDescent="0.3">
      <c r="A284" s="520" t="s">
        <v>546</v>
      </c>
      <c r="B284" s="520">
        <v>0.33019999999999999</v>
      </c>
      <c r="C284" s="520">
        <v>1</v>
      </c>
      <c r="D284" s="520" t="s">
        <v>4592</v>
      </c>
      <c r="E284" s="520"/>
      <c r="F284" s="520"/>
      <c r="G284" s="1349"/>
      <c r="H284" s="1349"/>
      <c r="I284" s="1349"/>
      <c r="J284" s="1349"/>
      <c r="K284" s="1349"/>
      <c r="L284" s="1349"/>
      <c r="M284" s="1349"/>
      <c r="N284" s="1349"/>
      <c r="O284" s="1349"/>
      <c r="P284" s="1349"/>
      <c r="Q284" s="1349"/>
      <c r="R284" s="1349"/>
      <c r="S284" s="1349"/>
      <c r="T284" s="1349"/>
      <c r="U284" s="1349"/>
      <c r="V284" s="1349"/>
      <c r="W284" s="1349"/>
      <c r="X284" s="1349"/>
      <c r="Y284" s="1349"/>
      <c r="Z284" s="1349"/>
    </row>
    <row r="285" spans="1:26" x14ac:dyDescent="0.3">
      <c r="A285" s="520" t="s">
        <v>43</v>
      </c>
      <c r="B285" s="520">
        <v>0.17660000000000001</v>
      </c>
      <c r="C285" s="520">
        <v>1.5</v>
      </c>
      <c r="D285" s="520" t="s">
        <v>4593</v>
      </c>
      <c r="E285" s="520"/>
      <c r="F285" s="520"/>
      <c r="G285" s="1349"/>
      <c r="H285" s="1349"/>
      <c r="I285" s="1349"/>
      <c r="J285" s="1349"/>
      <c r="K285" s="1349"/>
      <c r="L285" s="1349"/>
      <c r="M285" s="1349"/>
      <c r="N285" s="1349"/>
      <c r="O285" s="1349"/>
      <c r="P285" s="1349"/>
      <c r="Q285" s="1349"/>
      <c r="R285" s="1349"/>
      <c r="S285" s="1349"/>
      <c r="T285" s="1349"/>
      <c r="U285" s="1349"/>
      <c r="V285" s="1349"/>
      <c r="W285" s="1349"/>
      <c r="X285" s="1349"/>
      <c r="Y285" s="1349"/>
      <c r="Z285" s="1349"/>
    </row>
    <row r="286" spans="1:26" x14ac:dyDescent="0.3">
      <c r="A286" s="520" t="s">
        <v>486</v>
      </c>
      <c r="B286" s="520">
        <v>0.15160000000000001</v>
      </c>
      <c r="C286" s="520">
        <v>1</v>
      </c>
      <c r="D286" s="520" t="s">
        <v>4594</v>
      </c>
      <c r="E286" s="520"/>
      <c r="F286" s="520"/>
      <c r="G286" s="1349"/>
      <c r="H286" s="1349"/>
      <c r="I286" s="1349"/>
      <c r="J286" s="1349"/>
      <c r="K286" s="1349"/>
      <c r="L286" s="1349"/>
      <c r="M286" s="1349"/>
      <c r="N286" s="1349"/>
      <c r="O286" s="1349"/>
      <c r="P286" s="1349"/>
      <c r="Q286" s="1349"/>
      <c r="R286" s="1349"/>
      <c r="S286" s="1349"/>
      <c r="T286" s="1349"/>
      <c r="U286" s="1349"/>
      <c r="V286" s="1349"/>
      <c r="W286" s="1349"/>
      <c r="X286" s="1349"/>
      <c r="Y286" s="1349"/>
      <c r="Z286" s="1349"/>
    </row>
    <row r="287" spans="1:26" x14ac:dyDescent="0.3">
      <c r="A287" s="520" t="s">
        <v>715</v>
      </c>
      <c r="B287" s="520">
        <v>5.1299999999999998E-2</v>
      </c>
      <c r="C287" s="520">
        <v>1</v>
      </c>
      <c r="D287" s="520" t="s">
        <v>4595</v>
      </c>
      <c r="E287" s="520"/>
      <c r="F287" s="520"/>
      <c r="G287" s="1349"/>
      <c r="H287" s="1349"/>
      <c r="I287" s="1349"/>
      <c r="J287" s="1349"/>
      <c r="K287" s="1349"/>
      <c r="L287" s="1349"/>
      <c r="M287" s="1349"/>
      <c r="N287" s="1349"/>
      <c r="O287" s="1349"/>
      <c r="P287" s="1349"/>
      <c r="Q287" s="1349"/>
      <c r="R287" s="1349"/>
      <c r="S287" s="1349"/>
      <c r="T287" s="1349"/>
      <c r="U287" s="1349"/>
      <c r="V287" s="1349"/>
      <c r="W287" s="1349"/>
      <c r="X287" s="1349"/>
      <c r="Y287" s="1349"/>
      <c r="Z287" s="1349"/>
    </row>
    <row r="288" spans="1:26" x14ac:dyDescent="0.3">
      <c r="A288" s="520" t="s">
        <v>53</v>
      </c>
      <c r="B288" s="520">
        <v>4.8800000000000003E-2</v>
      </c>
      <c r="C288" s="520">
        <v>1</v>
      </c>
      <c r="D288" s="520" t="s">
        <v>4596</v>
      </c>
      <c r="E288" s="520"/>
      <c r="F288" s="520"/>
      <c r="G288" s="1349"/>
      <c r="H288" s="1349"/>
      <c r="I288" s="1349"/>
      <c r="J288" s="1349"/>
      <c r="K288" s="1349"/>
      <c r="L288" s="1349"/>
      <c r="M288" s="1349"/>
      <c r="N288" s="1349"/>
      <c r="O288" s="1349"/>
      <c r="P288" s="1349"/>
      <c r="Q288" s="1349"/>
      <c r="R288" s="1349"/>
      <c r="S288" s="1349"/>
      <c r="T288" s="1349"/>
      <c r="U288" s="1349"/>
      <c r="V288" s="1349"/>
      <c r="W288" s="1349"/>
      <c r="X288" s="1349"/>
      <c r="Y288" s="1349"/>
      <c r="Z288" s="1349"/>
    </row>
    <row r="289" spans="1:26" x14ac:dyDescent="0.3">
      <c r="A289" s="520" t="s">
        <v>509</v>
      </c>
      <c r="B289" s="520">
        <v>3.85E-2</v>
      </c>
      <c r="C289" s="520">
        <v>1.5</v>
      </c>
      <c r="D289" s="520" t="s">
        <v>4597</v>
      </c>
      <c r="E289" s="520"/>
      <c r="F289" s="520"/>
      <c r="G289" s="1349"/>
      <c r="H289" s="1349"/>
      <c r="I289" s="1349"/>
      <c r="J289" s="1349"/>
      <c r="K289" s="1349"/>
      <c r="L289" s="1349"/>
      <c r="M289" s="1349"/>
      <c r="N289" s="1349"/>
      <c r="O289" s="1349"/>
      <c r="P289" s="1349"/>
      <c r="Q289" s="1349"/>
      <c r="R289" s="1349"/>
      <c r="S289" s="1349"/>
      <c r="T289" s="1349"/>
      <c r="U289" s="1349"/>
      <c r="V289" s="1349"/>
      <c r="W289" s="1349"/>
      <c r="X289" s="1349"/>
      <c r="Y289" s="1349"/>
      <c r="Z289" s="1349"/>
    </row>
    <row r="290" spans="1:26" x14ac:dyDescent="0.3">
      <c r="A290" s="520" t="s">
        <v>655</v>
      </c>
      <c r="B290" s="520">
        <v>3.6999999999999998E-2</v>
      </c>
      <c r="C290" s="520">
        <v>0.5</v>
      </c>
      <c r="D290" s="520" t="s">
        <v>4598</v>
      </c>
      <c r="E290" s="520"/>
      <c r="F290" s="520"/>
      <c r="G290" s="1349"/>
      <c r="H290" s="1349"/>
      <c r="I290" s="1349"/>
      <c r="J290" s="1349"/>
      <c r="K290" s="1349"/>
      <c r="L290" s="1349"/>
      <c r="M290" s="1349"/>
      <c r="N290" s="1349"/>
      <c r="O290" s="1349"/>
      <c r="P290" s="1349"/>
      <c r="Q290" s="1349"/>
      <c r="R290" s="1349"/>
      <c r="S290" s="1349"/>
      <c r="T290" s="1349"/>
      <c r="U290" s="1349"/>
      <c r="V290" s="1349"/>
      <c r="W290" s="1349"/>
      <c r="X290" s="1349"/>
      <c r="Y290" s="1349"/>
      <c r="Z290" s="1349"/>
    </row>
    <row r="291" spans="1:26" x14ac:dyDescent="0.3">
      <c r="A291" s="520" t="s">
        <v>531</v>
      </c>
      <c r="B291" s="520">
        <v>2.7099999999999999E-2</v>
      </c>
      <c r="C291" s="520">
        <v>1</v>
      </c>
      <c r="D291" s="520" t="s">
        <v>4599</v>
      </c>
      <c r="E291" s="520"/>
      <c r="F291" s="520"/>
      <c r="G291" s="1349"/>
      <c r="H291" s="1349"/>
      <c r="I291" s="1349"/>
      <c r="J291" s="1349"/>
      <c r="K291" s="1349"/>
      <c r="L291" s="1349"/>
      <c r="M291" s="1349"/>
      <c r="N291" s="1349"/>
      <c r="O291" s="1349"/>
      <c r="P291" s="1349"/>
      <c r="Q291" s="1349"/>
      <c r="R291" s="1349"/>
      <c r="S291" s="1349"/>
      <c r="T291" s="1349"/>
      <c r="U291" s="1349"/>
      <c r="V291" s="1349"/>
      <c r="W291" s="1349"/>
      <c r="X291" s="1349"/>
      <c r="Y291" s="1349"/>
      <c r="Z291" s="1349"/>
    </row>
    <row r="292" spans="1:26" x14ac:dyDescent="0.3">
      <c r="A292" s="520" t="s">
        <v>518</v>
      </c>
      <c r="B292" s="520">
        <v>2.5499999999999998E-2</v>
      </c>
      <c r="C292" s="520">
        <v>1.5</v>
      </c>
      <c r="D292" s="520" t="s">
        <v>4600</v>
      </c>
      <c r="E292" s="520"/>
      <c r="F292" s="520"/>
      <c r="G292" s="1349"/>
      <c r="H292" s="1349"/>
      <c r="I292" s="1349"/>
      <c r="J292" s="1349"/>
      <c r="K292" s="1349"/>
      <c r="L292" s="1349"/>
      <c r="M292" s="1349"/>
      <c r="N292" s="1349"/>
      <c r="O292" s="1349"/>
      <c r="P292" s="1349"/>
      <c r="Q292" s="1349"/>
      <c r="R292" s="1349"/>
      <c r="S292" s="1349"/>
      <c r="T292" s="1349"/>
      <c r="U292" s="1349"/>
      <c r="V292" s="1349"/>
      <c r="W292" s="1349"/>
      <c r="X292" s="1349"/>
      <c r="Y292" s="1349"/>
      <c r="Z292" s="1349"/>
    </row>
    <row r="293" spans="1:26" x14ac:dyDescent="0.3">
      <c r="A293" s="520" t="s">
        <v>482</v>
      </c>
      <c r="B293" s="520">
        <v>2.2700000000000001E-2</v>
      </c>
      <c r="C293" s="520">
        <v>1</v>
      </c>
      <c r="D293" s="520" t="s">
        <v>4601</v>
      </c>
      <c r="E293" s="520"/>
      <c r="F293" s="520"/>
      <c r="G293" s="1349"/>
      <c r="H293" s="1349"/>
      <c r="I293" s="1349"/>
      <c r="J293" s="1349"/>
      <c r="K293" s="1349"/>
      <c r="L293" s="1349"/>
      <c r="M293" s="1349"/>
      <c r="N293" s="1349"/>
      <c r="O293" s="1349"/>
      <c r="P293" s="1349"/>
      <c r="Q293" s="1349"/>
      <c r="R293" s="1349"/>
      <c r="S293" s="1349"/>
      <c r="T293" s="1349"/>
      <c r="U293" s="1349"/>
      <c r="V293" s="1349"/>
      <c r="W293" s="1349"/>
      <c r="X293" s="1349"/>
      <c r="Y293" s="1349"/>
      <c r="Z293" s="1349"/>
    </row>
    <row r="294" spans="1:26" x14ac:dyDescent="0.3">
      <c r="A294" s="520" t="s">
        <v>436</v>
      </c>
      <c r="B294" s="520">
        <v>1.8499999999999999E-2</v>
      </c>
      <c r="C294" s="520">
        <v>0.5</v>
      </c>
      <c r="D294" s="520" t="s">
        <v>4602</v>
      </c>
      <c r="E294" s="520"/>
      <c r="F294" s="520"/>
      <c r="G294" s="1349"/>
      <c r="H294" s="1349"/>
      <c r="I294" s="1349"/>
      <c r="J294" s="1349"/>
      <c r="K294" s="1349"/>
      <c r="L294" s="1349"/>
      <c r="M294" s="1349"/>
      <c r="N294" s="1349"/>
      <c r="O294" s="1349"/>
      <c r="P294" s="1349"/>
      <c r="Q294" s="1349"/>
      <c r="R294" s="1349"/>
      <c r="S294" s="1349"/>
      <c r="T294" s="1349"/>
      <c r="U294" s="1349"/>
      <c r="V294" s="1349"/>
      <c r="W294" s="1349"/>
      <c r="X294" s="1349"/>
      <c r="Y294" s="1349"/>
      <c r="Z294" s="1349"/>
    </row>
    <row r="295" spans="1:26" x14ac:dyDescent="0.3">
      <c r="A295" s="520" t="s">
        <v>642</v>
      </c>
      <c r="B295" s="520">
        <v>1.8200000000000001E-2</v>
      </c>
      <c r="C295" s="520">
        <v>0.5</v>
      </c>
      <c r="D295" s="520" t="s">
        <v>4597</v>
      </c>
      <c r="E295" s="520"/>
      <c r="F295" s="520"/>
      <c r="G295" s="1349"/>
      <c r="H295" s="1349"/>
      <c r="I295" s="1349"/>
      <c r="J295" s="1349"/>
      <c r="K295" s="1349"/>
      <c r="L295" s="1349"/>
      <c r="M295" s="1349"/>
      <c r="N295" s="1349"/>
      <c r="O295" s="1349"/>
      <c r="P295" s="1349"/>
      <c r="Q295" s="1349"/>
      <c r="R295" s="1349"/>
      <c r="S295" s="1349"/>
      <c r="T295" s="1349"/>
      <c r="U295" s="1349"/>
      <c r="V295" s="1349"/>
      <c r="W295" s="1349"/>
      <c r="X295" s="1349"/>
      <c r="Y295" s="1349"/>
      <c r="Z295" s="1349"/>
    </row>
    <row r="296" spans="1:26" x14ac:dyDescent="0.3">
      <c r="A296" s="520" t="s">
        <v>635</v>
      </c>
      <c r="B296" s="520">
        <v>1.2500000000000001E-2</v>
      </c>
      <c r="C296" s="520">
        <v>0.5</v>
      </c>
      <c r="D296" s="520" t="s">
        <v>4603</v>
      </c>
      <c r="E296" s="520"/>
      <c r="F296" s="520"/>
      <c r="G296" s="1349"/>
      <c r="H296" s="1349"/>
      <c r="I296" s="1349"/>
      <c r="J296" s="1349"/>
      <c r="K296" s="1349"/>
      <c r="L296" s="1349"/>
      <c r="M296" s="1349"/>
      <c r="N296" s="1349"/>
      <c r="O296" s="1349"/>
      <c r="P296" s="1349"/>
      <c r="Q296" s="1349"/>
      <c r="R296" s="1349"/>
      <c r="S296" s="1349"/>
      <c r="T296" s="1349"/>
      <c r="U296" s="1349"/>
      <c r="V296" s="1349"/>
      <c r="W296" s="1349"/>
      <c r="X296" s="1349"/>
      <c r="Y296" s="1349"/>
      <c r="Z296" s="1349"/>
    </row>
    <row r="297" spans="1:26" x14ac:dyDescent="0.3">
      <c r="A297" s="520" t="s">
        <v>568</v>
      </c>
      <c r="B297" s="520">
        <v>9.7999999999999997E-3</v>
      </c>
      <c r="C297" s="520">
        <v>1</v>
      </c>
      <c r="D297" s="520" t="s">
        <v>4598</v>
      </c>
      <c r="E297" s="520"/>
      <c r="F297" s="520"/>
      <c r="G297" s="1349"/>
      <c r="H297" s="1349"/>
      <c r="I297" s="1349"/>
      <c r="J297" s="1349"/>
      <c r="K297" s="1349"/>
      <c r="L297" s="1349"/>
      <c r="M297" s="1349"/>
      <c r="N297" s="1349"/>
      <c r="O297" s="1349"/>
      <c r="P297" s="1349"/>
      <c r="Q297" s="1349"/>
      <c r="R297" s="1349"/>
      <c r="S297" s="1349"/>
      <c r="T297" s="1349"/>
      <c r="U297" s="1349"/>
      <c r="V297" s="1349"/>
      <c r="W297" s="1349"/>
      <c r="X297" s="1349"/>
      <c r="Y297" s="1349"/>
      <c r="Z297" s="1349"/>
    </row>
    <row r="298" spans="1:26" x14ac:dyDescent="0.3">
      <c r="A298" s="520" t="s">
        <v>603</v>
      </c>
      <c r="B298" s="520">
        <v>8.6E-3</v>
      </c>
      <c r="C298" s="520">
        <v>0.5</v>
      </c>
      <c r="D298" s="520" t="s">
        <v>4604</v>
      </c>
      <c r="E298" s="520"/>
      <c r="F298" s="520"/>
      <c r="G298" s="1349"/>
      <c r="H298" s="1349"/>
      <c r="I298" s="1349"/>
      <c r="J298" s="1349"/>
      <c r="K298" s="1349"/>
      <c r="L298" s="1349"/>
      <c r="M298" s="1349"/>
      <c r="N298" s="1349"/>
      <c r="O298" s="1349"/>
      <c r="P298" s="1349"/>
      <c r="Q298" s="1349"/>
      <c r="R298" s="1349"/>
      <c r="S298" s="1349"/>
      <c r="T298" s="1349"/>
      <c r="U298" s="1349"/>
      <c r="V298" s="1349"/>
      <c r="W298" s="1349"/>
      <c r="X298" s="1349"/>
      <c r="Y298" s="1349"/>
      <c r="Z298" s="1349"/>
    </row>
    <row r="299" spans="1:26" x14ac:dyDescent="0.3">
      <c r="A299" s="520" t="s">
        <v>615</v>
      </c>
      <c r="B299" s="520">
        <v>3.3E-3</v>
      </c>
      <c r="C299" s="520">
        <v>0.5</v>
      </c>
      <c r="D299" s="520" t="s">
        <v>4605</v>
      </c>
      <c r="E299" s="520"/>
      <c r="F299" s="520"/>
      <c r="G299" s="1349"/>
      <c r="H299" s="1349"/>
      <c r="I299" s="1349"/>
      <c r="J299" s="1349"/>
      <c r="K299" s="1349"/>
      <c r="L299" s="1349"/>
      <c r="M299" s="1349"/>
      <c r="N299" s="1349"/>
      <c r="O299" s="1349"/>
      <c r="P299" s="1349"/>
      <c r="Q299" s="1349"/>
      <c r="R299" s="1349"/>
      <c r="S299" s="1349"/>
      <c r="T299" s="1349"/>
      <c r="U299" s="1349"/>
      <c r="V299" s="1349"/>
      <c r="W299" s="1349"/>
      <c r="X299" s="1349"/>
      <c r="Y299" s="1349"/>
      <c r="Z299" s="1349"/>
    </row>
    <row r="300" spans="1:26" x14ac:dyDescent="0.3">
      <c r="A300" s="520" t="s">
        <v>610</v>
      </c>
      <c r="B300" s="520">
        <v>6.4999999999999997E-3</v>
      </c>
      <c r="C300" s="520">
        <v>0.5</v>
      </c>
      <c r="D300" s="520" t="s">
        <v>4598</v>
      </c>
      <c r="E300" s="520"/>
      <c r="F300" s="520"/>
      <c r="G300" s="1349"/>
      <c r="H300" s="1349"/>
      <c r="I300" s="1349"/>
      <c r="J300" s="1349"/>
      <c r="K300" s="1349"/>
      <c r="L300" s="1349"/>
      <c r="M300" s="1349"/>
      <c r="N300" s="1349"/>
      <c r="O300" s="1349"/>
      <c r="P300" s="1349"/>
      <c r="Q300" s="1349"/>
      <c r="R300" s="1349"/>
      <c r="S300" s="1349"/>
      <c r="T300" s="1349"/>
      <c r="U300" s="1349"/>
      <c r="V300" s="1349"/>
      <c r="W300" s="1349"/>
      <c r="X300" s="1349"/>
      <c r="Y300" s="1349"/>
      <c r="Z300" s="1349"/>
    </row>
    <row r="301" spans="1:26" x14ac:dyDescent="0.3">
      <c r="A301" s="520" t="s">
        <v>560</v>
      </c>
      <c r="B301" s="520">
        <v>4.5999999999999999E-3</v>
      </c>
      <c r="C301" s="520">
        <v>1</v>
      </c>
      <c r="D301" s="520" t="s">
        <v>4606</v>
      </c>
      <c r="E301" s="520"/>
      <c r="F301" s="520"/>
      <c r="G301" s="1349"/>
      <c r="H301" s="1349"/>
      <c r="I301" s="1349"/>
      <c r="J301" s="1349"/>
      <c r="K301" s="1349"/>
      <c r="L301" s="1349"/>
      <c r="M301" s="1349"/>
      <c r="N301" s="1349"/>
      <c r="O301" s="1349"/>
      <c r="P301" s="1349"/>
      <c r="Q301" s="1349"/>
      <c r="R301" s="1349"/>
      <c r="S301" s="1349"/>
      <c r="T301" s="1349"/>
      <c r="U301" s="1349"/>
      <c r="V301" s="1349"/>
      <c r="W301" s="1349"/>
      <c r="X301" s="1349"/>
      <c r="Y301" s="1349"/>
      <c r="Z301" s="1349"/>
    </row>
    <row r="302" spans="1:26" x14ac:dyDescent="0.3">
      <c r="A302" s="520" t="s">
        <v>721</v>
      </c>
      <c r="B302" s="520">
        <v>4.4000000000000003E-3</v>
      </c>
      <c r="C302" s="520">
        <v>1</v>
      </c>
      <c r="D302" s="520" t="s">
        <v>4603</v>
      </c>
      <c r="E302" s="520"/>
      <c r="F302" s="520"/>
      <c r="G302" s="1349"/>
      <c r="H302" s="1349"/>
      <c r="I302" s="1349"/>
      <c r="J302" s="1349"/>
      <c r="K302" s="1349"/>
      <c r="L302" s="1349"/>
      <c r="M302" s="1349"/>
      <c r="N302" s="1349"/>
      <c r="O302" s="1349"/>
      <c r="P302" s="1349"/>
      <c r="Q302" s="1349"/>
      <c r="R302" s="1349"/>
      <c r="S302" s="1349"/>
      <c r="T302" s="1349"/>
      <c r="U302" s="1349"/>
      <c r="V302" s="1349"/>
      <c r="W302" s="1349"/>
      <c r="X302" s="1349"/>
      <c r="Y302" s="1349"/>
      <c r="Z302" s="1349"/>
    </row>
    <row r="303" spans="1:26" x14ac:dyDescent="0.3">
      <c r="A303" s="520" t="s">
        <v>460</v>
      </c>
      <c r="B303" s="520">
        <v>4.1999999999999997E-3</v>
      </c>
      <c r="C303" s="520">
        <v>0.5</v>
      </c>
      <c r="D303" s="520" t="s">
        <v>4598</v>
      </c>
      <c r="E303" s="520"/>
      <c r="F303" s="520"/>
      <c r="G303" s="1349"/>
      <c r="H303" s="1349"/>
      <c r="I303" s="1349"/>
      <c r="J303" s="1349"/>
      <c r="K303" s="1349"/>
      <c r="L303" s="1349"/>
      <c r="M303" s="1349"/>
      <c r="N303" s="1349"/>
      <c r="O303" s="1349"/>
      <c r="P303" s="1349"/>
      <c r="Q303" s="1349"/>
      <c r="R303" s="1349"/>
      <c r="S303" s="1349"/>
      <c r="T303" s="1349"/>
      <c r="U303" s="1349"/>
      <c r="V303" s="1349"/>
      <c r="W303" s="1349"/>
      <c r="X303" s="1349"/>
      <c r="Y303" s="1349"/>
      <c r="Z303" s="1349"/>
    </row>
    <row r="304" spans="1:26" ht="27.6" x14ac:dyDescent="0.3">
      <c r="A304" s="520" t="s">
        <v>4333</v>
      </c>
      <c r="B304" s="520"/>
      <c r="C304" s="520"/>
      <c r="D304" s="520"/>
      <c r="E304" s="520"/>
      <c r="F304" s="520"/>
      <c r="G304" s="1349"/>
      <c r="H304" s="1349"/>
      <c r="I304" s="1349"/>
      <c r="J304" s="1349"/>
      <c r="K304" s="1349"/>
      <c r="L304" s="1349"/>
      <c r="M304" s="1349"/>
      <c r="N304" s="1349"/>
      <c r="O304" s="1349"/>
      <c r="P304" s="1349"/>
      <c r="Q304" s="1349"/>
      <c r="R304" s="1349"/>
      <c r="S304" s="1349"/>
      <c r="T304" s="1349"/>
      <c r="U304" s="1349"/>
      <c r="V304" s="1349"/>
      <c r="W304" s="1349"/>
      <c r="X304" s="1349"/>
      <c r="Y304" s="1349"/>
      <c r="Z304" s="1349"/>
    </row>
    <row r="305" spans="1:26" ht="27.6" x14ac:dyDescent="0.3">
      <c r="A305" s="520" t="s">
        <v>4334</v>
      </c>
      <c r="B305" s="520" t="s">
        <v>4335</v>
      </c>
      <c r="C305" s="520"/>
      <c r="D305" s="520"/>
      <c r="E305" s="520"/>
      <c r="F305" s="520"/>
      <c r="G305" s="1349"/>
      <c r="H305" s="1349"/>
      <c r="I305" s="1349"/>
      <c r="J305" s="1349"/>
      <c r="K305" s="1349"/>
      <c r="L305" s="1349"/>
      <c r="M305" s="1349"/>
      <c r="N305" s="1349"/>
      <c r="O305" s="1349"/>
      <c r="P305" s="1349"/>
      <c r="Q305" s="1349"/>
      <c r="R305" s="1349"/>
      <c r="S305" s="1349"/>
      <c r="T305" s="1349"/>
      <c r="U305" s="1349"/>
      <c r="V305" s="1349"/>
      <c r="W305" s="1349"/>
      <c r="X305" s="1349"/>
      <c r="Y305" s="1349"/>
      <c r="Z305" s="1349"/>
    </row>
    <row r="306" spans="1:26" ht="27.6" x14ac:dyDescent="0.3">
      <c r="A306" s="520" t="s">
        <v>4336</v>
      </c>
      <c r="B306" s="520" t="s">
        <v>4337</v>
      </c>
      <c r="C306" s="520"/>
      <c r="D306" s="520"/>
      <c r="E306" s="520"/>
      <c r="F306" s="520"/>
      <c r="G306" s="1349"/>
      <c r="H306" s="1349"/>
      <c r="I306" s="1349"/>
      <c r="J306" s="1349"/>
      <c r="K306" s="1349"/>
      <c r="L306" s="1349"/>
      <c r="M306" s="1349"/>
      <c r="N306" s="1349"/>
      <c r="O306" s="1349"/>
      <c r="P306" s="1349"/>
      <c r="Q306" s="1349"/>
      <c r="R306" s="1349"/>
      <c r="S306" s="1349"/>
      <c r="T306" s="1349"/>
      <c r="U306" s="1349"/>
      <c r="V306" s="1349"/>
      <c r="W306" s="1349"/>
      <c r="X306" s="1349"/>
      <c r="Y306" s="1349"/>
      <c r="Z306" s="1349"/>
    </row>
    <row r="307" spans="1:26" ht="27.6" x14ac:dyDescent="0.3">
      <c r="A307" s="520" t="s">
        <v>4338</v>
      </c>
      <c r="B307" s="520" t="s">
        <v>4339</v>
      </c>
      <c r="C307" s="520"/>
      <c r="D307" s="520"/>
      <c r="E307" s="520"/>
      <c r="F307" s="520"/>
      <c r="G307" s="1349"/>
      <c r="H307" s="1349"/>
      <c r="I307" s="1349"/>
      <c r="J307" s="1349"/>
      <c r="K307" s="1349"/>
      <c r="L307" s="1349"/>
      <c r="M307" s="1349"/>
      <c r="N307" s="1349"/>
      <c r="O307" s="1349"/>
      <c r="P307" s="1349"/>
      <c r="Q307" s="1349"/>
      <c r="R307" s="1349"/>
      <c r="S307" s="1349"/>
      <c r="T307" s="1349"/>
      <c r="U307" s="1349"/>
      <c r="V307" s="1349"/>
      <c r="W307" s="1349"/>
      <c r="X307" s="1349"/>
      <c r="Y307" s="1349"/>
      <c r="Z307" s="1349"/>
    </row>
    <row r="308" spans="1:26" ht="27.6" x14ac:dyDescent="0.3">
      <c r="A308" s="520" t="s">
        <v>4340</v>
      </c>
      <c r="B308" s="520" t="s">
        <v>4341</v>
      </c>
      <c r="C308" s="520"/>
      <c r="D308" s="520"/>
      <c r="E308" s="520"/>
      <c r="F308" s="520"/>
      <c r="G308" s="1349"/>
      <c r="H308" s="1349"/>
      <c r="I308" s="1349"/>
      <c r="J308" s="1349"/>
      <c r="K308" s="1349"/>
      <c r="L308" s="1349"/>
      <c r="M308" s="1349"/>
      <c r="N308" s="1349"/>
      <c r="O308" s="1349"/>
      <c r="P308" s="1349"/>
      <c r="Q308" s="1349"/>
      <c r="R308" s="1349"/>
      <c r="S308" s="1349"/>
      <c r="T308" s="1349"/>
      <c r="U308" s="1349"/>
      <c r="V308" s="1349"/>
      <c r="W308" s="1349"/>
      <c r="X308" s="1349"/>
      <c r="Y308" s="1349"/>
      <c r="Z308" s="1349"/>
    </row>
    <row r="309" spans="1:26" ht="27.6" x14ac:dyDescent="0.3">
      <c r="A309" s="520" t="s">
        <v>4342</v>
      </c>
      <c r="B309" s="520" t="s">
        <v>4343</v>
      </c>
      <c r="C309" s="520"/>
      <c r="D309" s="520"/>
      <c r="E309" s="520"/>
      <c r="F309" s="520"/>
      <c r="G309" s="1349"/>
      <c r="H309" s="1349"/>
      <c r="I309" s="1349"/>
      <c r="J309" s="1349"/>
      <c r="K309" s="1349"/>
      <c r="L309" s="1349"/>
      <c r="M309" s="1349"/>
      <c r="N309" s="1349"/>
      <c r="O309" s="1349"/>
      <c r="P309" s="1349"/>
      <c r="Q309" s="1349"/>
      <c r="R309" s="1349"/>
      <c r="S309" s="1349"/>
      <c r="T309" s="1349"/>
      <c r="U309" s="1349"/>
      <c r="V309" s="1349"/>
      <c r="W309" s="1349"/>
      <c r="X309" s="1349"/>
      <c r="Y309" s="1349"/>
      <c r="Z309" s="1349"/>
    </row>
    <row r="310" spans="1:26" ht="41.4" x14ac:dyDescent="0.3">
      <c r="A310" s="520" t="s">
        <v>4344</v>
      </c>
      <c r="B310" s="520" t="s">
        <v>4345</v>
      </c>
      <c r="C310" s="520"/>
      <c r="D310" s="520"/>
      <c r="E310" s="520"/>
      <c r="F310" s="520"/>
      <c r="G310" s="1349"/>
      <c r="H310" s="1349"/>
      <c r="I310" s="1349"/>
      <c r="J310" s="1349"/>
      <c r="K310" s="1349"/>
      <c r="L310" s="1349"/>
      <c r="M310" s="1349"/>
      <c r="N310" s="1349"/>
      <c r="O310" s="1349"/>
      <c r="P310" s="1349"/>
      <c r="Q310" s="1349"/>
      <c r="R310" s="1349"/>
      <c r="S310" s="1349"/>
      <c r="T310" s="1349"/>
      <c r="U310" s="1349"/>
      <c r="V310" s="1349"/>
      <c r="W310" s="1349"/>
      <c r="X310" s="1349"/>
      <c r="Y310" s="1349"/>
      <c r="Z310" s="1349"/>
    </row>
    <row r="311" spans="1:26" ht="27.6" x14ac:dyDescent="0.3">
      <c r="A311" s="520" t="s">
        <v>4346</v>
      </c>
      <c r="B311" s="520" t="s">
        <v>4347</v>
      </c>
      <c r="C311" s="520"/>
      <c r="D311" s="520"/>
      <c r="E311" s="520"/>
      <c r="F311" s="520"/>
      <c r="G311" s="1349"/>
      <c r="H311" s="1349"/>
      <c r="I311" s="1349"/>
      <c r="J311" s="1349"/>
      <c r="K311" s="1349"/>
      <c r="L311" s="1349"/>
      <c r="M311" s="1349"/>
      <c r="N311" s="1349"/>
      <c r="O311" s="1349"/>
      <c r="P311" s="1349"/>
      <c r="Q311" s="1349"/>
      <c r="R311" s="1349"/>
      <c r="S311" s="1349"/>
      <c r="T311" s="1349"/>
      <c r="U311" s="1349"/>
      <c r="V311" s="1349"/>
      <c r="W311" s="1349"/>
      <c r="X311" s="1349"/>
      <c r="Y311" s="1349"/>
      <c r="Z311" s="1349"/>
    </row>
    <row r="312" spans="1:26" x14ac:dyDescent="0.3">
      <c r="A312" s="3949" t="s">
        <v>4348</v>
      </c>
      <c r="B312" s="3949"/>
      <c r="C312" s="3949"/>
      <c r="D312" s="3949"/>
      <c r="E312" s="3949"/>
      <c r="F312" s="3949"/>
      <c r="G312" s="4154"/>
      <c r="H312" s="4154"/>
      <c r="I312" s="4154"/>
      <c r="J312" s="4154"/>
      <c r="K312" s="4154"/>
      <c r="L312" s="4154"/>
      <c r="M312" s="4154"/>
      <c r="N312" s="4154"/>
      <c r="O312" s="4154"/>
      <c r="P312" s="4154"/>
      <c r="Q312" s="4154"/>
      <c r="R312" s="4154"/>
      <c r="S312" s="4154"/>
      <c r="T312" s="4154"/>
      <c r="U312" s="4154"/>
      <c r="V312" s="4154"/>
      <c r="W312" s="4154"/>
      <c r="X312" s="4154"/>
      <c r="Y312" s="4154"/>
      <c r="Z312" s="4154"/>
    </row>
    <row r="313" spans="1:26" ht="27.6" x14ac:dyDescent="0.3">
      <c r="A313" s="520" t="s">
        <v>4349</v>
      </c>
      <c r="B313" s="520" t="s">
        <v>4350</v>
      </c>
      <c r="C313" s="520"/>
      <c r="D313" s="520"/>
      <c r="E313" s="520"/>
      <c r="F313" s="520"/>
      <c r="G313" s="1349"/>
      <c r="H313" s="1349"/>
      <c r="I313" s="1349"/>
      <c r="J313" s="1349"/>
      <c r="K313" s="1349"/>
      <c r="L313" s="1349"/>
      <c r="M313" s="1349"/>
      <c r="N313" s="1349"/>
      <c r="O313" s="1349"/>
      <c r="P313" s="1349"/>
      <c r="Q313" s="1349"/>
      <c r="R313" s="1349"/>
      <c r="S313" s="1349"/>
      <c r="T313" s="1349"/>
      <c r="U313" s="1349"/>
      <c r="V313" s="1349"/>
      <c r="W313" s="1349"/>
      <c r="X313" s="1349"/>
      <c r="Y313" s="1349"/>
      <c r="Z313" s="1349"/>
    </row>
    <row r="314" spans="1:26" ht="41.4" x14ac:dyDescent="0.3">
      <c r="A314" s="520" t="s">
        <v>4351</v>
      </c>
      <c r="B314" s="520" t="s">
        <v>4352</v>
      </c>
      <c r="C314" s="520"/>
      <c r="D314" s="520"/>
      <c r="E314" s="520"/>
      <c r="F314" s="520"/>
      <c r="G314" s="1349"/>
      <c r="H314" s="1349"/>
      <c r="I314" s="1349"/>
      <c r="J314" s="1349"/>
      <c r="K314" s="1349"/>
      <c r="L314" s="1349"/>
      <c r="M314" s="1349"/>
      <c r="N314" s="1349"/>
      <c r="O314" s="1349"/>
      <c r="P314" s="1349"/>
      <c r="Q314" s="1349"/>
      <c r="R314" s="1349"/>
      <c r="S314" s="1349"/>
      <c r="T314" s="1349"/>
      <c r="U314" s="1349"/>
      <c r="V314" s="1349"/>
      <c r="W314" s="1349"/>
      <c r="X314" s="1349"/>
      <c r="Y314" s="1349"/>
      <c r="Z314" s="1349"/>
    </row>
    <row r="315" spans="1:26" ht="27.6" x14ac:dyDescent="0.3">
      <c r="A315" s="520" t="s">
        <v>4353</v>
      </c>
      <c r="B315" s="520" t="s">
        <v>4354</v>
      </c>
      <c r="C315" s="520"/>
      <c r="D315" s="520"/>
      <c r="E315" s="520"/>
      <c r="F315" s="520"/>
      <c r="G315" s="1349"/>
      <c r="H315" s="1349"/>
      <c r="I315" s="1349"/>
      <c r="J315" s="1349"/>
      <c r="K315" s="1349"/>
      <c r="L315" s="1349"/>
      <c r="M315" s="1349"/>
      <c r="N315" s="1349"/>
      <c r="O315" s="1349"/>
      <c r="P315" s="1349"/>
      <c r="Q315" s="1349"/>
      <c r="R315" s="1349"/>
      <c r="S315" s="1349"/>
      <c r="T315" s="1349"/>
      <c r="U315" s="1349"/>
      <c r="V315" s="1349"/>
      <c r="W315" s="1349"/>
      <c r="X315" s="1349"/>
      <c r="Y315" s="1349"/>
      <c r="Z315" s="1349"/>
    </row>
    <row r="316" spans="1:26" ht="27.6" x14ac:dyDescent="0.3">
      <c r="A316" s="520" t="s">
        <v>4355</v>
      </c>
      <c r="B316" s="520" t="s">
        <v>4356</v>
      </c>
      <c r="C316" s="520"/>
      <c r="D316" s="520"/>
      <c r="E316" s="520"/>
      <c r="F316" s="520"/>
      <c r="G316" s="1349"/>
      <c r="H316" s="1349"/>
      <c r="I316" s="1349"/>
      <c r="J316" s="1349"/>
      <c r="K316" s="1349"/>
      <c r="L316" s="1349"/>
      <c r="M316" s="1349"/>
      <c r="N316" s="1349"/>
      <c r="O316" s="1349"/>
      <c r="P316" s="1349"/>
      <c r="Q316" s="1349"/>
      <c r="R316" s="1349"/>
      <c r="S316" s="1349"/>
      <c r="T316" s="1349"/>
      <c r="U316" s="1349"/>
      <c r="V316" s="1349"/>
      <c r="W316" s="1349"/>
      <c r="X316" s="1349"/>
      <c r="Y316" s="1349"/>
      <c r="Z316" s="1349"/>
    </row>
    <row r="317" spans="1:26" ht="27.6" x14ac:dyDescent="0.3">
      <c r="A317" s="520" t="s">
        <v>4357</v>
      </c>
      <c r="B317" s="520" t="s">
        <v>4358</v>
      </c>
      <c r="C317" s="520"/>
      <c r="D317" s="520"/>
      <c r="E317" s="520"/>
      <c r="F317" s="520"/>
      <c r="G317" s="1349"/>
      <c r="H317" s="1349"/>
      <c r="I317" s="1349"/>
      <c r="J317" s="1349"/>
      <c r="K317" s="1349"/>
      <c r="L317" s="1349"/>
      <c r="M317" s="1349"/>
      <c r="N317" s="1349"/>
      <c r="O317" s="1349"/>
      <c r="P317" s="1349"/>
      <c r="Q317" s="1349"/>
      <c r="R317" s="1349"/>
      <c r="S317" s="1349"/>
      <c r="T317" s="1349"/>
      <c r="U317" s="1349"/>
      <c r="V317" s="1349"/>
      <c r="W317" s="1349"/>
      <c r="X317" s="1349"/>
      <c r="Y317" s="1349"/>
      <c r="Z317" s="1349"/>
    </row>
  </sheetData>
  <mergeCells count="35">
    <mergeCell ref="A312:Z312"/>
    <mergeCell ref="A1:Z1"/>
    <mergeCell ref="B6:Z6"/>
    <mergeCell ref="B7:Z7"/>
    <mergeCell ref="B77:Z77"/>
    <mergeCell ref="B80:Z80"/>
    <mergeCell ref="B81:Z81"/>
    <mergeCell ref="B129:Z129"/>
    <mergeCell ref="B130:Z130"/>
    <mergeCell ref="B139:Z139"/>
    <mergeCell ref="B142:Z142"/>
    <mergeCell ref="B143:Z143"/>
    <mergeCell ref="B161:Z161"/>
    <mergeCell ref="A211:Z211"/>
    <mergeCell ref="B266:Z266"/>
    <mergeCell ref="B271:Z271"/>
    <mergeCell ref="A24:Z24"/>
    <mergeCell ref="A31:Z31"/>
    <mergeCell ref="A49:Z49"/>
    <mergeCell ref="A4:Z4"/>
    <mergeCell ref="A270:Z270"/>
    <mergeCell ref="A67:Z67"/>
    <mergeCell ref="A128:Z128"/>
    <mergeCell ref="A132:Z132"/>
    <mergeCell ref="A180:Z180"/>
    <mergeCell ref="A194:Z194"/>
    <mergeCell ref="B179:Z179"/>
    <mergeCell ref="A15:Z15"/>
    <mergeCell ref="B168:Z168"/>
    <mergeCell ref="B172:Z172"/>
    <mergeCell ref="A278:Z278"/>
    <mergeCell ref="A250:Z250"/>
    <mergeCell ref="A263:Z263"/>
    <mergeCell ref="A264:Z264"/>
    <mergeCell ref="A265:Z265"/>
  </mergeCells>
  <conditionalFormatting sqref="A9:A14">
    <cfRule type="cellIs" dxfId="19" priority="23" operator="greaterThan">
      <formula>0</formula>
    </cfRule>
  </conditionalFormatting>
  <conditionalFormatting sqref="A26:A30">
    <cfRule type="containsText" dxfId="18" priority="11" operator="containsText" text="CRÍTICA">
      <formula>NOT(ISERROR(SEARCH("CRÍTICA",A26)))</formula>
    </cfRule>
    <cfRule type="containsText" dxfId="17" priority="12" operator="containsText" text="ALTA">
      <formula>NOT(ISERROR(SEARCH("ALTA",A26)))</formula>
    </cfRule>
    <cfRule type="containsText" dxfId="16" priority="13" operator="containsText" text="MEDIA">
      <formula>NOT(ISERROR(SEARCH("MEDIA",A26)))</formula>
    </cfRule>
    <cfRule type="containsText" dxfId="15" priority="14" operator="containsText" text="BAJA">
      <formula>NOT(ISERROR(SEARCH("BAJA",A26)))</formula>
    </cfRule>
    <cfRule type="containsText" dxfId="14" priority="15" operator="containsText" text="EXCELENCIA">
      <formula>NOT(ISERROR(SEARCH("EXCELENCIA",A26)))</formula>
    </cfRule>
  </conditionalFormatting>
  <conditionalFormatting sqref="A33:A37">
    <cfRule type="containsText" dxfId="13" priority="7" operator="containsText" text="REQ">
      <formula>NOT(ISERROR(SEARCH("REQ",A33)))</formula>
    </cfRule>
  </conditionalFormatting>
  <conditionalFormatting sqref="C132:C136">
    <cfRule type="containsText" dxfId="12" priority="18" operator="containsText" text="EXCELENCIA">
      <formula>NOT(ISERROR(SEARCH("EXCELENCIA",C132)))</formula>
    </cfRule>
    <cfRule type="containsText" dxfId="11" priority="19" operator="containsText" text="MANDATO">
      <formula>NOT(ISERROR(SEARCH("MANDATO",C132)))</formula>
    </cfRule>
    <cfRule type="containsText" dxfId="10" priority="20" operator="containsText" text="TRANSICION">
      <formula>NOT(ISERROR(SEARCH("TRANSICION",C132)))</formula>
    </cfRule>
    <cfRule type="containsText" dxfId="9" priority="21" operator="containsText" text="OCURRENCIA">
      <formula>NOT(ISERROR(SEARCH("OCURRENCIA",C132)))</formula>
    </cfRule>
    <cfRule type="containsText" dxfId="8" priority="22" operator="containsText" text="RUPTURA">
      <formula>NOT(ISERROR(SEARCH("RUPTURA",C132)))</formula>
    </cfRule>
  </conditionalFormatting>
  <conditionalFormatting sqref="D203">
    <cfRule type="containsText" dxfId="7" priority="24" operator="containsText" text="TRANSICIÓN">
      <formula>NOT(ISERROR(SEARCH("TRANSICIÓN",D203)))</formula>
    </cfRule>
    <cfRule type="containsText" dxfId="6" priority="25" operator="containsText" text="EXCELENCIA">
      <formula>NOT(ISERROR(SEARCH("EXCELENCIA",D203)))</formula>
    </cfRule>
    <cfRule type="containsText" dxfId="5" priority="26" operator="containsText" text="MANDATO">
      <formula>NOT(ISERROR(SEARCH("MANDATO",D203)))</formula>
    </cfRule>
    <cfRule type="containsText" dxfId="4" priority="27" operator="containsText" text="OCURRENCIA">
      <formula>NOT(ISERROR(SEARCH("OCURRENCIA",D203)))</formula>
    </cfRule>
    <cfRule type="containsText" dxfId="3" priority="28" operator="containsText" text="RUPTURA">
      <formula>NOT(ISERROR(SEARCH("RUPTURA",D203)))</formula>
    </cfRule>
  </conditionalFormatting>
  <conditionalFormatting sqref="E53:E65">
    <cfRule type="containsText" dxfId="2" priority="16" operator="containsText" text="🔴">
      <formula>NOT(ISERROR(SEARCH("🔴",E53)))</formula>
    </cfRule>
    <cfRule type="containsText" dxfId="1" priority="17" operator="containsText" text="⚠️">
      <formula>NOT(ISERROR(SEARCH("⚠️",E53)))</formula>
    </cfRule>
  </conditionalFormatting>
  <conditionalFormatting sqref="E84:E127">
    <cfRule type="containsText" dxfId="0" priority="29" operator="containsText" text="§3.7">
      <formula>NOT(ISERROR(SEARCH("§3.7",E84)))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39</vt:i4>
      </vt:variant>
    </vt:vector>
  </HeadingPairs>
  <TitlesOfParts>
    <vt:vector size="39" baseType="lpstr">
      <vt:lpstr>M-INDEX</vt:lpstr>
      <vt:lpstr>M-DASHBOARD</vt:lpstr>
      <vt:lpstr>M-TECH-GAD</vt:lpstr>
      <vt:lpstr>M-TECH-PARAMS</vt:lpstr>
      <vt:lpstr>M1-ITME</vt:lpstr>
      <vt:lpstr>M2-PDOT</vt:lpstr>
      <vt:lpstr>M2-PLAN-Pi</vt:lpstr>
      <vt:lpstr>DATA-TFR</vt:lpstr>
      <vt:lpstr>M3-MAO</vt:lpstr>
      <vt:lpstr>DATA-SSC</vt:lpstr>
      <vt:lpstr>M4-AUDIT</vt:lpstr>
      <vt:lpstr>DATA-MEC</vt:lpstr>
      <vt:lpstr>DATA-CED</vt:lpstr>
      <vt:lpstr>DATA-POA</vt:lpstr>
      <vt:lpstr>DATA-PAC</vt:lpstr>
      <vt:lpstr>M5-ICPI</vt:lpstr>
      <vt:lpstr>SUPPORT-INTERP</vt:lpstr>
      <vt:lpstr>VALID-CST</vt:lpstr>
      <vt:lpstr>M7-PROSP</vt:lpstr>
      <vt:lpstr>VALID-MVCI</vt:lpstr>
      <vt:lpstr>DATA-EJES</vt:lpstr>
      <vt:lpstr>VALID-SENS</vt:lpstr>
      <vt:lpstr>DATA-BRECHA</vt:lpstr>
      <vt:lpstr>DATA-ORG</vt:lpstr>
      <vt:lpstr>M6-FEDS</vt:lpstr>
      <vt:lpstr>SUPPORT-EVALDIR</vt:lpstr>
      <vt:lpstr>SUPPORT-SEM</vt:lpstr>
      <vt:lpstr>DATA-ITAM</vt:lpstr>
      <vt:lpstr>SUPPORT-SIL</vt:lpstr>
      <vt:lpstr>SUPPORT-ALERT</vt:lpstr>
      <vt:lpstr>VALID-VER</vt:lpstr>
      <vt:lpstr>DATA-CPCCS</vt:lpstr>
      <vt:lpstr>DATA-CNE</vt:lpstr>
      <vt:lpstr>DATA-SIGAD-TIMES</vt:lpstr>
      <vt:lpstr>DATA-SIGAD</vt:lpstr>
      <vt:lpstr>M-TECH-VARS</vt:lpstr>
      <vt:lpstr>DATA-MONIT</vt:lpstr>
      <vt:lpstr>DATA-RESULTADOS</vt:lpstr>
      <vt:lpstr>M-DOCS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Javier Delgado Santana</dc:creator>
  <cp:lastModifiedBy>DELL</cp:lastModifiedBy>
  <cp:lastPrinted>2026-02-24T18:51:58Z</cp:lastPrinted>
  <dcterms:created xsi:type="dcterms:W3CDTF">2026-01-23T17:41:10Z</dcterms:created>
  <dcterms:modified xsi:type="dcterms:W3CDTF">2026-03-14T09:57:14Z</dcterms:modified>
</cp:coreProperties>
</file>